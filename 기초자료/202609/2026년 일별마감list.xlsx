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기초자료\"/>
    </mc:Choice>
  </mc:AlternateContent>
  <xr:revisionPtr revIDLastSave="0" documentId="13_ncr:1_{24C16387-BD85-48D1-8732-0664F401F67C}" xr6:coauthVersionLast="36" xr6:coauthVersionMax="47" xr10:uidLastSave="{00000000-0000-0000-0000-000000000000}"/>
  <bookViews>
    <workbookView xWindow="-120" yWindow="-120" windowWidth="29040" windowHeight="15720" tabRatio="601" firstSheet="4" activeTab="9" xr2:uid="{482CA3C7-E9FB-4AF1-B687-777DAD4F40E9}"/>
  </bookViews>
  <sheets>
    <sheet name="2512" sheetId="14" r:id="rId1"/>
    <sheet name="2601" sheetId="16" r:id="rId2"/>
    <sheet name="2602" sheetId="17" r:id="rId3"/>
    <sheet name="2603" sheetId="19" r:id="rId4"/>
    <sheet name="2604" sheetId="20" r:id="rId5"/>
    <sheet name="2605" sheetId="21" r:id="rId6"/>
    <sheet name="2606" sheetId="22" r:id="rId7"/>
    <sheet name="2607" sheetId="23" r:id="rId8"/>
    <sheet name="2608" sheetId="24" r:id="rId9"/>
    <sheet name="2609" sheetId="26" r:id="rId10"/>
    <sheet name="엠트론소급계산" sheetId="25" r:id="rId11"/>
    <sheet name="Sheet1" sheetId="18" r:id="rId12"/>
  </sheets>
  <definedNames>
    <definedName name="_xlnm._FilterDatabase" localSheetId="0" hidden="1">'2512'!$A$1:$M$650</definedName>
    <definedName name="_xlnm._FilterDatabase" localSheetId="1" hidden="1">'2601'!$A$1:$O$546</definedName>
    <definedName name="_xlnm._FilterDatabase" localSheetId="2" hidden="1">'2602'!$A$1:$M$664</definedName>
    <definedName name="_xlnm._FilterDatabase" localSheetId="3" hidden="1">'2603'!$A$1:$O$976</definedName>
    <definedName name="_xlnm._FilterDatabase" localSheetId="4" hidden="1">'2604'!$A$1:$Q$722</definedName>
    <definedName name="_xlnm._FilterDatabase" localSheetId="5" hidden="1">'2605'!$A$1:$N$638</definedName>
    <definedName name="_xlnm._FilterDatabase" localSheetId="6" hidden="1">'2606'!$A$1:$XFC$676</definedName>
    <definedName name="_xlnm._FilterDatabase" localSheetId="7" hidden="1">'2607'!$A$1:$M$670</definedName>
    <definedName name="_xlnm._FilterDatabase" localSheetId="8" hidden="1">'2608'!$A$1:$N$685</definedName>
    <definedName name="_xlnm._FilterDatabase" localSheetId="9" hidden="1">'2609'!$A$1:$M$658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31" i="26" l="1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11" i="26"/>
  <c r="H330" i="26" l="1"/>
  <c r="H623" i="26" l="1"/>
  <c r="H331" i="26" l="1"/>
  <c r="H620" i="26"/>
  <c r="H619" i="26"/>
  <c r="H621" i="26" s="1"/>
  <c r="H656" i="26" l="1"/>
  <c r="H655" i="26"/>
  <c r="H654" i="26"/>
  <c r="H653" i="26"/>
  <c r="H652" i="26"/>
  <c r="H651" i="26"/>
  <c r="H650" i="26"/>
  <c r="H649" i="26"/>
  <c r="H648" i="26"/>
  <c r="H647" i="26"/>
  <c r="H646" i="26"/>
  <c r="H645" i="26"/>
  <c r="H644" i="26"/>
  <c r="H514" i="26"/>
  <c r="H513" i="26"/>
  <c r="H512" i="26"/>
  <c r="H511" i="26"/>
  <c r="H510" i="26"/>
  <c r="H509" i="26"/>
  <c r="H508" i="26"/>
  <c r="H507" i="26"/>
  <c r="H506" i="26"/>
  <c r="H505" i="26"/>
  <c r="H504" i="26"/>
  <c r="H503" i="26"/>
  <c r="H502" i="26"/>
  <c r="H501" i="26"/>
  <c r="H500" i="26"/>
  <c r="H499" i="26"/>
  <c r="H498" i="26"/>
  <c r="H497" i="26"/>
  <c r="H496" i="26"/>
  <c r="H495" i="26"/>
  <c r="H494" i="26"/>
  <c r="H493" i="26"/>
  <c r="H492" i="26"/>
  <c r="H491" i="26"/>
  <c r="H490" i="26"/>
  <c r="H489" i="26"/>
  <c r="H488" i="26"/>
  <c r="H487" i="26"/>
  <c r="H486" i="26"/>
  <c r="H485" i="26"/>
  <c r="H484" i="26"/>
  <c r="H483" i="26"/>
  <c r="H482" i="26"/>
  <c r="H481" i="26"/>
  <c r="H480" i="26"/>
  <c r="H479" i="26"/>
  <c r="H478" i="26"/>
  <c r="H477" i="26"/>
  <c r="H476" i="26"/>
  <c r="H475" i="26"/>
  <c r="H474" i="26"/>
  <c r="H473" i="26"/>
  <c r="H472" i="26"/>
  <c r="H471" i="26"/>
  <c r="H470" i="26"/>
  <c r="H469" i="26"/>
  <c r="H468" i="26"/>
  <c r="H467" i="26"/>
  <c r="H466" i="26"/>
  <c r="H465" i="26"/>
  <c r="H464" i="26"/>
  <c r="H463" i="26"/>
  <c r="H462" i="26"/>
  <c r="H461" i="26"/>
  <c r="H460" i="26"/>
  <c r="H459" i="26"/>
  <c r="H458" i="26"/>
  <c r="H457" i="26"/>
  <c r="H456" i="26"/>
  <c r="H455" i="26"/>
  <c r="H454" i="26"/>
  <c r="H453" i="26"/>
  <c r="H452" i="26"/>
  <c r="H451" i="26"/>
  <c r="H450" i="26"/>
  <c r="H449" i="26"/>
  <c r="H448" i="26"/>
  <c r="H447" i="26"/>
  <c r="H446" i="26"/>
  <c r="H445" i="26"/>
  <c r="H444" i="26"/>
  <c r="H443" i="26"/>
  <c r="H442" i="26"/>
  <c r="H441" i="26"/>
  <c r="H440" i="26"/>
  <c r="H439" i="26"/>
  <c r="H438" i="26"/>
  <c r="H437" i="26"/>
  <c r="H436" i="26"/>
  <c r="H435" i="26"/>
  <c r="H434" i="26"/>
  <c r="H433" i="26"/>
  <c r="H657" i="26" l="1"/>
  <c r="H518" i="26"/>
  <c r="G629" i="26"/>
  <c r="G628" i="26"/>
  <c r="G627" i="26"/>
  <c r="G534" i="26"/>
  <c r="H534" i="26" s="1"/>
  <c r="G535" i="26"/>
  <c r="H535" i="26" s="1"/>
  <c r="G536" i="26"/>
  <c r="H536" i="26" s="1"/>
  <c r="G537" i="26"/>
  <c r="H537" i="26" s="1"/>
  <c r="G538" i="26"/>
  <c r="H538" i="26" s="1"/>
  <c r="G539" i="26"/>
  <c r="H539" i="26" s="1"/>
  <c r="G540" i="26"/>
  <c r="H540" i="26" s="1"/>
  <c r="G541" i="26"/>
  <c r="H541" i="26" s="1"/>
  <c r="G542" i="26"/>
  <c r="H542" i="26" s="1"/>
  <c r="G543" i="26"/>
  <c r="H543" i="26" s="1"/>
  <c r="G544" i="26"/>
  <c r="H544" i="26" s="1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H559" i="26" s="1"/>
  <c r="G560" i="26"/>
  <c r="H560" i="26" s="1"/>
  <c r="G561" i="26"/>
  <c r="H561" i="26" s="1"/>
  <c r="G562" i="26"/>
  <c r="H562" i="26" s="1"/>
  <c r="G563" i="26"/>
  <c r="H563" i="26" s="1"/>
  <c r="G564" i="26"/>
  <c r="H564" i="26" s="1"/>
  <c r="G565" i="26"/>
  <c r="H565" i="26" s="1"/>
  <c r="G566" i="26"/>
  <c r="H566" i="26" s="1"/>
  <c r="G567" i="26"/>
  <c r="H567" i="26" s="1"/>
  <c r="G568" i="26"/>
  <c r="H568" i="26" s="1"/>
  <c r="G569" i="26"/>
  <c r="H569" i="26" s="1"/>
  <c r="G570" i="26"/>
  <c r="H570" i="26" s="1"/>
  <c r="G571" i="26"/>
  <c r="H571" i="26" s="1"/>
  <c r="G572" i="26"/>
  <c r="H572" i="26" s="1"/>
  <c r="G573" i="26"/>
  <c r="H573" i="26" s="1"/>
  <c r="G574" i="26"/>
  <c r="H574" i="26" s="1"/>
  <c r="G575" i="26"/>
  <c r="H575" i="26" s="1"/>
  <c r="G576" i="26"/>
  <c r="H576" i="26" s="1"/>
  <c r="G577" i="26"/>
  <c r="H577" i="26" s="1"/>
  <c r="G578" i="26"/>
  <c r="H578" i="26" s="1"/>
  <c r="G579" i="26"/>
  <c r="H579" i="26" s="1"/>
  <c r="G580" i="26"/>
  <c r="H580" i="26" s="1"/>
  <c r="G581" i="26"/>
  <c r="H581" i="26" s="1"/>
  <c r="G582" i="26"/>
  <c r="H582" i="26" s="1"/>
  <c r="G583" i="26"/>
  <c r="H583" i="26" s="1"/>
  <c r="G584" i="26"/>
  <c r="H584" i="26" s="1"/>
  <c r="G585" i="26"/>
  <c r="H585" i="26" s="1"/>
  <c r="G586" i="26"/>
  <c r="H586" i="26" s="1"/>
  <c r="G587" i="26"/>
  <c r="H587" i="26" s="1"/>
  <c r="G588" i="26"/>
  <c r="H588" i="26" s="1"/>
  <c r="G589" i="26"/>
  <c r="H589" i="26" s="1"/>
  <c r="G590" i="26"/>
  <c r="H590" i="26" s="1"/>
  <c r="G591" i="26"/>
  <c r="H591" i="26" s="1"/>
  <c r="G592" i="26"/>
  <c r="H592" i="26" s="1"/>
  <c r="G593" i="26"/>
  <c r="H593" i="26" s="1"/>
  <c r="G594" i="26"/>
  <c r="H594" i="26" s="1"/>
  <c r="G595" i="26"/>
  <c r="H595" i="26" s="1"/>
  <c r="G596" i="26"/>
  <c r="H596" i="26" s="1"/>
  <c r="G597" i="26"/>
  <c r="H597" i="26" s="1"/>
  <c r="G598" i="26"/>
  <c r="H598" i="26" s="1"/>
  <c r="G599" i="26"/>
  <c r="H599" i="26" s="1"/>
  <c r="G600" i="26"/>
  <c r="H600" i="26" s="1"/>
  <c r="G601" i="26"/>
  <c r="H601" i="26" s="1"/>
  <c r="G602" i="26"/>
  <c r="H602" i="26" s="1"/>
  <c r="G603" i="26"/>
  <c r="H603" i="26" s="1"/>
  <c r="G604" i="26"/>
  <c r="H604" i="26" s="1"/>
  <c r="G605" i="26"/>
  <c r="H605" i="26" s="1"/>
  <c r="G606" i="26"/>
  <c r="H606" i="26" s="1"/>
  <c r="G607" i="26"/>
  <c r="H607" i="26" s="1"/>
  <c r="G608" i="26"/>
  <c r="H608" i="26" s="1"/>
  <c r="G609" i="26"/>
  <c r="H609" i="26" s="1"/>
  <c r="G610" i="26"/>
  <c r="H610" i="26" s="1"/>
  <c r="G611" i="26"/>
  <c r="H611" i="26" s="1"/>
  <c r="G612" i="26"/>
  <c r="H612" i="26" s="1"/>
  <c r="G613" i="26"/>
  <c r="H613" i="26" s="1"/>
  <c r="G614" i="26"/>
  <c r="H614" i="26" s="1"/>
  <c r="G615" i="26"/>
  <c r="H615" i="26" s="1"/>
  <c r="G616" i="26"/>
  <c r="H616" i="26" s="1"/>
  <c r="G617" i="26"/>
  <c r="H617" i="26" s="1"/>
  <c r="G533" i="26"/>
  <c r="H533" i="26" s="1"/>
  <c r="H382" i="26"/>
  <c r="H381" i="26"/>
  <c r="H380" i="26"/>
  <c r="H379" i="26"/>
  <c r="H378" i="26"/>
  <c r="H377" i="26"/>
  <c r="H376" i="26"/>
  <c r="H375" i="26"/>
  <c r="H374" i="26"/>
  <c r="H373" i="26"/>
  <c r="H372" i="26"/>
  <c r="H371" i="26"/>
  <c r="H370" i="26"/>
  <c r="H369" i="26"/>
  <c r="H368" i="26"/>
  <c r="H367" i="26"/>
  <c r="H365" i="26"/>
  <c r="H364" i="26"/>
  <c r="H363" i="26"/>
  <c r="H362" i="26"/>
  <c r="H361" i="26"/>
  <c r="H360" i="26"/>
  <c r="H359" i="26"/>
  <c r="H358" i="26"/>
  <c r="H357" i="26"/>
  <c r="H356" i="26"/>
  <c r="H355" i="26"/>
  <c r="H354" i="26"/>
  <c r="H353" i="26"/>
  <c r="H352" i="26"/>
  <c r="H351" i="26"/>
  <c r="H350" i="26"/>
  <c r="H349" i="26"/>
  <c r="H348" i="26"/>
  <c r="H347" i="26"/>
  <c r="H346" i="26"/>
  <c r="H345" i="26"/>
  <c r="H344" i="26"/>
  <c r="H343" i="26"/>
  <c r="H342" i="26"/>
  <c r="H341" i="26"/>
  <c r="H340" i="26"/>
  <c r="H339" i="26"/>
  <c r="H338" i="26"/>
  <c r="H337" i="26"/>
  <c r="H336" i="26"/>
  <c r="H383" i="26" l="1"/>
  <c r="H642" i="26" l="1"/>
  <c r="H641" i="26"/>
  <c r="H640" i="26"/>
  <c r="H639" i="26"/>
  <c r="H638" i="26"/>
  <c r="H637" i="26"/>
  <c r="H636" i="26"/>
  <c r="H635" i="26"/>
  <c r="H634" i="26"/>
  <c r="H633" i="26"/>
  <c r="H632" i="26"/>
  <c r="H631" i="26"/>
  <c r="H643" i="26" l="1"/>
  <c r="H622" i="26"/>
  <c r="H626" i="26" s="1"/>
  <c r="H530" i="26"/>
  <c r="H132" i="26"/>
  <c r="H131" i="26"/>
  <c r="H130" i="26"/>
  <c r="H129" i="26"/>
  <c r="H128" i="26"/>
  <c r="H127" i="26"/>
  <c r="H126" i="26"/>
  <c r="H125" i="26"/>
  <c r="H124" i="26"/>
  <c r="H123" i="26"/>
  <c r="H122" i="26"/>
  <c r="H121" i="26"/>
  <c r="H120" i="26"/>
  <c r="H119" i="26"/>
  <c r="H118" i="26"/>
  <c r="H117" i="26"/>
  <c r="H116" i="26"/>
  <c r="H115" i="26"/>
  <c r="H114" i="26"/>
  <c r="H113" i="26"/>
  <c r="H112" i="26"/>
  <c r="H111" i="26"/>
  <c r="H110" i="26"/>
  <c r="H109" i="26"/>
  <c r="H108" i="26"/>
  <c r="H107" i="26"/>
  <c r="H136" i="26" l="1"/>
  <c r="H521" i="26"/>
  <c r="H40" i="26"/>
  <c r="H37" i="26"/>
  <c r="H47" i="26"/>
  <c r="H29" i="26"/>
  <c r="H104" i="26" l="1"/>
  <c r="H103" i="26"/>
  <c r="H102" i="26"/>
  <c r="H8" i="26" l="1"/>
  <c r="H9" i="26"/>
  <c r="H10" i="26"/>
  <c r="H11" i="26"/>
  <c r="H12" i="26"/>
  <c r="H13" i="26"/>
  <c r="H14" i="26"/>
  <c r="H15" i="26"/>
  <c r="H5" i="26"/>
  <c r="H25" i="26"/>
  <c r="H24" i="26"/>
  <c r="H23" i="26"/>
  <c r="H22" i="26"/>
  <c r="I26" i="26" s="1"/>
  <c r="F519" i="26"/>
  <c r="H519" i="26" s="1"/>
  <c r="H99" i="26" l="1"/>
  <c r="H42" i="26"/>
  <c r="H39" i="26"/>
  <c r="H36" i="26"/>
  <c r="H35" i="26"/>
  <c r="H34" i="26"/>
  <c r="H33" i="26"/>
  <c r="H32" i="26"/>
  <c r="H31" i="26"/>
  <c r="H30" i="26"/>
  <c r="H87" i="26"/>
  <c r="H86" i="26"/>
  <c r="H28" i="26"/>
  <c r="F7" i="26"/>
  <c r="H7" i="26" s="1"/>
  <c r="F6" i="26"/>
  <c r="H6" i="26" s="1"/>
  <c r="H629" i="26"/>
  <c r="H628" i="26"/>
  <c r="H627" i="26"/>
  <c r="H558" i="26"/>
  <c r="H557" i="26"/>
  <c r="H556" i="26"/>
  <c r="H555" i="26"/>
  <c r="H554" i="26"/>
  <c r="H553" i="26"/>
  <c r="H552" i="26"/>
  <c r="H551" i="26"/>
  <c r="H550" i="26"/>
  <c r="H549" i="26"/>
  <c r="H548" i="26"/>
  <c r="H547" i="26"/>
  <c r="H546" i="26"/>
  <c r="H545" i="26"/>
  <c r="H529" i="26"/>
  <c r="H527" i="26"/>
  <c r="H528" i="26" s="1"/>
  <c r="F525" i="26"/>
  <c r="H524" i="26"/>
  <c r="H523" i="26"/>
  <c r="H520" i="26"/>
  <c r="H525" i="26" s="1"/>
  <c r="H409" i="26"/>
  <c r="H408" i="26"/>
  <c r="H407" i="26"/>
  <c r="H406" i="26"/>
  <c r="H405" i="26"/>
  <c r="H404" i="26"/>
  <c r="H403" i="26"/>
  <c r="H402" i="26"/>
  <c r="H401" i="26"/>
  <c r="H400" i="26"/>
  <c r="H399" i="26"/>
  <c r="H398" i="26"/>
  <c r="H397" i="26"/>
  <c r="H396" i="26"/>
  <c r="H395" i="26"/>
  <c r="H394" i="26"/>
  <c r="H393" i="26"/>
  <c r="H392" i="26"/>
  <c r="H391" i="26"/>
  <c r="H390" i="26"/>
  <c r="H389" i="26"/>
  <c r="H388" i="26"/>
  <c r="H387" i="26"/>
  <c r="H386" i="26"/>
  <c r="H385" i="26"/>
  <c r="H384" i="26"/>
  <c r="H334" i="26"/>
  <c r="H332" i="26"/>
  <c r="H333" i="26" s="1"/>
  <c r="H101" i="26"/>
  <c r="H100" i="26"/>
  <c r="H94" i="26"/>
  <c r="H93" i="26"/>
  <c r="H92" i="26"/>
  <c r="H91" i="26"/>
  <c r="H90" i="26"/>
  <c r="H89" i="26"/>
  <c r="H88" i="26"/>
  <c r="H83" i="26"/>
  <c r="H82" i="26"/>
  <c r="H81" i="26"/>
  <c r="H80" i="26"/>
  <c r="H79" i="26"/>
  <c r="H78" i="26"/>
  <c r="H77" i="26"/>
  <c r="H76" i="26"/>
  <c r="H75" i="26"/>
  <c r="H74" i="26"/>
  <c r="H73" i="26"/>
  <c r="H72" i="26"/>
  <c r="H71" i="26"/>
  <c r="H70" i="26"/>
  <c r="H69" i="26"/>
  <c r="H68" i="26"/>
  <c r="H67" i="26"/>
  <c r="H66" i="26"/>
  <c r="H65" i="26"/>
  <c r="H64" i="26"/>
  <c r="H63" i="26"/>
  <c r="H62" i="26"/>
  <c r="H61" i="26"/>
  <c r="H60" i="26"/>
  <c r="H59" i="26"/>
  <c r="H58" i="26"/>
  <c r="H57" i="26"/>
  <c r="H56" i="26"/>
  <c r="H55" i="26"/>
  <c r="H54" i="26"/>
  <c r="H52" i="26"/>
  <c r="H51" i="26"/>
  <c r="H50" i="26"/>
  <c r="H49" i="26"/>
  <c r="H48" i="26"/>
  <c r="H46" i="26"/>
  <c r="H45" i="26"/>
  <c r="H44" i="26"/>
  <c r="H85" i="26"/>
  <c r="H43" i="26"/>
  <c r="H21" i="26"/>
  <c r="H20" i="26"/>
  <c r="H19" i="26"/>
  <c r="H27" i="26" s="1"/>
  <c r="H17" i="26"/>
  <c r="H3" i="26"/>
  <c r="H2" i="26"/>
  <c r="H475" i="22"/>
  <c r="H482" i="22"/>
  <c r="H487" i="23"/>
  <c r="H630" i="26" l="1"/>
  <c r="H618" i="26"/>
  <c r="I618" i="26" s="1"/>
  <c r="H98" i="26"/>
  <c r="H410" i="26"/>
  <c r="H106" i="26"/>
  <c r="H18" i="26"/>
  <c r="J18" i="26" s="1"/>
  <c r="H4" i="26"/>
  <c r="H658" i="26" s="1"/>
  <c r="H532" i="26"/>
  <c r="G641" i="24"/>
  <c r="G640" i="24"/>
  <c r="G606" i="24"/>
  <c r="G607" i="24"/>
  <c r="G608" i="24"/>
  <c r="G609" i="24"/>
  <c r="G610" i="24"/>
  <c r="G611" i="24"/>
  <c r="G612" i="24"/>
  <c r="G613" i="24"/>
  <c r="G614" i="24"/>
  <c r="G615" i="24"/>
  <c r="G616" i="24"/>
  <c r="G617" i="24"/>
  <c r="G512" i="24"/>
  <c r="H512" i="24" s="1"/>
  <c r="G513" i="24"/>
  <c r="H513" i="24" s="1"/>
  <c r="G514" i="24"/>
  <c r="H514" i="24" s="1"/>
  <c r="G515" i="24"/>
  <c r="H515" i="24" s="1"/>
  <c r="G516" i="24"/>
  <c r="H516" i="24" s="1"/>
  <c r="G517" i="24"/>
  <c r="H517" i="24" s="1"/>
  <c r="G518" i="24"/>
  <c r="H518" i="24" s="1"/>
  <c r="G519" i="24"/>
  <c r="H519" i="24" s="1"/>
  <c r="G520" i="24"/>
  <c r="H520" i="24" s="1"/>
  <c r="G521" i="24"/>
  <c r="H521" i="24" s="1"/>
  <c r="G522" i="24"/>
  <c r="H522" i="24" s="1"/>
  <c r="G523" i="24"/>
  <c r="H523" i="24" s="1"/>
  <c r="G524" i="24"/>
  <c r="H524" i="24" s="1"/>
  <c r="G525" i="24"/>
  <c r="H525" i="24" s="1"/>
  <c r="G526" i="24"/>
  <c r="H526" i="24" s="1"/>
  <c r="G527" i="24"/>
  <c r="H527" i="24" s="1"/>
  <c r="G528" i="24"/>
  <c r="H528" i="24" s="1"/>
  <c r="G529" i="24"/>
  <c r="H529" i="24" s="1"/>
  <c r="G530" i="24"/>
  <c r="H530" i="24" s="1"/>
  <c r="G531" i="24"/>
  <c r="H531" i="24" s="1"/>
  <c r="G532" i="24"/>
  <c r="H532" i="24" s="1"/>
  <c r="G533" i="24"/>
  <c r="H533" i="24" s="1"/>
  <c r="G534" i="24"/>
  <c r="H534" i="24" s="1"/>
  <c r="G535" i="24"/>
  <c r="H535" i="24" s="1"/>
  <c r="G536" i="24"/>
  <c r="H536" i="24" s="1"/>
  <c r="G537" i="24"/>
  <c r="H537" i="24" s="1"/>
  <c r="G538" i="24"/>
  <c r="H538" i="24" s="1"/>
  <c r="G539" i="24"/>
  <c r="H539" i="24" s="1"/>
  <c r="G540" i="24"/>
  <c r="H540" i="24" s="1"/>
  <c r="G541" i="24"/>
  <c r="H541" i="24" s="1"/>
  <c r="G542" i="24"/>
  <c r="H542" i="24" s="1"/>
  <c r="G543" i="24"/>
  <c r="H543" i="24" s="1"/>
  <c r="G544" i="24"/>
  <c r="H544" i="24" s="1"/>
  <c r="G545" i="24"/>
  <c r="H545" i="24" s="1"/>
  <c r="G546" i="24"/>
  <c r="H546" i="24" s="1"/>
  <c r="G547" i="24"/>
  <c r="H547" i="24" s="1"/>
  <c r="G548" i="24"/>
  <c r="H548" i="24" s="1"/>
  <c r="G549" i="24"/>
  <c r="H549" i="24" s="1"/>
  <c r="G550" i="24"/>
  <c r="H550" i="24" s="1"/>
  <c r="G551" i="24"/>
  <c r="H551" i="24" s="1"/>
  <c r="G552" i="24"/>
  <c r="H552" i="24" s="1"/>
  <c r="G553" i="24"/>
  <c r="H553" i="24" s="1"/>
  <c r="G554" i="24"/>
  <c r="H554" i="24" s="1"/>
  <c r="G555" i="24"/>
  <c r="H555" i="24" s="1"/>
  <c r="G556" i="24"/>
  <c r="H556" i="24" s="1"/>
  <c r="G557" i="24"/>
  <c r="H557" i="24" s="1"/>
  <c r="G558" i="24"/>
  <c r="H558" i="24" s="1"/>
  <c r="G559" i="24"/>
  <c r="H559" i="24" s="1"/>
  <c r="G560" i="24"/>
  <c r="H560" i="24" s="1"/>
  <c r="G561" i="24"/>
  <c r="H561" i="24" s="1"/>
  <c r="G562" i="24"/>
  <c r="H562" i="24" s="1"/>
  <c r="G563" i="24"/>
  <c r="H563" i="24" s="1"/>
  <c r="G564" i="24"/>
  <c r="H564" i="24" s="1"/>
  <c r="G565" i="24"/>
  <c r="H565" i="24" s="1"/>
  <c r="G566" i="24"/>
  <c r="H566" i="24" s="1"/>
  <c r="G567" i="24"/>
  <c r="H567" i="24" s="1"/>
  <c r="G568" i="24"/>
  <c r="H568" i="24" s="1"/>
  <c r="G569" i="24"/>
  <c r="H569" i="24" s="1"/>
  <c r="G570" i="24"/>
  <c r="H570" i="24" s="1"/>
  <c r="G571" i="24"/>
  <c r="H571" i="24" s="1"/>
  <c r="G572" i="24"/>
  <c r="H572" i="24" s="1"/>
  <c r="G573" i="24"/>
  <c r="H573" i="24" s="1"/>
  <c r="G574" i="24"/>
  <c r="H574" i="24" s="1"/>
  <c r="G575" i="24"/>
  <c r="H575" i="24" s="1"/>
  <c r="G576" i="24"/>
  <c r="H576" i="24" s="1"/>
  <c r="G577" i="24"/>
  <c r="H577" i="24" s="1"/>
  <c r="G578" i="24"/>
  <c r="H578" i="24" s="1"/>
  <c r="G579" i="24"/>
  <c r="H579" i="24" s="1"/>
  <c r="G580" i="24"/>
  <c r="H580" i="24" s="1"/>
  <c r="G581" i="24"/>
  <c r="H581" i="24" s="1"/>
  <c r="G582" i="24"/>
  <c r="H582" i="24" s="1"/>
  <c r="G583" i="24"/>
  <c r="H583" i="24" s="1"/>
  <c r="G584" i="24"/>
  <c r="H584" i="24" s="1"/>
  <c r="G585" i="24"/>
  <c r="H585" i="24" s="1"/>
  <c r="G586" i="24"/>
  <c r="H586" i="24" s="1"/>
  <c r="G587" i="24"/>
  <c r="H587" i="24" s="1"/>
  <c r="G588" i="24"/>
  <c r="H588" i="24" s="1"/>
  <c r="G589" i="24"/>
  <c r="H589" i="24" s="1"/>
  <c r="G590" i="24"/>
  <c r="H590" i="24" s="1"/>
  <c r="G591" i="24"/>
  <c r="H591" i="24" s="1"/>
  <c r="G592" i="24"/>
  <c r="H592" i="24" s="1"/>
  <c r="G593" i="24"/>
  <c r="H593" i="24" s="1"/>
  <c r="G594" i="24"/>
  <c r="H594" i="24" s="1"/>
  <c r="G595" i="24"/>
  <c r="H595" i="24" s="1"/>
  <c r="G596" i="24"/>
  <c r="H596" i="24" s="1"/>
  <c r="G597" i="24"/>
  <c r="H597" i="24" s="1"/>
  <c r="G598" i="24"/>
  <c r="H598" i="24" s="1"/>
  <c r="G599" i="24"/>
  <c r="H599" i="24" s="1"/>
  <c r="G600" i="24"/>
  <c r="H600" i="24" s="1"/>
  <c r="G601" i="24"/>
  <c r="H601" i="24" s="1"/>
  <c r="G602" i="24"/>
  <c r="H602" i="24" s="1"/>
  <c r="G603" i="24"/>
  <c r="H603" i="24" s="1"/>
  <c r="G604" i="24"/>
  <c r="H604" i="24" s="1"/>
  <c r="G605" i="24"/>
  <c r="H605" i="24" s="1"/>
  <c r="G511" i="24"/>
  <c r="H511" i="24" s="1"/>
  <c r="H621" i="24"/>
  <c r="H620" i="24"/>
  <c r="H619" i="24"/>
  <c r="H624" i="24" s="1"/>
  <c r="H618" i="24" l="1"/>
  <c r="H636" i="24"/>
  <c r="H635" i="24"/>
  <c r="H634" i="24"/>
  <c r="H633" i="24"/>
  <c r="H632" i="24"/>
  <c r="H631" i="24"/>
  <c r="H630" i="24"/>
  <c r="H629" i="24"/>
  <c r="H628" i="24"/>
  <c r="H639" i="24" s="1"/>
  <c r="G508" i="24"/>
  <c r="H508" i="24" s="1"/>
  <c r="L9" i="25"/>
  <c r="K9" i="25"/>
  <c r="J9" i="25"/>
  <c r="K8" i="25"/>
  <c r="K7" i="25"/>
  <c r="J4" i="25"/>
  <c r="J5" i="25"/>
  <c r="J6" i="25"/>
  <c r="J3" i="25"/>
  <c r="I4" i="25"/>
  <c r="I5" i="25"/>
  <c r="I6" i="25"/>
  <c r="I7" i="25"/>
  <c r="I8" i="25"/>
  <c r="I3" i="25"/>
  <c r="H504" i="24"/>
  <c r="H503" i="24"/>
  <c r="H502" i="24"/>
  <c r="H501" i="24"/>
  <c r="H500" i="24"/>
  <c r="H499" i="24"/>
  <c r="H498" i="24"/>
  <c r="H497" i="24"/>
  <c r="H496" i="24"/>
  <c r="H495" i="24"/>
  <c r="H494" i="24"/>
  <c r="H493" i="24"/>
  <c r="H492" i="24"/>
  <c r="H491" i="24"/>
  <c r="H490" i="24"/>
  <c r="H489" i="24"/>
  <c r="H488" i="24"/>
  <c r="H487" i="24"/>
  <c r="H486" i="24"/>
  <c r="H485" i="24"/>
  <c r="H484" i="24"/>
  <c r="H483" i="24"/>
  <c r="H482" i="24"/>
  <c r="H481" i="24"/>
  <c r="H480" i="24"/>
  <c r="H479" i="24"/>
  <c r="H478" i="24"/>
  <c r="H477" i="24"/>
  <c r="H476" i="24"/>
  <c r="H475" i="24"/>
  <c r="H474" i="24"/>
  <c r="H473" i="24"/>
  <c r="H472" i="24"/>
  <c r="H471" i="24"/>
  <c r="H470" i="24"/>
  <c r="H469" i="24"/>
  <c r="H468" i="24"/>
  <c r="H467" i="24"/>
  <c r="H466" i="24"/>
  <c r="H465" i="24"/>
  <c r="H464" i="24"/>
  <c r="H463" i="24"/>
  <c r="H462" i="24"/>
  <c r="H461" i="24"/>
  <c r="H460" i="24"/>
  <c r="H459" i="24"/>
  <c r="H458" i="24"/>
  <c r="H457" i="24"/>
  <c r="H456" i="24"/>
  <c r="H455" i="24"/>
  <c r="H454" i="24"/>
  <c r="H453" i="24"/>
  <c r="H452" i="24"/>
  <c r="H451" i="24"/>
  <c r="H450" i="24"/>
  <c r="H449" i="24"/>
  <c r="H448" i="24"/>
  <c r="H447" i="24"/>
  <c r="H446" i="24"/>
  <c r="H445" i="24"/>
  <c r="H444" i="24"/>
  <c r="H443" i="24"/>
  <c r="H442" i="24"/>
  <c r="H441" i="24"/>
  <c r="H440" i="24"/>
  <c r="H439" i="24"/>
  <c r="H438" i="24"/>
  <c r="H437" i="24"/>
  <c r="H436" i="24"/>
  <c r="H435" i="24"/>
  <c r="H434" i="24"/>
  <c r="H433" i="24"/>
  <c r="H432" i="24"/>
  <c r="H431" i="24"/>
  <c r="H430" i="24"/>
  <c r="H429" i="24"/>
  <c r="H428" i="24"/>
  <c r="H427" i="24"/>
  <c r="H426" i="24"/>
  <c r="H425" i="24"/>
  <c r="H424" i="24"/>
  <c r="H423" i="24"/>
  <c r="H422" i="24"/>
  <c r="H506" i="24"/>
  <c r="H507" i="24"/>
  <c r="F509" i="24"/>
  <c r="H509" i="24" s="1"/>
  <c r="H421" i="24"/>
  <c r="H420" i="24"/>
  <c r="H419" i="24"/>
  <c r="H418" i="24"/>
  <c r="H417" i="24"/>
  <c r="H416" i="24"/>
  <c r="H415" i="24"/>
  <c r="H414" i="24"/>
  <c r="H413" i="24"/>
  <c r="H412" i="24"/>
  <c r="H411" i="24"/>
  <c r="H410" i="24"/>
  <c r="H409" i="24"/>
  <c r="H408" i="24"/>
  <c r="H510" i="24" l="1"/>
  <c r="H505" i="24"/>
  <c r="F510" i="24"/>
  <c r="H333" i="24" l="1"/>
  <c r="H383" i="24"/>
  <c r="H382" i="24"/>
  <c r="H380" i="24"/>
  <c r="H379" i="24"/>
  <c r="H378" i="24"/>
  <c r="H377" i="24"/>
  <c r="H376" i="24"/>
  <c r="H375" i="24"/>
  <c r="H374" i="24"/>
  <c r="H373" i="24"/>
  <c r="H372" i="24"/>
  <c r="H371" i="24"/>
  <c r="H370" i="24"/>
  <c r="H369" i="24"/>
  <c r="H368" i="24"/>
  <c r="H367" i="24"/>
  <c r="H361" i="24"/>
  <c r="H360" i="24"/>
  <c r="H359" i="24"/>
  <c r="H358" i="24"/>
  <c r="H357" i="24"/>
  <c r="H356" i="24"/>
  <c r="H355" i="24"/>
  <c r="H354" i="24"/>
  <c r="H353" i="24"/>
  <c r="H352" i="24"/>
  <c r="H351" i="24"/>
  <c r="H364" i="24"/>
  <c r="H363" i="24"/>
  <c r="H342" i="24"/>
  <c r="H362" i="24"/>
  <c r="H350" i="24"/>
  <c r="H349" i="24"/>
  <c r="H341" i="24"/>
  <c r="H339" i="24"/>
  <c r="H338" i="24"/>
  <c r="H340" i="24"/>
  <c r="H366" i="24"/>
  <c r="H348" i="24"/>
  <c r="H347" i="24"/>
  <c r="H346" i="24"/>
  <c r="H345" i="24"/>
  <c r="H365" i="24"/>
  <c r="H344" i="24"/>
  <c r="H343" i="24"/>
  <c r="H384" i="24" l="1"/>
  <c r="H653" i="24"/>
  <c r="H652" i="24"/>
  <c r="H651" i="24"/>
  <c r="H650" i="24"/>
  <c r="H649" i="24"/>
  <c r="H648" i="24"/>
  <c r="H647" i="24"/>
  <c r="H646" i="24"/>
  <c r="H645" i="24"/>
  <c r="H644" i="24"/>
  <c r="H643" i="24"/>
  <c r="H654" i="24" s="1"/>
  <c r="H135" i="24" l="1"/>
  <c r="H134" i="24"/>
  <c r="H133" i="24"/>
  <c r="H132" i="24"/>
  <c r="H131" i="24"/>
  <c r="H130" i="24"/>
  <c r="H129" i="24"/>
  <c r="H128" i="24"/>
  <c r="H127" i="24"/>
  <c r="H126" i="24"/>
  <c r="H125" i="24"/>
  <c r="H124" i="24"/>
  <c r="H123" i="24"/>
  <c r="H122" i="24"/>
  <c r="H121" i="24"/>
  <c r="H120" i="24"/>
  <c r="H119" i="24"/>
  <c r="H118" i="24"/>
  <c r="H117" i="24"/>
  <c r="H116" i="24"/>
  <c r="H115" i="24"/>
  <c r="H114" i="24"/>
  <c r="H113" i="24"/>
  <c r="H112" i="24"/>
  <c r="H111" i="24"/>
  <c r="H110" i="24"/>
  <c r="H109" i="24"/>
  <c r="H108" i="24"/>
  <c r="H107" i="24"/>
  <c r="H106" i="24"/>
  <c r="H105" i="24"/>
  <c r="H104" i="24"/>
  <c r="H103" i="24"/>
  <c r="H102" i="24"/>
  <c r="H101" i="24"/>
  <c r="H100" i="24"/>
  <c r="H99" i="24"/>
  <c r="H98" i="24"/>
  <c r="H97" i="24"/>
  <c r="H136" i="24" l="1"/>
  <c r="H67" i="24"/>
  <c r="H66" i="24"/>
  <c r="H7" i="24" l="1"/>
  <c r="H8" i="24"/>
  <c r="H9" i="24"/>
  <c r="H10" i="24"/>
  <c r="H5" i="24"/>
  <c r="H6" i="24"/>
  <c r="H16" i="24" l="1"/>
  <c r="H87" i="24"/>
  <c r="H86" i="24"/>
  <c r="H85" i="24"/>
  <c r="H335" i="24"/>
  <c r="H334" i="24"/>
  <c r="H94" i="24"/>
  <c r="H93" i="24"/>
  <c r="H92" i="24"/>
  <c r="H91" i="24"/>
  <c r="H90" i="24"/>
  <c r="H84" i="24"/>
  <c r="H89" i="24" s="1"/>
  <c r="H70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69" i="24"/>
  <c r="H12" i="24"/>
  <c r="H3" i="24"/>
  <c r="H2" i="24"/>
  <c r="H15" i="24" s="1"/>
  <c r="M673" i="24"/>
  <c r="N673" i="24" s="1"/>
  <c r="H641" i="24"/>
  <c r="H640" i="24"/>
  <c r="H626" i="24"/>
  <c r="H625" i="24"/>
  <c r="H615" i="24"/>
  <c r="H610" i="24"/>
  <c r="H614" i="24"/>
  <c r="H613" i="24"/>
  <c r="H612" i="24"/>
  <c r="H611" i="24"/>
  <c r="H617" i="24"/>
  <c r="H607" i="24"/>
  <c r="H606" i="24"/>
  <c r="H609" i="24"/>
  <c r="H608" i="24"/>
  <c r="H616" i="24"/>
  <c r="H406" i="24"/>
  <c r="H405" i="24"/>
  <c r="H404" i="24"/>
  <c r="H403" i="24"/>
  <c r="H402" i="24"/>
  <c r="H401" i="24"/>
  <c r="H400" i="24"/>
  <c r="H399" i="24"/>
  <c r="H398" i="24"/>
  <c r="H397" i="24"/>
  <c r="H396" i="24"/>
  <c r="H395" i="24"/>
  <c r="H394" i="24"/>
  <c r="H393" i="24"/>
  <c r="H392" i="24"/>
  <c r="H391" i="24"/>
  <c r="H390" i="24"/>
  <c r="H389" i="24"/>
  <c r="H388" i="24"/>
  <c r="H387" i="24"/>
  <c r="H386" i="24"/>
  <c r="H385" i="24"/>
  <c r="H336" i="24"/>
  <c r="H332" i="24"/>
  <c r="H331" i="24"/>
  <c r="H330" i="24"/>
  <c r="H329" i="24"/>
  <c r="H328" i="24"/>
  <c r="H327" i="24"/>
  <c r="H326" i="24"/>
  <c r="H325" i="24"/>
  <c r="H324" i="24"/>
  <c r="H323" i="24"/>
  <c r="H322" i="24"/>
  <c r="H321" i="24"/>
  <c r="H320" i="24"/>
  <c r="H138" i="24"/>
  <c r="H137" i="24"/>
  <c r="H88" i="24"/>
  <c r="F83" i="24"/>
  <c r="H82" i="24"/>
  <c r="H81" i="24"/>
  <c r="H80" i="24"/>
  <c r="H79" i="24"/>
  <c r="H78" i="24"/>
  <c r="H77" i="24"/>
  <c r="H76" i="24"/>
  <c r="H75" i="24"/>
  <c r="H74" i="24"/>
  <c r="H73" i="24"/>
  <c r="H72" i="24"/>
  <c r="H71" i="24"/>
  <c r="H65" i="24"/>
  <c r="H64" i="24"/>
  <c r="H63" i="24"/>
  <c r="H61" i="24"/>
  <c r="H60" i="24"/>
  <c r="H59" i="24"/>
  <c r="H58" i="24"/>
  <c r="H57" i="24"/>
  <c r="H56" i="24"/>
  <c r="H55" i="24"/>
  <c r="H54" i="24"/>
  <c r="H53" i="24"/>
  <c r="H52" i="24"/>
  <c r="H51" i="24"/>
  <c r="H50" i="24"/>
  <c r="H49" i="24"/>
  <c r="H48" i="24"/>
  <c r="H47" i="24"/>
  <c r="H46" i="24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17" i="24"/>
  <c r="F14" i="24"/>
  <c r="H14" i="24" s="1"/>
  <c r="F13" i="24"/>
  <c r="H13" i="24" s="1"/>
  <c r="H4" i="24"/>
  <c r="H642" i="24" l="1"/>
  <c r="H83" i="24"/>
  <c r="H18" i="24"/>
  <c r="H337" i="24"/>
  <c r="H407" i="24"/>
  <c r="H96" i="24"/>
  <c r="H139" i="24"/>
  <c r="H655" i="24"/>
  <c r="H627" i="24"/>
  <c r="M7" i="23" l="1"/>
  <c r="H596" i="23"/>
  <c r="H597" i="23" s="1"/>
  <c r="H607" i="23"/>
  <c r="H606" i="23"/>
  <c r="H605" i="23"/>
  <c r="H604" i="23"/>
  <c r="H603" i="23"/>
  <c r="H602" i="23"/>
  <c r="H601" i="23"/>
  <c r="H600" i="23"/>
  <c r="H599" i="23"/>
  <c r="H598" i="23"/>
  <c r="H609" i="23" l="1"/>
  <c r="H594" i="23"/>
  <c r="H595" i="23" s="1"/>
  <c r="G614" i="23"/>
  <c r="G615" i="23"/>
  <c r="G613" i="23"/>
  <c r="G494" i="23" l="1"/>
  <c r="G495" i="23"/>
  <c r="G496" i="23"/>
  <c r="G497" i="23"/>
  <c r="G498" i="23"/>
  <c r="G499" i="23"/>
  <c r="G500" i="23"/>
  <c r="G501" i="23"/>
  <c r="G502" i="23"/>
  <c r="G503" i="23"/>
  <c r="G504" i="23"/>
  <c r="G505" i="23"/>
  <c r="G506" i="23"/>
  <c r="G507" i="23"/>
  <c r="G508" i="23"/>
  <c r="H508" i="23" s="1"/>
  <c r="G509" i="23"/>
  <c r="H509" i="23" s="1"/>
  <c r="G510" i="23"/>
  <c r="H510" i="23" s="1"/>
  <c r="G511" i="23"/>
  <c r="H511" i="23" s="1"/>
  <c r="G512" i="23"/>
  <c r="H512" i="23" s="1"/>
  <c r="G513" i="23"/>
  <c r="H513" i="23" s="1"/>
  <c r="G514" i="23"/>
  <c r="H514" i="23" s="1"/>
  <c r="G515" i="23"/>
  <c r="H515" i="23" s="1"/>
  <c r="G516" i="23"/>
  <c r="H516" i="23" s="1"/>
  <c r="G517" i="23"/>
  <c r="H517" i="23" s="1"/>
  <c r="G518" i="23"/>
  <c r="H518" i="23" s="1"/>
  <c r="G519" i="23"/>
  <c r="H519" i="23" s="1"/>
  <c r="G520" i="23"/>
  <c r="H520" i="23" s="1"/>
  <c r="G521" i="23"/>
  <c r="H521" i="23" s="1"/>
  <c r="G522" i="23"/>
  <c r="H522" i="23" s="1"/>
  <c r="G523" i="23"/>
  <c r="H523" i="23" s="1"/>
  <c r="G524" i="23"/>
  <c r="H524" i="23" s="1"/>
  <c r="G525" i="23"/>
  <c r="H525" i="23" s="1"/>
  <c r="G526" i="23"/>
  <c r="H526" i="23" s="1"/>
  <c r="G527" i="23"/>
  <c r="H527" i="23" s="1"/>
  <c r="G528" i="23"/>
  <c r="H528" i="23" s="1"/>
  <c r="G529" i="23"/>
  <c r="H529" i="23" s="1"/>
  <c r="G530" i="23"/>
  <c r="H530" i="23" s="1"/>
  <c r="G531" i="23"/>
  <c r="H531" i="23" s="1"/>
  <c r="G532" i="23"/>
  <c r="H532" i="23" s="1"/>
  <c r="G533" i="23"/>
  <c r="H533" i="23" s="1"/>
  <c r="G534" i="23"/>
  <c r="H534" i="23" s="1"/>
  <c r="G535" i="23"/>
  <c r="H535" i="23" s="1"/>
  <c r="G536" i="23"/>
  <c r="H536" i="23" s="1"/>
  <c r="G537" i="23"/>
  <c r="H537" i="23" s="1"/>
  <c r="G538" i="23"/>
  <c r="H538" i="23" s="1"/>
  <c r="G539" i="23"/>
  <c r="H539" i="23" s="1"/>
  <c r="G540" i="23"/>
  <c r="H540" i="23" s="1"/>
  <c r="G541" i="23"/>
  <c r="H541" i="23" s="1"/>
  <c r="G542" i="23"/>
  <c r="H542" i="23" s="1"/>
  <c r="G543" i="23"/>
  <c r="H543" i="23" s="1"/>
  <c r="G544" i="23"/>
  <c r="H544" i="23" s="1"/>
  <c r="G545" i="23"/>
  <c r="H545" i="23" s="1"/>
  <c r="G546" i="23"/>
  <c r="H546" i="23" s="1"/>
  <c r="G547" i="23"/>
  <c r="H547" i="23" s="1"/>
  <c r="G548" i="23"/>
  <c r="H548" i="23" s="1"/>
  <c r="G549" i="23"/>
  <c r="H549" i="23" s="1"/>
  <c r="G550" i="23"/>
  <c r="H550" i="23" s="1"/>
  <c r="G551" i="23"/>
  <c r="H551" i="23" s="1"/>
  <c r="G552" i="23"/>
  <c r="H552" i="23" s="1"/>
  <c r="G553" i="23"/>
  <c r="H553" i="23" s="1"/>
  <c r="G554" i="23"/>
  <c r="H554" i="23" s="1"/>
  <c r="G555" i="23"/>
  <c r="H555" i="23" s="1"/>
  <c r="G556" i="23"/>
  <c r="H556" i="23" s="1"/>
  <c r="G557" i="23"/>
  <c r="H557" i="23" s="1"/>
  <c r="G558" i="23"/>
  <c r="H558" i="23" s="1"/>
  <c r="G559" i="23"/>
  <c r="H559" i="23" s="1"/>
  <c r="G560" i="23"/>
  <c r="H560" i="23" s="1"/>
  <c r="G561" i="23"/>
  <c r="H561" i="23" s="1"/>
  <c r="G562" i="23"/>
  <c r="H562" i="23" s="1"/>
  <c r="G563" i="23"/>
  <c r="H563" i="23" s="1"/>
  <c r="G564" i="23"/>
  <c r="H564" i="23" s="1"/>
  <c r="G565" i="23"/>
  <c r="H565" i="23" s="1"/>
  <c r="G566" i="23"/>
  <c r="H566" i="23" s="1"/>
  <c r="G567" i="23"/>
  <c r="H567" i="23" s="1"/>
  <c r="G568" i="23"/>
  <c r="H568" i="23" s="1"/>
  <c r="G569" i="23"/>
  <c r="H569" i="23" s="1"/>
  <c r="G570" i="23"/>
  <c r="H570" i="23" s="1"/>
  <c r="G571" i="23"/>
  <c r="H571" i="23" s="1"/>
  <c r="G572" i="23"/>
  <c r="H572" i="23" s="1"/>
  <c r="G573" i="23"/>
  <c r="H573" i="23" s="1"/>
  <c r="G574" i="23"/>
  <c r="H574" i="23" s="1"/>
  <c r="G575" i="23"/>
  <c r="H575" i="23" s="1"/>
  <c r="G576" i="23"/>
  <c r="H576" i="23" s="1"/>
  <c r="G577" i="23"/>
  <c r="H577" i="23" s="1"/>
  <c r="G578" i="23"/>
  <c r="H578" i="23" s="1"/>
  <c r="G579" i="23"/>
  <c r="H579" i="23" s="1"/>
  <c r="G580" i="23"/>
  <c r="H580" i="23" s="1"/>
  <c r="G581" i="23"/>
  <c r="H581" i="23" s="1"/>
  <c r="G582" i="23"/>
  <c r="H582" i="23" s="1"/>
  <c r="G583" i="23"/>
  <c r="H583" i="23" s="1"/>
  <c r="G584" i="23"/>
  <c r="H584" i="23" s="1"/>
  <c r="G585" i="23"/>
  <c r="H585" i="23" s="1"/>
  <c r="G586" i="23"/>
  <c r="H586" i="23" s="1"/>
  <c r="G587" i="23"/>
  <c r="H587" i="23" s="1"/>
  <c r="G588" i="23"/>
  <c r="H588" i="23" s="1"/>
  <c r="G589" i="23"/>
  <c r="H589" i="23" s="1"/>
  <c r="G590" i="23"/>
  <c r="H590" i="23" s="1"/>
  <c r="G591" i="23"/>
  <c r="H591" i="23" s="1"/>
  <c r="G592" i="23"/>
  <c r="H592" i="23" s="1"/>
  <c r="H483" i="23" l="1"/>
  <c r="H482" i="23"/>
  <c r="H481" i="23"/>
  <c r="H480" i="23"/>
  <c r="H479" i="23"/>
  <c r="H478" i="23"/>
  <c r="H477" i="23"/>
  <c r="H476" i="23"/>
  <c r="H475" i="23"/>
  <c r="H474" i="23"/>
  <c r="H473" i="23"/>
  <c r="H472" i="23"/>
  <c r="H471" i="23"/>
  <c r="H470" i="23"/>
  <c r="H469" i="23"/>
  <c r="H468" i="23"/>
  <c r="H467" i="23"/>
  <c r="H466" i="23"/>
  <c r="H465" i="23"/>
  <c r="H464" i="23"/>
  <c r="H463" i="23"/>
  <c r="H462" i="23"/>
  <c r="H461" i="23"/>
  <c r="H460" i="23"/>
  <c r="H459" i="23"/>
  <c r="H458" i="23"/>
  <c r="H457" i="23"/>
  <c r="H456" i="23"/>
  <c r="H455" i="23"/>
  <c r="H454" i="23"/>
  <c r="H453" i="23"/>
  <c r="H452" i="23"/>
  <c r="H451" i="23"/>
  <c r="H450" i="23"/>
  <c r="H449" i="23"/>
  <c r="H448" i="23"/>
  <c r="H447" i="23"/>
  <c r="H446" i="23"/>
  <c r="H445" i="23"/>
  <c r="H444" i="23"/>
  <c r="H443" i="23"/>
  <c r="H442" i="23"/>
  <c r="H441" i="23"/>
  <c r="H440" i="23"/>
  <c r="H439" i="23"/>
  <c r="H438" i="23"/>
  <c r="H437" i="23"/>
  <c r="H436" i="23"/>
  <c r="H435" i="23"/>
  <c r="H434" i="23"/>
  <c r="H433" i="23"/>
  <c r="H432" i="23"/>
  <c r="H431" i="23"/>
  <c r="H430" i="23"/>
  <c r="H429" i="23"/>
  <c r="H428" i="23"/>
  <c r="H427" i="23"/>
  <c r="H426" i="23"/>
  <c r="H425" i="23"/>
  <c r="H424" i="23"/>
  <c r="H423" i="23"/>
  <c r="H422" i="23"/>
  <c r="H421" i="23"/>
  <c r="H420" i="23"/>
  <c r="H419" i="23"/>
  <c r="H418" i="23"/>
  <c r="H417" i="23"/>
  <c r="H416" i="23"/>
  <c r="H415" i="23"/>
  <c r="H414" i="23"/>
  <c r="H413" i="23"/>
  <c r="H412" i="23"/>
  <c r="H411" i="23"/>
  <c r="H410" i="23"/>
  <c r="H409" i="23"/>
  <c r="H408" i="23"/>
  <c r="H407" i="23"/>
  <c r="H406" i="23"/>
  <c r="H405" i="23"/>
  <c r="H404" i="23"/>
  <c r="H403" i="23"/>
  <c r="H402" i="23"/>
  <c r="H401" i="23"/>
  <c r="H400" i="23"/>
  <c r="H399" i="23"/>
  <c r="H398" i="23"/>
  <c r="H397" i="23"/>
  <c r="H396" i="23"/>
  <c r="H395" i="23"/>
  <c r="H394" i="23"/>
  <c r="H393" i="23"/>
  <c r="H392" i="23"/>
  <c r="H391" i="23"/>
  <c r="H390" i="23"/>
  <c r="H369" i="23"/>
  <c r="H368" i="23"/>
  <c r="H367" i="23"/>
  <c r="H366" i="23"/>
  <c r="H365" i="23"/>
  <c r="H364" i="23"/>
  <c r="H363" i="23"/>
  <c r="H362" i="23"/>
  <c r="H361" i="23"/>
  <c r="H360" i="23"/>
  <c r="H359" i="23"/>
  <c r="H358" i="23"/>
  <c r="H357" i="23"/>
  <c r="H356" i="23"/>
  <c r="H355" i="23"/>
  <c r="H354" i="23"/>
  <c r="H353" i="23"/>
  <c r="H352" i="23"/>
  <c r="H351" i="23"/>
  <c r="H350" i="23"/>
  <c r="H349" i="23"/>
  <c r="H348" i="23"/>
  <c r="H347" i="23"/>
  <c r="H346" i="23"/>
  <c r="H345" i="23"/>
  <c r="H344" i="23"/>
  <c r="H343" i="23"/>
  <c r="H342" i="23"/>
  <c r="H341" i="23"/>
  <c r="H340" i="23"/>
  <c r="H339" i="23"/>
  <c r="H338" i="23"/>
  <c r="H337" i="23"/>
  <c r="H336" i="23"/>
  <c r="H335" i="23"/>
  <c r="H334" i="23"/>
  <c r="H333" i="23"/>
  <c r="H332" i="23"/>
  <c r="H331" i="23"/>
  <c r="H330" i="23"/>
  <c r="H329" i="23"/>
  <c r="H328" i="23"/>
  <c r="H327" i="23"/>
  <c r="H326" i="23"/>
  <c r="H325" i="23"/>
  <c r="H324" i="23"/>
  <c r="H323" i="23"/>
  <c r="H322" i="23"/>
  <c r="H321" i="23"/>
  <c r="H320" i="23"/>
  <c r="H319" i="23"/>
  <c r="H318" i="23"/>
  <c r="H317" i="23"/>
  <c r="H316" i="23"/>
  <c r="H315" i="23"/>
  <c r="H314" i="23"/>
  <c r="H313" i="23"/>
  <c r="H312" i="23"/>
  <c r="H484" i="23" l="1"/>
  <c r="I484" i="23" s="1"/>
  <c r="H370" i="23"/>
  <c r="H490" i="23" l="1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32" i="23"/>
  <c r="H131" i="23"/>
  <c r="H130" i="23"/>
  <c r="H103" i="23"/>
  <c r="H102" i="23"/>
  <c r="H101" i="23"/>
  <c r="H100" i="23"/>
  <c r="H99" i="23"/>
  <c r="K98" i="23"/>
  <c r="H98" i="23"/>
  <c r="H97" i="23"/>
  <c r="H96" i="23"/>
  <c r="H95" i="23"/>
  <c r="J95" i="23" l="1"/>
  <c r="H129" i="23"/>
  <c r="H133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28" i="23"/>
  <c r="H75" i="23" l="1"/>
  <c r="H26" i="23" l="1"/>
  <c r="H25" i="23"/>
  <c r="H23" i="23"/>
  <c r="H24" i="23"/>
  <c r="H12" i="23" l="1"/>
  <c r="H13" i="23"/>
  <c r="H14" i="23"/>
  <c r="H15" i="23"/>
  <c r="H16" i="23"/>
  <c r="H17" i="23"/>
  <c r="H8" i="23"/>
  <c r="H9" i="23"/>
  <c r="H10" i="23"/>
  <c r="H11" i="23"/>
  <c r="M662" i="23"/>
  <c r="M663" i="23" s="1"/>
  <c r="H660" i="23"/>
  <c r="H659" i="23"/>
  <c r="H608" i="23"/>
  <c r="H628" i="23"/>
  <c r="H627" i="23"/>
  <c r="H626" i="23"/>
  <c r="H625" i="23"/>
  <c r="H624" i="23"/>
  <c r="H623" i="23"/>
  <c r="H622" i="23"/>
  <c r="H621" i="23"/>
  <c r="H620" i="23"/>
  <c r="H619" i="23"/>
  <c r="H618" i="23"/>
  <c r="H617" i="23"/>
  <c r="H611" i="23"/>
  <c r="H610" i="23"/>
  <c r="H615" i="23"/>
  <c r="H614" i="23"/>
  <c r="H613" i="23"/>
  <c r="H507" i="23"/>
  <c r="H506" i="23"/>
  <c r="H505" i="23"/>
  <c r="H504" i="23"/>
  <c r="H503" i="23"/>
  <c r="H502" i="23"/>
  <c r="H501" i="23"/>
  <c r="H500" i="23"/>
  <c r="H499" i="23"/>
  <c r="H498" i="23"/>
  <c r="H497" i="23"/>
  <c r="H496" i="23"/>
  <c r="H495" i="23"/>
  <c r="H494" i="23"/>
  <c r="G493" i="23"/>
  <c r="H493" i="23" s="1"/>
  <c r="H489" i="23"/>
  <c r="H488" i="23"/>
  <c r="H485" i="23"/>
  <c r="H387" i="23"/>
  <c r="H386" i="23"/>
  <c r="H385" i="23"/>
  <c r="H384" i="23"/>
  <c r="H383" i="23"/>
  <c r="H382" i="23"/>
  <c r="H381" i="23"/>
  <c r="H380" i="23"/>
  <c r="H379" i="23"/>
  <c r="H378" i="23"/>
  <c r="H377" i="23"/>
  <c r="H376" i="23"/>
  <c r="H375" i="23"/>
  <c r="H374" i="23"/>
  <c r="H373" i="23"/>
  <c r="H372" i="23"/>
  <c r="H371" i="23"/>
  <c r="H310" i="23"/>
  <c r="H309" i="23"/>
  <c r="H308" i="23"/>
  <c r="H307" i="23"/>
  <c r="H305" i="23"/>
  <c r="H306" i="23" s="1"/>
  <c r="H303" i="23"/>
  <c r="H302" i="23"/>
  <c r="H301" i="23"/>
  <c r="H300" i="23"/>
  <c r="H299" i="23"/>
  <c r="H298" i="23"/>
  <c r="H297" i="23"/>
  <c r="H296" i="23"/>
  <c r="H295" i="23"/>
  <c r="H294" i="23"/>
  <c r="H293" i="23"/>
  <c r="H292" i="23"/>
  <c r="H291" i="23"/>
  <c r="H290" i="23"/>
  <c r="H289" i="23"/>
  <c r="H288" i="23"/>
  <c r="H287" i="23"/>
  <c r="H286" i="23"/>
  <c r="H285" i="23"/>
  <c r="H284" i="23"/>
  <c r="H283" i="23"/>
  <c r="H282" i="23"/>
  <c r="H281" i="23"/>
  <c r="H280" i="23"/>
  <c r="H279" i="23"/>
  <c r="H278" i="23"/>
  <c r="H277" i="23"/>
  <c r="H276" i="23"/>
  <c r="H275" i="23"/>
  <c r="H274" i="23"/>
  <c r="H273" i="23"/>
  <c r="H272" i="23"/>
  <c r="H271" i="23"/>
  <c r="H264" i="23"/>
  <c r="H263" i="23"/>
  <c r="H262" i="23"/>
  <c r="H261" i="23"/>
  <c r="H260" i="23"/>
  <c r="H259" i="23"/>
  <c r="H258" i="23"/>
  <c r="H257" i="23"/>
  <c r="H256" i="23"/>
  <c r="H255" i="23"/>
  <c r="H254" i="23"/>
  <c r="H253" i="23"/>
  <c r="H252" i="23"/>
  <c r="H251" i="23"/>
  <c r="H250" i="23"/>
  <c r="H249" i="23"/>
  <c r="H248" i="23"/>
  <c r="H247" i="23"/>
  <c r="H246" i="23"/>
  <c r="H245" i="23"/>
  <c r="H244" i="23"/>
  <c r="H243" i="23"/>
  <c r="H242" i="23"/>
  <c r="H241" i="23"/>
  <c r="H240" i="23"/>
  <c r="H239" i="23"/>
  <c r="H238" i="23"/>
  <c r="H237" i="23"/>
  <c r="H236" i="23"/>
  <c r="H235" i="23"/>
  <c r="H234" i="23"/>
  <c r="H233" i="23"/>
  <c r="H232" i="23"/>
  <c r="H231" i="23"/>
  <c r="H230" i="23"/>
  <c r="H229" i="23"/>
  <c r="H228" i="23"/>
  <c r="H227" i="23"/>
  <c r="H226" i="23"/>
  <c r="H225" i="23"/>
  <c r="H224" i="23"/>
  <c r="H223" i="23"/>
  <c r="H222" i="23"/>
  <c r="H221" i="23"/>
  <c r="H220" i="23"/>
  <c r="H219" i="23"/>
  <c r="H218" i="23"/>
  <c r="H217" i="23"/>
  <c r="H216" i="23"/>
  <c r="H215" i="23"/>
  <c r="H214" i="23"/>
  <c r="H213" i="23"/>
  <c r="H270" i="23"/>
  <c r="H269" i="23"/>
  <c r="H268" i="23"/>
  <c r="H267" i="23"/>
  <c r="H266" i="23"/>
  <c r="H265" i="23"/>
  <c r="H212" i="23"/>
  <c r="H211" i="23"/>
  <c r="H210" i="23"/>
  <c r="H209" i="23"/>
  <c r="H208" i="23"/>
  <c r="H207" i="23"/>
  <c r="H206" i="23"/>
  <c r="H205" i="23"/>
  <c r="H204" i="23"/>
  <c r="H203" i="23"/>
  <c r="H202" i="23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I135" i="23"/>
  <c r="H134" i="23"/>
  <c r="H135" i="23" s="1"/>
  <c r="H93" i="23"/>
  <c r="H92" i="23"/>
  <c r="H91" i="23"/>
  <c r="H90" i="23"/>
  <c r="H89" i="23"/>
  <c r="H87" i="23"/>
  <c r="H86" i="23"/>
  <c r="H85" i="23"/>
  <c r="H84" i="23"/>
  <c r="H83" i="23"/>
  <c r="H82" i="23"/>
  <c r="H81" i="23"/>
  <c r="H80" i="23"/>
  <c r="H79" i="23"/>
  <c r="H78" i="23"/>
  <c r="F77" i="23"/>
  <c r="H77" i="23" s="1"/>
  <c r="H76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22" i="23"/>
  <c r="H27" i="23" s="1"/>
  <c r="H20" i="23"/>
  <c r="H19" i="23"/>
  <c r="H18" i="23"/>
  <c r="H7" i="23"/>
  <c r="H5" i="23"/>
  <c r="H4" i="23"/>
  <c r="H3" i="23"/>
  <c r="H2" i="23"/>
  <c r="H21" i="23" l="1"/>
  <c r="H616" i="23"/>
  <c r="H593" i="23"/>
  <c r="H389" i="23"/>
  <c r="H304" i="23"/>
  <c r="H311" i="23"/>
  <c r="H492" i="23"/>
  <c r="H88" i="23"/>
  <c r="H629" i="23"/>
  <c r="H6" i="23"/>
  <c r="H612" i="23"/>
  <c r="H630" i="23" l="1"/>
  <c r="H300" i="22"/>
  <c r="I300" i="22" l="1"/>
  <c r="I43" i="22" l="1"/>
  <c r="H581" i="22"/>
  <c r="H580" i="22"/>
  <c r="H579" i="22"/>
  <c r="H578" i="22"/>
  <c r="H577" i="22"/>
  <c r="H576" i="22"/>
  <c r="H583" i="22" l="1"/>
  <c r="H633" i="22"/>
  <c r="H624" i="22"/>
  <c r="H623" i="22"/>
  <c r="H622" i="22"/>
  <c r="H621" i="22"/>
  <c r="H620" i="22"/>
  <c r="H619" i="22"/>
  <c r="H618" i="22"/>
  <c r="H617" i="22"/>
  <c r="H616" i="22"/>
  <c r="H615" i="22"/>
  <c r="H614" i="22"/>
  <c r="H613" i="22"/>
  <c r="H612" i="22"/>
  <c r="H611" i="22"/>
  <c r="H610" i="22"/>
  <c r="H609" i="22"/>
  <c r="H608" i="22"/>
  <c r="G606" i="22"/>
  <c r="H606" i="22" s="1"/>
  <c r="G605" i="22"/>
  <c r="H605" i="22" s="1"/>
  <c r="H607" i="22" s="1"/>
  <c r="F602" i="22"/>
  <c r="H601" i="22"/>
  <c r="H600" i="22"/>
  <c r="H599" i="22"/>
  <c r="H598" i="22"/>
  <c r="F597" i="22"/>
  <c r="J596" i="22"/>
  <c r="H596" i="22"/>
  <c r="H595" i="22"/>
  <c r="H597" i="22" s="1"/>
  <c r="F594" i="22"/>
  <c r="H593" i="22"/>
  <c r="H592" i="22"/>
  <c r="H591" i="22"/>
  <c r="H590" i="22"/>
  <c r="H589" i="22"/>
  <c r="H587" i="22"/>
  <c r="H626" i="22" l="1"/>
  <c r="H602" i="22"/>
  <c r="H594" i="22"/>
  <c r="H604" i="22" l="1"/>
  <c r="G484" i="22"/>
  <c r="G485" i="22"/>
  <c r="G486" i="22"/>
  <c r="G487" i="22"/>
  <c r="G488" i="22"/>
  <c r="G489" i="22"/>
  <c r="G490" i="22"/>
  <c r="G491" i="22"/>
  <c r="G492" i="22"/>
  <c r="G493" i="22"/>
  <c r="G494" i="22"/>
  <c r="G495" i="22"/>
  <c r="G496" i="22"/>
  <c r="G497" i="22"/>
  <c r="G498" i="22"/>
  <c r="G499" i="22"/>
  <c r="G500" i="22"/>
  <c r="G501" i="22"/>
  <c r="G502" i="22"/>
  <c r="G503" i="22"/>
  <c r="G504" i="22"/>
  <c r="G505" i="22"/>
  <c r="G506" i="22"/>
  <c r="G507" i="22"/>
  <c r="G508" i="22"/>
  <c r="G509" i="22"/>
  <c r="G510" i="22"/>
  <c r="G511" i="22"/>
  <c r="G512" i="22"/>
  <c r="G513" i="22"/>
  <c r="G514" i="22"/>
  <c r="G515" i="22"/>
  <c r="G516" i="22"/>
  <c r="G517" i="22"/>
  <c r="G518" i="22"/>
  <c r="G519" i="22"/>
  <c r="G520" i="22"/>
  <c r="G521" i="22"/>
  <c r="G522" i="22"/>
  <c r="G523" i="22"/>
  <c r="G524" i="22"/>
  <c r="G525" i="22"/>
  <c r="G526" i="22"/>
  <c r="G527" i="22"/>
  <c r="G528" i="22"/>
  <c r="G529" i="22"/>
  <c r="G530" i="22"/>
  <c r="G531" i="22"/>
  <c r="G532" i="22"/>
  <c r="G533" i="22"/>
  <c r="G534" i="22"/>
  <c r="G535" i="22"/>
  <c r="G536" i="22"/>
  <c r="G537" i="22"/>
  <c r="G538" i="22"/>
  <c r="G539" i="22"/>
  <c r="G540" i="22"/>
  <c r="G541" i="22"/>
  <c r="G542" i="22"/>
  <c r="G543" i="22"/>
  <c r="G544" i="22"/>
  <c r="G545" i="22"/>
  <c r="G546" i="22"/>
  <c r="G547" i="22"/>
  <c r="G548" i="22"/>
  <c r="G549" i="22"/>
  <c r="G550" i="22"/>
  <c r="G551" i="22"/>
  <c r="G552" i="22"/>
  <c r="G553" i="22"/>
  <c r="G554" i="22"/>
  <c r="G555" i="22"/>
  <c r="G556" i="22"/>
  <c r="G557" i="22"/>
  <c r="G558" i="22"/>
  <c r="G559" i="22"/>
  <c r="G560" i="22"/>
  <c r="G561" i="22"/>
  <c r="G562" i="22"/>
  <c r="G563" i="22"/>
  <c r="G564" i="22"/>
  <c r="G565" i="22"/>
  <c r="G566" i="22"/>
  <c r="G567" i="22"/>
  <c r="G568" i="22"/>
  <c r="G569" i="22"/>
  <c r="G570" i="22"/>
  <c r="G571" i="22"/>
  <c r="G572" i="22"/>
  <c r="G573" i="22"/>
  <c r="G574" i="22"/>
  <c r="G483" i="22"/>
  <c r="H474" i="22" l="1"/>
  <c r="H473" i="22"/>
  <c r="H472" i="22"/>
  <c r="H471" i="22"/>
  <c r="H470" i="22"/>
  <c r="H469" i="22"/>
  <c r="H468" i="22"/>
  <c r="H467" i="22"/>
  <c r="H466" i="22"/>
  <c r="H465" i="22"/>
  <c r="H464" i="22"/>
  <c r="H463" i="22"/>
  <c r="H462" i="22"/>
  <c r="H461" i="22"/>
  <c r="H460" i="22"/>
  <c r="H459" i="22"/>
  <c r="H458" i="22"/>
  <c r="H457" i="22"/>
  <c r="H456" i="22"/>
  <c r="H455" i="22"/>
  <c r="H454" i="22"/>
  <c r="H453" i="22"/>
  <c r="H452" i="22"/>
  <c r="H451" i="22"/>
  <c r="H450" i="22"/>
  <c r="H449" i="22"/>
  <c r="H448" i="22"/>
  <c r="H447" i="22"/>
  <c r="H446" i="22"/>
  <c r="H445" i="22"/>
  <c r="H444" i="22"/>
  <c r="H443" i="22"/>
  <c r="H442" i="22"/>
  <c r="H441" i="22"/>
  <c r="H440" i="22"/>
  <c r="H439" i="22"/>
  <c r="H438" i="22"/>
  <c r="H437" i="22"/>
  <c r="H436" i="22"/>
  <c r="H435" i="22"/>
  <c r="H434" i="22"/>
  <c r="H433" i="22"/>
  <c r="H432" i="22"/>
  <c r="H431" i="22"/>
  <c r="H430" i="22"/>
  <c r="H429" i="22"/>
  <c r="H428" i="22"/>
  <c r="H427" i="22"/>
  <c r="H426" i="22"/>
  <c r="H425" i="22"/>
  <c r="H424" i="22"/>
  <c r="H423" i="22"/>
  <c r="H422" i="22"/>
  <c r="H421" i="22"/>
  <c r="H420" i="22"/>
  <c r="H419" i="22"/>
  <c r="H418" i="22"/>
  <c r="H417" i="22"/>
  <c r="H416" i="22"/>
  <c r="H415" i="22"/>
  <c r="H414" i="22"/>
  <c r="H413" i="22"/>
  <c r="H412" i="22"/>
  <c r="H411" i="22"/>
  <c r="H410" i="22"/>
  <c r="H409" i="22"/>
  <c r="H408" i="22"/>
  <c r="H407" i="22"/>
  <c r="H406" i="22"/>
  <c r="H405" i="22"/>
  <c r="H404" i="22"/>
  <c r="H403" i="22"/>
  <c r="H402" i="22"/>
  <c r="H401" i="22"/>
  <c r="H400" i="22"/>
  <c r="H399" i="22"/>
  <c r="H398" i="22"/>
  <c r="H397" i="22"/>
  <c r="H396" i="22"/>
  <c r="H395" i="22"/>
  <c r="H394" i="22"/>
  <c r="H393" i="22"/>
  <c r="H392" i="22"/>
  <c r="H391" i="22"/>
  <c r="H390" i="22"/>
  <c r="H389" i="22"/>
  <c r="H388" i="22"/>
  <c r="H387" i="22"/>
  <c r="H386" i="22"/>
  <c r="H353" i="22"/>
  <c r="H352" i="22"/>
  <c r="H351" i="22"/>
  <c r="H350" i="22"/>
  <c r="H349" i="22"/>
  <c r="H348" i="22"/>
  <c r="H347" i="22"/>
  <c r="H346" i="22"/>
  <c r="H345" i="22"/>
  <c r="H344" i="22"/>
  <c r="H343" i="22"/>
  <c r="H342" i="22"/>
  <c r="H341" i="22"/>
  <c r="H339" i="22"/>
  <c r="H338" i="22"/>
  <c r="H337" i="22"/>
  <c r="H336" i="22"/>
  <c r="H335" i="22"/>
  <c r="H334" i="22"/>
  <c r="H333" i="22"/>
  <c r="H332" i="22"/>
  <c r="H331" i="22"/>
  <c r="H330" i="22"/>
  <c r="H329" i="22"/>
  <c r="H328" i="22"/>
  <c r="H327" i="22"/>
  <c r="H326" i="22"/>
  <c r="H325" i="22"/>
  <c r="H324" i="22"/>
  <c r="H323" i="22"/>
  <c r="H322" i="22"/>
  <c r="H321" i="22"/>
  <c r="H320" i="22"/>
  <c r="H319" i="22"/>
  <c r="H318" i="22"/>
  <c r="H317" i="22"/>
  <c r="H316" i="22"/>
  <c r="H315" i="22"/>
  <c r="H314" i="22"/>
  <c r="H313" i="22"/>
  <c r="H312" i="22"/>
  <c r="H311" i="22"/>
  <c r="H310" i="22"/>
  <c r="H309" i="22"/>
  <c r="H308" i="22"/>
  <c r="H307" i="22"/>
  <c r="H306" i="22"/>
  <c r="H305" i="22"/>
  <c r="H304" i="22"/>
  <c r="H303" i="22"/>
  <c r="H357" i="22" l="1"/>
  <c r="H94" i="22" l="1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120" i="22" l="1"/>
  <c r="H299" i="22"/>
  <c r="H301" i="22"/>
  <c r="H11" i="22" l="1"/>
  <c r="H10" i="22"/>
  <c r="H49" i="22" l="1"/>
  <c r="H48" i="22"/>
  <c r="H47" i="22"/>
  <c r="H46" i="22"/>
  <c r="H478" i="22"/>
  <c r="I49" i="22" l="1"/>
  <c r="H21" i="22" l="1"/>
  <c r="O37" i="18"/>
  <c r="H41" i="18" l="1"/>
  <c r="H42" i="18"/>
  <c r="H40" i="18"/>
  <c r="H19" i="22"/>
  <c r="H20" i="22"/>
  <c r="H17" i="22"/>
  <c r="H18" i="22"/>
  <c r="H43" i="18" l="1"/>
  <c r="H630" i="22"/>
  <c r="H629" i="22"/>
  <c r="H627" i="22"/>
  <c r="H476" i="22"/>
  <c r="H281" i="21"/>
  <c r="H121" i="22"/>
  <c r="H123" i="22" s="1"/>
  <c r="H26" i="22"/>
  <c r="H36" i="22"/>
  <c r="H25" i="22"/>
  <c r="H24" i="22"/>
  <c r="H23" i="22"/>
  <c r="H6" i="22"/>
  <c r="F5" i="22"/>
  <c r="H5" i="22" s="1"/>
  <c r="H631" i="22" l="1"/>
  <c r="H671" i="22"/>
  <c r="H670" i="22"/>
  <c r="H664" i="22"/>
  <c r="H663" i="22"/>
  <c r="H662" i="22"/>
  <c r="H660" i="22"/>
  <c r="H659" i="22"/>
  <c r="H658" i="22"/>
  <c r="H632" i="22"/>
  <c r="H635" i="22" s="1"/>
  <c r="H586" i="22"/>
  <c r="H588" i="22" s="1"/>
  <c r="H560" i="22"/>
  <c r="H557" i="22"/>
  <c r="H556" i="22"/>
  <c r="H569" i="22"/>
  <c r="H566" i="22"/>
  <c r="H565" i="22"/>
  <c r="H561" i="22"/>
  <c r="H558" i="22"/>
  <c r="H555" i="22"/>
  <c r="H564" i="22"/>
  <c r="H563" i="22"/>
  <c r="H567" i="22"/>
  <c r="H568" i="22"/>
  <c r="H562" i="22"/>
  <c r="H559" i="22"/>
  <c r="H554" i="22"/>
  <c r="H553" i="22"/>
  <c r="H552" i="22"/>
  <c r="H551" i="22"/>
  <c r="H550" i="22"/>
  <c r="H549" i="22"/>
  <c r="H548" i="22"/>
  <c r="H547" i="22"/>
  <c r="H546" i="22"/>
  <c r="H545" i="22"/>
  <c r="H544" i="22"/>
  <c r="H543" i="22"/>
  <c r="H542" i="22"/>
  <c r="H541" i="22"/>
  <c r="H540" i="22"/>
  <c r="H539" i="22"/>
  <c r="H538" i="22"/>
  <c r="H537" i="22"/>
  <c r="H536" i="22"/>
  <c r="H535" i="22"/>
  <c r="H534" i="22"/>
  <c r="H533" i="22"/>
  <c r="H532" i="22"/>
  <c r="H531" i="22"/>
  <c r="H530" i="22"/>
  <c r="H529" i="22"/>
  <c r="H528" i="22"/>
  <c r="H527" i="22"/>
  <c r="H526" i="22"/>
  <c r="H525" i="22"/>
  <c r="H524" i="22"/>
  <c r="H523" i="22"/>
  <c r="H522" i="22"/>
  <c r="H521" i="22"/>
  <c r="H520" i="22"/>
  <c r="H519" i="22"/>
  <c r="H518" i="22"/>
  <c r="H517" i="22"/>
  <c r="H516" i="22"/>
  <c r="H515" i="22"/>
  <c r="H514" i="22"/>
  <c r="H513" i="22"/>
  <c r="H512" i="22"/>
  <c r="H511" i="22"/>
  <c r="H510" i="22"/>
  <c r="H509" i="22"/>
  <c r="H508" i="22"/>
  <c r="H507" i="22"/>
  <c r="H506" i="22"/>
  <c r="H505" i="22"/>
  <c r="H504" i="22"/>
  <c r="H503" i="22"/>
  <c r="H502" i="22"/>
  <c r="H501" i="22"/>
  <c r="H500" i="22"/>
  <c r="H499" i="22"/>
  <c r="H498" i="22"/>
  <c r="H497" i="22"/>
  <c r="H496" i="22"/>
  <c r="H495" i="22"/>
  <c r="H494" i="22"/>
  <c r="H493" i="22"/>
  <c r="H492" i="22"/>
  <c r="H491" i="22"/>
  <c r="H490" i="22"/>
  <c r="H489" i="22"/>
  <c r="H488" i="22"/>
  <c r="H487" i="22"/>
  <c r="H486" i="22"/>
  <c r="H485" i="22"/>
  <c r="H484" i="22"/>
  <c r="H483" i="22"/>
  <c r="H481" i="22"/>
  <c r="H480" i="22"/>
  <c r="H479" i="22"/>
  <c r="H477" i="22"/>
  <c r="H384" i="22"/>
  <c r="H383" i="22"/>
  <c r="H382" i="22"/>
  <c r="H381" i="22"/>
  <c r="H380" i="22"/>
  <c r="H379" i="22"/>
  <c r="H378" i="22"/>
  <c r="H377" i="22"/>
  <c r="H376" i="22"/>
  <c r="H375" i="22"/>
  <c r="H374" i="22"/>
  <c r="H373" i="22"/>
  <c r="H372" i="22"/>
  <c r="H371" i="22"/>
  <c r="H370" i="22"/>
  <c r="H369" i="22"/>
  <c r="H368" i="22"/>
  <c r="H367" i="22"/>
  <c r="H366" i="22"/>
  <c r="H365" i="22"/>
  <c r="H364" i="22"/>
  <c r="H363" i="22"/>
  <c r="H362" i="22"/>
  <c r="H361" i="22"/>
  <c r="H360" i="22"/>
  <c r="H359" i="22"/>
  <c r="H358" i="22"/>
  <c r="I123" i="22"/>
  <c r="H122" i="22"/>
  <c r="H62" i="22"/>
  <c r="H61" i="22"/>
  <c r="H60" i="22"/>
  <c r="H59" i="22"/>
  <c r="H58" i="22"/>
  <c r="H57" i="22"/>
  <c r="H56" i="22"/>
  <c r="H55" i="22"/>
  <c r="H54" i="22"/>
  <c r="H53" i="22"/>
  <c r="F51" i="22"/>
  <c r="H51" i="22" s="1"/>
  <c r="H50" i="22"/>
  <c r="H45" i="22"/>
  <c r="F44" i="22"/>
  <c r="H44" i="22" s="1"/>
  <c r="H42" i="22"/>
  <c r="H41" i="22"/>
  <c r="H40" i="22"/>
  <c r="H39" i="22"/>
  <c r="H38" i="22"/>
  <c r="H37" i="22"/>
  <c r="H34" i="22"/>
  <c r="H33" i="22"/>
  <c r="H32" i="22"/>
  <c r="H31" i="22"/>
  <c r="H30" i="22"/>
  <c r="H29" i="22"/>
  <c r="H28" i="22"/>
  <c r="H27" i="22"/>
  <c r="H16" i="22"/>
  <c r="H22" i="22" s="1"/>
  <c r="H14" i="22"/>
  <c r="H13" i="22"/>
  <c r="H12" i="22"/>
  <c r="F9" i="22"/>
  <c r="H9" i="22" s="1"/>
  <c r="F8" i="22"/>
  <c r="H8" i="22" s="1"/>
  <c r="H7" i="22"/>
  <c r="H3" i="22"/>
  <c r="H2" i="22"/>
  <c r="H280" i="21"/>
  <c r="J313" i="21"/>
  <c r="H43" i="22" l="1"/>
  <c r="H67" i="22"/>
  <c r="H575" i="22"/>
  <c r="H52" i="22"/>
  <c r="H15" i="22"/>
  <c r="H385" i="22"/>
  <c r="H636" i="22" l="1"/>
  <c r="H653" i="22" s="1"/>
  <c r="I29" i="21"/>
  <c r="I30" i="21"/>
  <c r="I28" i="21"/>
  <c r="H607" i="21"/>
  <c r="H606" i="21"/>
  <c r="H604" i="21"/>
  <c r="H603" i="21"/>
  <c r="H602" i="21"/>
  <c r="H601" i="21"/>
  <c r="H600" i="21"/>
  <c r="H599" i="21"/>
  <c r="H598" i="21"/>
  <c r="H608" i="21" l="1"/>
  <c r="H534" i="21"/>
  <c r="H79" i="21"/>
  <c r="H78" i="21"/>
  <c r="H77" i="21"/>
  <c r="H76" i="21"/>
  <c r="H111" i="21"/>
  <c r="H110" i="21"/>
  <c r="H109" i="21"/>
  <c r="H108" i="21"/>
  <c r="H107" i="21"/>
  <c r="H106" i="21"/>
  <c r="H105" i="21"/>
  <c r="H104" i="21"/>
  <c r="H103" i="21"/>
  <c r="H102" i="21"/>
  <c r="H101" i="21"/>
  <c r="H100" i="21"/>
  <c r="H99" i="21"/>
  <c r="H98" i="21"/>
  <c r="H97" i="21"/>
  <c r="H96" i="21"/>
  <c r="H95" i="21"/>
  <c r="H94" i="21"/>
  <c r="H93" i="21"/>
  <c r="H92" i="21"/>
  <c r="H91" i="21"/>
  <c r="H90" i="21"/>
  <c r="H89" i="21"/>
  <c r="H88" i="21"/>
  <c r="H87" i="21"/>
  <c r="H86" i="21"/>
  <c r="H85" i="21"/>
  <c r="H84" i="21"/>
  <c r="H83" i="21"/>
  <c r="H82" i="21"/>
  <c r="H81" i="21"/>
  <c r="H80" i="21"/>
  <c r="H112" i="21" l="1"/>
  <c r="J112" i="21" s="1"/>
  <c r="H595" i="21"/>
  <c r="H594" i="21"/>
  <c r="H593" i="21"/>
  <c r="H592" i="21"/>
  <c r="H591" i="21"/>
  <c r="H590" i="21"/>
  <c r="H589" i="21"/>
  <c r="H588" i="21"/>
  <c r="H587" i="21"/>
  <c r="H586" i="21"/>
  <c r="H585" i="21"/>
  <c r="E576" i="21"/>
  <c r="F574" i="21"/>
  <c r="H573" i="21"/>
  <c r="H572" i="21"/>
  <c r="H571" i="21"/>
  <c r="H570" i="21"/>
  <c r="H569" i="21"/>
  <c r="H568" i="21"/>
  <c r="F567" i="21"/>
  <c r="J565" i="21"/>
  <c r="H565" i="21"/>
  <c r="J564" i="21"/>
  <c r="H564" i="21"/>
  <c r="F563" i="21"/>
  <c r="H561" i="21"/>
  <c r="H560" i="21"/>
  <c r="H559" i="21"/>
  <c r="H558" i="21"/>
  <c r="H557" i="21"/>
  <c r="H556" i="21"/>
  <c r="H555" i="21"/>
  <c r="H554" i="21"/>
  <c r="H553" i="21"/>
  <c r="H552" i="21"/>
  <c r="H551" i="21"/>
  <c r="H550" i="21"/>
  <c r="H549" i="21"/>
  <c r="H548" i="21"/>
  <c r="H547" i="21"/>
  <c r="H546" i="21"/>
  <c r="H545" i="21"/>
  <c r="H544" i="21"/>
  <c r="H543" i="21"/>
  <c r="H542" i="21"/>
  <c r="H541" i="21"/>
  <c r="H540" i="21"/>
  <c r="H536" i="21"/>
  <c r="H535" i="21"/>
  <c r="H538" i="21"/>
  <c r="H597" i="21" l="1"/>
  <c r="H574" i="21"/>
  <c r="H567" i="21"/>
  <c r="H563" i="21"/>
  <c r="F576" i="21"/>
  <c r="H434" i="21"/>
  <c r="H433" i="21"/>
  <c r="H432" i="21"/>
  <c r="H431" i="21"/>
  <c r="H430" i="21"/>
  <c r="H429" i="21"/>
  <c r="H428" i="21"/>
  <c r="H427" i="21"/>
  <c r="H426" i="21"/>
  <c r="H425" i="21"/>
  <c r="H424" i="21"/>
  <c r="H423" i="21"/>
  <c r="H422" i="21"/>
  <c r="H421" i="21"/>
  <c r="H420" i="21"/>
  <c r="H419" i="21"/>
  <c r="H418" i="21"/>
  <c r="H417" i="21"/>
  <c r="H416" i="21"/>
  <c r="H415" i="21"/>
  <c r="H414" i="21"/>
  <c r="H413" i="21"/>
  <c r="H412" i="21"/>
  <c r="H411" i="21"/>
  <c r="H410" i="21"/>
  <c r="H409" i="21"/>
  <c r="H408" i="21"/>
  <c r="H407" i="21"/>
  <c r="H406" i="21"/>
  <c r="H405" i="21"/>
  <c r="H404" i="21"/>
  <c r="H403" i="21"/>
  <c r="H402" i="21"/>
  <c r="H401" i="21"/>
  <c r="H400" i="21"/>
  <c r="H399" i="21"/>
  <c r="H398" i="21"/>
  <c r="H397" i="21"/>
  <c r="H395" i="21"/>
  <c r="H394" i="21"/>
  <c r="H393" i="21"/>
  <c r="H392" i="21"/>
  <c r="H391" i="21"/>
  <c r="H390" i="21"/>
  <c r="H389" i="21"/>
  <c r="H388" i="21"/>
  <c r="H387" i="21"/>
  <c r="H386" i="21"/>
  <c r="H385" i="21"/>
  <c r="H384" i="21"/>
  <c r="H383" i="21"/>
  <c r="H382" i="21"/>
  <c r="H381" i="21"/>
  <c r="H380" i="21"/>
  <c r="H379" i="21"/>
  <c r="H378" i="21"/>
  <c r="H377" i="21"/>
  <c r="H376" i="21"/>
  <c r="H375" i="21"/>
  <c r="H374" i="21"/>
  <c r="H373" i="21"/>
  <c r="H372" i="21"/>
  <c r="H371" i="21"/>
  <c r="H370" i="21"/>
  <c r="H369" i="21"/>
  <c r="H368" i="21"/>
  <c r="H367" i="21"/>
  <c r="H366" i="21"/>
  <c r="H365" i="21"/>
  <c r="H364" i="21"/>
  <c r="H363" i="21"/>
  <c r="H362" i="21"/>
  <c r="H361" i="21"/>
  <c r="H360" i="21"/>
  <c r="H359" i="21"/>
  <c r="H358" i="21"/>
  <c r="H357" i="21"/>
  <c r="H356" i="21"/>
  <c r="H355" i="21"/>
  <c r="H576" i="21" l="1"/>
  <c r="I574" i="21"/>
  <c r="H435" i="21"/>
  <c r="H328" i="21"/>
  <c r="H327" i="21"/>
  <c r="H326" i="21"/>
  <c r="H325" i="21"/>
  <c r="H324" i="21"/>
  <c r="H323" i="21"/>
  <c r="H322" i="21"/>
  <c r="H321" i="21"/>
  <c r="H320" i="21"/>
  <c r="H319" i="21"/>
  <c r="H318" i="21"/>
  <c r="H317" i="21"/>
  <c r="H316" i="21"/>
  <c r="H315" i="21"/>
  <c r="H314" i="21"/>
  <c r="H312" i="21"/>
  <c r="H311" i="21"/>
  <c r="H310" i="21"/>
  <c r="H309" i="21"/>
  <c r="H308" i="21"/>
  <c r="H307" i="21"/>
  <c r="H306" i="21"/>
  <c r="H305" i="21"/>
  <c r="H304" i="21"/>
  <c r="H303" i="21"/>
  <c r="H302" i="21"/>
  <c r="H301" i="21"/>
  <c r="H300" i="21"/>
  <c r="H299" i="21"/>
  <c r="H298" i="21"/>
  <c r="H297" i="21"/>
  <c r="H296" i="21"/>
  <c r="H295" i="21"/>
  <c r="H294" i="21"/>
  <c r="H293" i="21"/>
  <c r="H292" i="21"/>
  <c r="H291" i="21"/>
  <c r="H290" i="21"/>
  <c r="H289" i="21"/>
  <c r="H288" i="21"/>
  <c r="H287" i="21"/>
  <c r="H286" i="21"/>
  <c r="H285" i="21"/>
  <c r="H284" i="21"/>
  <c r="H283" i="21"/>
  <c r="H282" i="21"/>
  <c r="H329" i="21" l="1"/>
  <c r="F537" i="21" l="1"/>
  <c r="H537" i="21" s="1"/>
  <c r="G581" i="21" l="1"/>
  <c r="G582" i="21"/>
  <c r="G583" i="21"/>
  <c r="G580" i="21"/>
  <c r="H24" i="20" l="1"/>
  <c r="H23" i="20"/>
  <c r="H22" i="20"/>
  <c r="H21" i="20"/>
  <c r="H20" i="20"/>
  <c r="H19" i="20"/>
  <c r="H18" i="20"/>
  <c r="F25" i="20"/>
  <c r="H9" i="21"/>
  <c r="H10" i="21"/>
  <c r="H25" i="20" l="1"/>
  <c r="H36" i="18"/>
  <c r="H35" i="18"/>
  <c r="H34" i="18"/>
  <c r="H33" i="18"/>
  <c r="H32" i="18"/>
  <c r="H31" i="18"/>
  <c r="H30" i="18"/>
  <c r="F29" i="18"/>
  <c r="H29" i="18" s="1"/>
  <c r="H18" i="21"/>
  <c r="H17" i="21"/>
  <c r="H19" i="21"/>
  <c r="H20" i="21"/>
  <c r="H21" i="21"/>
  <c r="H16" i="21"/>
  <c r="H37" i="18" l="1"/>
  <c r="G526" i="21"/>
  <c r="H526" i="21" s="1"/>
  <c r="G527" i="21"/>
  <c r="H527" i="21" s="1"/>
  <c r="G528" i="21"/>
  <c r="H528" i="21" s="1"/>
  <c r="G529" i="21"/>
  <c r="H529" i="21" s="1"/>
  <c r="G530" i="21"/>
  <c r="H530" i="21" s="1"/>
  <c r="G531" i="21"/>
  <c r="H531" i="21" s="1"/>
  <c r="G525" i="21"/>
  <c r="G440" i="21" l="1"/>
  <c r="H440" i="21" s="1"/>
  <c r="G441" i="21"/>
  <c r="H441" i="21" s="1"/>
  <c r="G442" i="21"/>
  <c r="H442" i="21" s="1"/>
  <c r="G443" i="21"/>
  <c r="H443" i="21" s="1"/>
  <c r="G444" i="21"/>
  <c r="H444" i="21" s="1"/>
  <c r="G445" i="21"/>
  <c r="H445" i="21" s="1"/>
  <c r="G446" i="21"/>
  <c r="H446" i="21" s="1"/>
  <c r="G447" i="21"/>
  <c r="H447" i="21" s="1"/>
  <c r="G448" i="21"/>
  <c r="H448" i="21" s="1"/>
  <c r="G449" i="21"/>
  <c r="H449" i="21" s="1"/>
  <c r="G450" i="21"/>
  <c r="H450" i="21" s="1"/>
  <c r="G451" i="21"/>
  <c r="H451" i="21" s="1"/>
  <c r="G452" i="21"/>
  <c r="H452" i="21" s="1"/>
  <c r="G453" i="21"/>
  <c r="H453" i="21" s="1"/>
  <c r="G454" i="21"/>
  <c r="H454" i="21" s="1"/>
  <c r="G455" i="21"/>
  <c r="H455" i="21" s="1"/>
  <c r="G456" i="21"/>
  <c r="H456" i="21" s="1"/>
  <c r="G457" i="21"/>
  <c r="H457" i="21" s="1"/>
  <c r="G458" i="21"/>
  <c r="H458" i="21" s="1"/>
  <c r="G459" i="21"/>
  <c r="H459" i="21" s="1"/>
  <c r="G460" i="21"/>
  <c r="H460" i="21" s="1"/>
  <c r="G461" i="21"/>
  <c r="H461" i="21" s="1"/>
  <c r="G462" i="21"/>
  <c r="H462" i="21" s="1"/>
  <c r="G463" i="21"/>
  <c r="H463" i="21" s="1"/>
  <c r="G464" i="21"/>
  <c r="H464" i="21" s="1"/>
  <c r="G465" i="21"/>
  <c r="H465" i="21" s="1"/>
  <c r="G466" i="21"/>
  <c r="H466" i="21" s="1"/>
  <c r="G467" i="21"/>
  <c r="H467" i="21" s="1"/>
  <c r="G468" i="21"/>
  <c r="H468" i="21" s="1"/>
  <c r="G469" i="21"/>
  <c r="H469" i="21" s="1"/>
  <c r="G470" i="21"/>
  <c r="H470" i="21" s="1"/>
  <c r="G471" i="21"/>
  <c r="H471" i="21" s="1"/>
  <c r="G472" i="21"/>
  <c r="H472" i="21" s="1"/>
  <c r="G473" i="21"/>
  <c r="H473" i="21" s="1"/>
  <c r="G474" i="21"/>
  <c r="H474" i="21" s="1"/>
  <c r="G475" i="21"/>
  <c r="H475" i="21" s="1"/>
  <c r="G476" i="21"/>
  <c r="H476" i="21" s="1"/>
  <c r="G477" i="21"/>
  <c r="H477" i="21" s="1"/>
  <c r="G478" i="21"/>
  <c r="H478" i="21" s="1"/>
  <c r="G479" i="21"/>
  <c r="H479" i="21" s="1"/>
  <c r="G480" i="21"/>
  <c r="H480" i="21" s="1"/>
  <c r="G481" i="21"/>
  <c r="H481" i="21" s="1"/>
  <c r="G482" i="21"/>
  <c r="H482" i="21" s="1"/>
  <c r="G483" i="21"/>
  <c r="H483" i="21" s="1"/>
  <c r="G484" i="21"/>
  <c r="H484" i="21" s="1"/>
  <c r="G485" i="21"/>
  <c r="H485" i="21" s="1"/>
  <c r="G486" i="21"/>
  <c r="H486" i="21" s="1"/>
  <c r="G487" i="21"/>
  <c r="H487" i="21" s="1"/>
  <c r="G488" i="21"/>
  <c r="H488" i="21" s="1"/>
  <c r="G489" i="21"/>
  <c r="H489" i="21" s="1"/>
  <c r="G490" i="21"/>
  <c r="H490" i="21" s="1"/>
  <c r="G491" i="21"/>
  <c r="H491" i="21" s="1"/>
  <c r="G492" i="21"/>
  <c r="H492" i="21" s="1"/>
  <c r="G493" i="21"/>
  <c r="H493" i="21" s="1"/>
  <c r="G494" i="21"/>
  <c r="H494" i="21" s="1"/>
  <c r="G495" i="21"/>
  <c r="H495" i="21" s="1"/>
  <c r="G496" i="21"/>
  <c r="H496" i="21" s="1"/>
  <c r="G497" i="21"/>
  <c r="H497" i="21" s="1"/>
  <c r="G498" i="21"/>
  <c r="H498" i="21" s="1"/>
  <c r="G499" i="21"/>
  <c r="H499" i="21" s="1"/>
  <c r="G500" i="21"/>
  <c r="H500" i="21" s="1"/>
  <c r="G501" i="21"/>
  <c r="H501" i="21" s="1"/>
  <c r="G502" i="21"/>
  <c r="H502" i="21" s="1"/>
  <c r="G503" i="21"/>
  <c r="H503" i="21" s="1"/>
  <c r="G504" i="21"/>
  <c r="H504" i="21" s="1"/>
  <c r="G505" i="21"/>
  <c r="H505" i="21" s="1"/>
  <c r="G506" i="21"/>
  <c r="H506" i="21" s="1"/>
  <c r="G507" i="21"/>
  <c r="H507" i="21" s="1"/>
  <c r="G508" i="21"/>
  <c r="H508" i="21" s="1"/>
  <c r="G509" i="21"/>
  <c r="H509" i="21" s="1"/>
  <c r="G510" i="21"/>
  <c r="H510" i="21" s="1"/>
  <c r="G511" i="21"/>
  <c r="H511" i="21" s="1"/>
  <c r="G512" i="21"/>
  <c r="H512" i="21" s="1"/>
  <c r="G513" i="21"/>
  <c r="H513" i="21" s="1"/>
  <c r="G514" i="21"/>
  <c r="H514" i="21" s="1"/>
  <c r="G515" i="21"/>
  <c r="H515" i="21" s="1"/>
  <c r="G516" i="21"/>
  <c r="H516" i="21" s="1"/>
  <c r="G517" i="21"/>
  <c r="H517" i="21" s="1"/>
  <c r="G518" i="21"/>
  <c r="H518" i="21" s="1"/>
  <c r="G519" i="21"/>
  <c r="H519" i="21" s="1"/>
  <c r="G520" i="21"/>
  <c r="H520" i="21" s="1"/>
  <c r="G521" i="21"/>
  <c r="H521" i="21" s="1"/>
  <c r="G522" i="21"/>
  <c r="H522" i="21" s="1"/>
  <c r="G523" i="21"/>
  <c r="H523" i="21" s="1"/>
  <c r="G524" i="21"/>
  <c r="H524" i="21" s="1"/>
  <c r="H525" i="21"/>
  <c r="G439" i="21"/>
  <c r="H60" i="21" l="1"/>
  <c r="H59" i="21"/>
  <c r="H58" i="21"/>
  <c r="H45" i="21" l="1"/>
  <c r="H25" i="21"/>
  <c r="H439" i="21" l="1"/>
  <c r="H532" i="21" s="1"/>
  <c r="H539" i="21"/>
  <c r="H437" i="21"/>
  <c r="H276" i="21"/>
  <c r="H113" i="21"/>
  <c r="H115" i="21" s="1"/>
  <c r="H66" i="21"/>
  <c r="H65" i="21"/>
  <c r="H64" i="21"/>
  <c r="H63" i="21"/>
  <c r="H62" i="21"/>
  <c r="H46" i="21"/>
  <c r="H27" i="21"/>
  <c r="H26" i="21"/>
  <c r="H24" i="21"/>
  <c r="H23" i="21"/>
  <c r="H4" i="21"/>
  <c r="H3" i="21"/>
  <c r="F2" i="21"/>
  <c r="H2" i="21" s="1"/>
  <c r="J621" i="21"/>
  <c r="H583" i="21"/>
  <c r="H582" i="21"/>
  <c r="H581" i="21"/>
  <c r="H580" i="21"/>
  <c r="H578" i="21"/>
  <c r="H577" i="21"/>
  <c r="F436" i="21"/>
  <c r="H436" i="21" s="1"/>
  <c r="H353" i="21"/>
  <c r="H352" i="21"/>
  <c r="H351" i="21"/>
  <c r="H350" i="21"/>
  <c r="H349" i="21"/>
  <c r="H348" i="21"/>
  <c r="H347" i="21"/>
  <c r="H346" i="21"/>
  <c r="H345" i="21"/>
  <c r="H344" i="21"/>
  <c r="H343" i="21"/>
  <c r="H342" i="21"/>
  <c r="H341" i="21"/>
  <c r="H340" i="21"/>
  <c r="H339" i="21"/>
  <c r="H338" i="21"/>
  <c r="H337" i="21"/>
  <c r="H336" i="21"/>
  <c r="H335" i="21"/>
  <c r="H334" i="21"/>
  <c r="H333" i="21"/>
  <c r="H332" i="21"/>
  <c r="H331" i="21"/>
  <c r="H330" i="21"/>
  <c r="H279" i="21"/>
  <c r="H278" i="21"/>
  <c r="H277" i="21"/>
  <c r="I115" i="21"/>
  <c r="H114" i="21"/>
  <c r="H71" i="21"/>
  <c r="H70" i="21"/>
  <c r="H69" i="21"/>
  <c r="H68" i="21"/>
  <c r="H67" i="21"/>
  <c r="H57" i="21"/>
  <c r="H56" i="21"/>
  <c r="F55" i="21"/>
  <c r="H55" i="21" s="1"/>
  <c r="H54" i="21"/>
  <c r="H53" i="21"/>
  <c r="H51" i="21"/>
  <c r="H50" i="21"/>
  <c r="H49" i="21"/>
  <c r="H48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15" i="21"/>
  <c r="F14" i="21"/>
  <c r="H14" i="21" s="1"/>
  <c r="H12" i="21"/>
  <c r="F11" i="21"/>
  <c r="H11" i="21" s="1"/>
  <c r="H8" i="21"/>
  <c r="F7" i="21"/>
  <c r="H7" i="21" s="1"/>
  <c r="F6" i="21"/>
  <c r="H6" i="21" s="1"/>
  <c r="F5" i="21"/>
  <c r="H5" i="21" s="1"/>
  <c r="H722" i="20"/>
  <c r="H721" i="20"/>
  <c r="H720" i="20"/>
  <c r="H719" i="20"/>
  <c r="H718" i="20"/>
  <c r="H22" i="21" l="1"/>
  <c r="H75" i="21"/>
  <c r="H52" i="21"/>
  <c r="H13" i="21"/>
  <c r="H584" i="21"/>
  <c r="H61" i="21"/>
  <c r="H354" i="21"/>
  <c r="H438" i="21"/>
  <c r="H579" i="21"/>
  <c r="H636" i="20"/>
  <c r="H609" i="21" l="1"/>
  <c r="G626" i="20"/>
  <c r="H626" i="20" s="1"/>
  <c r="G523" i="20"/>
  <c r="H523" i="20" s="1"/>
  <c r="G524" i="20"/>
  <c r="H524" i="20" s="1"/>
  <c r="G525" i="20"/>
  <c r="H525" i="20" s="1"/>
  <c r="G526" i="20"/>
  <c r="H526" i="20" s="1"/>
  <c r="G527" i="20"/>
  <c r="H527" i="20" s="1"/>
  <c r="G528" i="20"/>
  <c r="H528" i="20" s="1"/>
  <c r="G529" i="20"/>
  <c r="H529" i="20" s="1"/>
  <c r="G530" i="20"/>
  <c r="H530" i="20" s="1"/>
  <c r="G531" i="20"/>
  <c r="H531" i="20" s="1"/>
  <c r="G532" i="20"/>
  <c r="H532" i="20" s="1"/>
  <c r="G533" i="20"/>
  <c r="H533" i="20" s="1"/>
  <c r="G534" i="20"/>
  <c r="H534" i="20" s="1"/>
  <c r="G535" i="20"/>
  <c r="H535" i="20" s="1"/>
  <c r="G536" i="20"/>
  <c r="H536" i="20" s="1"/>
  <c r="G537" i="20"/>
  <c r="H537" i="20" s="1"/>
  <c r="G538" i="20"/>
  <c r="H538" i="20" s="1"/>
  <c r="G539" i="20"/>
  <c r="H539" i="20" s="1"/>
  <c r="G540" i="20"/>
  <c r="H540" i="20" s="1"/>
  <c r="G541" i="20"/>
  <c r="H541" i="20" s="1"/>
  <c r="G542" i="20"/>
  <c r="H542" i="20" s="1"/>
  <c r="G543" i="20"/>
  <c r="H543" i="20" s="1"/>
  <c r="G544" i="20"/>
  <c r="H544" i="20" s="1"/>
  <c r="G545" i="20"/>
  <c r="H545" i="20" s="1"/>
  <c r="G546" i="20"/>
  <c r="H546" i="20" s="1"/>
  <c r="G547" i="20"/>
  <c r="H547" i="20" s="1"/>
  <c r="G548" i="20"/>
  <c r="H548" i="20" s="1"/>
  <c r="G549" i="20"/>
  <c r="H549" i="20" s="1"/>
  <c r="G550" i="20"/>
  <c r="H550" i="20" s="1"/>
  <c r="G551" i="20"/>
  <c r="H551" i="20" s="1"/>
  <c r="G552" i="20"/>
  <c r="H552" i="20" s="1"/>
  <c r="G553" i="20"/>
  <c r="H553" i="20" s="1"/>
  <c r="G554" i="20"/>
  <c r="H554" i="20" s="1"/>
  <c r="G555" i="20"/>
  <c r="H555" i="20" s="1"/>
  <c r="G556" i="20"/>
  <c r="H556" i="20" s="1"/>
  <c r="G557" i="20"/>
  <c r="H557" i="20" s="1"/>
  <c r="G558" i="20"/>
  <c r="H558" i="20" s="1"/>
  <c r="G559" i="20"/>
  <c r="H559" i="20" s="1"/>
  <c r="G560" i="20"/>
  <c r="H560" i="20" s="1"/>
  <c r="G561" i="20"/>
  <c r="H561" i="20" s="1"/>
  <c r="G562" i="20"/>
  <c r="H562" i="20" s="1"/>
  <c r="G563" i="20"/>
  <c r="H563" i="20" s="1"/>
  <c r="G564" i="20"/>
  <c r="H564" i="20" s="1"/>
  <c r="G565" i="20"/>
  <c r="H565" i="20" s="1"/>
  <c r="G566" i="20"/>
  <c r="H566" i="20" s="1"/>
  <c r="G567" i="20"/>
  <c r="H567" i="20" s="1"/>
  <c r="G568" i="20"/>
  <c r="H568" i="20" s="1"/>
  <c r="G569" i="20"/>
  <c r="H569" i="20" s="1"/>
  <c r="G570" i="20"/>
  <c r="H570" i="20" s="1"/>
  <c r="G571" i="20"/>
  <c r="H571" i="20" s="1"/>
  <c r="G572" i="20"/>
  <c r="H572" i="20" s="1"/>
  <c r="G573" i="20"/>
  <c r="H573" i="20" s="1"/>
  <c r="G574" i="20"/>
  <c r="H574" i="20" s="1"/>
  <c r="G575" i="20"/>
  <c r="H575" i="20" s="1"/>
  <c r="G576" i="20"/>
  <c r="H576" i="20" s="1"/>
  <c r="G577" i="20"/>
  <c r="H577" i="20" s="1"/>
  <c r="G578" i="20"/>
  <c r="H578" i="20" s="1"/>
  <c r="G579" i="20"/>
  <c r="H579" i="20" s="1"/>
  <c r="G580" i="20"/>
  <c r="H580" i="20" s="1"/>
  <c r="G581" i="20"/>
  <c r="H581" i="20" s="1"/>
  <c r="G582" i="20"/>
  <c r="H582" i="20" s="1"/>
  <c r="G583" i="20"/>
  <c r="H583" i="20" s="1"/>
  <c r="G584" i="20"/>
  <c r="H584" i="20" s="1"/>
  <c r="G585" i="20"/>
  <c r="H585" i="20" s="1"/>
  <c r="G586" i="20"/>
  <c r="H586" i="20" s="1"/>
  <c r="G587" i="20"/>
  <c r="H587" i="20" s="1"/>
  <c r="G588" i="20"/>
  <c r="H588" i="20" s="1"/>
  <c r="G589" i="20"/>
  <c r="H589" i="20" s="1"/>
  <c r="G590" i="20"/>
  <c r="H590" i="20" s="1"/>
  <c r="G591" i="20"/>
  <c r="H591" i="20" s="1"/>
  <c r="G592" i="20"/>
  <c r="H592" i="20" s="1"/>
  <c r="G593" i="20"/>
  <c r="H593" i="20" s="1"/>
  <c r="G594" i="20"/>
  <c r="H594" i="20" s="1"/>
  <c r="G595" i="20"/>
  <c r="H595" i="20" s="1"/>
  <c r="G596" i="20"/>
  <c r="H596" i="20" s="1"/>
  <c r="G597" i="20"/>
  <c r="H597" i="20" s="1"/>
  <c r="G598" i="20"/>
  <c r="H598" i="20" s="1"/>
  <c r="G599" i="20"/>
  <c r="H599" i="20" s="1"/>
  <c r="G600" i="20"/>
  <c r="H600" i="20" s="1"/>
  <c r="G601" i="20"/>
  <c r="H601" i="20" s="1"/>
  <c r="G602" i="20"/>
  <c r="H602" i="20" s="1"/>
  <c r="G603" i="20"/>
  <c r="H603" i="20" s="1"/>
  <c r="G604" i="20"/>
  <c r="H604" i="20" s="1"/>
  <c r="G605" i="20"/>
  <c r="H605" i="20" s="1"/>
  <c r="G606" i="20"/>
  <c r="H606" i="20" s="1"/>
  <c r="G607" i="20"/>
  <c r="H607" i="20" s="1"/>
  <c r="G608" i="20"/>
  <c r="H608" i="20" s="1"/>
  <c r="G609" i="20"/>
  <c r="H609" i="20" s="1"/>
  <c r="G610" i="20"/>
  <c r="H610" i="20" s="1"/>
  <c r="G611" i="20"/>
  <c r="H611" i="20" s="1"/>
  <c r="G612" i="20"/>
  <c r="H612" i="20" s="1"/>
  <c r="G613" i="20"/>
  <c r="H613" i="20" s="1"/>
  <c r="G614" i="20"/>
  <c r="H614" i="20" s="1"/>
  <c r="G615" i="20"/>
  <c r="H615" i="20" s="1"/>
  <c r="G616" i="20"/>
  <c r="H616" i="20" s="1"/>
  <c r="G617" i="20"/>
  <c r="H617" i="20" s="1"/>
  <c r="G618" i="20"/>
  <c r="H618" i="20" s="1"/>
  <c r="G619" i="20"/>
  <c r="H619" i="20" s="1"/>
  <c r="G620" i="20"/>
  <c r="H620" i="20" s="1"/>
  <c r="G621" i="20"/>
  <c r="H621" i="20" s="1"/>
  <c r="G622" i="20"/>
  <c r="H622" i="20" s="1"/>
  <c r="G623" i="20"/>
  <c r="H623" i="20" s="1"/>
  <c r="G624" i="20"/>
  <c r="H624" i="20" s="1"/>
  <c r="G625" i="20"/>
  <c r="H625" i="20" s="1"/>
  <c r="G627" i="20"/>
  <c r="H627" i="20" s="1"/>
  <c r="G628" i="20"/>
  <c r="H628" i="20" s="1"/>
  <c r="G629" i="20"/>
  <c r="H629" i="20" s="1"/>
  <c r="G630" i="20"/>
  <c r="H630" i="20" s="1"/>
  <c r="G631" i="20"/>
  <c r="H631" i="20" s="1"/>
  <c r="G632" i="20"/>
  <c r="H632" i="20" s="1"/>
  <c r="G522" i="20"/>
  <c r="H522" i="20" s="1"/>
  <c r="G687" i="20"/>
  <c r="G686" i="20"/>
  <c r="G718" i="19"/>
  <c r="H633" i="20" l="1"/>
  <c r="H712" i="20" l="1"/>
  <c r="H713" i="20"/>
  <c r="H684" i="20"/>
  <c r="H683" i="20"/>
  <c r="H682" i="20"/>
  <c r="H681" i="20"/>
  <c r="F679" i="20"/>
  <c r="H678" i="20"/>
  <c r="H677" i="20"/>
  <c r="H676" i="20"/>
  <c r="H675" i="20"/>
  <c r="H674" i="20"/>
  <c r="H673" i="20"/>
  <c r="H672" i="20"/>
  <c r="H671" i="20"/>
  <c r="H670" i="20"/>
  <c r="H669" i="20"/>
  <c r="H668" i="20"/>
  <c r="H667" i="20"/>
  <c r="H666" i="20"/>
  <c r="F665" i="20"/>
  <c r="H664" i="20"/>
  <c r="H663" i="20"/>
  <c r="H662" i="20"/>
  <c r="H661" i="20"/>
  <c r="H660" i="20"/>
  <c r="H659" i="20"/>
  <c r="H658" i="20"/>
  <c r="H657" i="20"/>
  <c r="H656" i="20"/>
  <c r="H655" i="20"/>
  <c r="H654" i="20"/>
  <c r="H653" i="20"/>
  <c r="H652" i="20"/>
  <c r="H651" i="20"/>
  <c r="H650" i="20"/>
  <c r="H649" i="20"/>
  <c r="H648" i="20"/>
  <c r="H647" i="20"/>
  <c r="H646" i="20"/>
  <c r="H645" i="20"/>
  <c r="H644" i="20"/>
  <c r="H643" i="20"/>
  <c r="H642" i="20"/>
  <c r="H641" i="20"/>
  <c r="H640" i="20"/>
  <c r="H639" i="20"/>
  <c r="H638" i="20"/>
  <c r="F680" i="20" l="1"/>
  <c r="H685" i="20"/>
  <c r="H679" i="20"/>
  <c r="H665" i="20"/>
  <c r="H343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05" i="20"/>
  <c r="K132" i="20"/>
  <c r="K104" i="20"/>
  <c r="H103" i="20"/>
  <c r="H102" i="20"/>
  <c r="K101" i="20"/>
  <c r="K100" i="20"/>
  <c r="H99" i="20"/>
  <c r="H98" i="20"/>
  <c r="H97" i="20"/>
  <c r="H96" i="20"/>
  <c r="H95" i="20"/>
  <c r="H93" i="20"/>
  <c r="H92" i="20"/>
  <c r="H91" i="20"/>
  <c r="H90" i="20"/>
  <c r="H89" i="20"/>
  <c r="H88" i="20"/>
  <c r="H680" i="20" l="1"/>
  <c r="H132" i="20"/>
  <c r="I132" i="20"/>
  <c r="H33" i="20"/>
  <c r="H37" i="20"/>
  <c r="H701" i="20" l="1"/>
  <c r="H700" i="20"/>
  <c r="H699" i="20"/>
  <c r="H698" i="20"/>
  <c r="H697" i="20"/>
  <c r="H696" i="20"/>
  <c r="H695" i="20"/>
  <c r="H694" i="20"/>
  <c r="H693" i="20"/>
  <c r="H692" i="20"/>
  <c r="H691" i="20"/>
  <c r="H690" i="20"/>
  <c r="H689" i="20"/>
  <c r="H703" i="20" l="1"/>
  <c r="H711" i="20"/>
  <c r="H710" i="20"/>
  <c r="H709" i="20"/>
  <c r="H708" i="20"/>
  <c r="H707" i="20"/>
  <c r="H706" i="20"/>
  <c r="H705" i="20"/>
  <c r="H704" i="20"/>
  <c r="H508" i="20"/>
  <c r="H507" i="20"/>
  <c r="H506" i="20"/>
  <c r="H505" i="20"/>
  <c r="H504" i="20"/>
  <c r="H503" i="20"/>
  <c r="H502" i="20"/>
  <c r="H501" i="20"/>
  <c r="H500" i="20"/>
  <c r="H499" i="20"/>
  <c r="H498" i="20"/>
  <c r="H497" i="20"/>
  <c r="H496" i="20"/>
  <c r="H495" i="20"/>
  <c r="H494" i="20"/>
  <c r="H493" i="20"/>
  <c r="H492" i="20"/>
  <c r="H491" i="20"/>
  <c r="H490" i="20"/>
  <c r="H489" i="20"/>
  <c r="H488" i="20"/>
  <c r="H487" i="20"/>
  <c r="H486" i="20"/>
  <c r="H485" i="20"/>
  <c r="H484" i="20"/>
  <c r="H483" i="20"/>
  <c r="H482" i="20"/>
  <c r="H480" i="20"/>
  <c r="H479" i="20"/>
  <c r="H478" i="20"/>
  <c r="H477" i="20"/>
  <c r="H476" i="20"/>
  <c r="H475" i="20"/>
  <c r="H474" i="20"/>
  <c r="H473" i="20"/>
  <c r="H472" i="20"/>
  <c r="H471" i="20"/>
  <c r="H470" i="20"/>
  <c r="H469" i="20"/>
  <c r="H468" i="20"/>
  <c r="H467" i="20"/>
  <c r="H466" i="20"/>
  <c r="H465" i="20"/>
  <c r="H464" i="20"/>
  <c r="H463" i="20"/>
  <c r="H462" i="20"/>
  <c r="H461" i="20"/>
  <c r="H460" i="20"/>
  <c r="H459" i="20"/>
  <c r="H458" i="20"/>
  <c r="H457" i="20"/>
  <c r="H456" i="20"/>
  <c r="H455" i="20"/>
  <c r="H454" i="20"/>
  <c r="H453" i="20"/>
  <c r="H452" i="20"/>
  <c r="H451" i="20"/>
  <c r="H450" i="20"/>
  <c r="H449" i="20"/>
  <c r="H448" i="20"/>
  <c r="H447" i="20"/>
  <c r="H446" i="20"/>
  <c r="H445" i="20"/>
  <c r="H444" i="20"/>
  <c r="H443" i="20"/>
  <c r="H442" i="20"/>
  <c r="H441" i="20"/>
  <c r="H440" i="20"/>
  <c r="H439" i="20"/>
  <c r="H438" i="20"/>
  <c r="H437" i="20"/>
  <c r="H436" i="20"/>
  <c r="H435" i="20"/>
  <c r="H434" i="20"/>
  <c r="H433" i="20"/>
  <c r="H432" i="20"/>
  <c r="H431" i="20"/>
  <c r="H430" i="20"/>
  <c r="H429" i="20"/>
  <c r="H428" i="20"/>
  <c r="H412" i="20"/>
  <c r="H411" i="20"/>
  <c r="H410" i="20"/>
  <c r="H409" i="20"/>
  <c r="H408" i="20"/>
  <c r="H407" i="20"/>
  <c r="H406" i="20"/>
  <c r="H405" i="20"/>
  <c r="H404" i="20"/>
  <c r="H403" i="20"/>
  <c r="H402" i="20"/>
  <c r="H401" i="20"/>
  <c r="H400" i="20"/>
  <c r="H395" i="20"/>
  <c r="H394" i="20"/>
  <c r="H393" i="20"/>
  <c r="H392" i="20"/>
  <c r="H391" i="20"/>
  <c r="H390" i="20"/>
  <c r="H389" i="20"/>
  <c r="H388" i="20"/>
  <c r="H387" i="20"/>
  <c r="H386" i="20"/>
  <c r="H385" i="20"/>
  <c r="H384" i="20"/>
  <c r="H383" i="20"/>
  <c r="H382" i="20"/>
  <c r="H381" i="20"/>
  <c r="H380" i="20"/>
  <c r="H379" i="20"/>
  <c r="H378" i="20"/>
  <c r="H377" i="20"/>
  <c r="H376" i="20"/>
  <c r="H375" i="20"/>
  <c r="H374" i="20"/>
  <c r="H373" i="20"/>
  <c r="H372" i="20"/>
  <c r="H371" i="20"/>
  <c r="H370" i="20"/>
  <c r="H396" i="20"/>
  <c r="H369" i="20"/>
  <c r="H368" i="20"/>
  <c r="H367" i="20"/>
  <c r="H366" i="20"/>
  <c r="H365" i="20"/>
  <c r="H364" i="20"/>
  <c r="H363" i="20"/>
  <c r="H362" i="20"/>
  <c r="H361" i="20"/>
  <c r="H86" i="20"/>
  <c r="H85" i="20"/>
  <c r="H84" i="20"/>
  <c r="H83" i="20"/>
  <c r="H82" i="20"/>
  <c r="H80" i="20"/>
  <c r="H79" i="20"/>
  <c r="H78" i="20"/>
  <c r="H77" i="20"/>
  <c r="H76" i="20"/>
  <c r="H75" i="20"/>
  <c r="H74" i="20"/>
  <c r="H73" i="20"/>
  <c r="H72" i="20"/>
  <c r="H71" i="20"/>
  <c r="H87" i="20" l="1"/>
  <c r="H714" i="20"/>
  <c r="H509" i="20"/>
  <c r="H413" i="20"/>
  <c r="I509" i="20"/>
  <c r="H13" i="20" l="1"/>
  <c r="H12" i="20"/>
  <c r="H10" i="20"/>
  <c r="F9" i="20"/>
  <c r="H9" i="20" s="1"/>
  <c r="H344" i="20"/>
  <c r="H67" i="20" l="1"/>
  <c r="H68" i="20"/>
  <c r="H69" i="20"/>
  <c r="H342" i="20" l="1"/>
  <c r="H635" i="20" l="1"/>
  <c r="H634" i="20"/>
  <c r="H637" i="20" l="1"/>
  <c r="H518" i="20"/>
  <c r="H517" i="20"/>
  <c r="H516" i="20"/>
  <c r="H515" i="20"/>
  <c r="H359" i="20"/>
  <c r="H358" i="20"/>
  <c r="H133" i="20"/>
  <c r="H137" i="20" s="1"/>
  <c r="H38" i="20"/>
  <c r="H36" i="20"/>
  <c r="H35" i="20"/>
  <c r="H32" i="20"/>
  <c r="H31" i="20"/>
  <c r="H30" i="20"/>
  <c r="H29" i="20"/>
  <c r="H28" i="20"/>
  <c r="H27" i="20"/>
  <c r="H26" i="20"/>
  <c r="H6" i="20"/>
  <c r="H3" i="20"/>
  <c r="H2" i="20"/>
  <c r="H521" i="20" l="1"/>
  <c r="H360" i="20"/>
  <c r="H687" i="20"/>
  <c r="H686" i="20"/>
  <c r="H520" i="20"/>
  <c r="H519" i="20"/>
  <c r="H513" i="20"/>
  <c r="F511" i="20"/>
  <c r="H511" i="20" s="1"/>
  <c r="H510" i="20"/>
  <c r="H426" i="20"/>
  <c r="H425" i="20"/>
  <c r="H424" i="20"/>
  <c r="H423" i="20"/>
  <c r="H422" i="20"/>
  <c r="H421" i="20"/>
  <c r="H420" i="20"/>
  <c r="H419" i="20"/>
  <c r="H418" i="20"/>
  <c r="H417" i="20"/>
  <c r="H416" i="20"/>
  <c r="H415" i="20"/>
  <c r="H414" i="20"/>
  <c r="H356" i="20"/>
  <c r="H355" i="20"/>
  <c r="H354" i="20"/>
  <c r="H353" i="20"/>
  <c r="H352" i="20"/>
  <c r="H351" i="20"/>
  <c r="H350" i="20"/>
  <c r="H349" i="20"/>
  <c r="H348" i="20"/>
  <c r="H345" i="20"/>
  <c r="H347" i="20" s="1"/>
  <c r="I137" i="20"/>
  <c r="H136" i="20"/>
  <c r="H66" i="20"/>
  <c r="H65" i="20"/>
  <c r="F63" i="20"/>
  <c r="F64" i="20"/>
  <c r="H64" i="20" s="1"/>
  <c r="H61" i="20"/>
  <c r="H60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16" i="20"/>
  <c r="H15" i="20"/>
  <c r="F14" i="20"/>
  <c r="H14" i="20" s="1"/>
  <c r="H11" i="20"/>
  <c r="H8" i="20"/>
  <c r="H7" i="20"/>
  <c r="H4" i="20"/>
  <c r="H5" i="20" s="1"/>
  <c r="F491" i="16"/>
  <c r="I507" i="19"/>
  <c r="H688" i="20" l="1"/>
  <c r="H17" i="20"/>
  <c r="H514" i="20"/>
  <c r="H59" i="20"/>
  <c r="H70" i="20"/>
  <c r="H357" i="20"/>
  <c r="H427" i="20"/>
  <c r="I32" i="19"/>
  <c r="H715" i="20" l="1"/>
  <c r="H669" i="19"/>
  <c r="H670" i="19" s="1"/>
  <c r="G517" i="19" l="1"/>
  <c r="G518" i="19"/>
  <c r="G519" i="19"/>
  <c r="G520" i="19"/>
  <c r="G521" i="19"/>
  <c r="G522" i="19"/>
  <c r="G523" i="19"/>
  <c r="G524" i="19"/>
  <c r="G525" i="19"/>
  <c r="G526" i="19"/>
  <c r="G527" i="19"/>
  <c r="G528" i="19"/>
  <c r="G529" i="19"/>
  <c r="G530" i="19"/>
  <c r="G531" i="19"/>
  <c r="G532" i="19"/>
  <c r="G533" i="19"/>
  <c r="G534" i="19"/>
  <c r="G535" i="19"/>
  <c r="G536" i="19"/>
  <c r="G537" i="19"/>
  <c r="G538" i="19"/>
  <c r="G539" i="19"/>
  <c r="G540" i="19"/>
  <c r="H540" i="19" s="1"/>
  <c r="G541" i="19"/>
  <c r="H541" i="19" s="1"/>
  <c r="G542" i="19"/>
  <c r="H542" i="19" s="1"/>
  <c r="G543" i="19"/>
  <c r="H543" i="19" s="1"/>
  <c r="G544" i="19"/>
  <c r="H544" i="19" s="1"/>
  <c r="G545" i="19"/>
  <c r="H545" i="19" s="1"/>
  <c r="G546" i="19"/>
  <c r="H546" i="19" s="1"/>
  <c r="G547" i="19"/>
  <c r="H547" i="19" s="1"/>
  <c r="G548" i="19"/>
  <c r="H548" i="19" s="1"/>
  <c r="G549" i="19"/>
  <c r="H549" i="19" s="1"/>
  <c r="G550" i="19"/>
  <c r="H550" i="19" s="1"/>
  <c r="G551" i="19"/>
  <c r="H551" i="19" s="1"/>
  <c r="G552" i="19"/>
  <c r="H552" i="19" s="1"/>
  <c r="G553" i="19"/>
  <c r="H553" i="19" s="1"/>
  <c r="G554" i="19"/>
  <c r="H554" i="19" s="1"/>
  <c r="G555" i="19"/>
  <c r="H555" i="19" s="1"/>
  <c r="G556" i="19"/>
  <c r="H556" i="19" s="1"/>
  <c r="G557" i="19"/>
  <c r="H557" i="19" s="1"/>
  <c r="G558" i="19"/>
  <c r="H558" i="19" s="1"/>
  <c r="G559" i="19"/>
  <c r="H559" i="19" s="1"/>
  <c r="G560" i="19"/>
  <c r="H560" i="19" s="1"/>
  <c r="G561" i="19"/>
  <c r="H561" i="19" s="1"/>
  <c r="G562" i="19"/>
  <c r="H562" i="19" s="1"/>
  <c r="G563" i="19"/>
  <c r="H563" i="19" s="1"/>
  <c r="G564" i="19"/>
  <c r="H564" i="19" s="1"/>
  <c r="G565" i="19"/>
  <c r="H565" i="19" s="1"/>
  <c r="G566" i="19"/>
  <c r="H566" i="19" s="1"/>
  <c r="G567" i="19"/>
  <c r="H567" i="19" s="1"/>
  <c r="G568" i="19"/>
  <c r="H568" i="19" s="1"/>
  <c r="G569" i="19"/>
  <c r="H569" i="19" s="1"/>
  <c r="G570" i="19"/>
  <c r="H570" i="19" s="1"/>
  <c r="G571" i="19"/>
  <c r="H571" i="19" s="1"/>
  <c r="G572" i="19"/>
  <c r="H572" i="19" s="1"/>
  <c r="G573" i="19"/>
  <c r="H573" i="19" s="1"/>
  <c r="G574" i="19"/>
  <c r="H574" i="19" s="1"/>
  <c r="G575" i="19"/>
  <c r="H575" i="19" s="1"/>
  <c r="G576" i="19"/>
  <c r="H576" i="19" s="1"/>
  <c r="G577" i="19"/>
  <c r="H577" i="19" s="1"/>
  <c r="G578" i="19"/>
  <c r="H578" i="19" s="1"/>
  <c r="G579" i="19"/>
  <c r="H579" i="19" s="1"/>
  <c r="G580" i="19"/>
  <c r="H580" i="19" s="1"/>
  <c r="G581" i="19"/>
  <c r="H581" i="19" s="1"/>
  <c r="G582" i="19"/>
  <c r="H582" i="19" s="1"/>
  <c r="G583" i="19"/>
  <c r="H583" i="19" s="1"/>
  <c r="G584" i="19"/>
  <c r="H584" i="19" s="1"/>
  <c r="G585" i="19"/>
  <c r="H585" i="19" s="1"/>
  <c r="G586" i="19"/>
  <c r="H586" i="19" s="1"/>
  <c r="G587" i="19"/>
  <c r="H587" i="19" s="1"/>
  <c r="G588" i="19"/>
  <c r="H588" i="19" s="1"/>
  <c r="G589" i="19"/>
  <c r="H589" i="19" s="1"/>
  <c r="G590" i="19"/>
  <c r="H590" i="19" s="1"/>
  <c r="G591" i="19"/>
  <c r="H591" i="19" s="1"/>
  <c r="G592" i="19"/>
  <c r="H592" i="19" s="1"/>
  <c r="G593" i="19"/>
  <c r="H593" i="19" s="1"/>
  <c r="G594" i="19"/>
  <c r="H594" i="19" s="1"/>
  <c r="G595" i="19"/>
  <c r="H595" i="19" s="1"/>
  <c r="G596" i="19"/>
  <c r="H596" i="19" s="1"/>
  <c r="G597" i="19"/>
  <c r="H597" i="19" s="1"/>
  <c r="G598" i="19"/>
  <c r="H598" i="19" s="1"/>
  <c r="G599" i="19"/>
  <c r="H599" i="19" s="1"/>
  <c r="G600" i="19"/>
  <c r="H600" i="19" s="1"/>
  <c r="G601" i="19"/>
  <c r="H601" i="19" s="1"/>
  <c r="G602" i="19"/>
  <c r="H602" i="19" s="1"/>
  <c r="G603" i="19"/>
  <c r="H603" i="19" s="1"/>
  <c r="G604" i="19"/>
  <c r="H604" i="19" s="1"/>
  <c r="G605" i="19"/>
  <c r="H605" i="19" s="1"/>
  <c r="G606" i="19"/>
  <c r="H606" i="19" s="1"/>
  <c r="G607" i="19"/>
  <c r="H607" i="19" s="1"/>
  <c r="G608" i="19"/>
  <c r="H608" i="19" s="1"/>
  <c r="G609" i="19"/>
  <c r="H609" i="19" s="1"/>
  <c r="G610" i="19"/>
  <c r="H610" i="19" s="1"/>
  <c r="G611" i="19"/>
  <c r="H611" i="19" s="1"/>
  <c r="G612" i="19"/>
  <c r="H612" i="19" s="1"/>
  <c r="G613" i="19"/>
  <c r="H613" i="19" s="1"/>
  <c r="G614" i="19"/>
  <c r="H614" i="19" s="1"/>
  <c r="G615" i="19"/>
  <c r="H615" i="19" s="1"/>
  <c r="G616" i="19"/>
  <c r="H616" i="19" s="1"/>
  <c r="G617" i="19"/>
  <c r="H617" i="19" s="1"/>
  <c r="G618" i="19"/>
  <c r="H618" i="19" s="1"/>
  <c r="G619" i="19"/>
  <c r="H619" i="19" s="1"/>
  <c r="G620" i="19"/>
  <c r="H620" i="19" s="1"/>
  <c r="G621" i="19"/>
  <c r="H621" i="19" s="1"/>
  <c r="G622" i="19"/>
  <c r="H622" i="19" s="1"/>
  <c r="G623" i="19"/>
  <c r="H623" i="19" s="1"/>
  <c r="G624" i="19"/>
  <c r="H624" i="19" s="1"/>
  <c r="G625" i="19"/>
  <c r="H625" i="19" s="1"/>
  <c r="G626" i="19"/>
  <c r="H626" i="19" s="1"/>
  <c r="G627" i="19"/>
  <c r="H627" i="19" s="1"/>
  <c r="G628" i="19"/>
  <c r="H628" i="19" s="1"/>
  <c r="G629" i="19"/>
  <c r="H629" i="19" s="1"/>
  <c r="G630" i="19"/>
  <c r="H630" i="19" s="1"/>
  <c r="G631" i="19"/>
  <c r="H631" i="19" s="1"/>
  <c r="G632" i="19"/>
  <c r="H632" i="19" s="1"/>
  <c r="G633" i="19"/>
  <c r="H633" i="19" s="1"/>
  <c r="G634" i="19"/>
  <c r="H634" i="19" s="1"/>
  <c r="G635" i="19"/>
  <c r="H635" i="19" s="1"/>
  <c r="G636" i="19"/>
  <c r="H636" i="19" s="1"/>
  <c r="G637" i="19"/>
  <c r="H637" i="19" s="1"/>
  <c r="G638" i="19"/>
  <c r="H638" i="19" s="1"/>
  <c r="G639" i="19"/>
  <c r="H639" i="19" s="1"/>
  <c r="G640" i="19"/>
  <c r="H640" i="19" s="1"/>
  <c r="G641" i="19"/>
  <c r="H641" i="19" s="1"/>
  <c r="G642" i="19"/>
  <c r="H642" i="19" s="1"/>
  <c r="G643" i="19"/>
  <c r="H643" i="19" s="1"/>
  <c r="G644" i="19"/>
  <c r="H644" i="19" s="1"/>
  <c r="G645" i="19"/>
  <c r="H645" i="19" s="1"/>
  <c r="G646" i="19"/>
  <c r="H646" i="19" s="1"/>
  <c r="G647" i="19"/>
  <c r="H647" i="19" s="1"/>
  <c r="G648" i="19"/>
  <c r="H648" i="19" s="1"/>
  <c r="G649" i="19"/>
  <c r="H649" i="19" s="1"/>
  <c r="G650" i="19"/>
  <c r="H650" i="19" s="1"/>
  <c r="G651" i="19"/>
  <c r="H651" i="19" s="1"/>
  <c r="G652" i="19"/>
  <c r="H652" i="19" s="1"/>
  <c r="G653" i="19"/>
  <c r="H653" i="19" s="1"/>
  <c r="G654" i="19"/>
  <c r="H654" i="19" s="1"/>
  <c r="G655" i="19"/>
  <c r="H655" i="19" s="1"/>
  <c r="G656" i="19"/>
  <c r="H656" i="19" s="1"/>
  <c r="G657" i="19"/>
  <c r="H657" i="19" s="1"/>
  <c r="G658" i="19"/>
  <c r="H658" i="19" s="1"/>
  <c r="G659" i="19"/>
  <c r="H659" i="19" s="1"/>
  <c r="G660" i="19"/>
  <c r="H660" i="19" s="1"/>
  <c r="G661" i="19"/>
  <c r="H661" i="19" s="1"/>
  <c r="G662" i="19"/>
  <c r="H662" i="19" s="1"/>
  <c r="G663" i="19"/>
  <c r="H663" i="19" s="1"/>
  <c r="G664" i="19"/>
  <c r="H664" i="19" s="1"/>
  <c r="G665" i="19"/>
  <c r="H665" i="19" s="1"/>
  <c r="G666" i="19"/>
  <c r="H666" i="19" s="1"/>
  <c r="G667" i="19"/>
  <c r="H667" i="19" s="1"/>
  <c r="G516" i="19"/>
  <c r="H978" i="19" l="1"/>
  <c r="G719" i="19"/>
  <c r="H718" i="19"/>
  <c r="F506" i="19" l="1"/>
  <c r="H171" i="19"/>
  <c r="H83" i="16" l="1"/>
  <c r="H743" i="19" l="1"/>
  <c r="H742" i="19"/>
  <c r="H741" i="19"/>
  <c r="H740" i="19"/>
  <c r="H739" i="19"/>
  <c r="H738" i="19"/>
  <c r="H737" i="19"/>
  <c r="H736" i="19"/>
  <c r="H73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14" i="19"/>
  <c r="H413" i="19"/>
  <c r="H412" i="19"/>
  <c r="H411" i="19"/>
  <c r="H410" i="19"/>
  <c r="H409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416" i="19" l="1"/>
  <c r="H505" i="19"/>
  <c r="H744" i="19"/>
  <c r="H733" i="19"/>
  <c r="H732" i="19"/>
  <c r="H731" i="19"/>
  <c r="H730" i="19"/>
  <c r="H729" i="19"/>
  <c r="H728" i="19"/>
  <c r="H727" i="19"/>
  <c r="H726" i="19"/>
  <c r="H725" i="19"/>
  <c r="H724" i="19"/>
  <c r="H723" i="19"/>
  <c r="H722" i="19"/>
  <c r="H721" i="19"/>
  <c r="F716" i="19"/>
  <c r="H715" i="19"/>
  <c r="H714" i="19"/>
  <c r="H713" i="19"/>
  <c r="H712" i="19"/>
  <c r="H711" i="19"/>
  <c r="H710" i="19"/>
  <c r="H709" i="19"/>
  <c r="H708" i="19"/>
  <c r="H707" i="19"/>
  <c r="H706" i="19"/>
  <c r="H705" i="19"/>
  <c r="H704" i="19"/>
  <c r="H702" i="19"/>
  <c r="H703" i="19" s="1"/>
  <c r="F701" i="19"/>
  <c r="J700" i="19"/>
  <c r="H700" i="19"/>
  <c r="J699" i="19"/>
  <c r="H699" i="19"/>
  <c r="F698" i="19"/>
  <c r="H697" i="19"/>
  <c r="H696" i="19"/>
  <c r="H695" i="19"/>
  <c r="H694" i="19"/>
  <c r="H693" i="19"/>
  <c r="H692" i="19"/>
  <c r="H691" i="19"/>
  <c r="H690" i="19"/>
  <c r="H689" i="19"/>
  <c r="H688" i="19"/>
  <c r="H687" i="19"/>
  <c r="H686" i="19"/>
  <c r="H685" i="19"/>
  <c r="H684" i="19"/>
  <c r="H683" i="19"/>
  <c r="H682" i="19"/>
  <c r="H681" i="19"/>
  <c r="H680" i="19"/>
  <c r="H679" i="19"/>
  <c r="H678" i="19"/>
  <c r="H677" i="19"/>
  <c r="H676" i="19"/>
  <c r="H675" i="19"/>
  <c r="H674" i="19"/>
  <c r="H673" i="19"/>
  <c r="H672" i="19"/>
  <c r="H671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4" i="19"/>
  <c r="H131" i="19"/>
  <c r="H130" i="19"/>
  <c r="H129" i="19"/>
  <c r="H128" i="19"/>
  <c r="H127" i="19"/>
  <c r="H126" i="19"/>
  <c r="H124" i="19"/>
  <c r="H123" i="19"/>
  <c r="H122" i="19"/>
  <c r="H121" i="19"/>
  <c r="H120" i="19"/>
  <c r="H119" i="19"/>
  <c r="H117" i="19"/>
  <c r="H116" i="19"/>
  <c r="H115" i="19"/>
  <c r="H114" i="19"/>
  <c r="H113" i="19"/>
  <c r="H112" i="19"/>
  <c r="H111" i="19"/>
  <c r="H110" i="19"/>
  <c r="H109" i="19"/>
  <c r="H150" i="19"/>
  <c r="H152" i="19" s="1"/>
  <c r="H151" i="19"/>
  <c r="H153" i="19"/>
  <c r="H154" i="19"/>
  <c r="H155" i="19"/>
  <c r="H156" i="19"/>
  <c r="H157" i="19"/>
  <c r="H158" i="19"/>
  <c r="H159" i="19"/>
  <c r="H5" i="19"/>
  <c r="H4" i="19"/>
  <c r="H3" i="19"/>
  <c r="H2" i="19"/>
  <c r="H6" i="19" s="1"/>
  <c r="H734" i="19" l="1"/>
  <c r="H149" i="19"/>
  <c r="H701" i="19"/>
  <c r="H716" i="19"/>
  <c r="H698" i="19"/>
  <c r="H25" i="18"/>
  <c r="H24" i="18"/>
  <c r="H23" i="18"/>
  <c r="H22" i="18"/>
  <c r="H21" i="18"/>
  <c r="H27" i="19"/>
  <c r="H25" i="19"/>
  <c r="H26" i="19"/>
  <c r="H24" i="19"/>
  <c r="H26" i="18" l="1"/>
  <c r="I716" i="19"/>
  <c r="H717" i="19"/>
  <c r="H15" i="19"/>
  <c r="H16" i="19"/>
  <c r="H12" i="19"/>
  <c r="H13" i="19"/>
  <c r="H14" i="19"/>
  <c r="H539" i="19" l="1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1" i="19"/>
  <c r="H510" i="19"/>
  <c r="H509" i="19"/>
  <c r="H170" i="19"/>
  <c r="H169" i="19"/>
  <c r="H168" i="19"/>
  <c r="H167" i="19"/>
  <c r="H166" i="19"/>
  <c r="H165" i="19"/>
  <c r="H164" i="19"/>
  <c r="H163" i="19"/>
  <c r="H162" i="19"/>
  <c r="H161" i="19"/>
  <c r="H160" i="19"/>
  <c r="H320" i="17"/>
  <c r="H82" i="19"/>
  <c r="H81" i="19"/>
  <c r="H80" i="19"/>
  <c r="H79" i="19"/>
  <c r="H78" i="19"/>
  <c r="H77" i="19"/>
  <c r="H76" i="19"/>
  <c r="H75" i="19"/>
  <c r="H74" i="19"/>
  <c r="H73" i="19"/>
  <c r="H41" i="19"/>
  <c r="H40" i="19"/>
  <c r="H39" i="19"/>
  <c r="H38" i="19"/>
  <c r="H37" i="19"/>
  <c r="H36" i="19"/>
  <c r="H35" i="19"/>
  <c r="H34" i="19"/>
  <c r="H33" i="19"/>
  <c r="H31" i="19"/>
  <c r="H30" i="19"/>
  <c r="H29" i="19"/>
  <c r="H19" i="19"/>
  <c r="F8" i="19"/>
  <c r="H8" i="19" s="1"/>
  <c r="H7" i="19"/>
  <c r="H668" i="19" l="1"/>
  <c r="H512" i="19"/>
  <c r="H719" i="19"/>
  <c r="H720" i="19" s="1"/>
  <c r="M667" i="19"/>
  <c r="M666" i="19"/>
  <c r="M613" i="19"/>
  <c r="M612" i="19"/>
  <c r="M611" i="19"/>
  <c r="M584" i="19"/>
  <c r="M583" i="19"/>
  <c r="M582" i="19"/>
  <c r="M581" i="19"/>
  <c r="M580" i="19"/>
  <c r="M579" i="19"/>
  <c r="M578" i="19"/>
  <c r="M577" i="19"/>
  <c r="M576" i="19"/>
  <c r="M575" i="19"/>
  <c r="M574" i="19"/>
  <c r="M573" i="19"/>
  <c r="M572" i="19"/>
  <c r="M571" i="19"/>
  <c r="M570" i="19"/>
  <c r="M569" i="19"/>
  <c r="M568" i="19"/>
  <c r="M567" i="19"/>
  <c r="M566" i="19"/>
  <c r="M565" i="19"/>
  <c r="M564" i="19"/>
  <c r="M563" i="19"/>
  <c r="M562" i="19"/>
  <c r="M561" i="19"/>
  <c r="M560" i="19"/>
  <c r="M559" i="19"/>
  <c r="H514" i="19"/>
  <c r="H513" i="19"/>
  <c r="H506" i="19"/>
  <c r="H508" i="19" s="1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346" i="19"/>
  <c r="H345" i="19"/>
  <c r="H343" i="19"/>
  <c r="H340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39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00" i="19"/>
  <c r="H99" i="19"/>
  <c r="H98" i="19"/>
  <c r="H107" i="19"/>
  <c r="H106" i="19"/>
  <c r="H105" i="19"/>
  <c r="H104" i="19"/>
  <c r="H103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71" i="19"/>
  <c r="F70" i="19"/>
  <c r="H70" i="19" s="1"/>
  <c r="H69" i="19"/>
  <c r="H68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F54" i="19"/>
  <c r="H54" i="19" s="1"/>
  <c r="H53" i="19"/>
  <c r="H52" i="19"/>
  <c r="H51" i="19"/>
  <c r="H50" i="19"/>
  <c r="H49" i="19"/>
  <c r="H48" i="19"/>
  <c r="H47" i="19"/>
  <c r="H46" i="19"/>
  <c r="H45" i="19"/>
  <c r="H44" i="19"/>
  <c r="H43" i="19"/>
  <c r="H42" i="19"/>
  <c r="F28" i="19"/>
  <c r="H23" i="19"/>
  <c r="H28" i="19" s="1"/>
  <c r="H17" i="19"/>
  <c r="H11" i="19"/>
  <c r="H10" i="19"/>
  <c r="H9" i="19"/>
  <c r="H647" i="17"/>
  <c r="H18" i="19" l="1"/>
  <c r="H108" i="19"/>
  <c r="H342" i="19"/>
  <c r="I108" i="19"/>
  <c r="H67" i="19"/>
  <c r="H72" i="19"/>
  <c r="I71" i="19"/>
  <c r="H434" i="19"/>
  <c r="I668" i="19"/>
  <c r="M668" i="19"/>
  <c r="H651" i="17"/>
  <c r="H650" i="17"/>
  <c r="H649" i="17"/>
  <c r="H648" i="17"/>
  <c r="H646" i="17"/>
  <c r="H645" i="17"/>
  <c r="H644" i="17"/>
  <c r="H27" i="17"/>
  <c r="H26" i="17"/>
  <c r="H460" i="17"/>
  <c r="H459" i="17"/>
  <c r="H458" i="17"/>
  <c r="H457" i="17"/>
  <c r="H456" i="17"/>
  <c r="H455" i="17"/>
  <c r="H454" i="17"/>
  <c r="H453" i="17"/>
  <c r="H452" i="17"/>
  <c r="H451" i="17"/>
  <c r="H450" i="17"/>
  <c r="H449" i="17"/>
  <c r="H448" i="17"/>
  <c r="H447" i="17"/>
  <c r="H446" i="17"/>
  <c r="H445" i="17"/>
  <c r="H444" i="17"/>
  <c r="H443" i="17"/>
  <c r="H442" i="17"/>
  <c r="H441" i="17"/>
  <c r="H440" i="17"/>
  <c r="H439" i="17"/>
  <c r="H438" i="17"/>
  <c r="H437" i="17"/>
  <c r="H436" i="17"/>
  <c r="H435" i="17"/>
  <c r="H434" i="17"/>
  <c r="H433" i="17"/>
  <c r="H432" i="17"/>
  <c r="H431" i="17"/>
  <c r="H430" i="17"/>
  <c r="H429" i="17"/>
  <c r="H428" i="17"/>
  <c r="H427" i="17"/>
  <c r="H426" i="17"/>
  <c r="H425" i="17"/>
  <c r="H424" i="17"/>
  <c r="H423" i="17"/>
  <c r="H422" i="17"/>
  <c r="H421" i="17"/>
  <c r="H420" i="17"/>
  <c r="H419" i="17"/>
  <c r="H418" i="17"/>
  <c r="H417" i="17"/>
  <c r="H416" i="17"/>
  <c r="H415" i="17"/>
  <c r="H414" i="17"/>
  <c r="H413" i="17"/>
  <c r="H412" i="17"/>
  <c r="H411" i="17"/>
  <c r="H410" i="17"/>
  <c r="H409" i="17"/>
  <c r="H408" i="17"/>
  <c r="H407" i="17"/>
  <c r="H406" i="17"/>
  <c r="H405" i="17"/>
  <c r="H404" i="17"/>
  <c r="H403" i="17"/>
  <c r="H402" i="17"/>
  <c r="H401" i="17"/>
  <c r="H400" i="17"/>
  <c r="H399" i="17"/>
  <c r="H398" i="17"/>
  <c r="H397" i="17"/>
  <c r="H396" i="17"/>
  <c r="H372" i="17"/>
  <c r="H371" i="17"/>
  <c r="H370" i="17"/>
  <c r="H369" i="17"/>
  <c r="H368" i="17"/>
  <c r="H367" i="17"/>
  <c r="H366" i="17"/>
  <c r="H365" i="17"/>
  <c r="H364" i="17"/>
  <c r="H363" i="17"/>
  <c r="H362" i="17"/>
  <c r="H361" i="17"/>
  <c r="H360" i="17"/>
  <c r="H359" i="17"/>
  <c r="H358" i="17"/>
  <c r="H357" i="17"/>
  <c r="H356" i="17"/>
  <c r="H355" i="17"/>
  <c r="H354" i="17"/>
  <c r="H353" i="17"/>
  <c r="H352" i="17"/>
  <c r="H351" i="17"/>
  <c r="H350" i="17"/>
  <c r="H349" i="17"/>
  <c r="H348" i="17"/>
  <c r="H347" i="17"/>
  <c r="H346" i="17"/>
  <c r="H345" i="17"/>
  <c r="H344" i="17"/>
  <c r="H343" i="17"/>
  <c r="H342" i="17"/>
  <c r="H341" i="17"/>
  <c r="H340" i="17"/>
  <c r="H339" i="17"/>
  <c r="H338" i="17"/>
  <c r="H337" i="17"/>
  <c r="H336" i="17"/>
  <c r="H335" i="17"/>
  <c r="H334" i="17"/>
  <c r="H333" i="17"/>
  <c r="H332" i="17"/>
  <c r="H331" i="17"/>
  <c r="H330" i="17"/>
  <c r="H329" i="17"/>
  <c r="H328" i="17"/>
  <c r="H327" i="17"/>
  <c r="H326" i="17"/>
  <c r="H325" i="17"/>
  <c r="H324" i="17"/>
  <c r="H323" i="17"/>
  <c r="H322" i="17"/>
  <c r="H321" i="17"/>
  <c r="H745" i="19" l="1"/>
  <c r="H652" i="17"/>
  <c r="H373" i="17"/>
  <c r="N668" i="19"/>
  <c r="O668" i="19" s="1"/>
  <c r="H461" i="17"/>
  <c r="H638" i="17" l="1"/>
  <c r="G627" i="17"/>
  <c r="G626" i="17"/>
  <c r="H624" i="17"/>
  <c r="F623" i="17"/>
  <c r="H622" i="17"/>
  <c r="H621" i="17"/>
  <c r="H620" i="17"/>
  <c r="H619" i="17"/>
  <c r="H618" i="17"/>
  <c r="H616" i="17"/>
  <c r="F615" i="17"/>
  <c r="H614" i="17"/>
  <c r="H613" i="17"/>
  <c r="H612" i="17"/>
  <c r="H611" i="17"/>
  <c r="H610" i="17"/>
  <c r="H609" i="17"/>
  <c r="H608" i="17"/>
  <c r="H607" i="17"/>
  <c r="H606" i="17"/>
  <c r="H605" i="17"/>
  <c r="H604" i="17"/>
  <c r="H603" i="17"/>
  <c r="H602" i="17"/>
  <c r="H601" i="17"/>
  <c r="H600" i="17"/>
  <c r="H599" i="17"/>
  <c r="H598" i="17"/>
  <c r="H597" i="17"/>
  <c r="H596" i="17"/>
  <c r="H595" i="17"/>
  <c r="H594" i="17"/>
  <c r="H593" i="17"/>
  <c r="H591" i="17"/>
  <c r="H615" i="17" l="1"/>
  <c r="H623" i="17"/>
  <c r="H617" i="17"/>
  <c r="H625" i="17" l="1"/>
  <c r="G551" i="17"/>
  <c r="H551" i="17" s="1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H510" i="17" s="1"/>
  <c r="G511" i="17"/>
  <c r="H511" i="17" s="1"/>
  <c r="G512" i="17"/>
  <c r="H512" i="17" s="1"/>
  <c r="G513" i="17"/>
  <c r="H513" i="17" s="1"/>
  <c r="G514" i="17"/>
  <c r="H514" i="17" s="1"/>
  <c r="G515" i="17"/>
  <c r="H515" i="17" s="1"/>
  <c r="G516" i="17"/>
  <c r="H516" i="17" s="1"/>
  <c r="G517" i="17"/>
  <c r="H517" i="17" s="1"/>
  <c r="G518" i="17"/>
  <c r="H518" i="17" s="1"/>
  <c r="G519" i="17"/>
  <c r="H519" i="17" s="1"/>
  <c r="G520" i="17"/>
  <c r="H520" i="17" s="1"/>
  <c r="G521" i="17"/>
  <c r="H521" i="17" s="1"/>
  <c r="G522" i="17"/>
  <c r="H522" i="17" s="1"/>
  <c r="G523" i="17"/>
  <c r="H523" i="17" s="1"/>
  <c r="G524" i="17"/>
  <c r="H524" i="17" s="1"/>
  <c r="G525" i="17"/>
  <c r="H525" i="17" s="1"/>
  <c r="G526" i="17"/>
  <c r="H526" i="17" s="1"/>
  <c r="G527" i="17"/>
  <c r="H527" i="17" s="1"/>
  <c r="G528" i="17"/>
  <c r="H528" i="17" s="1"/>
  <c r="G529" i="17"/>
  <c r="H529" i="17" s="1"/>
  <c r="G530" i="17"/>
  <c r="H530" i="17" s="1"/>
  <c r="G531" i="17"/>
  <c r="H531" i="17" s="1"/>
  <c r="G532" i="17"/>
  <c r="H532" i="17" s="1"/>
  <c r="G533" i="17"/>
  <c r="H533" i="17" s="1"/>
  <c r="G534" i="17"/>
  <c r="H534" i="17" s="1"/>
  <c r="G535" i="17"/>
  <c r="H535" i="17" s="1"/>
  <c r="G536" i="17"/>
  <c r="H536" i="17" s="1"/>
  <c r="G537" i="17"/>
  <c r="H537" i="17" s="1"/>
  <c r="G538" i="17"/>
  <c r="H538" i="17" s="1"/>
  <c r="G539" i="17"/>
  <c r="H539" i="17" s="1"/>
  <c r="G540" i="17"/>
  <c r="H540" i="17" s="1"/>
  <c r="G541" i="17"/>
  <c r="H541" i="17" s="1"/>
  <c r="G542" i="17"/>
  <c r="H542" i="17" s="1"/>
  <c r="G543" i="17"/>
  <c r="H543" i="17" s="1"/>
  <c r="G544" i="17"/>
  <c r="H544" i="17" s="1"/>
  <c r="G545" i="17"/>
  <c r="H545" i="17" s="1"/>
  <c r="G546" i="17"/>
  <c r="H546" i="17" s="1"/>
  <c r="G547" i="17"/>
  <c r="H547" i="17" s="1"/>
  <c r="G548" i="17"/>
  <c r="H548" i="17" s="1"/>
  <c r="G549" i="17"/>
  <c r="H549" i="17" s="1"/>
  <c r="G550" i="17"/>
  <c r="H550" i="17" s="1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470" i="17"/>
  <c r="H302" i="17"/>
  <c r="H303" i="17"/>
  <c r="H118" i="17" l="1"/>
  <c r="H117" i="17"/>
  <c r="H116" i="17"/>
  <c r="H115" i="17"/>
  <c r="H114" i="17"/>
  <c r="H113" i="17"/>
  <c r="H111" i="17"/>
  <c r="H108" i="17"/>
  <c r="H107" i="17"/>
  <c r="H106" i="17"/>
  <c r="H105" i="17"/>
  <c r="H104" i="17"/>
  <c r="H103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3" i="17"/>
  <c r="H12" i="17"/>
  <c r="H13" i="17"/>
  <c r="H14" i="17"/>
  <c r="H11" i="17"/>
  <c r="H10" i="17"/>
  <c r="H119" i="17" l="1"/>
  <c r="H25" i="17"/>
  <c r="H24" i="17"/>
  <c r="H23" i="17"/>
  <c r="H22" i="17"/>
  <c r="H31" i="17" l="1"/>
  <c r="H7" i="18"/>
  <c r="H8" i="18"/>
  <c r="H9" i="18"/>
  <c r="H10" i="18"/>
  <c r="H6" i="18"/>
  <c r="H466" i="17"/>
  <c r="H11" i="18" l="1"/>
  <c r="H76" i="17"/>
  <c r="H69" i="17"/>
  <c r="H71" i="17"/>
  <c r="H72" i="17"/>
  <c r="H73" i="17"/>
  <c r="H74" i="17"/>
  <c r="H75" i="17"/>
  <c r="H632" i="17"/>
  <c r="H631" i="17"/>
  <c r="H630" i="17"/>
  <c r="H629" i="17"/>
  <c r="H498" i="17"/>
  <c r="H497" i="17"/>
  <c r="H496" i="17"/>
  <c r="H495" i="17"/>
  <c r="H494" i="17"/>
  <c r="H493" i="17"/>
  <c r="H492" i="17"/>
  <c r="H491" i="17"/>
  <c r="H490" i="17"/>
  <c r="H489" i="17"/>
  <c r="H488" i="17"/>
  <c r="H487" i="17"/>
  <c r="H486" i="17"/>
  <c r="H485" i="17"/>
  <c r="H484" i="17"/>
  <c r="H483" i="17"/>
  <c r="H482" i="17"/>
  <c r="H481" i="17"/>
  <c r="H480" i="17"/>
  <c r="H479" i="17"/>
  <c r="H478" i="17"/>
  <c r="H477" i="17"/>
  <c r="H476" i="17"/>
  <c r="H475" i="17"/>
  <c r="H474" i="17"/>
  <c r="H473" i="17"/>
  <c r="H472" i="17"/>
  <c r="H471" i="17"/>
  <c r="H470" i="17"/>
  <c r="H465" i="17"/>
  <c r="H469" i="17" s="1"/>
  <c r="H381" i="17"/>
  <c r="H380" i="17"/>
  <c r="H379" i="17"/>
  <c r="H378" i="17"/>
  <c r="H377" i="17"/>
  <c r="H376" i="17"/>
  <c r="H375" i="17"/>
  <c r="H374" i="17"/>
  <c r="H120" i="17"/>
  <c r="H122" i="17" s="1"/>
  <c r="H68" i="17"/>
  <c r="H68" i="16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15" i="17"/>
  <c r="H8" i="17"/>
  <c r="H2" i="17"/>
  <c r="H7" i="17" s="1"/>
  <c r="H642" i="17" l="1"/>
  <c r="H641" i="17"/>
  <c r="H640" i="17"/>
  <c r="H639" i="17"/>
  <c r="H637" i="17"/>
  <c r="H636" i="17"/>
  <c r="H635" i="17"/>
  <c r="H634" i="17"/>
  <c r="H633" i="17"/>
  <c r="H627" i="17"/>
  <c r="H626" i="17"/>
  <c r="H590" i="17"/>
  <c r="H592" i="17" s="1"/>
  <c r="H588" i="17"/>
  <c r="H589" i="17" s="1"/>
  <c r="H554" i="17"/>
  <c r="H552" i="17"/>
  <c r="H575" i="17"/>
  <c r="H573" i="17"/>
  <c r="H571" i="17"/>
  <c r="H569" i="17"/>
  <c r="H568" i="17"/>
  <c r="H567" i="17"/>
  <c r="H559" i="17"/>
  <c r="H561" i="17"/>
  <c r="H557" i="17"/>
  <c r="H585" i="17"/>
  <c r="H586" i="17"/>
  <c r="H584" i="17"/>
  <c r="H574" i="17"/>
  <c r="H558" i="17"/>
  <c r="H572" i="17"/>
  <c r="H570" i="17"/>
  <c r="H562" i="17"/>
  <c r="H564" i="17"/>
  <c r="H556" i="17"/>
  <c r="H553" i="17"/>
  <c r="H563" i="17"/>
  <c r="H560" i="17"/>
  <c r="H566" i="17"/>
  <c r="H555" i="17"/>
  <c r="H565" i="17"/>
  <c r="H509" i="17"/>
  <c r="H508" i="17"/>
  <c r="H507" i="17"/>
  <c r="H506" i="17"/>
  <c r="H505" i="17"/>
  <c r="H504" i="17"/>
  <c r="H503" i="17"/>
  <c r="H502" i="17"/>
  <c r="H501" i="17"/>
  <c r="H500" i="17"/>
  <c r="H499" i="17"/>
  <c r="H468" i="17"/>
  <c r="H467" i="17"/>
  <c r="F463" i="17"/>
  <c r="H463" i="17" s="1"/>
  <c r="H462" i="17"/>
  <c r="H394" i="17"/>
  <c r="L393" i="17"/>
  <c r="H393" i="17"/>
  <c r="H392" i="17"/>
  <c r="H391" i="17"/>
  <c r="H390" i="17"/>
  <c r="H389" i="17"/>
  <c r="H388" i="17"/>
  <c r="H387" i="17"/>
  <c r="H386" i="17"/>
  <c r="H385" i="17"/>
  <c r="H384" i="17"/>
  <c r="H383" i="17"/>
  <c r="H382" i="17"/>
  <c r="F320" i="17"/>
  <c r="H319" i="17"/>
  <c r="H318" i="17"/>
  <c r="H317" i="17"/>
  <c r="H316" i="17"/>
  <c r="H315" i="17"/>
  <c r="H314" i="17"/>
  <c r="H313" i="17"/>
  <c r="H312" i="17"/>
  <c r="H311" i="17"/>
  <c r="H310" i="17"/>
  <c r="H309" i="17"/>
  <c r="H308" i="17"/>
  <c r="H307" i="17"/>
  <c r="H306" i="17"/>
  <c r="H305" i="17"/>
  <c r="H304" i="17"/>
  <c r="H121" i="17"/>
  <c r="H87" i="17"/>
  <c r="H86" i="17"/>
  <c r="H85" i="17"/>
  <c r="H84" i="17"/>
  <c r="H83" i="17"/>
  <c r="H82" i="17"/>
  <c r="H81" i="17"/>
  <c r="H80" i="17"/>
  <c r="H79" i="17"/>
  <c r="H78" i="17"/>
  <c r="F70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3" i="17"/>
  <c r="H52" i="17"/>
  <c r="H51" i="17"/>
  <c r="H50" i="17"/>
  <c r="H49" i="17"/>
  <c r="F16" i="17"/>
  <c r="H16" i="17" s="1"/>
  <c r="H9" i="17"/>
  <c r="H17" i="17" s="1"/>
  <c r="H6" i="17"/>
  <c r="H5" i="17"/>
  <c r="H4" i="17"/>
  <c r="G509" i="16"/>
  <c r="H464" i="17" l="1"/>
  <c r="H628" i="17"/>
  <c r="H643" i="17"/>
  <c r="H587" i="17"/>
  <c r="K587" i="17" s="1"/>
  <c r="H67" i="17"/>
  <c r="H395" i="17"/>
  <c r="H70" i="17"/>
  <c r="H77" i="17" s="1"/>
  <c r="J320" i="17"/>
  <c r="K320" i="17" s="1"/>
  <c r="H509" i="16"/>
  <c r="H510" i="16" s="1"/>
  <c r="H507" i="16"/>
  <c r="F506" i="16"/>
  <c r="H504" i="16"/>
  <c r="H503" i="16"/>
  <c r="H502" i="16"/>
  <c r="H501" i="16"/>
  <c r="H500" i="16"/>
  <c r="H499" i="16"/>
  <c r="H498" i="16"/>
  <c r="H497" i="16"/>
  <c r="H496" i="16"/>
  <c r="H495" i="16"/>
  <c r="H494" i="16"/>
  <c r="H493" i="16"/>
  <c r="H492" i="16"/>
  <c r="H490" i="16"/>
  <c r="H489" i="16"/>
  <c r="F488" i="16"/>
  <c r="H487" i="16"/>
  <c r="H486" i="16"/>
  <c r="H485" i="16"/>
  <c r="H484" i="16"/>
  <c r="H483" i="16"/>
  <c r="H482" i="16"/>
  <c r="H481" i="16"/>
  <c r="H480" i="16"/>
  <c r="H479" i="16"/>
  <c r="H478" i="16"/>
  <c r="H477" i="16"/>
  <c r="H476" i="16"/>
  <c r="H475" i="16"/>
  <c r="H474" i="16"/>
  <c r="H473" i="16"/>
  <c r="H472" i="16"/>
  <c r="H471" i="16"/>
  <c r="H470" i="16"/>
  <c r="H469" i="16"/>
  <c r="H468" i="16"/>
  <c r="H467" i="16"/>
  <c r="H466" i="16"/>
  <c r="H465" i="16"/>
  <c r="H464" i="16"/>
  <c r="H463" i="16"/>
  <c r="H462" i="16"/>
  <c r="H653" i="17" l="1"/>
  <c r="H488" i="16"/>
  <c r="I587" i="17"/>
  <c r="H491" i="16"/>
  <c r="H506" i="16"/>
  <c r="H508" i="16" l="1"/>
  <c r="H460" i="16"/>
  <c r="H461" i="16" s="1"/>
  <c r="G368" i="16" l="1"/>
  <c r="H368" i="16" s="1"/>
  <c r="G369" i="16"/>
  <c r="H369" i="16" s="1"/>
  <c r="G370" i="16"/>
  <c r="H370" i="16" s="1"/>
  <c r="G371" i="16"/>
  <c r="H371" i="16" s="1"/>
  <c r="G372" i="16"/>
  <c r="H372" i="16" s="1"/>
  <c r="G373" i="16"/>
  <c r="H373" i="16" s="1"/>
  <c r="G374" i="16"/>
  <c r="H374" i="16" s="1"/>
  <c r="G375" i="16"/>
  <c r="H375" i="16" s="1"/>
  <c r="G376" i="16"/>
  <c r="H376" i="16" s="1"/>
  <c r="G377" i="16"/>
  <c r="H377" i="16" s="1"/>
  <c r="G378" i="16"/>
  <c r="H378" i="16" s="1"/>
  <c r="G379" i="16"/>
  <c r="H379" i="16" s="1"/>
  <c r="G380" i="16"/>
  <c r="H380" i="16" s="1"/>
  <c r="G381" i="16"/>
  <c r="H381" i="16" s="1"/>
  <c r="G382" i="16"/>
  <c r="H382" i="16" s="1"/>
  <c r="G383" i="16"/>
  <c r="H383" i="16" s="1"/>
  <c r="G384" i="16"/>
  <c r="H384" i="16" s="1"/>
  <c r="G385" i="16"/>
  <c r="H385" i="16" s="1"/>
  <c r="G386" i="16"/>
  <c r="H386" i="16" s="1"/>
  <c r="G387" i="16"/>
  <c r="H387" i="16" s="1"/>
  <c r="G388" i="16"/>
  <c r="H388" i="16" s="1"/>
  <c r="G389" i="16"/>
  <c r="H389" i="16" s="1"/>
  <c r="G390" i="16"/>
  <c r="H390" i="16" s="1"/>
  <c r="G391" i="16"/>
  <c r="H391" i="16" s="1"/>
  <c r="G392" i="16"/>
  <c r="H392" i="16" s="1"/>
  <c r="G393" i="16"/>
  <c r="H393" i="16" s="1"/>
  <c r="G394" i="16"/>
  <c r="H394" i="16" s="1"/>
  <c r="G395" i="16"/>
  <c r="H395" i="16" s="1"/>
  <c r="G396" i="16"/>
  <c r="H396" i="16" s="1"/>
  <c r="G397" i="16"/>
  <c r="H397" i="16" s="1"/>
  <c r="G398" i="16"/>
  <c r="H398" i="16" s="1"/>
  <c r="G399" i="16"/>
  <c r="H399" i="16" s="1"/>
  <c r="G400" i="16"/>
  <c r="H400" i="16" s="1"/>
  <c r="G401" i="16"/>
  <c r="H401" i="16" s="1"/>
  <c r="G402" i="16"/>
  <c r="H402" i="16" s="1"/>
  <c r="G403" i="16"/>
  <c r="H403" i="16" s="1"/>
  <c r="G404" i="16"/>
  <c r="H404" i="16" s="1"/>
  <c r="G405" i="16"/>
  <c r="H405" i="16" s="1"/>
  <c r="G406" i="16"/>
  <c r="H406" i="16" s="1"/>
  <c r="G407" i="16"/>
  <c r="H407" i="16" s="1"/>
  <c r="G408" i="16"/>
  <c r="H408" i="16" s="1"/>
  <c r="G409" i="16"/>
  <c r="H409" i="16" s="1"/>
  <c r="G410" i="16"/>
  <c r="H410" i="16" s="1"/>
  <c r="G411" i="16"/>
  <c r="H411" i="16" s="1"/>
  <c r="G412" i="16"/>
  <c r="H412" i="16" s="1"/>
  <c r="G413" i="16"/>
  <c r="H413" i="16" s="1"/>
  <c r="G414" i="16"/>
  <c r="H414" i="16" s="1"/>
  <c r="G415" i="16"/>
  <c r="H415" i="16" s="1"/>
  <c r="G416" i="16"/>
  <c r="H416" i="16" s="1"/>
  <c r="G417" i="16"/>
  <c r="H417" i="16" s="1"/>
  <c r="G418" i="16"/>
  <c r="H418" i="16" s="1"/>
  <c r="G419" i="16"/>
  <c r="H419" i="16" s="1"/>
  <c r="G420" i="16"/>
  <c r="H420" i="16" s="1"/>
  <c r="G421" i="16"/>
  <c r="H421" i="16" s="1"/>
  <c r="G422" i="16"/>
  <c r="H422" i="16" s="1"/>
  <c r="G423" i="16"/>
  <c r="H423" i="16" s="1"/>
  <c r="G424" i="16"/>
  <c r="H424" i="16" s="1"/>
  <c r="G425" i="16"/>
  <c r="H425" i="16" s="1"/>
  <c r="G426" i="16"/>
  <c r="H426" i="16" s="1"/>
  <c r="G427" i="16"/>
  <c r="H427" i="16" s="1"/>
  <c r="G428" i="16"/>
  <c r="H428" i="16" s="1"/>
  <c r="G429" i="16"/>
  <c r="H429" i="16" s="1"/>
  <c r="G430" i="16"/>
  <c r="H430" i="16" s="1"/>
  <c r="G431" i="16"/>
  <c r="H431" i="16" s="1"/>
  <c r="G432" i="16"/>
  <c r="H432" i="16" s="1"/>
  <c r="G433" i="16"/>
  <c r="H433" i="16" s="1"/>
  <c r="G434" i="16"/>
  <c r="H434" i="16" s="1"/>
  <c r="G435" i="16"/>
  <c r="H435" i="16" s="1"/>
  <c r="G436" i="16"/>
  <c r="H436" i="16" s="1"/>
  <c r="G437" i="16"/>
  <c r="H437" i="16" s="1"/>
  <c r="G438" i="16"/>
  <c r="H438" i="16" s="1"/>
  <c r="G439" i="16"/>
  <c r="H439" i="16" s="1"/>
  <c r="G440" i="16"/>
  <c r="H440" i="16" s="1"/>
  <c r="G441" i="16"/>
  <c r="H441" i="16" s="1"/>
  <c r="G442" i="16"/>
  <c r="H442" i="16" s="1"/>
  <c r="G443" i="16"/>
  <c r="H443" i="16" s="1"/>
  <c r="G444" i="16"/>
  <c r="H444" i="16" s="1"/>
  <c r="G445" i="16"/>
  <c r="H445" i="16" s="1"/>
  <c r="G446" i="16"/>
  <c r="H446" i="16" s="1"/>
  <c r="G447" i="16"/>
  <c r="H447" i="16" s="1"/>
  <c r="G448" i="16"/>
  <c r="H448" i="16" s="1"/>
  <c r="G449" i="16"/>
  <c r="H449" i="16" s="1"/>
  <c r="G450" i="16"/>
  <c r="H450" i="16" s="1"/>
  <c r="G451" i="16"/>
  <c r="H451" i="16" s="1"/>
  <c r="G452" i="16"/>
  <c r="H452" i="16" s="1"/>
  <c r="G453" i="16"/>
  <c r="H453" i="16" s="1"/>
  <c r="G454" i="16"/>
  <c r="H454" i="16" s="1"/>
  <c r="G455" i="16"/>
  <c r="H455" i="16" s="1"/>
  <c r="G456" i="16"/>
  <c r="H456" i="16" s="1"/>
  <c r="G457" i="16"/>
  <c r="H457" i="16" s="1"/>
  <c r="G458" i="16"/>
  <c r="H458" i="16" s="1"/>
  <c r="G367" i="16"/>
  <c r="G545" i="14"/>
  <c r="H525" i="16" l="1"/>
  <c r="H524" i="16"/>
  <c r="H523" i="16"/>
  <c r="H522" i="16"/>
  <c r="H521" i="16"/>
  <c r="H520" i="16"/>
  <c r="H519" i="16"/>
  <c r="H518" i="16"/>
  <c r="H517" i="16"/>
  <c r="H516" i="16"/>
  <c r="H515" i="16"/>
  <c r="H514" i="16"/>
  <c r="H513" i="16"/>
  <c r="H512" i="16"/>
  <c r="H511" i="16"/>
  <c r="H526" i="16" l="1"/>
  <c r="H111" i="16"/>
  <c r="H110" i="16"/>
  <c r="H109" i="16"/>
  <c r="H108" i="16"/>
  <c r="H106" i="16"/>
  <c r="H105" i="16"/>
  <c r="H104" i="16"/>
  <c r="H103" i="16"/>
  <c r="H102" i="16"/>
  <c r="H101" i="16"/>
  <c r="H100" i="16"/>
  <c r="H99" i="16"/>
  <c r="H97" i="16"/>
  <c r="H96" i="16"/>
  <c r="H95" i="16"/>
  <c r="H94" i="16"/>
  <c r="H93" i="16"/>
  <c r="H92" i="16"/>
  <c r="H91" i="16"/>
  <c r="H90" i="16"/>
  <c r="H89" i="16"/>
  <c r="H87" i="16"/>
  <c r="H86" i="16"/>
  <c r="H85" i="16"/>
  <c r="H84" i="16"/>
  <c r="H112" i="16" l="1"/>
  <c r="H358" i="16"/>
  <c r="H357" i="16"/>
  <c r="H356" i="16"/>
  <c r="H355" i="16"/>
  <c r="H354" i="16"/>
  <c r="H353" i="16"/>
  <c r="H352" i="16"/>
  <c r="H351" i="16"/>
  <c r="H350" i="16"/>
  <c r="H346" i="16"/>
  <c r="H345" i="16"/>
  <c r="H344" i="16"/>
  <c r="H343" i="16"/>
  <c r="H342" i="16"/>
  <c r="H341" i="16"/>
  <c r="H340" i="16"/>
  <c r="H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H321" i="16"/>
  <c r="H320" i="16"/>
  <c r="H319" i="16"/>
  <c r="H318" i="16"/>
  <c r="H317" i="16"/>
  <c r="H316" i="16"/>
  <c r="H315" i="16"/>
  <c r="H314" i="16"/>
  <c r="H313" i="16"/>
  <c r="H312" i="16"/>
  <c r="H311" i="16"/>
  <c r="H310" i="16"/>
  <c r="H309" i="16"/>
  <c r="H308" i="16"/>
  <c r="H307" i="16"/>
  <c r="H306" i="16"/>
  <c r="H305" i="16"/>
  <c r="H304" i="16"/>
  <c r="H303" i="16"/>
  <c r="H275" i="16"/>
  <c r="H274" i="16"/>
  <c r="H273" i="16"/>
  <c r="H272" i="16"/>
  <c r="H271" i="16"/>
  <c r="H270" i="16"/>
  <c r="H269" i="16"/>
  <c r="H268" i="16"/>
  <c r="H267" i="16"/>
  <c r="H266" i="16"/>
  <c r="H265" i="16"/>
  <c r="H264" i="16"/>
  <c r="H263" i="16"/>
  <c r="H262" i="16"/>
  <c r="H261" i="16"/>
  <c r="H260" i="16"/>
  <c r="H258" i="16"/>
  <c r="H257" i="16"/>
  <c r="H256" i="16"/>
  <c r="H255" i="16"/>
  <c r="H254" i="16"/>
  <c r="H253" i="16"/>
  <c r="H252" i="16"/>
  <c r="H251" i="16"/>
  <c r="H250" i="16"/>
  <c r="H249" i="16"/>
  <c r="H247" i="16"/>
  <c r="F246" i="16"/>
  <c r="H246" i="16" s="1"/>
  <c r="H245" i="16"/>
  <c r="H244" i="16"/>
  <c r="H243" i="16"/>
  <c r="H242" i="16"/>
  <c r="H241" i="16"/>
  <c r="H240" i="16"/>
  <c r="H239" i="16"/>
  <c r="H238" i="16"/>
  <c r="H237" i="16"/>
  <c r="H236" i="16"/>
  <c r="H235" i="16"/>
  <c r="H234" i="16"/>
  <c r="H276" i="16" l="1"/>
  <c r="H359" i="16"/>
  <c r="H9" i="16" l="1"/>
  <c r="H17" i="16" l="1"/>
  <c r="H18" i="16"/>
  <c r="H19" i="16"/>
  <c r="H20" i="16"/>
  <c r="H8" i="16" l="1"/>
  <c r="H5" i="16"/>
  <c r="H6" i="16"/>
  <c r="H7" i="16"/>
  <c r="H364" i="16" l="1"/>
  <c r="H366" i="16" s="1"/>
  <c r="H531" i="16"/>
  <c r="H532" i="16"/>
  <c r="H534" i="16" l="1"/>
  <c r="H533" i="16"/>
  <c r="H360" i="16"/>
  <c r="H221" i="16"/>
  <c r="H220" i="16"/>
  <c r="H116" i="16"/>
  <c r="H115" i="16"/>
  <c r="H384" i="14"/>
  <c r="H73" i="16"/>
  <c r="H72" i="16"/>
  <c r="H71" i="16"/>
  <c r="H70" i="16"/>
  <c r="H69" i="16"/>
  <c r="H29" i="16"/>
  <c r="H28" i="16"/>
  <c r="H27" i="16"/>
  <c r="H26" i="16"/>
  <c r="H25" i="16"/>
  <c r="H24" i="16"/>
  <c r="H23" i="16"/>
  <c r="H22" i="16"/>
  <c r="F4" i="16" l="1"/>
  <c r="H4" i="16" s="1"/>
  <c r="H12" i="16" s="1"/>
  <c r="H536" i="16"/>
  <c r="H535" i="16"/>
  <c r="H530" i="16"/>
  <c r="H529" i="16"/>
  <c r="H367" i="16"/>
  <c r="H459" i="16" s="1"/>
  <c r="H365" i="16"/>
  <c r="H362" i="16"/>
  <c r="F361" i="16"/>
  <c r="H361" i="16" s="1"/>
  <c r="H301" i="16"/>
  <c r="H300" i="16"/>
  <c r="H299" i="16"/>
  <c r="H298" i="16"/>
  <c r="H297" i="16"/>
  <c r="H296" i="16"/>
  <c r="H295" i="16"/>
  <c r="H294" i="16"/>
  <c r="H293" i="16"/>
  <c r="H292" i="16"/>
  <c r="H291" i="16"/>
  <c r="H290" i="16"/>
  <c r="H289" i="16"/>
  <c r="H288" i="16"/>
  <c r="H287" i="16"/>
  <c r="H286" i="16"/>
  <c r="H285" i="16"/>
  <c r="H284" i="16"/>
  <c r="H283" i="16"/>
  <c r="H282" i="16"/>
  <c r="H232" i="16"/>
  <c r="H231" i="16"/>
  <c r="F230" i="16"/>
  <c r="H219" i="16"/>
  <c r="H218" i="16"/>
  <c r="H217" i="16"/>
  <c r="H216" i="16"/>
  <c r="H215" i="16"/>
  <c r="H214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H198" i="16"/>
  <c r="H197" i="16"/>
  <c r="H196" i="16"/>
  <c r="H195" i="16"/>
  <c r="H194" i="16"/>
  <c r="H193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229" i="16"/>
  <c r="H228" i="16"/>
  <c r="H227" i="16"/>
  <c r="H226" i="16"/>
  <c r="H225" i="16"/>
  <c r="H224" i="16"/>
  <c r="H223" i="16"/>
  <c r="H222" i="16"/>
  <c r="H132" i="16"/>
  <c r="H131" i="16"/>
  <c r="H130" i="16"/>
  <c r="H129" i="16"/>
  <c r="H128" i="16"/>
  <c r="H127" i="16"/>
  <c r="H126" i="16"/>
  <c r="H125" i="16"/>
  <c r="H122" i="16"/>
  <c r="H121" i="16"/>
  <c r="H120" i="16"/>
  <c r="H119" i="16"/>
  <c r="H118" i="16"/>
  <c r="H117" i="16"/>
  <c r="H113" i="16"/>
  <c r="H78" i="16"/>
  <c r="H77" i="16"/>
  <c r="H76" i="16"/>
  <c r="H75" i="16"/>
  <c r="H74" i="16"/>
  <c r="H66" i="16"/>
  <c r="H65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16" i="16"/>
  <c r="H21" i="16" s="1"/>
  <c r="H11" i="16"/>
  <c r="H10" i="16"/>
  <c r="H2" i="16"/>
  <c r="H363" i="16" l="1"/>
  <c r="H82" i="16"/>
  <c r="H537" i="16"/>
  <c r="H64" i="16"/>
  <c r="H302" i="16"/>
  <c r="H230" i="16"/>
  <c r="H233" i="16"/>
  <c r="H538" i="16" l="1"/>
  <c r="G604" i="14"/>
  <c r="G603" i="14"/>
  <c r="G518" i="14"/>
  <c r="H518" i="14" s="1"/>
  <c r="G519" i="14"/>
  <c r="H519" i="14" s="1"/>
  <c r="G520" i="14"/>
  <c r="H520" i="14" s="1"/>
  <c r="G521" i="14"/>
  <c r="H521" i="14" s="1"/>
  <c r="G522" i="14"/>
  <c r="H522" i="14" s="1"/>
  <c r="G523" i="14"/>
  <c r="H523" i="14" s="1"/>
  <c r="G524" i="14"/>
  <c r="H524" i="14" s="1"/>
  <c r="G525" i="14"/>
  <c r="H525" i="14" s="1"/>
  <c r="G526" i="14"/>
  <c r="H526" i="14" s="1"/>
  <c r="G527" i="14"/>
  <c r="H527" i="14" s="1"/>
  <c r="G528" i="14"/>
  <c r="H528" i="14" s="1"/>
  <c r="G529" i="14"/>
  <c r="H529" i="14" s="1"/>
  <c r="G530" i="14"/>
  <c r="H530" i="14" s="1"/>
  <c r="G531" i="14"/>
  <c r="H531" i="14" s="1"/>
  <c r="G532" i="14"/>
  <c r="H532" i="14" s="1"/>
  <c r="G533" i="14"/>
  <c r="H533" i="14" s="1"/>
  <c r="G534" i="14"/>
  <c r="H534" i="14" s="1"/>
  <c r="G535" i="14"/>
  <c r="H535" i="14" s="1"/>
  <c r="G536" i="14"/>
  <c r="H536" i="14" s="1"/>
  <c r="G537" i="14"/>
  <c r="H537" i="14" s="1"/>
  <c r="H557" i="14"/>
  <c r="G492" i="14"/>
  <c r="G493" i="14"/>
  <c r="G494" i="14"/>
  <c r="G495" i="14"/>
  <c r="G496" i="14"/>
  <c r="G497" i="14"/>
  <c r="G498" i="14"/>
  <c r="G499" i="14"/>
  <c r="G500" i="14"/>
  <c r="G501" i="14"/>
  <c r="G502" i="14"/>
  <c r="G503" i="14"/>
  <c r="G504" i="14"/>
  <c r="G505" i="14"/>
  <c r="G506" i="14"/>
  <c r="G507" i="14"/>
  <c r="G508" i="14"/>
  <c r="G509" i="14"/>
  <c r="G510" i="14"/>
  <c r="G511" i="14"/>
  <c r="G512" i="14"/>
  <c r="G513" i="14"/>
  <c r="G514" i="14"/>
  <c r="G515" i="14"/>
  <c r="G516" i="14"/>
  <c r="G517" i="14"/>
  <c r="G538" i="14"/>
  <c r="G539" i="14"/>
  <c r="G540" i="14"/>
  <c r="G541" i="14"/>
  <c r="G542" i="14"/>
  <c r="G543" i="14"/>
  <c r="G544" i="14"/>
  <c r="G546" i="14"/>
  <c r="G547" i="14"/>
  <c r="G548" i="14"/>
  <c r="G549" i="14"/>
  <c r="G550" i="14"/>
  <c r="G551" i="14"/>
  <c r="G552" i="14"/>
  <c r="G553" i="14"/>
  <c r="G554" i="14"/>
  <c r="G491" i="14"/>
  <c r="H452" i="14"/>
  <c r="H451" i="14"/>
  <c r="H450" i="14"/>
  <c r="H449" i="14"/>
  <c r="H480" i="14"/>
  <c r="H479" i="14"/>
  <c r="H478" i="14"/>
  <c r="H477" i="14"/>
  <c r="H476" i="14"/>
  <c r="H475" i="14"/>
  <c r="H474" i="14"/>
  <c r="H473" i="14"/>
  <c r="H472" i="14"/>
  <c r="H471" i="14"/>
  <c r="H470" i="14"/>
  <c r="H469" i="14"/>
  <c r="H468" i="14"/>
  <c r="H467" i="14"/>
  <c r="H466" i="14"/>
  <c r="H465" i="14"/>
  <c r="H464" i="14"/>
  <c r="H463" i="14"/>
  <c r="H462" i="14"/>
  <c r="H461" i="14"/>
  <c r="H460" i="14"/>
  <c r="F459" i="14"/>
  <c r="H459" i="14" s="1"/>
  <c r="H458" i="14"/>
  <c r="H457" i="14"/>
  <c r="H456" i="14"/>
  <c r="H455" i="14"/>
  <c r="H454" i="14"/>
  <c r="H453" i="14"/>
  <c r="H481" i="14" l="1"/>
  <c r="H135" i="14" l="1"/>
  <c r="H133" i="14"/>
  <c r="H159" i="14" l="1"/>
  <c r="H15" i="14" l="1"/>
  <c r="H16" i="14"/>
  <c r="H163" i="14" l="1"/>
  <c r="K88" i="14"/>
  <c r="H90" i="14"/>
  <c r="H89" i="14"/>
  <c r="H88" i="14"/>
  <c r="H87" i="14"/>
  <c r="H86" i="14"/>
  <c r="H622" i="14" l="1"/>
  <c r="H625" i="14"/>
  <c r="H624" i="14"/>
  <c r="H611" i="14"/>
  <c r="H610" i="14"/>
  <c r="H609" i="14"/>
  <c r="H608" i="14"/>
  <c r="H607" i="14"/>
  <c r="H606" i="14"/>
  <c r="H484" i="14"/>
  <c r="H483" i="14"/>
  <c r="H482" i="14"/>
  <c r="H403" i="14"/>
  <c r="H402" i="14"/>
  <c r="H401" i="14"/>
  <c r="H400" i="14"/>
  <c r="H399" i="14"/>
  <c r="H398" i="14"/>
  <c r="H397" i="14"/>
  <c r="H395" i="14"/>
  <c r="H393" i="14"/>
  <c r="H392" i="14"/>
  <c r="H391" i="14"/>
  <c r="H390" i="14"/>
  <c r="H389" i="14"/>
  <c r="H388" i="14"/>
  <c r="H387" i="14"/>
  <c r="H385" i="14"/>
  <c r="H386" i="14" s="1"/>
  <c r="H160" i="14"/>
  <c r="H132" i="14"/>
  <c r="H131" i="14"/>
  <c r="H130" i="14"/>
  <c r="H127" i="14"/>
  <c r="H125" i="14"/>
  <c r="H124" i="14"/>
  <c r="H123" i="14"/>
  <c r="H122" i="14"/>
  <c r="H157" i="14"/>
  <c r="H156" i="14"/>
  <c r="H154" i="14"/>
  <c r="H153" i="14"/>
  <c r="H152" i="14"/>
  <c r="H151" i="14"/>
  <c r="H150" i="14"/>
  <c r="H120" i="14"/>
  <c r="H119" i="14"/>
  <c r="H118" i="14"/>
  <c r="H115" i="14"/>
  <c r="H114" i="14"/>
  <c r="H113" i="14"/>
  <c r="H149" i="14"/>
  <c r="H101" i="14"/>
  <c r="H100" i="14"/>
  <c r="H99" i="14"/>
  <c r="H98" i="14"/>
  <c r="H97" i="14"/>
  <c r="H96" i="14"/>
  <c r="H95" i="14"/>
  <c r="H94" i="14"/>
  <c r="H93" i="14"/>
  <c r="H92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485" i="14" l="1"/>
  <c r="H84" i="14"/>
  <c r="H83" i="14"/>
  <c r="H82" i="14"/>
  <c r="H81" i="14"/>
  <c r="F12" i="14" l="1"/>
  <c r="H12" i="14" s="1"/>
  <c r="H11" i="14"/>
  <c r="H5" i="14"/>
  <c r="H4" i="14"/>
  <c r="H3" i="14"/>
  <c r="H2" i="14"/>
  <c r="J645" i="14" l="1"/>
  <c r="H623" i="14"/>
  <c r="H626" i="14" s="1"/>
  <c r="H619" i="14"/>
  <c r="H618" i="14"/>
  <c r="H617" i="14"/>
  <c r="H616" i="14"/>
  <c r="H615" i="14"/>
  <c r="H614" i="14"/>
  <c r="H613" i="14"/>
  <c r="H612" i="14"/>
  <c r="H604" i="14"/>
  <c r="H603" i="14"/>
  <c r="H600" i="14"/>
  <c r="H599" i="14"/>
  <c r="H598" i="14"/>
  <c r="H597" i="14"/>
  <c r="H596" i="14"/>
  <c r="H595" i="14"/>
  <c r="H594" i="14"/>
  <c r="H593" i="14"/>
  <c r="H592" i="14"/>
  <c r="H591" i="14"/>
  <c r="H589" i="14"/>
  <c r="H590" i="14" s="1"/>
  <c r="F588" i="14"/>
  <c r="H587" i="14"/>
  <c r="H586" i="14"/>
  <c r="H585" i="14"/>
  <c r="H584" i="14"/>
  <c r="H583" i="14"/>
  <c r="H582" i="14"/>
  <c r="H581" i="14"/>
  <c r="H580" i="14"/>
  <c r="H579" i="14"/>
  <c r="H578" i="14"/>
  <c r="H577" i="14"/>
  <c r="H576" i="14"/>
  <c r="H575" i="14"/>
  <c r="H574" i="14"/>
  <c r="H573" i="14"/>
  <c r="H572" i="14"/>
  <c r="H571" i="14"/>
  <c r="H570" i="14"/>
  <c r="H569" i="14"/>
  <c r="H568" i="14"/>
  <c r="H567" i="14"/>
  <c r="H566" i="14"/>
  <c r="H565" i="14"/>
  <c r="H564" i="14"/>
  <c r="H563" i="14"/>
  <c r="H562" i="14"/>
  <c r="H561" i="14"/>
  <c r="H560" i="14"/>
  <c r="H559" i="14"/>
  <c r="H556" i="14"/>
  <c r="H558" i="14" s="1"/>
  <c r="H554" i="14"/>
  <c r="H553" i="14"/>
  <c r="H552" i="14"/>
  <c r="H551" i="14"/>
  <c r="H550" i="14"/>
  <c r="H549" i="14"/>
  <c r="H548" i="14"/>
  <c r="H547" i="14"/>
  <c r="H546" i="14"/>
  <c r="H545" i="14"/>
  <c r="H544" i="14"/>
  <c r="H543" i="14"/>
  <c r="H542" i="14"/>
  <c r="H541" i="14"/>
  <c r="H540" i="14"/>
  <c r="H539" i="14"/>
  <c r="H538" i="14"/>
  <c r="N537" i="14"/>
  <c r="N536" i="14"/>
  <c r="N535" i="14"/>
  <c r="N534" i="14"/>
  <c r="N533" i="14"/>
  <c r="N532" i="14"/>
  <c r="H517" i="14"/>
  <c r="H516" i="14"/>
  <c r="H515" i="14"/>
  <c r="H514" i="14"/>
  <c r="H513" i="14"/>
  <c r="H512" i="14"/>
  <c r="H511" i="14"/>
  <c r="H510" i="14"/>
  <c r="H509" i="14"/>
  <c r="H508" i="14"/>
  <c r="H507" i="14"/>
  <c r="H506" i="14"/>
  <c r="H505" i="14"/>
  <c r="H504" i="14"/>
  <c r="H503" i="14"/>
  <c r="H502" i="14"/>
  <c r="H501" i="14"/>
  <c r="H500" i="14"/>
  <c r="H499" i="14"/>
  <c r="H498" i="14"/>
  <c r="H497" i="14"/>
  <c r="H496" i="14"/>
  <c r="H495" i="14"/>
  <c r="H494" i="14"/>
  <c r="H493" i="14"/>
  <c r="H492" i="14"/>
  <c r="H491" i="14"/>
  <c r="H489" i="14"/>
  <c r="H487" i="14"/>
  <c r="H486" i="14"/>
  <c r="H488" i="14" s="1"/>
  <c r="H447" i="14"/>
  <c r="H446" i="14"/>
  <c r="H445" i="14"/>
  <c r="H444" i="14"/>
  <c r="H443" i="14"/>
  <c r="H442" i="14"/>
  <c r="H441" i="14"/>
  <c r="H440" i="14"/>
  <c r="H439" i="14"/>
  <c r="H438" i="14"/>
  <c r="H437" i="14"/>
  <c r="H436" i="14"/>
  <c r="H435" i="14"/>
  <c r="H434" i="14"/>
  <c r="H433" i="14"/>
  <c r="H432" i="14"/>
  <c r="H431" i="14"/>
  <c r="H430" i="14"/>
  <c r="H428" i="14"/>
  <c r="H427" i="14"/>
  <c r="H426" i="14"/>
  <c r="H425" i="14"/>
  <c r="H424" i="14"/>
  <c r="H423" i="14"/>
  <c r="H422" i="14"/>
  <c r="H421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7" i="14"/>
  <c r="H406" i="14"/>
  <c r="H405" i="14"/>
  <c r="H404" i="14"/>
  <c r="F384" i="14"/>
  <c r="H383" i="14"/>
  <c r="H382" i="14"/>
  <c r="H381" i="14"/>
  <c r="H380" i="14"/>
  <c r="H162" i="14"/>
  <c r="H165" i="14" s="1"/>
  <c r="H147" i="14"/>
  <c r="H145" i="14"/>
  <c r="H144" i="14"/>
  <c r="H143" i="14"/>
  <c r="H142" i="14"/>
  <c r="H141" i="14"/>
  <c r="H140" i="14"/>
  <c r="H139" i="14"/>
  <c r="H138" i="14"/>
  <c r="H137" i="14"/>
  <c r="H136" i="14"/>
  <c r="H134" i="14"/>
  <c r="H111" i="14"/>
  <c r="H110" i="14"/>
  <c r="H109" i="14"/>
  <c r="H108" i="14"/>
  <c r="H107" i="14"/>
  <c r="H106" i="14"/>
  <c r="H105" i="14"/>
  <c r="H104" i="14"/>
  <c r="H103" i="14"/>
  <c r="H102" i="14"/>
  <c r="H85" i="14"/>
  <c r="H91" i="14" s="1"/>
  <c r="H79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1" i="14"/>
  <c r="H50" i="14"/>
  <c r="H49" i="14"/>
  <c r="H48" i="14"/>
  <c r="H47" i="14"/>
  <c r="H46" i="14"/>
  <c r="H45" i="14"/>
  <c r="H43" i="14"/>
  <c r="H42" i="14"/>
  <c r="H40" i="14"/>
  <c r="H39" i="14"/>
  <c r="H38" i="14"/>
  <c r="H37" i="14"/>
  <c r="H36" i="14"/>
  <c r="H35" i="14"/>
  <c r="H18" i="14"/>
  <c r="F17" i="14"/>
  <c r="H17" i="14" s="1"/>
  <c r="H14" i="14"/>
  <c r="H13" i="14"/>
  <c r="H9" i="14"/>
  <c r="H8" i="14"/>
  <c r="H7" i="14"/>
  <c r="H6" i="14"/>
  <c r="H10" i="14" l="1"/>
  <c r="H19" i="14"/>
  <c r="H605" i="14"/>
  <c r="H555" i="14"/>
  <c r="J555" i="14" s="1"/>
  <c r="H448" i="14"/>
  <c r="H161" i="14"/>
  <c r="H620" i="14"/>
  <c r="H429" i="14"/>
  <c r="H112" i="14"/>
  <c r="H80" i="14"/>
  <c r="H588" i="14"/>
  <c r="H601" i="14"/>
  <c r="H602" i="14" l="1"/>
  <c r="H627" i="14" s="1"/>
  <c r="H654" i="14" l="1"/>
  <c r="H656" i="14" s="1"/>
</calcChain>
</file>

<file path=xl/sharedStrings.xml><?xml version="1.0" encoding="utf-8"?>
<sst xmlns="http://schemas.openxmlformats.org/spreadsheetml/2006/main" count="28192" uniqueCount="1958">
  <si>
    <t>출하일</t>
    <phoneticPr fontId="12" type="noConversion"/>
  </si>
  <si>
    <t>업체명</t>
    <phoneticPr fontId="12" type="noConversion"/>
  </si>
  <si>
    <t>품  명</t>
    <phoneticPr fontId="12" type="noConversion"/>
  </si>
  <si>
    <t>품  번</t>
    <phoneticPr fontId="12" type="noConversion"/>
  </si>
  <si>
    <t>라인</t>
    <phoneticPr fontId="14" type="noConversion"/>
  </si>
  <si>
    <t>수량</t>
    <phoneticPr fontId="14" type="noConversion"/>
  </si>
  <si>
    <t>단  가</t>
    <phoneticPr fontId="12" type="noConversion"/>
  </si>
  <si>
    <t>총  액</t>
    <phoneticPr fontId="12" type="noConversion"/>
  </si>
  <si>
    <t>비고</t>
    <phoneticPr fontId="12" type="noConversion"/>
  </si>
  <si>
    <t>MES처리여부</t>
    <phoneticPr fontId="14" type="noConversion"/>
  </si>
  <si>
    <t>(주)귀뚜라미범양냉방</t>
  </si>
  <si>
    <t>금</t>
  </si>
  <si>
    <t>회전자(K200)</t>
  </si>
  <si>
    <t>사</t>
  </si>
  <si>
    <t>고정자(차보)K21</t>
  </si>
  <si>
    <t>회전자(차보)K21</t>
  </si>
  <si>
    <t>대호기계공업㈜</t>
  </si>
  <si>
    <t>자</t>
  </si>
  <si>
    <t>DIFF CARRIER</t>
  </si>
  <si>
    <t>53111T02420-00</t>
  </si>
  <si>
    <t>CARRIER-DIFF</t>
  </si>
  <si>
    <t>53111T01510</t>
  </si>
  <si>
    <t>CARRIER CASE-DIFF</t>
  </si>
  <si>
    <t>53111T02420</t>
  </si>
  <si>
    <t>㈜일강</t>
  </si>
  <si>
    <t>CARRIER(프론트)</t>
  </si>
  <si>
    <t>53111T02072-00</t>
  </si>
  <si>
    <t>CAP-BRG</t>
  </si>
  <si>
    <t>53112T00850-00</t>
  </si>
  <si>
    <t>CARRIER(리어)</t>
  </si>
  <si>
    <t>53111T02083-00</t>
  </si>
  <si>
    <t>현대트랜시스㈜</t>
  </si>
  <si>
    <t>COVER</t>
  </si>
  <si>
    <t>CENTER HOUSING</t>
  </si>
  <si>
    <t>7061532804</t>
  </si>
  <si>
    <t>CASING MAIN,T-CASE,FRONT HALF</t>
  </si>
  <si>
    <t>70KWA81241</t>
  </si>
  <si>
    <t>CASING MAIN,T-CASE,REAR HALF</t>
  </si>
  <si>
    <t>70KWA81243</t>
  </si>
  <si>
    <t>CASE, MAIN, AXLE</t>
  </si>
  <si>
    <t>70KWA81351</t>
  </si>
  <si>
    <t>COVER, NON CW SIDE</t>
  </si>
  <si>
    <t>70KWA81382</t>
  </si>
  <si>
    <t>RETAINER, CROWN WHEEL BEARING</t>
  </si>
  <si>
    <t>70KWA81394</t>
  </si>
  <si>
    <t>RETAINER, BEARING</t>
  </si>
  <si>
    <t>70KWA81415</t>
  </si>
  <si>
    <t>COVER, PINION PUMP SIDE</t>
  </si>
  <si>
    <t>70KWA81432</t>
  </si>
  <si>
    <t>COVER, PINION SHAFT BLANKING</t>
  </si>
  <si>
    <t>70KWA81550</t>
  </si>
  <si>
    <t>CASING, AXLE 2 TO T-CASE</t>
  </si>
  <si>
    <t>70KWA81660</t>
  </si>
  <si>
    <t>CASING, AXLE 4 CONNECT BOX</t>
  </si>
  <si>
    <t>70KWA81911</t>
  </si>
  <si>
    <t>동림산업㈜</t>
  </si>
  <si>
    <t>F.W.HOUSING</t>
  </si>
  <si>
    <t>65.01401-5003</t>
  </si>
  <si>
    <t>현대로템(주)</t>
  </si>
  <si>
    <t>RBB21001JN0</t>
  </si>
  <si>
    <t>FRAME, BAY</t>
  </si>
  <si>
    <t>STX엔진㈜방산</t>
  </si>
  <si>
    <t>CHARGE AIR MANIFOLD ASSY, RIGH</t>
  </si>
  <si>
    <t>ELBOW ASSY</t>
  </si>
  <si>
    <t>COVER ASSY, FRONT WALL</t>
  </si>
  <si>
    <t>4235-8800102835</t>
  </si>
  <si>
    <t>GEAR CASE ASSY</t>
  </si>
  <si>
    <t>HOUSING ASSY, BLOW</t>
  </si>
  <si>
    <t>AIR DISTRIBUTOR HSG.A(MB871)</t>
  </si>
  <si>
    <t>2235-8710980917</t>
  </si>
  <si>
    <t>ERMB871</t>
  </si>
  <si>
    <t>HOUSING ASSY, FLYWHEEL</t>
  </si>
  <si>
    <t>3235-8802500405</t>
  </si>
  <si>
    <t>CHARGE AIR MANIFOLD ASSY, LEFT</t>
  </si>
  <si>
    <t>3235-8810901638</t>
  </si>
  <si>
    <t>3235-8810901738</t>
  </si>
  <si>
    <t>AIR FILTER HSG.B</t>
  </si>
  <si>
    <t>4235-8710940603</t>
  </si>
  <si>
    <t>NOZZLE</t>
  </si>
  <si>
    <t>3235-8802031157</t>
  </si>
  <si>
    <t>3235-8810100070</t>
  </si>
  <si>
    <t>ELBOW, COOLANT, OIL HEAT EXCHA</t>
  </si>
  <si>
    <t>3235-8812030129</t>
  </si>
  <si>
    <t>SEALING RING HOLDER</t>
  </si>
  <si>
    <t>2235-8700310158</t>
  </si>
  <si>
    <t>FLANGE</t>
  </si>
  <si>
    <t>2235-8701550044</t>
  </si>
  <si>
    <t>2235-8710310058</t>
  </si>
  <si>
    <t>PRESSURE PLATE</t>
  </si>
  <si>
    <t>2235-8710941541</t>
  </si>
  <si>
    <t>ELBOW.RIGHT(MB871)</t>
  </si>
  <si>
    <t>2235-8710980215</t>
  </si>
  <si>
    <t>AIR DISTRIBUTOR HSG.B(MB871)</t>
  </si>
  <si>
    <t>DISTRIBUTOR,LEFT(MB871)</t>
  </si>
  <si>
    <t>2235-8712030629</t>
  </si>
  <si>
    <t>SLEEVE</t>
  </si>
  <si>
    <t>2235-8731530053</t>
  </si>
  <si>
    <t>3235-8810900035</t>
  </si>
  <si>
    <t>SM201020060</t>
  </si>
  <si>
    <t>OIL PUMP HSG.(MB871)</t>
  </si>
  <si>
    <t>2235-8701810320</t>
  </si>
  <si>
    <t>CPL CONNECTOR</t>
  </si>
  <si>
    <t>2235-5802000684</t>
  </si>
  <si>
    <t>ELBOW</t>
  </si>
  <si>
    <t>2235-5802030324</t>
  </si>
  <si>
    <t>HOUSING</t>
  </si>
  <si>
    <t>SLIDE VALVE</t>
  </si>
  <si>
    <t>2235-5842030147</t>
  </si>
  <si>
    <t>CPL SOCKET PIPE</t>
  </si>
  <si>
    <t>2235-5842034053</t>
  </si>
  <si>
    <t>CPL PLUG-IN PIPE</t>
  </si>
  <si>
    <t>2235-5842034253</t>
  </si>
  <si>
    <t>2235-5842034353</t>
  </si>
  <si>
    <t>CONNECTION PIECE</t>
  </si>
  <si>
    <t>2235-8701870238</t>
  </si>
  <si>
    <t>ELBOW(MB871)</t>
  </si>
  <si>
    <t>2235-8712030624</t>
  </si>
  <si>
    <t>3235-8812030173</t>
  </si>
  <si>
    <t>CRANK CASE</t>
  </si>
  <si>
    <t>3270-R8810110401</t>
  </si>
  <si>
    <t>E00I002</t>
  </si>
  <si>
    <t>CRANK CASE RAW MATERIAL</t>
  </si>
  <si>
    <t>SM201010040</t>
  </si>
  <si>
    <t>OIL COLLECTING RING</t>
  </si>
  <si>
    <t>11.07130-0070B1</t>
  </si>
  <si>
    <t>부경테크윈</t>
  </si>
  <si>
    <t>8810780017R</t>
  </si>
  <si>
    <t>생</t>
  </si>
  <si>
    <t>SNT다이내믹스㈜</t>
    <phoneticPr fontId="14" type="noConversion"/>
  </si>
  <si>
    <t>하우징, 입력용(함침)</t>
  </si>
  <si>
    <t>60357979-1</t>
    <phoneticPr fontId="14" type="noConversion"/>
  </si>
  <si>
    <t>함침</t>
    <phoneticPr fontId="14" type="noConversion"/>
  </si>
  <si>
    <t>HOUSING-INPUT</t>
  </si>
  <si>
    <t>60357979
A640-15004-10</t>
  </si>
  <si>
    <t>SNT다이내믹스(주)</t>
  </si>
  <si>
    <t>PLATE,BACKING3RDCLUTCH</t>
  </si>
  <si>
    <t>BASE-FLTROIL</t>
  </si>
  <si>
    <t>다이헨한국㈜</t>
  </si>
  <si>
    <t>LOWER ARM</t>
  </si>
  <si>
    <t>L11700D02</t>
  </si>
  <si>
    <t>브이텍스코리아㈜</t>
  </si>
  <si>
    <t>엘에스엠트론㈜</t>
  </si>
  <si>
    <t>Case-Axle</t>
  </si>
  <si>
    <t>(주)피에스텍</t>
  </si>
  <si>
    <t>하우징,모듈용</t>
  </si>
  <si>
    <t>하우징,몸체</t>
  </si>
  <si>
    <t>㈜맥시스</t>
    <phoneticPr fontId="14" type="noConversion"/>
  </si>
  <si>
    <t>HOUSING Ass'y</t>
    <phoneticPr fontId="14" type="noConversion"/>
  </si>
  <si>
    <t>PGS11110</t>
    <phoneticPr fontId="14" type="noConversion"/>
  </si>
  <si>
    <t>금,자</t>
    <phoneticPr fontId="14" type="noConversion"/>
  </si>
  <si>
    <t>IMP</t>
  </si>
  <si>
    <t>SMR-40116SJ</t>
  </si>
  <si>
    <t>FOOT VALVE</t>
  </si>
  <si>
    <t>SUCTION COVER</t>
  </si>
  <si>
    <t>PUMP CASING</t>
  </si>
  <si>
    <t>INNER FRAME</t>
  </si>
  <si>
    <t>MOTOR FRAME</t>
  </si>
  <si>
    <t>DISCHARGE COVER</t>
  </si>
  <si>
    <t>OUTER FRAME</t>
  </si>
  <si>
    <t>SMR-401901SC</t>
  </si>
  <si>
    <t>INDUCER</t>
  </si>
  <si>
    <t>GUIDE VANE</t>
  </si>
  <si>
    <t>㈜알멕</t>
  </si>
  <si>
    <t>명화공업</t>
  </si>
  <si>
    <t>㈜티씨티</t>
  </si>
  <si>
    <t>하우징,하부</t>
  </si>
  <si>
    <t>그리드,입구</t>
  </si>
  <si>
    <t>A70051575</t>
  </si>
  <si>
    <t>튜브,지지용</t>
  </si>
  <si>
    <t>A70051568</t>
  </si>
  <si>
    <t>임펠러</t>
  </si>
  <si>
    <t>고정자(K200)</t>
  </si>
  <si>
    <t>COVER, CROWN WHEEL SIDE</t>
  </si>
  <si>
    <t>70KWA81412</t>
  </si>
  <si>
    <t>FLANGE, OIL PUMP</t>
  </si>
  <si>
    <t>70KWA81231</t>
  </si>
  <si>
    <t>7060741030</t>
  </si>
  <si>
    <t>COVER, PINION NON PUMP SIDE</t>
  </si>
  <si>
    <t>70KWA81652</t>
  </si>
  <si>
    <t>INPUT BEARING HOUSING</t>
  </si>
  <si>
    <t>7061532832</t>
  </si>
  <si>
    <t>송풍기(LH)</t>
  </si>
  <si>
    <t>송풍기(RH)</t>
  </si>
  <si>
    <t>송풍기 BOLT,MACHINE</t>
  </si>
  <si>
    <t>구</t>
  </si>
  <si>
    <t>송풍기WASHER,PLAIN</t>
  </si>
  <si>
    <t>불량대체</t>
    <phoneticPr fontId="11" type="noConversion"/>
  </si>
  <si>
    <t>RMU70020LZ0</t>
  </si>
  <si>
    <t>RMU70067MB0</t>
  </si>
  <si>
    <t>JOURNAL BOX/싱가폴</t>
  </si>
  <si>
    <t>CPL COVER</t>
  </si>
  <si>
    <t>2235-8710981017</t>
  </si>
  <si>
    <t>ELBOW(MB871) -&amp;gt;</t>
  </si>
  <si>
    <t>2235-8711870424</t>
  </si>
  <si>
    <t>2235-8712032124</t>
  </si>
  <si>
    <t>4235-8800101833</t>
  </si>
  <si>
    <t>SM207030030</t>
  </si>
  <si>
    <t>SM208010010</t>
  </si>
  <si>
    <t>SUPPORT, SHOCK ABSORBER</t>
  </si>
  <si>
    <t>SM213010130</t>
    <phoneticPr fontId="11" type="noConversion"/>
  </si>
  <si>
    <t>2235-8710980617</t>
  </si>
  <si>
    <t/>
  </si>
  <si>
    <t>HOUSING ASSY</t>
  </si>
  <si>
    <t>3235-8812000316</t>
  </si>
  <si>
    <t>OIL PAN ASSY</t>
  </si>
  <si>
    <t>4235-8810100513</t>
  </si>
  <si>
    <t>4235-8800101833</t>
    <phoneticPr fontId="11" type="noConversion"/>
  </si>
  <si>
    <t>SM202020030</t>
    <phoneticPr fontId="11" type="noConversion"/>
  </si>
  <si>
    <t>SM209040010</t>
    <phoneticPr fontId="11" type="noConversion"/>
  </si>
  <si>
    <t>SM209040050</t>
    <phoneticPr fontId="11" type="noConversion"/>
  </si>
  <si>
    <t>AIR BOX.A(MB871)</t>
  </si>
  <si>
    <t>4235-8710981038</t>
  </si>
  <si>
    <t>ER_V956</t>
  </si>
  <si>
    <t>ERV1163</t>
  </si>
  <si>
    <t>2235-5842000117</t>
  </si>
  <si>
    <t>ERIR871</t>
  </si>
  <si>
    <t>SEALING FRAME</t>
  </si>
  <si>
    <t>2235-8710942141</t>
  </si>
  <si>
    <t>STX엔진㈜방산</t>
    <phoneticPr fontId="11" type="noConversion"/>
  </si>
  <si>
    <t>SM207030030</t>
    <phoneticPr fontId="11" type="noConversion"/>
  </si>
  <si>
    <t>ER_V396</t>
  </si>
  <si>
    <t>STX엔진㈜민수</t>
    <phoneticPr fontId="11" type="noConversion"/>
  </si>
  <si>
    <t>60357979
A640-15004-10</t>
    <phoneticPr fontId="11" type="noConversion"/>
  </si>
  <si>
    <t>COVERS/O</t>
  </si>
  <si>
    <t>60358238(12288252)
A640-17028-10</t>
    <phoneticPr fontId="11" type="noConversion"/>
  </si>
  <si>
    <t>덮개좌측브레이크조절용</t>
  </si>
  <si>
    <t>피티오카바</t>
  </si>
  <si>
    <t>60618790
A620-30003-10</t>
  </si>
  <si>
    <t>하우징(트러니언좌측)</t>
  </si>
  <si>
    <t>피티오 하우징</t>
  </si>
  <si>
    <t>60618783
A620-31001-10</t>
    <phoneticPr fontId="11" type="noConversion"/>
  </si>
  <si>
    <t>L11700C01</t>
    <phoneticPr fontId="11" type="noConversion"/>
  </si>
  <si>
    <t>L11750B01</t>
    <phoneticPr fontId="11" type="noConversion"/>
  </si>
  <si>
    <t>ADAPTOR</t>
  </si>
  <si>
    <t>END ARM</t>
  </si>
  <si>
    <t>L11700B01</t>
    <phoneticPr fontId="11" type="noConversion"/>
  </si>
  <si>
    <t>L11700D02</t>
    <phoneticPr fontId="11" type="noConversion"/>
  </si>
  <si>
    <t>UPPER ARM</t>
    <phoneticPr fontId="11" type="noConversion"/>
  </si>
  <si>
    <t>L11700B02</t>
    <phoneticPr fontId="11" type="noConversion"/>
  </si>
  <si>
    <t>SHOULDER</t>
    <phoneticPr fontId="11" type="noConversion"/>
  </si>
  <si>
    <t>L11996C01</t>
    <phoneticPr fontId="11" type="noConversion"/>
  </si>
  <si>
    <t>SHOULDER</t>
  </si>
  <si>
    <t>I-F00134-2-06</t>
  </si>
  <si>
    <t>Z-13068-2-14</t>
  </si>
  <si>
    <t>Z-13068-2-10</t>
  </si>
  <si>
    <t>Z-13068-2-12</t>
  </si>
  <si>
    <t>I-F00134-2-05</t>
  </si>
  <si>
    <t>I-F0004-2-07</t>
  </si>
  <si>
    <t>I-F0004-2-05</t>
  </si>
  <si>
    <t>신코</t>
    <phoneticPr fontId="21" type="noConversion"/>
  </si>
  <si>
    <t>SM-10101SAR4</t>
    <phoneticPr fontId="11" type="noConversion"/>
  </si>
  <si>
    <t>SM-10101SAR4</t>
  </si>
  <si>
    <t>SM-701101SBR4</t>
    <phoneticPr fontId="11" type="noConversion"/>
  </si>
  <si>
    <t>SM-701102SDR2</t>
    <phoneticPr fontId="11" type="noConversion"/>
  </si>
  <si>
    <t>SM-701102SDR2</t>
  </si>
  <si>
    <t>SM-70115SBR4</t>
    <phoneticPr fontId="11" type="noConversion"/>
  </si>
  <si>
    <t>SM-70116SGR2</t>
    <phoneticPr fontId="11" type="noConversion"/>
  </si>
  <si>
    <t>SM-70116SJR2</t>
    <phoneticPr fontId="11" type="noConversion"/>
  </si>
  <si>
    <t>SM-70116SJR2</t>
  </si>
  <si>
    <t>SM-70150SHR2</t>
    <phoneticPr fontId="11" type="noConversion"/>
  </si>
  <si>
    <t>SMR-40101SLR1</t>
    <phoneticPr fontId="11" type="noConversion"/>
  </si>
  <si>
    <t>SMR-401102SMR1</t>
    <phoneticPr fontId="11" type="noConversion"/>
  </si>
  <si>
    <t>SMR-401102SMR1</t>
  </si>
  <si>
    <t>SMR-401901SC</t>
    <phoneticPr fontId="11" type="noConversion"/>
  </si>
  <si>
    <t>SM-70102SQ</t>
    <phoneticPr fontId="11" type="noConversion"/>
  </si>
  <si>
    <t>SM-10103SAR1</t>
    <phoneticPr fontId="11" type="noConversion"/>
  </si>
  <si>
    <t>SM-70101SP</t>
    <phoneticPr fontId="11" type="noConversion"/>
  </si>
  <si>
    <t>SM-70101SN</t>
    <phoneticPr fontId="11" type="noConversion"/>
  </si>
  <si>
    <t>SM-70101SN</t>
  </si>
  <si>
    <t>SM-70102SM</t>
    <phoneticPr fontId="11" type="noConversion"/>
  </si>
  <si>
    <t>SM-70150SHR2</t>
  </si>
  <si>
    <t>SM-101102SCR1</t>
    <phoneticPr fontId="11" type="noConversion"/>
  </si>
  <si>
    <t>SM-101102SCR1</t>
  </si>
  <si>
    <t>SM-10150SBR1</t>
    <phoneticPr fontId="11" type="noConversion"/>
  </si>
  <si>
    <t>SM-70115SCR3</t>
    <phoneticPr fontId="11" type="noConversion"/>
  </si>
  <si>
    <t>SMR-40116SJ</t>
    <phoneticPr fontId="11" type="noConversion"/>
  </si>
  <si>
    <t xml:space="preserve"> GM GEN6 FRT COVER [소재]</t>
    <phoneticPr fontId="11" type="noConversion"/>
  </si>
  <si>
    <t>튜브,조향용</t>
  </si>
  <si>
    <t>A70051563</t>
  </si>
  <si>
    <t>INT FLANGE</t>
  </si>
  <si>
    <t>7060740553</t>
  </si>
  <si>
    <t>65.01401-5013</t>
  </si>
  <si>
    <t>RMU70032LZ0</t>
  </si>
  <si>
    <t>RMU70073MB0</t>
  </si>
  <si>
    <t>RMU70074MB0</t>
  </si>
  <si>
    <t>RMU70472LZ0</t>
  </si>
  <si>
    <t>SM213010130</t>
  </si>
  <si>
    <t>SM202020030</t>
  </si>
  <si>
    <t>SM209040010</t>
  </si>
  <si>
    <t>SM209040050</t>
  </si>
  <si>
    <t>FLANGE,CYL BEARING</t>
  </si>
  <si>
    <t>2235-8712000546</t>
  </si>
  <si>
    <t>SM208010010</t>
    <phoneticPr fontId="11" type="noConversion"/>
  </si>
  <si>
    <t>COVER, INJ'PUMP DRIVE</t>
  </si>
  <si>
    <t>2235-5500700007</t>
  </si>
  <si>
    <t>ELBOW.LEFT(MB871)</t>
  </si>
  <si>
    <t>2235-8710980315</t>
  </si>
  <si>
    <t>COOLER SUPPORT</t>
  </si>
  <si>
    <t>2235-8710980730</t>
  </si>
  <si>
    <t>SM207050020</t>
    <phoneticPr fontId="11" type="noConversion"/>
  </si>
  <si>
    <t>DISTRIBUTOR,RIGHT(MB871)</t>
  </si>
  <si>
    <t>COMPRESSION HOUSING(MB871)</t>
  </si>
  <si>
    <t>4235-5100213501</t>
  </si>
  <si>
    <t>SM206020070</t>
    <phoneticPr fontId="11" type="noConversion"/>
  </si>
  <si>
    <t>SM209040090</t>
    <phoneticPr fontId="11" type="noConversion"/>
  </si>
  <si>
    <t>3235-8812000316</t>
    <phoneticPr fontId="11" type="noConversion"/>
  </si>
  <si>
    <t>FILLER NECK,WATER(MB871)</t>
  </si>
  <si>
    <t>4235-8712030030</t>
  </si>
  <si>
    <t>CRANKCASE COVER</t>
  </si>
  <si>
    <t>덮개, 유압식, 펌프 및 모터</t>
  </si>
  <si>
    <t>하우징, 유압식, 기어펌프</t>
  </si>
  <si>
    <t>연결기, 유체용, 펌프용</t>
  </si>
  <si>
    <t>하우징, 기계구동장치용</t>
  </si>
  <si>
    <t>61540278(A689-27503-10)</t>
    <phoneticPr fontId="11" type="noConversion"/>
  </si>
  <si>
    <t>하우징, 기계 구동장치용</t>
  </si>
  <si>
    <t>61540104(A689-27032-10)</t>
  </si>
  <si>
    <t>61540278(A689-27503-10)</t>
  </si>
  <si>
    <t>덮개, 축용</t>
  </si>
  <si>
    <t>61541825(A689-15507-10)</t>
  </si>
  <si>
    <t>덮개, 입구용</t>
  </si>
  <si>
    <t>분리기, 오일용</t>
  </si>
  <si>
    <t>61540109(A689-29504-10)</t>
    <phoneticPr fontId="11" type="noConversion"/>
  </si>
  <si>
    <t>61540330(A689-29733-10)</t>
  </si>
  <si>
    <t>61541774(A689-15604-10)</t>
  </si>
  <si>
    <t>61541835(A689-15701-10)</t>
  </si>
  <si>
    <t>12267199
A640-14024-10</t>
  </si>
  <si>
    <t>61540109(A689-29504-10)</t>
  </si>
  <si>
    <t>61540743(A689-36001-10)</t>
    <phoneticPr fontId="11" type="noConversion"/>
  </si>
  <si>
    <t>61540923(A689-35001-10)</t>
  </si>
  <si>
    <t>61540743(A689-36001-10)</t>
  </si>
  <si>
    <t>하우징</t>
  </si>
  <si>
    <t>12321746
A640-14280-10</t>
  </si>
  <si>
    <t>UPPER ARM</t>
  </si>
  <si>
    <t>L11700B01</t>
  </si>
  <si>
    <t>SM-10116SD</t>
    <phoneticPr fontId="11" type="noConversion"/>
  </si>
  <si>
    <t>SM-10116SD</t>
  </si>
  <si>
    <t>SM-70101SP</t>
  </si>
  <si>
    <t>SM-70102SP</t>
    <phoneticPr fontId="11" type="noConversion"/>
  </si>
  <si>
    <t>SM-10150SBR1</t>
  </si>
  <si>
    <t>SM-701101SBR4</t>
  </si>
  <si>
    <t>SM-70115SBR4</t>
  </si>
  <si>
    <t>SM-70115SCR3</t>
  </si>
  <si>
    <t>DN솔루션즈</t>
  </si>
  <si>
    <t>사</t>
    <phoneticPr fontId="11" type="noConversion"/>
  </si>
  <si>
    <t>수정품</t>
    <phoneticPr fontId="11" type="noConversion"/>
  </si>
  <si>
    <t>F.W.HOUSING</t>
    <phoneticPr fontId="21" type="noConversion"/>
  </si>
  <si>
    <t>65.01401-5013</t>
    <phoneticPr fontId="21" type="noConversion"/>
  </si>
  <si>
    <t>BRACKET</t>
  </si>
  <si>
    <t>7060741675</t>
  </si>
  <si>
    <t>7060741676</t>
  </si>
  <si>
    <t>7060741677</t>
  </si>
  <si>
    <t>7060741678</t>
  </si>
  <si>
    <t>7060741679</t>
  </si>
  <si>
    <t>7060741680</t>
  </si>
  <si>
    <t>STEERING H S G</t>
  </si>
  <si>
    <t>7060741881</t>
  </si>
  <si>
    <t>벽진㈜</t>
  </si>
  <si>
    <t>SM201020010</t>
    <phoneticPr fontId="11" type="noConversion"/>
  </si>
  <si>
    <t>HOUSING,THERMOSTAT ID:43</t>
  </si>
  <si>
    <t>2235-8712030473</t>
  </si>
  <si>
    <t>SM201020060</t>
    <phoneticPr fontId="11" type="noConversion"/>
  </si>
  <si>
    <t>2235-8712030629</t>
    <phoneticPr fontId="11" type="noConversion"/>
  </si>
  <si>
    <t>SM201010040</t>
    <phoneticPr fontId="11" type="noConversion"/>
  </si>
  <si>
    <t>2235-8710980617</t>
    <phoneticPr fontId="11" type="noConversion"/>
  </si>
  <si>
    <t>SM207020040</t>
  </si>
  <si>
    <t>E00I001</t>
  </si>
  <si>
    <t>60358226
A640-17011-00</t>
  </si>
  <si>
    <t>BAFFLE,LHOUTPUT</t>
  </si>
  <si>
    <t>12288028
A640-12270-10</t>
  </si>
  <si>
    <t>SUPPORT-INPUTBEVELGEAR</t>
  </si>
  <si>
    <t>덮개</t>
  </si>
  <si>
    <t>61541861(A689-26701-10)</t>
  </si>
  <si>
    <t>61541862(A689-26702-10)</t>
  </si>
  <si>
    <t>L11700C01</t>
  </si>
  <si>
    <t>CARRIER(리어)</t>
    <phoneticPr fontId="11" type="noConversion"/>
  </si>
  <si>
    <t>70KWA81432</t>
    <phoneticPr fontId="11" type="noConversion"/>
  </si>
  <si>
    <t>MAIN HOUSING</t>
  </si>
  <si>
    <t>65.01401-5024</t>
  </si>
  <si>
    <t>코레일</t>
    <phoneticPr fontId="11" type="noConversion"/>
  </si>
  <si>
    <t>에스알</t>
    <phoneticPr fontId="11" type="noConversion"/>
  </si>
  <si>
    <t>END COVER</t>
  </si>
  <si>
    <t>3235-8810100070</t>
    <phoneticPr fontId="11" type="noConversion"/>
  </si>
  <si>
    <t>12267186
A640-12202-10</t>
  </si>
  <si>
    <t>FLANGE,MOUNTING</t>
  </si>
  <si>
    <t>60618388
A620-15205-10</t>
  </si>
  <si>
    <t>COVER-CONTROL</t>
  </si>
  <si>
    <t>29533279(60357103)
A640-11138-10</t>
  </si>
  <si>
    <t>61539974(A689-24023-10)</t>
  </si>
  <si>
    <t>HOUSING-S/O</t>
  </si>
  <si>
    <t>60358220(12267140)
A640-17003-10</t>
  </si>
  <si>
    <t>L6300C01</t>
    <phoneticPr fontId="11" type="noConversion"/>
  </si>
  <si>
    <t>SM-70116SGR2</t>
  </si>
  <si>
    <t>SM-70102SN</t>
    <phoneticPr fontId="11" type="noConversion"/>
  </si>
  <si>
    <t>가공전</t>
    <phoneticPr fontId="11" type="noConversion"/>
  </si>
  <si>
    <t>가공후</t>
    <phoneticPr fontId="11" type="noConversion"/>
  </si>
  <si>
    <t>코마츠</t>
  </si>
  <si>
    <t>70KWA81241</t>
    <phoneticPr fontId="11" type="noConversion"/>
  </si>
  <si>
    <t>COVER(DTB)</t>
  </si>
  <si>
    <t>7060740347</t>
  </si>
  <si>
    <t>CASING MAIN,T-CASE,REAR HALF</t>
    <phoneticPr fontId="11" type="noConversion"/>
  </si>
  <si>
    <t>70KWA81243</t>
    <phoneticPr fontId="11" type="noConversion"/>
  </si>
  <si>
    <t>HOUSING,GEARBOX ASSY</t>
  </si>
  <si>
    <t>7060740312</t>
  </si>
  <si>
    <t>OIL PAN COVER - 750HP</t>
  </si>
  <si>
    <t>SM301020040</t>
  </si>
  <si>
    <t>OIL PAN SUMP - 750HP</t>
  </si>
  <si>
    <t>SM301020070</t>
  </si>
  <si>
    <t>FRONT COVER</t>
  </si>
  <si>
    <t>SM301040110</t>
  </si>
  <si>
    <t>THERMOSTAT CAP - 750HP</t>
  </si>
  <si>
    <t>SM307030010</t>
  </si>
  <si>
    <t>PIPE COOLANT RETURN - 750HP</t>
  </si>
  <si>
    <t>TAPPET FRAME</t>
  </si>
  <si>
    <t>SM304020010</t>
  </si>
  <si>
    <t>2235-5842001218</t>
  </si>
  <si>
    <t>2235-5842001318</t>
  </si>
  <si>
    <t>HOUSING,THERMOSTAT</t>
  </si>
  <si>
    <t>2235-8712030273</t>
  </si>
  <si>
    <t>DIAPHRAGM,CENTER</t>
  </si>
  <si>
    <t>L11750B01</t>
  </si>
  <si>
    <t>L11700B02</t>
  </si>
  <si>
    <t>SM-00250SA</t>
    <phoneticPr fontId="11" type="noConversion"/>
  </si>
  <si>
    <t>60358226
A640-17011-00</t>
    <phoneticPr fontId="11" type="noConversion"/>
  </si>
  <si>
    <t>SM307040010</t>
  </si>
  <si>
    <t>금</t>
    <phoneticPr fontId="11" type="noConversion"/>
  </si>
  <si>
    <t>FLYWHEEL HOUSING ASSY</t>
  </si>
  <si>
    <t>SM301040010</t>
  </si>
  <si>
    <t>MANIFOLD WATER</t>
  </si>
  <si>
    <t>CHARGE AIR MANIFOLD ASSY, RIGHT</t>
  </si>
  <si>
    <t>SUPPORT(MB871)</t>
  </si>
  <si>
    <t>2235-8712030344</t>
  </si>
  <si>
    <t>61541770(A689-15602-10)</t>
  </si>
  <si>
    <t>61541819(A689-15502-10)</t>
  </si>
  <si>
    <t>61540107(A689-29505-10)</t>
  </si>
  <si>
    <t>61539957(A689-24022-10)</t>
  </si>
  <si>
    <t>SMR200(P0133553) LR2657</t>
  </si>
  <si>
    <t>SM350(P0133550) LR2657</t>
  </si>
  <si>
    <t>OIL PAN - 520HP</t>
  </si>
  <si>
    <t>SM401020010</t>
  </si>
  <si>
    <t>THERMOSTAT CAP - 520HP</t>
  </si>
  <si>
    <t>SM407030010</t>
  </si>
  <si>
    <t>COOLANT RETURN PIPE 1</t>
  </si>
  <si>
    <t>SM407050010</t>
  </si>
  <si>
    <t>SM307020010</t>
  </si>
  <si>
    <t>베어링하우징중립단</t>
  </si>
  <si>
    <t>LINK ARM, ASSEMBLY</t>
  </si>
  <si>
    <t>RBD20001LT0</t>
  </si>
  <si>
    <t>부쉬</t>
    <phoneticPr fontId="11" type="noConversion"/>
  </si>
  <si>
    <t>SUPPORT</t>
  </si>
  <si>
    <t>OIL PAN</t>
  </si>
  <si>
    <t>2270-8710140401R</t>
  </si>
  <si>
    <t>2235-8700180102</t>
  </si>
  <si>
    <t>OIL PAN              OF ALUMINIUM</t>
  </si>
  <si>
    <t>2235-X59401400046</t>
  </si>
  <si>
    <t>2235-8712031624</t>
  </si>
  <si>
    <t>2235-8731840008</t>
  </si>
  <si>
    <t>61540015(A689-24511-10)</t>
  </si>
  <si>
    <t>61541242(A689-29831-10)</t>
  </si>
  <si>
    <t>COVERPOLFILTER</t>
  </si>
  <si>
    <t>SMR200(P0133744) LR2582</t>
  </si>
  <si>
    <t>SM350(P0141001) LR3479</t>
  </si>
  <si>
    <t>SM65(P0141010) LR3481</t>
  </si>
  <si>
    <t>SM350(P0152551) LR2729</t>
  </si>
  <si>
    <t>SMR200(P0141004) LR3479</t>
  </si>
  <si>
    <t>56B-15-53110</t>
    <phoneticPr fontId="11" type="noConversion"/>
  </si>
  <si>
    <t>TUBINE WHEEL</t>
  </si>
  <si>
    <t>7060740636</t>
  </si>
  <si>
    <t>TORBINE WHEEL</t>
  </si>
  <si>
    <t>60740636-2</t>
  </si>
  <si>
    <t>29533279(60357103)
A640-11138-10</t>
    <phoneticPr fontId="11" type="noConversion"/>
  </si>
  <si>
    <t>29533258(60357762)
A640-14360-10</t>
    <phoneticPr fontId="11" type="noConversion"/>
  </si>
  <si>
    <t>L11996C01</t>
  </si>
  <si>
    <t>L11761B02</t>
  </si>
  <si>
    <t>Body(320)</t>
  </si>
  <si>
    <t>Body(400)</t>
  </si>
  <si>
    <t>Z-98127-2-01</t>
  </si>
  <si>
    <t>Bonnet(400)</t>
  </si>
  <si>
    <t>Z-98127-2-02</t>
  </si>
  <si>
    <t>SM350(P0141009) LR3481</t>
  </si>
  <si>
    <t>SMR200(P0141016) LR3482</t>
  </si>
  <si>
    <t>SM65(P0152552) LR2729</t>
  </si>
  <si>
    <t>SM65(P0133555) LR2658</t>
  </si>
  <si>
    <t>SM65(P0141014) LR3482</t>
  </si>
  <si>
    <t>두원중공업</t>
  </si>
  <si>
    <t>고기동 탐색기부</t>
  </si>
  <si>
    <t>DN40-FF1101L</t>
  </si>
  <si>
    <t>전방 발사체</t>
  </si>
  <si>
    <t>기미부 동체</t>
  </si>
  <si>
    <t>DN40-BT0201L</t>
  </si>
  <si>
    <t>후방 발사체</t>
  </si>
  <si>
    <t>DN40-MF0201L</t>
  </si>
  <si>
    <t>벽진</t>
  </si>
  <si>
    <t>DIFF CARRIER</t>
    <phoneticPr fontId="11" type="noConversion"/>
  </si>
  <si>
    <t>53111T01510-00</t>
    <phoneticPr fontId="11" type="noConversion"/>
  </si>
  <si>
    <t>소재</t>
    <phoneticPr fontId="11" type="noConversion"/>
  </si>
  <si>
    <t>소재미처리</t>
    <phoneticPr fontId="11" type="noConversion"/>
  </si>
  <si>
    <t>가공미처리</t>
    <phoneticPr fontId="11" type="noConversion"/>
  </si>
  <si>
    <t>RBD20001LT0</t>
    <phoneticPr fontId="11" type="noConversion"/>
  </si>
  <si>
    <t>RMU70020LZ0</t>
    <phoneticPr fontId="11" type="noConversion"/>
  </si>
  <si>
    <t>JOURNAL BOX, ASSEMBLY LH</t>
  </si>
  <si>
    <t>RBB21010MJ0</t>
  </si>
  <si>
    <t>JOURNAL BOX, ASSEMBLY RH</t>
  </si>
  <si>
    <t>RBB21011MJ0</t>
  </si>
  <si>
    <t>65.01401-0246</t>
    <phoneticPr fontId="11" type="noConversion"/>
  </si>
  <si>
    <t>2235-8700130232</t>
  </si>
  <si>
    <t>2235-8710780168</t>
  </si>
  <si>
    <t>E24X916</t>
  </si>
  <si>
    <t>하우징, 변속기용, 기계식(좌출력)</t>
  </si>
  <si>
    <t>하우징, 변속기용, 기계식(우출력)</t>
  </si>
  <si>
    <t>CASE, REAR</t>
    <phoneticPr fontId="11" type="noConversion"/>
  </si>
  <si>
    <t>A70051574</t>
    <phoneticPr fontId="11" type="noConversion"/>
  </si>
  <si>
    <t>A70051570</t>
    <phoneticPr fontId="11" type="noConversion"/>
  </si>
  <si>
    <t>하우징,상부</t>
  </si>
  <si>
    <t>DN40-MF0101L</t>
    <phoneticPr fontId="11" type="noConversion"/>
  </si>
  <si>
    <t>코레일</t>
  </si>
  <si>
    <t>에스알</t>
  </si>
  <si>
    <t>현대트랜시스㈜중기</t>
    <phoneticPr fontId="11" type="noConversion"/>
  </si>
  <si>
    <t>7060740930</t>
  </si>
  <si>
    <t>JOURNAL BOX, ASSY LH</t>
  </si>
  <si>
    <t>RBB21010LN0</t>
  </si>
  <si>
    <t>JOURNAL BOX, ASSY RH</t>
  </si>
  <si>
    <t>RBB21011LN0</t>
  </si>
  <si>
    <t>RMU70067MB0</t>
    <phoneticPr fontId="11" type="noConversion"/>
  </si>
  <si>
    <t>E21X223</t>
  </si>
  <si>
    <t>E24X252</t>
  </si>
  <si>
    <t>E24X917</t>
  </si>
  <si>
    <t>SM301020040</t>
    <phoneticPr fontId="11" type="noConversion"/>
  </si>
  <si>
    <t>E23L923</t>
  </si>
  <si>
    <t>SM301020070</t>
    <phoneticPr fontId="11" type="noConversion"/>
  </si>
  <si>
    <t>SM301040010</t>
    <phoneticPr fontId="11" type="noConversion"/>
  </si>
  <si>
    <t>E23L933</t>
  </si>
  <si>
    <t>SM301040110</t>
    <phoneticPr fontId="11" type="noConversion"/>
  </si>
  <si>
    <t>E23L924</t>
  </si>
  <si>
    <t>SM304020010</t>
    <phoneticPr fontId="11" type="noConversion"/>
  </si>
  <si>
    <t>SM307020010</t>
    <phoneticPr fontId="11" type="noConversion"/>
  </si>
  <si>
    <t>SM307030010</t>
    <phoneticPr fontId="11" type="noConversion"/>
  </si>
  <si>
    <t>SM307040010</t>
    <phoneticPr fontId="11" type="noConversion"/>
  </si>
  <si>
    <t>KK01147</t>
  </si>
  <si>
    <t>KK01138</t>
  </si>
  <si>
    <t>Bonnet(320)</t>
  </si>
  <si>
    <t>Case(400)</t>
  </si>
  <si>
    <t>Z-98127-2-03</t>
  </si>
  <si>
    <t>SM350(P0141013) LR3482</t>
  </si>
  <si>
    <t>SM350(P0134921) LR2575/Replacement</t>
  </si>
  <si>
    <t>SM65(P0134922) LR2575/Replacement</t>
  </si>
  <si>
    <t>SM350(P0147799) LR8255</t>
  </si>
  <si>
    <t>SM65(P0147800) LR8255</t>
  </si>
  <si>
    <t>SM350(P0141017) LR3483</t>
  </si>
  <si>
    <t>SMR200(P0141020) LR3483</t>
  </si>
  <si>
    <t>용차</t>
    <phoneticPr fontId="11" type="noConversion"/>
  </si>
  <si>
    <t>오전</t>
    <phoneticPr fontId="11" type="noConversion"/>
  </si>
  <si>
    <t>A70051569</t>
    <phoneticPr fontId="11" type="noConversion"/>
  </si>
  <si>
    <t>Case(500)</t>
  </si>
  <si>
    <t>Body(500)</t>
  </si>
  <si>
    <t>Bonnet(500)</t>
  </si>
  <si>
    <t>Body(250)</t>
  </si>
  <si>
    <t>현대트랜시스㈜중기</t>
  </si>
  <si>
    <t>현대로템㈜방산</t>
    <phoneticPr fontId="11" type="noConversion"/>
  </si>
  <si>
    <t>RBB21010LN0</t>
    <phoneticPr fontId="11" type="noConversion"/>
  </si>
  <si>
    <t>RBB21011LN0</t>
    <phoneticPr fontId="11" type="noConversion"/>
  </si>
  <si>
    <t>11/12:2124 1ea</t>
    <phoneticPr fontId="11" type="noConversion"/>
  </si>
  <si>
    <t>E24X204</t>
  </si>
  <si>
    <t>FAN ASS'Y,RING COOLER</t>
  </si>
  <si>
    <t>2235-8710980530</t>
  </si>
  <si>
    <t>E24X253</t>
  </si>
  <si>
    <t>E23L927</t>
  </si>
  <si>
    <t>E23L930</t>
  </si>
  <si>
    <t>E24X241</t>
  </si>
  <si>
    <t>E24X242</t>
  </si>
  <si>
    <t>E24X254</t>
  </si>
  <si>
    <t>E24X301</t>
  </si>
  <si>
    <t>CPL FLANGED HOUSING</t>
  </si>
  <si>
    <t>2235-5800501042</t>
  </si>
  <si>
    <t>E25R978</t>
  </si>
  <si>
    <t>E26B025</t>
  </si>
  <si>
    <t>KK01168</t>
  </si>
  <si>
    <t>KK01221</t>
  </si>
  <si>
    <t>KK01166</t>
  </si>
  <si>
    <t>KK01125</t>
  </si>
  <si>
    <t>KK01121</t>
  </si>
  <si>
    <t>Body(550)</t>
  </si>
  <si>
    <t>Z-15108-2-11A2</t>
  </si>
  <si>
    <t>SM350(P0133558) LR2659</t>
  </si>
  <si>
    <t>SMR200(P0133561) LR2659</t>
  </si>
  <si>
    <t>SM350(P0146190) LRH1912A</t>
  </si>
  <si>
    <t>SMR200(P0146193) LRH1912A</t>
  </si>
  <si>
    <t>SM50(P0151601) ABS2602</t>
  </si>
  <si>
    <t>SM65(P0125198) ABS2318</t>
  </si>
  <si>
    <t>SM65(P0151600) ABS2602</t>
  </si>
  <si>
    <t>SM350(P0125197) ABS2318</t>
  </si>
  <si>
    <t>SMR200(P0125200) ABS2318</t>
  </si>
  <si>
    <t>SMR200(P0151602) ABS2602</t>
  </si>
  <si>
    <t>SM350(P0151599) ABS2602</t>
  </si>
  <si>
    <t>11/27:4</t>
    <phoneticPr fontId="11" type="noConversion"/>
  </si>
  <si>
    <t>10/10:59</t>
  </si>
  <si>
    <t>Case(250)</t>
  </si>
  <si>
    <t>Body(350)</t>
  </si>
  <si>
    <t>GPF-00002-2-05</t>
  </si>
  <si>
    <t>200CASE??</t>
    <phoneticPr fontId="21" type="noConversion"/>
  </si>
  <si>
    <t>우즈백</t>
  </si>
  <si>
    <t>우즈백불량대체</t>
  </si>
  <si>
    <t>우즈백 불량대체</t>
  </si>
  <si>
    <t xml:space="preserve"> GM GEN6 FRT COVER [소재]</t>
  </si>
  <si>
    <t>고정자(K21ARV)</t>
  </si>
  <si>
    <t>A60073419</t>
  </si>
  <si>
    <t>동림산업㈜</t>
    <phoneticPr fontId="11" type="noConversion"/>
  </si>
  <si>
    <t>구</t>
    <phoneticPr fontId="11" type="noConversion"/>
  </si>
  <si>
    <t xml:space="preserve">로템심사등급이 내려가면 트랜시스에서도 공인인증기계성적서 제출해라 </t>
    <phoneticPr fontId="11" type="noConversion"/>
  </si>
  <si>
    <t xml:space="preserve">공인기간에 5개의뢰하고 </t>
    <phoneticPr fontId="11" type="noConversion"/>
  </si>
  <si>
    <t>에스알 16 코레일 8</t>
    <phoneticPr fontId="11" type="noConversion"/>
  </si>
  <si>
    <t>JOURNAL BOX, ASSY</t>
    <phoneticPr fontId="11" type="noConversion"/>
  </si>
  <si>
    <t>진양테크</t>
    <phoneticPr fontId="11" type="noConversion"/>
  </si>
  <si>
    <t>우즈벡</t>
    <phoneticPr fontId="11" type="noConversion"/>
  </si>
  <si>
    <t>E23L926</t>
  </si>
  <si>
    <t>ELBOW,SUCTION SIDE</t>
  </si>
  <si>
    <t>2235-8702030722</t>
  </si>
  <si>
    <t>E24S500</t>
  </si>
  <si>
    <t>AIR FILTER H (L)</t>
  </si>
  <si>
    <t>4235-8710901407</t>
  </si>
  <si>
    <t>E26X882</t>
  </si>
  <si>
    <t>EXPANSION TANK</t>
  </si>
  <si>
    <t>2235-X59420800033</t>
  </si>
  <si>
    <t>E26M885</t>
  </si>
  <si>
    <t>E26M886</t>
  </si>
  <si>
    <t>K5581422491</t>
  </si>
  <si>
    <t>K5581422667</t>
  </si>
  <si>
    <t>11629446
A630-00135-10</t>
    <phoneticPr fontId="11" type="noConversion"/>
  </si>
  <si>
    <t>60618841
A620-21001-10</t>
    <phoneticPr fontId="11" type="noConversion"/>
  </si>
  <si>
    <t>내수용 기품원검사추가</t>
    <phoneticPr fontId="11" type="noConversion"/>
  </si>
  <si>
    <t>60358220(12267140)
A640-17003-10</t>
    <phoneticPr fontId="11" type="noConversion"/>
  </si>
  <si>
    <t>11629446
A630-00135-10</t>
  </si>
  <si>
    <t>60618580
A620-14214-10</t>
  </si>
  <si>
    <t>KK01161</t>
  </si>
  <si>
    <t>KK01214</t>
  </si>
  <si>
    <t>KK01185</t>
  </si>
  <si>
    <t>TORCH GAGE</t>
  </si>
  <si>
    <t>KK00924</t>
  </si>
  <si>
    <t>L6300C01</t>
  </si>
  <si>
    <t>KK01144</t>
  </si>
  <si>
    <t>L12120D01</t>
  </si>
  <si>
    <t>KK01136</t>
  </si>
  <si>
    <t>Body(500)</t>
    <phoneticPr fontId="11" type="noConversion"/>
  </si>
  <si>
    <t>Z-13068-2-12</t>
    <phoneticPr fontId="11" type="noConversion"/>
  </si>
  <si>
    <t>Case(550)</t>
  </si>
  <si>
    <t>500 case동일</t>
  </si>
  <si>
    <t>DSM2512-SK01</t>
    <phoneticPr fontId="11" type="noConversion"/>
  </si>
  <si>
    <t>SM350(P0125197 ABS2318</t>
  </si>
  <si>
    <t>SM350(P0141021) LR3484</t>
  </si>
  <si>
    <t>SMR200(P0141024) LR3484</t>
  </si>
  <si>
    <t>DSM2512-SK02</t>
  </si>
  <si>
    <t>SM65(P0141018) LR3483</t>
  </si>
  <si>
    <t>DSM2512-SK03</t>
  </si>
  <si>
    <t>SMR-40101SLR2</t>
    <phoneticPr fontId="11" type="noConversion"/>
  </si>
  <si>
    <t>SMR-40101SLR2</t>
  </si>
  <si>
    <t>SM65(P0141058) LR8262/ Replacement</t>
  </si>
  <si>
    <t>SM65(P0128564) LR8203/ Replacement</t>
  </si>
  <si>
    <t>SM350(P0134917) LR2574/ Replacement</t>
  </si>
  <si>
    <t>SM350(P0125757) LR3393/ Replacement</t>
  </si>
  <si>
    <t>SM65(P0133547) LR2656/ Replacement</t>
  </si>
  <si>
    <t>SM65(P0150121) DNV2709/ Replacement</t>
  </si>
  <si>
    <t>DSM2512-SK04</t>
  </si>
  <si>
    <t>SM350(P0146250) DNVH1913A</t>
  </si>
  <si>
    <t>SM350(P0141840) DNV2700</t>
  </si>
  <si>
    <t>SMR200(P0141843) DNV2700</t>
  </si>
  <si>
    <t>SM350(P0136199) LR3455</t>
  </si>
  <si>
    <t>SMR200(P0136202) LR3455</t>
  </si>
  <si>
    <t>DSM2512-SK05</t>
  </si>
  <si>
    <t>Seat Pallet Base Plate</t>
  </si>
  <si>
    <t>F37012104</t>
  </si>
  <si>
    <t>12/8:10, 12/16:12,12/17:36,12/29:20</t>
    <phoneticPr fontId="11" type="noConversion"/>
  </si>
  <si>
    <t>12/5:3</t>
    <phoneticPr fontId="11" type="noConversion"/>
  </si>
  <si>
    <t>12/5:12</t>
    <phoneticPr fontId="11" type="noConversion"/>
  </si>
  <si>
    <t>12/5:1</t>
    <phoneticPr fontId="11" type="noConversion"/>
  </si>
  <si>
    <t>12월불량</t>
    <phoneticPr fontId="21" type="noConversion"/>
  </si>
  <si>
    <t>F.W.HOUSING</t>
    <phoneticPr fontId="21" type="noConversion"/>
  </si>
  <si>
    <t>65.01401-5003</t>
    <phoneticPr fontId="21" type="noConversion"/>
  </si>
  <si>
    <t>65.01401-5024</t>
    <phoneticPr fontId="21" type="noConversion"/>
  </si>
  <si>
    <t>150114-00221A</t>
    <phoneticPr fontId="21" type="noConversion"/>
  </si>
  <si>
    <t>150114-00617</t>
    <phoneticPr fontId="21" type="noConversion"/>
  </si>
  <si>
    <t>Q25023450</t>
    <phoneticPr fontId="21" type="noConversion"/>
  </si>
  <si>
    <t>HOUSING</t>
    <phoneticPr fontId="21" type="noConversion"/>
  </si>
  <si>
    <t>타처보관</t>
    <phoneticPr fontId="21" type="noConversion"/>
  </si>
  <si>
    <t>1월이월</t>
    <phoneticPr fontId="21" type="noConversion"/>
  </si>
  <si>
    <t>현대로템(주)</t>
    <phoneticPr fontId="21" type="noConversion"/>
  </si>
  <si>
    <t>1월 이월</t>
    <phoneticPr fontId="21" type="noConversion"/>
  </si>
  <si>
    <t>RMU70032LZ0</t>
    <phoneticPr fontId="21" type="noConversion"/>
  </si>
  <si>
    <t>RMU70073MB0</t>
    <phoneticPr fontId="21" type="noConversion"/>
  </si>
  <si>
    <t>㈜맥시스</t>
  </si>
  <si>
    <t>주조형시편,고온인장시험용</t>
    <phoneticPr fontId="21" type="noConversion"/>
  </si>
  <si>
    <t>1월이월</t>
    <phoneticPr fontId="21" type="noConversion"/>
  </si>
  <si>
    <t>1월이월 입고검사</t>
    <phoneticPr fontId="11" type="noConversion"/>
  </si>
  <si>
    <t>STEEL MOLD, LINK ARM, ASSEMBLY</t>
  </si>
  <si>
    <t>YRBD20001LT0</t>
  </si>
  <si>
    <t>CRANK CASE PATTERN</t>
  </si>
  <si>
    <t>SM201010040P</t>
  </si>
  <si>
    <t>E25DP73</t>
  </si>
  <si>
    <t>GEAR CASE PATTERN</t>
  </si>
  <si>
    <t>SM201020010P</t>
  </si>
  <si>
    <t>FRONT WALL COVER PATTEN</t>
  </si>
  <si>
    <t>SM201020060P</t>
  </si>
  <si>
    <t>FLYWHEEL HOUSING PATTERN</t>
  </si>
  <si>
    <t>SM202020030P</t>
  </si>
  <si>
    <t>BLOW HOUSING PATTERN</t>
  </si>
  <si>
    <t>SM208010010P</t>
  </si>
  <si>
    <t>PATTERN FOR CRANK CASE(MB871)</t>
  </si>
  <si>
    <t>8710110401P</t>
  </si>
  <si>
    <t>영창사급 가공완료후 양품 입고처리</t>
  </si>
  <si>
    <t>Body(500)</t>
    <phoneticPr fontId="21" type="noConversion"/>
  </si>
  <si>
    <t>특수엔진 부품용 노후 패턴 수선비</t>
  </si>
  <si>
    <t>E25DP73</t>
    <phoneticPr fontId="21" type="noConversion"/>
  </si>
  <si>
    <t>E25DP62</t>
    <phoneticPr fontId="21" type="noConversion"/>
  </si>
  <si>
    <t>INNER CORE(LT2)</t>
    <phoneticPr fontId="21" type="noConversion"/>
  </si>
  <si>
    <t>P_17623207(가공)</t>
    <phoneticPr fontId="21" type="noConversion"/>
  </si>
  <si>
    <t>DSM2512-JS02</t>
  </si>
  <si>
    <t>DSM2512-JS01</t>
  </si>
  <si>
    <t>53111T01720-00</t>
  </si>
  <si>
    <t>CARRIER DIFFERENTIAL FRONT</t>
  </si>
  <si>
    <t>53111-FI0001</t>
  </si>
  <si>
    <t>CASING MAIN,T-CASE,FRONT HALF</t>
    <phoneticPr fontId="11" type="noConversion"/>
  </si>
  <si>
    <t>입고검사</t>
    <phoneticPr fontId="11" type="noConversion"/>
  </si>
  <si>
    <t>JOURNAL BOX, ASSY(타이페이)</t>
    <phoneticPr fontId="11" type="noConversion"/>
  </si>
  <si>
    <t>에스알 27 코레일 25</t>
    <phoneticPr fontId="11" type="noConversion"/>
  </si>
  <si>
    <t xml:space="preserve"> RMU70087MB0</t>
    <phoneticPr fontId="11" type="noConversion"/>
  </si>
  <si>
    <t xml:space="preserve"> RMU70088MB0</t>
    <phoneticPr fontId="11" type="noConversion"/>
  </si>
  <si>
    <t xml:space="preserve"> RMU70083MB0</t>
    <phoneticPr fontId="11" type="noConversion"/>
  </si>
  <si>
    <t>현대로템(주)</t>
    <phoneticPr fontId="11" type="noConversion"/>
  </si>
  <si>
    <t xml:space="preserve"> RMU70084MB0</t>
    <phoneticPr fontId="11" type="noConversion"/>
  </si>
  <si>
    <t>코레일40ea, 에스알13ea</t>
  </si>
  <si>
    <t>코레일21ea, 에스알24ea</t>
    <phoneticPr fontId="11" type="noConversion"/>
  </si>
  <si>
    <t>RBB21001JN0</t>
    <phoneticPr fontId="11" type="noConversion"/>
  </si>
  <si>
    <t>E26M888</t>
  </si>
  <si>
    <t>E26M887</t>
  </si>
  <si>
    <t>E24X302</t>
  </si>
  <si>
    <t>E24S501</t>
  </si>
  <si>
    <t>E24S502</t>
  </si>
  <si>
    <t>2235-8712030729</t>
    <phoneticPr fontId="11" type="noConversion"/>
  </si>
  <si>
    <t>4235-8712030030</t>
    <phoneticPr fontId="11" type="noConversion"/>
  </si>
  <si>
    <t>E24X918</t>
  </si>
  <si>
    <t>E24X919</t>
  </si>
  <si>
    <t>E25MA99</t>
  </si>
  <si>
    <t>E24X303</t>
  </si>
  <si>
    <t>가공미처리9개부족(1157공용)</t>
    <phoneticPr fontId="11" type="noConversion"/>
  </si>
  <si>
    <t>2235-8712031324</t>
  </si>
  <si>
    <t>3235-8802031157</t>
    <phoneticPr fontId="11" type="noConversion"/>
  </si>
  <si>
    <t>가공미처리(0035공용)</t>
    <phoneticPr fontId="11" type="noConversion"/>
  </si>
  <si>
    <t>2235-8712000692</t>
    <phoneticPr fontId="11" type="noConversion"/>
  </si>
  <si>
    <t>HOUSING ASSY, BLOW</t>
    <phoneticPr fontId="11" type="noConversion"/>
  </si>
  <si>
    <t>가공미처리(1157공용)</t>
    <phoneticPr fontId="11" type="noConversion"/>
  </si>
  <si>
    <t>11.07313-0519-1</t>
    <phoneticPr fontId="11" type="noConversion"/>
  </si>
  <si>
    <t>61541861(A689-26701-10)</t>
    <phoneticPr fontId="11" type="noConversion"/>
  </si>
  <si>
    <t>12321745
A640-14278-10</t>
    <phoneticPr fontId="11" type="noConversion"/>
  </si>
  <si>
    <t xml:space="preserve">	SHOLDER</t>
    <phoneticPr fontId="11" type="noConversion"/>
  </si>
  <si>
    <t>Replacement</t>
    <phoneticPr fontId="11" type="noConversion"/>
  </si>
  <si>
    <t xml:space="preserve">	L11700B02</t>
    <phoneticPr fontId="11" type="noConversion"/>
  </si>
  <si>
    <t xml:space="preserve">	L11700C01</t>
    <phoneticPr fontId="11" type="noConversion"/>
  </si>
  <si>
    <t xml:space="preserve">	TORCH GAUGE</t>
    <phoneticPr fontId="11" type="noConversion"/>
  </si>
  <si>
    <t xml:space="preserve">	L6300C01</t>
    <phoneticPr fontId="11" type="noConversion"/>
  </si>
  <si>
    <t>L11761B01</t>
    <phoneticPr fontId="11" type="noConversion"/>
  </si>
  <si>
    <t>Sample</t>
    <phoneticPr fontId="11" type="noConversion"/>
  </si>
  <si>
    <t>KK01209</t>
  </si>
  <si>
    <t>GEARCASE</t>
  </si>
  <si>
    <t>L7821B04-M</t>
    <phoneticPr fontId="11" type="noConversion"/>
  </si>
  <si>
    <t>KK01215</t>
  </si>
  <si>
    <t>KK01172</t>
  </si>
  <si>
    <t>KK01149</t>
  </si>
  <si>
    <t>KK01154</t>
  </si>
  <si>
    <t>KK01206</t>
  </si>
  <si>
    <t>KK01271</t>
  </si>
  <si>
    <t>KK01208</t>
  </si>
  <si>
    <t>KK01230</t>
  </si>
  <si>
    <t>KK01231</t>
  </si>
  <si>
    <t>Bonnet(550)</t>
  </si>
  <si>
    <t>Z-15108-2-12A0</t>
  </si>
  <si>
    <t>Case(320)</t>
    <phoneticPr fontId="12" type="noConversion"/>
  </si>
  <si>
    <t>I-F99079-2-05</t>
    <phoneticPr fontId="12" type="noConversion"/>
  </si>
  <si>
    <t>사</t>
    <phoneticPr fontId="12" type="noConversion"/>
  </si>
  <si>
    <t>Z-13068-2-14</t>
    <phoneticPr fontId="12" type="noConversion"/>
  </si>
  <si>
    <t>I-F00134-2-05</t>
    <phoneticPr fontId="12" type="noConversion"/>
  </si>
  <si>
    <t>Z-13068-2-10</t>
    <phoneticPr fontId="12" type="noConversion"/>
  </si>
  <si>
    <t>Z-13068-2-12</t>
    <phoneticPr fontId="12" type="noConversion"/>
  </si>
  <si>
    <t>Z-15108-2-11A2</t>
    <phoneticPr fontId="12" type="noConversion"/>
  </si>
  <si>
    <t>Q25023506</t>
    <phoneticPr fontId="11" type="noConversion"/>
  </si>
  <si>
    <t>신코</t>
  </si>
  <si>
    <t>SM65(P0141841) DNV2700</t>
  </si>
  <si>
    <t>SM350(P0133562) LR2660</t>
  </si>
  <si>
    <t>SMR200(P0133565) LR2660</t>
  </si>
  <si>
    <t>SM350(P0141844) DNV2701</t>
  </si>
  <si>
    <t>SMR200(P0141847) DNV2701</t>
  </si>
  <si>
    <t>SM350(P0141025) LR3485</t>
  </si>
  <si>
    <t>SM350(P0133546) LR2656/Replacement</t>
  </si>
  <si>
    <t>SM350(P0133741) LR2582/Replacement</t>
  </si>
  <si>
    <t>SM350(P0150501) LR+CCSG175K-16/Replacement</t>
  </si>
  <si>
    <t>DSM2601-SK02</t>
  </si>
  <si>
    <t>SM350(P0144353) DNV2591</t>
  </si>
  <si>
    <t>SM350(E260130016)</t>
  </si>
  <si>
    <t>SM350(P0147796) LR8254 / Replacement</t>
  </si>
  <si>
    <t>SM350(P0133546) LR2656 / Replacement</t>
  </si>
  <si>
    <t>SM350(P0140993) LR3477 / Replacement</t>
  </si>
  <si>
    <t>SM350(P0141061) LR8263 / Replacement</t>
  </si>
  <si>
    <t>SM350(P0129277) LR8207 / Replacement</t>
  </si>
  <si>
    <t>SM350(P0126897) ABSCMHI-282-06 / Replacement</t>
  </si>
  <si>
    <t>SM65(P0152354) ABS2717</t>
  </si>
  <si>
    <t>SM65(P0147797) LR8254/Replacement</t>
  </si>
  <si>
    <t>SM65(P0127189) CCSH1891A/Replacement</t>
  </si>
  <si>
    <t>SM350(P0152353) ABS2717</t>
  </si>
  <si>
    <t>SM350(P0141820) DNV2695/Replacement</t>
  </si>
  <si>
    <t>SMR200(P0152356) ABS2717</t>
  </si>
  <si>
    <t>SMR200(P0153149) ABS2607</t>
  </si>
  <si>
    <t>SMR200(P0144356) DNV2591</t>
  </si>
  <si>
    <t>SM65(P0153148) ABS2607</t>
  </si>
  <si>
    <t>SM65(P0136200) LR3455</t>
  </si>
  <si>
    <t>SM65(P0133563) LR2660</t>
  </si>
  <si>
    <t>SM65(P0141845) DNV2701</t>
  </si>
  <si>
    <t>SM65(P0144354) DNV2591</t>
  </si>
  <si>
    <t>SM350(P0153147) ABS2607</t>
  </si>
  <si>
    <t>SMR200(P0135228) ABSCMHI-282-04</t>
  </si>
  <si>
    <t>DSM2601-SK04</t>
  </si>
  <si>
    <t>SM65(P0133738) ABS2581/Replacement</t>
  </si>
  <si>
    <t>SM65(P0136196) LR3454/Replacement</t>
  </si>
  <si>
    <t>SM65(P0133551) LR2657/Replacement</t>
  </si>
  <si>
    <t>SM65(P0150121) DNV2709/Replacement</t>
  </si>
  <si>
    <t>SM65(P0125790) ABS3401/Replacement</t>
  </si>
  <si>
    <t>30개 출하 완료 30개 출하 예정</t>
    <phoneticPr fontId="11" type="noConversion"/>
  </si>
  <si>
    <t>명화공업</t>
    <phoneticPr fontId="11" type="noConversion"/>
  </si>
  <si>
    <t>DSM2601-JS01</t>
    <phoneticPr fontId="11" type="noConversion"/>
  </si>
  <si>
    <t>HEAD BODY</t>
    <phoneticPr fontId="11" type="noConversion"/>
  </si>
  <si>
    <t>160601-03798</t>
  </si>
  <si>
    <t>JS테크</t>
    <phoneticPr fontId="11" type="noConversion"/>
  </si>
  <si>
    <t>목형,AL 주조소재(개발품)</t>
    <phoneticPr fontId="11" type="noConversion"/>
  </si>
  <si>
    <t>DN40-MF0361P-J1</t>
    <phoneticPr fontId="11" type="noConversion"/>
  </si>
  <si>
    <t>AL 주조소재,공기흡입관용(개발품)</t>
    <phoneticPr fontId="11" type="noConversion"/>
  </si>
  <si>
    <t>DN40-MF0361P-X</t>
    <phoneticPr fontId="11" type="noConversion"/>
  </si>
  <si>
    <t>DN40-BT0201L</t>
    <phoneticPr fontId="11" type="noConversion"/>
  </si>
  <si>
    <t>하우징,모듈용</t>
    <phoneticPr fontId="21" type="noConversion"/>
  </si>
  <si>
    <t>2월이월</t>
    <phoneticPr fontId="21" type="noConversion"/>
  </si>
  <si>
    <t>7~12월 단가인상소급내역</t>
    <phoneticPr fontId="21" type="noConversion"/>
  </si>
  <si>
    <t>53111T01510-00</t>
  </si>
  <si>
    <t>53111T01720</t>
  </si>
  <si>
    <t>CASE CARRIER</t>
  </si>
  <si>
    <t>53112T00820-00</t>
  </si>
  <si>
    <t>금</t>
    <phoneticPr fontId="21" type="noConversion"/>
  </si>
  <si>
    <t>CAP-BRG</t>
    <phoneticPr fontId="11" type="noConversion"/>
  </si>
  <si>
    <t>2월이월 2/5</t>
    <phoneticPr fontId="21" type="noConversion"/>
  </si>
  <si>
    <t>송풍기WASHER,PLAIN</t>
    <phoneticPr fontId="21" type="noConversion"/>
  </si>
  <si>
    <t>선급금공제</t>
    <phoneticPr fontId="21" type="noConversion"/>
  </si>
  <si>
    <t xml:space="preserve">541,573,840원의 25.97% </t>
    <phoneticPr fontId="21" type="noConversion"/>
  </si>
  <si>
    <t>폴란드 K2PL 전차사업(1차,국내생산):GF 선급금</t>
    <phoneticPr fontId="21" type="noConversion"/>
  </si>
  <si>
    <t>2월이월</t>
    <phoneticPr fontId="21" type="noConversion"/>
  </si>
  <si>
    <t>2월이월 E23L929</t>
    <phoneticPr fontId="21" type="noConversion"/>
  </si>
  <si>
    <t>덮개，축용</t>
  </si>
  <si>
    <t>61541739(A689-15403-10)</t>
  </si>
  <si>
    <t>생</t>
    <phoneticPr fontId="21" type="noConversion"/>
  </si>
  <si>
    <t>2월 이월</t>
    <phoneticPr fontId="21" type="noConversion"/>
  </si>
  <si>
    <t>KK01254</t>
    <phoneticPr fontId="21" type="noConversion"/>
  </si>
  <si>
    <t>KK01221</t>
    <phoneticPr fontId="21" type="noConversion"/>
  </si>
  <si>
    <t>1월이월 - 마감</t>
    <phoneticPr fontId="21" type="noConversion"/>
  </si>
  <si>
    <t>1월마감</t>
    <phoneticPr fontId="21" type="noConversion"/>
  </si>
  <si>
    <t>DSM2601-SK01</t>
  </si>
  <si>
    <t>DSM2601-SK03</t>
  </si>
  <si>
    <t xml:space="preserve"> INNER CORE(LT2)</t>
  </si>
  <si>
    <t>P_17623207(가공)</t>
  </si>
  <si>
    <t>알멕</t>
    <phoneticPr fontId="21" type="noConversion"/>
  </si>
  <si>
    <t>65.01401-5024</t>
    <phoneticPr fontId="21" type="noConversion"/>
  </si>
  <si>
    <t>F.W.HOUSING 중자금형 수정비</t>
    <phoneticPr fontId="21" type="noConversion"/>
  </si>
  <si>
    <t>단가소급</t>
    <phoneticPr fontId="21" type="noConversion"/>
  </si>
  <si>
    <t>53111-FI0001</t>
    <phoneticPr fontId="11" type="noConversion"/>
  </si>
  <si>
    <t>KWA81412</t>
  </si>
  <si>
    <t>KWA81351</t>
  </si>
  <si>
    <t>KWA81415</t>
  </si>
  <si>
    <t>현대로템㈜방산</t>
    <phoneticPr fontId="12" type="noConversion"/>
  </si>
  <si>
    <t>신규프로젝트 emu-260</t>
    <phoneticPr fontId="11" type="noConversion"/>
  </si>
  <si>
    <t>코레일 15, 에스알 10</t>
    <phoneticPr fontId="11" type="noConversion"/>
  </si>
  <si>
    <t>2/23 사급 부시 입고 후 출하 예정-검사완료</t>
    <phoneticPr fontId="11" type="noConversion"/>
  </si>
  <si>
    <t>EMU-260 11, 코레일 4, SR 15</t>
    <phoneticPr fontId="11" type="noConversion"/>
  </si>
  <si>
    <t>emu-260 5, kr 4</t>
    <phoneticPr fontId="11" type="noConversion"/>
  </si>
  <si>
    <t>JOURNAL BOX, ASSEMBLY LH(LA메트로)</t>
  </si>
  <si>
    <t>검사 완료/로템 내부 확인으로 인해 출하 지연 중, 확인되면 바로 출하 예정</t>
    <phoneticPr fontId="11" type="noConversion"/>
  </si>
  <si>
    <t>검사 완료/사급 부시 지연으로 출하 지연</t>
    <phoneticPr fontId="11" type="noConversion"/>
  </si>
  <si>
    <t>3/4 출하 예정</t>
    <phoneticPr fontId="11" type="noConversion"/>
  </si>
  <si>
    <t>3월 출하 예정</t>
    <phoneticPr fontId="11" type="noConversion"/>
  </si>
  <si>
    <t>E24M151</t>
  </si>
  <si>
    <t>E24M153</t>
  </si>
  <si>
    <t>E24M154</t>
  </si>
  <si>
    <t>E23L931</t>
  </si>
  <si>
    <t>E23L934</t>
  </si>
  <si>
    <t>OIL PAN - 350HP</t>
  </si>
  <si>
    <t>E24X243</t>
  </si>
  <si>
    <t>E24X304</t>
  </si>
  <si>
    <t>4235-8800102835</t>
    <phoneticPr fontId="11" type="noConversion"/>
  </si>
  <si>
    <t>CPL END COVER</t>
  </si>
  <si>
    <t>2235-5800101535</t>
  </si>
  <si>
    <t>E24X501</t>
  </si>
  <si>
    <t>ELBOW LEFT</t>
  </si>
  <si>
    <t>2235-5801861615</t>
  </si>
  <si>
    <t>ELBOW RIGHT</t>
  </si>
  <si>
    <t>2235-5801861715</t>
  </si>
  <si>
    <t>CONNECTOR</t>
  </si>
  <si>
    <t>2235-5802030136</t>
  </si>
  <si>
    <t>COOLANT FEED MANIFOLD</t>
  </si>
  <si>
    <t>2235-5802032101</t>
  </si>
  <si>
    <t>CPL OIL CUP</t>
  </si>
  <si>
    <t>2235-5840100062</t>
  </si>
  <si>
    <t>2235-5840100162</t>
  </si>
  <si>
    <t>2235-5840100262</t>
  </si>
  <si>
    <t>CHARGE-AIR PIPE</t>
  </si>
  <si>
    <t>2235-5840900637</t>
  </si>
  <si>
    <t>2235-5840900737</t>
  </si>
  <si>
    <t>2235-5840901028</t>
  </si>
  <si>
    <t>CPL HOUSING LEFT</t>
  </si>
  <si>
    <t>2235-5842002716</t>
  </si>
  <si>
    <t>CPL HOUSING RIGHT</t>
  </si>
  <si>
    <t>2235-5842003016</t>
  </si>
  <si>
    <t>2235-5842030047</t>
  </si>
  <si>
    <t>2235-5842030522</t>
  </si>
  <si>
    <t>2235-5842031322</t>
  </si>
  <si>
    <t>2235-5842031422</t>
  </si>
  <si>
    <t>AIR PIPE</t>
  </si>
  <si>
    <t>2235-5870900394</t>
  </si>
  <si>
    <t>E24X920</t>
  </si>
  <si>
    <t>E23X241</t>
  </si>
  <si>
    <t>E23X242</t>
  </si>
  <si>
    <t>SM207050020</t>
  </si>
  <si>
    <t>SM209040090</t>
  </si>
  <si>
    <t>2025.09.10</t>
  </si>
  <si>
    <t>2025.12.10</t>
  </si>
  <si>
    <t>2026.01.10</t>
  </si>
  <si>
    <t>2026.02.10</t>
  </si>
  <si>
    <t>2026.03.10</t>
  </si>
  <si>
    <t>2235-8812000316</t>
  </si>
  <si>
    <t>ERMT881</t>
  </si>
  <si>
    <t>2026.01.02</t>
  </si>
  <si>
    <t>2026.02.05</t>
  </si>
  <si>
    <t>2026.02.06</t>
  </si>
  <si>
    <t>2026.02.20</t>
  </si>
  <si>
    <t>2026.01.28</t>
  </si>
  <si>
    <t>E24X918</t>
    <phoneticPr fontId="11" type="noConversion"/>
  </si>
  <si>
    <t>2026.01.14</t>
  </si>
  <si>
    <t>10+2</t>
    <phoneticPr fontId="11" type="noConversion"/>
  </si>
  <si>
    <t>E24X919</t>
    <phoneticPr fontId="11" type="noConversion"/>
  </si>
  <si>
    <t>x</t>
    <phoneticPr fontId="11" type="noConversion"/>
  </si>
  <si>
    <t>12267199
A640-14024-10</t>
    <phoneticPr fontId="11" type="noConversion"/>
  </si>
  <si>
    <t>임펠러, 토크 변환기용(펌프)</t>
  </si>
  <si>
    <t>61539476(A689-22006-10)</t>
    <phoneticPr fontId="11" type="noConversion"/>
  </si>
  <si>
    <t>고정자, 토크 컨버터용(스테이타)</t>
  </si>
  <si>
    <t>61539480(A689-22012-10)</t>
    <phoneticPr fontId="11" type="noConversion"/>
  </si>
  <si>
    <t>터빈, 날개차, 토크 컨버터용</t>
  </si>
  <si>
    <t>61539489(A689-22022-10)</t>
    <phoneticPr fontId="11" type="noConversion"/>
  </si>
  <si>
    <t>60358226(A640-17011-00)</t>
    <phoneticPr fontId="11" type="noConversion"/>
  </si>
  <si>
    <t>60357979(A640-15004-10)</t>
    <phoneticPr fontId="11" type="noConversion"/>
  </si>
  <si>
    <t>RETAINER,DRIVENBEVELGEAR</t>
  </si>
  <si>
    <t>12267108(A640-14325-10)</t>
    <phoneticPr fontId="11" type="noConversion"/>
  </si>
  <si>
    <t>12267199(A640-14024-10)</t>
    <phoneticPr fontId="11" type="noConversion"/>
  </si>
  <si>
    <t>HOUSING CLUTCH</t>
  </si>
  <si>
    <t>12364322(A630-00341-10)</t>
    <phoneticPr fontId="11" type="noConversion"/>
  </si>
  <si>
    <t>HOUSING조절기용</t>
  </si>
  <si>
    <t>60618414(A620-15315-10)</t>
    <phoneticPr fontId="11" type="noConversion"/>
  </si>
  <si>
    <t>61541784(A689-15902-10)</t>
  </si>
  <si>
    <t>하우징,변속기,기계식</t>
  </si>
  <si>
    <t>61540656(A689-29741-10)</t>
    <phoneticPr fontId="11" type="noConversion"/>
  </si>
  <si>
    <t>60618388(A620-15205-10)</t>
    <phoneticPr fontId="11" type="noConversion"/>
  </si>
  <si>
    <t>61540572(A689-25801-10)</t>
  </si>
  <si>
    <t>61541602(A689-27701-10)</t>
  </si>
  <si>
    <t>61540111(A689-29506-10)</t>
  </si>
  <si>
    <t>몸체, 밸브용</t>
  </si>
  <si>
    <t>61540333(A689-25604-10)</t>
  </si>
  <si>
    <t>RETAINER,BEARING</t>
  </si>
  <si>
    <t>12267149(A640-12102-10)</t>
    <phoneticPr fontId="11" type="noConversion"/>
  </si>
  <si>
    <t>하우징2,3단</t>
  </si>
  <si>
    <t>60618294(A620-14069-10)</t>
    <phoneticPr fontId="11" type="noConversion"/>
  </si>
  <si>
    <t>판3단클러치받침</t>
  </si>
  <si>
    <t>60618320
A620-14096-10</t>
    <phoneticPr fontId="11" type="noConversion"/>
  </si>
  <si>
    <t>12267186
A640-12202-10</t>
    <phoneticPr fontId="11" type="noConversion"/>
  </si>
  <si>
    <t xml:space="preserve">L11761B01 </t>
    <phoneticPr fontId="11" type="noConversion"/>
  </si>
  <si>
    <t>KK00859</t>
  </si>
  <si>
    <t>KK01272</t>
  </si>
  <si>
    <t>KK01256</t>
  </si>
  <si>
    <t>KK01223</t>
  </si>
  <si>
    <t>L11761B02</t>
    <phoneticPr fontId="11" type="noConversion"/>
  </si>
  <si>
    <t>KK01265</t>
  </si>
  <si>
    <t>KK01222</t>
  </si>
  <si>
    <t>L11710C01</t>
  </si>
  <si>
    <t>KK01071</t>
  </si>
  <si>
    <t>air</t>
    <phoneticPr fontId="11" type="noConversion"/>
  </si>
  <si>
    <t>KK01183</t>
  </si>
  <si>
    <t>Cover-TM Front</t>
  </si>
  <si>
    <t>하우징,뒷판용</t>
  </si>
  <si>
    <t>Q25023510</t>
  </si>
  <si>
    <t>신코</t>
    <phoneticPr fontId="11" type="noConversion"/>
  </si>
  <si>
    <t>SMR200(P0141012) LR3481</t>
  </si>
  <si>
    <t>DSM2602-SK01</t>
  </si>
  <si>
    <t>SM-10103SAR1</t>
  </si>
  <si>
    <t>SM350(P0147802) LR8256</t>
  </si>
  <si>
    <t>T0000400</t>
  </si>
  <si>
    <t>SM65(P0129278) LR8207/Replacement</t>
  </si>
  <si>
    <t>SM65(P0126894) ABSCMHI-282-03/Replacement</t>
  </si>
  <si>
    <t>SMR200(P0152555) LR2729</t>
  </si>
  <si>
    <t>DSM2602-SK02</t>
  </si>
  <si>
    <t>SM65(P0133559) LR2659</t>
  </si>
  <si>
    <t>SM65(P0141022) LR3484</t>
  </si>
  <si>
    <t>SM350(P0136203) LR3456</t>
  </si>
  <si>
    <t>SM350(P0150124) DNV2710/Replacement</t>
  </si>
  <si>
    <t>SM350(P0150501)LR+CCSG175K-16/Replacement</t>
  </si>
  <si>
    <t>SM350(P0127188)CCSH1891A/Replacement</t>
  </si>
  <si>
    <t>SM65(P0150506) CCSG175K-17</t>
  </si>
  <si>
    <t>DSM2602-SK03</t>
  </si>
  <si>
    <t>SM-10103SAR2</t>
    <phoneticPr fontId="11" type="noConversion"/>
  </si>
  <si>
    <t>SM350(P0150505) CCSG175K-17</t>
  </si>
  <si>
    <t>DSM2602-SK04</t>
  </si>
  <si>
    <t>SMR200(P0150508) CCSG175K-17</t>
  </si>
  <si>
    <t>SMR200(P0147798) LR8254/Replacement</t>
  </si>
  <si>
    <t>SMR200(P0129279) LR8207/Replacement</t>
  </si>
  <si>
    <t>SM65(P0135222) ABSCMHI-282-05</t>
  </si>
  <si>
    <t>DSM2602-SK05</t>
  </si>
  <si>
    <t>SM350(P0135221) ABSCMHI-282-05</t>
  </si>
  <si>
    <t>SM350(P0141848) DNV2702</t>
  </si>
  <si>
    <t>SM350(P0133737) ABS2581/Replacement</t>
  </si>
  <si>
    <t>SM350(P0147805) LR8257</t>
  </si>
  <si>
    <t>DSM2602-SK06</t>
  </si>
  <si>
    <t>SM350(P0125785) ABS3400/Replacement</t>
  </si>
  <si>
    <t>SM350(P0112943) BV3293/Replacement</t>
  </si>
  <si>
    <t>SM350(P0147796) LR8254/Replacement</t>
  </si>
  <si>
    <t>SM350(P0135225) ABSCMHI-282-04/Replacement</t>
  </si>
  <si>
    <t>SMR200(P0135224) ABSCMHI-282-05</t>
  </si>
  <si>
    <t>SMR200(P0147804) LR8256</t>
  </si>
  <si>
    <t>SMR200(P0136206) LR3456</t>
  </si>
  <si>
    <t>SMR200(P0141851) DNV2702</t>
  </si>
  <si>
    <t>SMR200(P0147807) LR8257</t>
  </si>
  <si>
    <t>F37012104</t>
    <phoneticPr fontId="11" type="noConversion"/>
  </si>
  <si>
    <t>태양기계</t>
    <phoneticPr fontId="11" type="noConversion"/>
  </si>
  <si>
    <t>Manifold</t>
  </si>
  <si>
    <t>506-5558</t>
  </si>
  <si>
    <t>가공 후</t>
    <phoneticPr fontId="11" type="noConversion"/>
  </si>
  <si>
    <t>CASE, REAR</t>
  </si>
  <si>
    <t>56B-15-53110</t>
  </si>
  <si>
    <t>DN40-MF0201L</t>
    <phoneticPr fontId="11" type="noConversion"/>
  </si>
  <si>
    <t>2월17개</t>
    <phoneticPr fontId="21" type="noConversion"/>
  </si>
  <si>
    <t>D</t>
    <phoneticPr fontId="21" type="noConversion"/>
  </si>
  <si>
    <t>선별</t>
    <phoneticPr fontId="21" type="noConversion"/>
  </si>
  <si>
    <t>하우징,몸체</t>
    <phoneticPr fontId="21" type="noConversion"/>
  </si>
  <si>
    <t>F.W.HOUSING</t>
    <phoneticPr fontId="21" type="noConversion"/>
  </si>
  <si>
    <t>3월이월</t>
    <phoneticPr fontId="21" type="noConversion"/>
  </si>
  <si>
    <t>38+40(보관)</t>
    <phoneticPr fontId="21" type="noConversion"/>
  </si>
  <si>
    <t>3월이월</t>
    <phoneticPr fontId="21" type="noConversion"/>
  </si>
  <si>
    <t>Cover, Crown Wheel Side</t>
  </si>
  <si>
    <t>D.T.B HOUSING</t>
  </si>
  <si>
    <t>STEERING HSG</t>
  </si>
  <si>
    <t>Retainer, Bearing</t>
  </si>
  <si>
    <t>SM206020070</t>
  </si>
  <si>
    <t>2235-8712030729</t>
  </si>
  <si>
    <t>2235-8730940931</t>
  </si>
  <si>
    <t>SM501020010</t>
  </si>
  <si>
    <t>E23L929</t>
  </si>
  <si>
    <t>DSM2602-SK01-01</t>
    <phoneticPr fontId="21" type="noConversion"/>
  </si>
  <si>
    <t>금형중자 수정비</t>
    <phoneticPr fontId="21" type="noConversion"/>
  </si>
  <si>
    <t>INDUCER SM-70115SCR1</t>
    <phoneticPr fontId="21" type="noConversion"/>
  </si>
  <si>
    <t>DSM2602-JS01</t>
  </si>
  <si>
    <t>DSM2602-JS02</t>
  </si>
  <si>
    <t>2월 이월-마감</t>
    <phoneticPr fontId="21" type="noConversion"/>
  </si>
  <si>
    <t>2월마감</t>
    <phoneticPr fontId="21" type="noConversion"/>
  </si>
  <si>
    <t>3월 이월</t>
    <phoneticPr fontId="21" type="noConversion"/>
  </si>
  <si>
    <t>2월이월-마감</t>
    <phoneticPr fontId="21" type="noConversion"/>
  </si>
  <si>
    <t>2월마감 - 불량 마이너스 계산서</t>
    <phoneticPr fontId="21" type="noConversion"/>
  </si>
  <si>
    <t>용접수정후 재도장</t>
    <phoneticPr fontId="11" type="noConversion"/>
  </si>
  <si>
    <t>COVER, OUTPUT REAR SIDE</t>
  </si>
  <si>
    <t>70KWA81284</t>
  </si>
  <si>
    <t>CASING, SWIM DISCONNECT BOX</t>
  </si>
  <si>
    <t>70KWA81916</t>
  </si>
  <si>
    <t>선입고</t>
    <phoneticPr fontId="11" type="noConversion"/>
  </si>
  <si>
    <t>o</t>
    <phoneticPr fontId="11" type="noConversion"/>
  </si>
  <si>
    <t>3/25 예정</t>
    <phoneticPr fontId="11" type="noConversion"/>
  </si>
  <si>
    <t>THERMOSTAT CAP - 350HP</t>
  </si>
  <si>
    <t>SM507030010</t>
    <phoneticPr fontId="11" type="noConversion"/>
  </si>
  <si>
    <t>E23L928</t>
  </si>
  <si>
    <t>SM507030010</t>
  </si>
  <si>
    <t>E23L925</t>
  </si>
  <si>
    <t>E24M152</t>
  </si>
  <si>
    <t>E24X244</t>
  </si>
  <si>
    <t>E24X305</t>
  </si>
  <si>
    <t>E25S010</t>
  </si>
  <si>
    <t>SM501020010</t>
    <phoneticPr fontId="11" type="noConversion"/>
  </si>
  <si>
    <t>SM201020010</t>
  </si>
  <si>
    <t>E24X502</t>
  </si>
  <si>
    <t>E25S007</t>
  </si>
  <si>
    <t>SM207020040</t>
    <phoneticPr fontId="11" type="noConversion"/>
  </si>
  <si>
    <t>E24X306</t>
  </si>
  <si>
    <t>MOUNTING PLATE</t>
  </si>
  <si>
    <t>2235-8710940027</t>
  </si>
  <si>
    <t>2235-8710980517</t>
  </si>
  <si>
    <t>E21X215</t>
  </si>
  <si>
    <t>E24X921</t>
  </si>
  <si>
    <t>MOTOR HOLDER</t>
  </si>
  <si>
    <t>2235-8710941041</t>
  </si>
  <si>
    <t>E24L012</t>
  </si>
  <si>
    <t>개발미처리</t>
    <phoneticPr fontId="11" type="noConversion"/>
  </si>
  <si>
    <t>E24L013</t>
  </si>
  <si>
    <t>선입고-장인규매니저요청</t>
    <phoneticPr fontId="11" type="noConversion"/>
  </si>
  <si>
    <t>HOUSING,AIR VENT</t>
  </si>
  <si>
    <t>2235-8712030136</t>
  </si>
  <si>
    <t>2235-8712030473</t>
    <phoneticPr fontId="11" type="noConversion"/>
  </si>
  <si>
    <t>2235-8810100070</t>
    <phoneticPr fontId="11" type="noConversion"/>
  </si>
  <si>
    <t>2235-8802031157</t>
  </si>
  <si>
    <t>부경테크윈</t>
    <phoneticPr fontId="11" type="noConversion"/>
  </si>
  <si>
    <t>8810780017R</t>
    <phoneticPr fontId="11" type="noConversion"/>
  </si>
  <si>
    <t>영창이엔지㈜</t>
  </si>
  <si>
    <t>WATER SUPPLY PIPE,LH</t>
  </si>
  <si>
    <t>K5842030001</t>
  </si>
  <si>
    <t>61539929(A689-24021-10)</t>
  </si>
  <si>
    <t>브래킷, 레버용</t>
  </si>
  <si>
    <t>61540683(A689-24301-10)</t>
  </si>
  <si>
    <t>12288028</t>
  </si>
  <si>
    <t>자</t>
    <phoneticPr fontId="11" type="noConversion"/>
  </si>
  <si>
    <t>대체품</t>
    <phoneticPr fontId="11" type="noConversion"/>
  </si>
  <si>
    <t>12321746</t>
  </si>
  <si>
    <t>12267108</t>
  </si>
  <si>
    <t>생</t>
    <phoneticPr fontId="11" type="noConversion"/>
  </si>
  <si>
    <t>29533301</t>
  </si>
  <si>
    <t xml:space="preserve">61540743(A680-36001-10) </t>
  </si>
  <si>
    <t>PLATE,CLUTCH-C5BACKING</t>
  </si>
  <si>
    <t>12288086
A640-14156-10</t>
  </si>
  <si>
    <t>12321745
A640-14278-10</t>
  </si>
  <si>
    <t>60357979(29533301)
A640-15004-10</t>
  </si>
  <si>
    <t>61539981(A689-24912-10)</t>
  </si>
  <si>
    <t>61539990(A689-24913-10)</t>
  </si>
  <si>
    <t>플레이트</t>
  </si>
  <si>
    <t>29533279(60357103)</t>
    <phoneticPr fontId="11" type="noConversion"/>
  </si>
  <si>
    <t>60358220(12267140)</t>
    <phoneticPr fontId="11" type="noConversion"/>
  </si>
  <si>
    <t>KK01247</t>
  </si>
  <si>
    <t>KK01257</t>
  </si>
  <si>
    <t>KK01284</t>
  </si>
  <si>
    <t>KK01335</t>
  </si>
  <si>
    <t>KK01339</t>
  </si>
  <si>
    <t>KK01255</t>
  </si>
  <si>
    <t>KK01301</t>
  </si>
  <si>
    <t>KK01341</t>
  </si>
  <si>
    <t>KK01370</t>
  </si>
  <si>
    <t>Bonnet(350)</t>
  </si>
  <si>
    <t>GPF-00002-2-06</t>
  </si>
  <si>
    <t>Z-15108-2-12A0</t>
    <phoneticPr fontId="12" type="noConversion"/>
  </si>
  <si>
    <t>맥시스</t>
    <phoneticPr fontId="11" type="noConversion"/>
  </si>
  <si>
    <t>HOUSING 내피</t>
  </si>
  <si>
    <t>SY9L418415</t>
  </si>
  <si>
    <t>HOUSING 외피</t>
  </si>
  <si>
    <t>PGS1110</t>
  </si>
  <si>
    <t>SM350(P0136207) LR3457</t>
  </si>
  <si>
    <t>SMR200(P0136210) LR3457</t>
  </si>
  <si>
    <t>SM350(P0140993) LR3477/Replacement</t>
  </si>
  <si>
    <t>SM350(P0128747) ABS2569/Replacement</t>
  </si>
  <si>
    <t>SM350(P0125789) ABS3401/Replacement</t>
  </si>
  <si>
    <t>SM65(P0128561) LR8202/Replacement</t>
  </si>
  <si>
    <t>SM65(P0125190) ABS2316/Replacement</t>
  </si>
  <si>
    <t>SM65(P0141829) DNV2697/Replacement</t>
  </si>
  <si>
    <t>SMR200(P0141823) DNV2695/Replacement</t>
  </si>
  <si>
    <t>SM65(P0141014) LR3482/Replacement</t>
  </si>
  <si>
    <t>SM350(P0141828) DNV2697/Replacement</t>
  </si>
  <si>
    <t>SM65(P0128564) LR8203/Replacement</t>
  </si>
  <si>
    <t>SM65(P0128748) ABS2569/Replacement</t>
  </si>
  <si>
    <t>SM65(P0133555) LR2658/Replacement</t>
  </si>
  <si>
    <t>SM350(P0127188) CCSH1891A/Replacement</t>
  </si>
  <si>
    <t>SM350(P0141824) ABS2696/Replacement</t>
  </si>
  <si>
    <t>SM350(P0129277) LR8207/Replacement</t>
  </si>
  <si>
    <t>SM350(P0136195) LR3454/Replacement</t>
  </si>
  <si>
    <t>SM65(P0133742) BV2582/Replacement</t>
  </si>
  <si>
    <t>SM65(P0141010) LR3481/Replacement</t>
  </si>
  <si>
    <t>SMR200(P0140996) LR3477/Replaecement</t>
  </si>
  <si>
    <t>SM350(P0125197) ABS2318/Replacement</t>
  </si>
  <si>
    <t>SM350(P0133554)LR2658</t>
  </si>
  <si>
    <t>SMR200(P0133557)LR2658</t>
  </si>
  <si>
    <t>SM65(P0133559)LR2659</t>
  </si>
  <si>
    <t>SM65(P0141022)LR3484</t>
  </si>
  <si>
    <t>SM350(P0153147)ABS2607</t>
  </si>
  <si>
    <t>SM65(P0153148)ABS2607</t>
  </si>
  <si>
    <t>SM65(P0141841)DNV2700</t>
  </si>
  <si>
    <t>SM350(P0136199)LR3455</t>
  </si>
  <si>
    <t>SM65(P0136200)LR3455</t>
  </si>
  <si>
    <t>SMR200(P0136202)LR3455</t>
  </si>
  <si>
    <t>SM350(P0133562)LR2660</t>
  </si>
  <si>
    <t>SM65(P0133563)LR2660</t>
  </si>
  <si>
    <t>SMR200(P0133565)LR2660</t>
  </si>
  <si>
    <t>SM350(P0141844)DNV2701</t>
  </si>
  <si>
    <t>SM65(P0141845)DNV2701</t>
  </si>
  <si>
    <t>SMR200(P0141847)DNV2701</t>
  </si>
  <si>
    <t>SM65(P0144354)DNV2591</t>
  </si>
  <si>
    <t>SMR200(P0144356)DNV2591</t>
  </si>
  <si>
    <t>SM65(P0147803)LR8256</t>
  </si>
  <si>
    <t>SMR200(P0147804)LR8256</t>
  </si>
  <si>
    <t>SMR200(P0136206)LR3456</t>
  </si>
  <si>
    <t>SM350(P0128747)ABS2569 Replacement</t>
  </si>
  <si>
    <t>SM50(P0133739)ABS2581 Replacement</t>
  </si>
  <si>
    <t>SM350(P0141061)LR8263 Replacement</t>
  </si>
  <si>
    <t>ＩＭＰ</t>
  </si>
  <si>
    <t>SM65(P0136204) LR3456</t>
  </si>
  <si>
    <t>SM65(P0141849) DNV2702</t>
  </si>
  <si>
    <t>SMR200(P0147801)LR8255</t>
  </si>
  <si>
    <t>SM350(P0146250)DNVH1913A</t>
  </si>
  <si>
    <t>SM350(P0144353)DNV2591</t>
  </si>
  <si>
    <t>SM350(P0135221)ABSCMHI-282-05</t>
  </si>
  <si>
    <t>SM65(P0135222)ABSCMHI-282-05</t>
  </si>
  <si>
    <t>SM350(P0141025)LR3485</t>
  </si>
  <si>
    <t>SM350(P0147802)LR8256</t>
  </si>
  <si>
    <t>SM65(P0147806)LR8257</t>
  </si>
  <si>
    <t>SMR200(P0147807)LR8257</t>
  </si>
  <si>
    <t>SM65(P0136208)LR3457</t>
  </si>
  <si>
    <t>SMR200(P0136210)LR3457</t>
  </si>
  <si>
    <t>SM350(P0133741)BV2582/ Replacement</t>
  </si>
  <si>
    <t>SM350(P0127188)CCSH1891A/ Replacement</t>
  </si>
  <si>
    <t>DSM2603-SK05</t>
  </si>
  <si>
    <t>SMR200(P0135224)ABSCMHI-282-05</t>
  </si>
  <si>
    <t>SM350(L260601038)BV2592</t>
  </si>
  <si>
    <t>SM-10103SAR2</t>
  </si>
  <si>
    <t>SM350(P0136203)LR3456</t>
  </si>
  <si>
    <t>SM350(P0147805)LR8257</t>
  </si>
  <si>
    <t>SM350(P0157701)LR2598</t>
  </si>
  <si>
    <t>SM65(P0157702)LR2598</t>
  </si>
  <si>
    <t>SMR200(P0157704)LR2598</t>
  </si>
  <si>
    <t>SM350(P0157705)LR2599</t>
  </si>
  <si>
    <t>SMR200(P0157708)LR2599</t>
  </si>
  <si>
    <t>SM350(P0141001)LR3479/Replacement</t>
  </si>
  <si>
    <t>토</t>
    <phoneticPr fontId="11" type="noConversion"/>
  </si>
  <si>
    <t>월</t>
    <phoneticPr fontId="11" type="noConversion"/>
  </si>
  <si>
    <t>고기동 탐색기부</t>
    <phoneticPr fontId="11" type="noConversion"/>
  </si>
  <si>
    <t xml:space="preserve">DN40-FF1101L </t>
  </si>
  <si>
    <t>하우징,뒷판용</t>
    <phoneticPr fontId="21" type="noConversion"/>
  </si>
  <si>
    <t>'25/11~</t>
    <phoneticPr fontId="21" type="noConversion"/>
  </si>
  <si>
    <t>26/01~ 26/2원자재변동 소급</t>
    <phoneticPr fontId="21" type="noConversion"/>
  </si>
  <si>
    <t>4월이월</t>
    <phoneticPr fontId="21" type="noConversion"/>
  </si>
  <si>
    <t>코레일 4, SR 15</t>
    <phoneticPr fontId="11" type="noConversion"/>
  </si>
  <si>
    <t>kr 4</t>
    <phoneticPr fontId="11" type="noConversion"/>
  </si>
  <si>
    <t>EMU-320</t>
    <phoneticPr fontId="11" type="noConversion"/>
  </si>
  <si>
    <t>SR 11</t>
    <phoneticPr fontId="11" type="noConversion"/>
  </si>
  <si>
    <t>ㅌ</t>
    <phoneticPr fontId="21" type="noConversion"/>
  </si>
  <si>
    <t>EMU-260 11</t>
    <phoneticPr fontId="11" type="noConversion"/>
  </si>
  <si>
    <t>emu-260 5</t>
  </si>
  <si>
    <t>EMU-260</t>
    <phoneticPr fontId="11" type="noConversion"/>
  </si>
  <si>
    <t>EMU-260 5</t>
    <phoneticPr fontId="11" type="noConversion"/>
  </si>
  <si>
    <t>EMU-320 10</t>
    <phoneticPr fontId="11" type="noConversion"/>
  </si>
  <si>
    <t>가공 전</t>
    <phoneticPr fontId="11" type="noConversion"/>
  </si>
  <si>
    <t>mes 지지용으로 출하 처리</t>
    <phoneticPr fontId="21" type="noConversion"/>
  </si>
  <si>
    <t>3월마감</t>
    <phoneticPr fontId="21" type="noConversion"/>
  </si>
  <si>
    <t>4월 이월</t>
    <phoneticPr fontId="21" type="noConversion"/>
  </si>
  <si>
    <t>Body(400)</t>
    <phoneticPr fontId="21" type="noConversion"/>
  </si>
  <si>
    <t>불량대체</t>
    <phoneticPr fontId="21" type="noConversion"/>
  </si>
  <si>
    <t>4월이월</t>
    <phoneticPr fontId="21" type="noConversion"/>
  </si>
  <si>
    <t>4월이월</t>
    <phoneticPr fontId="11" type="noConversion"/>
  </si>
  <si>
    <t>DSM2603-SK01</t>
  </si>
  <si>
    <t>DSM2603-SK02</t>
  </si>
  <si>
    <t>DSM2603-SK03</t>
  </si>
  <si>
    <t>DSM2603-SK04</t>
  </si>
  <si>
    <t>O</t>
    <phoneticPr fontId="11" type="noConversion"/>
  </si>
  <si>
    <t xml:space="preserve">Retainer, Crown Wheel Bearing </t>
  </si>
  <si>
    <t>KWA81394</t>
  </si>
  <si>
    <t>Cover, Pinion Pump Side</t>
  </si>
  <si>
    <t>KWA81432</t>
  </si>
  <si>
    <t>Casing Main, T-Case, Front Half</t>
  </si>
  <si>
    <t>KWA81241</t>
  </si>
  <si>
    <t>INTERM.FLANGE RH</t>
  </si>
  <si>
    <t>SIDE COVER LH</t>
  </si>
  <si>
    <t>동림산업</t>
    <phoneticPr fontId="11" type="noConversion"/>
  </si>
  <si>
    <t>F.W.HOUSING</t>
    <phoneticPr fontId="11" type="noConversion"/>
  </si>
  <si>
    <t>150114-00221A</t>
    <phoneticPr fontId="11" type="noConversion"/>
  </si>
  <si>
    <t>150114-00221A</t>
  </si>
  <si>
    <t>150114-00501B</t>
  </si>
  <si>
    <t>4/30검사(mes처리) - 5/4일 출하</t>
    <phoneticPr fontId="11" type="noConversion"/>
  </si>
  <si>
    <t>emu-260</t>
    <phoneticPr fontId="11" type="noConversion"/>
  </si>
  <si>
    <t>emu-320</t>
    <phoneticPr fontId="11" type="noConversion"/>
  </si>
  <si>
    <t>불량대체(SR)</t>
    <phoneticPr fontId="11" type="noConversion"/>
  </si>
  <si>
    <t xml:space="preserve">선입고-명세서 </t>
    <phoneticPr fontId="11" type="noConversion"/>
  </si>
  <si>
    <t>RMU7001HS1</t>
    <phoneticPr fontId="11" type="noConversion"/>
  </si>
  <si>
    <t>로만시스</t>
    <phoneticPr fontId="11" type="noConversion"/>
  </si>
  <si>
    <t>4/30 검사 예정</t>
    <phoneticPr fontId="11" type="noConversion"/>
  </si>
  <si>
    <t>65.01401-0246</t>
  </si>
  <si>
    <t>2235-8812030173</t>
  </si>
  <si>
    <t>E24S503</t>
  </si>
  <si>
    <t>E24S504</t>
  </si>
  <si>
    <t>E24S505</t>
  </si>
  <si>
    <t>E24X206</t>
  </si>
  <si>
    <t>E24X245</t>
  </si>
  <si>
    <t>E24X246</t>
  </si>
  <si>
    <t>E24X308</t>
  </si>
  <si>
    <t>E24X309</t>
  </si>
  <si>
    <t>E25X211</t>
  </si>
  <si>
    <t>E24X307</t>
  </si>
  <si>
    <t>E25X240</t>
  </si>
  <si>
    <t>2235-5842002316</t>
  </si>
  <si>
    <t>AIR FILTER HSG,R(MB871)</t>
  </si>
  <si>
    <t>4235-8710901507</t>
  </si>
  <si>
    <t>2235-5840900928</t>
  </si>
  <si>
    <t>AIR CLEANER COVER,RIGHT(TYPE 2)</t>
  </si>
  <si>
    <t>4235-8710900543</t>
  </si>
  <si>
    <t>CLEANER ASS'Y(MB871)</t>
  </si>
  <si>
    <t>4235-8710901607</t>
  </si>
  <si>
    <t>HOUSING ASS'Y(MB871)</t>
  </si>
  <si>
    <t>4235-8710901707</t>
  </si>
  <si>
    <t>AIR FILTER COVER,RIGHT</t>
  </si>
  <si>
    <t>E25S009</t>
  </si>
  <si>
    <t>HOUSING,OIL FILTER(MB871)</t>
  </si>
  <si>
    <t>4235-8711840202</t>
  </si>
  <si>
    <t>COVER RING</t>
  </si>
  <si>
    <t>11.07113-0034-1</t>
  </si>
  <si>
    <t>E26B508</t>
  </si>
  <si>
    <t>E26B509</t>
  </si>
  <si>
    <t>E26B506</t>
  </si>
  <si>
    <t>E26B507</t>
  </si>
  <si>
    <t>61540113(A689-29507-10)</t>
  </si>
  <si>
    <t>29533258(60357762)
A640-14360-10</t>
  </si>
  <si>
    <t>12267186 A640-12202-10</t>
    <phoneticPr fontId="11" type="noConversion"/>
  </si>
  <si>
    <t>하우징, 기계구동장치용우징</t>
  </si>
  <si>
    <t>61540163(A689-27075-10)</t>
  </si>
  <si>
    <t>61540656(A689-29741-10)</t>
  </si>
  <si>
    <t>12288086 A640-14156-10</t>
    <phoneticPr fontId="11" type="noConversion"/>
  </si>
  <si>
    <t>하우징, 전자구성품용</t>
  </si>
  <si>
    <t>61541566(A689-26305-10)</t>
  </si>
  <si>
    <t>61539476(A689-22006-10)</t>
  </si>
  <si>
    <t>61539489(A689-22022-10)</t>
  </si>
  <si>
    <t>61541025(A689-24901-10)</t>
  </si>
  <si>
    <t>리테이너</t>
  </si>
  <si>
    <t>60618088 A620-12034-10</t>
    <phoneticPr fontId="11" type="noConversion"/>
  </si>
  <si>
    <t>KK01285</t>
  </si>
  <si>
    <t>L12000C01</t>
  </si>
  <si>
    <t>KK01115</t>
  </si>
  <si>
    <t>KK01300</t>
  </si>
  <si>
    <t>KK01398</t>
  </si>
  <si>
    <t>KK01372</t>
  </si>
  <si>
    <t>L11761B01</t>
  </si>
  <si>
    <t>DSM2604-SK01</t>
    <phoneticPr fontId="11" type="noConversion"/>
  </si>
  <si>
    <t>SM350(R260121116)LR2619</t>
  </si>
  <si>
    <t>SM350(R260128103)LR2619</t>
  </si>
  <si>
    <t>SM-70102SP</t>
  </si>
  <si>
    <t>SM65(P0157706)LR2599</t>
  </si>
  <si>
    <t>SM-10101SAR5</t>
    <phoneticPr fontId="11" type="noConversion"/>
  </si>
  <si>
    <t>SM65(P0141841)DNV2700/Replacement</t>
  </si>
  <si>
    <t>SM-70115SBR5</t>
    <phoneticPr fontId="11" type="noConversion"/>
  </si>
  <si>
    <t>SM350(L260424244)BV2590</t>
  </si>
  <si>
    <t>DSM2604-SK02</t>
  </si>
  <si>
    <t>SM350(P0141711)LR3501</t>
  </si>
  <si>
    <t>SMR200(P0141020)LR3483</t>
  </si>
  <si>
    <t>DSM2604-SK03</t>
  </si>
  <si>
    <t>SM-10101SAR5</t>
  </si>
  <si>
    <t>SM65(P0136204)LR3456</t>
  </si>
  <si>
    <t>SM65(P0141849)DNV2702</t>
  </si>
  <si>
    <t>SM350(P0135225)ABSCMHI-282-04</t>
  </si>
  <si>
    <t>SM350(P0136207)LR3457</t>
  </si>
  <si>
    <t>SM-70102SM</t>
  </si>
  <si>
    <t>SM65(P0141712)LR3501</t>
  </si>
  <si>
    <t>SMR200(P0141714)LR3501</t>
  </si>
  <si>
    <t>SM-00103SB</t>
    <phoneticPr fontId="11" type="noConversion"/>
  </si>
  <si>
    <t>SM50(P0151601)ABS2602</t>
  </si>
  <si>
    <t>DSM2604-SK04</t>
    <phoneticPr fontId="11" type="noConversion"/>
  </si>
  <si>
    <t>SM350(P0147799)LR8255</t>
  </si>
  <si>
    <t>SMR200(P0146193)LRH1912A</t>
  </si>
  <si>
    <t>SM350(P0141848)DNV2702</t>
  </si>
  <si>
    <t>SM350(P0146589)LRG175K-14</t>
  </si>
  <si>
    <t>SMR200(P0146592)LRG175K-14</t>
  </si>
  <si>
    <t>SM65(P0145838)ABS2669</t>
  </si>
  <si>
    <t>DSM2604-SK05</t>
  </si>
  <si>
    <t>SM65(P0157317)ABS2608</t>
  </si>
  <si>
    <t xml:space="preserve">SM350(P0135225)ABSCMHI-282-04 </t>
  </si>
  <si>
    <t>SM350(P0145837)ABS2669</t>
  </si>
  <si>
    <t>SM350(P0133558)LR2659</t>
  </si>
  <si>
    <t>SM350(P0157316)ABS2608</t>
  </si>
  <si>
    <t>SMR200(P0141851)DNV2702</t>
  </si>
  <si>
    <t>SMR200(P0145840)ABS2669</t>
  </si>
  <si>
    <t>SMR200(P0157318)ABS2608</t>
  </si>
  <si>
    <t xml:space="preserve">SMR200(P0146592)LRG175K-14 </t>
  </si>
  <si>
    <t>SMR200(P0133561)LR2659</t>
  </si>
  <si>
    <t>장비탑재부용 동체</t>
  </si>
  <si>
    <t>DN40-FF1201</t>
    <phoneticPr fontId="11" type="noConversion"/>
  </si>
  <si>
    <t>프레임용</t>
    <phoneticPr fontId="11" type="noConversion"/>
  </si>
  <si>
    <t>DN40-MF1203</t>
    <phoneticPr fontId="11" type="noConversion"/>
  </si>
  <si>
    <t>슈라우드 주조개발</t>
    <phoneticPr fontId="11" type="noConversion"/>
  </si>
  <si>
    <t>개발비</t>
    <phoneticPr fontId="11" type="noConversion"/>
  </si>
  <si>
    <t>슈라우드 주조목형</t>
    <phoneticPr fontId="11" type="noConversion"/>
  </si>
  <si>
    <t xml:space="preserve"> INNER CORE(LT6)</t>
  </si>
  <si>
    <t>LT2 ADAPTER BRACKET</t>
  </si>
  <si>
    <t xml:space="preserve"> P_18372103(가공)</t>
  </si>
  <si>
    <t>P_13817606(가공)</t>
  </si>
  <si>
    <t>영창이엔지㈜</t>
    <phoneticPr fontId="21" type="noConversion"/>
  </si>
  <si>
    <t>WATER SUPPLY PIPE,LH</t>
    <phoneticPr fontId="21" type="noConversion"/>
  </si>
  <si>
    <t>K5842030001</t>
    <phoneticPr fontId="21" type="noConversion"/>
  </si>
  <si>
    <t>5월이월 선입고-장인규매니저요청</t>
    <phoneticPr fontId="11" type="noConversion"/>
  </si>
  <si>
    <t>4235-8710940106</t>
    <phoneticPr fontId="21" type="noConversion"/>
  </si>
  <si>
    <t>파이프삽입 누락 불량 5/7반출</t>
    <phoneticPr fontId="11" type="noConversion"/>
  </si>
  <si>
    <t>150114-00501B</t>
    <phoneticPr fontId="21" type="noConversion"/>
  </si>
  <si>
    <t>5월이월</t>
    <phoneticPr fontId="21" type="noConversion"/>
  </si>
  <si>
    <t>'26/02~26/03 원자재변동 소급금액</t>
    <phoneticPr fontId="21" type="noConversion"/>
  </si>
  <si>
    <t>4월마감</t>
    <phoneticPr fontId="11" type="noConversion"/>
  </si>
  <si>
    <t>4월마감</t>
    <phoneticPr fontId="21" type="noConversion"/>
  </si>
  <si>
    <t>5월 이월</t>
    <phoneticPr fontId="21" type="noConversion"/>
  </si>
  <si>
    <t>5월 이월-기품원</t>
    <phoneticPr fontId="21" type="noConversion"/>
  </si>
  <si>
    <t>5월이월</t>
    <phoneticPr fontId="21" type="noConversion"/>
  </si>
  <si>
    <t>불량대체</t>
    <phoneticPr fontId="21" type="noConversion"/>
  </si>
  <si>
    <t>선급금공제 -27,754,163</t>
    <phoneticPr fontId="21" type="noConversion"/>
  </si>
  <si>
    <t>선급금공제</t>
    <phoneticPr fontId="21" type="noConversion"/>
  </si>
  <si>
    <t xml:space="preserve"> emu-320</t>
    <phoneticPr fontId="11" type="noConversion"/>
  </si>
  <si>
    <t>1월소급</t>
    <phoneticPr fontId="21" type="noConversion"/>
  </si>
  <si>
    <t>2월소급</t>
  </si>
  <si>
    <t>3월소급</t>
  </si>
  <si>
    <t>4월소급</t>
  </si>
  <si>
    <t>소급전 적용단가</t>
  </si>
  <si>
    <t>소급단가</t>
  </si>
  <si>
    <t>DSM2604-JS01</t>
  </si>
  <si>
    <t>DSM2604-JS02</t>
  </si>
  <si>
    <t>LT2 INNER CORE(LT6)</t>
    <phoneticPr fontId="21" type="noConversion"/>
  </si>
  <si>
    <t>4월</t>
    <phoneticPr fontId="21" type="noConversion"/>
  </si>
  <si>
    <t>SM350(P0135225) ABSCMHI-282-04/Replacement</t>
    <phoneticPr fontId="21" type="noConversion"/>
  </si>
  <si>
    <t>CLUTCHHOUSING</t>
  </si>
  <si>
    <t>41460T05400-00</t>
  </si>
  <si>
    <t>Casing, Axle 4 Connect Box</t>
  </si>
  <si>
    <t>KWA81911</t>
  </si>
  <si>
    <t>SIDE COVER RH</t>
  </si>
  <si>
    <t>7060740994</t>
  </si>
  <si>
    <t>7060741009</t>
  </si>
  <si>
    <t>150114-00617</t>
  </si>
  <si>
    <t>5/29 검사 4m 신고 완료 후 출하 예정</t>
    <phoneticPr fontId="11" type="noConversion"/>
  </si>
  <si>
    <t>예정</t>
    <phoneticPr fontId="11" type="noConversion"/>
  </si>
  <si>
    <t>E24X247</t>
  </si>
  <si>
    <t>E25Q020</t>
  </si>
  <si>
    <t>E24X255</t>
  </si>
  <si>
    <t>E24X310</t>
  </si>
  <si>
    <t>4235-8710940106</t>
  </si>
  <si>
    <t>E25X201</t>
  </si>
  <si>
    <t>E25X202</t>
  </si>
  <si>
    <t>2235-8711870624</t>
  </si>
  <si>
    <t>2235-8812030129</t>
  </si>
  <si>
    <t>61539480(A689-22012-10)</t>
  </si>
  <si>
    <t>TEST 용 샘플 공급. 5/12 출</t>
    <phoneticPr fontId="11" type="noConversion"/>
  </si>
  <si>
    <t>피스톤4단</t>
  </si>
  <si>
    <t>60618331
A620-14107-10</t>
  </si>
  <si>
    <t>29533258(60357762)A640-14360-10</t>
    <phoneticPr fontId="11" type="noConversion"/>
  </si>
  <si>
    <t>ADAPTER</t>
  </si>
  <si>
    <t>60357979-1</t>
  </si>
  <si>
    <t>함침</t>
  </si>
  <si>
    <t>60357979(29533301) A640-15004-10</t>
    <phoneticPr fontId="11" type="noConversion"/>
  </si>
  <si>
    <t>12288028A640-12270-10</t>
    <phoneticPr fontId="11" type="noConversion"/>
  </si>
  <si>
    <t>5/27일 검사, 5월 28일 출고</t>
    <phoneticPr fontId="11" type="noConversion"/>
  </si>
  <si>
    <t>5/22일 검사, 5월 26일 출고</t>
    <phoneticPr fontId="11" type="noConversion"/>
  </si>
  <si>
    <t>60358226(A640-17011-00)</t>
  </si>
  <si>
    <t>60357979(29533301) A640-15004-10</t>
  </si>
  <si>
    <t>11629446 A630-00135-10</t>
  </si>
  <si>
    <t>KK01254</t>
  </si>
  <si>
    <t>KK01437</t>
  </si>
  <si>
    <t>KK01399</t>
  </si>
  <si>
    <t>KK01340</t>
  </si>
  <si>
    <t>L12000C01</t>
    <phoneticPr fontId="11" type="noConversion"/>
  </si>
  <si>
    <t>KK01308</t>
  </si>
  <si>
    <t>KK01305</t>
  </si>
  <si>
    <t>L11710C01</t>
    <phoneticPr fontId="11" type="noConversion"/>
  </si>
  <si>
    <t>KK01369</t>
  </si>
  <si>
    <t>KK01371</t>
  </si>
  <si>
    <t>Case(500)</t>
    <phoneticPr fontId="11" type="noConversion"/>
  </si>
  <si>
    <t>Body(250)</t>
    <phoneticPr fontId="11" type="noConversion"/>
  </si>
  <si>
    <t>Bonnet(250)</t>
    <phoneticPr fontId="11" type="noConversion"/>
  </si>
  <si>
    <t>I-F0004-2-06</t>
  </si>
  <si>
    <t>Z-13068-2-14</t>
    <phoneticPr fontId="11" type="noConversion"/>
  </si>
  <si>
    <t>Z-98127-2-03</t>
    <phoneticPr fontId="11" type="noConversion"/>
  </si>
  <si>
    <t>Z-15108-2-11A2</t>
    <phoneticPr fontId="11" type="noConversion"/>
  </si>
  <si>
    <t>Z-13068-2-10</t>
    <phoneticPr fontId="11" type="noConversion"/>
  </si>
  <si>
    <t>Body(550)</t>
    <phoneticPr fontId="11" type="noConversion"/>
  </si>
  <si>
    <t>I-F0004-2-05</t>
    <phoneticPr fontId="11" type="noConversion"/>
  </si>
  <si>
    <t>SM350(P0141840)DNV2700</t>
  </si>
  <si>
    <t xml:space="preserve">  DSM2605-SK01</t>
  </si>
  <si>
    <t>SM65(P0146590)LRG175K-14</t>
  </si>
  <si>
    <t>SM65(P0150506)LR+CCSG175K-17/ Replacement</t>
  </si>
  <si>
    <t>SM350(P0141017)LR3483</t>
  </si>
  <si>
    <t xml:space="preserve">  DSM2605-SK02</t>
    <phoneticPr fontId="11" type="noConversion"/>
  </si>
  <si>
    <t>SM350(P0152551)LR2729/Replacement</t>
  </si>
  <si>
    <t>SMR200(P0147798)LR8254/Replacement</t>
  </si>
  <si>
    <t>SM350(P0141009)LR3481/Replacement</t>
  </si>
  <si>
    <t>SM350(P0146190)LRH1912A/Replacement</t>
  </si>
  <si>
    <t>SMR200(P0136198)LR3454/Replacement</t>
  </si>
  <si>
    <t>SM350(P0153144)ABS2606</t>
  </si>
  <si>
    <t xml:space="preserve">  DSM2605-SK03</t>
  </si>
  <si>
    <t>SM350(P0141021)LR3484</t>
  </si>
  <si>
    <t xml:space="preserve">  DSM2605-SK04</t>
    <phoneticPr fontId="11" type="noConversion"/>
  </si>
  <si>
    <t>SMR200(P0141024)LR3484</t>
  </si>
  <si>
    <t>SM350(P0157709)LR2600</t>
  </si>
  <si>
    <t>SM350(P0164694)LR2777</t>
  </si>
  <si>
    <t>SM50(P0133739)ABS2581/Replacement</t>
  </si>
  <si>
    <t>SMR200(P0141843)DNV2700</t>
  </si>
  <si>
    <t xml:space="preserve">  DSM2605-SK05</t>
  </si>
  <si>
    <t>SM350(P0157319)ABS2609</t>
  </si>
  <si>
    <t>SM65(P0157320)ABS2609</t>
  </si>
  <si>
    <t>SMR200(P0157321)ABS2609</t>
  </si>
  <si>
    <t>SMR200(P0157712)LR2600</t>
  </si>
  <si>
    <t>SM-70102SN</t>
  </si>
  <si>
    <t>SM350(P0162873)LR2773</t>
  </si>
  <si>
    <t>SMR200(P0162876)LR2773</t>
  </si>
  <si>
    <t>㈜대흥쿨러</t>
  </si>
  <si>
    <t>TANK</t>
  </si>
  <si>
    <t>450106-00310</t>
  </si>
  <si>
    <t>450106-00516</t>
  </si>
  <si>
    <t>DN40-FF1201</t>
  </si>
  <si>
    <t>프레임용</t>
  </si>
  <si>
    <t>DN40-MF1203</t>
  </si>
  <si>
    <t>공기흡입관</t>
  </si>
  <si>
    <t>DN40-MF0361P-X</t>
  </si>
  <si>
    <t>불량대체</t>
  </si>
  <si>
    <t>2/25:8ea</t>
  </si>
  <si>
    <t>벽진미출하 63</t>
  </si>
  <si>
    <t>2/23 사급 부시 입고 후 출하 예정-검사완료</t>
  </si>
  <si>
    <t>맥시스</t>
  </si>
  <si>
    <t>4/9:14ea, 4/15:23, 4/29:26, 5/6:18,5/13:26</t>
    <phoneticPr fontId="11" type="noConversion"/>
  </si>
  <si>
    <t>5/21:5EA, 1EA 불량으로 정리하고 마무리</t>
    <phoneticPr fontId="11" type="noConversion"/>
  </si>
  <si>
    <t>6월이월</t>
    <phoneticPr fontId="21" type="noConversion"/>
  </si>
  <si>
    <t>DSM CCS H1891A-SK01</t>
  </si>
  <si>
    <t>DSM CCS G175K-16-SK01</t>
  </si>
  <si>
    <t xml:space="preserve">DSM ABS CMHI-282-04-SK01 </t>
  </si>
  <si>
    <t>DSM ABS 2717-SK01</t>
  </si>
  <si>
    <t>DSM ABS 2602-SK01</t>
  </si>
  <si>
    <t>DSM ABS 2581-SK02</t>
  </si>
  <si>
    <t>선급비</t>
    <phoneticPr fontId="21" type="noConversion"/>
  </si>
  <si>
    <t>6월이월</t>
    <phoneticPr fontId="21" type="noConversion"/>
  </si>
  <si>
    <t>41460T00201</t>
  </si>
  <si>
    <t>HOUSING-CLUTCH</t>
  </si>
  <si>
    <t>자</t>
    <phoneticPr fontId="21" type="noConversion"/>
  </si>
  <si>
    <t>DSM2605-JS01</t>
  </si>
  <si>
    <t>DSM2605-JS02</t>
  </si>
  <si>
    <t>DSM2605-JS03</t>
  </si>
  <si>
    <t>DSM2605-JS04</t>
  </si>
  <si>
    <t>단가</t>
    <phoneticPr fontId="21" type="noConversion"/>
  </si>
  <si>
    <t>환율</t>
    <phoneticPr fontId="21" type="noConversion"/>
  </si>
  <si>
    <t>인보이스NO.</t>
    <phoneticPr fontId="21" type="noConversion"/>
  </si>
  <si>
    <t>HOUSING</t>
    <phoneticPr fontId="11" type="noConversion"/>
  </si>
  <si>
    <t>6월이월</t>
    <phoneticPr fontId="21" type="noConversion"/>
  </si>
  <si>
    <t>6월이월 선입고-장인규매니저요청</t>
    <phoneticPr fontId="11" type="noConversion"/>
  </si>
  <si>
    <t>6월이월 '22-5</t>
    <phoneticPr fontId="11" type="noConversion"/>
  </si>
  <si>
    <t>5월 마감</t>
    <phoneticPr fontId="21" type="noConversion"/>
  </si>
  <si>
    <t>5월 마감  11ea -&gt; 9ea</t>
    <phoneticPr fontId="21" type="noConversion"/>
  </si>
  <si>
    <t>60357979(A640-15004-10)</t>
    <phoneticPr fontId="21" type="noConversion"/>
  </si>
  <si>
    <t>6월 이월</t>
    <phoneticPr fontId="21" type="noConversion"/>
  </si>
  <si>
    <t>6월 이월-기품원</t>
    <phoneticPr fontId="21" type="noConversion"/>
  </si>
  <si>
    <t>61540656(A689-29741-10)</t>
    <phoneticPr fontId="21" type="noConversion"/>
  </si>
  <si>
    <t>65.01401-0246</t>
    <phoneticPr fontId="21" type="noConversion"/>
  </si>
  <si>
    <t>5월마감</t>
    <phoneticPr fontId="21" type="noConversion"/>
  </si>
  <si>
    <t>Body(350)</t>
    <phoneticPr fontId="21" type="noConversion"/>
  </si>
  <si>
    <t>단가 소급</t>
    <phoneticPr fontId="21" type="noConversion"/>
  </si>
  <si>
    <t>태양기계</t>
    <phoneticPr fontId="21" type="noConversion"/>
  </si>
  <si>
    <t>Caterpillar Housing 2종 - 금형(선급금)</t>
    <phoneticPr fontId="21" type="noConversion"/>
  </si>
  <si>
    <t>5월이월 -&gt;5월마감</t>
    <phoneticPr fontId="21" type="noConversion"/>
  </si>
  <si>
    <t>CLUTCH HOUSING</t>
  </si>
  <si>
    <t>41460T00201-00</t>
  </si>
  <si>
    <t>70KWA81382</t>
    <phoneticPr fontId="11" type="noConversion"/>
  </si>
  <si>
    <t>32개출하후 3개 다시 입고 mes수정안됨</t>
    <phoneticPr fontId="11" type="noConversion"/>
  </si>
  <si>
    <t>70KWA81351</t>
    <phoneticPr fontId="11" type="noConversion"/>
  </si>
  <si>
    <t>COVER, PINION NON PUMP SIDE</t>
    <phoneticPr fontId="11" type="noConversion"/>
  </si>
  <si>
    <t>70KWA81652</t>
    <phoneticPr fontId="11" type="noConversion"/>
  </si>
  <si>
    <t>RMU7003HS1</t>
    <phoneticPr fontId="11" type="noConversion"/>
  </si>
  <si>
    <t>RMU7004HS1</t>
    <phoneticPr fontId="11" type="noConversion"/>
  </si>
  <si>
    <t>FRAME, BAY 소형물</t>
    <phoneticPr fontId="11" type="noConversion"/>
  </si>
  <si>
    <t>RMU70032LZ0</t>
    <phoneticPr fontId="11" type="noConversion"/>
  </si>
  <si>
    <t>FRAME, BAY 연결대</t>
    <phoneticPr fontId="11" type="noConversion"/>
  </si>
  <si>
    <t>STX엔진㈜제1사업장</t>
  </si>
  <si>
    <t>E24X922</t>
  </si>
  <si>
    <t>E25S357</t>
  </si>
  <si>
    <t>E25S358</t>
  </si>
  <si>
    <t>E25S359</t>
  </si>
  <si>
    <t>E25S363</t>
  </si>
  <si>
    <t>TANK,EXPANSION(MB871)</t>
  </si>
  <si>
    <t>2235-8712030485</t>
  </si>
  <si>
    <t>E24X256</t>
  </si>
  <si>
    <t>E24X311</t>
  </si>
  <si>
    <t>E24X312</t>
  </si>
  <si>
    <t>E25X231</t>
  </si>
  <si>
    <t>E24X923</t>
  </si>
  <si>
    <t>PISTON</t>
  </si>
  <si>
    <t>8351546
1022276-100</t>
  </si>
  <si>
    <t>60618783
A620-31001-10</t>
  </si>
  <si>
    <t>대체품</t>
  </si>
  <si>
    <t>60358238(12288252)
A640-17028-10</t>
  </si>
  <si>
    <t>SNT다이내믹스㈜</t>
  </si>
  <si>
    <t>60358238(12288252) A640-17028-10</t>
    <phoneticPr fontId="11" type="noConversion"/>
  </si>
  <si>
    <t>12267199 A640-14024-10</t>
    <phoneticPr fontId="11" type="noConversion"/>
  </si>
  <si>
    <t>KK01325</t>
  </si>
  <si>
    <t>KK01438</t>
  </si>
  <si>
    <t>KK01402</t>
  </si>
  <si>
    <t>KK01466</t>
  </si>
  <si>
    <t>Bonnet(320)</t>
    <phoneticPr fontId="11" type="noConversion"/>
  </si>
  <si>
    <t>Bonnet(550)</t>
    <phoneticPr fontId="11" type="noConversion"/>
  </si>
  <si>
    <t>Body(350)</t>
    <phoneticPr fontId="12" type="noConversion"/>
  </si>
  <si>
    <t>GPF-00002-2-05</t>
    <phoneticPr fontId="12" type="noConversion"/>
  </si>
  <si>
    <t>Bonnet(500)</t>
    <phoneticPr fontId="11" type="noConversion"/>
  </si>
  <si>
    <t>Case(320)</t>
    <phoneticPr fontId="11" type="noConversion"/>
  </si>
  <si>
    <t>I-F99079-2-05</t>
  </si>
  <si>
    <t>O</t>
  </si>
  <si>
    <t>불량반출</t>
    <phoneticPr fontId="11" type="noConversion"/>
  </si>
  <si>
    <t>단가소급진행</t>
    <phoneticPr fontId="11" type="noConversion"/>
  </si>
  <si>
    <t>SM350(P0146190)LRH1912A</t>
  </si>
  <si>
    <t>DSM2606-SK01</t>
  </si>
  <si>
    <t>SM350(P0150124)DNV2710</t>
  </si>
  <si>
    <t>SM350(P0133550)LR2657</t>
  </si>
  <si>
    <t>SM350(P0153183)ABS3401</t>
  </si>
  <si>
    <t>SM65(P0153184)ABS3401</t>
  </si>
  <si>
    <t>DSM2606-SK02</t>
  </si>
  <si>
    <t>SMR200(P0153149)ABS2607</t>
  </si>
  <si>
    <t>SM350(P0141715)LR3502</t>
  </si>
  <si>
    <t>SMR200(P0141718)LR3502</t>
  </si>
  <si>
    <t>SM350(P0149727)LR2711</t>
  </si>
  <si>
    <t>DSM2606-SK03</t>
  </si>
  <si>
    <t>DISCHARGE COVER</t>
    <phoneticPr fontId="11" type="noConversion"/>
  </si>
  <si>
    <t>SM65(P0141716)LR3502</t>
  </si>
  <si>
    <t>SM350(P0164678)DNVH2950</t>
  </si>
  <si>
    <t>SMR200(P0164681)DNVH2950</t>
  </si>
  <si>
    <t>SM65(P0164695)LR2777</t>
  </si>
  <si>
    <t>SMR200(P0164698)LR2777</t>
  </si>
  <si>
    <t>DSM2606-SK04</t>
  </si>
  <si>
    <t>SM350(P0133550)LR2657/Replacement</t>
  </si>
  <si>
    <t>SM350(P0150124)DNV2710/Replacement</t>
  </si>
  <si>
    <t>SM350(P0141061)LR8263/Replacement</t>
  </si>
  <si>
    <t>SM350(P0135225)ABSCMHI-282-04/Replacement</t>
  </si>
  <si>
    <t>SMR200(P0149731)LR2711</t>
  </si>
  <si>
    <t>태양기계</t>
  </si>
  <si>
    <t>테스트용</t>
    <phoneticPr fontId="11" type="noConversion"/>
  </si>
  <si>
    <t>하우징,하부</t>
    <phoneticPr fontId="11" type="noConversion"/>
  </si>
  <si>
    <t>우림피티에스</t>
    <phoneticPr fontId="11" type="noConversion"/>
  </si>
  <si>
    <t>덕티드,소재, 좌우공용</t>
    <phoneticPr fontId="11" type="noConversion"/>
  </si>
  <si>
    <t>M-W990863-0-00</t>
    <phoneticPr fontId="11" type="noConversion"/>
  </si>
  <si>
    <t>개발품</t>
    <phoneticPr fontId="11" type="noConversion"/>
  </si>
  <si>
    <t>덕티드,소재, 좌우공용 목형</t>
    <phoneticPr fontId="11" type="noConversion"/>
  </si>
  <si>
    <t>M-W990863-0-01</t>
    <phoneticPr fontId="11" type="noConversion"/>
  </si>
  <si>
    <t>목형</t>
    <phoneticPr fontId="11" type="noConversion"/>
  </si>
  <si>
    <t>6/15:9</t>
    <phoneticPr fontId="11" type="noConversion"/>
  </si>
  <si>
    <t>출하보류-이재성반장요청-페기 가능성 중자가 덜 들어감</t>
    <phoneticPr fontId="11" type="noConversion"/>
  </si>
  <si>
    <t>6/19:49</t>
    <phoneticPr fontId="11" type="noConversion"/>
  </si>
  <si>
    <t>6/9:2EA</t>
    <phoneticPr fontId="11" type="noConversion"/>
  </si>
  <si>
    <t>22-5</t>
    <phoneticPr fontId="11" type="noConversion"/>
  </si>
  <si>
    <t>기품원검사 대기</t>
    <phoneticPr fontId="11" type="noConversion"/>
  </si>
  <si>
    <t>88개 수정출하</t>
    <phoneticPr fontId="21" type="noConversion"/>
  </si>
  <si>
    <t>25년 폴란드 K2PL 폴란드양산 61대(부수지원 포함) 선급금 계약 선급금 율:34.620000 %</t>
    <phoneticPr fontId="21" type="noConversion"/>
  </si>
  <si>
    <t>65.01401-5003</t>
    <phoneticPr fontId="21" type="noConversion"/>
  </si>
  <si>
    <t>F.W.HOUSING</t>
    <phoneticPr fontId="21" type="noConversion"/>
  </si>
  <si>
    <t>150114-00221A</t>
    <phoneticPr fontId="21" type="noConversion"/>
  </si>
  <si>
    <t>150114-00617</t>
    <phoneticPr fontId="21" type="noConversion"/>
  </si>
  <si>
    <t>150114-00496A</t>
    <phoneticPr fontId="21" type="noConversion"/>
  </si>
  <si>
    <t>7월이월</t>
    <phoneticPr fontId="21" type="noConversion"/>
  </si>
  <si>
    <t>7월이월</t>
    <phoneticPr fontId="21" type="noConversion"/>
  </si>
  <si>
    <t xml:space="preserve">7월이월 </t>
    <phoneticPr fontId="21" type="noConversion"/>
  </si>
  <si>
    <t>7월이월 선입고-장인규매니저요청</t>
    <phoneticPr fontId="11" type="noConversion"/>
  </si>
  <si>
    <t>7월이월</t>
    <phoneticPr fontId="21" type="noConversion"/>
  </si>
  <si>
    <t>6월 마감</t>
    <phoneticPr fontId="21" type="noConversion"/>
  </si>
  <si>
    <t>61541784(A689-15902-10)</t>
    <phoneticPr fontId="21" type="noConversion"/>
  </si>
  <si>
    <t>덮개, 축용</t>
    <phoneticPr fontId="12" type="noConversion"/>
  </si>
  <si>
    <t>61541825(A689-15507-10)</t>
    <phoneticPr fontId="12" type="noConversion"/>
  </si>
  <si>
    <t>7월 이월 (불량)</t>
    <phoneticPr fontId="21" type="noConversion"/>
  </si>
  <si>
    <t>7월 이월-기품원</t>
    <phoneticPr fontId="21" type="noConversion"/>
  </si>
  <si>
    <t>7월 이월</t>
    <phoneticPr fontId="21" type="noConversion"/>
  </si>
  <si>
    <t>6월마감</t>
    <phoneticPr fontId="21" type="noConversion"/>
  </si>
  <si>
    <t>7/1:6  7월이월</t>
    <phoneticPr fontId="11" type="noConversion"/>
  </si>
  <si>
    <t>7/1:9  7월이월</t>
    <phoneticPr fontId="11" type="noConversion"/>
  </si>
  <si>
    <t>DSM2606-JS01</t>
    <phoneticPr fontId="21" type="noConversion"/>
  </si>
  <si>
    <t>DSM2606-JS02</t>
  </si>
  <si>
    <t>7월이월</t>
    <phoneticPr fontId="21" type="noConversion"/>
  </si>
  <si>
    <t>소재크랙 불량 반품 5/27</t>
    <phoneticPr fontId="21" type="noConversion"/>
  </si>
  <si>
    <t>INNER CORE(LT2)</t>
  </si>
  <si>
    <t>LT6 ADAPTER BRACKET</t>
  </si>
  <si>
    <t>P_10575701M1(가공)</t>
  </si>
  <si>
    <t>알멕</t>
    <phoneticPr fontId="21" type="noConversion"/>
  </si>
  <si>
    <t>70KWA81394</t>
    <phoneticPr fontId="11" type="noConversion"/>
  </si>
  <si>
    <t>CASE, MAIN, AXLE</t>
    <phoneticPr fontId="11" type="noConversion"/>
  </si>
  <si>
    <t>150114-00496A</t>
  </si>
  <si>
    <t>JOURNAL BOX/싱가폴</t>
    <phoneticPr fontId="11" type="noConversion"/>
  </si>
  <si>
    <t>emu320 9/ emu260 10</t>
    <phoneticPr fontId="11" type="noConversion"/>
  </si>
  <si>
    <t>신규패턴</t>
    <phoneticPr fontId="11" type="noConversion"/>
  </si>
  <si>
    <t>HOUSING ASSY, FLYWHEEL</t>
    <phoneticPr fontId="11" type="noConversion"/>
  </si>
  <si>
    <t>E24X922</t>
    <phoneticPr fontId="11" type="noConversion"/>
  </si>
  <si>
    <t>INLET HOUSING(V538)</t>
  </si>
  <si>
    <t>2235-5030800729</t>
  </si>
  <si>
    <t>ER_V538</t>
  </si>
  <si>
    <t>FLANGE ASS'Y</t>
  </si>
  <si>
    <t>2235-8712000446</t>
  </si>
  <si>
    <t>HOUSING,THERMOSTAT</t>
    <phoneticPr fontId="11" type="noConversion"/>
  </si>
  <si>
    <t>3235-8812030173</t>
    <phoneticPr fontId="11" type="noConversion"/>
  </si>
  <si>
    <t>STX엔진㈜제1사업장</t>
    <phoneticPr fontId="11" type="noConversion"/>
  </si>
  <si>
    <t>E24X256</t>
    <phoneticPr fontId="11" type="noConversion"/>
  </si>
  <si>
    <t>4235-8710940603</t>
    <phoneticPr fontId="11" type="noConversion"/>
  </si>
  <si>
    <t>자주검사</t>
    <phoneticPr fontId="11" type="noConversion"/>
  </si>
  <si>
    <t>INTERMEDIATE PIECE</t>
  </si>
  <si>
    <t>2235-135L35522/2</t>
  </si>
  <si>
    <t>CPL CW PUMP HSG(R)-&amp;gt;ID:43</t>
  </si>
  <si>
    <t>2235-5612000103</t>
  </si>
  <si>
    <t>CPL CW PUMP HSG(L)</t>
  </si>
  <si>
    <t>2235-5622000003</t>
  </si>
  <si>
    <t>E22X215</t>
  </si>
  <si>
    <t>E24X313</t>
  </si>
  <si>
    <t>E24X314</t>
  </si>
  <si>
    <t>E24X315</t>
  </si>
  <si>
    <t>E25X203</t>
  </si>
  <si>
    <t>E24X923</t>
    <phoneticPr fontId="11" type="noConversion"/>
  </si>
  <si>
    <t>STX엔진㈜민수</t>
  </si>
  <si>
    <t>E26B510</t>
  </si>
  <si>
    <t>o</t>
  </si>
  <si>
    <t>KK01493</t>
  </si>
  <si>
    <t>KK01492</t>
  </si>
  <si>
    <t>KK01540</t>
  </si>
  <si>
    <t>KK01491</t>
  </si>
  <si>
    <t>다이헨한국㈜</t>
    <phoneticPr fontId="11" type="noConversion"/>
  </si>
  <si>
    <t>Body(320)</t>
    <phoneticPr fontId="11" type="noConversion"/>
  </si>
  <si>
    <t>Case-Axle</t>
    <phoneticPr fontId="11" type="noConversion"/>
  </si>
  <si>
    <t>PGS1110</t>
    <phoneticPr fontId="11" type="noConversion"/>
  </si>
  <si>
    <t>DSM2607-SK01</t>
  </si>
  <si>
    <t>SM65(T0000432)</t>
  </si>
  <si>
    <t>SM65(P0157710)LR2600</t>
  </si>
  <si>
    <t>SM65(P0149729)LR2711</t>
  </si>
  <si>
    <t>DSM2607-SK02</t>
    <phoneticPr fontId="11" type="noConversion"/>
  </si>
  <si>
    <t>SM350(P0146198)DNVH1914A</t>
  </si>
  <si>
    <t>SM65(P0136196)LR3454/Replacement</t>
  </si>
  <si>
    <t>SM65(P0125198)ABS2318/Replacement</t>
  </si>
  <si>
    <t>SM65(P0133738)ABS2581/Replacement</t>
  </si>
  <si>
    <t>SM65(P0141010)LR3481/Replacement</t>
  </si>
  <si>
    <t>SM350(P0152551)LR2729</t>
  </si>
  <si>
    <t>DSM2607-SK03</t>
  </si>
  <si>
    <t>SM350(P0141864)BV2706</t>
  </si>
  <si>
    <t>SM65(P0141865)BV2706</t>
  </si>
  <si>
    <t>SM350(P0146194)LRH1915A</t>
  </si>
  <si>
    <t>SM65(P0141845)DNV2701/Replacement</t>
  </si>
  <si>
    <t>SM65(P0135222)ABSCMHI-282-05/Replacement</t>
  </si>
  <si>
    <t>SM65(P0144354)DNV2591/Replacement</t>
  </si>
  <si>
    <t>Body Head</t>
  </si>
  <si>
    <t>160601-03178</t>
    <phoneticPr fontId="11" type="noConversion"/>
  </si>
  <si>
    <t>160601-03178</t>
  </si>
  <si>
    <t>두원중공업</t>
    <phoneticPr fontId="11" type="noConversion"/>
  </si>
  <si>
    <t>장비탑재부용 동체</t>
    <phoneticPr fontId="11" type="noConversion"/>
  </si>
  <si>
    <t>프레임, 장비장착용</t>
    <phoneticPr fontId="11" type="noConversion"/>
  </si>
  <si>
    <t>38,39</t>
    <phoneticPr fontId="11" type="noConversion"/>
  </si>
  <si>
    <t>7/21:72</t>
    <phoneticPr fontId="11" type="noConversion"/>
  </si>
  <si>
    <t>7/23표준공장5층이동 16+36+36+36</t>
    <phoneticPr fontId="11" type="noConversion"/>
  </si>
  <si>
    <t>7/23:97</t>
    <phoneticPr fontId="11" type="noConversion"/>
  </si>
  <si>
    <t>7/15 기품원검사 대기</t>
    <phoneticPr fontId="11" type="noConversion"/>
  </si>
  <si>
    <t>8월이월</t>
    <phoneticPr fontId="21" type="noConversion"/>
  </si>
  <si>
    <t xml:space="preserve">emu320 </t>
    <phoneticPr fontId="11" type="noConversion"/>
  </si>
  <si>
    <t>선출하-검사완료</t>
    <phoneticPr fontId="11" type="noConversion"/>
  </si>
  <si>
    <t>2235-8712000692</t>
  </si>
  <si>
    <t>11629300
A630-00338-10</t>
  </si>
  <si>
    <t>12267108
A640-14325-10</t>
  </si>
  <si>
    <t>12267149
A640-12102-10</t>
  </si>
  <si>
    <t>후방덮개,우측</t>
  </si>
  <si>
    <t>20119139
A380-23046-10</t>
  </si>
  <si>
    <t>전방덮개,우측</t>
  </si>
  <si>
    <t>20119146
A380-23062-10</t>
  </si>
  <si>
    <t>후방덮개,좌측</t>
  </si>
  <si>
    <t>20119280
A380-23047-10</t>
  </si>
  <si>
    <t>전방덮개,좌측</t>
  </si>
  <si>
    <t>20119284
A380-23063-10</t>
  </si>
  <si>
    <t>지지대(좌)</t>
  </si>
  <si>
    <t>60618535
A620-14165-10</t>
  </si>
  <si>
    <t>L12120D01</t>
    <phoneticPr fontId="11" type="noConversion"/>
  </si>
  <si>
    <t>KK01403</t>
  </si>
  <si>
    <t>소재</t>
  </si>
  <si>
    <t>DSM2607-SK04</t>
  </si>
  <si>
    <t>SM65(P0141865)2706</t>
  </si>
  <si>
    <t>SM350(P0141864)2706</t>
  </si>
  <si>
    <t>SM350(L260721060)</t>
  </si>
  <si>
    <t>INDUCER(대)</t>
  </si>
  <si>
    <t>'26/04~</t>
  </si>
  <si>
    <t>원자재변동 소급금액</t>
  </si>
  <si>
    <t>41460T05400</t>
  </si>
  <si>
    <t>'26/03</t>
  </si>
  <si>
    <t>로만시스㈜</t>
    <phoneticPr fontId="21" type="noConversion"/>
  </si>
  <si>
    <t>8월이월</t>
    <phoneticPr fontId="11" type="noConversion"/>
  </si>
  <si>
    <t>7월마감</t>
    <phoneticPr fontId="21" type="noConversion"/>
  </si>
  <si>
    <t>8월 이월</t>
    <phoneticPr fontId="21" type="noConversion"/>
  </si>
  <si>
    <t>8월이월 (개발품-po발행후정산)</t>
    <phoneticPr fontId="21" type="noConversion"/>
  </si>
  <si>
    <t>Body(550)</t>
    <phoneticPr fontId="21" type="noConversion"/>
  </si>
  <si>
    <t>Bonnet(500)</t>
    <phoneticPr fontId="21" type="noConversion"/>
  </si>
  <si>
    <t>DSM2507-JS01</t>
  </si>
  <si>
    <t>DSM2507-JS02</t>
  </si>
  <si>
    <t>7월마감</t>
    <phoneticPr fontId="11" type="noConversion"/>
  </si>
  <si>
    <t>명화</t>
    <phoneticPr fontId="21" type="noConversion"/>
  </si>
  <si>
    <t>6월입고분단가소급</t>
    <phoneticPr fontId="21" type="noConversion"/>
  </si>
  <si>
    <t>8/8 378개 출하중 270개7/31출하처리</t>
    <phoneticPr fontId="11" type="noConversion"/>
  </si>
  <si>
    <t>27*11파레트중 6파레트출하처리하고 보관 5파레트 5층이동 영업재고</t>
    <phoneticPr fontId="11" type="noConversion"/>
  </si>
  <si>
    <t>IMPELLER</t>
  </si>
  <si>
    <t>60740638-2</t>
  </si>
  <si>
    <t>7060740638</t>
  </si>
  <si>
    <t>HOUSING(DTB)</t>
  </si>
  <si>
    <t>7060740345</t>
  </si>
  <si>
    <t>8/31출하처리</t>
    <phoneticPr fontId="11" type="noConversion"/>
  </si>
  <si>
    <t>표준공장5층</t>
    <phoneticPr fontId="11" type="noConversion"/>
  </si>
  <si>
    <t>(주)동성전기</t>
  </si>
  <si>
    <t>덮개(조정기)</t>
  </si>
  <si>
    <t>하우징조립체(송풍기)</t>
  </si>
  <si>
    <t>E24X257</t>
  </si>
  <si>
    <t>E24X234</t>
  </si>
  <si>
    <t>E24X316</t>
  </si>
  <si>
    <t>E25X204</t>
  </si>
  <si>
    <t>E25X205</t>
  </si>
  <si>
    <t>9월이월</t>
    <phoneticPr fontId="11" type="noConversion"/>
  </si>
  <si>
    <t>E24X317</t>
  </si>
  <si>
    <t>E24X318</t>
  </si>
  <si>
    <t>E24X924</t>
  </si>
  <si>
    <t>E24X925</t>
  </si>
  <si>
    <t>CHARGE AIR MANIFOLD ASSY, RIGHT</t>
    <phoneticPr fontId="11" type="noConversion"/>
  </si>
  <si>
    <t>E24X924</t>
    <phoneticPr fontId="11" type="noConversion"/>
  </si>
  <si>
    <t>OIL SEALING RING</t>
  </si>
  <si>
    <t>11.07130-0065</t>
  </si>
  <si>
    <t>60618841
A620-21001-10</t>
  </si>
  <si>
    <t>재고보관</t>
    <phoneticPr fontId="11" type="noConversion"/>
  </si>
  <si>
    <t>KK01329</t>
  </si>
  <si>
    <t>KK01303</t>
  </si>
  <si>
    <t xml:space="preserve">ADAPTOR </t>
  </si>
  <si>
    <t>KK01465</t>
  </si>
  <si>
    <t xml:space="preserve">LOWER ARM </t>
  </si>
  <si>
    <t>KK01494</t>
  </si>
  <si>
    <t xml:space="preserve">END ARM </t>
  </si>
  <si>
    <t>Case(250)</t>
    <phoneticPr fontId="11" type="noConversion"/>
  </si>
  <si>
    <t>Body(350)</t>
    <phoneticPr fontId="11" type="noConversion"/>
  </si>
  <si>
    <t>A타입</t>
    <phoneticPr fontId="11" type="noConversion"/>
  </si>
  <si>
    <t>B타입</t>
    <phoneticPr fontId="11" type="noConversion"/>
  </si>
  <si>
    <t>DSM2608-SK01</t>
    <phoneticPr fontId="11" type="noConversion"/>
  </si>
  <si>
    <t>SM350(P0126062)LR+KR2608/Replacement</t>
  </si>
  <si>
    <t>SM350(P0123913)ABS+KR2612/Replacement</t>
  </si>
  <si>
    <t>SM350(P0141828)DNV2697/Replacement</t>
  </si>
  <si>
    <t>SM350(P0141013)LR3482/Replacement</t>
  </si>
  <si>
    <t>SM350(P0157662)ABS2614</t>
  </si>
  <si>
    <t>DSM2608-SK02</t>
  </si>
  <si>
    <t>DSM2608-SK03</t>
  </si>
  <si>
    <t>SMR200(P0157664)ABS2614</t>
  </si>
  <si>
    <t>SM65(P0157663)ABS2614</t>
  </si>
  <si>
    <t>SM350(L260714051)CCSG175K-11</t>
  </si>
  <si>
    <t>SM350(P0157713)ABS2601</t>
  </si>
  <si>
    <t>SMR200(P0157716)ABS2601</t>
  </si>
  <si>
    <t>SM65(P0157714)ABS2601</t>
  </si>
  <si>
    <t>DSM2608-SK04</t>
    <phoneticPr fontId="11" type="noConversion"/>
  </si>
  <si>
    <t>SM65(P0147803)LR8256/Replacement</t>
  </si>
  <si>
    <t>SM65(P0136204)LR3456/Replacement</t>
  </si>
  <si>
    <t>SM65(P0157320)ABS2609/Replacement</t>
  </si>
  <si>
    <t>SM65(P0145838)ABS2669/Replacement</t>
  </si>
  <si>
    <t>SM65(P0141034)LR3487</t>
  </si>
  <si>
    <t>SMR200(P0141867)BV2706</t>
  </si>
  <si>
    <t>SMR200(P0146201)DNVH1914A</t>
  </si>
  <si>
    <t>SMR200(P0149741)LR2713</t>
  </si>
  <si>
    <t>DSM2608-SK05</t>
  </si>
  <si>
    <t>SM350(P0141860)DNV2705</t>
  </si>
  <si>
    <t>SM-70115SCR5</t>
    <phoneticPr fontId="11" type="noConversion"/>
  </si>
  <si>
    <t>SM350(P0141033)LR3487</t>
  </si>
  <si>
    <t>SMR200(P0146197)LRH1915A</t>
  </si>
  <si>
    <t>대흥쿨러</t>
    <phoneticPr fontId="11" type="noConversion"/>
  </si>
  <si>
    <t>TANK</t>
    <phoneticPr fontId="11" type="noConversion"/>
  </si>
  <si>
    <t>EXP TANK</t>
    <phoneticPr fontId="11" type="noConversion"/>
  </si>
  <si>
    <t>450106-00478</t>
  </si>
  <si>
    <t>튜브,지지용</t>
    <phoneticPr fontId="11" type="noConversion"/>
  </si>
  <si>
    <t>그리드,입구</t>
    <phoneticPr fontId="11" type="noConversion"/>
  </si>
  <si>
    <t>슈라우드 양산</t>
    <phoneticPr fontId="11" type="noConversion"/>
  </si>
  <si>
    <t>L2ST0007-X2</t>
    <phoneticPr fontId="11" type="noConversion"/>
  </si>
  <si>
    <t>표준공장5층 동림이동현황</t>
    <phoneticPr fontId="11" type="noConversion"/>
  </si>
  <si>
    <t>동림 납품</t>
    <phoneticPr fontId="11" type="noConversion"/>
  </si>
  <si>
    <t>F.W.HOUSING</t>
    <phoneticPr fontId="21" type="noConversion"/>
  </si>
  <si>
    <t>65.01401-5003</t>
    <phoneticPr fontId="21" type="noConversion"/>
  </si>
  <si>
    <t>150114-00496A</t>
    <phoneticPr fontId="21" type="noConversion"/>
  </si>
  <si>
    <t>필트크레임</t>
    <phoneticPr fontId="21" type="noConversion"/>
  </si>
  <si>
    <t>8월이월 7월선출하80, 117개중 37EA</t>
    <phoneticPr fontId="11" type="noConversion"/>
  </si>
  <si>
    <t>9월이월</t>
    <phoneticPr fontId="21" type="noConversion"/>
  </si>
  <si>
    <t>폴란드 K2PL 전차사업(1차,국내생산):GF 선급금 계약</t>
    <phoneticPr fontId="21" type="noConversion"/>
  </si>
  <si>
    <t>7060750029</t>
  </si>
  <si>
    <t>BUSH</t>
  </si>
  <si>
    <t>7060742040</t>
  </si>
  <si>
    <t>금형비</t>
    <phoneticPr fontId="21" type="noConversion"/>
  </si>
  <si>
    <t>패턴비</t>
    <phoneticPr fontId="21" type="noConversion"/>
  </si>
  <si>
    <t>20119139
A380-23046-10</t>
    <phoneticPr fontId="21" type="noConversion"/>
  </si>
  <si>
    <t>9월이월 (개발품-po발행후정산)</t>
    <phoneticPr fontId="21" type="noConversion"/>
  </si>
  <si>
    <t>8월마감</t>
    <phoneticPr fontId="21" type="noConversion"/>
  </si>
  <si>
    <t>종전단가</t>
    <phoneticPr fontId="12" type="noConversion"/>
  </si>
  <si>
    <t>인상단가</t>
    <phoneticPr fontId="21" type="noConversion"/>
  </si>
  <si>
    <t>인상</t>
    <phoneticPr fontId="21" type="noConversion"/>
  </si>
  <si>
    <t>소급</t>
    <phoneticPr fontId="12" type="noConversion"/>
  </si>
  <si>
    <t>8월출하인상단가적용</t>
    <phoneticPr fontId="12" type="noConversion"/>
  </si>
  <si>
    <t>Case-Axle소급(6/19~7월)</t>
    <phoneticPr fontId="21" type="noConversion"/>
  </si>
  <si>
    <t>9월이월</t>
    <phoneticPr fontId="21" type="noConversion"/>
  </si>
  <si>
    <t>알멕㈜</t>
    <phoneticPr fontId="21" type="noConversion"/>
  </si>
  <si>
    <t>DSM ABS 2606-SK01</t>
  </si>
  <si>
    <t>DSM ABS CMHI-282-04-SK02</t>
  </si>
  <si>
    <t>DSM ABS 2318-SK01</t>
  </si>
  <si>
    <t>DSM ABS 2607-SK01</t>
  </si>
  <si>
    <t>DSM ABS 3401-SK02</t>
  </si>
  <si>
    <t>DSM ABS 2669-SK01</t>
  </si>
  <si>
    <t>DSM ABS 2608-SK01</t>
  </si>
  <si>
    <t>DSM ABS CMHI-282-05-SK01</t>
  </si>
  <si>
    <t>DSM ABS CMHI-282-04-SK03</t>
  </si>
  <si>
    <t>DSM ABS 2609-SK01</t>
  </si>
  <si>
    <t>DSM2608-SK01-01</t>
  </si>
  <si>
    <t>선급비</t>
  </si>
  <si>
    <t>중자비</t>
  </si>
  <si>
    <t>DSM2608-JS01</t>
  </si>
  <si>
    <t>DSM2608-JS02</t>
  </si>
  <si>
    <t>9/14 월 출하 예정</t>
    <phoneticPr fontId="11" type="noConversion"/>
  </si>
  <si>
    <t>TM CASE</t>
  </si>
  <si>
    <t>43111T05860-00</t>
  </si>
  <si>
    <t>HOUSING,VALVE</t>
  </si>
  <si>
    <t>IDLE BEARING HOUSING</t>
  </si>
  <si>
    <t>7061532839</t>
  </si>
  <si>
    <t>45개출하중 31개 6월선출품</t>
    <phoneticPr fontId="11" type="noConversion"/>
  </si>
  <si>
    <t>SIDE COVER RH</t>
    <phoneticPr fontId="11" type="noConversion"/>
  </si>
  <si>
    <t>4주차 249</t>
    <phoneticPr fontId="11" type="noConversion"/>
  </si>
  <si>
    <t>E25S421</t>
  </si>
  <si>
    <t>E25R987</t>
  </si>
  <si>
    <t>8351295
1022184-100</t>
  </si>
  <si>
    <t>PLATE-TOPCOVER©</t>
  </si>
  <si>
    <t>8351701
1022085-100</t>
  </si>
  <si>
    <t>KK01511</t>
  </si>
  <si>
    <t>KK01556</t>
  </si>
  <si>
    <t>KK01543</t>
  </si>
  <si>
    <t>KK01541</t>
  </si>
  <si>
    <t>L12120C01</t>
  </si>
  <si>
    <t>KK01581</t>
  </si>
  <si>
    <t>Bonnet(400)</t>
    <phoneticPr fontId="11" type="noConversion"/>
  </si>
  <si>
    <t>4개불량대체 87개납품서처리 9/28, 47개미처리</t>
    <phoneticPr fontId="11" type="noConversion"/>
  </si>
  <si>
    <t>(주)피에스텍</t>
    <phoneticPr fontId="12" type="noConversion"/>
  </si>
  <si>
    <t>Q25023506</t>
  </si>
  <si>
    <t>Q25023450</t>
  </si>
  <si>
    <t>SM350(P0162873)DNV2773</t>
  </si>
  <si>
    <t>DSM2609-SK01</t>
    <phoneticPr fontId="11" type="noConversion"/>
  </si>
  <si>
    <t>SMR200(P0162876)DNV2773</t>
  </si>
  <si>
    <t>SMR200(P0141036)LR3487</t>
  </si>
  <si>
    <t>SM350(P0112947)ABS3315/Replacement</t>
  </si>
  <si>
    <t>SM350(P0141017)LR3483/Replacement</t>
  </si>
  <si>
    <t>SM350(P0141021)LR3484/Replacement</t>
  </si>
  <si>
    <t>DSM2609-SK02</t>
    <phoneticPr fontId="11" type="noConversion"/>
  </si>
  <si>
    <t>SM65(P0149739)LR2713</t>
  </si>
  <si>
    <t>SM65(P0152552)LR2729/Replacement</t>
  </si>
  <si>
    <t>SM65(P0141014)LR3482/Replacement</t>
  </si>
  <si>
    <t>SM65(P0147800)LR8255/Replacement</t>
  </si>
  <si>
    <t>SM65(P0150506)LR+CCSG175K-17/Replacement</t>
  </si>
  <si>
    <t>SM65(P0153148)ABS2607/Replacement</t>
  </si>
  <si>
    <t>SM65(P0129820)LR8205/Replacement</t>
  </si>
  <si>
    <t>SM350(P0141025)LR3485/Replacement</t>
  </si>
  <si>
    <t>SM65(P0136208)LR3457/Replacement</t>
  </si>
  <si>
    <t>SM65(P0157706)LR2599/Replacement</t>
  </si>
  <si>
    <t>DSM2609-SK03</t>
  </si>
  <si>
    <t>SM350(P0151599)ABS2602/Replacement</t>
  </si>
  <si>
    <t>SM65(P0164679)DNVH2950</t>
  </si>
  <si>
    <t>DSM2609-SK04</t>
  </si>
  <si>
    <t>태양기계㈜</t>
  </si>
  <si>
    <t>㈜일강</t>
    <phoneticPr fontId="21" type="noConversion"/>
  </si>
  <si>
    <t>10월이월</t>
    <phoneticPr fontId="21" type="noConversion"/>
  </si>
  <si>
    <t>43111T05860</t>
  </si>
  <si>
    <t>T/M CASE</t>
  </si>
  <si>
    <t>원자재변동 소급금액 '26/06~</t>
    <phoneticPr fontId="21" type="noConversion"/>
  </si>
  <si>
    <t>F.W.HOUSING</t>
    <phoneticPr fontId="21" type="noConversion"/>
  </si>
  <si>
    <t>65.01401-5003</t>
    <phoneticPr fontId="21" type="noConversion"/>
  </si>
  <si>
    <t>65.01401-5013</t>
    <phoneticPr fontId="21" type="noConversion"/>
  </si>
  <si>
    <t>65.01401-5024</t>
    <phoneticPr fontId="21" type="noConversion"/>
  </si>
  <si>
    <t>10월이월</t>
  </si>
  <si>
    <t>10월이월</t>
    <phoneticPr fontId="21" type="noConversion"/>
  </si>
  <si>
    <t>현대트랜시스㈜중기</t>
    <phoneticPr fontId="21" type="noConversion"/>
  </si>
  <si>
    <t>10월이월 유림공업</t>
    <phoneticPr fontId="11" type="noConversion"/>
  </si>
  <si>
    <t>10월이월 신우테크윈</t>
    <phoneticPr fontId="11" type="noConversion"/>
  </si>
  <si>
    <t>불량대체</t>
    <phoneticPr fontId="21" type="noConversion"/>
  </si>
  <si>
    <t>10월이월 B타입</t>
    <phoneticPr fontId="11" type="noConversion"/>
  </si>
  <si>
    <t>사</t>
    <phoneticPr fontId="21" type="noConversion"/>
  </si>
  <si>
    <t>RMU70068MB0</t>
    <phoneticPr fontId="21" type="noConversion"/>
  </si>
  <si>
    <t xml:space="preserve">	Caterpillar Housing 2종 - 금형(중도금)</t>
    <phoneticPr fontId="21" type="noConversion"/>
  </si>
  <si>
    <t>10월이월</t>
    <phoneticPr fontId="11" type="noConversion"/>
  </si>
  <si>
    <t>9월마감</t>
    <phoneticPr fontId="21" type="noConversion"/>
  </si>
  <si>
    <t>10월이월 (개발품-po발행후정산)</t>
    <phoneticPr fontId="21" type="noConversion"/>
  </si>
  <si>
    <t>10월이월-기품원검사</t>
    <phoneticPr fontId="21" type="noConversion"/>
  </si>
  <si>
    <t>불량반출-이월삭제</t>
    <phoneticPr fontId="21" type="noConversion"/>
  </si>
  <si>
    <t>SMR200(P0146197)LRH1915A</t>
    <phoneticPr fontId="21" type="noConversion"/>
  </si>
  <si>
    <t>알멕㈜</t>
  </si>
  <si>
    <t xml:space="preserve">CRANK CASE RAW MATERIAL	</t>
    <phoneticPr fontId="11" type="noConversion"/>
  </si>
  <si>
    <t>2270-R8710110401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</si>
</sst>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76" formatCode="m&quot;/&quot;d;@"/>
    <numFmt numFmtId="177" formatCode="m&quot;/&quot;d"/>
    <numFmt numFmtId="178" formatCode="_(* #,##0_);_(* \(#,##0\);_(* &quot;-&quot;_);_(@_)"/>
    <numFmt numFmtId="179" formatCode="0_ "/>
    <numFmt numFmtId="180" formatCode="_-* #,##0.0_-;\-* #,##0.0_-;_-* &quot;-&quot;_-;_-@_-"/>
    <numFmt numFmtId="181" formatCode="_-* #,##0.0_-;\-* #,##0.0_-;_-* &quot;-&quot;?_-;_-@_-"/>
    <numFmt numFmtId="182" formatCode="#,##0_ ;[Red]\-#,##0\ "/>
    <numFmt numFmtId="183" formatCode="mm&quot;월&quot;\ dd&quot;일&quot;"/>
    <numFmt numFmtId="184" formatCode="0.0%"/>
    <numFmt numFmtId="185" formatCode="_(* #,##0.0_);_(* \(#,##0.0\);_(* &quot;-&quot;_);_(@_)"/>
    <numFmt numFmtId="186" formatCode="_-* #,##0.00_-;\-* #,##0.00_-;_-* &quot;-&quot;_-;_-@_-"/>
    <numFmt numFmtId="187" formatCode="_-* #,##0.0000_-;\-* #,##0.0000_-;_-* &quot;-&quot;_-;_-@_-"/>
    <numFmt numFmtId="188" formatCode="_-* #,##0.000_-;\-* #,##0.000_-;_-* &quot;-&quot;_-;_-@_-"/>
    <numFmt numFmtId="189" formatCode="yyyy&quot;-&quot;m&quot;-&quot;d;@"/>
    <numFmt numFmtId="190" formatCode="m&quot;월&quot;\ d&quot;일&quot;;@"/>
    <numFmt numFmtId="191" formatCode="0.0000"/>
  </numFmts>
  <fonts count="32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rgb="FFC0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7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7"/>
      <color rgb="FF555555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12"/>
      <color theme="1"/>
      <name val="돋움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8" fontId="1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74">
    <xf numFmtId="0" fontId="0" fillId="0" borderId="0" xfId="0">
      <alignment vertical="center"/>
    </xf>
    <xf numFmtId="0" fontId="10" fillId="0" borderId="1" xfId="3" applyFont="1" applyBorder="1" applyAlignment="1">
      <alignment horizontal="center" vertical="center"/>
    </xf>
    <xf numFmtId="41" fontId="10" fillId="0" borderId="0" xfId="1" applyFont="1" applyAlignment="1">
      <alignment horizontal="center" vertical="center"/>
    </xf>
    <xf numFmtId="0" fontId="10" fillId="0" borderId="0" xfId="3" applyFont="1" applyAlignment="1">
      <alignment horizontal="center" vertical="center"/>
    </xf>
    <xf numFmtId="176" fontId="10" fillId="0" borderId="1" xfId="3" applyNumberFormat="1" applyFont="1" applyBorder="1" applyAlignment="1">
      <alignment horizontal="center" vertical="center"/>
    </xf>
    <xf numFmtId="177" fontId="10" fillId="0" borderId="1" xfId="3" applyNumberFormat="1" applyFont="1" applyBorder="1" applyAlignment="1">
      <alignment horizontal="center" vertical="center"/>
    </xf>
    <xf numFmtId="41" fontId="10" fillId="0" borderId="1" xfId="1" applyFont="1" applyFill="1" applyBorder="1" applyAlignment="1">
      <alignment horizontal="left" vertical="center" shrinkToFit="1"/>
    </xf>
    <xf numFmtId="41" fontId="15" fillId="0" borderId="1" xfId="1" applyFont="1" applyFill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/>
    </xf>
    <xf numFmtId="0" fontId="15" fillId="0" borderId="0" xfId="3" applyFont="1" applyAlignment="1">
      <alignment horizontal="left" vertical="center"/>
    </xf>
    <xf numFmtId="176" fontId="16" fillId="0" borderId="1" xfId="3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41" fontId="16" fillId="0" borderId="1" xfId="1" applyFont="1" applyFill="1" applyBorder="1" applyAlignment="1">
      <alignment horizontal="center" vertical="center"/>
    </xf>
    <xf numFmtId="177" fontId="10" fillId="3" borderId="1" xfId="3" applyNumberFormat="1" applyFont="1" applyFill="1" applyBorder="1" applyAlignment="1">
      <alignment horizontal="center" vertical="center"/>
    </xf>
    <xf numFmtId="0" fontId="15" fillId="0" borderId="0" xfId="3" applyFont="1">
      <alignment vertical="center"/>
    </xf>
    <xf numFmtId="176" fontId="15" fillId="0" borderId="1" xfId="3" applyNumberFormat="1" applyFont="1" applyBorder="1" applyAlignment="1">
      <alignment horizontal="center" vertical="center"/>
    </xf>
    <xf numFmtId="0" fontId="15" fillId="0" borderId="1" xfId="3" applyFont="1" applyBorder="1" applyAlignment="1">
      <alignment horizontal="center" vertical="center"/>
    </xf>
    <xf numFmtId="41" fontId="15" fillId="0" borderId="1" xfId="1" applyFont="1" applyFill="1" applyBorder="1" applyAlignment="1">
      <alignment horizontal="right" vertical="center"/>
    </xf>
    <xf numFmtId="41" fontId="15" fillId="0" borderId="1" xfId="4" applyNumberFormat="1" applyFont="1" applyFill="1" applyBorder="1" applyAlignment="1">
      <alignment horizontal="center" vertical="center"/>
    </xf>
    <xf numFmtId="0" fontId="10" fillId="0" borderId="0" xfId="3" applyFont="1">
      <alignment vertical="center"/>
    </xf>
    <xf numFmtId="41" fontId="10" fillId="0" borderId="0" xfId="1" applyFont="1">
      <alignment vertical="center"/>
    </xf>
    <xf numFmtId="41" fontId="10" fillId="0" borderId="0" xfId="3" applyNumberFormat="1" applyFont="1">
      <alignment vertical="center"/>
    </xf>
    <xf numFmtId="0" fontId="10" fillId="0" borderId="0" xfId="3" applyFont="1" applyAlignment="1">
      <alignment horizontal="left" vertical="center"/>
    </xf>
    <xf numFmtId="177" fontId="16" fillId="0" borderId="1" xfId="3" applyNumberFormat="1" applyFont="1" applyBorder="1" applyAlignment="1">
      <alignment horizontal="center" vertical="center"/>
    </xf>
    <xf numFmtId="41" fontId="16" fillId="0" borderId="1" xfId="1" applyFont="1" applyFill="1" applyBorder="1" applyAlignment="1">
      <alignment vertical="center" shrinkToFit="1"/>
    </xf>
    <xf numFmtId="41" fontId="16" fillId="0" borderId="1" xfId="1" applyFont="1" applyFill="1" applyBorder="1" applyAlignment="1">
      <alignment horizontal="left" vertical="center"/>
    </xf>
    <xf numFmtId="41" fontId="15" fillId="0" borderId="0" xfId="1" applyFont="1" applyAlignment="1">
      <alignment horizontal="left" vertical="center"/>
    </xf>
    <xf numFmtId="178" fontId="16" fillId="0" borderId="1" xfId="4" applyFont="1" applyFill="1" applyBorder="1" applyAlignment="1">
      <alignment horizontal="left" vertical="center"/>
    </xf>
    <xf numFmtId="0" fontId="16" fillId="0" borderId="0" xfId="3" applyFont="1">
      <alignment vertical="center"/>
    </xf>
    <xf numFmtId="41" fontId="10" fillId="0" borderId="1" xfId="1" applyFont="1" applyFill="1" applyBorder="1" applyAlignment="1">
      <alignment horizontal="left" vertical="center"/>
    </xf>
    <xf numFmtId="14" fontId="10" fillId="0" borderId="1" xfId="4" applyNumberFormat="1" applyFont="1" applyFill="1" applyBorder="1" applyAlignment="1">
      <alignment horizontal="center" vertical="center"/>
    </xf>
    <xf numFmtId="41" fontId="10" fillId="0" borderId="0" xfId="1" applyFont="1" applyFill="1" applyAlignment="1">
      <alignment horizontal="left" vertical="center"/>
    </xf>
    <xf numFmtId="41" fontId="10" fillId="0" borderId="0" xfId="1" applyFont="1" applyAlignment="1">
      <alignment horizontal="left" vertical="center"/>
    </xf>
    <xf numFmtId="177" fontId="15" fillId="0" borderId="1" xfId="3" applyNumberFormat="1" applyFont="1" applyBorder="1" applyAlignment="1">
      <alignment horizontal="center" vertical="center"/>
    </xf>
    <xf numFmtId="41" fontId="16" fillId="0" borderId="2" xfId="1" applyFont="1" applyFill="1" applyBorder="1" applyAlignment="1">
      <alignment horizontal="center" vertical="center"/>
    </xf>
    <xf numFmtId="179" fontId="16" fillId="0" borderId="1" xfId="3" applyNumberFormat="1" applyFont="1" applyBorder="1" applyAlignment="1">
      <alignment horizontal="center" vertical="center"/>
    </xf>
    <xf numFmtId="41" fontId="10" fillId="0" borderId="1" xfId="1" applyFont="1" applyFill="1" applyBorder="1" applyAlignment="1">
      <alignment horizontal="right" vertical="center"/>
    </xf>
    <xf numFmtId="176" fontId="10" fillId="3" borderId="1" xfId="3" applyNumberFormat="1" applyFont="1" applyFill="1" applyBorder="1" applyAlignment="1">
      <alignment horizontal="center" vertical="center"/>
    </xf>
    <xf numFmtId="0" fontId="10" fillId="3" borderId="1" xfId="3" applyFont="1" applyFill="1" applyBorder="1" applyAlignment="1">
      <alignment horizontal="center" vertical="center"/>
    </xf>
    <xf numFmtId="41" fontId="10" fillId="3" borderId="1" xfId="1" applyFont="1" applyFill="1" applyBorder="1" applyAlignment="1">
      <alignment horizontal="center" vertical="center"/>
    </xf>
    <xf numFmtId="41" fontId="10" fillId="3" borderId="1" xfId="1" applyFont="1" applyFill="1" applyBorder="1" applyAlignment="1">
      <alignment horizontal="left" vertical="center"/>
    </xf>
    <xf numFmtId="0" fontId="10" fillId="0" borderId="1" xfId="4" applyNumberFormat="1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41" fontId="10" fillId="0" borderId="1" xfId="4" applyNumberFormat="1" applyFont="1" applyFill="1" applyBorder="1" applyAlignment="1">
      <alignment horizontal="center" vertical="center"/>
    </xf>
    <xf numFmtId="41" fontId="15" fillId="0" borderId="2" xfId="1" applyFont="1" applyFill="1" applyBorder="1" applyAlignment="1">
      <alignment horizontal="right" vertical="center"/>
    </xf>
    <xf numFmtId="0" fontId="10" fillId="3" borderId="1" xfId="4" applyNumberFormat="1" applyFont="1" applyFill="1" applyBorder="1" applyAlignment="1">
      <alignment horizontal="center" vertical="center"/>
    </xf>
    <xf numFmtId="0" fontId="15" fillId="0" borderId="1" xfId="0" applyFont="1" applyBorder="1" applyAlignment="1" applyProtection="1">
      <alignment horizontal="center" vertical="center" shrinkToFit="1"/>
      <protection locked="0"/>
    </xf>
    <xf numFmtId="176" fontId="15" fillId="0" borderId="2" xfId="3" applyNumberFormat="1" applyFont="1" applyBorder="1" applyAlignment="1">
      <alignment horizontal="center" vertical="center"/>
    </xf>
    <xf numFmtId="182" fontId="15" fillId="0" borderId="1" xfId="4" applyNumberFormat="1" applyFont="1" applyFill="1" applyBorder="1" applyAlignment="1">
      <alignment horizontal="center" vertical="center"/>
    </xf>
    <xf numFmtId="41" fontId="15" fillId="0" borderId="1" xfId="1" applyFont="1" applyFill="1" applyBorder="1">
      <alignment vertical="center"/>
    </xf>
    <xf numFmtId="0" fontId="15" fillId="0" borderId="0" xfId="0" applyFont="1">
      <alignment vertical="center"/>
    </xf>
    <xf numFmtId="176" fontId="15" fillId="3" borderId="2" xfId="3" applyNumberFormat="1" applyFont="1" applyFill="1" applyBorder="1" applyAlignment="1">
      <alignment horizontal="center" vertical="center"/>
    </xf>
    <xf numFmtId="177" fontId="15" fillId="3" borderId="2" xfId="3" applyNumberFormat="1" applyFont="1" applyFill="1" applyBorder="1" applyAlignment="1">
      <alignment horizontal="center" vertical="center"/>
    </xf>
    <xf numFmtId="0" fontId="15" fillId="3" borderId="2" xfId="3" applyFont="1" applyFill="1" applyBorder="1" applyAlignment="1">
      <alignment horizontal="center" vertical="center"/>
    </xf>
    <xf numFmtId="182" fontId="15" fillId="3" borderId="2" xfId="4" applyNumberFormat="1" applyFont="1" applyFill="1" applyBorder="1" applyAlignment="1">
      <alignment horizontal="right" vertical="center"/>
    </xf>
    <xf numFmtId="0" fontId="15" fillId="3" borderId="1" xfId="4" applyNumberFormat="1" applyFont="1" applyFill="1" applyBorder="1" applyAlignment="1">
      <alignment horizontal="left" vertical="center"/>
    </xf>
    <xf numFmtId="0" fontId="15" fillId="3" borderId="1" xfId="4" applyNumberFormat="1" applyFont="1" applyFill="1" applyBorder="1" applyAlignment="1">
      <alignment horizontal="center" vertical="center"/>
    </xf>
    <xf numFmtId="41" fontId="10" fillId="3" borderId="1" xfId="4" applyNumberFormat="1" applyFont="1" applyFill="1" applyBorder="1" applyAlignment="1">
      <alignment horizontal="center" vertical="center"/>
    </xf>
    <xf numFmtId="41" fontId="16" fillId="0" borderId="0" xfId="1" applyFont="1" applyFill="1">
      <alignment vertical="center"/>
    </xf>
    <xf numFmtId="0" fontId="15" fillId="0" borderId="1" xfId="0" applyFont="1" applyBorder="1" applyAlignment="1">
      <alignment horizontal="center" vertical="center"/>
    </xf>
    <xf numFmtId="41" fontId="15" fillId="0" borderId="1" xfId="1" applyFont="1" applyFill="1" applyBorder="1" applyAlignment="1">
      <alignment horizontal="left" vertical="center" shrinkToFit="1"/>
    </xf>
    <xf numFmtId="41" fontId="15" fillId="0" borderId="1" xfId="1" applyFont="1" applyFill="1" applyBorder="1" applyAlignment="1">
      <alignment horizontal="left" vertical="center"/>
    </xf>
    <xf numFmtId="0" fontId="15" fillId="4" borderId="1" xfId="4" applyNumberFormat="1" applyFont="1" applyFill="1" applyBorder="1" applyAlignment="1">
      <alignment horizontal="center" vertical="center"/>
    </xf>
    <xf numFmtId="41" fontId="15" fillId="4" borderId="1" xfId="1" applyFont="1" applyFill="1" applyBorder="1" applyAlignment="1">
      <alignment horizontal="right" vertical="center"/>
    </xf>
    <xf numFmtId="41" fontId="10" fillId="4" borderId="1" xfId="1" applyFont="1" applyFill="1" applyBorder="1" applyAlignment="1">
      <alignment horizontal="right" vertical="center"/>
    </xf>
    <xf numFmtId="0" fontId="15" fillId="4" borderId="1" xfId="4" applyNumberFormat="1" applyFont="1" applyFill="1" applyBorder="1" applyAlignment="1">
      <alignment horizontal="left" vertical="center"/>
    </xf>
    <xf numFmtId="0" fontId="15" fillId="0" borderId="1" xfId="4" applyNumberFormat="1" applyFont="1" applyFill="1" applyBorder="1" applyAlignment="1">
      <alignment horizontal="center" vertical="center"/>
    </xf>
    <xf numFmtId="0" fontId="15" fillId="0" borderId="1" xfId="0" applyFont="1" applyBorder="1">
      <alignment vertical="center"/>
    </xf>
    <xf numFmtId="41" fontId="15" fillId="0" borderId="1" xfId="1" applyFont="1" applyBorder="1">
      <alignment vertical="center"/>
    </xf>
    <xf numFmtId="0" fontId="10" fillId="0" borderId="1" xfId="1" applyNumberFormat="1" applyFont="1" applyFill="1" applyBorder="1" applyAlignment="1">
      <alignment horizontal="center" vertical="center"/>
    </xf>
    <xf numFmtId="14" fontId="10" fillId="0" borderId="1" xfId="1" applyNumberFormat="1" applyFont="1" applyFill="1" applyBorder="1" applyAlignment="1">
      <alignment horizontal="center" vertical="center"/>
    </xf>
    <xf numFmtId="0" fontId="15" fillId="0" borderId="1" xfId="1" applyNumberFormat="1" applyFont="1" applyFill="1" applyBorder="1" applyAlignment="1">
      <alignment horizontal="center" vertical="center"/>
    </xf>
    <xf numFmtId="14" fontId="15" fillId="0" borderId="1" xfId="1" applyNumberFormat="1" applyFont="1" applyFill="1" applyBorder="1" applyAlignment="1">
      <alignment horizontal="center" vertical="center"/>
    </xf>
    <xf numFmtId="0" fontId="16" fillId="0" borderId="1" xfId="3" applyFont="1" applyBorder="1" applyAlignment="1">
      <alignment horizontal="left" vertical="center"/>
    </xf>
    <xf numFmtId="178" fontId="17" fillId="0" borderId="1" xfId="4" applyFont="1" applyFill="1" applyBorder="1" applyAlignment="1">
      <alignment horizontal="left" vertical="center"/>
    </xf>
    <xf numFmtId="0" fontId="15" fillId="0" borderId="1" xfId="3" applyFont="1" applyBorder="1">
      <alignment vertical="center"/>
    </xf>
    <xf numFmtId="0" fontId="15" fillId="0" borderId="1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/>
    </xf>
    <xf numFmtId="0" fontId="15" fillId="0" borderId="0" xfId="3" applyFont="1" applyAlignment="1">
      <alignment horizontal="center" vertical="center"/>
    </xf>
    <xf numFmtId="183" fontId="15" fillId="0" borderId="1" xfId="3" applyNumberFormat="1" applyFont="1" applyBorder="1" applyAlignment="1">
      <alignment horizontal="left" vertical="center"/>
    </xf>
    <xf numFmtId="41" fontId="15" fillId="0" borderId="1" xfId="1" applyFont="1" applyBorder="1" applyAlignment="1">
      <alignment horizontal="left" vertical="center"/>
    </xf>
    <xf numFmtId="41" fontId="10" fillId="0" borderId="1" xfId="1" applyFont="1" applyFill="1" applyBorder="1">
      <alignment vertical="center"/>
    </xf>
    <xf numFmtId="41" fontId="10" fillId="0" borderId="1" xfId="1" applyFont="1" applyBorder="1" applyAlignment="1">
      <alignment horizontal="left" vertical="center"/>
    </xf>
    <xf numFmtId="178" fontId="15" fillId="0" borderId="1" xfId="3" applyNumberFormat="1" applyFont="1" applyBorder="1">
      <alignment vertical="center"/>
    </xf>
    <xf numFmtId="185" fontId="16" fillId="0" borderId="1" xfId="4" applyNumberFormat="1" applyFont="1" applyFill="1" applyBorder="1" applyAlignment="1">
      <alignment horizontal="left" vertical="center"/>
    </xf>
    <xf numFmtId="0" fontId="10" fillId="4" borderId="1" xfId="4" applyNumberFormat="1" applyFont="1" applyFill="1" applyBorder="1" applyAlignment="1">
      <alignment horizontal="center" vertical="center"/>
    </xf>
    <xf numFmtId="0" fontId="22" fillId="0" borderId="0" xfId="3" applyFont="1">
      <alignment vertical="center"/>
    </xf>
    <xf numFmtId="41" fontId="15" fillId="2" borderId="1" xfId="1" applyFont="1" applyFill="1" applyBorder="1" applyAlignment="1">
      <alignment horizontal="center" vertical="center"/>
    </xf>
    <xf numFmtId="41" fontId="10" fillId="3" borderId="1" xfId="1" applyFont="1" applyFill="1" applyBorder="1" applyAlignment="1">
      <alignment horizontal="left" vertical="center" shrinkToFit="1"/>
    </xf>
    <xf numFmtId="41" fontId="10" fillId="0" borderId="0" xfId="1" applyFont="1" applyFill="1" applyAlignment="1">
      <alignment horizontal="center" vertical="center"/>
    </xf>
    <xf numFmtId="41" fontId="16" fillId="0" borderId="0" xfId="1" applyFont="1" applyFill="1" applyAlignment="1">
      <alignment horizontal="left" vertical="center"/>
    </xf>
    <xf numFmtId="41" fontId="10" fillId="3" borderId="1" xfId="1" applyFont="1" applyFill="1" applyBorder="1">
      <alignment vertical="center"/>
    </xf>
    <xf numFmtId="41" fontId="10" fillId="0" borderId="2" xfId="1" applyFont="1" applyFill="1" applyBorder="1" applyAlignment="1">
      <alignment horizontal="right" vertical="center"/>
    </xf>
    <xf numFmtId="182" fontId="15" fillId="3" borderId="1" xfId="4" applyNumberFormat="1" applyFont="1" applyFill="1" applyBorder="1" applyAlignment="1">
      <alignment horizontal="right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187" fontId="10" fillId="0" borderId="1" xfId="1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41" fontId="10" fillId="3" borderId="1" xfId="1" applyFont="1" applyFill="1" applyBorder="1" applyAlignment="1">
      <alignment horizontal="right" vertical="center"/>
    </xf>
    <xf numFmtId="176" fontId="10" fillId="2" borderId="1" xfId="3" applyNumberFormat="1" applyFont="1" applyFill="1" applyBorder="1" applyAlignment="1">
      <alignment horizontal="center" vertical="center" wrapText="1"/>
    </xf>
    <xf numFmtId="177" fontId="10" fillId="2" borderId="1" xfId="3" applyNumberFormat="1" applyFont="1" applyFill="1" applyBorder="1" applyAlignment="1">
      <alignment horizontal="center" vertical="center" wrapText="1"/>
    </xf>
    <xf numFmtId="41" fontId="10" fillId="2" borderId="1" xfId="1" applyFont="1" applyFill="1" applyBorder="1" applyAlignment="1">
      <alignment horizontal="center" vertical="center" wrapText="1" shrinkToFit="1"/>
    </xf>
    <xf numFmtId="0" fontId="10" fillId="2" borderId="1" xfId="3" applyFont="1" applyFill="1" applyBorder="1" applyAlignment="1">
      <alignment horizontal="center" vertical="center" wrapText="1"/>
    </xf>
    <xf numFmtId="177" fontId="10" fillId="0" borderId="1" xfId="3" applyNumberFormat="1" applyFont="1" applyBorder="1" applyAlignment="1">
      <alignment horizontal="center" vertical="center" wrapText="1"/>
    </xf>
    <xf numFmtId="0" fontId="16" fillId="0" borderId="1" xfId="3" applyFont="1" applyBorder="1" applyAlignment="1">
      <alignment horizontal="left" vertical="center" wrapText="1"/>
    </xf>
    <xf numFmtId="176" fontId="15" fillId="0" borderId="1" xfId="3" applyNumberFormat="1" applyFont="1" applyBorder="1" applyAlignment="1">
      <alignment horizontal="center" vertical="center" wrapText="1"/>
    </xf>
    <xf numFmtId="177" fontId="15" fillId="0" borderId="1" xfId="3" applyNumberFormat="1" applyFont="1" applyBorder="1" applyAlignment="1">
      <alignment horizontal="center" vertical="center" wrapText="1"/>
    </xf>
    <xf numFmtId="41" fontId="15" fillId="0" borderId="1" xfId="1" applyFont="1" applyFill="1" applyBorder="1" applyAlignment="1">
      <alignment vertical="center" wrapText="1" shrinkToFit="1"/>
    </xf>
    <xf numFmtId="41" fontId="15" fillId="0" borderId="1" xfId="1" applyFont="1" applyFill="1" applyBorder="1" applyAlignment="1">
      <alignment horizontal="center" vertical="center" wrapText="1"/>
    </xf>
    <xf numFmtId="14" fontId="15" fillId="0" borderId="1" xfId="0" applyNumberFormat="1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14" fontId="10" fillId="0" borderId="1" xfId="0" applyNumberFormat="1" applyFont="1" applyBorder="1">
      <alignment vertical="center"/>
    </xf>
    <xf numFmtId="0" fontId="10" fillId="0" borderId="0" xfId="0" applyFont="1">
      <alignment vertical="center"/>
    </xf>
    <xf numFmtId="181" fontId="15" fillId="0" borderId="1" xfId="4" applyNumberFormat="1" applyFont="1" applyFill="1" applyBorder="1" applyAlignment="1">
      <alignment horizontal="left" vertical="center"/>
    </xf>
    <xf numFmtId="41" fontId="10" fillId="0" borderId="1" xfId="1" applyFont="1" applyFill="1" applyBorder="1" applyAlignment="1">
      <alignment horizontal="left" vertical="center" wrapText="1" shrinkToFit="1"/>
    </xf>
    <xf numFmtId="41" fontId="10" fillId="0" borderId="1" xfId="1" applyFont="1" applyFill="1" applyBorder="1" applyAlignment="1">
      <alignment horizontal="left" vertical="center" wrapText="1"/>
    </xf>
    <xf numFmtId="41" fontId="10" fillId="0" borderId="1" xfId="1" applyFont="1" applyFill="1" applyBorder="1" applyAlignment="1">
      <alignment horizontal="center" vertical="center" wrapText="1"/>
    </xf>
    <xf numFmtId="176" fontId="10" fillId="0" borderId="1" xfId="3" applyNumberFormat="1" applyFont="1" applyBorder="1" applyAlignment="1">
      <alignment horizontal="center" vertical="center" wrapText="1"/>
    </xf>
    <xf numFmtId="41" fontId="10" fillId="0" borderId="1" xfId="1" applyFont="1" applyFill="1" applyBorder="1" applyAlignment="1">
      <alignment vertical="center" wrapText="1" shrinkToFit="1"/>
    </xf>
    <xf numFmtId="41" fontId="10" fillId="2" borderId="1" xfId="1" applyFont="1" applyFill="1" applyBorder="1" applyAlignment="1">
      <alignment horizontal="center" vertical="center" wrapText="1"/>
    </xf>
    <xf numFmtId="183" fontId="10" fillId="0" borderId="1" xfId="3" applyNumberFormat="1" applyFont="1" applyBorder="1" applyAlignment="1">
      <alignment horizontal="left" vertical="center"/>
    </xf>
    <xf numFmtId="41" fontId="10" fillId="4" borderId="1" xfId="1" applyFont="1" applyFill="1" applyBorder="1" applyAlignment="1">
      <alignment horizontal="left" vertical="center"/>
    </xf>
    <xf numFmtId="0" fontId="15" fillId="3" borderId="1" xfId="0" applyFont="1" applyFill="1" applyBorder="1">
      <alignment vertical="center"/>
    </xf>
    <xf numFmtId="0" fontId="10" fillId="3" borderId="1" xfId="0" applyFont="1" applyFill="1" applyBorder="1">
      <alignment vertical="center"/>
    </xf>
    <xf numFmtId="41" fontId="15" fillId="0" borderId="1" xfId="12" applyFont="1" applyFill="1" applyBorder="1" applyAlignment="1">
      <alignment horizontal="center" vertical="center"/>
    </xf>
    <xf numFmtId="43" fontId="10" fillId="0" borderId="1" xfId="3" applyNumberFormat="1" applyFont="1" applyBorder="1" applyAlignment="1">
      <alignment horizontal="left" vertical="center"/>
    </xf>
    <xf numFmtId="41" fontId="15" fillId="0" borderId="1" xfId="12" applyFont="1" applyFill="1" applyBorder="1" applyAlignment="1">
      <alignment horizontal="left" vertical="center"/>
    </xf>
    <xf numFmtId="0" fontId="15" fillId="0" borderId="1" xfId="15" applyFont="1" applyBorder="1">
      <alignment vertical="center"/>
    </xf>
    <xf numFmtId="41" fontId="15" fillId="0" borderId="1" xfId="12" applyFont="1" applyFill="1" applyBorder="1" applyAlignment="1">
      <alignment vertical="center" shrinkToFit="1"/>
    </xf>
    <xf numFmtId="182" fontId="15" fillId="0" borderId="1" xfId="12" applyNumberFormat="1" applyFont="1" applyFill="1" applyBorder="1" applyAlignment="1">
      <alignment horizontal="right" vertical="center"/>
    </xf>
    <xf numFmtId="41" fontId="15" fillId="0" borderId="1" xfId="12" applyFont="1" applyFill="1" applyBorder="1">
      <alignment vertical="center"/>
    </xf>
    <xf numFmtId="41" fontId="16" fillId="0" borderId="1" xfId="16" applyFont="1" applyFill="1" applyBorder="1" applyAlignment="1">
      <alignment horizontal="center" vertical="center"/>
    </xf>
    <xf numFmtId="41" fontId="16" fillId="0" borderId="1" xfId="16" applyFont="1" applyFill="1" applyBorder="1" applyAlignment="1">
      <alignment vertical="center" shrinkToFit="1"/>
    </xf>
    <xf numFmtId="41" fontId="15" fillId="0" borderId="1" xfId="16" applyFont="1" applyFill="1" applyBorder="1" applyAlignment="1">
      <alignment horizontal="right" vertical="center"/>
    </xf>
    <xf numFmtId="41" fontId="16" fillId="0" borderId="0" xfId="16" applyFont="1" applyFill="1">
      <alignment vertical="center"/>
    </xf>
    <xf numFmtId="176" fontId="15" fillId="2" borderId="1" xfId="1" applyNumberFormat="1" applyFont="1" applyFill="1" applyBorder="1" applyAlignment="1">
      <alignment horizontal="center" vertical="center"/>
    </xf>
    <xf numFmtId="176" fontId="10" fillId="0" borderId="1" xfId="1" applyNumberFormat="1" applyFont="1" applyFill="1" applyBorder="1" applyAlignment="1">
      <alignment horizontal="left" vertical="center"/>
    </xf>
    <xf numFmtId="41" fontId="15" fillId="3" borderId="1" xfId="1" applyFont="1" applyFill="1" applyBorder="1">
      <alignment vertical="center"/>
    </xf>
    <xf numFmtId="176" fontId="10" fillId="0" borderId="1" xfId="4" applyNumberFormat="1" applyFont="1" applyFill="1" applyBorder="1" applyAlignment="1">
      <alignment horizontal="left" vertical="center"/>
    </xf>
    <xf numFmtId="0" fontId="10" fillId="0" borderId="1" xfId="3" applyFont="1" applyBorder="1" applyAlignment="1">
      <alignment horizontal="left" vertical="center" wrapText="1"/>
    </xf>
    <xf numFmtId="176" fontId="15" fillId="0" borderId="1" xfId="1" applyNumberFormat="1" applyFont="1" applyFill="1" applyBorder="1" applyAlignment="1">
      <alignment horizontal="center" vertical="center"/>
    </xf>
    <xf numFmtId="176" fontId="15" fillId="0" borderId="1" xfId="1" applyNumberFormat="1" applyFont="1" applyFill="1" applyBorder="1" applyAlignment="1">
      <alignment horizontal="left" vertical="center"/>
    </xf>
    <xf numFmtId="41" fontId="16" fillId="7" borderId="1" xfId="1" applyFont="1" applyFill="1" applyBorder="1" applyAlignment="1">
      <alignment horizontal="center" vertical="center"/>
    </xf>
    <xf numFmtId="41" fontId="15" fillId="0" borderId="1" xfId="0" applyNumberFormat="1" applyFont="1" applyBorder="1">
      <alignment vertical="center"/>
    </xf>
    <xf numFmtId="41" fontId="15" fillId="3" borderId="1" xfId="0" applyNumberFormat="1" applyFont="1" applyFill="1" applyBorder="1">
      <alignment vertical="center"/>
    </xf>
    <xf numFmtId="184" fontId="15" fillId="4" borderId="1" xfId="2" applyNumberFormat="1" applyFont="1" applyFill="1" applyBorder="1" applyAlignment="1">
      <alignment horizontal="left" vertical="center"/>
    </xf>
    <xf numFmtId="41" fontId="15" fillId="7" borderId="1" xfId="1" applyFont="1" applyFill="1" applyBorder="1" applyAlignment="1">
      <alignment horizontal="center" vertical="center"/>
    </xf>
    <xf numFmtId="176" fontId="10" fillId="8" borderId="1" xfId="3" applyNumberFormat="1" applyFont="1" applyFill="1" applyBorder="1" applyAlignment="1">
      <alignment horizontal="center" vertical="center" wrapText="1"/>
    </xf>
    <xf numFmtId="177" fontId="10" fillId="8" borderId="1" xfId="3" applyNumberFormat="1" applyFont="1" applyFill="1" applyBorder="1" applyAlignment="1">
      <alignment horizontal="center" vertical="center" wrapText="1"/>
    </xf>
    <xf numFmtId="176" fontId="10" fillId="0" borderId="1" xfId="20" applyNumberFormat="1" applyFont="1" applyFill="1" applyBorder="1" applyAlignment="1">
      <alignment horizontal="left" vertical="center"/>
    </xf>
    <xf numFmtId="0" fontId="15" fillId="0" borderId="1" xfId="3" applyFont="1" applyBorder="1" applyAlignment="1">
      <alignment horizontal="left" vertical="center" wrapText="1"/>
    </xf>
    <xf numFmtId="41" fontId="15" fillId="0" borderId="1" xfId="20" applyFont="1" applyFill="1" applyBorder="1" applyAlignment="1">
      <alignment horizontal="center" vertical="center"/>
    </xf>
    <xf numFmtId="41" fontId="16" fillId="0" borderId="1" xfId="20" applyFont="1" applyFill="1" applyBorder="1" applyAlignment="1">
      <alignment vertical="center" shrinkToFit="1"/>
    </xf>
    <xf numFmtId="41" fontId="16" fillId="0" borderId="1" xfId="20" applyFont="1" applyFill="1" applyBorder="1" applyAlignment="1">
      <alignment horizontal="center" vertical="center"/>
    </xf>
    <xf numFmtId="41" fontId="16" fillId="0" borderId="0" xfId="20" applyFont="1" applyFill="1">
      <alignment vertical="center"/>
    </xf>
    <xf numFmtId="41" fontId="15" fillId="0" borderId="1" xfId="20" applyFont="1" applyFill="1" applyBorder="1" applyAlignment="1">
      <alignment horizontal="right" vertical="center"/>
    </xf>
    <xf numFmtId="41" fontId="15" fillId="0" borderId="1" xfId="20" applyFont="1" applyFill="1" applyBorder="1">
      <alignment vertical="center"/>
    </xf>
    <xf numFmtId="41" fontId="15" fillId="0" borderId="1" xfId="20" applyFont="1" applyFill="1" applyBorder="1" applyAlignment="1">
      <alignment vertical="center" shrinkToFit="1"/>
    </xf>
    <xf numFmtId="41" fontId="15" fillId="7" borderId="1" xfId="20" applyFont="1" applyFill="1" applyBorder="1" applyAlignment="1">
      <alignment horizontal="center" vertical="center"/>
    </xf>
    <xf numFmtId="182" fontId="15" fillId="0" borderId="1" xfId="20" applyNumberFormat="1" applyFont="1" applyFill="1" applyBorder="1" applyAlignment="1">
      <alignment horizontal="right" vertical="center"/>
    </xf>
    <xf numFmtId="0" fontId="15" fillId="0" borderId="1" xfId="21" applyFont="1" applyBorder="1">
      <alignment vertical="center"/>
    </xf>
    <xf numFmtId="176" fontId="22" fillId="0" borderId="1" xfId="4" applyNumberFormat="1" applyFont="1" applyFill="1" applyBorder="1" applyAlignment="1">
      <alignment horizontal="left" vertical="center"/>
    </xf>
    <xf numFmtId="41" fontId="10" fillId="0" borderId="1" xfId="24" applyFont="1" applyFill="1" applyBorder="1" applyAlignment="1">
      <alignment horizontal="left" vertical="center" wrapText="1" shrinkToFit="1"/>
    </xf>
    <xf numFmtId="41" fontId="15" fillId="0" borderId="1" xfId="24" applyFont="1" applyFill="1" applyBorder="1" applyAlignment="1">
      <alignment horizontal="center" vertical="center" wrapText="1"/>
    </xf>
    <xf numFmtId="41" fontId="15" fillId="0" borderId="1" xfId="24" applyFont="1" applyFill="1" applyBorder="1" applyAlignment="1">
      <alignment horizontal="center" vertical="center"/>
    </xf>
    <xf numFmtId="14" fontId="10" fillId="0" borderId="1" xfId="24" applyNumberFormat="1" applyFont="1" applyFill="1" applyBorder="1" applyAlignment="1">
      <alignment horizontal="center" vertical="center"/>
    </xf>
    <xf numFmtId="41" fontId="10" fillId="0" borderId="1" xfId="24" applyFont="1" applyFill="1" applyBorder="1" applyAlignment="1">
      <alignment horizontal="center" vertical="center"/>
    </xf>
    <xf numFmtId="41" fontId="10" fillId="0" borderId="1" xfId="24" applyFont="1" applyFill="1" applyBorder="1" applyAlignment="1">
      <alignment horizontal="left" vertical="center" wrapText="1"/>
    </xf>
    <xf numFmtId="41" fontId="10" fillId="0" borderId="0" xfId="24" applyFont="1" applyFill="1" applyAlignment="1">
      <alignment horizontal="center" vertical="center"/>
    </xf>
    <xf numFmtId="41" fontId="15" fillId="3" borderId="1" xfId="24" applyFont="1" applyFill="1" applyBorder="1" applyAlignment="1">
      <alignment horizontal="center" vertical="center"/>
    </xf>
    <xf numFmtId="176" fontId="16" fillId="0" borderId="1" xfId="4" applyNumberFormat="1" applyFont="1" applyFill="1" applyBorder="1" applyAlignment="1">
      <alignment horizontal="left" vertical="center"/>
    </xf>
    <xf numFmtId="41" fontId="22" fillId="7" borderId="1" xfId="24" applyFont="1" applyFill="1" applyBorder="1" applyAlignment="1">
      <alignment horizontal="center" vertical="center"/>
    </xf>
    <xf numFmtId="41" fontId="15" fillId="0" borderId="1" xfId="24" applyFont="1" applyFill="1" applyBorder="1" applyAlignment="1">
      <alignment horizontal="left" vertical="center" shrinkToFit="1"/>
    </xf>
    <xf numFmtId="0" fontId="15" fillId="0" borderId="1" xfId="24" applyNumberFormat="1" applyFont="1" applyFill="1" applyBorder="1" applyAlignment="1">
      <alignment horizontal="center" vertical="center"/>
    </xf>
    <xf numFmtId="41" fontId="15" fillId="0" borderId="1" xfId="24" applyFont="1" applyFill="1" applyBorder="1" applyAlignment="1">
      <alignment horizontal="right" vertical="center"/>
    </xf>
    <xf numFmtId="176" fontId="15" fillId="0" borderId="1" xfId="24" applyNumberFormat="1" applyFont="1" applyFill="1" applyBorder="1" applyAlignment="1">
      <alignment horizontal="left" vertical="center"/>
    </xf>
    <xf numFmtId="14" fontId="15" fillId="0" borderId="1" xfId="24" applyNumberFormat="1" applyFont="1" applyFill="1" applyBorder="1" applyAlignment="1">
      <alignment horizontal="center" vertical="center"/>
    </xf>
    <xf numFmtId="41" fontId="15" fillId="0" borderId="0" xfId="24" applyFont="1" applyFill="1" applyAlignment="1">
      <alignment horizontal="center" vertical="center"/>
    </xf>
    <xf numFmtId="41" fontId="15" fillId="0" borderId="1" xfId="24" applyFont="1" applyFill="1" applyBorder="1" applyAlignment="1">
      <alignment horizontal="left" vertical="center"/>
    </xf>
    <xf numFmtId="41" fontId="15" fillId="0" borderId="1" xfId="24" applyFont="1" applyFill="1" applyBorder="1" applyAlignment="1">
      <alignment horizontal="center" vertical="center" shrinkToFit="1"/>
    </xf>
    <xf numFmtId="0" fontId="15" fillId="0" borderId="1" xfId="24" applyNumberFormat="1" applyFont="1" applyFill="1" applyBorder="1" applyAlignment="1">
      <alignment horizontal="left" vertical="center"/>
    </xf>
    <xf numFmtId="41" fontId="15" fillId="0" borderId="1" xfId="24" applyFont="1" applyFill="1" applyBorder="1">
      <alignment vertical="center"/>
    </xf>
    <xf numFmtId="41" fontId="15" fillId="0" borderId="1" xfId="24" applyFont="1" applyFill="1" applyBorder="1" applyAlignment="1">
      <alignment vertical="center" shrinkToFit="1"/>
    </xf>
    <xf numFmtId="182" fontId="15" fillId="0" borderId="1" xfId="24" applyNumberFormat="1" applyFont="1" applyFill="1" applyBorder="1" applyAlignment="1">
      <alignment horizontal="right" vertical="center"/>
    </xf>
    <xf numFmtId="0" fontId="15" fillId="0" borderId="1" xfId="25" applyFont="1" applyBorder="1">
      <alignment vertical="center"/>
    </xf>
    <xf numFmtId="41" fontId="15" fillId="3" borderId="2" xfId="24" applyFont="1" applyFill="1" applyBorder="1" applyAlignment="1">
      <alignment vertical="center" shrinkToFit="1"/>
    </xf>
    <xf numFmtId="0" fontId="15" fillId="3" borderId="1" xfId="25" applyFont="1" applyFill="1" applyBorder="1">
      <alignment vertical="center"/>
    </xf>
    <xf numFmtId="0" fontId="15" fillId="8" borderId="1" xfId="3" applyFont="1" applyFill="1" applyBorder="1" applyAlignment="1">
      <alignment horizontal="center" vertical="center" wrapText="1"/>
    </xf>
    <xf numFmtId="41" fontId="10" fillId="0" borderId="1" xfId="1" applyFont="1" applyBorder="1" applyAlignment="1">
      <alignment horizontal="left" vertical="center" wrapText="1"/>
    </xf>
    <xf numFmtId="176" fontId="10" fillId="0" borderId="1" xfId="0" applyNumberFormat="1" applyFont="1" applyBorder="1" applyAlignment="1">
      <alignment horizontal="center" vertical="center"/>
    </xf>
    <xf numFmtId="176" fontId="10" fillId="0" borderId="1" xfId="1" applyNumberFormat="1" applyFont="1" applyFill="1" applyBorder="1" applyAlignment="1">
      <alignment horizontal="center" vertical="center"/>
    </xf>
    <xf numFmtId="41" fontId="15" fillId="0" borderId="1" xfId="1" applyFont="1" applyFill="1" applyBorder="1" applyAlignment="1">
      <alignment horizontal="left" vertical="center" wrapText="1" shrinkToFit="1"/>
    </xf>
    <xf numFmtId="176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41" fontId="10" fillId="0" borderId="1" xfId="0" applyNumberFormat="1" applyFont="1" applyBorder="1">
      <alignment vertical="center"/>
    </xf>
    <xf numFmtId="41" fontId="15" fillId="7" borderId="1" xfId="1" applyFont="1" applyFill="1" applyBorder="1">
      <alignment vertical="center"/>
    </xf>
    <xf numFmtId="41" fontId="10" fillId="0" borderId="2" xfId="1" applyFont="1" applyFill="1" applyBorder="1">
      <alignment vertical="center"/>
    </xf>
    <xf numFmtId="41" fontId="10" fillId="3" borderId="2" xfId="1" applyFont="1" applyFill="1" applyBorder="1">
      <alignment vertical="center"/>
    </xf>
    <xf numFmtId="0" fontId="10" fillId="0" borderId="0" xfId="1" applyNumberFormat="1" applyFont="1" applyFill="1" applyAlignment="1">
      <alignment horizontal="left" vertical="center"/>
    </xf>
    <xf numFmtId="41" fontId="10" fillId="9" borderId="1" xfId="1" applyFont="1" applyFill="1" applyBorder="1" applyAlignment="1">
      <alignment horizontal="left" vertical="center" shrinkToFit="1"/>
    </xf>
    <xf numFmtId="41" fontId="15" fillId="0" borderId="1" xfId="1" quotePrefix="1" applyFont="1" applyFill="1" applyBorder="1" applyAlignment="1">
      <alignment horizontal="left" vertical="center"/>
    </xf>
    <xf numFmtId="41" fontId="10" fillId="0" borderId="1" xfId="1" applyFont="1" applyFill="1" applyBorder="1" applyAlignment="1" applyProtection="1">
      <alignment horizontal="center" vertical="center" shrinkToFit="1"/>
      <protection locked="0"/>
    </xf>
    <xf numFmtId="176" fontId="10" fillId="4" borderId="1" xfId="3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41" fontId="10" fillId="4" borderId="1" xfId="1" applyFont="1" applyFill="1" applyBorder="1" applyAlignment="1">
      <alignment horizontal="left" vertical="center" shrinkToFit="1"/>
    </xf>
    <xf numFmtId="0" fontId="10" fillId="4" borderId="1" xfId="3" applyFont="1" applyFill="1" applyBorder="1" applyAlignment="1">
      <alignment horizontal="center" vertical="center"/>
    </xf>
    <xf numFmtId="41" fontId="10" fillId="4" borderId="1" xfId="1" applyFont="1" applyFill="1" applyBorder="1" applyAlignment="1">
      <alignment horizontal="center" vertical="center"/>
    </xf>
    <xf numFmtId="176" fontId="10" fillId="4" borderId="1" xfId="4" applyNumberFormat="1" applyFont="1" applyFill="1" applyBorder="1" applyAlignment="1">
      <alignment horizontal="left" vertical="center"/>
    </xf>
    <xf numFmtId="0" fontId="10" fillId="4" borderId="1" xfId="3" applyFont="1" applyFill="1" applyBorder="1" applyAlignment="1">
      <alignment horizontal="left" vertical="center"/>
    </xf>
    <xf numFmtId="41" fontId="16" fillId="9" borderId="1" xfId="1" applyFont="1" applyFill="1" applyBorder="1" applyAlignment="1">
      <alignment horizontal="left" vertical="center" shrinkToFit="1"/>
    </xf>
    <xf numFmtId="41" fontId="22" fillId="0" borderId="1" xfId="24" applyFont="1" applyFill="1" applyBorder="1" applyAlignment="1">
      <alignment horizontal="center" vertical="center"/>
    </xf>
    <xf numFmtId="41" fontId="17" fillId="0" borderId="1" xfId="1" applyFont="1" applyBorder="1" applyAlignment="1">
      <alignment horizontal="left" vertical="center"/>
    </xf>
    <xf numFmtId="0" fontId="15" fillId="0" borderId="0" xfId="1" applyNumberFormat="1" applyFont="1" applyFill="1" applyAlignment="1">
      <alignment horizontal="left" vertical="center"/>
    </xf>
    <xf numFmtId="41" fontId="17" fillId="0" borderId="1" xfId="24" applyFont="1" applyBorder="1" applyAlignment="1">
      <alignment horizontal="left" vertical="center"/>
    </xf>
    <xf numFmtId="0" fontId="15" fillId="0" borderId="0" xfId="24" applyNumberFormat="1" applyFont="1" applyFill="1" applyAlignment="1">
      <alignment horizontal="left" vertical="center"/>
    </xf>
    <xf numFmtId="41" fontId="22" fillId="0" borderId="1" xfId="24" applyFont="1" applyFill="1" applyBorder="1" applyAlignment="1">
      <alignment horizontal="right" vertical="center"/>
    </xf>
    <xf numFmtId="176" fontId="22" fillId="0" borderId="1" xfId="24" applyNumberFormat="1" applyFont="1" applyFill="1" applyBorder="1" applyAlignment="1">
      <alignment horizontal="left" vertical="center"/>
    </xf>
    <xf numFmtId="41" fontId="10" fillId="2" borderId="1" xfId="27" applyFont="1" applyFill="1" applyBorder="1" applyAlignment="1">
      <alignment horizontal="center" vertical="center" wrapText="1" shrinkToFit="1"/>
    </xf>
    <xf numFmtId="41" fontId="10" fillId="2" borderId="1" xfId="27" applyFont="1" applyFill="1" applyBorder="1" applyAlignment="1">
      <alignment horizontal="center" vertical="center" wrapText="1"/>
    </xf>
    <xf numFmtId="41" fontId="10" fillId="2" borderId="1" xfId="27" applyFont="1" applyFill="1" applyBorder="1" applyAlignment="1">
      <alignment horizontal="center" vertical="center"/>
    </xf>
    <xf numFmtId="176" fontId="10" fillId="2" borderId="1" xfId="27" applyNumberFormat="1" applyFont="1" applyFill="1" applyBorder="1" applyAlignment="1">
      <alignment horizontal="center" vertical="center"/>
    </xf>
    <xf numFmtId="14" fontId="10" fillId="2" borderId="1" xfId="27" applyNumberFormat="1" applyFont="1" applyFill="1" applyBorder="1" applyAlignment="1">
      <alignment horizontal="center" vertical="center"/>
    </xf>
    <xf numFmtId="41" fontId="10" fillId="2" borderId="1" xfId="27" applyFont="1" applyFill="1" applyBorder="1" applyAlignment="1">
      <alignment horizontal="left" vertical="center" wrapText="1"/>
    </xf>
    <xf numFmtId="41" fontId="10" fillId="0" borderId="0" xfId="27" applyFont="1" applyAlignment="1">
      <alignment horizontal="center" vertical="center"/>
    </xf>
    <xf numFmtId="41" fontId="10" fillId="0" borderId="1" xfId="27" applyFont="1" applyFill="1" applyBorder="1" applyAlignment="1">
      <alignment horizontal="left" vertical="center" wrapText="1" shrinkToFit="1"/>
    </xf>
    <xf numFmtId="41" fontId="10" fillId="0" borderId="1" xfId="27" applyFont="1" applyFill="1" applyBorder="1" applyAlignment="1">
      <alignment horizontal="center" vertical="center" wrapText="1"/>
    </xf>
    <xf numFmtId="41" fontId="10" fillId="0" borderId="1" xfId="27" applyFont="1" applyFill="1" applyBorder="1" applyAlignment="1">
      <alignment horizontal="center" vertical="center"/>
    </xf>
    <xf numFmtId="176" fontId="10" fillId="0" borderId="1" xfId="27" applyNumberFormat="1" applyFont="1" applyFill="1" applyBorder="1" applyAlignment="1">
      <alignment horizontal="center" vertical="center"/>
    </xf>
    <xf numFmtId="14" fontId="10" fillId="0" borderId="1" xfId="27" applyNumberFormat="1" applyFont="1" applyFill="1" applyBorder="1" applyAlignment="1">
      <alignment horizontal="center" vertical="center"/>
    </xf>
    <xf numFmtId="41" fontId="10" fillId="0" borderId="1" xfId="27" applyFont="1" applyFill="1" applyBorder="1" applyAlignment="1">
      <alignment horizontal="left" vertical="center" wrapText="1"/>
    </xf>
    <xf numFmtId="41" fontId="10" fillId="0" borderId="0" xfId="27" applyFont="1" applyFill="1" applyAlignment="1">
      <alignment horizontal="center" vertical="center"/>
    </xf>
    <xf numFmtId="41" fontId="10" fillId="3" borderId="1" xfId="27" applyFont="1" applyFill="1" applyBorder="1" applyAlignment="1">
      <alignment horizontal="left" vertical="center" shrinkToFit="1"/>
    </xf>
    <xf numFmtId="41" fontId="10" fillId="3" borderId="1" xfId="27" applyFont="1" applyFill="1" applyBorder="1" applyAlignment="1">
      <alignment horizontal="center" vertical="center"/>
    </xf>
    <xf numFmtId="41" fontId="10" fillId="3" borderId="1" xfId="27" applyFont="1" applyFill="1" applyBorder="1" applyAlignment="1">
      <alignment horizontal="left" vertical="center"/>
    </xf>
    <xf numFmtId="41" fontId="10" fillId="0" borderId="1" xfId="27" applyFont="1" applyFill="1" applyBorder="1" applyAlignment="1">
      <alignment horizontal="left" vertical="center" shrinkToFit="1"/>
    </xf>
    <xf numFmtId="41" fontId="10" fillId="0" borderId="1" xfId="27" applyFont="1" applyFill="1" applyBorder="1" applyAlignment="1">
      <alignment horizontal="left" vertical="center"/>
    </xf>
    <xf numFmtId="41" fontId="10" fillId="0" borderId="1" xfId="27" applyFont="1" applyBorder="1" applyAlignment="1">
      <alignment horizontal="left" vertical="center" wrapText="1"/>
    </xf>
    <xf numFmtId="41" fontId="18" fillId="0" borderId="1" xfId="27" applyFont="1" applyFill="1" applyBorder="1" applyAlignment="1">
      <alignment horizontal="center" vertical="center"/>
    </xf>
    <xf numFmtId="0" fontId="10" fillId="0" borderId="1" xfId="28" applyFont="1" applyBorder="1" applyAlignment="1">
      <alignment horizontal="center" vertical="center"/>
    </xf>
    <xf numFmtId="41" fontId="10" fillId="0" borderId="1" xfId="27" applyFont="1" applyFill="1" applyBorder="1" applyAlignment="1">
      <alignment vertical="center" wrapText="1" shrinkToFit="1"/>
    </xf>
    <xf numFmtId="176" fontId="10" fillId="3" borderId="1" xfId="28" applyNumberFormat="1" applyFont="1" applyFill="1" applyBorder="1" applyAlignment="1">
      <alignment horizontal="center" vertical="center"/>
    </xf>
    <xf numFmtId="0" fontId="10" fillId="3" borderId="1" xfId="28" applyFont="1" applyFill="1" applyBorder="1" applyAlignment="1">
      <alignment horizontal="center" vertical="center"/>
    </xf>
    <xf numFmtId="41" fontId="10" fillId="3" borderId="1" xfId="27" applyFont="1" applyFill="1" applyBorder="1">
      <alignment vertical="center"/>
    </xf>
    <xf numFmtId="41" fontId="10" fillId="3" borderId="1" xfId="28" applyNumberFormat="1" applyFont="1" applyFill="1" applyBorder="1">
      <alignment vertical="center"/>
    </xf>
    <xf numFmtId="0" fontId="10" fillId="3" borderId="1" xfId="28" applyFont="1" applyFill="1" applyBorder="1">
      <alignment vertical="center"/>
    </xf>
    <xf numFmtId="0" fontId="10" fillId="0" borderId="0" xfId="28" applyFont="1">
      <alignment vertical="center"/>
    </xf>
    <xf numFmtId="176" fontId="10" fillId="0" borderId="1" xfId="28" applyNumberFormat="1" applyFont="1" applyBorder="1" applyAlignment="1">
      <alignment horizontal="center" vertical="center"/>
    </xf>
    <xf numFmtId="41" fontId="10" fillId="0" borderId="1" xfId="27" applyFont="1" applyBorder="1" applyAlignment="1">
      <alignment horizontal="left" vertical="center"/>
    </xf>
    <xf numFmtId="41" fontId="10" fillId="0" borderId="1" xfId="27" applyFont="1" applyFill="1" applyBorder="1">
      <alignment vertical="center"/>
    </xf>
    <xf numFmtId="0" fontId="10" fillId="0" borderId="1" xfId="28" applyFont="1" applyBorder="1">
      <alignment vertical="center"/>
    </xf>
    <xf numFmtId="41" fontId="16" fillId="0" borderId="1" xfId="27" applyFont="1" applyFill="1" applyBorder="1" applyAlignment="1">
      <alignment vertical="center" shrinkToFit="1"/>
    </xf>
    <xf numFmtId="41" fontId="16" fillId="0" borderId="1" xfId="27" applyFont="1" applyFill="1" applyBorder="1" applyAlignment="1">
      <alignment horizontal="center" vertical="center"/>
    </xf>
    <xf numFmtId="41" fontId="15" fillId="0" borderId="1" xfId="27" applyFont="1" applyFill="1" applyBorder="1" applyAlignment="1">
      <alignment horizontal="right" vertical="center"/>
    </xf>
    <xf numFmtId="41" fontId="16" fillId="0" borderId="0" xfId="27" applyFont="1" applyFill="1" applyAlignment="1">
      <alignment horizontal="left" vertical="center"/>
    </xf>
    <xf numFmtId="41" fontId="15" fillId="0" borderId="1" xfId="27" applyFont="1" applyBorder="1">
      <alignment vertical="center"/>
    </xf>
    <xf numFmtId="0" fontId="15" fillId="0" borderId="1" xfId="28" applyFont="1" applyBorder="1" applyAlignment="1">
      <alignment horizontal="center" vertical="center"/>
    </xf>
    <xf numFmtId="0" fontId="15" fillId="0" borderId="1" xfId="28" applyFont="1" applyBorder="1">
      <alignment vertical="center"/>
    </xf>
    <xf numFmtId="41" fontId="15" fillId="0" borderId="1" xfId="27" applyFont="1" applyFill="1" applyBorder="1">
      <alignment vertical="center"/>
    </xf>
    <xf numFmtId="14" fontId="15" fillId="0" borderId="1" xfId="28" applyNumberFormat="1" applyFont="1" applyBorder="1" applyAlignment="1">
      <alignment horizontal="center" vertical="center"/>
    </xf>
    <xf numFmtId="0" fontId="15" fillId="0" borderId="0" xfId="28" applyFont="1">
      <alignment vertical="center"/>
    </xf>
    <xf numFmtId="41" fontId="15" fillId="0" borderId="1" xfId="28" applyNumberFormat="1" applyFont="1" applyBorder="1">
      <alignment vertical="center"/>
    </xf>
    <xf numFmtId="0" fontId="15" fillId="0" borderId="1" xfId="28" applyFont="1" applyBorder="1" applyAlignment="1">
      <alignment horizontal="left" vertical="center"/>
    </xf>
    <xf numFmtId="0" fontId="15" fillId="3" borderId="1" xfId="28" applyFont="1" applyFill="1" applyBorder="1">
      <alignment vertical="center"/>
    </xf>
    <xf numFmtId="0" fontId="10" fillId="0" borderId="1" xfId="28" applyFont="1" applyBorder="1" applyAlignment="1">
      <alignment horizontal="center" vertical="center" wrapText="1"/>
    </xf>
    <xf numFmtId="41" fontId="10" fillId="0" borderId="1" xfId="28" applyNumberFormat="1" applyFont="1" applyBorder="1">
      <alignment vertical="center"/>
    </xf>
    <xf numFmtId="41" fontId="10" fillId="0" borderId="1" xfId="27" applyFont="1" applyFill="1" applyBorder="1" applyAlignment="1">
      <alignment horizontal="right" vertical="center"/>
    </xf>
    <xf numFmtId="176" fontId="10" fillId="0" borderId="1" xfId="27" applyNumberFormat="1" applyFont="1" applyFill="1" applyBorder="1" applyAlignment="1">
      <alignment horizontal="left" vertical="center"/>
    </xf>
    <xf numFmtId="41" fontId="16" fillId="0" borderId="1" xfId="27" applyFont="1" applyBorder="1" applyAlignment="1">
      <alignment horizontal="left" vertical="center"/>
    </xf>
    <xf numFmtId="0" fontId="10" fillId="0" borderId="0" xfId="27" applyNumberFormat="1" applyFont="1" applyFill="1" applyAlignment="1">
      <alignment horizontal="left" vertical="center"/>
    </xf>
    <xf numFmtId="176" fontId="15" fillId="0" borderId="1" xfId="27" applyNumberFormat="1" applyFont="1" applyFill="1" applyBorder="1" applyAlignment="1">
      <alignment horizontal="left" vertical="center"/>
    </xf>
    <xf numFmtId="41" fontId="16" fillId="0" borderId="1" xfId="27" applyFont="1" applyFill="1" applyBorder="1" applyAlignment="1">
      <alignment horizontal="left" vertical="center"/>
    </xf>
    <xf numFmtId="41" fontId="15" fillId="3" borderId="1" xfId="27" applyFont="1" applyFill="1" applyBorder="1">
      <alignment vertical="center"/>
    </xf>
    <xf numFmtId="0" fontId="15" fillId="3" borderId="1" xfId="28" applyFont="1" applyFill="1" applyBorder="1" applyAlignment="1">
      <alignment horizontal="center" vertical="center"/>
    </xf>
    <xf numFmtId="41" fontId="15" fillId="0" borderId="1" xfId="27" applyFont="1" applyFill="1" applyBorder="1" applyAlignment="1">
      <alignment horizontal="center" vertical="center"/>
    </xf>
    <xf numFmtId="41" fontId="10" fillId="9" borderId="1" xfId="27" applyFont="1" applyFill="1" applyBorder="1" applyAlignment="1">
      <alignment horizontal="left" vertical="center" shrinkToFit="1"/>
    </xf>
    <xf numFmtId="41" fontId="15" fillId="0" borderId="1" xfId="27" quotePrefix="1" applyFont="1" applyFill="1" applyBorder="1" applyAlignment="1">
      <alignment horizontal="left" vertical="center"/>
    </xf>
    <xf numFmtId="41" fontId="15" fillId="0" borderId="0" xfId="27" applyFont="1" applyAlignment="1">
      <alignment horizontal="left" vertical="center"/>
    </xf>
    <xf numFmtId="41" fontId="10" fillId="0" borderId="0" xfId="27" applyFont="1" applyFill="1" applyAlignment="1">
      <alignment horizontal="left" vertical="center"/>
    </xf>
    <xf numFmtId="41" fontId="10" fillId="0" borderId="0" xfId="27" applyFont="1">
      <alignment vertical="center"/>
    </xf>
    <xf numFmtId="41" fontId="10" fillId="3" borderId="1" xfId="27" applyFont="1" applyFill="1" applyBorder="1" applyAlignment="1">
      <alignment horizontal="right" vertical="center"/>
    </xf>
    <xf numFmtId="186" fontId="10" fillId="3" borderId="1" xfId="27" applyNumberFormat="1" applyFont="1" applyFill="1" applyBorder="1" applyAlignment="1">
      <alignment horizontal="left" vertical="center"/>
    </xf>
    <xf numFmtId="41" fontId="10" fillId="0" borderId="0" xfId="27" applyFont="1" applyAlignment="1">
      <alignment horizontal="left" vertical="center"/>
    </xf>
    <xf numFmtId="186" fontId="10" fillId="0" borderId="1" xfId="27" applyNumberFormat="1" applyFont="1" applyFill="1" applyBorder="1" applyAlignment="1">
      <alignment horizontal="left" vertical="center"/>
    </xf>
    <xf numFmtId="41" fontId="10" fillId="0" borderId="1" xfId="27" applyFont="1" applyFill="1" applyBorder="1" applyAlignment="1" applyProtection="1">
      <alignment horizontal="center" vertical="center" shrinkToFit="1"/>
      <protection locked="0"/>
    </xf>
    <xf numFmtId="0" fontId="16" fillId="10" borderId="1" xfId="3" applyFont="1" applyFill="1" applyBorder="1" applyAlignment="1">
      <alignment horizontal="left" vertical="center"/>
    </xf>
    <xf numFmtId="0" fontId="10" fillId="4" borderId="1" xfId="28" applyFont="1" applyFill="1" applyBorder="1" applyAlignment="1">
      <alignment horizontal="center" vertical="center"/>
    </xf>
    <xf numFmtId="41" fontId="10" fillId="4" borderId="1" xfId="27" applyFont="1" applyFill="1" applyBorder="1" applyAlignment="1">
      <alignment horizontal="left" vertical="center" shrinkToFit="1"/>
    </xf>
    <xf numFmtId="41" fontId="10" fillId="4" borderId="1" xfId="27" applyFont="1" applyFill="1" applyBorder="1" applyAlignment="1">
      <alignment horizontal="center" vertical="center"/>
    </xf>
    <xf numFmtId="41" fontId="10" fillId="4" borderId="1" xfId="27" applyFont="1" applyFill="1" applyBorder="1" applyAlignment="1">
      <alignment horizontal="right" vertical="center"/>
    </xf>
    <xf numFmtId="41" fontId="10" fillId="4" borderId="1" xfId="27" applyFont="1" applyFill="1" applyBorder="1" applyAlignment="1">
      <alignment horizontal="left" vertical="center"/>
    </xf>
    <xf numFmtId="41" fontId="10" fillId="4" borderId="1" xfId="4" applyNumberFormat="1" applyFont="1" applyFill="1" applyBorder="1" applyAlignment="1">
      <alignment horizontal="center" vertical="center"/>
    </xf>
    <xf numFmtId="184" fontId="10" fillId="4" borderId="1" xfId="29" applyNumberFormat="1" applyFont="1" applyFill="1" applyBorder="1" applyAlignment="1">
      <alignment horizontal="left" vertical="center"/>
    </xf>
    <xf numFmtId="176" fontId="10" fillId="3" borderId="1" xfId="4" applyNumberFormat="1" applyFont="1" applyFill="1" applyBorder="1" applyAlignment="1">
      <alignment horizontal="left" vertical="center"/>
    </xf>
    <xf numFmtId="184" fontId="10" fillId="3" borderId="1" xfId="29" applyNumberFormat="1" applyFont="1" applyFill="1" applyBorder="1" applyAlignment="1">
      <alignment horizontal="left" vertical="center"/>
    </xf>
    <xf numFmtId="41" fontId="16" fillId="9" borderId="1" xfId="27" applyFont="1" applyFill="1" applyBorder="1" applyAlignment="1">
      <alignment horizontal="left" vertical="center" shrinkToFit="1"/>
    </xf>
    <xf numFmtId="41" fontId="16" fillId="0" borderId="2" xfId="27" applyFont="1" applyFill="1" applyBorder="1" applyAlignment="1">
      <alignment horizontal="center" vertical="center"/>
    </xf>
    <xf numFmtId="41" fontId="16" fillId="0" borderId="0" xfId="27" applyFont="1" applyFill="1">
      <alignment vertical="center"/>
    </xf>
    <xf numFmtId="41" fontId="15" fillId="0" borderId="1" xfId="27" applyFont="1" applyFill="1" applyBorder="1" applyAlignment="1">
      <alignment horizontal="left" vertical="center" shrinkToFit="1"/>
    </xf>
    <xf numFmtId="0" fontId="15" fillId="0" borderId="1" xfId="27" applyNumberFormat="1" applyFont="1" applyFill="1" applyBorder="1" applyAlignment="1">
      <alignment horizontal="center" vertical="center"/>
    </xf>
    <xf numFmtId="14" fontId="15" fillId="0" borderId="1" xfId="27" applyNumberFormat="1" applyFont="1" applyFill="1" applyBorder="1" applyAlignment="1">
      <alignment horizontal="center" vertical="center"/>
    </xf>
    <xf numFmtId="41" fontId="10" fillId="0" borderId="2" xfId="27" applyFont="1" applyFill="1" applyBorder="1" applyAlignment="1">
      <alignment horizontal="right" vertical="center"/>
    </xf>
    <xf numFmtId="0" fontId="19" fillId="5" borderId="1" xfId="28" applyFont="1" applyFill="1" applyBorder="1">
      <alignment vertical="center"/>
    </xf>
    <xf numFmtId="41" fontId="19" fillId="5" borderId="1" xfId="27" applyFont="1" applyFill="1" applyBorder="1" applyAlignment="1">
      <alignment horizontal="left" vertical="center"/>
    </xf>
    <xf numFmtId="41" fontId="19" fillId="5" borderId="1" xfId="27" applyFont="1" applyFill="1" applyBorder="1">
      <alignment vertical="center"/>
    </xf>
    <xf numFmtId="0" fontId="19" fillId="5" borderId="1" xfId="28" applyFont="1" applyFill="1" applyBorder="1" applyAlignment="1">
      <alignment horizontal="center" vertical="center"/>
    </xf>
    <xf numFmtId="41" fontId="19" fillId="5" borderId="1" xfId="28" applyNumberFormat="1" applyFont="1" applyFill="1" applyBorder="1">
      <alignment vertical="center"/>
    </xf>
    <xf numFmtId="0" fontId="15" fillId="5" borderId="1" xfId="28" applyFont="1" applyFill="1" applyBorder="1">
      <alignment vertical="center"/>
    </xf>
    <xf numFmtId="41" fontId="15" fillId="0" borderId="0" xfId="27" applyFont="1">
      <alignment vertical="center"/>
    </xf>
    <xf numFmtId="41" fontId="10" fillId="0" borderId="1" xfId="27" applyFont="1" applyBorder="1">
      <alignment vertical="center"/>
    </xf>
    <xf numFmtId="41" fontId="18" fillId="0" borderId="1" xfId="27" applyFont="1" applyBorder="1" applyAlignment="1">
      <alignment horizontal="left" vertical="center"/>
    </xf>
    <xf numFmtId="176" fontId="18" fillId="0" borderId="1" xfId="28" applyNumberFormat="1" applyFont="1" applyBorder="1" applyAlignment="1">
      <alignment horizontal="center" vertical="center"/>
    </xf>
    <xf numFmtId="0" fontId="18" fillId="0" borderId="1" xfId="28" applyFont="1" applyBorder="1" applyAlignment="1">
      <alignment horizontal="center" vertical="center"/>
    </xf>
    <xf numFmtId="41" fontId="18" fillId="0" borderId="1" xfId="27" applyFont="1" applyFill="1" applyBorder="1">
      <alignment vertical="center"/>
    </xf>
    <xf numFmtId="0" fontId="18" fillId="0" borderId="1" xfId="28" applyFont="1" applyBorder="1">
      <alignment vertical="center"/>
    </xf>
    <xf numFmtId="0" fontId="18" fillId="0" borderId="0" xfId="28" applyFont="1">
      <alignment vertical="center"/>
    </xf>
    <xf numFmtId="176" fontId="10" fillId="0" borderId="1" xfId="28" applyNumberFormat="1" applyFont="1" applyBorder="1" applyAlignment="1">
      <alignment horizontal="left" vertical="center"/>
    </xf>
    <xf numFmtId="41" fontId="10" fillId="8" borderId="1" xfId="27" applyFont="1" applyFill="1" applyBorder="1" applyAlignment="1">
      <alignment horizontal="left" vertical="center" wrapText="1" shrinkToFit="1"/>
    </xf>
    <xf numFmtId="41" fontId="15" fillId="8" borderId="1" xfId="27" applyFont="1" applyFill="1" applyBorder="1" applyAlignment="1">
      <alignment horizontal="center" vertical="center" wrapText="1"/>
    </xf>
    <xf numFmtId="41" fontId="15" fillId="8" borderId="1" xfId="27" applyFont="1" applyFill="1" applyBorder="1" applyAlignment="1">
      <alignment horizontal="center" vertical="center"/>
    </xf>
    <xf numFmtId="13" fontId="15" fillId="8" borderId="1" xfId="27" applyNumberFormat="1" applyFont="1" applyFill="1" applyBorder="1" applyAlignment="1">
      <alignment horizontal="left" vertical="center"/>
    </xf>
    <xf numFmtId="41" fontId="10" fillId="8" borderId="1" xfId="27" applyFont="1" applyFill="1" applyBorder="1" applyAlignment="1">
      <alignment horizontal="center" vertical="center"/>
    </xf>
    <xf numFmtId="41" fontId="10" fillId="8" borderId="1" xfId="27" applyFont="1" applyFill="1" applyBorder="1" applyAlignment="1">
      <alignment horizontal="left" vertical="center" wrapText="1"/>
    </xf>
    <xf numFmtId="41" fontId="15" fillId="8" borderId="1" xfId="27" applyFont="1" applyFill="1" applyBorder="1" applyAlignment="1">
      <alignment horizontal="left" vertical="center" wrapText="1" shrinkToFit="1"/>
    </xf>
    <xf numFmtId="41" fontId="15" fillId="8" borderId="1" xfId="27" applyFont="1" applyFill="1" applyBorder="1">
      <alignment vertical="center"/>
    </xf>
    <xf numFmtId="41" fontId="10" fillId="8" borderId="1" xfId="27" applyFont="1" applyFill="1" applyBorder="1" applyAlignment="1">
      <alignment horizontal="left" vertical="center"/>
    </xf>
    <xf numFmtId="14" fontId="10" fillId="8" borderId="1" xfId="27" applyNumberFormat="1" applyFont="1" applyFill="1" applyBorder="1" applyAlignment="1">
      <alignment horizontal="center" vertical="center"/>
    </xf>
    <xf numFmtId="41" fontId="15" fillId="0" borderId="1" xfId="27" applyFont="1" applyFill="1" applyBorder="1" applyAlignment="1">
      <alignment horizontal="left" vertical="center" wrapText="1" shrinkToFit="1"/>
    </xf>
    <xf numFmtId="41" fontId="15" fillId="0" borderId="1" xfId="27" applyFont="1" applyFill="1" applyBorder="1" applyAlignment="1">
      <alignment horizontal="left" vertical="center"/>
    </xf>
    <xf numFmtId="176" fontId="10" fillId="8" borderId="1" xfId="28" applyNumberFormat="1" applyFont="1" applyFill="1" applyBorder="1" applyAlignment="1">
      <alignment horizontal="center" vertical="center"/>
    </xf>
    <xf numFmtId="0" fontId="10" fillId="8" borderId="1" xfId="28" applyFont="1" applyFill="1" applyBorder="1" applyAlignment="1">
      <alignment horizontal="center" vertical="center"/>
    </xf>
    <xf numFmtId="41" fontId="10" fillId="8" borderId="1" xfId="27" applyFont="1" applyFill="1" applyBorder="1">
      <alignment vertical="center"/>
    </xf>
    <xf numFmtId="176" fontId="10" fillId="8" borderId="1" xfId="28" applyNumberFormat="1" applyFont="1" applyFill="1" applyBorder="1" applyAlignment="1">
      <alignment horizontal="left" vertical="center"/>
    </xf>
    <xf numFmtId="0" fontId="10" fillId="8" borderId="1" xfId="28" applyFont="1" applyFill="1" applyBorder="1">
      <alignment vertical="center"/>
    </xf>
    <xf numFmtId="41" fontId="15" fillId="8" borderId="2" xfId="27" applyFont="1" applyFill="1" applyBorder="1" applyAlignment="1">
      <alignment horizontal="left" vertical="center"/>
    </xf>
    <xf numFmtId="0" fontId="15" fillId="8" borderId="2" xfId="28" applyFont="1" applyFill="1" applyBorder="1" applyAlignment="1">
      <alignment horizontal="center" vertical="center"/>
    </xf>
    <xf numFmtId="41" fontId="15" fillId="8" borderId="2" xfId="27" applyFont="1" applyFill="1" applyBorder="1">
      <alignment vertical="center"/>
    </xf>
    <xf numFmtId="0" fontId="15" fillId="8" borderId="2" xfId="28" applyFont="1" applyFill="1" applyBorder="1">
      <alignment vertical="center"/>
    </xf>
    <xf numFmtId="14" fontId="15" fillId="8" borderId="2" xfId="28" applyNumberFormat="1" applyFont="1" applyFill="1" applyBorder="1">
      <alignment vertical="center"/>
    </xf>
    <xf numFmtId="0" fontId="15" fillId="8" borderId="1" xfId="28" applyFont="1" applyFill="1" applyBorder="1">
      <alignment vertical="center"/>
    </xf>
    <xf numFmtId="41" fontId="15" fillId="8" borderId="1" xfId="27" applyFont="1" applyFill="1" applyBorder="1" applyAlignment="1">
      <alignment horizontal="left" vertical="center"/>
    </xf>
    <xf numFmtId="0" fontId="15" fillId="8" borderId="1" xfId="28" applyFont="1" applyFill="1" applyBorder="1" applyAlignment="1">
      <alignment horizontal="center" vertical="center"/>
    </xf>
    <xf numFmtId="14" fontId="15" fillId="8" borderId="1" xfId="28" applyNumberFormat="1" applyFont="1" applyFill="1" applyBorder="1">
      <alignment vertical="center"/>
    </xf>
    <xf numFmtId="180" fontId="10" fillId="0" borderId="1" xfId="1" applyNumberFormat="1" applyFont="1" applyFill="1" applyBorder="1" applyAlignment="1">
      <alignment horizontal="center" vertical="center"/>
    </xf>
    <xf numFmtId="14" fontId="15" fillId="0" borderId="1" xfId="28" applyNumberFormat="1" applyFont="1" applyBorder="1">
      <alignment vertical="center"/>
    </xf>
    <xf numFmtId="14" fontId="15" fillId="0" borderId="1" xfId="27" applyNumberFormat="1" applyFont="1" applyBorder="1">
      <alignment vertical="center"/>
    </xf>
    <xf numFmtId="41" fontId="10" fillId="7" borderId="1" xfId="1" applyFont="1" applyFill="1" applyBorder="1">
      <alignment vertical="center"/>
    </xf>
    <xf numFmtId="41" fontId="15" fillId="7" borderId="1" xfId="27" applyFont="1" applyFill="1" applyBorder="1">
      <alignment vertical="center"/>
    </xf>
    <xf numFmtId="187" fontId="10" fillId="0" borderId="1" xfId="27" applyNumberFormat="1" applyFont="1" applyFill="1" applyBorder="1" applyAlignment="1">
      <alignment horizontal="left" vertical="center"/>
    </xf>
    <xf numFmtId="187" fontId="16" fillId="0" borderId="1" xfId="27" applyNumberFormat="1" applyFont="1" applyFill="1" applyBorder="1">
      <alignment vertical="center"/>
    </xf>
    <xf numFmtId="41" fontId="15" fillId="2" borderId="1" xfId="27" applyFont="1" applyFill="1" applyBorder="1" applyAlignment="1">
      <alignment horizontal="center" vertical="center"/>
    </xf>
    <xf numFmtId="41" fontId="15" fillId="3" borderId="1" xfId="27" applyFont="1" applyFill="1" applyBorder="1" applyAlignment="1">
      <alignment horizontal="center" vertical="center"/>
    </xf>
    <xf numFmtId="178" fontId="15" fillId="3" borderId="1" xfId="4" applyFont="1" applyFill="1" applyBorder="1" applyAlignment="1">
      <alignment horizontal="center" vertical="center"/>
    </xf>
    <xf numFmtId="41" fontId="15" fillId="3" borderId="1" xfId="27" applyFont="1" applyFill="1" applyBorder="1" applyAlignment="1">
      <alignment horizontal="right" vertical="center"/>
    </xf>
    <xf numFmtId="41" fontId="15" fillId="4" borderId="1" xfId="27" applyFont="1" applyFill="1" applyBorder="1" applyAlignment="1">
      <alignment horizontal="right" vertical="center"/>
    </xf>
    <xf numFmtId="41" fontId="20" fillId="5" borderId="1" xfId="27" applyFont="1" applyFill="1" applyBorder="1" applyAlignment="1">
      <alignment horizontal="left" vertical="center"/>
    </xf>
    <xf numFmtId="41" fontId="15" fillId="0" borderId="0" xfId="27" applyFont="1" applyFill="1">
      <alignment vertical="center"/>
    </xf>
    <xf numFmtId="41" fontId="22" fillId="11" borderId="1" xfId="24" applyFont="1" applyFill="1" applyBorder="1" applyAlignment="1">
      <alignment horizontal="center" vertical="center"/>
    </xf>
    <xf numFmtId="41" fontId="16" fillId="11" borderId="1" xfId="20" applyFont="1" applyFill="1" applyBorder="1" applyAlignment="1">
      <alignment horizontal="center" vertical="center"/>
    </xf>
    <xf numFmtId="14" fontId="15" fillId="2" borderId="1" xfId="1" applyNumberFormat="1" applyFont="1" applyFill="1" applyBorder="1" applyAlignment="1">
      <alignment horizontal="center" vertical="center"/>
    </xf>
    <xf numFmtId="41" fontId="15" fillId="2" borderId="1" xfId="1" applyFont="1" applyFill="1" applyBorder="1" applyAlignment="1">
      <alignment horizontal="left" vertical="center" wrapText="1"/>
    </xf>
    <xf numFmtId="41" fontId="10" fillId="7" borderId="1" xfId="1" applyFont="1" applyFill="1" applyBorder="1" applyAlignment="1">
      <alignment horizontal="center" vertical="center"/>
    </xf>
    <xf numFmtId="41" fontId="15" fillId="0" borderId="1" xfId="1" applyFont="1" applyBorder="1" applyAlignment="1">
      <alignment horizontal="left" vertical="center" wrapText="1"/>
    </xf>
    <xf numFmtId="41" fontId="15" fillId="0" borderId="1" xfId="1" applyFont="1" applyFill="1" applyBorder="1" applyAlignment="1">
      <alignment horizontal="left" vertical="center" wrapText="1"/>
    </xf>
    <xf numFmtId="41" fontId="15" fillId="0" borderId="0" xfId="1" applyFont="1" applyFill="1" applyAlignment="1">
      <alignment horizontal="center" vertical="center"/>
    </xf>
    <xf numFmtId="0" fontId="16" fillId="0" borderId="0" xfId="1" applyNumberFormat="1" applyFont="1" applyFill="1">
      <alignment vertical="center"/>
    </xf>
    <xf numFmtId="0" fontId="15" fillId="0" borderId="1" xfId="3" quotePrefix="1" applyFont="1" applyBorder="1" applyAlignment="1">
      <alignment horizontal="center" vertical="center" wrapText="1"/>
    </xf>
    <xf numFmtId="186" fontId="15" fillId="0" borderId="1" xfId="1" applyNumberFormat="1" applyFont="1" applyFill="1" applyBorder="1" applyAlignment="1">
      <alignment horizontal="left" vertical="center" wrapText="1"/>
    </xf>
    <xf numFmtId="186" fontId="15" fillId="6" borderId="1" xfId="1" applyNumberFormat="1" applyFont="1" applyFill="1" applyBorder="1" applyAlignment="1">
      <alignment horizontal="left" vertical="center" wrapText="1"/>
    </xf>
    <xf numFmtId="186" fontId="15" fillId="3" borderId="1" xfId="1" applyNumberFormat="1" applyFont="1" applyFill="1" applyBorder="1">
      <alignment vertical="center"/>
    </xf>
    <xf numFmtId="176" fontId="10" fillId="9" borderId="1" xfId="0" applyNumberFormat="1" applyFont="1" applyFill="1" applyBorder="1" applyAlignment="1">
      <alignment horizontal="center" vertical="center"/>
    </xf>
    <xf numFmtId="41" fontId="10" fillId="9" borderId="1" xfId="1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41" fontId="10" fillId="9" borderId="1" xfId="1" applyFont="1" applyFill="1" applyBorder="1">
      <alignment vertical="center"/>
    </xf>
    <xf numFmtId="41" fontId="15" fillId="9" borderId="1" xfId="1" applyFont="1" applyFill="1" applyBorder="1">
      <alignment vertical="center"/>
    </xf>
    <xf numFmtId="41" fontId="15" fillId="9" borderId="1" xfId="0" applyNumberFormat="1" applyFont="1" applyFill="1" applyBorder="1">
      <alignment vertical="center"/>
    </xf>
    <xf numFmtId="176" fontId="15" fillId="3" borderId="1" xfId="0" applyNumberFormat="1" applyFont="1" applyFill="1" applyBorder="1" applyAlignment="1">
      <alignment horizontal="center" vertical="center"/>
    </xf>
    <xf numFmtId="43" fontId="15" fillId="3" borderId="1" xfId="0" applyNumberFormat="1" applyFont="1" applyFill="1" applyBorder="1">
      <alignment vertical="center"/>
    </xf>
    <xf numFmtId="43" fontId="10" fillId="0" borderId="0" xfId="3" applyNumberFormat="1" applyFont="1">
      <alignment vertical="center"/>
    </xf>
    <xf numFmtId="9" fontId="15" fillId="3" borderId="1" xfId="2" applyFont="1" applyFill="1" applyBorder="1">
      <alignment vertical="center"/>
    </xf>
    <xf numFmtId="188" fontId="10" fillId="3" borderId="1" xfId="1" applyNumberFormat="1" applyFont="1" applyFill="1" applyBorder="1" applyAlignment="1">
      <alignment horizontal="left" vertical="center"/>
    </xf>
    <xf numFmtId="184" fontId="10" fillId="3" borderId="1" xfId="2" applyNumberFormat="1" applyFont="1" applyFill="1" applyBorder="1" applyAlignment="1">
      <alignment horizontal="left" vertical="center"/>
    </xf>
    <xf numFmtId="176" fontId="19" fillId="5" borderId="1" xfId="0" applyNumberFormat="1" applyFont="1" applyFill="1" applyBorder="1" applyAlignment="1">
      <alignment horizontal="center" vertical="center"/>
    </xf>
    <xf numFmtId="41" fontId="19" fillId="5" borderId="1" xfId="1" applyFont="1" applyFill="1" applyBorder="1" applyAlignment="1">
      <alignment horizontal="left" vertical="center"/>
    </xf>
    <xf numFmtId="41" fontId="19" fillId="5" borderId="1" xfId="1" applyFont="1" applyFill="1" applyBorder="1">
      <alignment vertical="center"/>
    </xf>
    <xf numFmtId="0" fontId="19" fillId="5" borderId="1" xfId="0" applyFont="1" applyFill="1" applyBorder="1" applyAlignment="1">
      <alignment horizontal="center" vertical="center"/>
    </xf>
    <xf numFmtId="0" fontId="19" fillId="5" borderId="1" xfId="0" applyFont="1" applyFill="1" applyBorder="1">
      <alignment vertical="center"/>
    </xf>
    <xf numFmtId="41" fontId="20" fillId="5" borderId="1" xfId="0" applyNumberFormat="1" applyFont="1" applyFill="1" applyBorder="1">
      <alignment vertical="center"/>
    </xf>
    <xf numFmtId="41" fontId="20" fillId="5" borderId="1" xfId="1" applyFont="1" applyFill="1" applyBorder="1" applyAlignment="1">
      <alignment horizontal="left" vertical="center"/>
    </xf>
    <xf numFmtId="0" fontId="20" fillId="5" borderId="1" xfId="0" applyFont="1" applyFill="1" applyBorder="1">
      <alignment vertical="center"/>
    </xf>
    <xf numFmtId="0" fontId="15" fillId="5" borderId="1" xfId="0" applyFont="1" applyFill="1" applyBorder="1">
      <alignment vertical="center"/>
    </xf>
    <xf numFmtId="176" fontId="0" fillId="0" borderId="0" xfId="0" applyNumberFormat="1" applyAlignment="1">
      <alignment horizontal="center" vertical="center"/>
    </xf>
    <xf numFmtId="41" fontId="13" fillId="0" borderId="0" xfId="1" applyFont="1">
      <alignment vertical="center"/>
    </xf>
    <xf numFmtId="41" fontId="13" fillId="0" borderId="0" xfId="0" applyNumberFormat="1" applyFont="1">
      <alignment vertical="center"/>
    </xf>
    <xf numFmtId="0" fontId="15" fillId="0" borderId="1" xfId="5" applyNumberFormat="1" applyFont="1" applyFill="1" applyBorder="1" applyAlignment="1" applyProtection="1">
      <alignment horizontal="left" vertical="center" shrinkToFit="1"/>
      <protection locked="0"/>
    </xf>
    <xf numFmtId="41" fontId="17" fillId="0" borderId="1" xfId="1" applyFont="1" applyFill="1" applyBorder="1" applyAlignment="1">
      <alignment horizontal="center" vertical="center"/>
    </xf>
    <xf numFmtId="176" fontId="17" fillId="0" borderId="1" xfId="1" applyNumberFormat="1" applyFont="1" applyFill="1" applyBorder="1" applyAlignment="1">
      <alignment horizontal="left" vertical="center"/>
    </xf>
    <xf numFmtId="179" fontId="10" fillId="0" borderId="1" xfId="3" applyNumberFormat="1" applyFont="1" applyBorder="1" applyAlignment="1">
      <alignment horizontal="center" vertical="center"/>
    </xf>
    <xf numFmtId="41" fontId="16" fillId="0" borderId="0" xfId="1" applyFont="1" applyAlignment="1">
      <alignment horizontal="left" vertical="center"/>
    </xf>
    <xf numFmtId="9" fontId="10" fillId="0" borderId="1" xfId="2" applyFont="1" applyBorder="1" applyAlignment="1">
      <alignment horizontal="center" vertical="center"/>
    </xf>
    <xf numFmtId="41" fontId="10" fillId="0" borderId="1" xfId="16" applyFont="1" applyFill="1" applyBorder="1" applyAlignment="1">
      <alignment vertical="center" shrinkToFit="1"/>
    </xf>
    <xf numFmtId="41" fontId="15" fillId="0" borderId="1" xfId="16" applyFont="1" applyFill="1" applyBorder="1" applyAlignment="1">
      <alignment horizontal="center" vertical="center"/>
    </xf>
    <xf numFmtId="41" fontId="10" fillId="0" borderId="1" xfId="16" applyFont="1" applyFill="1" applyBorder="1" applyAlignment="1">
      <alignment horizontal="center" vertical="center"/>
    </xf>
    <xf numFmtId="178" fontId="10" fillId="0" borderId="1" xfId="4" applyFont="1" applyFill="1" applyBorder="1" applyAlignment="1">
      <alignment horizontal="left" vertical="center"/>
    </xf>
    <xf numFmtId="0" fontId="10" fillId="0" borderId="1" xfId="3" applyFont="1" applyBorder="1" applyAlignment="1">
      <alignment horizontal="left" vertical="center"/>
    </xf>
    <xf numFmtId="41" fontId="10" fillId="0" borderId="0" xfId="16" applyFont="1">
      <alignment vertical="center"/>
    </xf>
    <xf numFmtId="41" fontId="15" fillId="5" borderId="1" xfId="1" applyFont="1" applyFill="1" applyBorder="1" applyAlignment="1">
      <alignment horizontal="center" vertical="center"/>
    </xf>
    <xf numFmtId="41" fontId="17" fillId="0" borderId="1" xfId="1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187" fontId="16" fillId="0" borderId="1" xfId="1" applyNumberFormat="1" applyFont="1" applyFill="1" applyBorder="1">
      <alignment vertical="center"/>
    </xf>
    <xf numFmtId="43" fontId="15" fillId="0" borderId="1" xfId="0" applyNumberFormat="1" applyFont="1" applyBorder="1">
      <alignment vertical="center"/>
    </xf>
    <xf numFmtId="41" fontId="22" fillId="0" borderId="1" xfId="0" applyNumberFormat="1" applyFont="1" applyBorder="1">
      <alignment vertical="center"/>
    </xf>
    <xf numFmtId="0" fontId="15" fillId="9" borderId="1" xfId="0" applyFont="1" applyFill="1" applyBorder="1" applyAlignment="1" applyProtection="1">
      <alignment horizontal="center" vertical="center" shrinkToFit="1"/>
      <protection locked="0"/>
    </xf>
    <xf numFmtId="41" fontId="22" fillId="0" borderId="1" xfId="1" applyFont="1" applyFill="1" applyBorder="1">
      <alignment vertical="center"/>
    </xf>
    <xf numFmtId="41" fontId="10" fillId="0" borderId="1" xfId="1" applyFont="1" applyFill="1" applyBorder="1" applyAlignment="1">
      <alignment vertical="center" shrinkToFit="1"/>
    </xf>
    <xf numFmtId="0" fontId="10" fillId="0" borderId="0" xfId="1" applyNumberFormat="1" applyFont="1" applyFill="1">
      <alignment vertical="center"/>
    </xf>
    <xf numFmtId="178" fontId="15" fillId="0" borderId="1" xfId="4" applyFont="1" applyFill="1" applyBorder="1" applyAlignment="1">
      <alignment horizontal="left" vertical="center"/>
    </xf>
    <xf numFmtId="0" fontId="23" fillId="0" borderId="2" xfId="5" applyNumberFormat="1" applyFont="1" applyFill="1" applyBorder="1" applyAlignment="1" applyProtection="1">
      <alignment horizontal="left" vertical="center" shrinkToFit="1"/>
      <protection locked="0"/>
    </xf>
    <xf numFmtId="0" fontId="18" fillId="0" borderId="1" xfId="3" quotePrefix="1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41" fontId="18" fillId="0" borderId="1" xfId="1" applyFont="1" applyFill="1" applyBorder="1" applyAlignment="1">
      <alignment horizontal="center" vertical="center"/>
    </xf>
    <xf numFmtId="41" fontId="15" fillId="7" borderId="1" xfId="1" applyFont="1" applyFill="1" applyBorder="1" applyAlignment="1">
      <alignment horizontal="center" vertical="center" wrapText="1"/>
    </xf>
    <xf numFmtId="177" fontId="18" fillId="0" borderId="1" xfId="3" applyNumberFormat="1" applyFont="1" applyBorder="1" applyAlignment="1">
      <alignment horizontal="center" vertical="center" wrapText="1"/>
    </xf>
    <xf numFmtId="41" fontId="18" fillId="0" borderId="1" xfId="1" applyFont="1" applyFill="1" applyBorder="1" applyAlignment="1">
      <alignment horizontal="left" vertical="center" wrapText="1" shrinkToFit="1"/>
    </xf>
    <xf numFmtId="41" fontId="18" fillId="7" borderId="1" xfId="1" applyFont="1" applyFill="1" applyBorder="1" applyAlignment="1">
      <alignment horizontal="center" vertical="center" wrapText="1"/>
    </xf>
    <xf numFmtId="176" fontId="18" fillId="0" borderId="1" xfId="1" applyNumberFormat="1" applyFont="1" applyFill="1" applyBorder="1" applyAlignment="1">
      <alignment horizontal="center" vertical="center"/>
    </xf>
    <xf numFmtId="14" fontId="18" fillId="0" borderId="1" xfId="1" applyNumberFormat="1" applyFont="1" applyFill="1" applyBorder="1" applyAlignment="1">
      <alignment horizontal="center" vertical="center"/>
    </xf>
    <xf numFmtId="186" fontId="15" fillId="0" borderId="1" xfId="1" applyNumberFormat="1" applyFont="1" applyFill="1" applyBorder="1">
      <alignment vertical="center"/>
    </xf>
    <xf numFmtId="0" fontId="18" fillId="0" borderId="1" xfId="0" applyFont="1" applyBorder="1">
      <alignment vertical="center"/>
    </xf>
    <xf numFmtId="180" fontId="15" fillId="3" borderId="1" xfId="0" applyNumberFormat="1" applyFont="1" applyFill="1" applyBorder="1">
      <alignment vertical="center"/>
    </xf>
    <xf numFmtId="186" fontId="10" fillId="0" borderId="1" xfId="1" applyNumberFormat="1" applyFont="1" applyFill="1" applyBorder="1" applyAlignment="1">
      <alignment horizontal="left" vertical="center"/>
    </xf>
    <xf numFmtId="186" fontId="10" fillId="3" borderId="1" xfId="1" applyNumberFormat="1" applyFont="1" applyFill="1" applyBorder="1" applyAlignment="1">
      <alignment horizontal="left" vertical="center"/>
    </xf>
    <xf numFmtId="0" fontId="10" fillId="0" borderId="1" xfId="3" applyFont="1" applyBorder="1">
      <alignment vertical="center"/>
    </xf>
    <xf numFmtId="0" fontId="10" fillId="3" borderId="1" xfId="1" applyNumberFormat="1" applyFont="1" applyFill="1" applyBorder="1" applyAlignment="1">
      <alignment horizontal="center" vertical="center"/>
    </xf>
    <xf numFmtId="176" fontId="10" fillId="3" borderId="1" xfId="20" applyNumberFormat="1" applyFont="1" applyFill="1" applyBorder="1" applyAlignment="1">
      <alignment horizontal="left" vertical="center"/>
    </xf>
    <xf numFmtId="14" fontId="10" fillId="3" borderId="1" xfId="1" applyNumberFormat="1" applyFont="1" applyFill="1" applyBorder="1" applyAlignment="1">
      <alignment horizontal="center" vertical="center"/>
    </xf>
    <xf numFmtId="0" fontId="10" fillId="3" borderId="1" xfId="3" applyFont="1" applyFill="1" applyBorder="1">
      <alignment vertical="center"/>
    </xf>
    <xf numFmtId="176" fontId="15" fillId="0" borderId="0" xfId="0" applyNumberFormat="1" applyFont="1" applyAlignment="1">
      <alignment horizontal="center" vertical="center"/>
    </xf>
    <xf numFmtId="41" fontId="15" fillId="0" borderId="0" xfId="1" applyFont="1">
      <alignment vertical="center"/>
    </xf>
    <xf numFmtId="0" fontId="15" fillId="0" borderId="0" xfId="0" applyFont="1" applyAlignment="1">
      <alignment horizontal="center" vertical="center"/>
    </xf>
    <xf numFmtId="41" fontId="15" fillId="0" borderId="0" xfId="0" applyNumberFormat="1" applyFont="1">
      <alignment vertical="center"/>
    </xf>
    <xf numFmtId="176" fontId="10" fillId="12" borderId="1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41" fontId="10" fillId="12" borderId="1" xfId="1" applyFont="1" applyFill="1" applyBorder="1" applyAlignment="1">
      <alignment horizontal="left" vertical="center"/>
    </xf>
    <xf numFmtId="41" fontId="10" fillId="12" borderId="1" xfId="1" applyFont="1" applyFill="1" applyBorder="1">
      <alignment vertical="center"/>
    </xf>
    <xf numFmtId="41" fontId="15" fillId="12" borderId="1" xfId="1" applyFont="1" applyFill="1" applyBorder="1">
      <alignment vertical="center"/>
    </xf>
    <xf numFmtId="41" fontId="10" fillId="12" borderId="1" xfId="1" applyFont="1" applyFill="1" applyBorder="1" applyAlignment="1">
      <alignment horizontal="center" vertical="center"/>
    </xf>
    <xf numFmtId="41" fontId="15" fillId="12" borderId="1" xfId="0" applyNumberFormat="1" applyFont="1" applyFill="1" applyBorder="1">
      <alignment vertical="center"/>
    </xf>
    <xf numFmtId="41" fontId="10" fillId="0" borderId="3" xfId="1" applyFont="1" applyFill="1" applyBorder="1">
      <alignment vertical="center"/>
    </xf>
    <xf numFmtId="176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1" fontId="18" fillId="0" borderId="1" xfId="1" applyFont="1" applyFill="1" applyBorder="1" applyAlignment="1">
      <alignment horizontal="left" vertical="center"/>
    </xf>
    <xf numFmtId="41" fontId="18" fillId="0" borderId="1" xfId="1" applyFont="1" applyFill="1" applyBorder="1">
      <alignment vertical="center"/>
    </xf>
    <xf numFmtId="41" fontId="18" fillId="0" borderId="1" xfId="0" applyNumberFormat="1" applyFont="1" applyBorder="1">
      <alignment vertical="center"/>
    </xf>
    <xf numFmtId="41" fontId="18" fillId="0" borderId="0" xfId="1" applyFont="1" applyFill="1" applyAlignment="1">
      <alignment horizontal="center" vertical="center"/>
    </xf>
    <xf numFmtId="0" fontId="18" fillId="0" borderId="0" xfId="3" applyFont="1" applyAlignment="1">
      <alignment horizontal="center" vertical="center"/>
    </xf>
    <xf numFmtId="12" fontId="15" fillId="0" borderId="1" xfId="1" applyNumberFormat="1" applyFont="1" applyFill="1" applyBorder="1" applyAlignment="1">
      <alignment horizontal="left" vertical="center"/>
    </xf>
    <xf numFmtId="41" fontId="10" fillId="13" borderId="1" xfId="1" applyFont="1" applyFill="1" applyBorder="1" applyAlignment="1">
      <alignment horizontal="center" vertical="center"/>
    </xf>
    <xf numFmtId="0" fontId="10" fillId="0" borderId="1" xfId="3" quotePrefix="1" applyFont="1" applyBorder="1" applyAlignment="1">
      <alignment horizontal="center" vertical="center" wrapText="1"/>
    </xf>
    <xf numFmtId="41" fontId="10" fillId="8" borderId="1" xfId="1" applyFont="1" applyFill="1" applyBorder="1" applyAlignment="1">
      <alignment horizontal="left" vertical="center" wrapText="1" shrinkToFit="1"/>
    </xf>
    <xf numFmtId="0" fontId="10" fillId="8" borderId="1" xfId="3" applyFont="1" applyFill="1" applyBorder="1" applyAlignment="1">
      <alignment horizontal="center" vertical="center" wrapText="1"/>
    </xf>
    <xf numFmtId="41" fontId="10" fillId="8" borderId="1" xfId="1" applyFont="1" applyFill="1" applyBorder="1" applyAlignment="1">
      <alignment horizontal="center" vertical="center" wrapText="1"/>
    </xf>
    <xf numFmtId="41" fontId="10" fillId="8" borderId="1" xfId="1" applyFont="1" applyFill="1" applyBorder="1" applyAlignment="1">
      <alignment horizontal="center" vertical="center"/>
    </xf>
    <xf numFmtId="41" fontId="15" fillId="8" borderId="1" xfId="1" applyFont="1" applyFill="1" applyBorder="1" applyAlignment="1">
      <alignment horizontal="left" vertical="center"/>
    </xf>
    <xf numFmtId="41" fontId="19" fillId="0" borderId="1" xfId="1" applyFont="1" applyFill="1" applyBorder="1" applyAlignment="1">
      <alignment horizontal="right" vertical="center"/>
    </xf>
    <xf numFmtId="41" fontId="15" fillId="13" borderId="1" xfId="1" applyFont="1" applyFill="1" applyBorder="1" applyAlignment="1">
      <alignment horizontal="center" vertical="center"/>
    </xf>
    <xf numFmtId="0" fontId="15" fillId="13" borderId="1" xfId="0" applyFont="1" applyFill="1" applyBorder="1">
      <alignment vertical="center"/>
    </xf>
    <xf numFmtId="0" fontId="15" fillId="0" borderId="1" xfId="0" applyFont="1" applyBorder="1" applyAlignment="1">
      <alignment horizontal="center" vertical="center" wrapText="1"/>
    </xf>
    <xf numFmtId="176" fontId="15" fillId="13" borderId="1" xfId="3" applyNumberFormat="1" applyFont="1" applyFill="1" applyBorder="1" applyAlignment="1">
      <alignment horizontal="center" vertical="center"/>
    </xf>
    <xf numFmtId="41" fontId="10" fillId="13" borderId="1" xfId="1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 vertical="center"/>
    </xf>
    <xf numFmtId="41" fontId="10" fillId="13" borderId="1" xfId="1" applyFont="1" applyFill="1" applyBorder="1">
      <alignment vertical="center"/>
    </xf>
    <xf numFmtId="41" fontId="15" fillId="13" borderId="1" xfId="1" applyFont="1" applyFill="1" applyBorder="1">
      <alignment vertical="center"/>
    </xf>
    <xf numFmtId="0" fontId="10" fillId="13" borderId="1" xfId="0" applyFont="1" applyFill="1" applyBorder="1">
      <alignment vertical="center"/>
    </xf>
    <xf numFmtId="41" fontId="15" fillId="13" borderId="1" xfId="27" applyFont="1" applyFill="1" applyBorder="1" applyAlignment="1">
      <alignment horizontal="center" vertical="center"/>
    </xf>
    <xf numFmtId="41" fontId="15" fillId="13" borderId="1" xfId="27" applyFont="1" applyFill="1" applyBorder="1">
      <alignment vertical="center"/>
    </xf>
    <xf numFmtId="0" fontId="15" fillId="13" borderId="1" xfId="28" applyFont="1" applyFill="1" applyBorder="1" applyAlignment="1">
      <alignment horizontal="center" vertical="center"/>
    </xf>
    <xf numFmtId="176" fontId="10" fillId="13" borderId="1" xfId="0" applyNumberFormat="1" applyFont="1" applyFill="1" applyBorder="1" applyAlignment="1">
      <alignment horizontal="center" vertical="center"/>
    </xf>
    <xf numFmtId="176" fontId="10" fillId="13" borderId="1" xfId="3" applyNumberFormat="1" applyFont="1" applyFill="1" applyBorder="1" applyAlignment="1">
      <alignment horizontal="center" vertical="center"/>
    </xf>
    <xf numFmtId="41" fontId="15" fillId="14" borderId="1" xfId="1" applyFont="1" applyFill="1" applyBorder="1" applyAlignment="1">
      <alignment horizontal="center" vertical="center"/>
    </xf>
    <xf numFmtId="14" fontId="10" fillId="2" borderId="1" xfId="3" applyNumberFormat="1" applyFont="1" applyFill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14" fontId="10" fillId="3" borderId="1" xfId="0" applyNumberFormat="1" applyFont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14" fontId="10" fillId="0" borderId="1" xfId="3" applyNumberFormat="1" applyFont="1" applyBorder="1" applyAlignment="1">
      <alignment horizontal="center" vertical="center"/>
    </xf>
    <xf numFmtId="189" fontId="15" fillId="0" borderId="1" xfId="0" applyNumberFormat="1" applyFont="1" applyBorder="1">
      <alignment vertical="center"/>
    </xf>
    <xf numFmtId="189" fontId="10" fillId="0" borderId="1" xfId="0" applyNumberFormat="1" applyFont="1" applyBorder="1">
      <alignment vertical="center"/>
    </xf>
    <xf numFmtId="14" fontId="10" fillId="0" borderId="1" xfId="3" applyNumberFormat="1" applyFont="1" applyBorder="1" applyAlignment="1">
      <alignment horizontal="center" vertical="center" wrapText="1"/>
    </xf>
    <xf numFmtId="189" fontId="10" fillId="0" borderId="1" xfId="0" applyNumberFormat="1" applyFont="1" applyBorder="1" applyAlignment="1">
      <alignment horizontal="center" vertical="center"/>
    </xf>
    <xf numFmtId="186" fontId="10" fillId="0" borderId="1" xfId="1" applyNumberFormat="1" applyFont="1" applyFill="1" applyBorder="1" applyAlignment="1">
      <alignment horizontal="left" vertical="center" wrapText="1"/>
    </xf>
    <xf numFmtId="0" fontId="15" fillId="0" borderId="1" xfId="5" applyNumberFormat="1" applyFont="1" applyFill="1" applyBorder="1" applyAlignment="1">
      <alignment horizontal="left" vertical="center" shrinkToFit="1"/>
    </xf>
    <xf numFmtId="14" fontId="15" fillId="3" borderId="1" xfId="0" applyNumberFormat="1" applyFont="1" applyFill="1" applyBorder="1" applyAlignment="1">
      <alignment horizontal="center" vertical="center"/>
    </xf>
    <xf numFmtId="0" fontId="15" fillId="8" borderId="1" xfId="0" applyFont="1" applyFill="1" applyBorder="1">
      <alignment vertical="center"/>
    </xf>
    <xf numFmtId="0" fontId="15" fillId="15" borderId="1" xfId="0" applyFont="1" applyFill="1" applyBorder="1">
      <alignment vertical="center"/>
    </xf>
    <xf numFmtId="14" fontId="15" fillId="3" borderId="1" xfId="1" applyNumberFormat="1" applyFont="1" applyFill="1" applyBorder="1">
      <alignment vertical="center"/>
    </xf>
    <xf numFmtId="41" fontId="15" fillId="3" borderId="1" xfId="1" applyFont="1" applyFill="1" applyBorder="1" applyAlignment="1">
      <alignment horizontal="center" vertical="center"/>
    </xf>
    <xf numFmtId="41" fontId="15" fillId="3" borderId="0" xfId="0" applyNumberFormat="1" applyFont="1" applyFill="1">
      <alignment vertical="center"/>
    </xf>
    <xf numFmtId="43" fontId="15" fillId="0" borderId="0" xfId="0" applyNumberFormat="1" applyFont="1">
      <alignment vertical="center"/>
    </xf>
    <xf numFmtId="14" fontId="10" fillId="4" borderId="1" xfId="3" applyNumberFormat="1" applyFont="1" applyFill="1" applyBorder="1" applyAlignment="1">
      <alignment horizontal="center" vertical="center"/>
    </xf>
    <xf numFmtId="184" fontId="15" fillId="3" borderId="1" xfId="2" applyNumberFormat="1" applyFont="1" applyFill="1" applyBorder="1">
      <alignment vertical="center"/>
    </xf>
    <xf numFmtId="14" fontId="15" fillId="0" borderId="1" xfId="3" applyNumberFormat="1" applyFont="1" applyBorder="1" applyAlignment="1">
      <alignment horizontal="center" vertical="center"/>
    </xf>
    <xf numFmtId="184" fontId="10" fillId="3" borderId="1" xfId="2" applyNumberFormat="1" applyFont="1" applyFill="1" applyBorder="1" applyAlignment="1">
      <alignment horizontal="right" vertical="center"/>
    </xf>
    <xf numFmtId="176" fontId="15" fillId="0" borderId="1" xfId="20" applyNumberFormat="1" applyFont="1" applyFill="1" applyBorder="1" applyAlignment="1">
      <alignment horizontal="left" vertical="center"/>
    </xf>
    <xf numFmtId="14" fontId="19" fillId="5" borderId="1" xfId="0" applyNumberFormat="1" applyFont="1" applyFill="1" applyBorder="1" applyAlignment="1">
      <alignment horizontal="center" vertical="center"/>
    </xf>
    <xf numFmtId="14" fontId="15" fillId="0" borderId="0" xfId="0" applyNumberFormat="1" applyFont="1">
      <alignment vertical="center"/>
    </xf>
    <xf numFmtId="41" fontId="10" fillId="7" borderId="1" xfId="1" applyFont="1" applyFill="1" applyBorder="1" applyAlignment="1">
      <alignment horizontal="center" vertical="center" wrapText="1"/>
    </xf>
    <xf numFmtId="41" fontId="15" fillId="0" borderId="1" xfId="1" quotePrefix="1" applyFont="1" applyFill="1" applyBorder="1">
      <alignment vertical="center"/>
    </xf>
    <xf numFmtId="184" fontId="15" fillId="0" borderId="1" xfId="2" applyNumberFormat="1" applyFont="1" applyFill="1" applyBorder="1" applyAlignment="1">
      <alignment horizontal="left" vertical="center"/>
    </xf>
    <xf numFmtId="41" fontId="10" fillId="16" borderId="1" xfId="1" applyFont="1" applyFill="1" applyBorder="1" applyAlignment="1">
      <alignment horizontal="right" vertical="center"/>
    </xf>
    <xf numFmtId="41" fontId="10" fillId="16" borderId="1" xfId="1" applyFont="1" applyFill="1" applyBorder="1" applyAlignment="1">
      <alignment horizontal="center" vertical="center"/>
    </xf>
    <xf numFmtId="41" fontId="15" fillId="16" borderId="1" xfId="27" applyFont="1" applyFill="1" applyBorder="1">
      <alignment vertical="center"/>
    </xf>
    <xf numFmtId="9" fontId="15" fillId="4" borderId="1" xfId="2" applyFont="1" applyFill="1" applyBorder="1" applyAlignment="1">
      <alignment horizontal="left" vertical="center"/>
    </xf>
    <xf numFmtId="14" fontId="15" fillId="0" borderId="1" xfId="1" applyNumberFormat="1" applyFont="1" applyFill="1" applyBorder="1">
      <alignment vertical="center"/>
    </xf>
    <xf numFmtId="41" fontId="22" fillId="3" borderId="1" xfId="1" applyFont="1" applyFill="1" applyBorder="1">
      <alignment vertical="center"/>
    </xf>
    <xf numFmtId="14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41" fontId="22" fillId="0" borderId="1" xfId="1" applyFont="1" applyFill="1" applyBorder="1" applyAlignment="1">
      <alignment horizontal="left" vertical="center"/>
    </xf>
    <xf numFmtId="41" fontId="22" fillId="0" borderId="1" xfId="1" applyFont="1" applyFill="1" applyBorder="1" applyAlignment="1">
      <alignment horizontal="center" vertical="center"/>
    </xf>
    <xf numFmtId="0" fontId="22" fillId="0" borderId="1" xfId="3" applyFont="1" applyBorder="1" applyAlignment="1">
      <alignment horizontal="left" vertical="center" wrapText="1"/>
    </xf>
    <xf numFmtId="41" fontId="22" fillId="0" borderId="0" xfId="1" applyFont="1" applyFill="1" applyAlignment="1">
      <alignment horizontal="center" vertical="center"/>
    </xf>
    <xf numFmtId="0" fontId="22" fillId="0" borderId="0" xfId="3" applyFont="1" applyAlignment="1">
      <alignment horizontal="center" vertical="center"/>
    </xf>
    <xf numFmtId="180" fontId="15" fillId="0" borderId="1" xfId="1" applyNumberFormat="1" applyFont="1" applyFill="1" applyBorder="1">
      <alignment vertical="center"/>
    </xf>
    <xf numFmtId="180" fontId="23" fillId="0" borderId="1" xfId="5" applyNumberFormat="1" applyFont="1" applyFill="1" applyBorder="1" applyAlignment="1" applyProtection="1">
      <alignment horizontal="center" vertical="center" shrinkToFit="1"/>
      <protection locked="0"/>
    </xf>
    <xf numFmtId="41" fontId="10" fillId="0" borderId="0" xfId="1" applyFont="1" applyFill="1">
      <alignment vertical="center"/>
    </xf>
    <xf numFmtId="41" fontId="15" fillId="0" borderId="1" xfId="1" applyFont="1" applyFill="1" applyBorder="1" applyAlignment="1">
      <alignment vertical="center"/>
    </xf>
    <xf numFmtId="41" fontId="15" fillId="7" borderId="1" xfId="1" applyFont="1" applyFill="1" applyBorder="1" applyAlignment="1">
      <alignment vertical="center"/>
    </xf>
    <xf numFmtId="41" fontId="15" fillId="0" borderId="1" xfId="1" applyFont="1" applyBorder="1" applyAlignment="1">
      <alignment vertical="center"/>
    </xf>
    <xf numFmtId="41" fontId="10" fillId="3" borderId="1" xfId="1" applyFont="1" applyFill="1" applyBorder="1" applyAlignment="1">
      <alignment vertical="center"/>
    </xf>
    <xf numFmtId="41" fontId="15" fillId="3" borderId="1" xfId="1" applyFont="1" applyFill="1" applyBorder="1" applyAlignment="1">
      <alignment vertical="center"/>
    </xf>
    <xf numFmtId="41" fontId="15" fillId="3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41" fontId="15" fillId="0" borderId="1" xfId="1" applyFont="1" applyFill="1" applyBorder="1" applyAlignment="1">
      <alignment horizontal="right" vertical="center" wrapText="1"/>
    </xf>
    <xf numFmtId="41" fontId="10" fillId="0" borderId="1" xfId="1" applyFont="1" applyFill="1" applyBorder="1" applyAlignment="1">
      <alignment vertical="center"/>
    </xf>
    <xf numFmtId="41" fontId="15" fillId="0" borderId="1" xfId="0" applyNumberFormat="1" applyFont="1" applyBorder="1" applyAlignment="1">
      <alignment horizontal="center" vertical="center"/>
    </xf>
    <xf numFmtId="186" fontId="15" fillId="3" borderId="1" xfId="1" applyNumberFormat="1" applyFont="1" applyFill="1" applyBorder="1" applyAlignment="1">
      <alignment vertical="center"/>
    </xf>
    <xf numFmtId="41" fontId="15" fillId="3" borderId="1" xfId="2" applyNumberFormat="1" applyFont="1" applyFill="1" applyBorder="1">
      <alignment vertical="center"/>
    </xf>
    <xf numFmtId="14" fontId="0" fillId="0" borderId="0" xfId="0" applyNumberFormat="1">
      <alignment vertical="center"/>
    </xf>
    <xf numFmtId="186" fontId="15" fillId="0" borderId="1" xfId="1" applyNumberFormat="1" applyFont="1" applyFill="1" applyBorder="1" applyAlignment="1">
      <alignment vertical="center"/>
    </xf>
    <xf numFmtId="41" fontId="0" fillId="0" borderId="0" xfId="0" applyNumberFormat="1">
      <alignment vertical="center"/>
    </xf>
    <xf numFmtId="14" fontId="10" fillId="17" borderId="1" xfId="3" applyNumberFormat="1" applyFont="1" applyFill="1" applyBorder="1" applyAlignment="1">
      <alignment horizontal="center" vertical="center"/>
    </xf>
    <xf numFmtId="0" fontId="15" fillId="17" borderId="1" xfId="0" applyFont="1" applyFill="1" applyBorder="1" applyAlignment="1" applyProtection="1">
      <alignment horizontal="center" vertical="center" shrinkToFit="1"/>
      <protection locked="0"/>
    </xf>
    <xf numFmtId="41" fontId="10" fillId="17" borderId="1" xfId="1" applyFont="1" applyFill="1" applyBorder="1" applyAlignment="1">
      <alignment horizontal="left" vertical="center" shrinkToFit="1"/>
    </xf>
    <xf numFmtId="0" fontId="10" fillId="17" borderId="1" xfId="3" applyFont="1" applyFill="1" applyBorder="1" applyAlignment="1">
      <alignment horizontal="center" vertical="center" wrapText="1"/>
    </xf>
    <xf numFmtId="0" fontId="10" fillId="17" borderId="1" xfId="3" applyFont="1" applyFill="1" applyBorder="1" applyAlignment="1">
      <alignment horizontal="center" vertical="center"/>
    </xf>
    <xf numFmtId="41" fontId="10" fillId="17" borderId="1" xfId="1" applyFont="1" applyFill="1" applyBorder="1" applyAlignment="1">
      <alignment horizontal="right" vertical="center"/>
    </xf>
    <xf numFmtId="41" fontId="15" fillId="17" borderId="1" xfId="1" applyFont="1" applyFill="1" applyBorder="1" applyAlignment="1">
      <alignment horizontal="center" vertical="center"/>
    </xf>
    <xf numFmtId="0" fontId="15" fillId="17" borderId="1" xfId="0" applyFont="1" applyFill="1" applyBorder="1">
      <alignment vertical="center"/>
    </xf>
    <xf numFmtId="177" fontId="10" fillId="17" borderId="1" xfId="3" applyNumberFormat="1" applyFont="1" applyFill="1" applyBorder="1" applyAlignment="1">
      <alignment horizontal="center" vertical="center"/>
    </xf>
    <xf numFmtId="0" fontId="15" fillId="17" borderId="1" xfId="3" applyFont="1" applyFill="1" applyBorder="1" applyAlignment="1">
      <alignment horizontal="center" vertical="center" wrapText="1"/>
    </xf>
    <xf numFmtId="0" fontId="15" fillId="17" borderId="1" xfId="3" applyFont="1" applyFill="1" applyBorder="1" applyAlignment="1">
      <alignment horizontal="center" vertical="center"/>
    </xf>
    <xf numFmtId="41" fontId="15" fillId="17" borderId="1" xfId="1" applyFont="1" applyFill="1" applyBorder="1" applyAlignment="1">
      <alignment horizontal="right" vertical="center"/>
    </xf>
    <xf numFmtId="14" fontId="15" fillId="17" borderId="1" xfId="0" applyNumberFormat="1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 wrapText="1"/>
    </xf>
    <xf numFmtId="41" fontId="10" fillId="17" borderId="1" xfId="1" applyFont="1" applyFill="1" applyBorder="1" applyAlignment="1">
      <alignment horizontal="center" vertical="center"/>
    </xf>
    <xf numFmtId="14" fontId="15" fillId="13" borderId="1" xfId="3" applyNumberFormat="1" applyFont="1" applyFill="1" applyBorder="1" applyAlignment="1">
      <alignment horizontal="center" vertical="center"/>
    </xf>
    <xf numFmtId="14" fontId="10" fillId="13" borderId="1" xfId="0" applyNumberFormat="1" applyFont="1" applyFill="1" applyBorder="1" applyAlignment="1">
      <alignment horizontal="center" vertical="center"/>
    </xf>
    <xf numFmtId="0" fontId="15" fillId="13" borderId="1" xfId="5" applyNumberFormat="1" applyFont="1" applyFill="1" applyBorder="1" applyAlignment="1" applyProtection="1">
      <alignment horizontal="left" vertical="center" shrinkToFit="1"/>
      <protection locked="0"/>
    </xf>
    <xf numFmtId="0" fontId="15" fillId="13" borderId="1" xfId="0" applyFont="1" applyFill="1" applyBorder="1" applyAlignment="1" applyProtection="1">
      <alignment horizontal="center" vertical="center" shrinkToFit="1"/>
      <protection locked="0"/>
    </xf>
    <xf numFmtId="14" fontId="10" fillId="13" borderId="1" xfId="3" applyNumberFormat="1" applyFont="1" applyFill="1" applyBorder="1" applyAlignment="1">
      <alignment horizontal="center" vertical="center"/>
    </xf>
    <xf numFmtId="177" fontId="10" fillId="13" borderId="1" xfId="3" applyNumberFormat="1" applyFont="1" applyFill="1" applyBorder="1" applyAlignment="1">
      <alignment horizontal="center" vertical="center"/>
    </xf>
    <xf numFmtId="41" fontId="10" fillId="13" borderId="1" xfId="1" applyFont="1" applyFill="1" applyBorder="1" applyAlignment="1">
      <alignment horizontal="left" vertical="center" shrinkToFit="1"/>
    </xf>
    <xf numFmtId="0" fontId="10" fillId="13" borderId="1" xfId="3" applyFont="1" applyFill="1" applyBorder="1" applyAlignment="1">
      <alignment horizontal="center" vertical="center"/>
    </xf>
    <xf numFmtId="41" fontId="10" fillId="13" borderId="1" xfId="1" applyFont="1" applyFill="1" applyBorder="1" applyAlignment="1">
      <alignment horizontal="right" vertical="center"/>
    </xf>
    <xf numFmtId="41" fontId="10" fillId="13" borderId="1" xfId="1" applyFont="1" applyFill="1" applyBorder="1" applyAlignment="1">
      <alignment vertical="center"/>
    </xf>
    <xf numFmtId="41" fontId="15" fillId="13" borderId="1" xfId="1" applyFont="1" applyFill="1" applyBorder="1" applyAlignment="1">
      <alignment vertical="center"/>
    </xf>
    <xf numFmtId="14" fontId="10" fillId="17" borderId="1" xfId="0" applyNumberFormat="1" applyFont="1" applyFill="1" applyBorder="1" applyAlignment="1">
      <alignment horizontal="center" vertical="center"/>
    </xf>
    <xf numFmtId="0" fontId="10" fillId="17" borderId="1" xfId="1" applyNumberFormat="1" applyFont="1" applyFill="1" applyBorder="1" applyAlignment="1">
      <alignment horizontal="center" vertical="center"/>
    </xf>
    <xf numFmtId="0" fontId="26" fillId="17" borderId="0" xfId="0" applyFont="1" applyFill="1">
      <alignment vertical="center"/>
    </xf>
    <xf numFmtId="0" fontId="10" fillId="17" borderId="1" xfId="0" applyFont="1" applyFill="1" applyBorder="1" applyAlignment="1">
      <alignment horizontal="center" vertical="center"/>
    </xf>
    <xf numFmtId="41" fontId="10" fillId="17" borderId="1" xfId="1" applyFont="1" applyFill="1" applyBorder="1">
      <alignment vertical="center"/>
    </xf>
    <xf numFmtId="14" fontId="15" fillId="8" borderId="1" xfId="3" applyNumberFormat="1" applyFont="1" applyFill="1" applyBorder="1" applyAlignment="1">
      <alignment horizontal="center" vertical="center"/>
    </xf>
    <xf numFmtId="41" fontId="15" fillId="8" borderId="1" xfId="1" applyFont="1" applyFill="1" applyBorder="1" applyAlignment="1">
      <alignment horizontal="center" vertical="center"/>
    </xf>
    <xf numFmtId="41" fontId="10" fillId="8" borderId="1" xfId="1" applyFont="1" applyFill="1" applyBorder="1" applyAlignment="1">
      <alignment horizontal="left" vertical="center" shrinkToFit="1"/>
    </xf>
    <xf numFmtId="0" fontId="10" fillId="8" borderId="1" xfId="3" applyFont="1" applyFill="1" applyBorder="1" applyAlignment="1">
      <alignment horizontal="center" vertical="center"/>
    </xf>
    <xf numFmtId="41" fontId="10" fillId="8" borderId="1" xfId="1" applyFont="1" applyFill="1" applyBorder="1" applyAlignment="1">
      <alignment horizontal="right" vertical="center"/>
    </xf>
    <xf numFmtId="176" fontId="15" fillId="8" borderId="1" xfId="1" applyNumberFormat="1" applyFont="1" applyFill="1" applyBorder="1" applyAlignment="1">
      <alignment horizontal="left" vertical="center"/>
    </xf>
    <xf numFmtId="41" fontId="10" fillId="8" borderId="1" xfId="4" applyNumberFormat="1" applyFont="1" applyFill="1" applyBorder="1" applyAlignment="1">
      <alignment horizontal="center" vertical="center"/>
    </xf>
    <xf numFmtId="41" fontId="10" fillId="8" borderId="1" xfId="1" applyFont="1" applyFill="1" applyBorder="1">
      <alignment vertical="center"/>
    </xf>
    <xf numFmtId="41" fontId="15" fillId="8" borderId="1" xfId="1" applyFont="1" applyFill="1" applyBorder="1" applyAlignment="1">
      <alignment horizontal="left" vertical="center" shrinkToFit="1"/>
    </xf>
    <xf numFmtId="0" fontId="15" fillId="8" borderId="1" xfId="1" applyNumberFormat="1" applyFont="1" applyFill="1" applyBorder="1" applyAlignment="1">
      <alignment horizontal="center" vertical="center"/>
    </xf>
    <xf numFmtId="41" fontId="15" fillId="8" borderId="1" xfId="1" applyFont="1" applyFill="1" applyBorder="1" applyAlignment="1">
      <alignment horizontal="right" vertical="center"/>
    </xf>
    <xf numFmtId="14" fontId="10" fillId="8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41" fontId="10" fillId="8" borderId="1" xfId="1" applyFont="1" applyFill="1" applyBorder="1" applyAlignment="1">
      <alignment horizontal="left" vertical="center"/>
    </xf>
    <xf numFmtId="14" fontId="10" fillId="8" borderId="1" xfId="1" applyNumberFormat="1" applyFont="1" applyFill="1" applyBorder="1" applyAlignment="1">
      <alignment horizontal="center" vertical="center"/>
    </xf>
    <xf numFmtId="41" fontId="10" fillId="8" borderId="1" xfId="1" applyFont="1" applyFill="1" applyBorder="1" applyAlignment="1">
      <alignment horizontal="left" vertical="center" wrapText="1"/>
    </xf>
    <xf numFmtId="14" fontId="10" fillId="8" borderId="1" xfId="3" applyNumberFormat="1" applyFont="1" applyFill="1" applyBorder="1" applyAlignment="1">
      <alignment horizontal="center" vertical="center"/>
    </xf>
    <xf numFmtId="177" fontId="10" fillId="8" borderId="1" xfId="3" applyNumberFormat="1" applyFont="1" applyFill="1" applyBorder="1" applyAlignment="1">
      <alignment horizontal="center" vertical="center"/>
    </xf>
    <xf numFmtId="41" fontId="16" fillId="8" borderId="1" xfId="1" applyFont="1" applyFill="1" applyBorder="1" applyAlignment="1">
      <alignment vertical="center" shrinkToFit="1"/>
    </xf>
    <xf numFmtId="0" fontId="16" fillId="8" borderId="1" xfId="3" applyFont="1" applyFill="1" applyBorder="1" applyAlignment="1">
      <alignment horizontal="center" vertical="center"/>
    </xf>
    <xf numFmtId="41" fontId="16" fillId="8" borderId="1" xfId="1" applyFont="1" applyFill="1" applyBorder="1" applyAlignment="1">
      <alignment horizontal="center" vertical="center"/>
    </xf>
    <xf numFmtId="178" fontId="16" fillId="8" borderId="1" xfId="4" applyFont="1" applyFill="1" applyBorder="1" applyAlignment="1">
      <alignment horizontal="left" vertical="center"/>
    </xf>
    <xf numFmtId="43" fontId="10" fillId="8" borderId="1" xfId="3" applyNumberFormat="1" applyFont="1" applyFill="1" applyBorder="1" applyAlignment="1">
      <alignment horizontal="left" vertical="center"/>
    </xf>
    <xf numFmtId="0" fontId="10" fillId="8" borderId="1" xfId="0" applyFont="1" applyFill="1" applyBorder="1">
      <alignment vertical="center"/>
    </xf>
    <xf numFmtId="41" fontId="22" fillId="8" borderId="1" xfId="1" applyFont="1" applyFill="1" applyBorder="1">
      <alignment vertical="center"/>
    </xf>
    <xf numFmtId="41" fontId="10" fillId="8" borderId="1" xfId="1" applyFont="1" applyFill="1" applyBorder="1" applyAlignment="1">
      <alignment vertical="center" shrinkToFit="1"/>
    </xf>
    <xf numFmtId="178" fontId="10" fillId="8" borderId="1" xfId="4" applyFont="1" applyFill="1" applyBorder="1" applyAlignment="1">
      <alignment horizontal="left" vertical="center"/>
    </xf>
    <xf numFmtId="14" fontId="10" fillId="8" borderId="1" xfId="3" applyNumberFormat="1" applyFont="1" applyFill="1" applyBorder="1" applyAlignment="1">
      <alignment horizontal="center" vertical="center" wrapText="1"/>
    </xf>
    <xf numFmtId="177" fontId="15" fillId="8" borderId="1" xfId="3" applyNumberFormat="1" applyFont="1" applyFill="1" applyBorder="1" applyAlignment="1">
      <alignment horizontal="center" vertical="center"/>
    </xf>
    <xf numFmtId="41" fontId="15" fillId="8" borderId="1" xfId="1" applyFont="1" applyFill="1" applyBorder="1" applyAlignment="1">
      <alignment horizontal="left" vertical="center" wrapText="1" shrinkToFit="1"/>
    </xf>
    <xf numFmtId="178" fontId="10" fillId="8" borderId="1" xfId="0" applyNumberFormat="1" applyFont="1" applyFill="1" applyBorder="1">
      <alignment vertical="center"/>
    </xf>
    <xf numFmtId="0" fontId="24" fillId="8" borderId="1" xfId="0" applyFont="1" applyFill="1" applyBorder="1" applyAlignment="1" applyProtection="1">
      <alignment horizontal="center" vertical="center"/>
      <protection locked="0"/>
    </xf>
    <xf numFmtId="41" fontId="25" fillId="8" borderId="1" xfId="1" applyFont="1" applyFill="1" applyBorder="1" applyAlignment="1">
      <alignment horizontal="center" vertical="center"/>
    </xf>
    <xf numFmtId="41" fontId="24" fillId="8" borderId="4" xfId="1" applyFont="1" applyFill="1" applyBorder="1" applyAlignment="1">
      <alignment vertical="center"/>
    </xf>
    <xf numFmtId="176" fontId="27" fillId="4" borderId="1" xfId="3" applyNumberFormat="1" applyFont="1" applyFill="1" applyBorder="1" applyAlignment="1">
      <alignment horizontal="center" vertical="center"/>
    </xf>
    <xf numFmtId="176" fontId="27" fillId="4" borderId="1" xfId="3" applyNumberFormat="1" applyFont="1" applyFill="1" applyBorder="1">
      <alignment vertical="center"/>
    </xf>
    <xf numFmtId="0" fontId="0" fillId="0" borderId="1" xfId="0" applyBorder="1">
      <alignment vertical="center"/>
    </xf>
    <xf numFmtId="41" fontId="15" fillId="0" borderId="1" xfId="2" applyNumberFormat="1" applyFont="1" applyFill="1" applyBorder="1">
      <alignment vertical="center"/>
    </xf>
    <xf numFmtId="0" fontId="15" fillId="3" borderId="1" xfId="0" applyFont="1" applyFill="1" applyBorder="1" applyAlignment="1">
      <alignment horizontal="right" vertical="center"/>
    </xf>
    <xf numFmtId="187" fontId="15" fillId="0" borderId="1" xfId="1" applyNumberFormat="1" applyFont="1" applyBorder="1">
      <alignment vertical="center"/>
    </xf>
    <xf numFmtId="187" fontId="15" fillId="3" borderId="1" xfId="1" applyNumberFormat="1" applyFont="1" applyFill="1" applyBorder="1">
      <alignment vertical="center"/>
    </xf>
    <xf numFmtId="14" fontId="18" fillId="17" borderId="1" xfId="3" applyNumberFormat="1" applyFont="1" applyFill="1" applyBorder="1" applyAlignment="1">
      <alignment horizontal="center" vertical="center"/>
    </xf>
    <xf numFmtId="177" fontId="18" fillId="17" borderId="1" xfId="3" applyNumberFormat="1" applyFont="1" applyFill="1" applyBorder="1" applyAlignment="1">
      <alignment horizontal="center" vertical="center"/>
    </xf>
    <xf numFmtId="41" fontId="18" fillId="17" borderId="1" xfId="1" applyFont="1" applyFill="1" applyBorder="1" applyAlignment="1">
      <alignment horizontal="left" vertical="center" shrinkToFit="1"/>
    </xf>
    <xf numFmtId="0" fontId="18" fillId="17" borderId="1" xfId="3" applyFont="1" applyFill="1" applyBorder="1" applyAlignment="1">
      <alignment horizontal="center" vertical="center"/>
    </xf>
    <xf numFmtId="41" fontId="18" fillId="17" borderId="1" xfId="1" applyFont="1" applyFill="1" applyBorder="1" applyAlignment="1">
      <alignment horizontal="right" vertical="center"/>
    </xf>
    <xf numFmtId="41" fontId="18" fillId="17" borderId="1" xfId="1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5" fillId="2" borderId="1" xfId="1" applyNumberFormat="1" applyFont="1" applyFill="1" applyBorder="1" applyAlignment="1">
      <alignment horizontal="left" vertical="center" wrapText="1"/>
    </xf>
    <xf numFmtId="14" fontId="15" fillId="3" borderId="1" xfId="0" applyNumberFormat="1" applyFont="1" applyFill="1" applyBorder="1">
      <alignment vertical="center"/>
    </xf>
    <xf numFmtId="0" fontId="15" fillId="3" borderId="1" xfId="0" applyFont="1" applyFill="1" applyBorder="1" applyAlignment="1">
      <alignment horizontal="left" vertical="center"/>
    </xf>
    <xf numFmtId="14" fontId="10" fillId="3" borderId="1" xfId="3" applyNumberFormat="1" applyFont="1" applyFill="1" applyBorder="1" applyAlignment="1">
      <alignment horizontal="center" vertical="center"/>
    </xf>
    <xf numFmtId="178" fontId="10" fillId="0" borderId="1" xfId="0" applyNumberFormat="1" applyFont="1" applyBorder="1">
      <alignment vertical="center"/>
    </xf>
    <xf numFmtId="183" fontId="15" fillId="0" borderId="1" xfId="1" quotePrefix="1" applyNumberFormat="1" applyFont="1" applyFill="1" applyBorder="1">
      <alignment vertical="center"/>
    </xf>
    <xf numFmtId="0" fontId="15" fillId="0" borderId="1" xfId="0" applyFont="1" applyBorder="1" applyAlignment="1">
      <alignment horizontal="left" vertical="center" wrapText="1"/>
    </xf>
    <xf numFmtId="0" fontId="28" fillId="0" borderId="1" xfId="0" applyFont="1" applyBorder="1">
      <alignment vertical="center"/>
    </xf>
    <xf numFmtId="0" fontId="10" fillId="0" borderId="1" xfId="0" applyFont="1" applyBorder="1" applyAlignment="1">
      <alignment horizontal="left" vertical="center"/>
    </xf>
    <xf numFmtId="0" fontId="15" fillId="1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top"/>
    </xf>
    <xf numFmtId="41" fontId="10" fillId="0" borderId="1" xfId="1" applyFont="1" applyFill="1" applyBorder="1" applyAlignment="1">
      <alignment horizontal="left" vertical="top" shrinkToFi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180" fontId="15" fillId="3" borderId="1" xfId="1" applyNumberFormat="1" applyFont="1" applyFill="1" applyBorder="1" applyAlignment="1">
      <alignment vertical="center"/>
    </xf>
    <xf numFmtId="10" fontId="15" fillId="3" borderId="1" xfId="2" applyNumberFormat="1" applyFont="1" applyFill="1" applyBorder="1">
      <alignment vertical="center"/>
    </xf>
    <xf numFmtId="10" fontId="15" fillId="0" borderId="1" xfId="2" applyNumberFormat="1" applyFont="1" applyFill="1" applyBorder="1" applyAlignment="1">
      <alignment horizontal="center" vertical="center"/>
    </xf>
    <xf numFmtId="14" fontId="20" fillId="5" borderId="1" xfId="0" applyNumberFormat="1" applyFont="1" applyFill="1" applyBorder="1">
      <alignment vertical="center"/>
    </xf>
    <xf numFmtId="0" fontId="15" fillId="5" borderId="1" xfId="0" applyFont="1" applyFill="1" applyBorder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41" fontId="0" fillId="0" borderId="0" xfId="1" applyFont="1">
      <alignment vertical="center"/>
    </xf>
    <xf numFmtId="0" fontId="0" fillId="0" borderId="0" xfId="0" applyAlignment="1">
      <alignment horizontal="left" vertical="center"/>
    </xf>
    <xf numFmtId="41" fontId="10" fillId="0" borderId="0" xfId="1" applyFont="1" applyFill="1" applyBorder="1" applyAlignment="1">
      <alignment horizontal="left" vertical="center" shrinkToFit="1"/>
    </xf>
    <xf numFmtId="0" fontId="10" fillId="0" borderId="0" xfId="3" applyFont="1" applyAlignment="1">
      <alignment horizontal="center" vertical="center" wrapText="1"/>
    </xf>
    <xf numFmtId="41" fontId="10" fillId="0" borderId="0" xfId="1" applyFont="1" applyFill="1" applyBorder="1" applyAlignment="1">
      <alignment horizontal="right" vertical="center"/>
    </xf>
    <xf numFmtId="41" fontId="10" fillId="0" borderId="0" xfId="1" applyFont="1" applyFill="1" applyBorder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17" fillId="0" borderId="0" xfId="0" applyFont="1">
      <alignment vertical="center"/>
    </xf>
    <xf numFmtId="41" fontId="17" fillId="0" borderId="0" xfId="1" applyFont="1">
      <alignment vertical="center"/>
    </xf>
    <xf numFmtId="14" fontId="17" fillId="0" borderId="0" xfId="0" applyNumberFormat="1" applyFont="1">
      <alignment vertical="center"/>
    </xf>
    <xf numFmtId="0" fontId="17" fillId="0" borderId="0" xfId="0" applyFont="1" applyAlignment="1">
      <alignment horizontal="left" vertical="center"/>
    </xf>
    <xf numFmtId="14" fontId="17" fillId="18" borderId="0" xfId="0" applyNumberFormat="1" applyFont="1" applyFill="1" applyAlignment="1">
      <alignment horizontal="center" vertical="center"/>
    </xf>
    <xf numFmtId="0" fontId="17" fillId="18" borderId="0" xfId="0" applyFont="1" applyFill="1">
      <alignment vertical="center"/>
    </xf>
    <xf numFmtId="41" fontId="17" fillId="18" borderId="0" xfId="1" applyFont="1" applyFill="1">
      <alignment vertical="center"/>
    </xf>
    <xf numFmtId="0" fontId="17" fillId="18" borderId="0" xfId="0" applyFont="1" applyFill="1" applyAlignment="1">
      <alignment horizontal="left" vertical="center"/>
    </xf>
    <xf numFmtId="14" fontId="17" fillId="18" borderId="0" xfId="0" applyNumberFormat="1" applyFont="1" applyFill="1">
      <alignment vertical="center"/>
    </xf>
    <xf numFmtId="183" fontId="17" fillId="18" borderId="0" xfId="0" applyNumberFormat="1" applyFont="1" applyFill="1" applyAlignment="1">
      <alignment horizontal="left" vertical="center"/>
    </xf>
    <xf numFmtId="41" fontId="10" fillId="19" borderId="1" xfId="1" applyFont="1" applyFill="1" applyBorder="1">
      <alignment vertical="center"/>
    </xf>
    <xf numFmtId="41" fontId="15" fillId="19" borderId="1" xfId="1" applyFont="1" applyFill="1" applyBorder="1">
      <alignment vertical="center"/>
    </xf>
    <xf numFmtId="41" fontId="10" fillId="19" borderId="1" xfId="1" applyFont="1" applyFill="1" applyBorder="1" applyAlignment="1">
      <alignment horizontal="center" vertical="center"/>
    </xf>
    <xf numFmtId="41" fontId="15" fillId="19" borderId="1" xfId="1" applyFont="1" applyFill="1" applyBorder="1" applyAlignment="1">
      <alignment horizontal="center" vertical="center"/>
    </xf>
    <xf numFmtId="41" fontId="10" fillId="20" borderId="1" xfId="1" applyFont="1" applyFill="1" applyBorder="1">
      <alignment vertical="center"/>
    </xf>
    <xf numFmtId="187" fontId="15" fillId="0" borderId="1" xfId="0" applyNumberFormat="1" applyFont="1" applyBorder="1">
      <alignment vertical="center"/>
    </xf>
    <xf numFmtId="41" fontId="10" fillId="6" borderId="1" xfId="1" applyFont="1" applyFill="1" applyBorder="1" applyAlignment="1">
      <alignment horizontal="right" vertical="center"/>
    </xf>
    <xf numFmtId="0" fontId="10" fillId="17" borderId="1" xfId="3" applyFont="1" applyFill="1" applyBorder="1" applyAlignment="1">
      <alignment horizontal="left" vertical="center"/>
    </xf>
    <xf numFmtId="41" fontId="10" fillId="17" borderId="1" xfId="1" applyFont="1" applyFill="1" applyBorder="1" applyAlignment="1">
      <alignment horizontal="left" vertical="center"/>
    </xf>
    <xf numFmtId="41" fontId="15" fillId="17" borderId="1" xfId="1" applyFont="1" applyFill="1" applyBorder="1" applyAlignment="1">
      <alignment horizontal="left" vertical="center"/>
    </xf>
    <xf numFmtId="41" fontId="15" fillId="17" borderId="1" xfId="1" applyFont="1" applyFill="1" applyBorder="1" applyAlignment="1" applyProtection="1">
      <alignment horizontal="left" vertical="center" shrinkToFit="1"/>
      <protection locked="0"/>
    </xf>
    <xf numFmtId="0" fontId="15" fillId="17" borderId="1" xfId="0" applyFont="1" applyFill="1" applyBorder="1" applyAlignment="1" applyProtection="1">
      <alignment horizontal="left" vertical="center" shrinkToFit="1"/>
      <protection locked="0"/>
    </xf>
    <xf numFmtId="0" fontId="10" fillId="17" borderId="1" xfId="0" applyFont="1" applyFill="1" applyBorder="1" applyAlignment="1">
      <alignment horizontal="left" vertical="center"/>
    </xf>
    <xf numFmtId="41" fontId="15" fillId="17" borderId="1" xfId="1" applyFont="1" applyFill="1" applyBorder="1">
      <alignment vertical="center"/>
    </xf>
    <xf numFmtId="14" fontId="10" fillId="17" borderId="1" xfId="3" applyNumberFormat="1" applyFont="1" applyFill="1" applyBorder="1" applyAlignment="1">
      <alignment horizontal="left" vertical="center"/>
    </xf>
    <xf numFmtId="0" fontId="10" fillId="17" borderId="1" xfId="3" applyFont="1" applyFill="1" applyBorder="1" applyAlignment="1">
      <alignment vertical="center" wrapText="1"/>
    </xf>
    <xf numFmtId="0" fontId="10" fillId="17" borderId="1" xfId="3" applyFont="1" applyFill="1" applyBorder="1">
      <alignment vertical="center"/>
    </xf>
    <xf numFmtId="41" fontId="10" fillId="17" borderId="1" xfId="1" applyFont="1" applyFill="1" applyBorder="1" applyAlignment="1">
      <alignment vertical="center"/>
    </xf>
    <xf numFmtId="41" fontId="15" fillId="17" borderId="1" xfId="1" applyFont="1" applyFill="1" applyBorder="1" applyAlignment="1">
      <alignment vertical="center"/>
    </xf>
    <xf numFmtId="0" fontId="15" fillId="17" borderId="1" xfId="0" applyFont="1" applyFill="1" applyBorder="1" applyAlignment="1">
      <alignment vertical="center" wrapText="1"/>
    </xf>
    <xf numFmtId="0" fontId="10" fillId="17" borderId="1" xfId="3" applyFont="1" applyFill="1" applyBorder="1" applyAlignment="1">
      <alignment horizontal="left" vertical="center" wrapText="1"/>
    </xf>
    <xf numFmtId="14" fontId="15" fillId="17" borderId="1" xfId="3" applyNumberFormat="1" applyFont="1" applyFill="1" applyBorder="1" applyAlignment="1">
      <alignment horizontal="center" vertical="center"/>
    </xf>
    <xf numFmtId="0" fontId="10" fillId="17" borderId="1" xfId="0" applyFont="1" applyFill="1" applyBorder="1">
      <alignment vertical="center"/>
    </xf>
    <xf numFmtId="41" fontId="15" fillId="17" borderId="1" xfId="27" applyFont="1" applyFill="1" applyBorder="1" applyAlignment="1">
      <alignment horizontal="center" vertical="center"/>
    </xf>
    <xf numFmtId="41" fontId="15" fillId="17" borderId="1" xfId="27" applyFont="1" applyFill="1" applyBorder="1">
      <alignment vertical="center"/>
    </xf>
    <xf numFmtId="0" fontId="15" fillId="17" borderId="1" xfId="28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41" fontId="15" fillId="17" borderId="1" xfId="0" applyNumberFormat="1" applyFont="1" applyFill="1" applyBorder="1" applyAlignment="1">
      <alignment horizontal="center" vertical="center"/>
    </xf>
    <xf numFmtId="41" fontId="15" fillId="17" borderId="1" xfId="0" applyNumberFormat="1" applyFont="1" applyFill="1" applyBorder="1">
      <alignment vertical="center"/>
    </xf>
    <xf numFmtId="41" fontId="15" fillId="4" borderId="1" xfId="4" applyNumberFormat="1" applyFont="1" applyFill="1" applyBorder="1" applyAlignment="1">
      <alignment horizontal="left" vertical="center"/>
    </xf>
    <xf numFmtId="0" fontId="15" fillId="3" borderId="1" xfId="2" applyNumberFormat="1" applyFont="1" applyFill="1" applyBorder="1">
      <alignment vertical="center"/>
    </xf>
    <xf numFmtId="41" fontId="10" fillId="8" borderId="2" xfId="1" applyFont="1" applyFill="1" applyBorder="1" applyAlignment="1">
      <alignment horizontal="right" vertical="center"/>
    </xf>
    <xf numFmtId="0" fontId="10" fillId="8" borderId="1" xfId="3" applyFont="1" applyFill="1" applyBorder="1" applyAlignment="1">
      <alignment horizontal="left" vertical="center"/>
    </xf>
    <xf numFmtId="176" fontId="10" fillId="8" borderId="1" xfId="1" applyNumberFormat="1" applyFont="1" applyFill="1" applyBorder="1" applyAlignment="1">
      <alignment horizontal="left" vertical="center"/>
    </xf>
    <xf numFmtId="180" fontId="15" fillId="0" borderId="1" xfId="1" applyNumberFormat="1" applyFont="1" applyFill="1" applyBorder="1" applyAlignment="1">
      <alignment vertical="center"/>
    </xf>
    <xf numFmtId="41" fontId="15" fillId="17" borderId="1" xfId="1" applyFont="1" applyFill="1" applyBorder="1" applyAlignment="1">
      <alignment horizontal="left" vertical="center" shrinkToFit="1"/>
    </xf>
    <xf numFmtId="0" fontId="15" fillId="17" borderId="1" xfId="1" applyNumberFormat="1" applyFont="1" applyFill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 wrapText="1" shrinkToFit="1"/>
    </xf>
    <xf numFmtId="41" fontId="10" fillId="4" borderId="1" xfId="1" applyFont="1" applyFill="1" applyBorder="1" applyAlignment="1">
      <alignment horizontal="center" vertical="center" wrapText="1"/>
    </xf>
    <xf numFmtId="0" fontId="15" fillId="0" borderId="1" xfId="1" applyNumberFormat="1" applyFont="1" applyFill="1" applyBorder="1" applyAlignment="1">
      <alignment horizontal="left" vertical="center" wrapText="1"/>
    </xf>
    <xf numFmtId="0" fontId="10" fillId="3" borderId="1" xfId="3" applyFont="1" applyFill="1" applyBorder="1" applyAlignment="1">
      <alignment horizontal="left" vertical="center"/>
    </xf>
    <xf numFmtId="41" fontId="10" fillId="4" borderId="1" xfId="1" applyFont="1" applyFill="1" applyBorder="1">
      <alignment vertical="center"/>
    </xf>
    <xf numFmtId="0" fontId="15" fillId="0" borderId="1" xfId="1" applyNumberFormat="1" applyFont="1" applyFill="1" applyBorder="1" applyAlignment="1">
      <alignment horizontal="left" vertical="center"/>
    </xf>
    <xf numFmtId="41" fontId="15" fillId="4" borderId="1" xfId="1" applyFont="1" applyFill="1" applyBorder="1">
      <alignment vertical="center"/>
    </xf>
    <xf numFmtId="41" fontId="15" fillId="4" borderId="1" xfId="1" applyFont="1" applyFill="1" applyBorder="1" applyAlignment="1">
      <alignment vertical="center"/>
    </xf>
    <xf numFmtId="0" fontId="15" fillId="0" borderId="1" xfId="3" applyFont="1" applyBorder="1" applyAlignment="1">
      <alignment horizontal="left" vertical="center"/>
    </xf>
    <xf numFmtId="0" fontId="29" fillId="21" borderId="5" xfId="0" applyFont="1" applyFill="1" applyBorder="1" applyAlignment="1">
      <alignment horizontal="left" vertical="center"/>
    </xf>
    <xf numFmtId="41" fontId="10" fillId="22" borderId="1" xfId="1" applyFont="1" applyFill="1" applyBorder="1" applyAlignment="1">
      <alignment horizontal="left" vertical="center"/>
    </xf>
    <xf numFmtId="0" fontId="15" fillId="3" borderId="1" xfId="1" applyNumberFormat="1" applyFont="1" applyFill="1" applyBorder="1" applyAlignment="1">
      <alignment horizontal="left" vertical="center"/>
    </xf>
    <xf numFmtId="41" fontId="15" fillId="0" borderId="1" xfId="5" applyFont="1" applyFill="1" applyBorder="1" applyAlignment="1" applyProtection="1">
      <alignment horizontal="center" vertical="center" shrinkToFit="1"/>
      <protection locked="0"/>
    </xf>
    <xf numFmtId="0" fontId="10" fillId="0" borderId="1" xfId="1" applyNumberFormat="1" applyFont="1" applyFill="1" applyBorder="1" applyAlignment="1">
      <alignment horizontal="left" vertical="center" wrapText="1"/>
    </xf>
    <xf numFmtId="0" fontId="10" fillId="4" borderId="1" xfId="1" applyNumberFormat="1" applyFont="1" applyFill="1" applyBorder="1" applyAlignment="1">
      <alignment horizontal="left" vertical="center"/>
    </xf>
    <xf numFmtId="0" fontId="10" fillId="0" borderId="1" xfId="1" applyNumberFormat="1" applyFont="1" applyBorder="1" applyAlignment="1">
      <alignment horizontal="left" vertical="center"/>
    </xf>
    <xf numFmtId="0" fontId="15" fillId="4" borderId="1" xfId="2" applyNumberFormat="1" applyFont="1" applyFill="1" applyBorder="1" applyAlignment="1">
      <alignment horizontal="left" vertical="center"/>
    </xf>
    <xf numFmtId="9" fontId="15" fillId="0" borderId="1" xfId="2" applyFont="1" applyFill="1" applyBorder="1">
      <alignment vertical="center"/>
    </xf>
    <xf numFmtId="14" fontId="20" fillId="5" borderId="1" xfId="3" applyNumberFormat="1" applyFont="1" applyFill="1" applyBorder="1" applyAlignment="1">
      <alignment horizontal="center" vertical="center" wrapText="1"/>
    </xf>
    <xf numFmtId="177" fontId="20" fillId="5" borderId="1" xfId="3" applyNumberFormat="1" applyFont="1" applyFill="1" applyBorder="1" applyAlignment="1">
      <alignment horizontal="center" vertical="center" wrapText="1"/>
    </xf>
    <xf numFmtId="41" fontId="20" fillId="5" borderId="1" xfId="1" applyFont="1" applyFill="1" applyBorder="1" applyAlignment="1">
      <alignment horizontal="center" vertical="center" wrapText="1" shrinkToFit="1"/>
    </xf>
    <xf numFmtId="0" fontId="20" fillId="5" borderId="1" xfId="3" applyFont="1" applyFill="1" applyBorder="1" applyAlignment="1">
      <alignment horizontal="center" vertical="center" wrapText="1"/>
    </xf>
    <xf numFmtId="41" fontId="20" fillId="5" borderId="1" xfId="1" applyFont="1" applyFill="1" applyBorder="1" applyAlignment="1">
      <alignment horizontal="center" vertical="center" wrapText="1"/>
    </xf>
    <xf numFmtId="41" fontId="20" fillId="5" borderId="1" xfId="1" applyFont="1" applyFill="1" applyBorder="1" applyAlignment="1">
      <alignment horizontal="center" vertical="center"/>
    </xf>
    <xf numFmtId="176" fontId="20" fillId="5" borderId="1" xfId="1" applyNumberFormat="1" applyFont="1" applyFill="1" applyBorder="1" applyAlignment="1">
      <alignment horizontal="center" vertical="center"/>
    </xf>
    <xf numFmtId="14" fontId="20" fillId="5" borderId="1" xfId="1" applyNumberFormat="1" applyFont="1" applyFill="1" applyBorder="1" applyAlignment="1">
      <alignment horizontal="center" vertical="center"/>
    </xf>
    <xf numFmtId="0" fontId="20" fillId="5" borderId="1" xfId="1" applyNumberFormat="1" applyFont="1" applyFill="1" applyBorder="1" applyAlignment="1">
      <alignment horizontal="left" vertical="center" wrapText="1"/>
    </xf>
    <xf numFmtId="0" fontId="20" fillId="0" borderId="0" xfId="0" applyFont="1">
      <alignment vertical="center"/>
    </xf>
    <xf numFmtId="14" fontId="10" fillId="18" borderId="1" xfId="0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41" fontId="10" fillId="18" borderId="1" xfId="1" applyFont="1" applyFill="1" applyBorder="1" applyAlignment="1">
      <alignment horizontal="left" vertical="center"/>
    </xf>
    <xf numFmtId="41" fontId="10" fillId="18" borderId="1" xfId="1" applyFont="1" applyFill="1" applyBorder="1">
      <alignment vertical="center"/>
    </xf>
    <xf numFmtId="41" fontId="15" fillId="18" borderId="1" xfId="1" applyFont="1" applyFill="1" applyBorder="1">
      <alignment vertical="center"/>
    </xf>
    <xf numFmtId="41" fontId="10" fillId="18" borderId="1" xfId="1" applyFont="1" applyFill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41" fontId="18" fillId="7" borderId="1" xfId="1" applyFont="1" applyFill="1" applyBorder="1">
      <alignment vertical="center"/>
    </xf>
    <xf numFmtId="0" fontId="18" fillId="0" borderId="1" xfId="0" applyFont="1" applyBorder="1" applyAlignment="1">
      <alignment horizontal="left" vertical="center"/>
    </xf>
    <xf numFmtId="14" fontId="17" fillId="18" borderId="1" xfId="0" applyNumberFormat="1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41" fontId="17" fillId="18" borderId="1" xfId="1" applyFont="1" applyFill="1" applyBorder="1" applyAlignment="1">
      <alignment horizontal="left" vertical="center"/>
    </xf>
    <xf numFmtId="41" fontId="17" fillId="18" borderId="1" xfId="1" applyFont="1" applyFill="1" applyBorder="1" applyAlignment="1">
      <alignment horizontal="center" vertical="center"/>
    </xf>
    <xf numFmtId="14" fontId="17" fillId="0" borderId="1" xfId="0" applyNumberFormat="1" applyFont="1" applyBorder="1">
      <alignment vertical="center"/>
    </xf>
    <xf numFmtId="0" fontId="17" fillId="0" borderId="1" xfId="0" applyFont="1" applyBorder="1">
      <alignment vertical="center"/>
    </xf>
    <xf numFmtId="0" fontId="17" fillId="0" borderId="1" xfId="0" applyFont="1" applyBorder="1" applyAlignment="1">
      <alignment horizontal="left" vertical="center"/>
    </xf>
    <xf numFmtId="14" fontId="15" fillId="18" borderId="1" xfId="0" applyNumberFormat="1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41" fontId="15" fillId="18" borderId="1" xfId="1" applyFont="1" applyFill="1" applyBorder="1" applyAlignment="1">
      <alignment vertical="center"/>
    </xf>
    <xf numFmtId="183" fontId="15" fillId="18" borderId="1" xfId="0" applyNumberFormat="1" applyFont="1" applyFill="1" applyBorder="1" applyAlignment="1">
      <alignment horizontal="left" vertical="center"/>
    </xf>
    <xf numFmtId="41" fontId="22" fillId="7" borderId="1" xfId="1" applyFont="1" applyFill="1" applyBorder="1">
      <alignment vertical="center"/>
    </xf>
    <xf numFmtId="41" fontId="15" fillId="0" borderId="1" xfId="0" quotePrefix="1" applyNumberFormat="1" applyFont="1" applyBorder="1">
      <alignment vertical="center"/>
    </xf>
    <xf numFmtId="183" fontId="10" fillId="0" borderId="0" xfId="1" applyNumberFormat="1" applyFont="1" applyFill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1" fontId="17" fillId="0" borderId="1" xfId="1" applyFont="1" applyBorder="1">
      <alignment vertical="center"/>
    </xf>
    <xf numFmtId="183" fontId="15" fillId="0" borderId="1" xfId="0" applyNumberFormat="1" applyFont="1" applyBorder="1" applyAlignment="1">
      <alignment horizontal="left" vertical="center"/>
    </xf>
    <xf numFmtId="41" fontId="15" fillId="4" borderId="1" xfId="1" applyFont="1" applyFill="1" applyBorder="1" applyAlignment="1">
      <alignment horizontal="center" vertical="center"/>
    </xf>
    <xf numFmtId="0" fontId="15" fillId="4" borderId="1" xfId="0" applyFont="1" applyFill="1" applyBorder="1">
      <alignment vertical="center"/>
    </xf>
    <xf numFmtId="0" fontId="15" fillId="4" borderId="0" xfId="0" applyFont="1" applyFill="1">
      <alignment vertical="center"/>
    </xf>
    <xf numFmtId="0" fontId="9" fillId="0" borderId="1" xfId="5" applyNumberFormat="1" applyFont="1" applyFill="1" applyBorder="1" applyAlignment="1">
      <alignment horizontal="left" vertical="center" shrinkToFit="1"/>
    </xf>
    <xf numFmtId="0" fontId="0" fillId="0" borderId="1" xfId="0" applyBorder="1" applyAlignment="1">
      <alignment horizontal="center" vertical="center" wrapText="1" shrinkToFit="1"/>
    </xf>
    <xf numFmtId="41" fontId="15" fillId="4" borderId="1" xfId="27" applyFont="1" applyFill="1" applyBorder="1">
      <alignment vertical="center"/>
    </xf>
    <xf numFmtId="0" fontId="15" fillId="3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3" fontId="15" fillId="3" borderId="1" xfId="0" applyNumberFormat="1" applyFont="1" applyFill="1" applyBorder="1">
      <alignment vertical="center"/>
    </xf>
    <xf numFmtId="0" fontId="15" fillId="19" borderId="1" xfId="0" applyFont="1" applyFill="1" applyBorder="1">
      <alignment vertical="center"/>
    </xf>
    <xf numFmtId="14" fontId="10" fillId="18" borderId="1" xfId="3" applyNumberFormat="1" applyFont="1" applyFill="1" applyBorder="1" applyAlignment="1">
      <alignment horizontal="center" vertical="center" wrapText="1"/>
    </xf>
    <xf numFmtId="177" fontId="10" fillId="18" borderId="1" xfId="3" applyNumberFormat="1" applyFont="1" applyFill="1" applyBorder="1" applyAlignment="1">
      <alignment horizontal="center" vertical="center" wrapText="1"/>
    </xf>
    <xf numFmtId="41" fontId="10" fillId="18" borderId="1" xfId="1" applyFont="1" applyFill="1" applyBorder="1" applyAlignment="1">
      <alignment horizontal="center" vertical="center" wrapText="1" shrinkToFit="1"/>
    </xf>
    <xf numFmtId="0" fontId="10" fillId="18" borderId="1" xfId="3" applyFont="1" applyFill="1" applyBorder="1" applyAlignment="1">
      <alignment horizontal="center" vertical="center" wrapText="1"/>
    </xf>
    <xf numFmtId="41" fontId="10" fillId="18" borderId="1" xfId="1" applyFont="1" applyFill="1" applyBorder="1" applyAlignment="1">
      <alignment horizontal="center" vertical="center" wrapText="1"/>
    </xf>
    <xf numFmtId="41" fontId="15" fillId="18" borderId="1" xfId="1" applyFont="1" applyFill="1" applyBorder="1" applyAlignment="1">
      <alignment horizontal="center" vertical="center"/>
    </xf>
    <xf numFmtId="176" fontId="15" fillId="18" borderId="1" xfId="1" applyNumberFormat="1" applyFont="1" applyFill="1" applyBorder="1" applyAlignment="1">
      <alignment horizontal="left" vertical="center"/>
    </xf>
    <xf numFmtId="41" fontId="10" fillId="0" borderId="1" xfId="3" applyNumberFormat="1" applyFont="1" applyBorder="1" applyAlignment="1">
      <alignment horizontal="left" vertical="center" wrapText="1"/>
    </xf>
    <xf numFmtId="14" fontId="10" fillId="23" borderId="1" xfId="0" applyNumberFormat="1" applyFont="1" applyFill="1" applyBorder="1" applyAlignment="1">
      <alignment horizontal="center" vertical="center"/>
    </xf>
    <xf numFmtId="0" fontId="15" fillId="23" borderId="1" xfId="0" applyFont="1" applyFill="1" applyBorder="1" applyAlignment="1">
      <alignment horizontal="center" vertical="center"/>
    </xf>
    <xf numFmtId="41" fontId="15" fillId="23" borderId="1" xfId="1" applyFont="1" applyFill="1" applyBorder="1">
      <alignment vertical="center"/>
    </xf>
    <xf numFmtId="0" fontId="15" fillId="23" borderId="1" xfId="0" applyFont="1" applyFill="1" applyBorder="1">
      <alignment vertical="center"/>
    </xf>
    <xf numFmtId="190" fontId="15" fillId="23" borderId="1" xfId="1" applyNumberFormat="1" applyFont="1" applyFill="1" applyBorder="1" applyAlignment="1">
      <alignment vertical="center"/>
    </xf>
    <xf numFmtId="41" fontId="10" fillId="18" borderId="1" xfId="1" applyFont="1" applyFill="1" applyBorder="1" applyAlignment="1">
      <alignment horizontal="right" vertical="center"/>
    </xf>
    <xf numFmtId="41" fontId="17" fillId="0" borderId="1" xfId="1" applyFont="1" applyFill="1" applyBorder="1">
      <alignment vertical="center"/>
    </xf>
    <xf numFmtId="0" fontId="17" fillId="18" borderId="1" xfId="0" applyFont="1" applyFill="1" applyBorder="1">
      <alignment vertical="center"/>
    </xf>
    <xf numFmtId="41" fontId="17" fillId="18" borderId="1" xfId="1" applyFont="1" applyFill="1" applyBorder="1">
      <alignment vertical="center"/>
    </xf>
    <xf numFmtId="183" fontId="17" fillId="18" borderId="1" xfId="0" applyNumberFormat="1" applyFont="1" applyFill="1" applyBorder="1">
      <alignment vertical="center"/>
    </xf>
    <xf numFmtId="14" fontId="10" fillId="18" borderId="1" xfId="3" applyNumberFormat="1" applyFont="1" applyFill="1" applyBorder="1" applyAlignment="1">
      <alignment horizontal="center" vertical="center"/>
    </xf>
    <xf numFmtId="177" fontId="10" fillId="18" borderId="1" xfId="3" applyNumberFormat="1" applyFont="1" applyFill="1" applyBorder="1" applyAlignment="1">
      <alignment horizontal="center" vertical="center"/>
    </xf>
    <xf numFmtId="41" fontId="15" fillId="18" borderId="1" xfId="1" applyFont="1" applyFill="1" applyBorder="1" applyAlignment="1">
      <alignment horizontal="left" vertical="center"/>
    </xf>
    <xf numFmtId="0" fontId="15" fillId="18" borderId="1" xfId="0" applyFont="1" applyFill="1" applyBorder="1">
      <alignment vertical="center"/>
    </xf>
    <xf numFmtId="41" fontId="15" fillId="0" borderId="0" xfId="1" applyFont="1" applyFill="1">
      <alignment vertical="center"/>
    </xf>
    <xf numFmtId="0" fontId="15" fillId="3" borderId="1" xfId="0" applyFont="1" applyFill="1" applyBorder="1" applyAlignment="1" applyProtection="1">
      <alignment horizontal="center" vertical="center" shrinkToFit="1"/>
      <protection locked="0"/>
    </xf>
    <xf numFmtId="0" fontId="10" fillId="3" borderId="1" xfId="3" applyFont="1" applyFill="1" applyBorder="1" applyAlignment="1">
      <alignment horizontal="center" vertical="center" wrapText="1"/>
    </xf>
    <xf numFmtId="0" fontId="24" fillId="0" borderId="1" xfId="0" applyFont="1" applyBorder="1" applyAlignment="1" applyProtection="1">
      <alignment horizontal="center" vertical="center"/>
      <protection locked="0"/>
    </xf>
    <xf numFmtId="41" fontId="25" fillId="0" borderId="1" xfId="1" applyFont="1" applyFill="1" applyBorder="1" applyAlignment="1">
      <alignment horizontal="center" vertical="center"/>
    </xf>
    <xf numFmtId="41" fontId="24" fillId="0" borderId="4" xfId="1" applyFont="1" applyFill="1" applyBorder="1" applyAlignment="1">
      <alignment vertical="center"/>
    </xf>
    <xf numFmtId="0" fontId="10" fillId="0" borderId="1" xfId="1" applyNumberFormat="1" applyFont="1" applyFill="1" applyBorder="1" applyAlignment="1">
      <alignment horizontal="left" vertical="center"/>
    </xf>
    <xf numFmtId="41" fontId="15" fillId="0" borderId="0" xfId="1" applyFont="1" applyAlignment="1">
      <alignment horizontal="right" vertical="center"/>
    </xf>
    <xf numFmtId="0" fontId="15" fillId="18" borderId="1" xfId="0" applyFont="1" applyFill="1" applyBorder="1" applyAlignment="1">
      <alignment horizontal="left" vertical="center" wrapText="1"/>
    </xf>
    <xf numFmtId="41" fontId="10" fillId="0" borderId="1" xfId="1" applyFont="1" applyBorder="1">
      <alignment vertical="center"/>
    </xf>
    <xf numFmtId="14" fontId="15" fillId="13" borderId="1" xfId="0" applyNumberFormat="1" applyFont="1" applyFill="1" applyBorder="1" applyAlignment="1">
      <alignment horizontal="center" vertical="center"/>
    </xf>
    <xf numFmtId="41" fontId="15" fillId="5" borderId="1" xfId="1" applyFont="1" applyFill="1" applyBorder="1">
      <alignment vertical="center"/>
    </xf>
    <xf numFmtId="41" fontId="10" fillId="5" borderId="1" xfId="1" applyFont="1" applyFill="1" applyBorder="1" applyAlignment="1">
      <alignment horizontal="right" vertical="center"/>
    </xf>
    <xf numFmtId="41" fontId="10" fillId="5" borderId="1" xfId="1" applyFont="1" applyFill="1" applyBorder="1" applyAlignment="1">
      <alignment horizontal="center" vertical="center"/>
    </xf>
    <xf numFmtId="0" fontId="10" fillId="5" borderId="1" xfId="3" applyFont="1" applyFill="1" applyBorder="1" applyAlignment="1">
      <alignment horizontal="center" vertical="center"/>
    </xf>
    <xf numFmtId="41" fontId="10" fillId="5" borderId="1" xfId="1" applyFont="1" applyFill="1" applyBorder="1" applyAlignment="1">
      <alignment horizontal="left" vertical="center"/>
    </xf>
    <xf numFmtId="0" fontId="10" fillId="9" borderId="1" xfId="3" applyFont="1" applyFill="1" applyBorder="1" applyAlignment="1">
      <alignment horizontal="center" vertical="center"/>
    </xf>
    <xf numFmtId="14" fontId="10" fillId="7" borderId="1" xfId="3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7" borderId="1" xfId="0" applyFont="1" applyFill="1" applyBorder="1">
      <alignment vertical="center"/>
    </xf>
    <xf numFmtId="14" fontId="15" fillId="7" borderId="1" xfId="3" applyNumberFormat="1" applyFont="1" applyFill="1" applyBorder="1" applyAlignment="1">
      <alignment horizontal="center" vertical="center"/>
    </xf>
    <xf numFmtId="41" fontId="15" fillId="7" borderId="1" xfId="1" applyFont="1" applyFill="1" applyBorder="1" applyAlignment="1">
      <alignment horizontal="left" vertical="center" shrinkToFit="1"/>
    </xf>
    <xf numFmtId="0" fontId="15" fillId="7" borderId="1" xfId="1" applyNumberFormat="1" applyFont="1" applyFill="1" applyBorder="1" applyAlignment="1">
      <alignment horizontal="center" vertical="center"/>
    </xf>
    <xf numFmtId="41" fontId="15" fillId="7" borderId="1" xfId="1" applyFont="1" applyFill="1" applyBorder="1" applyAlignment="1">
      <alignment horizontal="right" vertical="center"/>
    </xf>
    <xf numFmtId="0" fontId="15" fillId="7" borderId="1" xfId="0" applyFont="1" applyFill="1" applyBorder="1" applyAlignment="1">
      <alignment horizontal="left" vertical="center"/>
    </xf>
    <xf numFmtId="41" fontId="15" fillId="11" borderId="1" xfId="1" applyFont="1" applyFill="1" applyBorder="1" applyAlignment="1">
      <alignment horizontal="center" vertical="center"/>
    </xf>
    <xf numFmtId="41" fontId="10" fillId="11" borderId="1" xfId="1" applyFont="1" applyFill="1" applyBorder="1" applyAlignment="1">
      <alignment horizontal="left" vertical="center"/>
    </xf>
    <xf numFmtId="41" fontId="15" fillId="11" borderId="1" xfId="1" applyFont="1" applyFill="1" applyBorder="1" applyAlignment="1">
      <alignment horizontal="left" vertical="center"/>
    </xf>
    <xf numFmtId="41" fontId="10" fillId="11" borderId="1" xfId="1" applyFont="1" applyFill="1" applyBorder="1" applyAlignment="1">
      <alignment horizontal="center" vertical="center"/>
    </xf>
    <xf numFmtId="41" fontId="10" fillId="11" borderId="1" xfId="1" applyFont="1" applyFill="1" applyBorder="1" applyAlignment="1">
      <alignment horizontal="right" vertical="center"/>
    </xf>
    <xf numFmtId="41" fontId="22" fillId="11" borderId="1" xfId="1" applyFont="1" applyFill="1" applyBorder="1" applyAlignment="1">
      <alignment horizontal="center" vertical="center"/>
    </xf>
    <xf numFmtId="41" fontId="15" fillId="11" borderId="1" xfId="1" applyFont="1" applyFill="1" applyBorder="1">
      <alignment vertical="center"/>
    </xf>
    <xf numFmtId="0" fontId="10" fillId="11" borderId="1" xfId="3" applyFont="1" applyFill="1" applyBorder="1" applyAlignment="1">
      <alignment horizontal="center" vertical="center"/>
    </xf>
    <xf numFmtId="41" fontId="10" fillId="9" borderId="1" xfId="1" applyFont="1" applyFill="1" applyBorder="1" applyAlignment="1">
      <alignment horizontal="center" vertical="center"/>
    </xf>
    <xf numFmtId="41" fontId="22" fillId="9" borderId="1" xfId="1" applyFont="1" applyFill="1" applyBorder="1" applyAlignment="1">
      <alignment horizontal="center" vertical="center"/>
    </xf>
    <xf numFmtId="41" fontId="15" fillId="0" borderId="1" xfId="0" applyNumberFormat="1" applyFont="1" applyBorder="1" applyAlignment="1">
      <alignment horizontal="left" vertical="center"/>
    </xf>
    <xf numFmtId="14" fontId="22" fillId="0" borderId="1" xfId="3" applyNumberFormat="1" applyFont="1" applyBorder="1" applyAlignment="1">
      <alignment horizontal="center" vertical="center"/>
    </xf>
    <xf numFmtId="41" fontId="22" fillId="0" borderId="1" xfId="1" applyFont="1" applyFill="1" applyBorder="1" applyAlignment="1">
      <alignment horizontal="left" vertical="center" shrinkToFit="1"/>
    </xf>
    <xf numFmtId="0" fontId="22" fillId="0" borderId="1" xfId="1" applyNumberFormat="1" applyFont="1" applyFill="1" applyBorder="1" applyAlignment="1">
      <alignment horizontal="center" vertical="center"/>
    </xf>
    <xf numFmtId="41" fontId="22" fillId="0" borderId="1" xfId="1" applyFont="1" applyFill="1" applyBorder="1" applyAlignment="1">
      <alignment horizontal="right" vertical="center"/>
    </xf>
    <xf numFmtId="0" fontId="22" fillId="0" borderId="1" xfId="0" applyFont="1" applyBorder="1">
      <alignment vertical="center"/>
    </xf>
    <xf numFmtId="0" fontId="22" fillId="0" borderId="0" xfId="0" applyFont="1">
      <alignment vertical="center"/>
    </xf>
    <xf numFmtId="41" fontId="15" fillId="16" borderId="1" xfId="1" applyFont="1" applyFill="1" applyBorder="1">
      <alignment vertical="center"/>
    </xf>
    <xf numFmtId="41" fontId="10" fillId="11" borderId="1" xfId="1" applyFont="1" applyFill="1" applyBorder="1">
      <alignment vertical="center"/>
    </xf>
    <xf numFmtId="3" fontId="30" fillId="0" borderId="7" xfId="0" applyNumberFormat="1" applyFont="1" applyBorder="1">
      <alignment vertical="center"/>
    </xf>
    <xf numFmtId="0" fontId="31" fillId="0" borderId="2" xfId="5" applyNumberFormat="1" applyFont="1" applyFill="1" applyBorder="1" applyAlignment="1" applyProtection="1">
      <alignment horizontal="left" vertical="center" shrinkToFit="1"/>
      <protection locked="0"/>
    </xf>
    <xf numFmtId="0" fontId="10" fillId="8" borderId="1" xfId="1" applyNumberFormat="1" applyFont="1" applyFill="1" applyBorder="1" applyAlignment="1">
      <alignment horizontal="left" vertical="center" wrapText="1"/>
    </xf>
    <xf numFmtId="191" fontId="10" fillId="0" borderId="1" xfId="3" applyNumberFormat="1" applyFont="1" applyBorder="1" applyAlignment="1">
      <alignment horizontal="left" vertical="center"/>
    </xf>
    <xf numFmtId="41" fontId="22" fillId="8" borderId="1" xfId="1" applyFont="1" applyFill="1" applyBorder="1" applyAlignment="1">
      <alignment horizontal="center" vertical="center"/>
    </xf>
    <xf numFmtId="41" fontId="10" fillId="2" borderId="1" xfId="30" applyFont="1" applyFill="1" applyBorder="1" applyAlignment="1">
      <alignment horizontal="center" vertical="center" wrapText="1" shrinkToFit="1"/>
    </xf>
    <xf numFmtId="41" fontId="10" fillId="2" borderId="1" xfId="30" applyFont="1" applyFill="1" applyBorder="1" applyAlignment="1">
      <alignment horizontal="center" vertical="center" wrapText="1"/>
    </xf>
    <xf numFmtId="41" fontId="15" fillId="2" borderId="1" xfId="30" applyFont="1" applyFill="1" applyBorder="1" applyAlignment="1">
      <alignment horizontal="center" vertical="center"/>
    </xf>
    <xf numFmtId="176" fontId="15" fillId="2" borderId="1" xfId="30" applyNumberFormat="1" applyFont="1" applyFill="1" applyBorder="1" applyAlignment="1">
      <alignment horizontal="center" vertical="center"/>
    </xf>
    <xf numFmtId="14" fontId="15" fillId="2" borderId="1" xfId="30" applyNumberFormat="1" applyFont="1" applyFill="1" applyBorder="1" applyAlignment="1">
      <alignment horizontal="center" vertical="center"/>
    </xf>
    <xf numFmtId="0" fontId="15" fillId="2" borderId="1" xfId="30" applyNumberFormat="1" applyFont="1" applyFill="1" applyBorder="1" applyAlignment="1">
      <alignment horizontal="left" vertical="center" wrapText="1"/>
    </xf>
    <xf numFmtId="0" fontId="15" fillId="0" borderId="0" xfId="31" applyFont="1">
      <alignment vertical="center"/>
    </xf>
    <xf numFmtId="41" fontId="10" fillId="0" borderId="1" xfId="30" applyFont="1" applyFill="1" applyBorder="1" applyAlignment="1">
      <alignment horizontal="center" vertical="center" wrapText="1" shrinkToFit="1"/>
    </xf>
    <xf numFmtId="41" fontId="10" fillId="0" borderId="1" xfId="30" applyFont="1" applyFill="1" applyBorder="1" applyAlignment="1">
      <alignment horizontal="center" vertical="center" wrapText="1"/>
    </xf>
    <xf numFmtId="41" fontId="15" fillId="0" borderId="1" xfId="30" applyFont="1" applyFill="1" applyBorder="1" applyAlignment="1">
      <alignment horizontal="center" vertical="center"/>
    </xf>
    <xf numFmtId="176" fontId="15" fillId="0" borderId="1" xfId="30" applyNumberFormat="1" applyFont="1" applyFill="1" applyBorder="1" applyAlignment="1">
      <alignment horizontal="center" vertical="center"/>
    </xf>
    <xf numFmtId="14" fontId="15" fillId="0" borderId="1" xfId="30" applyNumberFormat="1" applyFont="1" applyFill="1" applyBorder="1" applyAlignment="1">
      <alignment horizontal="center" vertical="center"/>
    </xf>
    <xf numFmtId="0" fontId="15" fillId="0" borderId="1" xfId="30" applyNumberFormat="1" applyFont="1" applyFill="1" applyBorder="1" applyAlignment="1">
      <alignment horizontal="left" vertical="center" wrapText="1"/>
    </xf>
    <xf numFmtId="41" fontId="10" fillId="3" borderId="1" xfId="30" applyFont="1" applyFill="1" applyBorder="1" applyAlignment="1">
      <alignment horizontal="center" vertical="center"/>
    </xf>
    <xf numFmtId="41" fontId="10" fillId="3" borderId="1" xfId="30" applyFont="1" applyFill="1" applyBorder="1" applyAlignment="1">
      <alignment horizontal="left" vertical="center" shrinkToFit="1"/>
    </xf>
    <xf numFmtId="0" fontId="10" fillId="3" borderId="1" xfId="30" applyNumberFormat="1" applyFont="1" applyFill="1" applyBorder="1" applyAlignment="1">
      <alignment horizontal="center" vertical="center"/>
    </xf>
    <xf numFmtId="41" fontId="10" fillId="3" borderId="1" xfId="30" applyFont="1" applyFill="1" applyBorder="1" applyAlignment="1">
      <alignment horizontal="right" vertical="center"/>
    </xf>
    <xf numFmtId="41" fontId="15" fillId="3" borderId="1" xfId="30" applyFont="1" applyFill="1" applyBorder="1">
      <alignment vertical="center"/>
    </xf>
    <xf numFmtId="176" fontId="10" fillId="3" borderId="1" xfId="32" applyNumberFormat="1" applyFont="1" applyFill="1" applyBorder="1" applyAlignment="1">
      <alignment horizontal="left" vertical="center"/>
    </xf>
    <xf numFmtId="14" fontId="10" fillId="3" borderId="1" xfId="30" applyNumberFormat="1" applyFont="1" applyFill="1" applyBorder="1" applyAlignment="1">
      <alignment horizontal="center" vertical="center"/>
    </xf>
    <xf numFmtId="41" fontId="10" fillId="3" borderId="1" xfId="30" applyFont="1" applyFill="1" applyBorder="1" applyAlignment="1">
      <alignment horizontal="left" vertical="center"/>
    </xf>
    <xf numFmtId="14" fontId="10" fillId="0" borderId="1" xfId="31" applyNumberFormat="1" applyFont="1" applyBorder="1" applyAlignment="1">
      <alignment horizontal="center" vertical="center"/>
    </xf>
    <xf numFmtId="0" fontId="10" fillId="0" borderId="1" xfId="31" applyFont="1" applyBorder="1" applyAlignment="1">
      <alignment horizontal="center" vertical="center"/>
    </xf>
    <xf numFmtId="41" fontId="10" fillId="0" borderId="1" xfId="30" applyFont="1" applyFill="1" applyBorder="1" applyAlignment="1">
      <alignment horizontal="left" vertical="center"/>
    </xf>
    <xf numFmtId="41" fontId="10" fillId="0" borderId="1" xfId="30" applyFont="1" applyFill="1" applyBorder="1">
      <alignment vertical="center"/>
    </xf>
    <xf numFmtId="41" fontId="15" fillId="0" borderId="1" xfId="30" applyFont="1" applyFill="1" applyBorder="1">
      <alignment vertical="center"/>
    </xf>
    <xf numFmtId="41" fontId="10" fillId="0" borderId="1" xfId="30" applyFont="1" applyFill="1" applyBorder="1" applyAlignment="1">
      <alignment horizontal="center" vertical="center"/>
    </xf>
    <xf numFmtId="41" fontId="15" fillId="0" borderId="1" xfId="31" applyNumberFormat="1" applyFont="1" applyBorder="1">
      <alignment vertical="center"/>
    </xf>
    <xf numFmtId="41" fontId="10" fillId="0" borderId="0" xfId="30" applyFont="1" applyFill="1" applyAlignment="1">
      <alignment horizontal="center" vertical="center"/>
    </xf>
    <xf numFmtId="41" fontId="10" fillId="0" borderId="1" xfId="30" applyFont="1" applyFill="1" applyBorder="1" applyAlignment="1">
      <alignment horizontal="left" vertical="center" shrinkToFit="1"/>
    </xf>
    <xf numFmtId="0" fontId="10" fillId="0" borderId="1" xfId="30" applyNumberFormat="1" applyFont="1" applyFill="1" applyBorder="1" applyAlignment="1">
      <alignment horizontal="center" vertical="center"/>
    </xf>
    <xf numFmtId="41" fontId="10" fillId="0" borderId="1" xfId="30" applyFont="1" applyFill="1" applyBorder="1" applyAlignment="1">
      <alignment horizontal="right" vertical="center"/>
    </xf>
    <xf numFmtId="176" fontId="10" fillId="0" borderId="1" xfId="32" applyNumberFormat="1" applyFont="1" applyFill="1" applyBorder="1" applyAlignment="1">
      <alignment horizontal="left" vertical="center"/>
    </xf>
    <xf numFmtId="14" fontId="10" fillId="0" borderId="1" xfId="30" applyNumberFormat="1" applyFont="1" applyFill="1" applyBorder="1" applyAlignment="1">
      <alignment horizontal="center" vertical="center"/>
    </xf>
    <xf numFmtId="0" fontId="15" fillId="0" borderId="1" xfId="30" applyNumberFormat="1" applyFont="1" applyFill="1" applyBorder="1" applyAlignment="1">
      <alignment horizontal="center" vertical="center"/>
    </xf>
    <xf numFmtId="41" fontId="15" fillId="0" borderId="1" xfId="30" applyFont="1" applyFill="1" applyBorder="1" applyAlignment="1">
      <alignment horizontal="right" vertical="center"/>
    </xf>
    <xf numFmtId="41" fontId="22" fillId="0" borderId="1" xfId="30" applyFont="1" applyFill="1" applyBorder="1" applyAlignment="1">
      <alignment horizontal="center" vertical="center"/>
    </xf>
    <xf numFmtId="180" fontId="10" fillId="0" borderId="1" xfId="30" applyNumberFormat="1" applyFont="1" applyFill="1" applyBorder="1" applyAlignment="1">
      <alignment horizontal="left" vertical="center"/>
    </xf>
    <xf numFmtId="176" fontId="10" fillId="0" borderId="1" xfId="30" applyNumberFormat="1" applyFont="1" applyFill="1" applyBorder="1" applyAlignment="1">
      <alignment horizontal="left" vertical="center"/>
    </xf>
    <xf numFmtId="41" fontId="10" fillId="0" borderId="1" xfId="30" applyFont="1" applyFill="1" applyBorder="1" applyAlignment="1">
      <alignment horizontal="left" vertical="center" wrapText="1"/>
    </xf>
    <xf numFmtId="176" fontId="15" fillId="0" borderId="1" xfId="30" applyNumberFormat="1" applyFont="1" applyFill="1" applyBorder="1" applyAlignment="1">
      <alignment horizontal="left" vertical="center"/>
    </xf>
    <xf numFmtId="0" fontId="10" fillId="0" borderId="1" xfId="30" applyNumberFormat="1" applyFont="1" applyFill="1" applyBorder="1" applyAlignment="1">
      <alignment horizontal="left" vertical="center" wrapText="1"/>
    </xf>
    <xf numFmtId="0" fontId="15" fillId="0" borderId="1" xfId="31" applyFont="1" applyBorder="1" applyAlignment="1">
      <alignment horizontal="center" vertical="center"/>
    </xf>
    <xf numFmtId="14" fontId="15" fillId="0" borderId="1" xfId="31" applyNumberFormat="1" applyFont="1" applyBorder="1" applyAlignment="1">
      <alignment horizontal="center" vertical="center"/>
    </xf>
    <xf numFmtId="14" fontId="10" fillId="0" borderId="1" xfId="30" applyNumberFormat="1" applyFont="1" applyFill="1" applyBorder="1" applyAlignment="1">
      <alignment horizontal="left" vertical="center"/>
    </xf>
    <xf numFmtId="41" fontId="15" fillId="0" borderId="1" xfId="30" applyFont="1" applyFill="1" applyBorder="1" applyAlignment="1">
      <alignment horizontal="left" vertical="center"/>
    </xf>
    <xf numFmtId="41" fontId="15" fillId="0" borderId="0" xfId="30" applyFont="1" applyFill="1" applyAlignment="1">
      <alignment horizontal="center" vertical="center"/>
    </xf>
    <xf numFmtId="41" fontId="22" fillId="0" borderId="1" xfId="30" applyFont="1" applyFill="1" applyBorder="1">
      <alignment vertical="center"/>
    </xf>
    <xf numFmtId="14" fontId="15" fillId="0" borderId="1" xfId="31" applyNumberFormat="1" applyFont="1" applyBorder="1">
      <alignment vertical="center"/>
    </xf>
    <xf numFmtId="0" fontId="15" fillId="0" borderId="1" xfId="31" applyFont="1" applyBorder="1">
      <alignment vertical="center"/>
    </xf>
    <xf numFmtId="41" fontId="15" fillId="0" borderId="1" xfId="30" applyFont="1" applyFill="1" applyBorder="1" applyAlignment="1">
      <alignment horizontal="left" vertical="center" shrinkToFit="1"/>
    </xf>
    <xf numFmtId="0" fontId="15" fillId="0" borderId="1" xfId="31" applyFont="1" applyBorder="1" applyAlignment="1">
      <alignment horizontal="left" vertical="center"/>
    </xf>
    <xf numFmtId="41" fontId="15" fillId="23" borderId="1" xfId="30" applyFont="1" applyFill="1" applyBorder="1">
      <alignment vertical="center"/>
    </xf>
    <xf numFmtId="41" fontId="10" fillId="0" borderId="1" xfId="30" applyFont="1" applyFill="1" applyBorder="1" applyAlignment="1">
      <alignment horizontal="left" vertical="top" shrinkToFit="1"/>
    </xf>
    <xf numFmtId="0" fontId="15" fillId="19" borderId="1" xfId="31" applyFont="1" applyFill="1" applyBorder="1">
      <alignment vertical="center"/>
    </xf>
    <xf numFmtId="41" fontId="15" fillId="24" borderId="1" xfId="30" applyFont="1" applyFill="1" applyBorder="1" applyAlignment="1">
      <alignment horizontal="center" vertical="center"/>
    </xf>
    <xf numFmtId="41" fontId="10" fillId="0" borderId="1" xfId="30" applyFont="1" applyFill="1" applyBorder="1" applyAlignment="1">
      <alignment vertical="center"/>
    </xf>
    <xf numFmtId="41" fontId="15" fillId="0" borderId="1" xfId="30" applyFont="1" applyFill="1" applyBorder="1" applyAlignment="1">
      <alignment vertical="center"/>
    </xf>
    <xf numFmtId="41" fontId="15" fillId="0" borderId="1" xfId="31" applyNumberFormat="1" applyFont="1" applyBorder="1" applyAlignment="1">
      <alignment horizontal="left" vertical="center"/>
    </xf>
    <xf numFmtId="14" fontId="10" fillId="3" borderId="1" xfId="31" applyNumberFormat="1" applyFont="1" applyFill="1" applyBorder="1" applyAlignment="1">
      <alignment horizontal="center" vertical="center"/>
    </xf>
    <xf numFmtId="0" fontId="10" fillId="3" borderId="1" xfId="31" applyFont="1" applyFill="1" applyBorder="1" applyAlignment="1">
      <alignment horizontal="center" vertical="center"/>
    </xf>
    <xf numFmtId="41" fontId="10" fillId="3" borderId="1" xfId="30" applyFont="1" applyFill="1" applyBorder="1" applyAlignment="1">
      <alignment vertical="center"/>
    </xf>
    <xf numFmtId="41" fontId="15" fillId="3" borderId="1" xfId="30" applyFont="1" applyFill="1" applyBorder="1" applyAlignment="1">
      <alignment vertical="center"/>
    </xf>
    <xf numFmtId="41" fontId="15" fillId="3" borderId="1" xfId="31" applyNumberFormat="1" applyFont="1" applyFill="1" applyBorder="1" applyAlignment="1">
      <alignment horizontal="center" vertical="center"/>
    </xf>
    <xf numFmtId="41" fontId="15" fillId="3" borderId="1" xfId="31" applyNumberFormat="1" applyFont="1" applyFill="1" applyBorder="1">
      <alignment vertical="center"/>
    </xf>
    <xf numFmtId="0" fontId="15" fillId="3" borderId="1" xfId="31" applyFont="1" applyFill="1" applyBorder="1" applyAlignment="1">
      <alignment horizontal="left" vertical="center"/>
    </xf>
    <xf numFmtId="0" fontId="15" fillId="0" borderId="1" xfId="31" applyFont="1" applyBorder="1" applyAlignment="1" applyProtection="1">
      <alignment horizontal="center" vertical="center" shrinkToFit="1"/>
      <protection locked="0"/>
    </xf>
    <xf numFmtId="41" fontId="10" fillId="0" borderId="0" xfId="30" applyFont="1">
      <alignment vertical="center"/>
    </xf>
    <xf numFmtId="186" fontId="10" fillId="3" borderId="1" xfId="30" applyNumberFormat="1" applyFont="1" applyFill="1" applyBorder="1" applyAlignment="1">
      <alignment horizontal="left" vertical="center"/>
    </xf>
    <xf numFmtId="41" fontId="10" fillId="0" borderId="2" xfId="30" applyFont="1" applyFill="1" applyBorder="1" applyAlignment="1">
      <alignment horizontal="right" vertical="center"/>
    </xf>
    <xf numFmtId="41" fontId="20" fillId="5" borderId="1" xfId="30" applyFont="1" applyFill="1" applyBorder="1" applyAlignment="1">
      <alignment horizontal="center" vertical="center" wrapText="1" shrinkToFit="1"/>
    </xf>
    <xf numFmtId="41" fontId="20" fillId="5" borderId="1" xfId="30" applyFont="1" applyFill="1" applyBorder="1" applyAlignment="1">
      <alignment horizontal="center" vertical="center" wrapText="1"/>
    </xf>
    <xf numFmtId="41" fontId="20" fillId="5" borderId="1" xfId="30" applyFont="1" applyFill="1" applyBorder="1" applyAlignment="1">
      <alignment horizontal="center" vertical="center"/>
    </xf>
    <xf numFmtId="176" fontId="20" fillId="5" borderId="1" xfId="30" applyNumberFormat="1" applyFont="1" applyFill="1" applyBorder="1" applyAlignment="1">
      <alignment horizontal="center" vertical="center"/>
    </xf>
    <xf numFmtId="14" fontId="1" fillId="0" borderId="0" xfId="31" applyNumberFormat="1">
      <alignment vertical="center"/>
    </xf>
    <xf numFmtId="0" fontId="1" fillId="0" borderId="0" xfId="31">
      <alignment vertical="center"/>
    </xf>
    <xf numFmtId="41" fontId="0" fillId="0" borderId="0" xfId="30" applyFont="1">
      <alignment vertical="center"/>
    </xf>
    <xf numFmtId="41" fontId="1" fillId="0" borderId="0" xfId="31" applyNumberFormat="1">
      <alignment vertical="center"/>
    </xf>
    <xf numFmtId="41" fontId="15" fillId="0" borderId="1" xfId="30" quotePrefix="1" applyFont="1" applyFill="1" applyBorder="1">
      <alignment vertical="center"/>
    </xf>
    <xf numFmtId="14" fontId="15" fillId="0" borderId="1" xfId="31" applyNumberFormat="1" applyFont="1" applyBorder="1" applyAlignment="1">
      <alignment horizontal="left" vertical="center"/>
    </xf>
    <xf numFmtId="14" fontId="10" fillId="0" borderId="1" xfId="3" applyNumberFormat="1" applyFont="1" applyBorder="1" applyAlignment="1">
      <alignment horizontal="left" vertical="center" wrapText="1"/>
    </xf>
    <xf numFmtId="14" fontId="15" fillId="0" borderId="1" xfId="3" applyNumberFormat="1" applyFont="1" applyBorder="1" applyAlignment="1">
      <alignment horizontal="left" vertical="center" wrapText="1"/>
    </xf>
    <xf numFmtId="0" fontId="10" fillId="8" borderId="1" xfId="31" applyFont="1" applyFill="1" applyBorder="1" applyAlignment="1">
      <alignment horizontal="center" vertical="center"/>
    </xf>
    <xf numFmtId="41" fontId="10" fillId="8" borderId="1" xfId="30" applyFont="1" applyFill="1" applyBorder="1" applyAlignment="1">
      <alignment horizontal="left" vertical="center"/>
    </xf>
    <xf numFmtId="41" fontId="10" fillId="8" borderId="1" xfId="30" applyFont="1" applyFill="1" applyBorder="1" applyAlignment="1">
      <alignment horizontal="center" vertical="center"/>
    </xf>
    <xf numFmtId="41" fontId="10" fillId="8" borderId="1" xfId="30" applyFont="1" applyFill="1" applyBorder="1">
      <alignment vertical="center"/>
    </xf>
    <xf numFmtId="176" fontId="15" fillId="8" borderId="1" xfId="30" applyNumberFormat="1" applyFont="1" applyFill="1" applyBorder="1" applyAlignment="1">
      <alignment horizontal="left" vertical="center"/>
    </xf>
    <xf numFmtId="14" fontId="10" fillId="8" borderId="1" xfId="30" applyNumberFormat="1" applyFont="1" applyFill="1" applyBorder="1" applyAlignment="1">
      <alignment horizontal="center" vertical="center"/>
    </xf>
    <xf numFmtId="0" fontId="10" fillId="8" borderId="1" xfId="30" applyNumberFormat="1" applyFont="1" applyFill="1" applyBorder="1" applyAlignment="1">
      <alignment horizontal="left" vertical="center" wrapText="1"/>
    </xf>
    <xf numFmtId="176" fontId="10" fillId="8" borderId="1" xfId="30" applyNumberFormat="1" applyFont="1" applyFill="1" applyBorder="1" applyAlignment="1">
      <alignment horizontal="left" vertical="center"/>
    </xf>
    <xf numFmtId="41" fontId="10" fillId="8" borderId="1" xfId="30" applyFont="1" applyFill="1" applyBorder="1" applyAlignment="1">
      <alignment horizontal="left" vertical="center" wrapText="1"/>
    </xf>
    <xf numFmtId="41" fontId="17" fillId="0" borderId="0" xfId="1" applyFont="1" applyAlignment="1">
      <alignment horizontal="right" vertical="center"/>
    </xf>
    <xf numFmtId="41" fontId="15" fillId="8" borderId="1" xfId="30" applyFont="1" applyFill="1" applyBorder="1" applyAlignment="1">
      <alignment horizontal="center" vertical="center"/>
    </xf>
    <xf numFmtId="41" fontId="10" fillId="8" borderId="1" xfId="30" applyFont="1" applyFill="1" applyBorder="1" applyAlignment="1">
      <alignment horizontal="left" vertical="center" shrinkToFit="1"/>
    </xf>
    <xf numFmtId="41" fontId="10" fillId="8" borderId="2" xfId="30" applyFont="1" applyFill="1" applyBorder="1" applyAlignment="1">
      <alignment horizontal="right" vertical="center"/>
    </xf>
    <xf numFmtId="41" fontId="15" fillId="8" borderId="1" xfId="30" applyFont="1" applyFill="1" applyBorder="1" applyAlignment="1">
      <alignment horizontal="left" vertical="center" shrinkToFit="1"/>
    </xf>
    <xf numFmtId="0" fontId="15" fillId="8" borderId="1" xfId="30" applyNumberFormat="1" applyFont="1" applyFill="1" applyBorder="1" applyAlignment="1">
      <alignment horizontal="center" vertical="center"/>
    </xf>
    <xf numFmtId="41" fontId="15" fillId="8" borderId="1" xfId="30" applyFont="1" applyFill="1" applyBorder="1" applyAlignment="1">
      <alignment horizontal="right" vertical="center"/>
    </xf>
    <xf numFmtId="41" fontId="10" fillId="8" borderId="1" xfId="30" applyFont="1" applyFill="1" applyBorder="1" applyAlignment="1">
      <alignment horizontal="right" vertical="center"/>
    </xf>
    <xf numFmtId="14" fontId="15" fillId="19" borderId="1" xfId="31" applyNumberFormat="1" applyFont="1" applyFill="1" applyBorder="1" applyAlignment="1">
      <alignment horizontal="center" vertical="center"/>
    </xf>
    <xf numFmtId="41" fontId="10" fillId="19" borderId="1" xfId="30" applyFont="1" applyFill="1" applyBorder="1" applyAlignment="1">
      <alignment horizontal="center" vertical="center"/>
    </xf>
    <xf numFmtId="41" fontId="10" fillId="19" borderId="1" xfId="30" applyFont="1" applyFill="1" applyBorder="1" applyAlignment="1">
      <alignment horizontal="left" vertical="center" shrinkToFit="1"/>
    </xf>
    <xf numFmtId="0" fontId="10" fillId="19" borderId="1" xfId="30" applyNumberFormat="1" applyFont="1" applyFill="1" applyBorder="1" applyAlignment="1">
      <alignment vertical="center"/>
    </xf>
    <xf numFmtId="41" fontId="15" fillId="19" borderId="1" xfId="30" applyFont="1" applyFill="1" applyBorder="1">
      <alignment vertical="center"/>
    </xf>
    <xf numFmtId="41" fontId="10" fillId="19" borderId="1" xfId="30" applyFont="1" applyFill="1" applyBorder="1" applyAlignment="1">
      <alignment horizontal="right" vertical="center"/>
    </xf>
    <xf numFmtId="41" fontId="15" fillId="19" borderId="1" xfId="30" applyFont="1" applyFill="1" applyBorder="1" applyAlignment="1">
      <alignment horizontal="center" vertical="center"/>
    </xf>
    <xf numFmtId="41" fontId="15" fillId="19" borderId="1" xfId="30" applyFont="1" applyFill="1" applyBorder="1" applyAlignment="1">
      <alignment horizontal="left" vertical="center" shrinkToFit="1"/>
    </xf>
    <xf numFmtId="0" fontId="15" fillId="19" borderId="1" xfId="30" applyNumberFormat="1" applyFont="1" applyFill="1" applyBorder="1" applyAlignment="1">
      <alignment vertical="center"/>
    </xf>
    <xf numFmtId="177" fontId="10" fillId="19" borderId="1" xfId="3" applyNumberFormat="1" applyFont="1" applyFill="1" applyBorder="1" applyAlignment="1">
      <alignment horizontal="center" vertical="center"/>
    </xf>
    <xf numFmtId="0" fontId="10" fillId="19" borderId="1" xfId="3" applyFont="1" applyFill="1" applyBorder="1" applyAlignment="1">
      <alignment horizontal="left" vertical="center"/>
    </xf>
    <xf numFmtId="0" fontId="10" fillId="19" borderId="1" xfId="3" applyFont="1" applyFill="1" applyBorder="1" applyAlignment="1">
      <alignment horizontal="center" vertical="center"/>
    </xf>
    <xf numFmtId="41" fontId="10" fillId="19" borderId="1" xfId="30" applyFont="1" applyFill="1" applyBorder="1" applyAlignment="1">
      <alignment horizontal="left" vertical="center"/>
    </xf>
    <xf numFmtId="14" fontId="15" fillId="19" borderId="1" xfId="0" applyNumberFormat="1" applyFont="1" applyFill="1" applyBorder="1" applyAlignment="1">
      <alignment horizontal="center" vertical="center"/>
    </xf>
    <xf numFmtId="41" fontId="10" fillId="19" borderId="1" xfId="1" applyFont="1" applyFill="1" applyBorder="1" applyAlignment="1">
      <alignment horizontal="left" vertical="center" shrinkToFit="1"/>
    </xf>
    <xf numFmtId="41" fontId="10" fillId="19" borderId="1" xfId="1" applyFont="1" applyFill="1" applyBorder="1" applyAlignment="1">
      <alignment horizontal="left" vertical="center"/>
    </xf>
    <xf numFmtId="0" fontId="10" fillId="19" borderId="1" xfId="3" applyFont="1" applyFill="1" applyBorder="1">
      <alignment vertical="center"/>
    </xf>
    <xf numFmtId="0" fontId="15" fillId="19" borderId="1" xfId="0" applyFont="1" applyFill="1" applyBorder="1" applyAlignment="1">
      <alignment horizontal="left" vertical="center"/>
    </xf>
    <xf numFmtId="0" fontId="10" fillId="19" borderId="1" xfId="3" applyFont="1" applyFill="1" applyBorder="1" applyAlignment="1">
      <alignment horizontal="left" vertical="center" wrapText="1"/>
    </xf>
    <xf numFmtId="41" fontId="15" fillId="19" borderId="1" xfId="1" applyFont="1" applyFill="1" applyBorder="1" applyAlignment="1">
      <alignment horizontal="left" vertical="center"/>
    </xf>
    <xf numFmtId="41" fontId="15" fillId="19" borderId="1" xfId="1" applyFont="1" applyFill="1" applyBorder="1" applyAlignment="1">
      <alignment vertical="center"/>
    </xf>
    <xf numFmtId="0" fontId="15" fillId="19" borderId="1" xfId="0" applyFont="1" applyFill="1" applyBorder="1" applyAlignment="1">
      <alignment horizontal="center" vertical="center"/>
    </xf>
    <xf numFmtId="14" fontId="10" fillId="19" borderId="1" xfId="0" applyNumberFormat="1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41" fontId="10" fillId="19" borderId="1" xfId="1" applyFont="1" applyFill="1" applyBorder="1" applyAlignment="1">
      <alignment vertical="center"/>
    </xf>
    <xf numFmtId="14" fontId="10" fillId="19" borderId="1" xfId="3" applyNumberFormat="1" applyFont="1" applyFill="1" applyBorder="1" applyAlignment="1">
      <alignment horizontal="center" vertical="center"/>
    </xf>
    <xf numFmtId="0" fontId="15" fillId="19" borderId="1" xfId="5" applyNumberFormat="1" applyFont="1" applyFill="1" applyBorder="1" applyAlignment="1" applyProtection="1">
      <alignment horizontal="left" vertical="center" shrinkToFit="1"/>
      <protection locked="0"/>
    </xf>
    <xf numFmtId="0" fontId="15" fillId="19" borderId="1" xfId="0" applyFont="1" applyFill="1" applyBorder="1" applyAlignment="1" applyProtection="1">
      <alignment horizontal="center" vertical="center" shrinkToFit="1"/>
      <protection locked="0"/>
    </xf>
    <xf numFmtId="14" fontId="15" fillId="19" borderId="1" xfId="3" applyNumberFormat="1" applyFont="1" applyFill="1" applyBorder="1" applyAlignment="1">
      <alignment horizontal="center" vertical="center"/>
    </xf>
    <xf numFmtId="41" fontId="15" fillId="19" borderId="1" xfId="27" applyFont="1" applyFill="1" applyBorder="1" applyAlignment="1">
      <alignment horizontal="center" vertical="center"/>
    </xf>
    <xf numFmtId="41" fontId="15" fillId="19" borderId="1" xfId="27" applyFont="1" applyFill="1" applyBorder="1">
      <alignment vertical="center"/>
    </xf>
    <xf numFmtId="0" fontId="15" fillId="19" borderId="1" xfId="28" applyFont="1" applyFill="1" applyBorder="1" applyAlignment="1">
      <alignment horizontal="center" vertical="center"/>
    </xf>
    <xf numFmtId="0" fontId="15" fillId="19" borderId="1" xfId="31" applyFont="1" applyFill="1" applyBorder="1" applyAlignment="1">
      <alignment horizontal="center" vertical="center"/>
    </xf>
    <xf numFmtId="41" fontId="10" fillId="19" borderId="1" xfId="1" applyFont="1" applyFill="1" applyBorder="1" applyAlignment="1">
      <alignment horizontal="right" vertical="center"/>
    </xf>
    <xf numFmtId="41" fontId="15" fillId="19" borderId="1" xfId="1" applyFont="1" applyFill="1" applyBorder="1" applyAlignment="1">
      <alignment horizontal="left" vertical="center" shrinkToFit="1"/>
    </xf>
    <xf numFmtId="0" fontId="15" fillId="19" borderId="1" xfId="1" applyNumberFormat="1" applyFont="1" applyFill="1" applyBorder="1" applyAlignment="1">
      <alignment horizontal="center" vertical="center"/>
    </xf>
    <xf numFmtId="41" fontId="15" fillId="19" borderId="1" xfId="1" applyFont="1" applyFill="1" applyBorder="1" applyAlignment="1">
      <alignment horizontal="right" vertical="center"/>
    </xf>
    <xf numFmtId="0" fontId="10" fillId="19" borderId="1" xfId="30" applyNumberFormat="1" applyFont="1" applyFill="1" applyBorder="1" applyAlignment="1">
      <alignment horizontal="center" vertical="center"/>
    </xf>
    <xf numFmtId="0" fontId="15" fillId="19" borderId="1" xfId="30" applyNumberFormat="1" applyFont="1" applyFill="1" applyBorder="1" applyAlignment="1">
      <alignment horizontal="center" vertical="center"/>
    </xf>
    <xf numFmtId="41" fontId="15" fillId="19" borderId="1" xfId="30" applyFont="1" applyFill="1" applyBorder="1" applyAlignment="1">
      <alignment horizontal="right" vertical="center"/>
    </xf>
    <xf numFmtId="186" fontId="10" fillId="0" borderId="1" xfId="30" applyNumberFormat="1" applyFont="1" applyFill="1" applyBorder="1" applyAlignment="1">
      <alignment horizontal="left" vertical="center"/>
    </xf>
    <xf numFmtId="0" fontId="10" fillId="19" borderId="1" xfId="1" applyNumberFormat="1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left" vertical="center"/>
    </xf>
    <xf numFmtId="0" fontId="10" fillId="19" borderId="1" xfId="0" applyFont="1" applyFill="1" applyBorder="1">
      <alignment vertical="center"/>
    </xf>
    <xf numFmtId="41" fontId="15" fillId="18" borderId="6" xfId="1" applyFont="1" applyFill="1" applyBorder="1" applyAlignment="1">
      <alignment horizontal="center" vertical="center"/>
    </xf>
    <xf numFmtId="41" fontId="15" fillId="18" borderId="2" xfId="1" applyFont="1" applyFill="1" applyBorder="1" applyAlignment="1">
      <alignment horizontal="center" vertical="center"/>
    </xf>
  </cellXfs>
  <cellStyles count="33">
    <cellStyle name="백분율" xfId="2" builtinId="5"/>
    <cellStyle name="백분율 2" xfId="7" xr:uid="{F804DEE1-4A78-4EEB-8361-08EFB113EB49}"/>
    <cellStyle name="백분율 3" xfId="11" xr:uid="{73D60FBA-A87C-48E9-8685-97C88B27293B}"/>
    <cellStyle name="백분율 4" xfId="14" xr:uid="{10E3661B-0253-44EA-89AF-67C13A7DFD6E}"/>
    <cellStyle name="백분율 5" xfId="19" xr:uid="{C0273AA9-3105-485F-A9FE-9E292D0B442B}"/>
    <cellStyle name="백분율 6" xfId="22" xr:uid="{5D5DD678-C503-45F5-BD1B-1AB5D3621C0E}"/>
    <cellStyle name="백분율 7" xfId="26" xr:uid="{A157608F-1C39-48C8-A721-E4D08D976901}"/>
    <cellStyle name="백분율 8" xfId="29" xr:uid="{FA32A812-99BD-4CCE-8D2A-D0A7D5BC1B22}"/>
    <cellStyle name="쉼표 [0]" xfId="1" builtinId="6"/>
    <cellStyle name="쉼표 [0] 10" xfId="30" xr:uid="{61706997-8BD2-48EA-9331-7026437CAC7A}"/>
    <cellStyle name="쉼표 [0] 2" xfId="5" xr:uid="{4CBF4591-B114-4C93-8C78-CD2FA847D806}"/>
    <cellStyle name="쉼표 [0] 2 2" xfId="9" xr:uid="{D36F4986-7C6B-439C-9C49-3C42B96ECC3E}"/>
    <cellStyle name="쉼표 [0] 2 3" xfId="13" xr:uid="{10C068C0-2A2C-4113-99B3-D1415CB8BFE9}"/>
    <cellStyle name="쉼표 [0] 2 4" xfId="17" xr:uid="{AAC4F9F6-DFB6-44A4-9123-82354E1837D6}"/>
    <cellStyle name="쉼표 [0] 2 5" xfId="23" xr:uid="{CEE6E377-7616-4E82-B922-7E87C4B089A9}"/>
    <cellStyle name="쉼표 [0] 3" xfId="4" xr:uid="{0ACA4FF9-5190-4B44-9057-251B497DD1E1}"/>
    <cellStyle name="쉼표 [0] 4" xfId="8" xr:uid="{B4B2E45C-174E-4BA8-A2E6-FB24BB55C0FC}"/>
    <cellStyle name="쉼표 [0] 5" xfId="12" xr:uid="{B21D25C5-69BB-4B8B-8F9A-69BFA102F271}"/>
    <cellStyle name="쉼표 [0] 6" xfId="16" xr:uid="{F95789B7-DBB1-4154-92E8-1A0EAADA2788}"/>
    <cellStyle name="쉼표 [0] 7" xfId="20" xr:uid="{26AED68E-DE6D-4E59-9C51-C32D4036C5BA}"/>
    <cellStyle name="쉼표 [0] 7 2" xfId="32" xr:uid="{E81A48F4-9536-4287-92E1-4EB4AC481B64}"/>
    <cellStyle name="쉼표 [0] 8" xfId="24" xr:uid="{FC10B3CE-D35A-470E-81D8-1B4564E5B5BB}"/>
    <cellStyle name="쉼표 [0] 9" xfId="27" xr:uid="{91D32737-6A4E-4666-A3BA-831C336F8FC6}"/>
    <cellStyle name="표준" xfId="0" builtinId="0"/>
    <cellStyle name="표준 10" xfId="3" xr:uid="{B9A16B72-64A6-4637-97F8-5AC68175A8E5}"/>
    <cellStyle name="표준 2" xfId="6" xr:uid="{135D460D-DB46-4D7B-95AE-EDAC30949CF9}"/>
    <cellStyle name="표준 3" xfId="10" xr:uid="{4526CB7E-45BF-4A13-AE75-7EF1510F7978}"/>
    <cellStyle name="표준 4" xfId="15" xr:uid="{92639DBA-38D5-4899-BEF1-C493FA5D9ECA}"/>
    <cellStyle name="표준 5" xfId="18" xr:uid="{0AC50A50-3A27-4BB1-B236-9265F5C08754}"/>
    <cellStyle name="표준 6" xfId="21" xr:uid="{77BDC010-5018-48A9-90FA-8B3268E697F6}"/>
    <cellStyle name="표준 7" xfId="25" xr:uid="{04A47B75-4190-4116-A1B5-1BE13173DBD3}"/>
    <cellStyle name="표준 8" xfId="28" xr:uid="{6753E1BE-EDF3-45AA-B520-3FDC1D262186}"/>
    <cellStyle name="표준 9" xfId="31" xr:uid="{6ECE5E14-8D80-4980-8944-D2D3FC6D38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5448-F5D2-4DEA-8C17-8BBA1990F9F4}">
  <dimension ref="A1:Q656"/>
  <sheetViews>
    <sheetView workbookViewId="0">
      <pane ySplit="1" topLeftCell="A528" activePane="bottomLeft" state="frozen"/>
      <selection pane="bottomLeft" activeCell="C546" sqref="C546"/>
    </sheetView>
  </sheetViews>
  <sheetFormatPr defaultColWidth="9" defaultRowHeight="19.5" customHeight="1" x14ac:dyDescent="0.4"/>
  <cols>
    <col min="1" max="1" width="7.69921875" style="261" customWidth="1"/>
    <col min="2" max="2" width="20.09765625" style="261" customWidth="1"/>
    <col min="3" max="3" width="29.59765625" style="309" bestFit="1" customWidth="1"/>
    <col min="4" max="4" width="29.3984375" style="261" customWidth="1"/>
    <col min="5" max="5" width="7" style="261" customWidth="1"/>
    <col min="6" max="6" width="7" style="309" customWidth="1"/>
    <col min="7" max="7" width="11.59765625" style="309" customWidth="1"/>
    <col min="8" max="8" width="15.59765625" style="309" customWidth="1"/>
    <col min="9" max="9" width="26" style="261" customWidth="1"/>
    <col min="10" max="10" width="10.69921875" style="261" customWidth="1"/>
    <col min="11" max="11" width="23.8984375" style="261" customWidth="1"/>
    <col min="12" max="12" width="17" style="261" customWidth="1"/>
    <col min="13" max="13" width="9" style="261"/>
    <col min="14" max="14" width="10.5" style="261" bestFit="1" customWidth="1"/>
    <col min="15" max="15" width="9.59765625" style="261" bestFit="1" customWidth="1"/>
    <col min="16" max="16384" width="9" style="261"/>
  </cols>
  <sheetData>
    <row r="1" spans="1:13" s="3" customFormat="1" ht="19.5" customHeight="1" x14ac:dyDescent="0.4">
      <c r="A1" s="99" t="s">
        <v>0</v>
      </c>
      <c r="B1" s="100" t="s">
        <v>1</v>
      </c>
      <c r="C1" s="219" t="s">
        <v>2</v>
      </c>
      <c r="D1" s="102" t="s">
        <v>3</v>
      </c>
      <c r="E1" s="102" t="s">
        <v>4</v>
      </c>
      <c r="F1" s="220" t="s">
        <v>5</v>
      </c>
      <c r="G1" s="221" t="s">
        <v>6</v>
      </c>
      <c r="H1" s="351" t="s">
        <v>7</v>
      </c>
      <c r="I1" s="222" t="s">
        <v>8</v>
      </c>
      <c r="J1" s="223"/>
      <c r="K1" s="221"/>
      <c r="L1" s="224" t="s">
        <v>9</v>
      </c>
      <c r="M1" s="225"/>
    </row>
    <row r="2" spans="1:13" s="3" customFormat="1" ht="21" customHeight="1" x14ac:dyDescent="0.4">
      <c r="A2" s="118">
        <v>45988</v>
      </c>
      <c r="B2" s="103" t="s">
        <v>10</v>
      </c>
      <c r="C2" s="115" t="s">
        <v>14</v>
      </c>
      <c r="D2" s="76">
        <v>60817438</v>
      </c>
      <c r="E2" s="76" t="s">
        <v>13</v>
      </c>
      <c r="F2" s="108">
        <v>11</v>
      </c>
      <c r="G2" s="7">
        <v>620000</v>
      </c>
      <c r="H2" s="7">
        <f t="shared" ref="H2:H9" si="0">F2*G2</f>
        <v>6820000</v>
      </c>
      <c r="I2" s="61"/>
      <c r="J2" s="8"/>
      <c r="K2" s="8"/>
      <c r="L2" s="116"/>
      <c r="M2" s="89"/>
    </row>
    <row r="3" spans="1:13" s="3" customFormat="1" ht="21" customHeight="1" x14ac:dyDescent="0.4">
      <c r="A3" s="118">
        <v>45988</v>
      </c>
      <c r="B3" s="103" t="s">
        <v>10</v>
      </c>
      <c r="C3" s="115" t="s">
        <v>15</v>
      </c>
      <c r="D3" s="76">
        <v>60817439</v>
      </c>
      <c r="E3" s="76" t="s">
        <v>13</v>
      </c>
      <c r="F3" s="108">
        <v>18</v>
      </c>
      <c r="G3" s="7">
        <v>500000</v>
      </c>
      <c r="H3" s="7">
        <f t="shared" si="0"/>
        <v>9000000</v>
      </c>
      <c r="I3" s="61"/>
      <c r="J3" s="8"/>
      <c r="K3" s="8"/>
      <c r="L3" s="116"/>
      <c r="M3" s="89"/>
    </row>
    <row r="4" spans="1:13" s="3" customFormat="1" ht="21" customHeight="1" x14ac:dyDescent="0.4">
      <c r="A4" s="118">
        <v>45988</v>
      </c>
      <c r="B4" s="103" t="s">
        <v>10</v>
      </c>
      <c r="C4" s="115" t="s">
        <v>171</v>
      </c>
      <c r="D4" s="76">
        <v>60623159</v>
      </c>
      <c r="E4" s="76" t="s">
        <v>11</v>
      </c>
      <c r="F4" s="108">
        <v>52</v>
      </c>
      <c r="G4" s="7">
        <v>563000</v>
      </c>
      <c r="H4" s="7">
        <f t="shared" si="0"/>
        <v>29276000</v>
      </c>
      <c r="I4" s="61"/>
      <c r="J4" s="8"/>
      <c r="K4" s="8"/>
      <c r="L4" s="116"/>
      <c r="M4" s="89"/>
    </row>
    <row r="5" spans="1:13" s="3" customFormat="1" ht="21" customHeight="1" x14ac:dyDescent="0.4">
      <c r="A5" s="118">
        <v>45988</v>
      </c>
      <c r="B5" s="103" t="s">
        <v>10</v>
      </c>
      <c r="C5" s="115" t="s">
        <v>171</v>
      </c>
      <c r="D5" s="76">
        <v>60623160</v>
      </c>
      <c r="E5" s="76" t="s">
        <v>11</v>
      </c>
      <c r="F5" s="108">
        <v>20</v>
      </c>
      <c r="G5" s="7">
        <v>595000</v>
      </c>
      <c r="H5" s="7">
        <f t="shared" si="0"/>
        <v>11900000</v>
      </c>
      <c r="I5" s="61"/>
      <c r="J5" s="8"/>
      <c r="K5" s="8"/>
      <c r="L5" s="116"/>
      <c r="M5" s="89"/>
    </row>
    <row r="6" spans="1:13" s="3" customFormat="1" ht="19.5" customHeight="1" x14ac:dyDescent="0.4">
      <c r="A6" s="118">
        <v>46014</v>
      </c>
      <c r="B6" s="103" t="s">
        <v>10</v>
      </c>
      <c r="C6" s="226" t="s">
        <v>12</v>
      </c>
      <c r="D6" s="42">
        <v>60623160</v>
      </c>
      <c r="E6" s="42" t="s">
        <v>13</v>
      </c>
      <c r="F6" s="227">
        <v>11</v>
      </c>
      <c r="G6" s="228">
        <v>595000</v>
      </c>
      <c r="H6" s="275">
        <f t="shared" si="0"/>
        <v>6545000</v>
      </c>
      <c r="I6" s="229"/>
      <c r="J6" s="230"/>
      <c r="K6" s="228"/>
      <c r="L6" s="231"/>
      <c r="M6" s="232"/>
    </row>
    <row r="7" spans="1:13" s="3" customFormat="1" ht="19.5" customHeight="1" x14ac:dyDescent="0.4">
      <c r="A7" s="118">
        <v>46014</v>
      </c>
      <c r="B7" s="103" t="s">
        <v>10</v>
      </c>
      <c r="C7" s="226" t="s">
        <v>14</v>
      </c>
      <c r="D7" s="42">
        <v>60817438</v>
      </c>
      <c r="E7" s="42" t="s">
        <v>13</v>
      </c>
      <c r="F7" s="227">
        <v>52</v>
      </c>
      <c r="G7" s="228">
        <v>620000</v>
      </c>
      <c r="H7" s="275">
        <f t="shared" si="0"/>
        <v>32240000</v>
      </c>
      <c r="I7" s="229"/>
      <c r="J7" s="230"/>
      <c r="K7" s="228"/>
      <c r="L7" s="231"/>
      <c r="M7" s="232"/>
    </row>
    <row r="8" spans="1:13" s="3" customFormat="1" ht="19.5" customHeight="1" x14ac:dyDescent="0.4">
      <c r="A8" s="118">
        <v>46014</v>
      </c>
      <c r="B8" s="103" t="s">
        <v>10</v>
      </c>
      <c r="C8" s="226" t="s">
        <v>603</v>
      </c>
      <c r="D8" s="42" t="s">
        <v>604</v>
      </c>
      <c r="E8" s="42" t="s">
        <v>13</v>
      </c>
      <c r="F8" s="227">
        <v>12</v>
      </c>
      <c r="G8" s="228">
        <v>620000</v>
      </c>
      <c r="H8" s="275">
        <f t="shared" si="0"/>
        <v>7440000</v>
      </c>
      <c r="I8" s="229"/>
      <c r="J8" s="230"/>
      <c r="K8" s="228"/>
      <c r="L8" s="231"/>
      <c r="M8" s="232"/>
    </row>
    <row r="9" spans="1:13" s="3" customFormat="1" ht="19.5" customHeight="1" x14ac:dyDescent="0.4">
      <c r="A9" s="118">
        <v>46014</v>
      </c>
      <c r="B9" s="103" t="s">
        <v>10</v>
      </c>
      <c r="C9" s="226" t="s">
        <v>15</v>
      </c>
      <c r="D9" s="42">
        <v>60817439</v>
      </c>
      <c r="E9" s="42" t="s">
        <v>13</v>
      </c>
      <c r="F9" s="227">
        <v>25</v>
      </c>
      <c r="G9" s="228">
        <v>500000</v>
      </c>
      <c r="H9" s="275">
        <f t="shared" si="0"/>
        <v>12500000</v>
      </c>
      <c r="I9" s="229"/>
      <c r="J9" s="230"/>
      <c r="K9" s="228"/>
      <c r="L9" s="231"/>
      <c r="M9" s="232"/>
    </row>
    <row r="10" spans="1:13" s="3" customFormat="1" ht="21" customHeight="1" x14ac:dyDescent="0.4">
      <c r="A10" s="37"/>
      <c r="B10" s="13" t="s">
        <v>10</v>
      </c>
      <c r="C10" s="233"/>
      <c r="D10" s="38"/>
      <c r="E10" s="38"/>
      <c r="F10" s="234"/>
      <c r="G10" s="234"/>
      <c r="H10" s="352">
        <f>SUM(H2:H9)</f>
        <v>115721000</v>
      </c>
      <c r="I10" s="235"/>
      <c r="J10" s="234"/>
      <c r="K10" s="234"/>
      <c r="L10" s="235"/>
      <c r="M10" s="232"/>
    </row>
    <row r="11" spans="1:13" s="3" customFormat="1" ht="21" customHeight="1" x14ac:dyDescent="0.4">
      <c r="A11" s="4">
        <v>45985</v>
      </c>
      <c r="B11" s="5" t="s">
        <v>16</v>
      </c>
      <c r="C11" s="6" t="s">
        <v>492</v>
      </c>
      <c r="D11" s="1" t="s">
        <v>493</v>
      </c>
      <c r="E11" s="1" t="s">
        <v>17</v>
      </c>
      <c r="F11" s="8">
        <v>189</v>
      </c>
      <c r="G11" s="8">
        <v>212313</v>
      </c>
      <c r="H11" s="7">
        <f t="shared" ref="H11:H18" si="1">F11*G11</f>
        <v>40127157</v>
      </c>
      <c r="I11" s="29"/>
      <c r="J11" s="8"/>
      <c r="K11" s="8"/>
      <c r="L11" s="140"/>
      <c r="M11" s="89" t="s">
        <v>494</v>
      </c>
    </row>
    <row r="12" spans="1:13" s="3" customFormat="1" ht="21" customHeight="1" x14ac:dyDescent="0.4">
      <c r="A12" s="4">
        <v>45987</v>
      </c>
      <c r="B12" s="5" t="s">
        <v>16</v>
      </c>
      <c r="C12" s="6" t="s">
        <v>492</v>
      </c>
      <c r="D12" s="1" t="s">
        <v>493</v>
      </c>
      <c r="E12" s="1" t="s">
        <v>17</v>
      </c>
      <c r="F12" s="8">
        <f>27*3</f>
        <v>81</v>
      </c>
      <c r="G12" s="8">
        <v>212313</v>
      </c>
      <c r="H12" s="7">
        <f t="shared" si="1"/>
        <v>17197353</v>
      </c>
      <c r="I12" s="29"/>
      <c r="J12" s="8"/>
      <c r="K12" s="8"/>
      <c r="L12" s="189"/>
      <c r="M12" s="89"/>
    </row>
    <row r="13" spans="1:13" s="3" customFormat="1" ht="21" customHeight="1" x14ac:dyDescent="0.4">
      <c r="A13" s="4">
        <v>45999</v>
      </c>
      <c r="B13" s="5" t="s">
        <v>16</v>
      </c>
      <c r="C13" s="236" t="s">
        <v>492</v>
      </c>
      <c r="D13" s="1" t="s">
        <v>493</v>
      </c>
      <c r="E13" s="1" t="s">
        <v>17</v>
      </c>
      <c r="F13" s="228">
        <v>261</v>
      </c>
      <c r="G13" s="228">
        <v>212313</v>
      </c>
      <c r="H13" s="275">
        <f t="shared" si="1"/>
        <v>55413693</v>
      </c>
      <c r="I13" s="237"/>
      <c r="J13" s="228"/>
      <c r="K13" s="228"/>
      <c r="L13" s="238"/>
      <c r="M13" s="232"/>
    </row>
    <row r="14" spans="1:13" s="3" customFormat="1" ht="21" customHeight="1" x14ac:dyDescent="0.4">
      <c r="A14" s="4">
        <v>46008</v>
      </c>
      <c r="B14" s="5" t="s">
        <v>16</v>
      </c>
      <c r="C14" s="236" t="s">
        <v>18</v>
      </c>
      <c r="D14" s="1" t="s">
        <v>19</v>
      </c>
      <c r="E14" s="1" t="s">
        <v>17</v>
      </c>
      <c r="F14" s="228">
        <v>60</v>
      </c>
      <c r="G14" s="228">
        <v>246373</v>
      </c>
      <c r="H14" s="275">
        <f t="shared" si="1"/>
        <v>14782380</v>
      </c>
      <c r="I14" s="237"/>
      <c r="J14" s="228"/>
      <c r="K14" s="228"/>
      <c r="L14" s="238"/>
      <c r="M14" s="232"/>
    </row>
    <row r="15" spans="1:13" s="3" customFormat="1" ht="21" customHeight="1" x14ac:dyDescent="0.4">
      <c r="A15" s="4" t="s">
        <v>673</v>
      </c>
      <c r="B15" s="5" t="s">
        <v>16</v>
      </c>
      <c r="C15" s="236" t="s">
        <v>20</v>
      </c>
      <c r="D15" s="1" t="s">
        <v>21</v>
      </c>
      <c r="E15" s="1"/>
      <c r="F15" s="228">
        <v>-3</v>
      </c>
      <c r="G15" s="228">
        <v>212313</v>
      </c>
      <c r="H15" s="275">
        <f t="shared" si="1"/>
        <v>-636939</v>
      </c>
      <c r="I15" s="237"/>
      <c r="J15" s="228"/>
      <c r="K15" s="228"/>
      <c r="L15" s="238"/>
      <c r="M15" s="232"/>
    </row>
    <row r="16" spans="1:13" s="3" customFormat="1" ht="21" customHeight="1" x14ac:dyDescent="0.4">
      <c r="A16" s="4" t="s">
        <v>673</v>
      </c>
      <c r="B16" s="5" t="s">
        <v>16</v>
      </c>
      <c r="C16" s="236" t="s">
        <v>22</v>
      </c>
      <c r="D16" s="1" t="s">
        <v>23</v>
      </c>
      <c r="E16" s="1"/>
      <c r="F16" s="228">
        <v>-1</v>
      </c>
      <c r="G16" s="228">
        <v>246373</v>
      </c>
      <c r="H16" s="275">
        <f t="shared" si="1"/>
        <v>-246373</v>
      </c>
      <c r="I16" s="237"/>
      <c r="J16" s="228"/>
      <c r="K16" s="228"/>
      <c r="L16" s="238"/>
      <c r="M16" s="232"/>
    </row>
    <row r="17" spans="1:13" s="3" customFormat="1" ht="21" customHeight="1" x14ac:dyDescent="0.4">
      <c r="A17" s="4">
        <v>46013</v>
      </c>
      <c r="B17" s="5" t="s">
        <v>16</v>
      </c>
      <c r="C17" s="236" t="s">
        <v>492</v>
      </c>
      <c r="D17" s="1" t="s">
        <v>493</v>
      </c>
      <c r="E17" s="1" t="s">
        <v>17</v>
      </c>
      <c r="F17" s="228">
        <f>27*5</f>
        <v>135</v>
      </c>
      <c r="G17" s="228">
        <v>212313</v>
      </c>
      <c r="H17" s="275">
        <f t="shared" si="1"/>
        <v>28662255</v>
      </c>
      <c r="I17" s="237" t="s">
        <v>682</v>
      </c>
      <c r="J17" s="228"/>
      <c r="K17" s="228" t="s">
        <v>681</v>
      </c>
      <c r="L17" s="238"/>
      <c r="M17" s="232"/>
    </row>
    <row r="18" spans="1:13" s="3" customFormat="1" ht="21" customHeight="1" x14ac:dyDescent="0.4">
      <c r="A18" s="4">
        <v>46020</v>
      </c>
      <c r="B18" s="5" t="s">
        <v>16</v>
      </c>
      <c r="C18" s="236" t="s">
        <v>492</v>
      </c>
      <c r="D18" s="1" t="s">
        <v>493</v>
      </c>
      <c r="E18" s="1" t="s">
        <v>17</v>
      </c>
      <c r="F18" s="228">
        <v>108</v>
      </c>
      <c r="G18" s="228">
        <v>212313</v>
      </c>
      <c r="H18" s="275">
        <f t="shared" si="1"/>
        <v>22929804</v>
      </c>
      <c r="I18" s="237" t="s">
        <v>682</v>
      </c>
      <c r="J18" s="228"/>
      <c r="K18" s="228" t="s">
        <v>681</v>
      </c>
      <c r="L18" s="238"/>
      <c r="M18" s="232"/>
    </row>
    <row r="19" spans="1:13" s="3" customFormat="1" ht="21" customHeight="1" x14ac:dyDescent="0.4">
      <c r="A19" s="37"/>
      <c r="B19" s="13"/>
      <c r="C19" s="233"/>
      <c r="D19" s="38"/>
      <c r="E19" s="38"/>
      <c r="F19" s="234"/>
      <c r="G19" s="234"/>
      <c r="H19" s="352">
        <f>SUM(H11:H16)</f>
        <v>126637271</v>
      </c>
      <c r="I19" s="235"/>
      <c r="J19" s="234"/>
      <c r="K19" s="234"/>
      <c r="L19" s="235"/>
      <c r="M19" s="232"/>
    </row>
    <row r="20" spans="1:13" s="3" customFormat="1" ht="21.75" customHeight="1" x14ac:dyDescent="0.4">
      <c r="A20" s="118">
        <v>45981</v>
      </c>
      <c r="B20" s="103" t="s">
        <v>556</v>
      </c>
      <c r="C20" s="115" t="s">
        <v>41</v>
      </c>
      <c r="D20" s="42" t="s">
        <v>42</v>
      </c>
      <c r="E20" s="42"/>
      <c r="F20" s="117">
        <v>32</v>
      </c>
      <c r="G20" s="8">
        <v>203030</v>
      </c>
      <c r="H20" s="49">
        <f>F20*G20</f>
        <v>6496960</v>
      </c>
      <c r="I20" s="29"/>
      <c r="J20" s="70"/>
      <c r="K20" s="8"/>
      <c r="L20" s="116"/>
      <c r="M20" s="89"/>
    </row>
    <row r="21" spans="1:13" s="3" customFormat="1" ht="21.75" customHeight="1" x14ac:dyDescent="0.4">
      <c r="A21" s="118">
        <v>45981</v>
      </c>
      <c r="B21" s="103" t="s">
        <v>556</v>
      </c>
      <c r="C21" s="115" t="s">
        <v>41</v>
      </c>
      <c r="D21" s="42" t="s">
        <v>42</v>
      </c>
      <c r="E21" s="42"/>
      <c r="F21" s="117">
        <v>47</v>
      </c>
      <c r="G21" s="8">
        <v>203030</v>
      </c>
      <c r="H21" s="49">
        <f>F21*G21</f>
        <v>9542410</v>
      </c>
      <c r="I21" s="29"/>
      <c r="J21" s="70"/>
      <c r="K21" s="8"/>
      <c r="L21" s="116"/>
      <c r="M21" s="89"/>
    </row>
    <row r="22" spans="1:13" s="3" customFormat="1" ht="21.75" customHeight="1" x14ac:dyDescent="0.4">
      <c r="A22" s="118">
        <v>45991</v>
      </c>
      <c r="B22" s="103" t="s">
        <v>556</v>
      </c>
      <c r="C22" s="192" t="s">
        <v>33</v>
      </c>
      <c r="D22" s="76" t="s">
        <v>34</v>
      </c>
      <c r="E22" s="76"/>
      <c r="F22" s="108">
        <v>18</v>
      </c>
      <c r="G22" s="7">
        <v>557400</v>
      </c>
      <c r="H22" s="49">
        <f t="shared" ref="H22:H34" si="2">F22*G22</f>
        <v>10033200</v>
      </c>
      <c r="I22" s="29"/>
      <c r="J22" s="70"/>
      <c r="K22" s="8"/>
      <c r="L22" s="116"/>
      <c r="M22" s="89"/>
    </row>
    <row r="23" spans="1:13" s="3" customFormat="1" ht="21.75" customHeight="1" x14ac:dyDescent="0.4">
      <c r="A23" s="118">
        <v>45991</v>
      </c>
      <c r="B23" s="103" t="s">
        <v>556</v>
      </c>
      <c r="C23" s="192" t="s">
        <v>33</v>
      </c>
      <c r="D23" s="76" t="s">
        <v>34</v>
      </c>
      <c r="E23" s="76"/>
      <c r="F23" s="108">
        <v>3</v>
      </c>
      <c r="G23" s="7">
        <v>557400</v>
      </c>
      <c r="H23" s="49">
        <f t="shared" si="2"/>
        <v>1672200</v>
      </c>
      <c r="I23" s="29"/>
      <c r="J23" s="70"/>
      <c r="K23" s="8"/>
      <c r="L23" s="116"/>
      <c r="M23" s="89"/>
    </row>
    <row r="24" spans="1:13" s="3" customFormat="1" ht="21.75" customHeight="1" x14ac:dyDescent="0.4">
      <c r="A24" s="118">
        <v>45991</v>
      </c>
      <c r="B24" s="103" t="s">
        <v>556</v>
      </c>
      <c r="C24" s="192" t="s">
        <v>39</v>
      </c>
      <c r="D24" s="76" t="s">
        <v>40</v>
      </c>
      <c r="E24" s="76"/>
      <c r="F24" s="108">
        <v>17</v>
      </c>
      <c r="G24" s="7">
        <v>1380450</v>
      </c>
      <c r="H24" s="49">
        <f t="shared" si="2"/>
        <v>23467650</v>
      </c>
      <c r="I24" s="29"/>
      <c r="J24" s="70"/>
      <c r="K24" s="8"/>
      <c r="L24" s="116"/>
      <c r="M24" s="89"/>
    </row>
    <row r="25" spans="1:13" s="3" customFormat="1" ht="21.75" customHeight="1" x14ac:dyDescent="0.4">
      <c r="A25" s="118">
        <v>45991</v>
      </c>
      <c r="B25" s="103" t="s">
        <v>556</v>
      </c>
      <c r="C25" s="192" t="s">
        <v>39</v>
      </c>
      <c r="D25" s="76" t="s">
        <v>40</v>
      </c>
      <c r="E25" s="76"/>
      <c r="F25" s="108">
        <v>9</v>
      </c>
      <c r="G25" s="7">
        <v>1380450</v>
      </c>
      <c r="H25" s="49">
        <f t="shared" si="2"/>
        <v>12424050</v>
      </c>
      <c r="I25" s="29"/>
      <c r="J25" s="70"/>
      <c r="K25" s="8"/>
      <c r="L25" s="116"/>
      <c r="M25" s="89"/>
    </row>
    <row r="26" spans="1:13" s="3" customFormat="1" ht="21.75" customHeight="1" x14ac:dyDescent="0.4">
      <c r="A26" s="118">
        <v>45991</v>
      </c>
      <c r="B26" s="103" t="s">
        <v>556</v>
      </c>
      <c r="C26" s="192" t="s">
        <v>39</v>
      </c>
      <c r="D26" s="76" t="s">
        <v>40</v>
      </c>
      <c r="E26" s="76"/>
      <c r="F26" s="108">
        <v>6</v>
      </c>
      <c r="G26" s="7">
        <v>1380450</v>
      </c>
      <c r="H26" s="49">
        <f t="shared" si="2"/>
        <v>8282700</v>
      </c>
      <c r="I26" s="29"/>
      <c r="J26" s="70"/>
      <c r="K26" s="8"/>
      <c r="L26" s="116"/>
      <c r="M26" s="89"/>
    </row>
    <row r="27" spans="1:13" s="3" customFormat="1" ht="21.75" customHeight="1" x14ac:dyDescent="0.4">
      <c r="A27" s="118">
        <v>45991</v>
      </c>
      <c r="B27" s="103" t="s">
        <v>556</v>
      </c>
      <c r="C27" s="192" t="s">
        <v>47</v>
      </c>
      <c r="D27" s="76" t="s">
        <v>48</v>
      </c>
      <c r="E27" s="76"/>
      <c r="F27" s="108">
        <v>27</v>
      </c>
      <c r="G27" s="7">
        <v>231760</v>
      </c>
      <c r="H27" s="49">
        <f t="shared" si="2"/>
        <v>6257520</v>
      </c>
      <c r="I27" s="29"/>
      <c r="J27" s="70"/>
      <c r="K27" s="8"/>
      <c r="L27" s="116"/>
      <c r="M27" s="89"/>
    </row>
    <row r="28" spans="1:13" s="3" customFormat="1" ht="21.75" customHeight="1" x14ac:dyDescent="0.4">
      <c r="A28" s="118">
        <v>45991</v>
      </c>
      <c r="B28" s="103" t="s">
        <v>556</v>
      </c>
      <c r="C28" s="192" t="s">
        <v>49</v>
      </c>
      <c r="D28" s="76" t="s">
        <v>50</v>
      </c>
      <c r="E28" s="76"/>
      <c r="F28" s="108">
        <v>39</v>
      </c>
      <c r="G28" s="7">
        <v>101460</v>
      </c>
      <c r="H28" s="49">
        <f t="shared" si="2"/>
        <v>3956940</v>
      </c>
      <c r="I28" s="29"/>
      <c r="J28" s="70"/>
      <c r="K28" s="8"/>
      <c r="L28" s="116"/>
      <c r="M28" s="89"/>
    </row>
    <row r="29" spans="1:13" s="3" customFormat="1" ht="21.75" customHeight="1" x14ac:dyDescent="0.4">
      <c r="A29" s="118">
        <v>45991</v>
      </c>
      <c r="B29" s="103" t="s">
        <v>556</v>
      </c>
      <c r="C29" s="192" t="s">
        <v>49</v>
      </c>
      <c r="D29" s="76" t="s">
        <v>50</v>
      </c>
      <c r="E29" s="76"/>
      <c r="F29" s="108">
        <v>11</v>
      </c>
      <c r="G29" s="7">
        <v>101460</v>
      </c>
      <c r="H29" s="49">
        <f t="shared" si="2"/>
        <v>1116060</v>
      </c>
      <c r="I29" s="29"/>
      <c r="J29" s="70"/>
      <c r="K29" s="8"/>
      <c r="L29" s="116"/>
      <c r="M29" s="89"/>
    </row>
    <row r="30" spans="1:13" s="3" customFormat="1" ht="21.75" customHeight="1" x14ac:dyDescent="0.4">
      <c r="A30" s="118">
        <v>45991</v>
      </c>
      <c r="B30" s="103" t="s">
        <v>556</v>
      </c>
      <c r="C30" s="192" t="s">
        <v>177</v>
      </c>
      <c r="D30" s="76" t="s">
        <v>178</v>
      </c>
      <c r="E30" s="76"/>
      <c r="F30" s="108">
        <v>43</v>
      </c>
      <c r="G30" s="7">
        <v>176840</v>
      </c>
      <c r="H30" s="49">
        <f t="shared" si="2"/>
        <v>7604120</v>
      </c>
      <c r="I30" s="29"/>
      <c r="J30" s="70"/>
      <c r="K30" s="8"/>
      <c r="L30" s="116"/>
      <c r="M30" s="89"/>
    </row>
    <row r="31" spans="1:13" s="3" customFormat="1" ht="21.75" customHeight="1" x14ac:dyDescent="0.4">
      <c r="A31" s="118">
        <v>45991</v>
      </c>
      <c r="B31" s="103" t="s">
        <v>556</v>
      </c>
      <c r="C31" s="192" t="s">
        <v>51</v>
      </c>
      <c r="D31" s="76" t="s">
        <v>52</v>
      </c>
      <c r="E31" s="76"/>
      <c r="F31" s="108">
        <v>4</v>
      </c>
      <c r="G31" s="7">
        <v>139230</v>
      </c>
      <c r="H31" s="49">
        <f t="shared" si="2"/>
        <v>556920</v>
      </c>
      <c r="I31" s="29"/>
      <c r="J31" s="70"/>
      <c r="K31" s="8"/>
      <c r="L31" s="116"/>
      <c r="M31" s="89"/>
    </row>
    <row r="32" spans="1:13" s="3" customFormat="1" ht="21.75" customHeight="1" x14ac:dyDescent="0.4">
      <c r="A32" s="118">
        <v>45991</v>
      </c>
      <c r="B32" s="103" t="s">
        <v>556</v>
      </c>
      <c r="C32" s="192" t="s">
        <v>51</v>
      </c>
      <c r="D32" s="76" t="s">
        <v>52</v>
      </c>
      <c r="E32" s="76"/>
      <c r="F32" s="108">
        <v>1</v>
      </c>
      <c r="G32" s="7">
        <v>139230</v>
      </c>
      <c r="H32" s="49">
        <f t="shared" si="2"/>
        <v>139230</v>
      </c>
      <c r="I32" s="29"/>
      <c r="J32" s="70"/>
      <c r="K32" s="8"/>
      <c r="L32" s="116"/>
      <c r="M32" s="89"/>
    </row>
    <row r="33" spans="1:13" s="3" customFormat="1" ht="21.75" customHeight="1" x14ac:dyDescent="0.4">
      <c r="A33" s="118">
        <v>45991</v>
      </c>
      <c r="B33" s="103" t="s">
        <v>556</v>
      </c>
      <c r="C33" s="192" t="s">
        <v>51</v>
      </c>
      <c r="D33" s="76" t="s">
        <v>52</v>
      </c>
      <c r="E33" s="76"/>
      <c r="F33" s="108">
        <v>15</v>
      </c>
      <c r="G33" s="7">
        <v>139230</v>
      </c>
      <c r="H33" s="49">
        <f t="shared" si="2"/>
        <v>2088450</v>
      </c>
      <c r="I33" s="29"/>
      <c r="J33" s="70"/>
      <c r="K33" s="8"/>
      <c r="L33" s="116"/>
      <c r="M33" s="89"/>
    </row>
    <row r="34" spans="1:13" s="3" customFormat="1" ht="21.75" customHeight="1" x14ac:dyDescent="0.4">
      <c r="A34" s="118">
        <v>45991</v>
      </c>
      <c r="B34" s="103" t="s">
        <v>556</v>
      </c>
      <c r="C34" s="192" t="s">
        <v>376</v>
      </c>
      <c r="D34" s="76">
        <v>7060740312</v>
      </c>
      <c r="E34" s="76" t="s">
        <v>13</v>
      </c>
      <c r="F34" s="108">
        <v>7</v>
      </c>
      <c r="G34" s="7">
        <v>5972950</v>
      </c>
      <c r="H34" s="49">
        <f t="shared" si="2"/>
        <v>41810650</v>
      </c>
      <c r="I34" s="29"/>
      <c r="J34" s="70"/>
      <c r="K34" s="8"/>
      <c r="L34" s="116"/>
      <c r="M34" s="89"/>
    </row>
    <row r="35" spans="1:13" s="3" customFormat="1" ht="21" customHeight="1" x14ac:dyDescent="0.4">
      <c r="A35" s="4">
        <v>46001</v>
      </c>
      <c r="B35" s="103" t="s">
        <v>516</v>
      </c>
      <c r="C35" s="236" t="s">
        <v>33</v>
      </c>
      <c r="D35" s="1" t="s">
        <v>34</v>
      </c>
      <c r="E35" s="1"/>
      <c r="F35" s="228">
        <v>29</v>
      </c>
      <c r="G35" s="228">
        <v>557400</v>
      </c>
      <c r="H35" s="275">
        <f t="shared" ref="H35:H40" si="3">F35*G35</f>
        <v>16164600</v>
      </c>
      <c r="I35" s="237"/>
      <c r="J35" s="228"/>
      <c r="K35" s="228"/>
      <c r="L35" s="237"/>
      <c r="M35" s="232"/>
    </row>
    <row r="36" spans="1:13" s="3" customFormat="1" ht="21" customHeight="1" x14ac:dyDescent="0.4">
      <c r="A36" s="4">
        <v>46001</v>
      </c>
      <c r="B36" s="103" t="s">
        <v>516</v>
      </c>
      <c r="C36" s="236" t="s">
        <v>39</v>
      </c>
      <c r="D36" s="1" t="s">
        <v>40</v>
      </c>
      <c r="E36" s="1"/>
      <c r="F36" s="228">
        <v>13</v>
      </c>
      <c r="G36" s="228">
        <v>1380450</v>
      </c>
      <c r="H36" s="275">
        <f t="shared" si="3"/>
        <v>17945850</v>
      </c>
      <c r="I36" s="237"/>
      <c r="J36" s="228"/>
      <c r="K36" s="228"/>
      <c r="L36" s="237"/>
      <c r="M36" s="232"/>
    </row>
    <row r="37" spans="1:13" s="3" customFormat="1" ht="21" customHeight="1" x14ac:dyDescent="0.4">
      <c r="A37" s="4">
        <v>46001</v>
      </c>
      <c r="B37" s="103" t="s">
        <v>516</v>
      </c>
      <c r="C37" s="236" t="s">
        <v>43</v>
      </c>
      <c r="D37" s="1" t="s">
        <v>44</v>
      </c>
      <c r="E37" s="1"/>
      <c r="F37" s="228">
        <v>22</v>
      </c>
      <c r="G37" s="228">
        <v>174080</v>
      </c>
      <c r="H37" s="275">
        <f t="shared" si="3"/>
        <v>3829760</v>
      </c>
      <c r="I37" s="237"/>
      <c r="J37" s="228"/>
      <c r="K37" s="228"/>
      <c r="L37" s="237"/>
      <c r="M37" s="232"/>
    </row>
    <row r="38" spans="1:13" s="3" customFormat="1" ht="21" customHeight="1" x14ac:dyDescent="0.4">
      <c r="A38" s="4">
        <v>46001</v>
      </c>
      <c r="B38" s="103" t="s">
        <v>516</v>
      </c>
      <c r="C38" s="236" t="s">
        <v>172</v>
      </c>
      <c r="D38" s="1" t="s">
        <v>173</v>
      </c>
      <c r="E38" s="1"/>
      <c r="F38" s="228">
        <v>40</v>
      </c>
      <c r="G38" s="228">
        <v>246640</v>
      </c>
      <c r="H38" s="275">
        <f t="shared" si="3"/>
        <v>9865600</v>
      </c>
      <c r="I38" s="237"/>
      <c r="J38" s="228"/>
      <c r="K38" s="228"/>
      <c r="L38" s="237"/>
      <c r="M38" s="232"/>
    </row>
    <row r="39" spans="1:13" s="3" customFormat="1" ht="21" customHeight="1" x14ac:dyDescent="0.4">
      <c r="A39" s="4">
        <v>46001</v>
      </c>
      <c r="B39" s="103" t="s">
        <v>516</v>
      </c>
      <c r="C39" s="236" t="s">
        <v>47</v>
      </c>
      <c r="D39" s="1" t="s">
        <v>48</v>
      </c>
      <c r="E39" s="1"/>
      <c r="F39" s="228">
        <v>26</v>
      </c>
      <c r="G39" s="228">
        <v>231760</v>
      </c>
      <c r="H39" s="275">
        <f t="shared" si="3"/>
        <v>6025760</v>
      </c>
      <c r="I39" s="237"/>
      <c r="J39" s="228"/>
      <c r="K39" s="228"/>
      <c r="L39" s="237"/>
      <c r="M39" s="232"/>
    </row>
    <row r="40" spans="1:13" s="3" customFormat="1" ht="21" customHeight="1" x14ac:dyDescent="0.4">
      <c r="A40" s="4">
        <v>46001</v>
      </c>
      <c r="B40" s="103" t="s">
        <v>516</v>
      </c>
      <c r="C40" s="236" t="s">
        <v>51</v>
      </c>
      <c r="D40" s="1" t="s">
        <v>52</v>
      </c>
      <c r="E40" s="1"/>
      <c r="F40" s="228">
        <v>43</v>
      </c>
      <c r="G40" s="228">
        <v>139230</v>
      </c>
      <c r="H40" s="275">
        <f t="shared" si="3"/>
        <v>5986890</v>
      </c>
      <c r="I40" s="237"/>
      <c r="J40" s="228"/>
      <c r="K40" s="228"/>
      <c r="L40" s="237"/>
      <c r="M40" s="232"/>
    </row>
    <row r="41" spans="1:13" s="3" customFormat="1" ht="21" customHeight="1" x14ac:dyDescent="0.4">
      <c r="A41" s="4">
        <v>46001</v>
      </c>
      <c r="B41" s="103" t="s">
        <v>516</v>
      </c>
      <c r="C41" s="236" t="s">
        <v>444</v>
      </c>
      <c r="D41" s="1">
        <v>7061532839</v>
      </c>
      <c r="E41" s="1" t="s">
        <v>127</v>
      </c>
      <c r="F41" s="228">
        <v>3</v>
      </c>
      <c r="G41" s="228">
        <v>65710</v>
      </c>
      <c r="H41" s="275" t="s">
        <v>186</v>
      </c>
      <c r="I41" s="237"/>
      <c r="J41" s="228"/>
      <c r="K41" s="228"/>
      <c r="L41" s="237"/>
      <c r="M41" s="232"/>
    </row>
    <row r="42" spans="1:13" s="3" customFormat="1" ht="21" customHeight="1" x14ac:dyDescent="0.4">
      <c r="A42" s="4">
        <v>46008</v>
      </c>
      <c r="B42" s="103" t="s">
        <v>516</v>
      </c>
      <c r="C42" s="236" t="s">
        <v>41</v>
      </c>
      <c r="D42" s="1" t="s">
        <v>42</v>
      </c>
      <c r="E42" s="1"/>
      <c r="F42" s="228">
        <v>32</v>
      </c>
      <c r="G42" s="228">
        <v>203030</v>
      </c>
      <c r="H42" s="275">
        <f>F42*G42</f>
        <v>6496960</v>
      </c>
      <c r="I42" s="237"/>
      <c r="J42" s="228"/>
      <c r="K42" s="228"/>
      <c r="L42" s="237"/>
      <c r="M42" s="232"/>
    </row>
    <row r="43" spans="1:13" s="3" customFormat="1" ht="21" customHeight="1" x14ac:dyDescent="0.4">
      <c r="A43" s="4">
        <v>46008</v>
      </c>
      <c r="B43" s="103" t="s">
        <v>516</v>
      </c>
      <c r="C43" s="236" t="s">
        <v>41</v>
      </c>
      <c r="D43" s="1" t="s">
        <v>42</v>
      </c>
      <c r="E43" s="1"/>
      <c r="F43" s="228">
        <v>85</v>
      </c>
      <c r="G43" s="228">
        <v>203030</v>
      </c>
      <c r="H43" s="275">
        <f>F43*G43</f>
        <v>17257550</v>
      </c>
      <c r="I43" s="237"/>
      <c r="J43" s="228"/>
      <c r="K43" s="228"/>
      <c r="L43" s="237"/>
      <c r="M43" s="232"/>
    </row>
    <row r="44" spans="1:13" s="3" customFormat="1" ht="21" customHeight="1" x14ac:dyDescent="0.4">
      <c r="A44" s="4">
        <v>46008</v>
      </c>
      <c r="B44" s="103" t="s">
        <v>516</v>
      </c>
      <c r="C44" s="236" t="s">
        <v>41</v>
      </c>
      <c r="D44" s="1" t="s">
        <v>42</v>
      </c>
      <c r="E44" s="1"/>
      <c r="F44" s="228">
        <v>17</v>
      </c>
      <c r="G44" s="228">
        <v>203030</v>
      </c>
      <c r="H44" s="275" t="s">
        <v>186</v>
      </c>
      <c r="I44" s="237"/>
      <c r="J44" s="228"/>
      <c r="K44" s="228"/>
      <c r="L44" s="237"/>
      <c r="M44" s="232"/>
    </row>
    <row r="45" spans="1:13" s="3" customFormat="1" ht="21" customHeight="1" x14ac:dyDescent="0.4">
      <c r="A45" s="4">
        <v>46008</v>
      </c>
      <c r="B45" s="103" t="s">
        <v>516</v>
      </c>
      <c r="C45" s="236" t="s">
        <v>45</v>
      </c>
      <c r="D45" s="1" t="s">
        <v>46</v>
      </c>
      <c r="E45" s="1"/>
      <c r="F45" s="228">
        <v>29</v>
      </c>
      <c r="G45" s="228">
        <v>133110</v>
      </c>
      <c r="H45" s="275">
        <f t="shared" ref="H45:H51" si="4">F45*G45</f>
        <v>3860190</v>
      </c>
      <c r="I45" s="237"/>
      <c r="J45" s="228"/>
      <c r="K45" s="228"/>
      <c r="L45" s="237"/>
      <c r="M45" s="232"/>
    </row>
    <row r="46" spans="1:13" s="3" customFormat="1" ht="21" customHeight="1" x14ac:dyDescent="0.4">
      <c r="A46" s="4">
        <v>46008</v>
      </c>
      <c r="B46" s="103" t="s">
        <v>516</v>
      </c>
      <c r="C46" s="236" t="s">
        <v>45</v>
      </c>
      <c r="D46" s="1" t="s">
        <v>46</v>
      </c>
      <c r="E46" s="1"/>
      <c r="F46" s="228">
        <v>82</v>
      </c>
      <c r="G46" s="228">
        <v>133110</v>
      </c>
      <c r="H46" s="275">
        <f t="shared" si="4"/>
        <v>10915020</v>
      </c>
      <c r="I46" s="237"/>
      <c r="J46" s="228"/>
      <c r="K46" s="228"/>
      <c r="L46" s="237"/>
      <c r="M46" s="232"/>
    </row>
    <row r="47" spans="1:13" s="3" customFormat="1" ht="21" customHeight="1" x14ac:dyDescent="0.4">
      <c r="A47" s="4">
        <v>46009</v>
      </c>
      <c r="B47" s="103" t="s">
        <v>516</v>
      </c>
      <c r="C47" s="236" t="s">
        <v>279</v>
      </c>
      <c r="D47" s="1" t="s">
        <v>280</v>
      </c>
      <c r="E47" s="1"/>
      <c r="F47" s="228">
        <v>6</v>
      </c>
      <c r="G47" s="239">
        <v>242500</v>
      </c>
      <c r="H47" s="275">
        <f t="shared" si="4"/>
        <v>1455000</v>
      </c>
      <c r="I47" s="237"/>
      <c r="J47" s="228"/>
      <c r="K47" s="228"/>
      <c r="L47" s="237"/>
      <c r="M47" s="232"/>
    </row>
    <row r="48" spans="1:13" s="3" customFormat="1" ht="21" customHeight="1" x14ac:dyDescent="0.4">
      <c r="A48" s="4">
        <v>46009</v>
      </c>
      <c r="B48" s="103" t="s">
        <v>516</v>
      </c>
      <c r="C48" s="236" t="s">
        <v>279</v>
      </c>
      <c r="D48" s="1" t="s">
        <v>280</v>
      </c>
      <c r="E48" s="1"/>
      <c r="F48" s="228">
        <v>7</v>
      </c>
      <c r="G48" s="239">
        <v>242500</v>
      </c>
      <c r="H48" s="275">
        <f t="shared" si="4"/>
        <v>1697500</v>
      </c>
      <c r="I48" s="237"/>
      <c r="J48" s="228"/>
      <c r="K48" s="228"/>
      <c r="L48" s="237"/>
      <c r="M48" s="232"/>
    </row>
    <row r="49" spans="1:13" s="3" customFormat="1" ht="21" customHeight="1" x14ac:dyDescent="0.4">
      <c r="A49" s="4">
        <v>46009</v>
      </c>
      <c r="B49" s="103" t="s">
        <v>516</v>
      </c>
      <c r="C49" s="236" t="s">
        <v>32</v>
      </c>
      <c r="D49" s="1" t="s">
        <v>517</v>
      </c>
      <c r="E49" s="1"/>
      <c r="F49" s="228">
        <v>8</v>
      </c>
      <c r="G49" s="239">
        <v>49900</v>
      </c>
      <c r="H49" s="275">
        <f t="shared" si="4"/>
        <v>399200</v>
      </c>
      <c r="I49" s="237"/>
      <c r="J49" s="228"/>
      <c r="K49" s="228"/>
      <c r="L49" s="237"/>
      <c r="M49" s="232"/>
    </row>
    <row r="50" spans="1:13" s="3" customFormat="1" ht="21" customHeight="1" x14ac:dyDescent="0.4">
      <c r="A50" s="4">
        <v>46009</v>
      </c>
      <c r="B50" s="103" t="s">
        <v>516</v>
      </c>
      <c r="C50" s="236" t="s">
        <v>32</v>
      </c>
      <c r="D50" s="1" t="s">
        <v>517</v>
      </c>
      <c r="E50" s="1"/>
      <c r="F50" s="228">
        <v>52</v>
      </c>
      <c r="G50" s="239">
        <v>49900</v>
      </c>
      <c r="H50" s="275">
        <f t="shared" si="4"/>
        <v>2594800</v>
      </c>
      <c r="I50" s="237"/>
      <c r="J50" s="228"/>
      <c r="K50" s="228"/>
      <c r="L50" s="237"/>
      <c r="M50" s="232"/>
    </row>
    <row r="51" spans="1:13" s="3" customFormat="1" ht="21" customHeight="1" x14ac:dyDescent="0.4">
      <c r="A51" s="4">
        <v>46009</v>
      </c>
      <c r="B51" s="103" t="s">
        <v>516</v>
      </c>
      <c r="C51" s="236" t="s">
        <v>105</v>
      </c>
      <c r="D51" s="1" t="s">
        <v>176</v>
      </c>
      <c r="E51" s="1"/>
      <c r="F51" s="228">
        <v>10</v>
      </c>
      <c r="G51" s="228">
        <v>51460</v>
      </c>
      <c r="H51" s="275">
        <f t="shared" si="4"/>
        <v>514600</v>
      </c>
      <c r="I51" s="237"/>
      <c r="J51" s="228"/>
      <c r="K51" s="228"/>
      <c r="L51" s="237"/>
      <c r="M51" s="232"/>
    </row>
    <row r="52" spans="1:13" s="3" customFormat="1" ht="21" customHeight="1" x14ac:dyDescent="0.4">
      <c r="A52" s="4">
        <v>46009</v>
      </c>
      <c r="B52" s="103" t="s">
        <v>516</v>
      </c>
      <c r="C52" s="236" t="s">
        <v>105</v>
      </c>
      <c r="D52" s="1" t="s">
        <v>176</v>
      </c>
      <c r="E52" s="1"/>
      <c r="F52" s="228">
        <v>3</v>
      </c>
      <c r="G52" s="228">
        <v>51460</v>
      </c>
      <c r="H52" s="275" t="s">
        <v>186</v>
      </c>
      <c r="I52" s="237"/>
      <c r="J52" s="228"/>
      <c r="K52" s="228"/>
      <c r="L52" s="237"/>
      <c r="M52" s="232"/>
    </row>
    <row r="53" spans="1:13" s="3" customFormat="1" ht="21" customHeight="1" x14ac:dyDescent="0.4">
      <c r="A53" s="4">
        <v>46009</v>
      </c>
      <c r="B53" s="103" t="s">
        <v>516</v>
      </c>
      <c r="C53" s="236" t="s">
        <v>179</v>
      </c>
      <c r="D53" s="1" t="s">
        <v>180</v>
      </c>
      <c r="E53" s="1"/>
      <c r="F53" s="228">
        <v>9</v>
      </c>
      <c r="G53" s="239">
        <v>147800</v>
      </c>
      <c r="H53" s="275">
        <f t="shared" ref="H53:H71" si="5">F53*G53</f>
        <v>1330200</v>
      </c>
      <c r="I53" s="237"/>
      <c r="J53" s="228"/>
      <c r="K53" s="228"/>
      <c r="L53" s="237"/>
      <c r="M53" s="232"/>
    </row>
    <row r="54" spans="1:13" s="3" customFormat="1" ht="21" customHeight="1" x14ac:dyDescent="0.4">
      <c r="A54" s="4">
        <v>46009</v>
      </c>
      <c r="B54" s="103" t="s">
        <v>516</v>
      </c>
      <c r="C54" s="236" t="s">
        <v>174</v>
      </c>
      <c r="D54" s="1" t="s">
        <v>175</v>
      </c>
      <c r="E54" s="1"/>
      <c r="F54" s="228">
        <v>16</v>
      </c>
      <c r="G54" s="228">
        <v>140240</v>
      </c>
      <c r="H54" s="275">
        <f t="shared" si="5"/>
        <v>2243840</v>
      </c>
      <c r="I54" s="237"/>
      <c r="J54" s="228"/>
      <c r="K54" s="228"/>
      <c r="L54" s="237"/>
      <c r="M54" s="232"/>
    </row>
    <row r="55" spans="1:13" s="3" customFormat="1" ht="21" customHeight="1" x14ac:dyDescent="0.4">
      <c r="A55" s="4">
        <v>46009</v>
      </c>
      <c r="B55" s="103" t="s">
        <v>516</v>
      </c>
      <c r="C55" s="236" t="s">
        <v>174</v>
      </c>
      <c r="D55" s="1" t="s">
        <v>175</v>
      </c>
      <c r="E55" s="1"/>
      <c r="F55" s="228">
        <v>1</v>
      </c>
      <c r="G55" s="228">
        <v>140240</v>
      </c>
      <c r="H55" s="275">
        <f t="shared" si="5"/>
        <v>140240</v>
      </c>
      <c r="I55" s="237"/>
      <c r="J55" s="228"/>
      <c r="K55" s="228"/>
      <c r="L55" s="237"/>
      <c r="M55" s="232"/>
    </row>
    <row r="56" spans="1:13" s="3" customFormat="1" ht="21" customHeight="1" x14ac:dyDescent="0.4">
      <c r="A56" s="4">
        <v>46009</v>
      </c>
      <c r="B56" s="103" t="s">
        <v>516</v>
      </c>
      <c r="C56" s="236" t="s">
        <v>174</v>
      </c>
      <c r="D56" s="1" t="s">
        <v>175</v>
      </c>
      <c r="E56" s="1"/>
      <c r="F56" s="228">
        <v>3</v>
      </c>
      <c r="G56" s="228">
        <v>140240</v>
      </c>
      <c r="H56" s="275">
        <f t="shared" si="5"/>
        <v>420720</v>
      </c>
      <c r="I56" s="237"/>
      <c r="J56" s="228"/>
      <c r="K56" s="228"/>
      <c r="L56" s="237"/>
      <c r="M56" s="232"/>
    </row>
    <row r="57" spans="1:13" s="3" customFormat="1" ht="21" customHeight="1" x14ac:dyDescent="0.4">
      <c r="A57" s="4">
        <v>46009</v>
      </c>
      <c r="B57" s="103" t="s">
        <v>516</v>
      </c>
      <c r="C57" s="236" t="s">
        <v>174</v>
      </c>
      <c r="D57" s="1" t="s">
        <v>175</v>
      </c>
      <c r="E57" s="1"/>
      <c r="F57" s="228">
        <v>2</v>
      </c>
      <c r="G57" s="228">
        <v>140240</v>
      </c>
      <c r="H57" s="275">
        <f t="shared" si="5"/>
        <v>280480</v>
      </c>
      <c r="I57" s="237"/>
      <c r="J57" s="228"/>
      <c r="K57" s="228"/>
      <c r="L57" s="237"/>
      <c r="M57" s="232"/>
    </row>
    <row r="58" spans="1:13" s="3" customFormat="1" ht="21" customHeight="1" x14ac:dyDescent="0.4">
      <c r="A58" s="4">
        <v>46009</v>
      </c>
      <c r="B58" s="103" t="s">
        <v>516</v>
      </c>
      <c r="C58" s="236" t="s">
        <v>174</v>
      </c>
      <c r="D58" s="1" t="s">
        <v>175</v>
      </c>
      <c r="E58" s="1"/>
      <c r="F58" s="228">
        <v>22</v>
      </c>
      <c r="G58" s="228">
        <v>154300</v>
      </c>
      <c r="H58" s="275">
        <f t="shared" si="5"/>
        <v>3394600</v>
      </c>
      <c r="I58" s="237">
        <v>154300</v>
      </c>
      <c r="J58" s="228"/>
      <c r="K58" s="228"/>
      <c r="L58" s="237"/>
      <c r="M58" s="232"/>
    </row>
    <row r="59" spans="1:13" s="3" customFormat="1" ht="21" customHeight="1" x14ac:dyDescent="0.4">
      <c r="A59" s="4">
        <v>46009</v>
      </c>
      <c r="B59" s="103" t="s">
        <v>516</v>
      </c>
      <c r="C59" s="236" t="s">
        <v>174</v>
      </c>
      <c r="D59" s="1" t="s">
        <v>175</v>
      </c>
      <c r="E59" s="1"/>
      <c r="F59" s="228">
        <v>6</v>
      </c>
      <c r="G59" s="228">
        <v>154300</v>
      </c>
      <c r="H59" s="275">
        <f t="shared" si="5"/>
        <v>925800</v>
      </c>
      <c r="I59" s="237">
        <v>154300</v>
      </c>
      <c r="J59" s="228"/>
      <c r="K59" s="228"/>
      <c r="L59" s="237"/>
      <c r="M59" s="232"/>
    </row>
    <row r="60" spans="1:13" s="3" customFormat="1" ht="21" customHeight="1" x14ac:dyDescent="0.4">
      <c r="A60" s="4">
        <v>46009</v>
      </c>
      <c r="B60" s="103" t="s">
        <v>516</v>
      </c>
      <c r="C60" s="236" t="s">
        <v>35</v>
      </c>
      <c r="D60" s="1" t="s">
        <v>36</v>
      </c>
      <c r="E60" s="1"/>
      <c r="F60" s="228">
        <v>8</v>
      </c>
      <c r="G60" s="228">
        <v>1259290</v>
      </c>
      <c r="H60" s="275">
        <f t="shared" si="5"/>
        <v>10074320</v>
      </c>
      <c r="I60" s="237"/>
      <c r="J60" s="228"/>
      <c r="K60" s="228"/>
      <c r="L60" s="237"/>
      <c r="M60" s="232"/>
    </row>
    <row r="61" spans="1:13" s="3" customFormat="1" ht="21" customHeight="1" x14ac:dyDescent="0.4">
      <c r="A61" s="4">
        <v>46009</v>
      </c>
      <c r="B61" s="103" t="s">
        <v>516</v>
      </c>
      <c r="C61" s="236" t="s">
        <v>37</v>
      </c>
      <c r="D61" s="1" t="s">
        <v>38</v>
      </c>
      <c r="E61" s="1"/>
      <c r="F61" s="228">
        <v>13</v>
      </c>
      <c r="G61" s="228">
        <v>1278690</v>
      </c>
      <c r="H61" s="275">
        <f t="shared" si="5"/>
        <v>16622970</v>
      </c>
      <c r="I61" s="237"/>
      <c r="J61" s="228"/>
      <c r="K61" s="228"/>
      <c r="L61" s="237"/>
      <c r="M61" s="232"/>
    </row>
    <row r="62" spans="1:13" s="3" customFormat="1" ht="21" customHeight="1" x14ac:dyDescent="0.4">
      <c r="A62" s="4">
        <v>46009</v>
      </c>
      <c r="B62" s="103" t="s">
        <v>516</v>
      </c>
      <c r="C62" s="236" t="s">
        <v>39</v>
      </c>
      <c r="D62" s="1" t="s">
        <v>40</v>
      </c>
      <c r="E62" s="1"/>
      <c r="F62" s="228">
        <v>28</v>
      </c>
      <c r="G62" s="228">
        <v>1380450</v>
      </c>
      <c r="H62" s="275">
        <f t="shared" si="5"/>
        <v>38652600</v>
      </c>
      <c r="I62" s="237"/>
      <c r="J62" s="228"/>
      <c r="K62" s="228"/>
      <c r="L62" s="237"/>
      <c r="M62" s="232"/>
    </row>
    <row r="63" spans="1:13" s="3" customFormat="1" ht="21" customHeight="1" x14ac:dyDescent="0.4">
      <c r="A63" s="4">
        <v>46009</v>
      </c>
      <c r="B63" s="103" t="s">
        <v>516</v>
      </c>
      <c r="C63" s="236" t="s">
        <v>172</v>
      </c>
      <c r="D63" s="1" t="s">
        <v>173</v>
      </c>
      <c r="E63" s="1"/>
      <c r="F63" s="228">
        <v>41</v>
      </c>
      <c r="G63" s="228">
        <v>246640</v>
      </c>
      <c r="H63" s="275">
        <f t="shared" si="5"/>
        <v>10112240</v>
      </c>
      <c r="I63" s="237"/>
      <c r="J63" s="228"/>
      <c r="K63" s="228"/>
      <c r="L63" s="237"/>
      <c r="M63" s="232"/>
    </row>
    <row r="64" spans="1:13" s="3" customFormat="1" ht="21" customHeight="1" x14ac:dyDescent="0.4">
      <c r="A64" s="4">
        <v>46009</v>
      </c>
      <c r="B64" s="103" t="s">
        <v>516</v>
      </c>
      <c r="C64" s="236" t="s">
        <v>47</v>
      </c>
      <c r="D64" s="1" t="s">
        <v>375</v>
      </c>
      <c r="E64" s="1"/>
      <c r="F64" s="228">
        <v>16</v>
      </c>
      <c r="G64" s="228">
        <v>231760</v>
      </c>
      <c r="H64" s="275">
        <f t="shared" si="5"/>
        <v>3708160</v>
      </c>
      <c r="I64" s="237"/>
      <c r="J64" s="228"/>
      <c r="K64" s="228"/>
      <c r="L64" s="237"/>
      <c r="M64" s="232"/>
    </row>
    <row r="65" spans="1:13" s="3" customFormat="1" ht="21" customHeight="1" x14ac:dyDescent="0.4">
      <c r="A65" s="4">
        <v>46020</v>
      </c>
      <c r="B65" s="103" t="s">
        <v>516</v>
      </c>
      <c r="C65" s="236" t="s">
        <v>347</v>
      </c>
      <c r="D65" s="1" t="s">
        <v>348</v>
      </c>
      <c r="E65" s="1"/>
      <c r="F65" s="228">
        <v>13</v>
      </c>
      <c r="G65" s="228">
        <v>38000</v>
      </c>
      <c r="H65" s="275">
        <f t="shared" si="5"/>
        <v>494000</v>
      </c>
      <c r="I65" s="237" t="s">
        <v>689</v>
      </c>
      <c r="J65" s="228"/>
      <c r="K65" s="228"/>
      <c r="L65" s="237"/>
      <c r="M65" s="232"/>
    </row>
    <row r="66" spans="1:13" s="3" customFormat="1" ht="21" customHeight="1" x14ac:dyDescent="0.4">
      <c r="A66" s="4">
        <v>46020</v>
      </c>
      <c r="B66" s="103" t="s">
        <v>516</v>
      </c>
      <c r="C66" s="236" t="s">
        <v>347</v>
      </c>
      <c r="D66" s="1" t="s">
        <v>349</v>
      </c>
      <c r="E66" s="1"/>
      <c r="F66" s="239">
        <v>13</v>
      </c>
      <c r="G66" s="228">
        <v>43200</v>
      </c>
      <c r="H66" s="275">
        <f t="shared" si="5"/>
        <v>561600</v>
      </c>
      <c r="I66" s="237" t="s">
        <v>689</v>
      </c>
      <c r="J66" s="228"/>
      <c r="K66" s="228"/>
      <c r="L66" s="237"/>
      <c r="M66" s="232"/>
    </row>
    <row r="67" spans="1:13" s="3" customFormat="1" ht="21" customHeight="1" x14ac:dyDescent="0.4">
      <c r="A67" s="4">
        <v>46020</v>
      </c>
      <c r="B67" s="103" t="s">
        <v>516</v>
      </c>
      <c r="C67" s="236" t="s">
        <v>347</v>
      </c>
      <c r="D67" s="1" t="s">
        <v>350</v>
      </c>
      <c r="E67" s="1"/>
      <c r="F67" s="228">
        <v>13</v>
      </c>
      <c r="G67" s="228">
        <v>38000</v>
      </c>
      <c r="H67" s="275">
        <f t="shared" si="5"/>
        <v>494000</v>
      </c>
      <c r="I67" s="237" t="s">
        <v>689</v>
      </c>
      <c r="J67" s="228"/>
      <c r="K67" s="228"/>
      <c r="L67" s="237"/>
      <c r="M67" s="232"/>
    </row>
    <row r="68" spans="1:13" s="3" customFormat="1" ht="21" customHeight="1" x14ac:dyDescent="0.4">
      <c r="A68" s="4">
        <v>46020</v>
      </c>
      <c r="B68" s="103" t="s">
        <v>516</v>
      </c>
      <c r="C68" s="236" t="s">
        <v>347</v>
      </c>
      <c r="D68" s="1" t="s">
        <v>351</v>
      </c>
      <c r="E68" s="1"/>
      <c r="F68" s="228">
        <v>13</v>
      </c>
      <c r="G68" s="228">
        <v>39400</v>
      </c>
      <c r="H68" s="275">
        <f t="shared" si="5"/>
        <v>512200</v>
      </c>
      <c r="I68" s="237" t="s">
        <v>689</v>
      </c>
      <c r="J68" s="228"/>
      <c r="K68" s="228"/>
      <c r="L68" s="237"/>
      <c r="M68" s="232"/>
    </row>
    <row r="69" spans="1:13" s="3" customFormat="1" ht="21" customHeight="1" x14ac:dyDescent="0.4">
      <c r="A69" s="4">
        <v>46020</v>
      </c>
      <c r="B69" s="103" t="s">
        <v>516</v>
      </c>
      <c r="C69" s="236" t="s">
        <v>347</v>
      </c>
      <c r="D69" s="1" t="s">
        <v>352</v>
      </c>
      <c r="E69" s="1"/>
      <c r="F69" s="228">
        <v>13</v>
      </c>
      <c r="G69" s="228">
        <v>35400</v>
      </c>
      <c r="H69" s="275">
        <f t="shared" si="5"/>
        <v>460200</v>
      </c>
      <c r="I69" s="237" t="s">
        <v>689</v>
      </c>
      <c r="J69" s="228"/>
      <c r="K69" s="228"/>
      <c r="L69" s="237"/>
      <c r="M69" s="232"/>
    </row>
    <row r="70" spans="1:13" s="3" customFormat="1" ht="21" customHeight="1" x14ac:dyDescent="0.4">
      <c r="A70" s="4">
        <v>46020</v>
      </c>
      <c r="B70" s="103" t="s">
        <v>516</v>
      </c>
      <c r="C70" s="236" t="s">
        <v>347</v>
      </c>
      <c r="D70" s="1" t="s">
        <v>353</v>
      </c>
      <c r="E70" s="1"/>
      <c r="F70" s="228">
        <v>13</v>
      </c>
      <c r="G70" s="228">
        <v>40000</v>
      </c>
      <c r="H70" s="275">
        <f t="shared" si="5"/>
        <v>520000</v>
      </c>
      <c r="I70" s="237" t="s">
        <v>689</v>
      </c>
      <c r="J70" s="228"/>
      <c r="K70" s="228"/>
      <c r="L70" s="237"/>
      <c r="M70" s="232"/>
    </row>
    <row r="71" spans="1:13" s="3" customFormat="1" ht="21" customHeight="1" x14ac:dyDescent="0.4">
      <c r="A71" s="4">
        <v>46020</v>
      </c>
      <c r="B71" s="103" t="s">
        <v>516</v>
      </c>
      <c r="C71" s="236" t="s">
        <v>354</v>
      </c>
      <c r="D71" s="1">
        <v>7060741881</v>
      </c>
      <c r="E71" s="1"/>
      <c r="F71" s="228">
        <v>13</v>
      </c>
      <c r="G71" s="228">
        <v>1157200</v>
      </c>
      <c r="H71" s="275">
        <f t="shared" si="5"/>
        <v>15043600</v>
      </c>
      <c r="I71" s="237" t="s">
        <v>689</v>
      </c>
      <c r="J71" s="228"/>
      <c r="K71" s="228"/>
      <c r="L71" s="237"/>
      <c r="M71" s="232"/>
    </row>
    <row r="72" spans="1:13" s="3" customFormat="1" ht="21" customHeight="1" x14ac:dyDescent="0.4">
      <c r="A72" s="4">
        <v>46020</v>
      </c>
      <c r="B72" s="103" t="s">
        <v>516</v>
      </c>
      <c r="C72" s="236" t="s">
        <v>347</v>
      </c>
      <c r="D72" s="1" t="s">
        <v>348</v>
      </c>
      <c r="E72" s="1"/>
      <c r="F72" s="228">
        <v>8</v>
      </c>
      <c r="G72" s="228">
        <v>38000</v>
      </c>
      <c r="H72" s="275" t="s">
        <v>186</v>
      </c>
      <c r="I72" s="237"/>
      <c r="J72" s="228"/>
      <c r="K72" s="228"/>
      <c r="L72" s="237"/>
      <c r="M72" s="232"/>
    </row>
    <row r="73" spans="1:13" s="3" customFormat="1" ht="21" customHeight="1" x14ac:dyDescent="0.4">
      <c r="A73" s="4">
        <v>46020</v>
      </c>
      <c r="B73" s="103" t="s">
        <v>516</v>
      </c>
      <c r="C73" s="236" t="s">
        <v>347</v>
      </c>
      <c r="D73" s="1" t="s">
        <v>349</v>
      </c>
      <c r="E73" s="1"/>
      <c r="F73" s="228">
        <v>8</v>
      </c>
      <c r="G73" s="228">
        <v>43200</v>
      </c>
      <c r="H73" s="275" t="s">
        <v>186</v>
      </c>
      <c r="I73" s="237"/>
      <c r="J73" s="228"/>
      <c r="K73" s="228"/>
      <c r="L73" s="237"/>
      <c r="M73" s="232"/>
    </row>
    <row r="74" spans="1:13" s="3" customFormat="1" ht="21" customHeight="1" x14ac:dyDescent="0.4">
      <c r="A74" s="4">
        <v>46020</v>
      </c>
      <c r="B74" s="103" t="s">
        <v>516</v>
      </c>
      <c r="C74" s="236" t="s">
        <v>347</v>
      </c>
      <c r="D74" s="1" t="s">
        <v>350</v>
      </c>
      <c r="E74" s="1"/>
      <c r="F74" s="228">
        <v>8</v>
      </c>
      <c r="G74" s="228">
        <v>38000</v>
      </c>
      <c r="H74" s="275" t="s">
        <v>186</v>
      </c>
      <c r="I74" s="237"/>
      <c r="J74" s="228"/>
      <c r="K74" s="228"/>
      <c r="L74" s="237"/>
      <c r="M74" s="232"/>
    </row>
    <row r="75" spans="1:13" s="3" customFormat="1" ht="21" customHeight="1" x14ac:dyDescent="0.4">
      <c r="A75" s="4">
        <v>46020</v>
      </c>
      <c r="B75" s="103" t="s">
        <v>516</v>
      </c>
      <c r="C75" s="236" t="s">
        <v>347</v>
      </c>
      <c r="D75" s="1" t="s">
        <v>351</v>
      </c>
      <c r="E75" s="1"/>
      <c r="F75" s="228">
        <v>8</v>
      </c>
      <c r="G75" s="228">
        <v>39400</v>
      </c>
      <c r="H75" s="275" t="s">
        <v>186</v>
      </c>
      <c r="I75" s="237"/>
      <c r="J75" s="228"/>
      <c r="K75" s="228"/>
      <c r="L75" s="237"/>
      <c r="M75" s="232"/>
    </row>
    <row r="76" spans="1:13" s="3" customFormat="1" ht="21" customHeight="1" x14ac:dyDescent="0.4">
      <c r="A76" s="4">
        <v>46020</v>
      </c>
      <c r="B76" s="103" t="s">
        <v>516</v>
      </c>
      <c r="C76" s="236" t="s">
        <v>347</v>
      </c>
      <c r="D76" s="1" t="s">
        <v>352</v>
      </c>
      <c r="E76" s="1"/>
      <c r="F76" s="228">
        <v>8</v>
      </c>
      <c r="G76" s="228">
        <v>35400</v>
      </c>
      <c r="H76" s="275" t="s">
        <v>186</v>
      </c>
      <c r="I76" s="237"/>
      <c r="J76" s="228"/>
      <c r="K76" s="228"/>
      <c r="L76" s="237"/>
      <c r="M76" s="232"/>
    </row>
    <row r="77" spans="1:13" s="3" customFormat="1" ht="21" customHeight="1" x14ac:dyDescent="0.4">
      <c r="A77" s="4">
        <v>46020</v>
      </c>
      <c r="B77" s="103" t="s">
        <v>516</v>
      </c>
      <c r="C77" s="236" t="s">
        <v>347</v>
      </c>
      <c r="D77" s="1" t="s">
        <v>353</v>
      </c>
      <c r="E77" s="1"/>
      <c r="F77" s="228">
        <v>8</v>
      </c>
      <c r="G77" s="228">
        <v>40000</v>
      </c>
      <c r="H77" s="275" t="s">
        <v>186</v>
      </c>
      <c r="I77" s="237"/>
      <c r="J77" s="228"/>
      <c r="K77" s="228"/>
      <c r="L77" s="237"/>
      <c r="M77" s="232"/>
    </row>
    <row r="78" spans="1:13" s="3" customFormat="1" ht="21" customHeight="1" x14ac:dyDescent="0.4">
      <c r="A78" s="4">
        <v>46020</v>
      </c>
      <c r="B78" s="103" t="s">
        <v>516</v>
      </c>
      <c r="C78" s="236" t="s">
        <v>354</v>
      </c>
      <c r="D78" s="1">
        <v>7060741881</v>
      </c>
      <c r="E78" s="1"/>
      <c r="F78" s="228">
        <v>8</v>
      </c>
      <c r="G78" s="228">
        <v>1157200</v>
      </c>
      <c r="H78" s="275" t="s">
        <v>186</v>
      </c>
      <c r="I78" s="237"/>
      <c r="J78" s="228"/>
      <c r="K78" s="228"/>
      <c r="L78" s="237"/>
      <c r="M78" s="232"/>
    </row>
    <row r="79" spans="1:13" s="3" customFormat="1" ht="21" customHeight="1" x14ac:dyDescent="0.4">
      <c r="A79" s="4">
        <v>46022</v>
      </c>
      <c r="B79" s="103" t="s">
        <v>516</v>
      </c>
      <c r="C79" s="236" t="s">
        <v>376</v>
      </c>
      <c r="D79" s="1" t="s">
        <v>402</v>
      </c>
      <c r="E79" s="1"/>
      <c r="F79" s="228">
        <v>10</v>
      </c>
      <c r="G79" s="228">
        <v>5972950</v>
      </c>
      <c r="H79" s="275">
        <f>F79*G79</f>
        <v>59729500</v>
      </c>
      <c r="I79" s="237" t="s">
        <v>689</v>
      </c>
      <c r="J79" s="228"/>
      <c r="K79" s="228"/>
      <c r="L79" s="237"/>
      <c r="M79" s="232"/>
    </row>
    <row r="80" spans="1:13" s="3" customFormat="1" ht="21" customHeight="1" x14ac:dyDescent="0.4">
      <c r="A80" s="37"/>
      <c r="B80" s="13"/>
      <c r="C80" s="233"/>
      <c r="D80" s="38"/>
      <c r="E80" s="38"/>
      <c r="F80" s="234"/>
      <c r="G80" s="234"/>
      <c r="H80" s="352">
        <f>SUM(H20:H64)</f>
        <v>328364510</v>
      </c>
      <c r="I80" s="235"/>
      <c r="J80" s="234"/>
      <c r="K80" s="234"/>
      <c r="L80" s="235"/>
      <c r="M80" s="232"/>
    </row>
    <row r="81" spans="1:13" s="3" customFormat="1" ht="21" customHeight="1" x14ac:dyDescent="0.4">
      <c r="A81" s="4">
        <v>45980</v>
      </c>
      <c r="B81" s="103" t="s">
        <v>55</v>
      </c>
      <c r="C81" s="6" t="s">
        <v>674</v>
      </c>
      <c r="D81" s="1" t="s">
        <v>675</v>
      </c>
      <c r="E81" s="1" t="s">
        <v>17</v>
      </c>
      <c r="F81" s="8">
        <v>144</v>
      </c>
      <c r="G81" s="8">
        <v>237507</v>
      </c>
      <c r="H81" s="7">
        <f t="shared" ref="H81:H86" si="6">F81*G81</f>
        <v>34201008</v>
      </c>
      <c r="I81" s="29"/>
      <c r="J81" s="8"/>
      <c r="K81" s="8"/>
      <c r="L81" s="29"/>
      <c r="M81" s="89"/>
    </row>
    <row r="82" spans="1:13" s="3" customFormat="1" ht="21" customHeight="1" x14ac:dyDescent="0.4">
      <c r="A82" s="4">
        <v>45987</v>
      </c>
      <c r="B82" s="103" t="s">
        <v>55</v>
      </c>
      <c r="C82" s="6" t="s">
        <v>56</v>
      </c>
      <c r="D82" s="1" t="s">
        <v>57</v>
      </c>
      <c r="E82" s="1" t="s">
        <v>17</v>
      </c>
      <c r="F82" s="8">
        <v>36</v>
      </c>
      <c r="G82" s="8">
        <v>237507</v>
      </c>
      <c r="H82" s="7">
        <f t="shared" si="6"/>
        <v>8550252</v>
      </c>
      <c r="I82" s="29"/>
      <c r="J82" s="8"/>
      <c r="K82" s="8"/>
      <c r="L82" s="29"/>
      <c r="M82" s="89"/>
    </row>
    <row r="83" spans="1:13" s="3" customFormat="1" ht="21" customHeight="1" x14ac:dyDescent="0.4">
      <c r="A83" s="4">
        <v>45991</v>
      </c>
      <c r="B83" s="103" t="s">
        <v>55</v>
      </c>
      <c r="C83" s="6" t="s">
        <v>56</v>
      </c>
      <c r="D83" s="1" t="s">
        <v>57</v>
      </c>
      <c r="E83" s="1" t="s">
        <v>17</v>
      </c>
      <c r="F83" s="8">
        <v>48</v>
      </c>
      <c r="G83" s="8">
        <v>237507</v>
      </c>
      <c r="H83" s="7">
        <f t="shared" si="6"/>
        <v>11400336</v>
      </c>
      <c r="I83" s="29"/>
      <c r="J83" s="8"/>
      <c r="K83" s="8"/>
      <c r="L83" s="29"/>
      <c r="M83" s="89"/>
    </row>
    <row r="84" spans="1:13" s="3" customFormat="1" ht="21" customHeight="1" x14ac:dyDescent="0.4">
      <c r="A84" s="4">
        <v>46002</v>
      </c>
      <c r="B84" s="103" t="s">
        <v>605</v>
      </c>
      <c r="C84" s="236" t="s">
        <v>56</v>
      </c>
      <c r="D84" s="1" t="s">
        <v>57</v>
      </c>
      <c r="E84" s="1" t="s">
        <v>17</v>
      </c>
      <c r="F84" s="228">
        <v>36</v>
      </c>
      <c r="G84" s="228">
        <v>237507</v>
      </c>
      <c r="H84" s="7">
        <f t="shared" si="6"/>
        <v>8550252</v>
      </c>
      <c r="I84" s="237" t="s">
        <v>344</v>
      </c>
      <c r="J84" s="228"/>
      <c r="K84" s="228"/>
      <c r="L84" s="237"/>
      <c r="M84" s="232"/>
    </row>
    <row r="85" spans="1:13" s="3" customFormat="1" ht="21" customHeight="1" x14ac:dyDescent="0.4">
      <c r="A85" s="4">
        <v>46002</v>
      </c>
      <c r="B85" s="103" t="s">
        <v>605</v>
      </c>
      <c r="C85" s="236" t="s">
        <v>674</v>
      </c>
      <c r="D85" s="1" t="s">
        <v>676</v>
      </c>
      <c r="E85" s="1" t="s">
        <v>17</v>
      </c>
      <c r="F85" s="228">
        <v>66</v>
      </c>
      <c r="G85" s="228">
        <v>239968</v>
      </c>
      <c r="H85" s="275">
        <f t="shared" si="6"/>
        <v>15837888</v>
      </c>
      <c r="I85" s="237"/>
      <c r="J85" s="228"/>
      <c r="K85" s="228"/>
      <c r="L85" s="237"/>
      <c r="M85" s="232"/>
    </row>
    <row r="86" spans="1:13" s="3" customFormat="1" ht="21" customHeight="1" x14ac:dyDescent="0.4">
      <c r="A86" s="4" t="s">
        <v>673</v>
      </c>
      <c r="B86" s="103" t="s">
        <v>55</v>
      </c>
      <c r="C86" s="6" t="s">
        <v>56</v>
      </c>
      <c r="D86" s="1" t="s">
        <v>57</v>
      </c>
      <c r="E86" s="1" t="s">
        <v>17</v>
      </c>
      <c r="F86" s="8">
        <v>-13</v>
      </c>
      <c r="G86" s="8">
        <v>237507</v>
      </c>
      <c r="H86" s="7">
        <f t="shared" si="6"/>
        <v>-3087591</v>
      </c>
      <c r="I86" s="29"/>
      <c r="J86" s="8"/>
      <c r="K86" s="8"/>
      <c r="L86" s="29"/>
      <c r="M86" s="89"/>
    </row>
    <row r="87" spans="1:13" s="3" customFormat="1" ht="21" customHeight="1" x14ac:dyDescent="0.4">
      <c r="A87" s="4" t="s">
        <v>673</v>
      </c>
      <c r="B87" s="103" t="s">
        <v>55</v>
      </c>
      <c r="C87" s="6" t="s">
        <v>345</v>
      </c>
      <c r="D87" s="1" t="s">
        <v>346</v>
      </c>
      <c r="E87" s="1" t="s">
        <v>17</v>
      </c>
      <c r="F87" s="8">
        <v>-3</v>
      </c>
      <c r="G87" s="8">
        <v>205002</v>
      </c>
      <c r="H87" s="7">
        <f>F87*G87</f>
        <v>-615006</v>
      </c>
      <c r="I87" s="29"/>
      <c r="J87" s="8"/>
      <c r="K87" s="8"/>
      <c r="L87" s="29"/>
      <c r="M87" s="89"/>
    </row>
    <row r="88" spans="1:13" s="3" customFormat="1" ht="21" customHeight="1" x14ac:dyDescent="0.4">
      <c r="A88" s="4" t="s">
        <v>673</v>
      </c>
      <c r="B88" s="103" t="s">
        <v>55</v>
      </c>
      <c r="C88" s="6" t="s">
        <v>56</v>
      </c>
      <c r="D88" s="1" t="s">
        <v>677</v>
      </c>
      <c r="E88" s="1" t="s">
        <v>17</v>
      </c>
      <c r="F88" s="8">
        <v>-1</v>
      </c>
      <c r="G88" s="8">
        <v>247275</v>
      </c>
      <c r="H88" s="7">
        <f>F88*G88</f>
        <v>-247275</v>
      </c>
      <c r="I88" s="29"/>
      <c r="J88" s="8"/>
      <c r="K88" s="344">
        <f>402/12</f>
        <v>33.5</v>
      </c>
      <c r="L88" s="29"/>
      <c r="M88" s="89"/>
    </row>
    <row r="89" spans="1:13" s="3" customFormat="1" ht="21" customHeight="1" x14ac:dyDescent="0.4">
      <c r="A89" s="4" t="s">
        <v>673</v>
      </c>
      <c r="B89" s="103" t="s">
        <v>605</v>
      </c>
      <c r="C89" s="236" t="s">
        <v>56</v>
      </c>
      <c r="D89" s="1" t="s">
        <v>377</v>
      </c>
      <c r="E89" s="1" t="s">
        <v>17</v>
      </c>
      <c r="F89" s="228">
        <v>-4</v>
      </c>
      <c r="G89" s="228">
        <v>239968</v>
      </c>
      <c r="H89" s="275">
        <f>F89*G89</f>
        <v>-959872</v>
      </c>
      <c r="I89" s="237"/>
      <c r="J89" s="228"/>
      <c r="K89" s="228"/>
      <c r="L89" s="237"/>
      <c r="M89" s="232"/>
    </row>
    <row r="90" spans="1:13" s="3" customFormat="1" ht="21" customHeight="1" x14ac:dyDescent="0.4">
      <c r="A90" s="4" t="s">
        <v>673</v>
      </c>
      <c r="B90" s="103" t="s">
        <v>605</v>
      </c>
      <c r="C90" s="236" t="s">
        <v>56</v>
      </c>
      <c r="D90" s="1" t="s">
        <v>678</v>
      </c>
      <c r="E90" s="1" t="s">
        <v>17</v>
      </c>
      <c r="F90" s="228">
        <v>-6</v>
      </c>
      <c r="G90" s="228">
        <v>230228</v>
      </c>
      <c r="H90" s="275">
        <f>F90*G90</f>
        <v>-1381368</v>
      </c>
      <c r="I90" s="237"/>
      <c r="J90" s="228"/>
      <c r="K90" s="228"/>
      <c r="L90" s="237"/>
      <c r="M90" s="232"/>
    </row>
    <row r="91" spans="1:13" s="3" customFormat="1" ht="21" customHeight="1" x14ac:dyDescent="0.4">
      <c r="A91" s="37"/>
      <c r="B91" s="13"/>
      <c r="C91" s="233"/>
      <c r="D91" s="38"/>
      <c r="E91" s="38"/>
      <c r="F91" s="234"/>
      <c r="G91" s="234"/>
      <c r="H91" s="352">
        <f>SUM(H81:H90)</f>
        <v>72248624</v>
      </c>
      <c r="I91" s="235"/>
      <c r="J91" s="234"/>
      <c r="K91" s="234"/>
      <c r="L91" s="235"/>
      <c r="M91" s="232"/>
    </row>
    <row r="92" spans="1:13" s="3" customFormat="1" ht="20.25" customHeight="1" x14ac:dyDescent="0.4">
      <c r="A92" s="118">
        <v>45986</v>
      </c>
      <c r="B92" s="110" t="s">
        <v>557</v>
      </c>
      <c r="C92" s="119" t="s">
        <v>181</v>
      </c>
      <c r="D92" s="42">
        <v>61541861</v>
      </c>
      <c r="E92" s="42" t="s">
        <v>13</v>
      </c>
      <c r="F92" s="117">
        <v>2</v>
      </c>
      <c r="G92" s="8">
        <v>2275670</v>
      </c>
      <c r="H92" s="7">
        <f t="shared" ref="H92:H101" si="7">F92*G92</f>
        <v>4551340</v>
      </c>
      <c r="I92" s="137"/>
      <c r="J92" s="70"/>
      <c r="K92" s="8"/>
      <c r="L92" s="29"/>
      <c r="M92" s="89"/>
    </row>
    <row r="93" spans="1:13" s="3" customFormat="1" ht="20.25" customHeight="1" x14ac:dyDescent="0.4">
      <c r="A93" s="118">
        <v>45986</v>
      </c>
      <c r="B93" s="110" t="s">
        <v>557</v>
      </c>
      <c r="C93" s="119" t="s">
        <v>182</v>
      </c>
      <c r="D93" s="42">
        <v>61541862</v>
      </c>
      <c r="E93" s="42" t="s">
        <v>13</v>
      </c>
      <c r="F93" s="117">
        <v>2</v>
      </c>
      <c r="G93" s="8">
        <v>2275670</v>
      </c>
      <c r="H93" s="7">
        <f t="shared" si="7"/>
        <v>4551340</v>
      </c>
      <c r="I93" s="137"/>
      <c r="J93" s="70"/>
      <c r="K93" s="8"/>
      <c r="L93" s="29"/>
      <c r="M93" s="89"/>
    </row>
    <row r="94" spans="1:13" s="3" customFormat="1" ht="20.25" customHeight="1" x14ac:dyDescent="0.4">
      <c r="A94" s="118">
        <v>45986</v>
      </c>
      <c r="B94" s="110" t="s">
        <v>557</v>
      </c>
      <c r="C94" s="119" t="s">
        <v>183</v>
      </c>
      <c r="D94" s="42">
        <v>61541863</v>
      </c>
      <c r="E94" s="42" t="s">
        <v>184</v>
      </c>
      <c r="F94" s="117">
        <v>2</v>
      </c>
      <c r="G94" s="8">
        <v>44000</v>
      </c>
      <c r="H94" s="7">
        <f t="shared" si="7"/>
        <v>88000</v>
      </c>
      <c r="I94" s="137"/>
      <c r="J94" s="70"/>
      <c r="K94" s="8"/>
      <c r="L94" s="29"/>
      <c r="M94" s="89"/>
    </row>
    <row r="95" spans="1:13" s="3" customFormat="1" ht="20.25" customHeight="1" x14ac:dyDescent="0.4">
      <c r="A95" s="118">
        <v>45986</v>
      </c>
      <c r="B95" s="110" t="s">
        <v>557</v>
      </c>
      <c r="C95" s="119" t="s">
        <v>183</v>
      </c>
      <c r="D95" s="42">
        <v>61541864</v>
      </c>
      <c r="E95" s="42" t="s">
        <v>184</v>
      </c>
      <c r="F95" s="117">
        <v>2</v>
      </c>
      <c r="G95" s="8">
        <v>44000</v>
      </c>
      <c r="H95" s="7">
        <f t="shared" si="7"/>
        <v>88000</v>
      </c>
      <c r="I95" s="137"/>
      <c r="J95" s="70"/>
      <c r="K95" s="8"/>
      <c r="L95" s="29"/>
      <c r="M95" s="89"/>
    </row>
    <row r="96" spans="1:13" s="3" customFormat="1" ht="20.25" customHeight="1" x14ac:dyDescent="0.4">
      <c r="A96" s="118">
        <v>45986</v>
      </c>
      <c r="B96" s="110" t="s">
        <v>557</v>
      </c>
      <c r="C96" s="119" t="s">
        <v>185</v>
      </c>
      <c r="D96" s="42">
        <v>61541865</v>
      </c>
      <c r="E96" s="42" t="s">
        <v>184</v>
      </c>
      <c r="F96" s="117">
        <v>4</v>
      </c>
      <c r="G96" s="8">
        <v>14700</v>
      </c>
      <c r="H96" s="7">
        <f t="shared" si="7"/>
        <v>58800</v>
      </c>
      <c r="I96" s="137"/>
      <c r="J96" s="70"/>
      <c r="K96" s="8"/>
      <c r="L96" s="29"/>
      <c r="M96" s="89"/>
    </row>
    <row r="97" spans="1:14" s="3" customFormat="1" ht="20.25" customHeight="1" x14ac:dyDescent="0.4">
      <c r="A97" s="118">
        <v>45989</v>
      </c>
      <c r="B97" s="110" t="s">
        <v>557</v>
      </c>
      <c r="C97" s="119" t="s">
        <v>181</v>
      </c>
      <c r="D97" s="42">
        <v>61541861</v>
      </c>
      <c r="E97" s="42" t="s">
        <v>13</v>
      </c>
      <c r="F97" s="117">
        <v>1</v>
      </c>
      <c r="G97" s="8">
        <v>2275670</v>
      </c>
      <c r="H97" s="7">
        <f t="shared" si="7"/>
        <v>2275670</v>
      </c>
      <c r="I97" s="137"/>
      <c r="J97" s="70"/>
      <c r="K97" s="8"/>
      <c r="L97" s="29"/>
      <c r="M97" s="89"/>
    </row>
    <row r="98" spans="1:14" s="3" customFormat="1" ht="20.25" customHeight="1" x14ac:dyDescent="0.4">
      <c r="A98" s="118">
        <v>45989</v>
      </c>
      <c r="B98" s="110" t="s">
        <v>557</v>
      </c>
      <c r="C98" s="119" t="s">
        <v>182</v>
      </c>
      <c r="D98" s="42">
        <v>61541862</v>
      </c>
      <c r="E98" s="42" t="s">
        <v>13</v>
      </c>
      <c r="F98" s="117">
        <v>1</v>
      </c>
      <c r="G98" s="8">
        <v>2275670</v>
      </c>
      <c r="H98" s="7">
        <f t="shared" si="7"/>
        <v>2275670</v>
      </c>
      <c r="I98" s="137"/>
      <c r="J98" s="70"/>
      <c r="K98" s="8"/>
      <c r="L98" s="29"/>
      <c r="M98" s="89"/>
    </row>
    <row r="99" spans="1:14" s="3" customFormat="1" ht="20.25" customHeight="1" x14ac:dyDescent="0.4">
      <c r="A99" s="118">
        <v>45989</v>
      </c>
      <c r="B99" s="110" t="s">
        <v>557</v>
      </c>
      <c r="C99" s="119" t="s">
        <v>183</v>
      </c>
      <c r="D99" s="42">
        <v>61541863</v>
      </c>
      <c r="E99" s="42" t="s">
        <v>184</v>
      </c>
      <c r="F99" s="117">
        <v>1</v>
      </c>
      <c r="G99" s="8">
        <v>44000</v>
      </c>
      <c r="H99" s="7">
        <f t="shared" si="7"/>
        <v>44000</v>
      </c>
      <c r="I99" s="137"/>
      <c r="J99" s="70"/>
      <c r="K99" s="8"/>
      <c r="L99" s="29"/>
      <c r="M99" s="89"/>
    </row>
    <row r="100" spans="1:14" s="3" customFormat="1" ht="20.25" customHeight="1" x14ac:dyDescent="0.4">
      <c r="A100" s="118">
        <v>45989</v>
      </c>
      <c r="B100" s="110" t="s">
        <v>557</v>
      </c>
      <c r="C100" s="119" t="s">
        <v>183</v>
      </c>
      <c r="D100" s="42">
        <v>61541864</v>
      </c>
      <c r="E100" s="42" t="s">
        <v>184</v>
      </c>
      <c r="F100" s="117">
        <v>1</v>
      </c>
      <c r="G100" s="8">
        <v>44000</v>
      </c>
      <c r="H100" s="7">
        <f t="shared" si="7"/>
        <v>44000</v>
      </c>
      <c r="I100" s="137"/>
      <c r="J100" s="70"/>
      <c r="K100" s="8"/>
      <c r="L100" s="29"/>
      <c r="M100" s="89"/>
    </row>
    <row r="101" spans="1:14" s="3" customFormat="1" ht="20.25" customHeight="1" x14ac:dyDescent="0.4">
      <c r="A101" s="118">
        <v>45989</v>
      </c>
      <c r="B101" s="110" t="s">
        <v>557</v>
      </c>
      <c r="C101" s="119" t="s">
        <v>185</v>
      </c>
      <c r="D101" s="42">
        <v>61541865</v>
      </c>
      <c r="E101" s="42" t="s">
        <v>184</v>
      </c>
      <c r="F101" s="117">
        <v>2</v>
      </c>
      <c r="G101" s="8">
        <v>14700</v>
      </c>
      <c r="H101" s="7">
        <f t="shared" si="7"/>
        <v>29400</v>
      </c>
      <c r="I101" s="137"/>
      <c r="J101" s="70"/>
      <c r="K101" s="8"/>
      <c r="L101" s="29"/>
      <c r="M101" s="89"/>
    </row>
    <row r="102" spans="1:14" s="3" customFormat="1" ht="20.25" customHeight="1" x14ac:dyDescent="0.4">
      <c r="A102" s="118">
        <v>45999</v>
      </c>
      <c r="B102" s="240" t="s">
        <v>557</v>
      </c>
      <c r="C102" s="241" t="s">
        <v>181</v>
      </c>
      <c r="D102" s="42">
        <v>61541861</v>
      </c>
      <c r="E102" s="42" t="s">
        <v>13</v>
      </c>
      <c r="F102" s="227">
        <v>7</v>
      </c>
      <c r="G102" s="228">
        <v>2275670</v>
      </c>
      <c r="H102" s="275">
        <f t="shared" ref="H102:H111" si="8">F102*G102</f>
        <v>15929690</v>
      </c>
      <c r="I102" s="237"/>
      <c r="J102" s="228"/>
      <c r="K102" s="228"/>
      <c r="L102" s="237"/>
      <c r="M102" s="232"/>
    </row>
    <row r="103" spans="1:14" s="3" customFormat="1" ht="20.25" customHeight="1" x14ac:dyDescent="0.4">
      <c r="A103" s="118">
        <v>45999</v>
      </c>
      <c r="B103" s="240" t="s">
        <v>557</v>
      </c>
      <c r="C103" s="241" t="s">
        <v>182</v>
      </c>
      <c r="D103" s="42">
        <v>61541862</v>
      </c>
      <c r="E103" s="42" t="s">
        <v>13</v>
      </c>
      <c r="F103" s="227">
        <v>7</v>
      </c>
      <c r="G103" s="228">
        <v>2275670</v>
      </c>
      <c r="H103" s="275">
        <f t="shared" si="8"/>
        <v>15929690</v>
      </c>
      <c r="I103" s="237"/>
      <c r="J103" s="228"/>
      <c r="K103" s="228"/>
      <c r="L103" s="237"/>
      <c r="M103" s="232"/>
    </row>
    <row r="104" spans="1:14" s="3" customFormat="1" ht="20.25" customHeight="1" x14ac:dyDescent="0.4">
      <c r="A104" s="118">
        <v>45999</v>
      </c>
      <c r="B104" s="240" t="s">
        <v>557</v>
      </c>
      <c r="C104" s="241" t="s">
        <v>183</v>
      </c>
      <c r="D104" s="42">
        <v>61541863</v>
      </c>
      <c r="E104" s="42" t="s">
        <v>606</v>
      </c>
      <c r="F104" s="227">
        <v>7</v>
      </c>
      <c r="G104" s="228">
        <v>44000</v>
      </c>
      <c r="H104" s="275">
        <f t="shared" si="8"/>
        <v>308000</v>
      </c>
      <c r="I104" s="237"/>
      <c r="J104" s="228"/>
      <c r="K104" s="228"/>
      <c r="L104" s="237"/>
      <c r="M104" s="232"/>
    </row>
    <row r="105" spans="1:14" s="3" customFormat="1" ht="20.25" customHeight="1" x14ac:dyDescent="0.4">
      <c r="A105" s="118">
        <v>45999</v>
      </c>
      <c r="B105" s="240" t="s">
        <v>557</v>
      </c>
      <c r="C105" s="241" t="s">
        <v>183</v>
      </c>
      <c r="D105" s="42">
        <v>61541864</v>
      </c>
      <c r="E105" s="42" t="s">
        <v>184</v>
      </c>
      <c r="F105" s="227">
        <v>7</v>
      </c>
      <c r="G105" s="228">
        <v>44000</v>
      </c>
      <c r="H105" s="275">
        <f t="shared" si="8"/>
        <v>308000</v>
      </c>
      <c r="I105" s="237"/>
      <c r="J105" s="228"/>
      <c r="K105" s="228"/>
      <c r="L105" s="237"/>
      <c r="M105" s="232"/>
    </row>
    <row r="106" spans="1:14" s="3" customFormat="1" ht="20.25" customHeight="1" x14ac:dyDescent="0.4">
      <c r="A106" s="118">
        <v>45999</v>
      </c>
      <c r="B106" s="240" t="s">
        <v>557</v>
      </c>
      <c r="C106" s="241" t="s">
        <v>185</v>
      </c>
      <c r="D106" s="42">
        <v>61541865</v>
      </c>
      <c r="E106" s="42" t="s">
        <v>184</v>
      </c>
      <c r="F106" s="227">
        <v>14</v>
      </c>
      <c r="G106" s="228">
        <v>14700</v>
      </c>
      <c r="H106" s="275">
        <f t="shared" si="8"/>
        <v>205800</v>
      </c>
      <c r="I106" s="237"/>
      <c r="J106" s="228"/>
      <c r="K106" s="228"/>
      <c r="L106" s="237"/>
      <c r="M106" s="232"/>
      <c r="N106" s="22"/>
    </row>
    <row r="107" spans="1:14" s="3" customFormat="1" ht="20.25" customHeight="1" x14ac:dyDescent="0.4">
      <c r="A107" s="118">
        <v>46020</v>
      </c>
      <c r="B107" s="240" t="s">
        <v>557</v>
      </c>
      <c r="C107" s="241" t="s">
        <v>181</v>
      </c>
      <c r="D107" s="42">
        <v>61541861</v>
      </c>
      <c r="E107" s="42" t="s">
        <v>13</v>
      </c>
      <c r="F107" s="227">
        <v>5</v>
      </c>
      <c r="G107" s="228">
        <v>2275670</v>
      </c>
      <c r="H107" s="275">
        <f t="shared" si="8"/>
        <v>11378350</v>
      </c>
      <c r="I107" s="237" t="s">
        <v>690</v>
      </c>
      <c r="J107" s="228"/>
      <c r="K107" s="228"/>
      <c r="L107" s="237"/>
      <c r="M107" s="232"/>
    </row>
    <row r="108" spans="1:14" s="3" customFormat="1" ht="20.25" customHeight="1" x14ac:dyDescent="0.4">
      <c r="A108" s="118">
        <v>46020</v>
      </c>
      <c r="B108" s="240" t="s">
        <v>557</v>
      </c>
      <c r="C108" s="241" t="s">
        <v>182</v>
      </c>
      <c r="D108" s="42">
        <v>61541862</v>
      </c>
      <c r="E108" s="42" t="s">
        <v>13</v>
      </c>
      <c r="F108" s="227">
        <v>5</v>
      </c>
      <c r="G108" s="228">
        <v>2275670</v>
      </c>
      <c r="H108" s="275">
        <f t="shared" si="8"/>
        <v>11378350</v>
      </c>
      <c r="I108" s="237" t="s">
        <v>690</v>
      </c>
      <c r="J108" s="228"/>
      <c r="K108" s="228"/>
      <c r="L108" s="237"/>
      <c r="M108" s="232"/>
    </row>
    <row r="109" spans="1:14" s="3" customFormat="1" ht="20.25" customHeight="1" x14ac:dyDescent="0.4">
      <c r="A109" s="118">
        <v>46020</v>
      </c>
      <c r="B109" s="240" t="s">
        <v>557</v>
      </c>
      <c r="C109" s="241" t="s">
        <v>183</v>
      </c>
      <c r="D109" s="42">
        <v>61541863</v>
      </c>
      <c r="E109" s="42" t="s">
        <v>606</v>
      </c>
      <c r="F109" s="227">
        <v>5</v>
      </c>
      <c r="G109" s="228">
        <v>44000</v>
      </c>
      <c r="H109" s="275">
        <f t="shared" si="8"/>
        <v>220000</v>
      </c>
      <c r="I109" s="237" t="s">
        <v>690</v>
      </c>
      <c r="J109" s="228"/>
      <c r="K109" s="228"/>
      <c r="L109" s="237"/>
      <c r="M109" s="232"/>
    </row>
    <row r="110" spans="1:14" s="3" customFormat="1" ht="20.25" customHeight="1" x14ac:dyDescent="0.4">
      <c r="A110" s="118">
        <v>46020</v>
      </c>
      <c r="B110" s="240" t="s">
        <v>557</v>
      </c>
      <c r="C110" s="241" t="s">
        <v>183</v>
      </c>
      <c r="D110" s="42">
        <v>61541864</v>
      </c>
      <c r="E110" s="42" t="s">
        <v>184</v>
      </c>
      <c r="F110" s="227">
        <v>5</v>
      </c>
      <c r="G110" s="228">
        <v>44000</v>
      </c>
      <c r="H110" s="275">
        <f t="shared" si="8"/>
        <v>220000</v>
      </c>
      <c r="I110" s="237" t="s">
        <v>690</v>
      </c>
      <c r="J110" s="228"/>
      <c r="K110" s="228"/>
      <c r="L110" s="237"/>
      <c r="M110" s="232"/>
    </row>
    <row r="111" spans="1:14" s="3" customFormat="1" ht="20.25" customHeight="1" x14ac:dyDescent="0.4">
      <c r="A111" s="118">
        <v>46020</v>
      </c>
      <c r="B111" s="240" t="s">
        <v>557</v>
      </c>
      <c r="C111" s="241" t="s">
        <v>185</v>
      </c>
      <c r="D111" s="42">
        <v>61541865</v>
      </c>
      <c r="E111" s="42" t="s">
        <v>184</v>
      </c>
      <c r="F111" s="227">
        <v>10</v>
      </c>
      <c r="G111" s="228">
        <v>14700</v>
      </c>
      <c r="H111" s="275">
        <f t="shared" si="8"/>
        <v>147000</v>
      </c>
      <c r="I111" s="237" t="s">
        <v>690</v>
      </c>
      <c r="J111" s="228"/>
      <c r="K111" s="228"/>
      <c r="L111" s="237"/>
      <c r="M111" s="232"/>
      <c r="N111" s="22" t="s">
        <v>607</v>
      </c>
    </row>
    <row r="112" spans="1:14" s="247" customFormat="1" ht="20.25" customHeight="1" x14ac:dyDescent="0.4">
      <c r="A112" s="242"/>
      <c r="B112" s="243"/>
      <c r="C112" s="235"/>
      <c r="D112" s="243"/>
      <c r="E112" s="243"/>
      <c r="F112" s="234"/>
      <c r="G112" s="244"/>
      <c r="H112" s="273">
        <f>SUM(H92:H106)</f>
        <v>46687400</v>
      </c>
      <c r="I112" s="245"/>
      <c r="J112" s="245"/>
      <c r="K112" s="246"/>
      <c r="L112" s="246"/>
      <c r="N112" s="247" t="s">
        <v>608</v>
      </c>
    </row>
    <row r="113" spans="1:13" s="28" customFormat="1" ht="19.5" customHeight="1" x14ac:dyDescent="0.4">
      <c r="A113" s="5">
        <v>45853</v>
      </c>
      <c r="B113" s="5" t="s">
        <v>58</v>
      </c>
      <c r="C113" s="133" t="s">
        <v>445</v>
      </c>
      <c r="D113" s="11" t="s">
        <v>446</v>
      </c>
      <c r="E113" s="11"/>
      <c r="F113" s="132">
        <v>7</v>
      </c>
      <c r="G113" s="132">
        <v>1671500</v>
      </c>
      <c r="H113" s="134">
        <f>F113*G113</f>
        <v>11700500</v>
      </c>
      <c r="I113" s="67"/>
      <c r="J113" s="27" t="s">
        <v>491</v>
      </c>
      <c r="K113" s="27"/>
      <c r="L113" s="126"/>
      <c r="M113" s="135"/>
    </row>
    <row r="114" spans="1:13" s="28" customFormat="1" ht="19.5" customHeight="1" x14ac:dyDescent="0.4">
      <c r="A114" s="5">
        <v>45855</v>
      </c>
      <c r="B114" s="5" t="s">
        <v>58</v>
      </c>
      <c r="C114" s="133" t="s">
        <v>445</v>
      </c>
      <c r="D114" s="11" t="s">
        <v>446</v>
      </c>
      <c r="E114" s="11"/>
      <c r="F114" s="132">
        <v>3</v>
      </c>
      <c r="G114" s="132">
        <v>1671500</v>
      </c>
      <c r="H114" s="134">
        <f>F114*G114</f>
        <v>5014500</v>
      </c>
      <c r="I114" s="67"/>
      <c r="J114" s="27" t="s">
        <v>491</v>
      </c>
      <c r="K114" s="27"/>
      <c r="L114" s="126"/>
      <c r="M114" s="135"/>
    </row>
    <row r="115" spans="1:13" s="28" customFormat="1" ht="19.5" customHeight="1" x14ac:dyDescent="0.4">
      <c r="A115" s="5">
        <v>45894</v>
      </c>
      <c r="B115" s="5" t="s">
        <v>58</v>
      </c>
      <c r="C115" s="24" t="s">
        <v>445</v>
      </c>
      <c r="D115" s="11" t="s">
        <v>446</v>
      </c>
      <c r="E115" s="11"/>
      <c r="F115" s="12">
        <v>9</v>
      </c>
      <c r="G115" s="12">
        <v>1671500</v>
      </c>
      <c r="H115" s="17">
        <f>F115*G115</f>
        <v>15043500</v>
      </c>
      <c r="I115" s="67"/>
      <c r="J115" s="27" t="s">
        <v>491</v>
      </c>
      <c r="K115" s="27"/>
      <c r="L115" s="126"/>
      <c r="M115" s="58"/>
    </row>
    <row r="116" spans="1:13" s="28" customFormat="1" ht="19.5" customHeight="1" x14ac:dyDescent="0.4">
      <c r="A116" s="5">
        <v>45853</v>
      </c>
      <c r="B116" s="5" t="s">
        <v>58</v>
      </c>
      <c r="C116" s="133" t="s">
        <v>447</v>
      </c>
      <c r="D116" s="11"/>
      <c r="E116" s="11"/>
      <c r="F116" s="132">
        <v>10</v>
      </c>
      <c r="G116" s="132"/>
      <c r="H116" s="134"/>
      <c r="I116" s="67"/>
      <c r="J116" s="27" t="s">
        <v>491</v>
      </c>
      <c r="K116" s="27"/>
      <c r="L116" s="126"/>
      <c r="M116" s="135"/>
    </row>
    <row r="117" spans="1:13" s="28" customFormat="1" ht="19.5" customHeight="1" x14ac:dyDescent="0.4">
      <c r="A117" s="5">
        <v>45894</v>
      </c>
      <c r="B117" s="5" t="s">
        <v>58</v>
      </c>
      <c r="C117" s="24" t="s">
        <v>447</v>
      </c>
      <c r="D117" s="11"/>
      <c r="E117" s="11"/>
      <c r="F117" s="12">
        <v>9</v>
      </c>
      <c r="G117" s="12"/>
      <c r="H117" s="17"/>
      <c r="I117" s="67"/>
      <c r="J117" s="27" t="s">
        <v>491</v>
      </c>
      <c r="K117" s="27"/>
      <c r="L117" s="126"/>
      <c r="M117" s="58"/>
    </row>
    <row r="118" spans="1:13" s="28" customFormat="1" ht="19.5" customHeight="1" x14ac:dyDescent="0.4">
      <c r="A118" s="5">
        <v>45900</v>
      </c>
      <c r="B118" s="5" t="s">
        <v>58</v>
      </c>
      <c r="C118" s="24" t="s">
        <v>445</v>
      </c>
      <c r="D118" s="11" t="s">
        <v>446</v>
      </c>
      <c r="E118" s="11"/>
      <c r="F118" s="12">
        <v>18</v>
      </c>
      <c r="G118" s="12">
        <v>1671500</v>
      </c>
      <c r="H118" s="7">
        <f>F118*G118</f>
        <v>30087000</v>
      </c>
      <c r="I118" s="67"/>
      <c r="J118" s="27" t="s">
        <v>491</v>
      </c>
      <c r="K118" s="27"/>
      <c r="L118" s="126"/>
      <c r="M118" s="58"/>
    </row>
    <row r="119" spans="1:13" s="28" customFormat="1" ht="19.5" customHeight="1" x14ac:dyDescent="0.4">
      <c r="A119" s="5">
        <v>45908</v>
      </c>
      <c r="B119" s="5" t="s">
        <v>58</v>
      </c>
      <c r="C119" s="153" t="s">
        <v>445</v>
      </c>
      <c r="D119" s="11" t="s">
        <v>497</v>
      </c>
      <c r="E119" s="11"/>
      <c r="F119" s="154">
        <v>2</v>
      </c>
      <c r="G119" s="154">
        <v>1671500</v>
      </c>
      <c r="H119" s="152">
        <f>F119*G119</f>
        <v>3343000</v>
      </c>
      <c r="I119" s="67"/>
      <c r="J119" s="27" t="s">
        <v>491</v>
      </c>
      <c r="K119" s="27"/>
      <c r="L119" s="126"/>
      <c r="M119" s="155"/>
    </row>
    <row r="120" spans="1:13" s="28" customFormat="1" ht="19.5" customHeight="1" x14ac:dyDescent="0.4">
      <c r="A120" s="5">
        <v>45911</v>
      </c>
      <c r="B120" s="5" t="s">
        <v>58</v>
      </c>
      <c r="C120" s="153" t="s">
        <v>445</v>
      </c>
      <c r="D120" s="11" t="s">
        <v>497</v>
      </c>
      <c r="E120" s="11"/>
      <c r="F120" s="154">
        <v>2</v>
      </c>
      <c r="G120" s="154">
        <v>1671500</v>
      </c>
      <c r="H120" s="152">
        <f>F120*G120</f>
        <v>3343000</v>
      </c>
      <c r="I120" s="67"/>
      <c r="J120" s="27" t="s">
        <v>491</v>
      </c>
      <c r="K120" s="27"/>
      <c r="L120" s="126"/>
      <c r="M120" s="155"/>
    </row>
    <row r="121" spans="1:13" s="28" customFormat="1" ht="19.5" customHeight="1" x14ac:dyDescent="0.4">
      <c r="A121" s="5">
        <v>45911</v>
      </c>
      <c r="B121" s="5" t="s">
        <v>58</v>
      </c>
      <c r="C121" s="153" t="s">
        <v>447</v>
      </c>
      <c r="D121" s="11"/>
      <c r="E121" s="11"/>
      <c r="F121" s="154">
        <v>7</v>
      </c>
      <c r="G121" s="154"/>
      <c r="H121" s="156"/>
      <c r="I121" s="67" t="s">
        <v>684</v>
      </c>
      <c r="J121" s="27" t="s">
        <v>491</v>
      </c>
      <c r="K121" s="27"/>
      <c r="L121" s="126"/>
      <c r="M121" s="155"/>
    </row>
    <row r="122" spans="1:13" s="113" customFormat="1" ht="20.25" customHeight="1" x14ac:dyDescent="0.4">
      <c r="A122" s="190">
        <v>45989</v>
      </c>
      <c r="B122" s="59" t="s">
        <v>58</v>
      </c>
      <c r="C122" s="80" t="s">
        <v>60</v>
      </c>
      <c r="D122" s="59" t="s">
        <v>685</v>
      </c>
      <c r="E122" s="59" t="s">
        <v>11</v>
      </c>
      <c r="F122" s="7">
        <v>47</v>
      </c>
      <c r="G122" s="49">
        <v>246000</v>
      </c>
      <c r="H122" s="49">
        <f t="shared" ref="H122:H131" si="9">F122*G122</f>
        <v>11562000</v>
      </c>
      <c r="I122" s="111" t="s">
        <v>514</v>
      </c>
      <c r="J122" s="111"/>
      <c r="K122" s="111"/>
      <c r="L122" s="111"/>
    </row>
    <row r="123" spans="1:13" s="113" customFormat="1" ht="20.25" customHeight="1" x14ac:dyDescent="0.4">
      <c r="A123" s="190">
        <v>45989</v>
      </c>
      <c r="B123" s="59" t="s">
        <v>58</v>
      </c>
      <c r="C123" s="80" t="s">
        <v>60</v>
      </c>
      <c r="D123" s="59" t="s">
        <v>285</v>
      </c>
      <c r="E123" s="59" t="s">
        <v>11</v>
      </c>
      <c r="F123" s="7">
        <v>50</v>
      </c>
      <c r="G123" s="49">
        <v>188000</v>
      </c>
      <c r="H123" s="49">
        <f t="shared" si="9"/>
        <v>9400000</v>
      </c>
      <c r="I123" s="67"/>
      <c r="J123" s="111"/>
      <c r="K123" s="111" t="s">
        <v>514</v>
      </c>
      <c r="L123" s="111"/>
    </row>
    <row r="124" spans="1:13" s="113" customFormat="1" ht="20.25" customHeight="1" x14ac:dyDescent="0.4">
      <c r="A124" s="190">
        <v>45989</v>
      </c>
      <c r="B124" s="59" t="s">
        <v>58</v>
      </c>
      <c r="C124" s="80" t="s">
        <v>60</v>
      </c>
      <c r="D124" s="59" t="s">
        <v>285</v>
      </c>
      <c r="E124" s="59" t="s">
        <v>11</v>
      </c>
      <c r="F124" s="7">
        <v>50</v>
      </c>
      <c r="G124" s="49">
        <v>188000</v>
      </c>
      <c r="H124" s="49">
        <f t="shared" si="9"/>
        <v>9400000</v>
      </c>
      <c r="I124" s="67"/>
      <c r="J124" s="111"/>
      <c r="K124" s="111" t="s">
        <v>515</v>
      </c>
      <c r="L124" s="111"/>
    </row>
    <row r="125" spans="1:13" s="113" customFormat="1" ht="20.25" customHeight="1" x14ac:dyDescent="0.4">
      <c r="A125" s="190">
        <v>45989</v>
      </c>
      <c r="B125" s="59" t="s">
        <v>58</v>
      </c>
      <c r="C125" s="80" t="s">
        <v>60</v>
      </c>
      <c r="D125" s="59" t="s">
        <v>283</v>
      </c>
      <c r="E125" s="59" t="s">
        <v>11</v>
      </c>
      <c r="F125" s="7">
        <v>1</v>
      </c>
      <c r="G125" s="49">
        <v>246000</v>
      </c>
      <c r="H125" s="49">
        <f t="shared" si="9"/>
        <v>246000</v>
      </c>
      <c r="I125" s="67"/>
      <c r="J125" s="111"/>
      <c r="K125" s="111" t="s">
        <v>599</v>
      </c>
      <c r="L125" s="111"/>
    </row>
    <row r="126" spans="1:13" s="113" customFormat="1" ht="20.25" customHeight="1" x14ac:dyDescent="0.4">
      <c r="A126" s="190">
        <v>45989</v>
      </c>
      <c r="B126" s="59" t="s">
        <v>58</v>
      </c>
      <c r="C126" s="80" t="s">
        <v>60</v>
      </c>
      <c r="D126" s="59" t="s">
        <v>283</v>
      </c>
      <c r="E126" s="59" t="s">
        <v>11</v>
      </c>
      <c r="F126" s="7">
        <v>69</v>
      </c>
      <c r="G126" s="49">
        <v>246000</v>
      </c>
      <c r="H126" s="49" t="s">
        <v>186</v>
      </c>
      <c r="I126" s="67"/>
      <c r="J126" s="111"/>
      <c r="K126" s="111" t="s">
        <v>601</v>
      </c>
      <c r="L126" s="111"/>
    </row>
    <row r="127" spans="1:13" s="50" customFormat="1" ht="20.25" customHeight="1" x14ac:dyDescent="0.4">
      <c r="A127" s="195">
        <v>45991</v>
      </c>
      <c r="B127" s="59" t="s">
        <v>58</v>
      </c>
      <c r="C127" s="80" t="s">
        <v>60</v>
      </c>
      <c r="D127" s="59" t="s">
        <v>187</v>
      </c>
      <c r="E127" s="59" t="s">
        <v>13</v>
      </c>
      <c r="F127" s="7">
        <v>24</v>
      </c>
      <c r="G127" s="49">
        <v>673000</v>
      </c>
      <c r="H127" s="49">
        <f t="shared" si="9"/>
        <v>16152000</v>
      </c>
      <c r="I127" s="67"/>
      <c r="J127" s="67"/>
      <c r="K127" s="67" t="s">
        <v>514</v>
      </c>
      <c r="L127" s="67"/>
    </row>
    <row r="128" spans="1:13" s="50" customFormat="1" ht="20.25" customHeight="1" x14ac:dyDescent="0.4">
      <c r="A128" s="195">
        <v>45991</v>
      </c>
      <c r="B128" s="59" t="s">
        <v>58</v>
      </c>
      <c r="C128" s="80" t="s">
        <v>60</v>
      </c>
      <c r="D128" s="59" t="s">
        <v>188</v>
      </c>
      <c r="E128" s="59" t="s">
        <v>13</v>
      </c>
      <c r="F128" s="7">
        <v>4</v>
      </c>
      <c r="G128" s="49">
        <v>673000</v>
      </c>
      <c r="H128" s="49" t="s">
        <v>186</v>
      </c>
      <c r="I128" s="67"/>
      <c r="J128" s="67"/>
      <c r="K128" s="67" t="s">
        <v>600</v>
      </c>
      <c r="L128" s="67"/>
    </row>
    <row r="129" spans="1:13" s="50" customFormat="1" ht="20.25" customHeight="1" x14ac:dyDescent="0.4">
      <c r="A129" s="195">
        <v>45991</v>
      </c>
      <c r="B129" s="59" t="s">
        <v>58</v>
      </c>
      <c r="C129" s="80" t="s">
        <v>60</v>
      </c>
      <c r="D129" s="59" t="s">
        <v>188</v>
      </c>
      <c r="E129" s="59" t="s">
        <v>13</v>
      </c>
      <c r="F129" s="7">
        <v>3</v>
      </c>
      <c r="G129" s="49">
        <v>673000</v>
      </c>
      <c r="H129" s="49" t="s">
        <v>186</v>
      </c>
      <c r="I129" s="67"/>
      <c r="J129" s="67"/>
      <c r="K129" s="67" t="s">
        <v>600</v>
      </c>
      <c r="L129" s="67"/>
    </row>
    <row r="130" spans="1:13" s="50" customFormat="1" ht="20.25" customHeight="1" x14ac:dyDescent="0.4">
      <c r="A130" s="195">
        <v>45991</v>
      </c>
      <c r="B130" s="59" t="s">
        <v>58</v>
      </c>
      <c r="C130" s="80" t="s">
        <v>60</v>
      </c>
      <c r="D130" s="59" t="s">
        <v>187</v>
      </c>
      <c r="E130" s="59" t="s">
        <v>13</v>
      </c>
      <c r="F130" s="7">
        <v>15</v>
      </c>
      <c r="G130" s="49">
        <v>673000</v>
      </c>
      <c r="H130" s="49">
        <f t="shared" si="9"/>
        <v>10095000</v>
      </c>
      <c r="I130" s="67"/>
      <c r="J130" s="67"/>
      <c r="K130" s="67" t="s">
        <v>515</v>
      </c>
      <c r="L130" s="67"/>
    </row>
    <row r="131" spans="1:13" s="50" customFormat="1" ht="20.25" customHeight="1" x14ac:dyDescent="0.4">
      <c r="A131" s="195">
        <v>45991</v>
      </c>
      <c r="B131" s="59" t="s">
        <v>58</v>
      </c>
      <c r="C131" s="80" t="s">
        <v>60</v>
      </c>
      <c r="D131" s="59" t="s">
        <v>187</v>
      </c>
      <c r="E131" s="59" t="s">
        <v>13</v>
      </c>
      <c r="F131" s="7">
        <v>9</v>
      </c>
      <c r="G131" s="49">
        <v>673000</v>
      </c>
      <c r="H131" s="49">
        <f t="shared" si="9"/>
        <v>6057000</v>
      </c>
      <c r="I131" s="67"/>
      <c r="J131" s="67"/>
      <c r="K131" s="67" t="s">
        <v>514</v>
      </c>
      <c r="L131" s="67"/>
    </row>
    <row r="132" spans="1:13" s="3" customFormat="1" ht="21" customHeight="1" x14ac:dyDescent="0.4">
      <c r="A132" s="4">
        <v>45989</v>
      </c>
      <c r="B132" s="33" t="s">
        <v>58</v>
      </c>
      <c r="C132" s="192" t="s">
        <v>189</v>
      </c>
      <c r="D132" s="76" t="s">
        <v>59</v>
      </c>
      <c r="E132" s="76"/>
      <c r="F132" s="7">
        <v>78</v>
      </c>
      <c r="G132" s="7">
        <v>489000</v>
      </c>
      <c r="H132" s="7">
        <f>F132*G132</f>
        <v>38142000</v>
      </c>
      <c r="I132" s="67"/>
      <c r="J132" s="70"/>
      <c r="K132" s="8"/>
      <c r="L132" s="116"/>
      <c r="M132" s="89"/>
    </row>
    <row r="133" spans="1:13" s="113" customFormat="1" ht="20.25" customHeight="1" x14ac:dyDescent="0.4">
      <c r="A133" s="190">
        <v>45989</v>
      </c>
      <c r="B133" s="59" t="s">
        <v>58</v>
      </c>
      <c r="C133" s="61" t="s">
        <v>60</v>
      </c>
      <c r="D133" s="59" t="s">
        <v>282</v>
      </c>
      <c r="E133" s="59" t="s">
        <v>11</v>
      </c>
      <c r="F133" s="7">
        <v>49</v>
      </c>
      <c r="G133" s="49">
        <v>246000</v>
      </c>
      <c r="H133" s="49">
        <f>F133*G133</f>
        <v>12054000</v>
      </c>
      <c r="I133" s="67" t="s">
        <v>379</v>
      </c>
      <c r="J133" s="111"/>
      <c r="K133" s="111"/>
      <c r="L133" s="111"/>
    </row>
    <row r="134" spans="1:13" s="247" customFormat="1" ht="20.25" customHeight="1" x14ac:dyDescent="0.4">
      <c r="A134" s="248">
        <v>46000</v>
      </c>
      <c r="B134" s="240" t="s">
        <v>58</v>
      </c>
      <c r="C134" s="249" t="s">
        <v>60</v>
      </c>
      <c r="D134" s="240" t="s">
        <v>285</v>
      </c>
      <c r="E134" s="240" t="s">
        <v>11</v>
      </c>
      <c r="F134" s="228">
        <v>110</v>
      </c>
      <c r="G134" s="250">
        <v>188000</v>
      </c>
      <c r="H134" s="275">
        <f t="shared" ref="H134:H145" si="10">F134*G134</f>
        <v>20680000</v>
      </c>
      <c r="I134" s="251" t="s">
        <v>379</v>
      </c>
      <c r="J134" s="251"/>
      <c r="K134" s="251"/>
      <c r="L134" s="251"/>
    </row>
    <row r="135" spans="1:13" s="113" customFormat="1" ht="20.25" customHeight="1" x14ac:dyDescent="0.4">
      <c r="A135" s="190">
        <v>46000</v>
      </c>
      <c r="B135" s="110" t="s">
        <v>58</v>
      </c>
      <c r="C135" s="82" t="s">
        <v>60</v>
      </c>
      <c r="D135" s="110" t="s">
        <v>282</v>
      </c>
      <c r="E135" s="110" t="s">
        <v>11</v>
      </c>
      <c r="F135" s="8">
        <v>68</v>
      </c>
      <c r="G135" s="81">
        <v>246000</v>
      </c>
      <c r="H135" s="7">
        <f t="shared" si="10"/>
        <v>16728000</v>
      </c>
      <c r="I135" s="111" t="s">
        <v>378</v>
      </c>
      <c r="J135" s="111"/>
      <c r="K135" s="111"/>
      <c r="L135" s="111"/>
    </row>
    <row r="136" spans="1:13" s="247" customFormat="1" ht="20.25" customHeight="1" x14ac:dyDescent="0.4">
      <c r="A136" s="248">
        <v>46000</v>
      </c>
      <c r="B136" s="240" t="s">
        <v>58</v>
      </c>
      <c r="C136" s="249" t="s">
        <v>60</v>
      </c>
      <c r="D136" s="240" t="s">
        <v>282</v>
      </c>
      <c r="E136" s="240" t="s">
        <v>11</v>
      </c>
      <c r="F136" s="228">
        <v>48</v>
      </c>
      <c r="G136" s="250">
        <v>246000</v>
      </c>
      <c r="H136" s="275">
        <f t="shared" si="10"/>
        <v>11808000</v>
      </c>
      <c r="I136" s="251" t="s">
        <v>378</v>
      </c>
      <c r="J136" s="251"/>
      <c r="K136" s="251"/>
      <c r="L136" s="251"/>
    </row>
    <row r="137" spans="1:13" s="247" customFormat="1" ht="20.25" customHeight="1" x14ac:dyDescent="0.4">
      <c r="A137" s="248">
        <v>46000</v>
      </c>
      <c r="B137" s="240" t="s">
        <v>58</v>
      </c>
      <c r="C137" s="249" t="s">
        <v>60</v>
      </c>
      <c r="D137" s="240" t="s">
        <v>285</v>
      </c>
      <c r="E137" s="240" t="s">
        <v>11</v>
      </c>
      <c r="F137" s="228">
        <v>47</v>
      </c>
      <c r="G137" s="250">
        <v>188000</v>
      </c>
      <c r="H137" s="275">
        <f t="shared" si="10"/>
        <v>8836000</v>
      </c>
      <c r="I137" s="251" t="s">
        <v>379</v>
      </c>
      <c r="J137" s="251"/>
      <c r="K137" s="251"/>
      <c r="L137" s="251"/>
    </row>
    <row r="138" spans="1:13" s="247" customFormat="1" ht="20.25" customHeight="1" x14ac:dyDescent="0.4">
      <c r="A138" s="248">
        <v>46001</v>
      </c>
      <c r="B138" s="240" t="s">
        <v>58</v>
      </c>
      <c r="C138" s="249" t="s">
        <v>60</v>
      </c>
      <c r="D138" s="240" t="s">
        <v>187</v>
      </c>
      <c r="E138" s="240" t="s">
        <v>13</v>
      </c>
      <c r="F138" s="228">
        <v>5</v>
      </c>
      <c r="G138" s="250">
        <v>673000</v>
      </c>
      <c r="H138" s="275">
        <f t="shared" si="10"/>
        <v>3365000</v>
      </c>
      <c r="I138" s="251" t="s">
        <v>379</v>
      </c>
      <c r="J138" s="251"/>
      <c r="K138" s="251"/>
      <c r="L138" s="251"/>
    </row>
    <row r="139" spans="1:13" s="247" customFormat="1" ht="20.25" customHeight="1" x14ac:dyDescent="0.4">
      <c r="A139" s="248">
        <v>46009</v>
      </c>
      <c r="B139" s="240" t="s">
        <v>58</v>
      </c>
      <c r="C139" s="249" t="s">
        <v>60</v>
      </c>
      <c r="D139" s="240" t="s">
        <v>498</v>
      </c>
      <c r="E139" s="240" t="s">
        <v>13</v>
      </c>
      <c r="F139" s="228">
        <v>24</v>
      </c>
      <c r="G139" s="250">
        <v>673000</v>
      </c>
      <c r="H139" s="275">
        <f t="shared" si="10"/>
        <v>16152000</v>
      </c>
      <c r="I139" s="251" t="s">
        <v>609</v>
      </c>
      <c r="J139" s="251"/>
      <c r="K139" s="251"/>
      <c r="L139" s="251"/>
    </row>
    <row r="140" spans="1:13" s="247" customFormat="1" ht="20.25" customHeight="1" x14ac:dyDescent="0.4">
      <c r="A140" s="248">
        <v>46009</v>
      </c>
      <c r="B140" s="240" t="s">
        <v>58</v>
      </c>
      <c r="C140" s="249" t="s">
        <v>60</v>
      </c>
      <c r="D140" s="240" t="s">
        <v>282</v>
      </c>
      <c r="E140" s="240" t="s">
        <v>11</v>
      </c>
      <c r="F140" s="228">
        <v>40</v>
      </c>
      <c r="G140" s="250">
        <v>246000</v>
      </c>
      <c r="H140" s="275">
        <f t="shared" si="10"/>
        <v>9840000</v>
      </c>
      <c r="I140" s="251" t="s">
        <v>378</v>
      </c>
      <c r="J140" s="251"/>
      <c r="K140" s="251"/>
      <c r="L140" s="251"/>
    </row>
    <row r="141" spans="1:13" s="247" customFormat="1" ht="20.25" customHeight="1" x14ac:dyDescent="0.4">
      <c r="A141" s="248">
        <v>46017</v>
      </c>
      <c r="B141" s="240" t="s">
        <v>58</v>
      </c>
      <c r="C141" s="249" t="s">
        <v>610</v>
      </c>
      <c r="D141" s="240" t="s">
        <v>558</v>
      </c>
      <c r="E141" s="240" t="s">
        <v>11</v>
      </c>
      <c r="F141" s="228">
        <v>4</v>
      </c>
      <c r="G141" s="250">
        <v>700000</v>
      </c>
      <c r="H141" s="275">
        <f t="shared" si="10"/>
        <v>2800000</v>
      </c>
      <c r="I141" s="251"/>
      <c r="J141" s="251"/>
      <c r="K141" s="251"/>
      <c r="L141" s="251"/>
    </row>
    <row r="142" spans="1:13" s="247" customFormat="1" ht="20.25" customHeight="1" x14ac:dyDescent="0.4">
      <c r="A142" s="248">
        <v>46017</v>
      </c>
      <c r="B142" s="240" t="s">
        <v>58</v>
      </c>
      <c r="C142" s="249" t="s">
        <v>610</v>
      </c>
      <c r="D142" s="240" t="s">
        <v>521</v>
      </c>
      <c r="E142" s="240" t="s">
        <v>11</v>
      </c>
      <c r="F142" s="228">
        <v>4</v>
      </c>
      <c r="G142" s="250">
        <v>700000</v>
      </c>
      <c r="H142" s="275">
        <f t="shared" si="10"/>
        <v>2800000</v>
      </c>
      <c r="I142" s="251"/>
      <c r="J142" s="251"/>
      <c r="K142" s="251"/>
      <c r="L142" s="251"/>
    </row>
    <row r="143" spans="1:13" s="247" customFormat="1" ht="20.25" customHeight="1" x14ac:dyDescent="0.4">
      <c r="A143" s="248">
        <v>46020</v>
      </c>
      <c r="B143" s="240" t="s">
        <v>58</v>
      </c>
      <c r="C143" s="249" t="s">
        <v>610</v>
      </c>
      <c r="D143" s="240" t="s">
        <v>558</v>
      </c>
      <c r="E143" s="240" t="s">
        <v>11</v>
      </c>
      <c r="F143" s="228">
        <v>8</v>
      </c>
      <c r="G143" s="250">
        <v>700000</v>
      </c>
      <c r="H143" s="275">
        <f t="shared" si="10"/>
        <v>5600000</v>
      </c>
      <c r="I143" s="251" t="s">
        <v>611</v>
      </c>
      <c r="J143" s="251"/>
      <c r="K143" s="251"/>
      <c r="L143" s="251"/>
    </row>
    <row r="144" spans="1:13" s="247" customFormat="1" ht="20.25" customHeight="1" x14ac:dyDescent="0.4">
      <c r="A144" s="248">
        <v>46020</v>
      </c>
      <c r="B144" s="240" t="s">
        <v>58</v>
      </c>
      <c r="C144" s="249" t="s">
        <v>610</v>
      </c>
      <c r="D144" s="240" t="s">
        <v>521</v>
      </c>
      <c r="E144" s="240" t="s">
        <v>11</v>
      </c>
      <c r="F144" s="228">
        <v>8</v>
      </c>
      <c r="G144" s="250">
        <v>700000</v>
      </c>
      <c r="H144" s="275">
        <f t="shared" si="10"/>
        <v>5600000</v>
      </c>
      <c r="I144" s="251" t="s">
        <v>611</v>
      </c>
      <c r="J144" s="251"/>
      <c r="K144" s="251"/>
      <c r="L144" s="251"/>
    </row>
    <row r="145" spans="1:13" s="247" customFormat="1" ht="20.25" customHeight="1" x14ac:dyDescent="0.4">
      <c r="A145" s="248">
        <v>46021</v>
      </c>
      <c r="B145" s="240" t="s">
        <v>58</v>
      </c>
      <c r="C145" s="249" t="s">
        <v>60</v>
      </c>
      <c r="D145" s="240" t="s">
        <v>498</v>
      </c>
      <c r="E145" s="240" t="s">
        <v>13</v>
      </c>
      <c r="F145" s="228">
        <v>15</v>
      </c>
      <c r="G145" s="250">
        <v>673000</v>
      </c>
      <c r="H145" s="275">
        <f t="shared" si="10"/>
        <v>10095000</v>
      </c>
      <c r="I145" s="251" t="s">
        <v>379</v>
      </c>
      <c r="J145" s="251"/>
      <c r="K145" s="251"/>
      <c r="L145" s="251"/>
    </row>
    <row r="146" spans="1:13" s="247" customFormat="1" ht="20.25" customHeight="1" x14ac:dyDescent="0.4">
      <c r="A146" s="248">
        <v>46021</v>
      </c>
      <c r="B146" s="5" t="s">
        <v>58</v>
      </c>
      <c r="C146" s="252" t="s">
        <v>60</v>
      </c>
      <c r="D146" s="11" t="s">
        <v>522</v>
      </c>
      <c r="E146" s="11" t="s">
        <v>13</v>
      </c>
      <c r="F146" s="253">
        <v>4</v>
      </c>
      <c r="G146" s="253">
        <v>673000</v>
      </c>
      <c r="H146" s="254" t="s">
        <v>186</v>
      </c>
      <c r="I146" s="74" t="s">
        <v>612</v>
      </c>
      <c r="J146" s="251"/>
      <c r="K146" s="251"/>
      <c r="L146" s="251"/>
    </row>
    <row r="147" spans="1:13" s="247" customFormat="1" ht="20.25" customHeight="1" x14ac:dyDescent="0.4">
      <c r="A147" s="248">
        <v>46021</v>
      </c>
      <c r="B147" s="240" t="s">
        <v>683</v>
      </c>
      <c r="C147" s="249" t="s">
        <v>60</v>
      </c>
      <c r="D147" s="240" t="s">
        <v>498</v>
      </c>
      <c r="E147" s="240" t="s">
        <v>13</v>
      </c>
      <c r="F147" s="228">
        <v>17</v>
      </c>
      <c r="G147" s="253">
        <v>673000</v>
      </c>
      <c r="H147" s="254">
        <f>F147*G147</f>
        <v>11441000</v>
      </c>
      <c r="I147" s="251" t="s">
        <v>378</v>
      </c>
      <c r="J147" s="251"/>
      <c r="K147" s="251"/>
      <c r="L147" s="251"/>
    </row>
    <row r="148" spans="1:13" s="247" customFormat="1" ht="20.25" customHeight="1" x14ac:dyDescent="0.4">
      <c r="A148" s="248">
        <v>46385</v>
      </c>
      <c r="B148" s="240" t="s">
        <v>683</v>
      </c>
      <c r="C148" s="249" t="s">
        <v>691</v>
      </c>
      <c r="D148" s="240" t="s">
        <v>692</v>
      </c>
      <c r="E148" s="240"/>
      <c r="F148" s="228"/>
      <c r="G148" s="253"/>
      <c r="H148" s="254">
        <v>111744000</v>
      </c>
      <c r="I148" s="251"/>
      <c r="J148" s="251"/>
      <c r="K148" s="251"/>
      <c r="L148" s="251"/>
    </row>
    <row r="149" spans="1:13" s="3" customFormat="1" ht="21" customHeight="1" x14ac:dyDescent="0.4">
      <c r="A149" s="4">
        <v>45961</v>
      </c>
      <c r="B149" s="5" t="s">
        <v>58</v>
      </c>
      <c r="C149" s="163" t="s">
        <v>445</v>
      </c>
      <c r="D149" s="42" t="s">
        <v>446</v>
      </c>
      <c r="E149" s="42" t="s">
        <v>11</v>
      </c>
      <c r="F149" s="358">
        <v>20</v>
      </c>
      <c r="G149" s="167">
        <v>1671500</v>
      </c>
      <c r="H149" s="165">
        <f t="shared" ref="H149:H154" si="11">F149*G149</f>
        <v>33430000</v>
      </c>
      <c r="I149" s="67" t="s">
        <v>684</v>
      </c>
      <c r="J149" s="166"/>
      <c r="K149" s="167"/>
      <c r="L149" s="168"/>
      <c r="M149" s="169"/>
    </row>
    <row r="150" spans="1:13" s="28" customFormat="1" ht="19.5" customHeight="1" x14ac:dyDescent="0.4">
      <c r="A150" s="5">
        <v>45922</v>
      </c>
      <c r="B150" s="5" t="s">
        <v>58</v>
      </c>
      <c r="C150" s="153" t="s">
        <v>499</v>
      </c>
      <c r="D150" s="11" t="s">
        <v>500</v>
      </c>
      <c r="E150" s="11" t="s">
        <v>11</v>
      </c>
      <c r="F150" s="359">
        <v>4</v>
      </c>
      <c r="G150" s="154">
        <v>691596</v>
      </c>
      <c r="H150" s="152">
        <f t="shared" si="11"/>
        <v>2766384</v>
      </c>
      <c r="I150" s="67" t="s">
        <v>684</v>
      </c>
      <c r="J150" s="27"/>
      <c r="K150" s="27"/>
      <c r="L150" s="126"/>
      <c r="M150" s="155"/>
    </row>
    <row r="151" spans="1:13" s="28" customFormat="1" ht="19.5" customHeight="1" x14ac:dyDescent="0.4">
      <c r="A151" s="5">
        <v>45922</v>
      </c>
      <c r="B151" s="5" t="s">
        <v>58</v>
      </c>
      <c r="C151" s="153" t="s">
        <v>501</v>
      </c>
      <c r="D151" s="11" t="s">
        <v>502</v>
      </c>
      <c r="E151" s="11" t="s">
        <v>11</v>
      </c>
      <c r="F151" s="359">
        <v>4</v>
      </c>
      <c r="G151" s="154">
        <v>691596</v>
      </c>
      <c r="H151" s="152">
        <f t="shared" si="11"/>
        <v>2766384</v>
      </c>
      <c r="I151" s="67" t="s">
        <v>684</v>
      </c>
      <c r="J151" s="27"/>
      <c r="K151" s="27"/>
      <c r="L151" s="126"/>
      <c r="M151" s="155"/>
    </row>
    <row r="152" spans="1:13" s="28" customFormat="1" ht="19.5" customHeight="1" x14ac:dyDescent="0.4">
      <c r="A152" s="5">
        <v>45924</v>
      </c>
      <c r="B152" s="5" t="s">
        <v>58</v>
      </c>
      <c r="C152" s="153" t="s">
        <v>499</v>
      </c>
      <c r="D152" s="11" t="s">
        <v>500</v>
      </c>
      <c r="E152" s="11" t="s">
        <v>11</v>
      </c>
      <c r="F152" s="359">
        <v>20</v>
      </c>
      <c r="G152" s="154">
        <v>691596</v>
      </c>
      <c r="H152" s="152">
        <f t="shared" si="11"/>
        <v>13831920</v>
      </c>
      <c r="I152" s="67" t="s">
        <v>684</v>
      </c>
      <c r="J152" s="27"/>
      <c r="K152" s="27"/>
      <c r="L152" s="126"/>
      <c r="M152" s="155"/>
    </row>
    <row r="153" spans="1:13" s="28" customFormat="1" ht="19.5" customHeight="1" x14ac:dyDescent="0.4">
      <c r="A153" s="5">
        <v>45924</v>
      </c>
      <c r="B153" s="5" t="s">
        <v>58</v>
      </c>
      <c r="C153" s="153" t="s">
        <v>501</v>
      </c>
      <c r="D153" s="11" t="s">
        <v>502</v>
      </c>
      <c r="E153" s="11" t="s">
        <v>11</v>
      </c>
      <c r="F153" s="359">
        <v>20</v>
      </c>
      <c r="G153" s="154">
        <v>691596</v>
      </c>
      <c r="H153" s="152">
        <f t="shared" si="11"/>
        <v>13831920</v>
      </c>
      <c r="I153" s="67" t="s">
        <v>684</v>
      </c>
      <c r="J153" s="27"/>
      <c r="K153" s="27"/>
      <c r="L153" s="126"/>
      <c r="M153" s="155"/>
    </row>
    <row r="154" spans="1:13" s="28" customFormat="1" ht="19.5" customHeight="1" x14ac:dyDescent="0.4">
      <c r="A154" s="5">
        <v>45929</v>
      </c>
      <c r="B154" s="5" t="s">
        <v>58</v>
      </c>
      <c r="C154" s="153" t="s">
        <v>445</v>
      </c>
      <c r="D154" s="11" t="s">
        <v>497</v>
      </c>
      <c r="E154" s="11"/>
      <c r="F154" s="154">
        <v>25</v>
      </c>
      <c r="G154" s="154">
        <v>1671500</v>
      </c>
      <c r="H154" s="152">
        <f t="shared" si="11"/>
        <v>41787500</v>
      </c>
      <c r="I154" s="67" t="s">
        <v>684</v>
      </c>
      <c r="J154" s="27" t="s">
        <v>491</v>
      </c>
      <c r="K154" s="27"/>
      <c r="L154" s="126"/>
      <c r="M154" s="155"/>
    </row>
    <row r="155" spans="1:13" s="28" customFormat="1" ht="19.5" customHeight="1" x14ac:dyDescent="0.4">
      <c r="A155" s="5">
        <v>45929</v>
      </c>
      <c r="B155" s="5" t="s">
        <v>58</v>
      </c>
      <c r="C155" s="153" t="s">
        <v>447</v>
      </c>
      <c r="D155" s="11"/>
      <c r="E155" s="11"/>
      <c r="F155" s="154">
        <v>20</v>
      </c>
      <c r="G155" s="154"/>
      <c r="H155" s="156"/>
      <c r="I155" s="67" t="s">
        <v>684</v>
      </c>
      <c r="J155" s="27" t="s">
        <v>491</v>
      </c>
      <c r="K155" s="27"/>
      <c r="L155" s="126"/>
      <c r="M155" s="155"/>
    </row>
    <row r="156" spans="1:13" s="3" customFormat="1" ht="21" customHeight="1" x14ac:dyDescent="0.4">
      <c r="A156" s="118">
        <v>45932</v>
      </c>
      <c r="B156" s="103" t="s">
        <v>58</v>
      </c>
      <c r="C156" s="163" t="s">
        <v>518</v>
      </c>
      <c r="D156" s="42" t="s">
        <v>519</v>
      </c>
      <c r="E156" s="42" t="s">
        <v>11</v>
      </c>
      <c r="F156" s="164">
        <v>12</v>
      </c>
      <c r="G156" s="165">
        <v>691076</v>
      </c>
      <c r="H156" s="165">
        <f>F156*G156</f>
        <v>8292912</v>
      </c>
      <c r="I156" s="67" t="s">
        <v>684</v>
      </c>
      <c r="J156" s="166"/>
      <c r="K156" s="167"/>
      <c r="L156" s="168"/>
      <c r="M156" s="169"/>
    </row>
    <row r="157" spans="1:13" s="3" customFormat="1" ht="21" customHeight="1" x14ac:dyDescent="0.4">
      <c r="A157" s="118">
        <v>45932</v>
      </c>
      <c r="B157" s="103" t="s">
        <v>58</v>
      </c>
      <c r="C157" s="163" t="s">
        <v>520</v>
      </c>
      <c r="D157" s="42" t="s">
        <v>521</v>
      </c>
      <c r="E157" s="42" t="s">
        <v>11</v>
      </c>
      <c r="F157" s="164">
        <v>12</v>
      </c>
      <c r="G157" s="165">
        <v>691076</v>
      </c>
      <c r="H157" s="165">
        <f>F157*G157</f>
        <v>8292912</v>
      </c>
      <c r="I157" s="67" t="s">
        <v>684</v>
      </c>
      <c r="J157" s="166"/>
      <c r="K157" s="167"/>
      <c r="L157" s="168"/>
      <c r="M157" s="169"/>
    </row>
    <row r="158" spans="1:13" s="113" customFormat="1" ht="20.25" customHeight="1" x14ac:dyDescent="0.4">
      <c r="A158" s="190">
        <v>45989</v>
      </c>
      <c r="B158" s="59" t="s">
        <v>58</v>
      </c>
      <c r="C158" s="80" t="s">
        <v>60</v>
      </c>
      <c r="D158" s="59" t="s">
        <v>284</v>
      </c>
      <c r="E158" s="59" t="s">
        <v>11</v>
      </c>
      <c r="F158" s="7">
        <v>48</v>
      </c>
      <c r="G158" s="49">
        <v>188000</v>
      </c>
      <c r="H158" s="49"/>
      <c r="I158" s="67" t="s">
        <v>684</v>
      </c>
      <c r="J158" s="111"/>
      <c r="K158" s="111" t="s">
        <v>601</v>
      </c>
      <c r="L158" s="111"/>
    </row>
    <row r="159" spans="1:13" s="3" customFormat="1" ht="21" customHeight="1" x14ac:dyDescent="0.4">
      <c r="A159" s="4">
        <v>45989</v>
      </c>
      <c r="B159" s="33" t="s">
        <v>58</v>
      </c>
      <c r="C159" s="192" t="s">
        <v>189</v>
      </c>
      <c r="D159" s="76" t="s">
        <v>59</v>
      </c>
      <c r="E159" s="76"/>
      <c r="F159" s="147">
        <v>2</v>
      </c>
      <c r="G159" s="7">
        <v>489000</v>
      </c>
      <c r="H159" s="7">
        <f>F159*G159</f>
        <v>978000</v>
      </c>
      <c r="I159" s="67" t="s">
        <v>684</v>
      </c>
      <c r="J159" s="70"/>
      <c r="K159" s="8"/>
      <c r="L159" s="116"/>
      <c r="M159" s="89"/>
    </row>
    <row r="160" spans="1:13" s="3" customFormat="1" ht="21" customHeight="1" x14ac:dyDescent="0.4">
      <c r="A160" s="4">
        <v>45989</v>
      </c>
      <c r="B160" s="33" t="s">
        <v>58</v>
      </c>
      <c r="C160" s="192" t="s">
        <v>445</v>
      </c>
      <c r="D160" s="76" t="s">
        <v>446</v>
      </c>
      <c r="E160" s="76" t="s">
        <v>11</v>
      </c>
      <c r="F160" s="147">
        <v>8</v>
      </c>
      <c r="G160" s="7">
        <v>1671500</v>
      </c>
      <c r="H160" s="7">
        <f>F160*G160</f>
        <v>13372000</v>
      </c>
      <c r="I160" s="67" t="s">
        <v>684</v>
      </c>
      <c r="J160" s="70"/>
      <c r="K160" s="8"/>
      <c r="L160" s="116"/>
      <c r="M160" s="89"/>
    </row>
    <row r="161" spans="1:14" s="247" customFormat="1" ht="20.25" customHeight="1" x14ac:dyDescent="0.4">
      <c r="A161" s="242"/>
      <c r="B161" s="243" t="s">
        <v>58</v>
      </c>
      <c r="C161" s="235"/>
      <c r="D161" s="243" t="s">
        <v>686</v>
      </c>
      <c r="E161" s="243"/>
      <c r="F161" s="234"/>
      <c r="G161" s="244"/>
      <c r="H161" s="273">
        <f>SUM(H113:H115,H118:H120,H122:H125,H127,H130:H132,H133:H148)</f>
        <v>419128500</v>
      </c>
      <c r="I161" s="246"/>
      <c r="J161" s="246"/>
      <c r="K161" s="246"/>
      <c r="L161" s="246"/>
    </row>
    <row r="162" spans="1:14" s="28" customFormat="1" ht="21" customHeight="1" x14ac:dyDescent="0.4">
      <c r="A162" s="10">
        <v>46007</v>
      </c>
      <c r="B162" s="23" t="s">
        <v>356</v>
      </c>
      <c r="C162" s="252" t="s">
        <v>674</v>
      </c>
      <c r="D162" s="11" t="s">
        <v>503</v>
      </c>
      <c r="E162" s="11" t="s">
        <v>13</v>
      </c>
      <c r="F162" s="253">
        <v>10</v>
      </c>
      <c r="G162" s="253">
        <v>536960</v>
      </c>
      <c r="H162" s="275">
        <f>F162*G162</f>
        <v>5369600</v>
      </c>
      <c r="I162" s="84"/>
      <c r="J162" s="253"/>
      <c r="K162" s="35"/>
      <c r="L162" s="104"/>
      <c r="M162" s="255"/>
    </row>
    <row r="163" spans="1:14" s="28" customFormat="1" ht="21" customHeight="1" x14ac:dyDescent="0.4">
      <c r="A163" s="10">
        <v>46010</v>
      </c>
      <c r="B163" s="23" t="s">
        <v>356</v>
      </c>
      <c r="C163" s="252" t="s">
        <v>56</v>
      </c>
      <c r="D163" s="11" t="s">
        <v>503</v>
      </c>
      <c r="E163" s="11" t="s">
        <v>13</v>
      </c>
      <c r="F163" s="253">
        <v>16</v>
      </c>
      <c r="G163" s="253">
        <v>536960</v>
      </c>
      <c r="H163" s="275">
        <f>F163*G163</f>
        <v>8591360</v>
      </c>
      <c r="I163" s="84"/>
      <c r="J163" s="253"/>
      <c r="K163" s="35"/>
      <c r="L163" s="104"/>
      <c r="M163" s="255"/>
    </row>
    <row r="164" spans="1:14" s="28" customFormat="1" ht="21" customHeight="1" x14ac:dyDescent="0.4">
      <c r="A164" s="10">
        <v>46010</v>
      </c>
      <c r="B164" s="23" t="s">
        <v>356</v>
      </c>
      <c r="C164" s="252" t="s">
        <v>56</v>
      </c>
      <c r="D164" s="11" t="s">
        <v>503</v>
      </c>
      <c r="E164" s="11" t="s">
        <v>13</v>
      </c>
      <c r="F164" s="253">
        <v>4</v>
      </c>
      <c r="G164" s="253">
        <v>536960</v>
      </c>
      <c r="H164" s="275" t="s">
        <v>186</v>
      </c>
      <c r="I164" s="84"/>
      <c r="J164" s="253"/>
      <c r="K164" s="35"/>
      <c r="L164" s="104"/>
      <c r="M164" s="255"/>
    </row>
    <row r="165" spans="1:14" s="247" customFormat="1" ht="20.25" customHeight="1" x14ac:dyDescent="0.4">
      <c r="A165" s="242"/>
      <c r="B165" s="243"/>
      <c r="C165" s="235"/>
      <c r="D165" s="243"/>
      <c r="E165" s="243"/>
      <c r="F165" s="244"/>
      <c r="G165" s="244"/>
      <c r="H165" s="273">
        <f>SUM(H162:H164)</f>
        <v>13960960</v>
      </c>
      <c r="I165" s="246"/>
      <c r="J165" s="246"/>
      <c r="K165" s="246"/>
      <c r="L165" s="246"/>
    </row>
    <row r="166" spans="1:14" s="14" customFormat="1" ht="21" customHeight="1" x14ac:dyDescent="0.4">
      <c r="A166" s="15">
        <v>45993</v>
      </c>
      <c r="B166" s="240" t="s">
        <v>218</v>
      </c>
      <c r="C166" s="173" t="s">
        <v>63</v>
      </c>
      <c r="D166" s="174" t="s">
        <v>97</v>
      </c>
      <c r="E166" s="165"/>
      <c r="F166" s="165">
        <v>16</v>
      </c>
      <c r="G166" s="175">
        <v>137000</v>
      </c>
      <c r="H166" s="165">
        <v>2192000</v>
      </c>
      <c r="I166" s="176"/>
      <c r="J166" s="177" t="s">
        <v>561</v>
      </c>
      <c r="K166" s="177">
        <v>45980</v>
      </c>
      <c r="L166" s="79"/>
      <c r="M166" s="178"/>
      <c r="N166" s="78"/>
    </row>
    <row r="167" spans="1:14" s="14" customFormat="1" ht="21" customHeight="1" x14ac:dyDescent="0.4">
      <c r="A167" s="15">
        <v>45993</v>
      </c>
      <c r="B167" s="240" t="s">
        <v>218</v>
      </c>
      <c r="C167" s="173" t="s">
        <v>63</v>
      </c>
      <c r="D167" s="174" t="s">
        <v>97</v>
      </c>
      <c r="E167" s="165"/>
      <c r="F167" s="165">
        <v>10</v>
      </c>
      <c r="G167" s="175">
        <v>137000</v>
      </c>
      <c r="H167" s="165">
        <v>1370000</v>
      </c>
      <c r="I167" s="176"/>
      <c r="J167" s="177" t="s">
        <v>564</v>
      </c>
      <c r="K167" s="177">
        <v>45994</v>
      </c>
      <c r="L167" s="79"/>
      <c r="M167" s="178"/>
      <c r="N167" s="78"/>
    </row>
    <row r="168" spans="1:14" s="14" customFormat="1" ht="21" customHeight="1" x14ac:dyDescent="0.4">
      <c r="A168" s="15">
        <v>45993</v>
      </c>
      <c r="B168" s="240" t="s">
        <v>218</v>
      </c>
      <c r="C168" s="173" t="s">
        <v>204</v>
      </c>
      <c r="D168" s="174" t="s">
        <v>205</v>
      </c>
      <c r="E168" s="165"/>
      <c r="F168" s="165">
        <v>16</v>
      </c>
      <c r="G168" s="175">
        <v>1295000</v>
      </c>
      <c r="H168" s="165">
        <v>20720000</v>
      </c>
      <c r="I168" s="176"/>
      <c r="J168" s="177" t="s">
        <v>561</v>
      </c>
      <c r="K168" s="177">
        <v>45980</v>
      </c>
      <c r="L168" s="79"/>
      <c r="M168" s="178"/>
      <c r="N168" s="78"/>
    </row>
    <row r="169" spans="1:14" s="14" customFormat="1" ht="21" customHeight="1" x14ac:dyDescent="0.4">
      <c r="A169" s="15">
        <v>45993</v>
      </c>
      <c r="B169" s="240" t="s">
        <v>218</v>
      </c>
      <c r="C169" s="173" t="s">
        <v>204</v>
      </c>
      <c r="D169" s="174" t="s">
        <v>205</v>
      </c>
      <c r="E169" s="165"/>
      <c r="F169" s="165">
        <v>1</v>
      </c>
      <c r="G169" s="175">
        <v>1295000</v>
      </c>
      <c r="H169" s="165">
        <v>1295000</v>
      </c>
      <c r="I169" s="176"/>
      <c r="J169" s="177" t="s">
        <v>523</v>
      </c>
      <c r="K169" s="177">
        <v>45952</v>
      </c>
      <c r="L169" s="79"/>
      <c r="M169" s="178"/>
      <c r="N169" s="78"/>
    </row>
    <row r="170" spans="1:14" s="14" customFormat="1" ht="21" customHeight="1" x14ac:dyDescent="0.4">
      <c r="A170" s="15">
        <v>45993</v>
      </c>
      <c r="B170" s="240" t="s">
        <v>218</v>
      </c>
      <c r="C170" s="173" t="s">
        <v>66</v>
      </c>
      <c r="D170" s="174" t="s">
        <v>195</v>
      </c>
      <c r="E170" s="165"/>
      <c r="F170" s="165">
        <v>10</v>
      </c>
      <c r="G170" s="175">
        <v>1917500</v>
      </c>
      <c r="H170" s="165">
        <v>19175000</v>
      </c>
      <c r="I170" s="176"/>
      <c r="J170" s="177" t="s">
        <v>564</v>
      </c>
      <c r="K170" s="177">
        <v>45994</v>
      </c>
      <c r="L170" s="79"/>
      <c r="M170" s="178"/>
      <c r="N170" s="78"/>
    </row>
    <row r="171" spans="1:14" s="14" customFormat="1" ht="21" customHeight="1" x14ac:dyDescent="0.4">
      <c r="A171" s="15">
        <v>45993</v>
      </c>
      <c r="B171" s="240" t="s">
        <v>218</v>
      </c>
      <c r="C171" s="173" t="s">
        <v>64</v>
      </c>
      <c r="D171" s="174" t="s">
        <v>65</v>
      </c>
      <c r="E171" s="165"/>
      <c r="F171" s="165">
        <v>8</v>
      </c>
      <c r="G171" s="175">
        <v>1568700</v>
      </c>
      <c r="H171" s="165">
        <v>12549600</v>
      </c>
      <c r="I171" s="176"/>
      <c r="J171" s="177" t="s">
        <v>524</v>
      </c>
      <c r="K171" s="177">
        <v>45966</v>
      </c>
      <c r="L171" s="79"/>
      <c r="M171" s="178"/>
      <c r="N171" s="78"/>
    </row>
    <row r="172" spans="1:14" s="14" customFormat="1" ht="21" customHeight="1" x14ac:dyDescent="0.4">
      <c r="A172" s="15">
        <v>45993</v>
      </c>
      <c r="B172" s="240" t="s">
        <v>218</v>
      </c>
      <c r="C172" s="173" t="s">
        <v>204</v>
      </c>
      <c r="D172" s="174" t="s">
        <v>205</v>
      </c>
      <c r="E172" s="165"/>
      <c r="F172" s="165">
        <v>8</v>
      </c>
      <c r="G172" s="175">
        <v>1295000</v>
      </c>
      <c r="H172" s="165">
        <v>10360000</v>
      </c>
      <c r="I172" s="176"/>
      <c r="J172" s="177" t="s">
        <v>524</v>
      </c>
      <c r="K172" s="177">
        <v>45966</v>
      </c>
      <c r="L172" s="79"/>
      <c r="M172" s="178"/>
      <c r="N172" s="78"/>
    </row>
    <row r="173" spans="1:14" s="14" customFormat="1" ht="21" customHeight="1" x14ac:dyDescent="0.4">
      <c r="A173" s="4">
        <v>45993</v>
      </c>
      <c r="B173" s="240" t="s">
        <v>218</v>
      </c>
      <c r="C173" s="173" t="s">
        <v>301</v>
      </c>
      <c r="D173" s="174" t="s">
        <v>302</v>
      </c>
      <c r="E173" s="165"/>
      <c r="F173" s="165">
        <v>1</v>
      </c>
      <c r="G173" s="175">
        <v>530000</v>
      </c>
      <c r="H173" s="165">
        <v>530000</v>
      </c>
      <c r="I173" s="176"/>
      <c r="J173" s="177" t="s">
        <v>70</v>
      </c>
      <c r="K173" s="177">
        <v>45823</v>
      </c>
      <c r="L173" s="79"/>
      <c r="M173" s="178"/>
      <c r="N173" s="78"/>
    </row>
    <row r="174" spans="1:14" s="14" customFormat="1" ht="21" customHeight="1" x14ac:dyDescent="0.4">
      <c r="A174" s="4">
        <v>45993</v>
      </c>
      <c r="B174" s="240" t="s">
        <v>218</v>
      </c>
      <c r="C174" s="173" t="s">
        <v>301</v>
      </c>
      <c r="D174" s="174" t="s">
        <v>302</v>
      </c>
      <c r="E174" s="165"/>
      <c r="F174" s="165">
        <v>5</v>
      </c>
      <c r="G174" s="175">
        <v>550000</v>
      </c>
      <c r="H174" s="165">
        <v>2750000</v>
      </c>
      <c r="I174" s="176"/>
      <c r="J174" s="177" t="s">
        <v>70</v>
      </c>
      <c r="K174" s="177">
        <v>45853</v>
      </c>
      <c r="L174" s="79"/>
      <c r="M174" s="178"/>
      <c r="N174" s="78"/>
    </row>
    <row r="175" spans="1:14" s="14" customFormat="1" ht="21" customHeight="1" x14ac:dyDescent="0.4">
      <c r="A175" s="4">
        <v>45993</v>
      </c>
      <c r="B175" s="240" t="s">
        <v>218</v>
      </c>
      <c r="C175" s="173" t="s">
        <v>301</v>
      </c>
      <c r="D175" s="174" t="s">
        <v>302</v>
      </c>
      <c r="E175" s="165"/>
      <c r="F175" s="165">
        <v>4</v>
      </c>
      <c r="G175" s="175">
        <v>550000</v>
      </c>
      <c r="H175" s="165">
        <v>2200000</v>
      </c>
      <c r="I175" s="176"/>
      <c r="J175" s="177" t="s">
        <v>70</v>
      </c>
      <c r="K175" s="177">
        <v>45884</v>
      </c>
      <c r="L175" s="79"/>
      <c r="M175" s="178"/>
      <c r="N175" s="78"/>
    </row>
    <row r="176" spans="1:14" s="14" customFormat="1" ht="21" customHeight="1" x14ac:dyDescent="0.4">
      <c r="A176" s="15">
        <v>45993</v>
      </c>
      <c r="B176" s="240" t="s">
        <v>218</v>
      </c>
      <c r="C176" s="179" t="s">
        <v>103</v>
      </c>
      <c r="D176" s="180" t="s">
        <v>454</v>
      </c>
      <c r="E176" s="165"/>
      <c r="F176" s="165">
        <v>2</v>
      </c>
      <c r="G176" s="175">
        <v>127000</v>
      </c>
      <c r="H176" s="165">
        <v>254000</v>
      </c>
      <c r="I176" s="176"/>
      <c r="J176" s="177" t="s">
        <v>70</v>
      </c>
      <c r="K176" s="177">
        <v>45996</v>
      </c>
      <c r="L176" s="79"/>
      <c r="M176" s="178"/>
      <c r="N176" s="78"/>
    </row>
    <row r="177" spans="1:17" s="14" customFormat="1" ht="21" customHeight="1" x14ac:dyDescent="0.4">
      <c r="A177" s="4">
        <v>45993</v>
      </c>
      <c r="B177" s="240" t="s">
        <v>218</v>
      </c>
      <c r="C177" s="173" t="s">
        <v>99</v>
      </c>
      <c r="D177" s="174" t="s">
        <v>100</v>
      </c>
      <c r="E177" s="165"/>
      <c r="F177" s="165">
        <v>5</v>
      </c>
      <c r="G177" s="175">
        <v>543000</v>
      </c>
      <c r="H177" s="165">
        <v>2715000</v>
      </c>
      <c r="I177" s="176"/>
      <c r="J177" s="177" t="s">
        <v>70</v>
      </c>
      <c r="K177" s="177">
        <v>45879</v>
      </c>
      <c r="L177" s="79"/>
      <c r="M177" s="178"/>
      <c r="N177" s="78"/>
    </row>
    <row r="178" spans="1:17" s="14" customFormat="1" ht="21" customHeight="1" x14ac:dyDescent="0.4">
      <c r="A178" s="4">
        <v>45993</v>
      </c>
      <c r="B178" s="240" t="s">
        <v>218</v>
      </c>
      <c r="C178" s="173" t="s">
        <v>90</v>
      </c>
      <c r="D178" s="174" t="s">
        <v>91</v>
      </c>
      <c r="E178" s="165"/>
      <c r="F178" s="165">
        <v>4</v>
      </c>
      <c r="G178" s="175">
        <v>259000</v>
      </c>
      <c r="H178" s="165">
        <v>1036000</v>
      </c>
      <c r="I178" s="176"/>
      <c r="J178" s="177" t="s">
        <v>70</v>
      </c>
      <c r="K178" s="177">
        <v>45971</v>
      </c>
      <c r="L178" s="79"/>
      <c r="M178" s="178"/>
      <c r="N178" s="78"/>
    </row>
    <row r="179" spans="1:17" s="14" customFormat="1" ht="21" customHeight="1" x14ac:dyDescent="0.4">
      <c r="A179" s="15">
        <v>45993</v>
      </c>
      <c r="B179" s="240" t="s">
        <v>218</v>
      </c>
      <c r="C179" s="173" t="s">
        <v>103</v>
      </c>
      <c r="D179" s="174" t="s">
        <v>454</v>
      </c>
      <c r="E179" s="165"/>
      <c r="F179" s="165">
        <v>1</v>
      </c>
      <c r="G179" s="175">
        <v>116390</v>
      </c>
      <c r="H179" s="165">
        <v>116390</v>
      </c>
      <c r="I179" s="176"/>
      <c r="J179" s="177" t="s">
        <v>70</v>
      </c>
      <c r="K179" s="177">
        <v>45883</v>
      </c>
      <c r="L179" s="79"/>
      <c r="M179" s="178"/>
      <c r="N179" s="78"/>
    </row>
    <row r="180" spans="1:17" s="14" customFormat="1" ht="21" customHeight="1" x14ac:dyDescent="0.4">
      <c r="A180" s="4">
        <v>45993</v>
      </c>
      <c r="B180" s="240" t="s">
        <v>218</v>
      </c>
      <c r="C180" s="173" t="s">
        <v>103</v>
      </c>
      <c r="D180" s="174" t="s">
        <v>454</v>
      </c>
      <c r="E180" s="165"/>
      <c r="F180" s="165">
        <v>6</v>
      </c>
      <c r="G180" s="175">
        <v>127000</v>
      </c>
      <c r="H180" s="165">
        <v>762000</v>
      </c>
      <c r="I180" s="176"/>
      <c r="J180" s="177" t="s">
        <v>70</v>
      </c>
      <c r="K180" s="177">
        <v>45891</v>
      </c>
      <c r="L180" s="79"/>
      <c r="M180" s="178"/>
      <c r="N180" s="78"/>
    </row>
    <row r="181" spans="1:17" s="14" customFormat="1" ht="21" customHeight="1" x14ac:dyDescent="0.4">
      <c r="A181" s="4">
        <v>45994</v>
      </c>
      <c r="B181" s="240" t="s">
        <v>218</v>
      </c>
      <c r="C181" s="173" t="s">
        <v>105</v>
      </c>
      <c r="D181" s="174" t="s">
        <v>364</v>
      </c>
      <c r="E181" s="165"/>
      <c r="F181" s="165">
        <v>12</v>
      </c>
      <c r="G181" s="175">
        <v>227050</v>
      </c>
      <c r="H181" s="165">
        <v>2724600</v>
      </c>
      <c r="I181" s="176"/>
      <c r="J181" s="177" t="s">
        <v>525</v>
      </c>
      <c r="K181" s="177">
        <v>45959</v>
      </c>
      <c r="L181" s="79"/>
      <c r="M181" s="178"/>
      <c r="N181" s="78"/>
    </row>
    <row r="182" spans="1:17" s="14" customFormat="1" ht="21" customHeight="1" x14ac:dyDescent="0.4">
      <c r="A182" s="4">
        <v>45994</v>
      </c>
      <c r="B182" s="240" t="s">
        <v>218</v>
      </c>
      <c r="C182" s="173" t="s">
        <v>67</v>
      </c>
      <c r="D182" s="174" t="s">
        <v>197</v>
      </c>
      <c r="E182" s="165"/>
      <c r="F182" s="165">
        <v>11</v>
      </c>
      <c r="G182" s="175">
        <v>364800</v>
      </c>
      <c r="H182" s="165">
        <v>4012800</v>
      </c>
      <c r="I182" s="176"/>
      <c r="J182" s="177" t="s">
        <v>525</v>
      </c>
      <c r="K182" s="177">
        <v>45959</v>
      </c>
      <c r="L182" s="79"/>
      <c r="M182" s="178"/>
      <c r="N182" s="78"/>
    </row>
    <row r="183" spans="1:17" s="14" customFormat="1" ht="21" customHeight="1" x14ac:dyDescent="0.4">
      <c r="A183" s="4">
        <v>45994</v>
      </c>
      <c r="B183" s="240" t="s">
        <v>218</v>
      </c>
      <c r="C183" s="173" t="s">
        <v>81</v>
      </c>
      <c r="D183" s="174" t="s">
        <v>82</v>
      </c>
      <c r="E183" s="165"/>
      <c r="F183" s="165">
        <v>16</v>
      </c>
      <c r="G183" s="175">
        <v>86300</v>
      </c>
      <c r="H183" s="165">
        <v>1380800</v>
      </c>
      <c r="I183" s="176"/>
      <c r="J183" s="177" t="s">
        <v>561</v>
      </c>
      <c r="K183" s="177">
        <v>45980</v>
      </c>
      <c r="L183" s="79"/>
      <c r="M183" s="178"/>
      <c r="N183" s="78"/>
    </row>
    <row r="184" spans="1:17" s="14" customFormat="1" ht="21" customHeight="1" x14ac:dyDescent="0.4">
      <c r="A184" s="15">
        <v>45994</v>
      </c>
      <c r="B184" s="240" t="s">
        <v>218</v>
      </c>
      <c r="C184" s="173" t="s">
        <v>105</v>
      </c>
      <c r="D184" s="174" t="s">
        <v>117</v>
      </c>
      <c r="E184" s="165"/>
      <c r="F184" s="165">
        <v>6</v>
      </c>
      <c r="G184" s="175">
        <v>248000</v>
      </c>
      <c r="H184" s="165">
        <v>1488000</v>
      </c>
      <c r="I184" s="176"/>
      <c r="J184" s="177" t="s">
        <v>561</v>
      </c>
      <c r="K184" s="177">
        <v>45980</v>
      </c>
      <c r="L184" s="79"/>
      <c r="M184" s="178"/>
      <c r="N184" s="78"/>
    </row>
    <row r="185" spans="1:17" s="14" customFormat="1" ht="21" customHeight="1" x14ac:dyDescent="0.4">
      <c r="A185" s="4">
        <v>45994</v>
      </c>
      <c r="B185" s="240" t="s">
        <v>218</v>
      </c>
      <c r="C185" s="173" t="s">
        <v>81</v>
      </c>
      <c r="D185" s="174" t="s">
        <v>82</v>
      </c>
      <c r="E185" s="165"/>
      <c r="F185" s="165">
        <v>8</v>
      </c>
      <c r="G185" s="175">
        <v>86300</v>
      </c>
      <c r="H185" s="165">
        <v>690400</v>
      </c>
      <c r="I185" s="176"/>
      <c r="J185" s="177" t="s">
        <v>524</v>
      </c>
      <c r="K185" s="177">
        <v>45966</v>
      </c>
      <c r="L185" s="79"/>
      <c r="M185" s="178"/>
      <c r="N185" s="78"/>
    </row>
    <row r="186" spans="1:17" s="50" customFormat="1" ht="20.25" customHeight="1" x14ac:dyDescent="0.4">
      <c r="A186" s="15">
        <v>45995</v>
      </c>
      <c r="B186" s="240" t="s">
        <v>218</v>
      </c>
      <c r="C186" s="181" t="s">
        <v>425</v>
      </c>
      <c r="D186" s="180" t="s">
        <v>426</v>
      </c>
      <c r="E186" s="165"/>
      <c r="F186" s="212">
        <v>1</v>
      </c>
      <c r="G186" s="217">
        <v>1315000</v>
      </c>
      <c r="H186" s="165">
        <v>1315000</v>
      </c>
      <c r="I186" s="218"/>
      <c r="J186" s="177" t="s">
        <v>530</v>
      </c>
      <c r="K186" s="177">
        <v>45961</v>
      </c>
      <c r="L186" s="79"/>
      <c r="M186" s="178"/>
      <c r="N186" s="78"/>
      <c r="O186" s="14"/>
      <c r="P186" s="14"/>
      <c r="Q186" s="14"/>
    </row>
    <row r="187" spans="1:17" s="50" customFormat="1" ht="20.25" customHeight="1" x14ac:dyDescent="0.4">
      <c r="A187" s="190">
        <v>45995</v>
      </c>
      <c r="B187" s="240" t="s">
        <v>218</v>
      </c>
      <c r="C187" s="80" t="s">
        <v>407</v>
      </c>
      <c r="D187" s="59" t="s">
        <v>408</v>
      </c>
      <c r="E187" s="59"/>
      <c r="F187" s="49">
        <v>1</v>
      </c>
      <c r="G187" s="49">
        <v>239000</v>
      </c>
      <c r="H187" s="49">
        <v>239000</v>
      </c>
      <c r="I187" s="67"/>
      <c r="J187" s="109" t="s">
        <v>530</v>
      </c>
      <c r="K187" s="109">
        <v>45961</v>
      </c>
      <c r="L187" s="67"/>
    </row>
    <row r="188" spans="1:17" s="50" customFormat="1" ht="20.25" customHeight="1" x14ac:dyDescent="0.4">
      <c r="A188" s="190">
        <v>45995</v>
      </c>
      <c r="B188" s="240" t="s">
        <v>218</v>
      </c>
      <c r="C188" s="80" t="s">
        <v>412</v>
      </c>
      <c r="D188" s="59" t="s">
        <v>413</v>
      </c>
      <c r="E188" s="59"/>
      <c r="F188" s="49">
        <v>1</v>
      </c>
      <c r="G188" s="49">
        <v>1388900</v>
      </c>
      <c r="H188" s="49">
        <v>1388900</v>
      </c>
      <c r="I188" s="67"/>
      <c r="J188" s="109" t="s">
        <v>530</v>
      </c>
      <c r="K188" s="109">
        <v>45961</v>
      </c>
      <c r="L188" s="67"/>
    </row>
    <row r="189" spans="1:17" s="50" customFormat="1" ht="20.25" customHeight="1" x14ac:dyDescent="0.4">
      <c r="A189" s="190">
        <v>45995</v>
      </c>
      <c r="B189" s="240" t="s">
        <v>218</v>
      </c>
      <c r="C189" s="29" t="s">
        <v>427</v>
      </c>
      <c r="D189" s="110" t="s">
        <v>443</v>
      </c>
      <c r="E189" s="110"/>
      <c r="F189" s="81">
        <v>1</v>
      </c>
      <c r="G189" s="81">
        <v>230000</v>
      </c>
      <c r="H189" s="49">
        <v>230000</v>
      </c>
      <c r="I189" s="111"/>
      <c r="J189" s="112" t="s">
        <v>530</v>
      </c>
      <c r="K189" s="112">
        <v>45961</v>
      </c>
      <c r="L189" s="111"/>
      <c r="M189" s="113" t="s">
        <v>560</v>
      </c>
      <c r="N189" s="113"/>
      <c r="O189" s="113"/>
      <c r="P189" s="113"/>
      <c r="Q189" s="113"/>
    </row>
    <row r="190" spans="1:17" s="50" customFormat="1" ht="20.25" customHeight="1" x14ac:dyDescent="0.4">
      <c r="A190" s="190">
        <v>45995</v>
      </c>
      <c r="B190" s="240" t="s">
        <v>218</v>
      </c>
      <c r="C190" s="80" t="s">
        <v>437</v>
      </c>
      <c r="D190" s="59" t="s">
        <v>438</v>
      </c>
      <c r="E190" s="59"/>
      <c r="F190" s="49">
        <v>1</v>
      </c>
      <c r="G190" s="49">
        <v>950000</v>
      </c>
      <c r="H190" s="49">
        <v>950000</v>
      </c>
      <c r="I190" s="67"/>
      <c r="J190" s="109" t="s">
        <v>530</v>
      </c>
      <c r="K190" s="109">
        <v>45961</v>
      </c>
      <c r="L190" s="67"/>
    </row>
    <row r="191" spans="1:17" s="50" customFormat="1" ht="20.25" customHeight="1" x14ac:dyDescent="0.4">
      <c r="A191" s="190">
        <v>45995</v>
      </c>
      <c r="B191" s="240" t="s">
        <v>218</v>
      </c>
      <c r="C191" s="80" t="s">
        <v>439</v>
      </c>
      <c r="D191" s="59" t="s">
        <v>440</v>
      </c>
      <c r="E191" s="59"/>
      <c r="F191" s="49">
        <v>1</v>
      </c>
      <c r="G191" s="49">
        <v>137500</v>
      </c>
      <c r="H191" s="49">
        <v>137500</v>
      </c>
      <c r="I191" s="67"/>
      <c r="J191" s="109" t="s">
        <v>530</v>
      </c>
      <c r="K191" s="109">
        <v>45961</v>
      </c>
      <c r="L191" s="67"/>
    </row>
    <row r="192" spans="1:17" s="50" customFormat="1" ht="20.25" customHeight="1" x14ac:dyDescent="0.4">
      <c r="A192" s="190">
        <v>45995</v>
      </c>
      <c r="B192" s="240" t="s">
        <v>218</v>
      </c>
      <c r="C192" s="80" t="s">
        <v>441</v>
      </c>
      <c r="D192" s="59" t="s">
        <v>442</v>
      </c>
      <c r="E192" s="59"/>
      <c r="F192" s="49">
        <v>1</v>
      </c>
      <c r="G192" s="49">
        <v>455000</v>
      </c>
      <c r="H192" s="49">
        <v>455000</v>
      </c>
      <c r="I192" s="67"/>
      <c r="J192" s="109" t="s">
        <v>530</v>
      </c>
      <c r="K192" s="109">
        <v>45961</v>
      </c>
      <c r="L192" s="67"/>
    </row>
    <row r="193" spans="1:12" s="50" customFormat="1" ht="20.25" customHeight="1" x14ac:dyDescent="0.4">
      <c r="A193" s="190">
        <v>45995</v>
      </c>
      <c r="B193" s="240" t="s">
        <v>218</v>
      </c>
      <c r="C193" s="80" t="s">
        <v>425</v>
      </c>
      <c r="D193" s="59" t="s">
        <v>426</v>
      </c>
      <c r="E193" s="59"/>
      <c r="F193" s="49">
        <v>1</v>
      </c>
      <c r="G193" s="49">
        <v>1315000</v>
      </c>
      <c r="H193" s="49">
        <v>1315000</v>
      </c>
      <c r="I193" s="67"/>
      <c r="J193" s="109" t="s">
        <v>532</v>
      </c>
      <c r="K193" s="109">
        <v>45912</v>
      </c>
      <c r="L193" s="67"/>
    </row>
    <row r="194" spans="1:12" s="50" customFormat="1" ht="20.25" customHeight="1" x14ac:dyDescent="0.4">
      <c r="A194" s="190">
        <v>45995</v>
      </c>
      <c r="B194" s="240" t="s">
        <v>218</v>
      </c>
      <c r="C194" s="80" t="s">
        <v>407</v>
      </c>
      <c r="D194" s="59" t="s">
        <v>408</v>
      </c>
      <c r="E194" s="59"/>
      <c r="F194" s="49">
        <v>1</v>
      </c>
      <c r="G194" s="49">
        <v>239000</v>
      </c>
      <c r="H194" s="49">
        <v>239000</v>
      </c>
      <c r="I194" s="67"/>
      <c r="J194" s="109" t="s">
        <v>532</v>
      </c>
      <c r="K194" s="109">
        <v>45912</v>
      </c>
      <c r="L194" s="67"/>
    </row>
    <row r="195" spans="1:12" s="50" customFormat="1" ht="20.25" customHeight="1" x14ac:dyDescent="0.4">
      <c r="A195" s="190">
        <v>45995</v>
      </c>
      <c r="B195" s="240" t="s">
        <v>218</v>
      </c>
      <c r="C195" s="80" t="s">
        <v>412</v>
      </c>
      <c r="D195" s="59" t="s">
        <v>413</v>
      </c>
      <c r="E195" s="59"/>
      <c r="F195" s="49">
        <v>1</v>
      </c>
      <c r="G195" s="49">
        <v>1388900</v>
      </c>
      <c r="H195" s="49">
        <v>1388900</v>
      </c>
      <c r="I195" s="67"/>
      <c r="J195" s="109" t="s">
        <v>532</v>
      </c>
      <c r="K195" s="109">
        <v>45912</v>
      </c>
      <c r="L195" s="67"/>
    </row>
    <row r="196" spans="1:12" s="50" customFormat="1" ht="20.25" customHeight="1" x14ac:dyDescent="0.4">
      <c r="A196" s="190">
        <v>45995</v>
      </c>
      <c r="B196" s="240" t="s">
        <v>218</v>
      </c>
      <c r="C196" s="80" t="s">
        <v>427</v>
      </c>
      <c r="D196" s="59" t="s">
        <v>443</v>
      </c>
      <c r="E196" s="59"/>
      <c r="F196" s="49">
        <v>1</v>
      </c>
      <c r="G196" s="49">
        <v>230000</v>
      </c>
      <c r="H196" s="49">
        <v>230000</v>
      </c>
      <c r="I196" s="67"/>
      <c r="J196" s="109" t="s">
        <v>532</v>
      </c>
      <c r="K196" s="109">
        <v>45912</v>
      </c>
      <c r="L196" s="67"/>
    </row>
    <row r="197" spans="1:12" s="50" customFormat="1" ht="20.25" customHeight="1" x14ac:dyDescent="0.4">
      <c r="A197" s="190">
        <v>45995</v>
      </c>
      <c r="B197" s="240" t="s">
        <v>218</v>
      </c>
      <c r="C197" s="80" t="s">
        <v>437</v>
      </c>
      <c r="D197" s="59" t="s">
        <v>438</v>
      </c>
      <c r="E197" s="59"/>
      <c r="F197" s="49">
        <v>1</v>
      </c>
      <c r="G197" s="49">
        <v>950000</v>
      </c>
      <c r="H197" s="49">
        <v>950000</v>
      </c>
      <c r="I197" s="67"/>
      <c r="J197" s="109" t="s">
        <v>532</v>
      </c>
      <c r="K197" s="109">
        <v>45912</v>
      </c>
      <c r="L197" s="67"/>
    </row>
    <row r="198" spans="1:12" s="50" customFormat="1" ht="20.25" customHeight="1" x14ac:dyDescent="0.4">
      <c r="A198" s="190">
        <v>45995</v>
      </c>
      <c r="B198" s="240" t="s">
        <v>218</v>
      </c>
      <c r="C198" s="80" t="s">
        <v>439</v>
      </c>
      <c r="D198" s="59" t="s">
        <v>440</v>
      </c>
      <c r="E198" s="59"/>
      <c r="F198" s="49">
        <v>1</v>
      </c>
      <c r="G198" s="49">
        <v>137500</v>
      </c>
      <c r="H198" s="49">
        <v>137500</v>
      </c>
      <c r="I198" s="67"/>
      <c r="J198" s="109" t="s">
        <v>532</v>
      </c>
      <c r="K198" s="109">
        <v>45912</v>
      </c>
      <c r="L198" s="67"/>
    </row>
    <row r="199" spans="1:12" s="50" customFormat="1" ht="20.25" customHeight="1" x14ac:dyDescent="0.4">
      <c r="A199" s="190">
        <v>45995</v>
      </c>
      <c r="B199" s="240" t="s">
        <v>218</v>
      </c>
      <c r="C199" s="80" t="s">
        <v>441</v>
      </c>
      <c r="D199" s="59" t="s">
        <v>442</v>
      </c>
      <c r="E199" s="59"/>
      <c r="F199" s="49">
        <v>1</v>
      </c>
      <c r="G199" s="49">
        <v>455000</v>
      </c>
      <c r="H199" s="49">
        <v>455000</v>
      </c>
      <c r="I199" s="67"/>
      <c r="J199" s="109" t="s">
        <v>532</v>
      </c>
      <c r="K199" s="109">
        <v>45912</v>
      </c>
      <c r="L199" s="67"/>
    </row>
    <row r="200" spans="1:12" s="50" customFormat="1" ht="20.25" customHeight="1" x14ac:dyDescent="0.4">
      <c r="A200" s="190">
        <v>45996</v>
      </c>
      <c r="B200" s="240" t="s">
        <v>218</v>
      </c>
      <c r="C200" s="80" t="s">
        <v>73</v>
      </c>
      <c r="D200" s="59" t="s">
        <v>288</v>
      </c>
      <c r="E200" s="59"/>
      <c r="F200" s="49">
        <v>12</v>
      </c>
      <c r="G200" s="49">
        <v>390000</v>
      </c>
      <c r="H200" s="49">
        <v>4680000</v>
      </c>
      <c r="I200" s="67"/>
      <c r="J200" s="109" t="s">
        <v>525</v>
      </c>
      <c r="K200" s="109">
        <v>45959</v>
      </c>
      <c r="L200" s="67"/>
    </row>
    <row r="201" spans="1:12" s="50" customFormat="1" ht="20.25" customHeight="1" x14ac:dyDescent="0.4">
      <c r="A201" s="190">
        <v>45996</v>
      </c>
      <c r="B201" s="240" t="s">
        <v>218</v>
      </c>
      <c r="C201" s="80" t="s">
        <v>62</v>
      </c>
      <c r="D201" s="59" t="s">
        <v>289</v>
      </c>
      <c r="E201" s="59"/>
      <c r="F201" s="49">
        <v>3</v>
      </c>
      <c r="G201" s="49">
        <v>390000</v>
      </c>
      <c r="H201" s="49">
        <v>1170000</v>
      </c>
      <c r="I201" s="67"/>
      <c r="J201" s="109" t="s">
        <v>525</v>
      </c>
      <c r="K201" s="109">
        <v>45959</v>
      </c>
      <c r="L201" s="67"/>
    </row>
    <row r="202" spans="1:12" s="50" customFormat="1" ht="20.25" customHeight="1" x14ac:dyDescent="0.4">
      <c r="A202" s="190">
        <v>45996</v>
      </c>
      <c r="B202" s="240" t="s">
        <v>218</v>
      </c>
      <c r="C202" s="80" t="s">
        <v>67</v>
      </c>
      <c r="D202" s="59" t="s">
        <v>80</v>
      </c>
      <c r="E202" s="59"/>
      <c r="F202" s="49">
        <v>5</v>
      </c>
      <c r="G202" s="49">
        <v>384000</v>
      </c>
      <c r="H202" s="49">
        <v>1920000</v>
      </c>
      <c r="I202" s="67"/>
      <c r="J202" s="109" t="s">
        <v>523</v>
      </c>
      <c r="K202" s="109">
        <v>45952</v>
      </c>
      <c r="L202" s="67"/>
    </row>
    <row r="203" spans="1:12" s="50" customFormat="1" ht="20.25" customHeight="1" x14ac:dyDescent="0.4">
      <c r="A203" s="190">
        <v>45996</v>
      </c>
      <c r="B203" s="240" t="s">
        <v>218</v>
      </c>
      <c r="C203" s="80" t="s">
        <v>78</v>
      </c>
      <c r="D203" s="59" t="s">
        <v>79</v>
      </c>
      <c r="E203" s="59"/>
      <c r="F203" s="49">
        <v>5</v>
      </c>
      <c r="G203" s="49">
        <v>90500</v>
      </c>
      <c r="H203" s="49">
        <v>452500</v>
      </c>
      <c r="I203" s="67"/>
      <c r="J203" s="109" t="s">
        <v>567</v>
      </c>
      <c r="K203" s="109">
        <v>46001</v>
      </c>
      <c r="L203" s="67"/>
    </row>
    <row r="204" spans="1:12" s="50" customFormat="1" ht="20.25" customHeight="1" x14ac:dyDescent="0.4">
      <c r="A204" s="190">
        <v>45996</v>
      </c>
      <c r="B204" s="240" t="s">
        <v>218</v>
      </c>
      <c r="C204" s="80" t="s">
        <v>71</v>
      </c>
      <c r="D204" s="59" t="s">
        <v>72</v>
      </c>
      <c r="E204" s="59"/>
      <c r="F204" s="49">
        <v>5</v>
      </c>
      <c r="G204" s="49">
        <v>548000</v>
      </c>
      <c r="H204" s="49">
        <v>2740000</v>
      </c>
      <c r="I204" s="67"/>
      <c r="J204" s="109" t="s">
        <v>567</v>
      </c>
      <c r="K204" s="109">
        <v>46001</v>
      </c>
      <c r="L204" s="67"/>
    </row>
    <row r="205" spans="1:12" s="50" customFormat="1" ht="20.25" customHeight="1" x14ac:dyDescent="0.4">
      <c r="A205" s="190">
        <v>45996</v>
      </c>
      <c r="B205" s="240" t="s">
        <v>218</v>
      </c>
      <c r="C205" s="80" t="s">
        <v>403</v>
      </c>
      <c r="D205" s="59" t="s">
        <v>404</v>
      </c>
      <c r="E205" s="59"/>
      <c r="F205" s="49">
        <v>1</v>
      </c>
      <c r="G205" s="49">
        <v>407000</v>
      </c>
      <c r="H205" s="49">
        <v>407000</v>
      </c>
      <c r="I205" s="67"/>
      <c r="J205" s="109" t="s">
        <v>527</v>
      </c>
      <c r="K205" s="109">
        <v>45889</v>
      </c>
      <c r="L205" s="67"/>
    </row>
    <row r="206" spans="1:12" s="50" customFormat="1" ht="20.25" customHeight="1" x14ac:dyDescent="0.4">
      <c r="A206" s="190">
        <v>45996</v>
      </c>
      <c r="B206" s="240" t="s">
        <v>218</v>
      </c>
      <c r="C206" s="80" t="s">
        <v>403</v>
      </c>
      <c r="D206" s="59" t="s">
        <v>404</v>
      </c>
      <c r="E206" s="59"/>
      <c r="F206" s="49">
        <v>1</v>
      </c>
      <c r="G206" s="49">
        <v>407000</v>
      </c>
      <c r="H206" s="49">
        <v>407000</v>
      </c>
      <c r="I206" s="67"/>
      <c r="J206" s="109" t="s">
        <v>613</v>
      </c>
      <c r="K206" s="109">
        <v>45889</v>
      </c>
      <c r="L206" s="67"/>
    </row>
    <row r="207" spans="1:12" s="50" customFormat="1" ht="20.25" customHeight="1" x14ac:dyDescent="0.4">
      <c r="A207" s="190">
        <v>45996</v>
      </c>
      <c r="B207" s="240" t="s">
        <v>218</v>
      </c>
      <c r="C207" s="80" t="s">
        <v>405</v>
      </c>
      <c r="D207" s="59" t="s">
        <v>406</v>
      </c>
      <c r="E207" s="59"/>
      <c r="F207" s="49">
        <v>1</v>
      </c>
      <c r="G207" s="49">
        <v>353000</v>
      </c>
      <c r="H207" s="49">
        <v>353000</v>
      </c>
      <c r="I207" s="67"/>
      <c r="J207" s="109" t="s">
        <v>527</v>
      </c>
      <c r="K207" s="109">
        <v>45889</v>
      </c>
      <c r="L207" s="67"/>
    </row>
    <row r="208" spans="1:12" s="50" customFormat="1" ht="20.25" customHeight="1" x14ac:dyDescent="0.4">
      <c r="A208" s="190">
        <v>45996</v>
      </c>
      <c r="B208" s="240" t="s">
        <v>218</v>
      </c>
      <c r="C208" s="80" t="s">
        <v>405</v>
      </c>
      <c r="D208" s="59" t="s">
        <v>406</v>
      </c>
      <c r="E208" s="59"/>
      <c r="F208" s="49">
        <v>1</v>
      </c>
      <c r="G208" s="49">
        <v>353000</v>
      </c>
      <c r="H208" s="49">
        <v>353000</v>
      </c>
      <c r="I208" s="67"/>
      <c r="J208" s="109" t="s">
        <v>613</v>
      </c>
      <c r="K208" s="109">
        <v>45889</v>
      </c>
      <c r="L208" s="67"/>
    </row>
    <row r="209" spans="1:12" s="50" customFormat="1" ht="20.25" customHeight="1" x14ac:dyDescent="0.4">
      <c r="A209" s="190">
        <v>45996</v>
      </c>
      <c r="B209" s="240" t="s">
        <v>218</v>
      </c>
      <c r="C209" s="80" t="s">
        <v>425</v>
      </c>
      <c r="D209" s="59" t="s">
        <v>426</v>
      </c>
      <c r="E209" s="59"/>
      <c r="F209" s="49">
        <v>1</v>
      </c>
      <c r="G209" s="49">
        <v>1315000</v>
      </c>
      <c r="H209" s="49">
        <v>1315000</v>
      </c>
      <c r="I209" s="67"/>
      <c r="J209" s="109" t="s">
        <v>527</v>
      </c>
      <c r="K209" s="109">
        <v>45889</v>
      </c>
      <c r="L209" s="67"/>
    </row>
    <row r="210" spans="1:12" s="50" customFormat="1" ht="20.25" customHeight="1" x14ac:dyDescent="0.4">
      <c r="A210" s="190">
        <v>45996</v>
      </c>
      <c r="B210" s="240" t="s">
        <v>218</v>
      </c>
      <c r="C210" s="80" t="s">
        <v>425</v>
      </c>
      <c r="D210" s="59" t="s">
        <v>426</v>
      </c>
      <c r="E210" s="59"/>
      <c r="F210" s="49">
        <v>1</v>
      </c>
      <c r="G210" s="49">
        <v>1315000</v>
      </c>
      <c r="H210" s="49">
        <v>1315000</v>
      </c>
      <c r="I210" s="67"/>
      <c r="J210" s="109" t="s">
        <v>613</v>
      </c>
      <c r="K210" s="109">
        <v>45889</v>
      </c>
      <c r="L210" s="67"/>
    </row>
    <row r="211" spans="1:12" s="50" customFormat="1" ht="20.25" customHeight="1" x14ac:dyDescent="0.4">
      <c r="A211" s="190">
        <v>45996</v>
      </c>
      <c r="B211" s="240" t="s">
        <v>218</v>
      </c>
      <c r="C211" s="80" t="s">
        <v>425</v>
      </c>
      <c r="D211" s="59" t="s">
        <v>426</v>
      </c>
      <c r="E211" s="59"/>
      <c r="F211" s="49">
        <v>1</v>
      </c>
      <c r="G211" s="49">
        <v>1315000</v>
      </c>
      <c r="H211" s="49">
        <v>1315000</v>
      </c>
      <c r="I211" s="67"/>
      <c r="J211" s="109" t="s">
        <v>565</v>
      </c>
      <c r="K211" s="109">
        <v>45912</v>
      </c>
      <c r="L211" s="67"/>
    </row>
    <row r="212" spans="1:12" s="50" customFormat="1" ht="20.25" customHeight="1" x14ac:dyDescent="0.4">
      <c r="A212" s="190">
        <v>45996</v>
      </c>
      <c r="B212" s="240" t="s">
        <v>218</v>
      </c>
      <c r="C212" s="80" t="s">
        <v>425</v>
      </c>
      <c r="D212" s="59" t="s">
        <v>426</v>
      </c>
      <c r="E212" s="59"/>
      <c r="F212" s="49">
        <v>1</v>
      </c>
      <c r="G212" s="49">
        <v>1315000</v>
      </c>
      <c r="H212" s="49">
        <v>1315000</v>
      </c>
      <c r="I212" s="67"/>
      <c r="J212" s="109" t="s">
        <v>566</v>
      </c>
      <c r="K212" s="109">
        <v>45961</v>
      </c>
      <c r="L212" s="67"/>
    </row>
    <row r="213" spans="1:12" s="50" customFormat="1" ht="20.25" customHeight="1" x14ac:dyDescent="0.4">
      <c r="A213" s="190">
        <v>45996</v>
      </c>
      <c r="B213" s="240" t="s">
        <v>218</v>
      </c>
      <c r="C213" s="80" t="s">
        <v>407</v>
      </c>
      <c r="D213" s="59" t="s">
        <v>408</v>
      </c>
      <c r="E213" s="59"/>
      <c r="F213" s="49">
        <v>1</v>
      </c>
      <c r="G213" s="49">
        <v>239000</v>
      </c>
      <c r="H213" s="49">
        <v>239000</v>
      </c>
      <c r="I213" s="67"/>
      <c r="J213" s="109" t="s">
        <v>527</v>
      </c>
      <c r="K213" s="109">
        <v>45889</v>
      </c>
      <c r="L213" s="67"/>
    </row>
    <row r="214" spans="1:12" s="50" customFormat="1" ht="20.25" customHeight="1" x14ac:dyDescent="0.4">
      <c r="A214" s="190">
        <v>45996</v>
      </c>
      <c r="B214" s="240" t="s">
        <v>218</v>
      </c>
      <c r="C214" s="80" t="s">
        <v>407</v>
      </c>
      <c r="D214" s="59" t="s">
        <v>408</v>
      </c>
      <c r="E214" s="59"/>
      <c r="F214" s="49">
        <v>1</v>
      </c>
      <c r="G214" s="49">
        <v>239000</v>
      </c>
      <c r="H214" s="49">
        <v>239000</v>
      </c>
      <c r="I214" s="67"/>
      <c r="J214" s="109" t="s">
        <v>613</v>
      </c>
      <c r="K214" s="109">
        <v>45889</v>
      </c>
      <c r="L214" s="67"/>
    </row>
    <row r="215" spans="1:12" s="50" customFormat="1" ht="20.25" customHeight="1" x14ac:dyDescent="0.4">
      <c r="A215" s="190">
        <v>45996</v>
      </c>
      <c r="B215" s="240" t="s">
        <v>218</v>
      </c>
      <c r="C215" s="80" t="s">
        <v>407</v>
      </c>
      <c r="D215" s="59" t="s">
        <v>408</v>
      </c>
      <c r="E215" s="59"/>
      <c r="F215" s="49">
        <v>1</v>
      </c>
      <c r="G215" s="49">
        <v>239000</v>
      </c>
      <c r="H215" s="49">
        <v>239000</v>
      </c>
      <c r="I215" s="67"/>
      <c r="J215" s="109" t="s">
        <v>565</v>
      </c>
      <c r="K215" s="109">
        <v>45912</v>
      </c>
      <c r="L215" s="67"/>
    </row>
    <row r="216" spans="1:12" s="50" customFormat="1" ht="20.25" customHeight="1" x14ac:dyDescent="0.4">
      <c r="A216" s="190">
        <v>45996</v>
      </c>
      <c r="B216" s="240" t="s">
        <v>218</v>
      </c>
      <c r="C216" s="80" t="s">
        <v>407</v>
      </c>
      <c r="D216" s="59" t="s">
        <v>408</v>
      </c>
      <c r="E216" s="59"/>
      <c r="F216" s="49">
        <v>1</v>
      </c>
      <c r="G216" s="49">
        <v>239000</v>
      </c>
      <c r="H216" s="49">
        <v>239000</v>
      </c>
      <c r="I216" s="67"/>
      <c r="J216" s="109" t="s">
        <v>566</v>
      </c>
      <c r="K216" s="109">
        <v>45961</v>
      </c>
      <c r="L216" s="67"/>
    </row>
    <row r="217" spans="1:12" s="50" customFormat="1" ht="20.25" customHeight="1" x14ac:dyDescent="0.4">
      <c r="A217" s="190">
        <v>45996</v>
      </c>
      <c r="B217" s="240" t="s">
        <v>218</v>
      </c>
      <c r="C217" s="80" t="s">
        <v>412</v>
      </c>
      <c r="D217" s="59" t="s">
        <v>413</v>
      </c>
      <c r="E217" s="59"/>
      <c r="F217" s="49">
        <v>1</v>
      </c>
      <c r="G217" s="49">
        <v>1388900</v>
      </c>
      <c r="H217" s="49">
        <v>1388900</v>
      </c>
      <c r="I217" s="67"/>
      <c r="J217" s="109" t="s">
        <v>527</v>
      </c>
      <c r="K217" s="109">
        <v>45889</v>
      </c>
      <c r="L217" s="67"/>
    </row>
    <row r="218" spans="1:12" s="50" customFormat="1" ht="20.25" customHeight="1" x14ac:dyDescent="0.4">
      <c r="A218" s="190">
        <v>45996</v>
      </c>
      <c r="B218" s="240" t="s">
        <v>218</v>
      </c>
      <c r="C218" s="80" t="s">
        <v>412</v>
      </c>
      <c r="D218" s="59" t="s">
        <v>413</v>
      </c>
      <c r="E218" s="59"/>
      <c r="F218" s="49">
        <v>1</v>
      </c>
      <c r="G218" s="49">
        <v>1388900</v>
      </c>
      <c r="H218" s="49">
        <v>1388900</v>
      </c>
      <c r="I218" s="67"/>
      <c r="J218" s="109" t="s">
        <v>613</v>
      </c>
      <c r="K218" s="109">
        <v>45889</v>
      </c>
      <c r="L218" s="67"/>
    </row>
    <row r="219" spans="1:12" s="50" customFormat="1" ht="20.25" customHeight="1" x14ac:dyDescent="0.4">
      <c r="A219" s="190">
        <v>45996</v>
      </c>
      <c r="B219" s="240" t="s">
        <v>218</v>
      </c>
      <c r="C219" s="80" t="s">
        <v>412</v>
      </c>
      <c r="D219" s="59" t="s">
        <v>413</v>
      </c>
      <c r="E219" s="59"/>
      <c r="F219" s="49">
        <v>1</v>
      </c>
      <c r="G219" s="49">
        <v>1388900</v>
      </c>
      <c r="H219" s="49">
        <v>1388900</v>
      </c>
      <c r="I219" s="67"/>
      <c r="J219" s="109" t="s">
        <v>565</v>
      </c>
      <c r="K219" s="109">
        <v>45912</v>
      </c>
      <c r="L219" s="67"/>
    </row>
    <row r="220" spans="1:12" s="50" customFormat="1" ht="20.25" customHeight="1" x14ac:dyDescent="0.4">
      <c r="A220" s="190">
        <v>45996</v>
      </c>
      <c r="B220" s="240" t="s">
        <v>218</v>
      </c>
      <c r="C220" s="80" t="s">
        <v>412</v>
      </c>
      <c r="D220" s="59" t="s">
        <v>413</v>
      </c>
      <c r="E220" s="59"/>
      <c r="F220" s="49">
        <v>1</v>
      </c>
      <c r="G220" s="49">
        <v>1388900</v>
      </c>
      <c r="H220" s="49">
        <v>1388900</v>
      </c>
      <c r="I220" s="67"/>
      <c r="J220" s="109" t="s">
        <v>566</v>
      </c>
      <c r="K220" s="109">
        <v>45961</v>
      </c>
      <c r="L220" s="67"/>
    </row>
    <row r="221" spans="1:12" s="50" customFormat="1" ht="20.25" customHeight="1" x14ac:dyDescent="0.4">
      <c r="A221" s="190">
        <v>45996</v>
      </c>
      <c r="B221" s="240" t="s">
        <v>218</v>
      </c>
      <c r="C221" s="80" t="s">
        <v>427</v>
      </c>
      <c r="D221" s="59" t="s">
        <v>443</v>
      </c>
      <c r="E221" s="59"/>
      <c r="F221" s="49">
        <v>1</v>
      </c>
      <c r="G221" s="49">
        <v>230000</v>
      </c>
      <c r="H221" s="49">
        <v>230000</v>
      </c>
      <c r="I221" s="67"/>
      <c r="J221" s="109" t="s">
        <v>527</v>
      </c>
      <c r="K221" s="109">
        <v>45889</v>
      </c>
      <c r="L221" s="67"/>
    </row>
    <row r="222" spans="1:12" s="50" customFormat="1" ht="20.25" customHeight="1" x14ac:dyDescent="0.4">
      <c r="A222" s="190">
        <v>45996</v>
      </c>
      <c r="B222" s="240" t="s">
        <v>218</v>
      </c>
      <c r="C222" s="80" t="s">
        <v>427</v>
      </c>
      <c r="D222" s="59" t="s">
        <v>443</v>
      </c>
      <c r="E222" s="59"/>
      <c r="F222" s="49">
        <v>1</v>
      </c>
      <c r="G222" s="49">
        <v>230000</v>
      </c>
      <c r="H222" s="49">
        <v>230000</v>
      </c>
      <c r="I222" s="67"/>
      <c r="J222" s="109" t="s">
        <v>613</v>
      </c>
      <c r="K222" s="109">
        <v>45889</v>
      </c>
      <c r="L222" s="67"/>
    </row>
    <row r="223" spans="1:12" s="50" customFormat="1" ht="20.25" customHeight="1" x14ac:dyDescent="0.4">
      <c r="A223" s="190">
        <v>45996</v>
      </c>
      <c r="B223" s="240" t="s">
        <v>218</v>
      </c>
      <c r="C223" s="80" t="s">
        <v>427</v>
      </c>
      <c r="D223" s="59" t="s">
        <v>443</v>
      </c>
      <c r="E223" s="59"/>
      <c r="F223" s="49">
        <v>1</v>
      </c>
      <c r="G223" s="49">
        <v>230000</v>
      </c>
      <c r="H223" s="49">
        <v>230000</v>
      </c>
      <c r="I223" s="67"/>
      <c r="J223" s="109" t="s">
        <v>565</v>
      </c>
      <c r="K223" s="109">
        <v>45912</v>
      </c>
      <c r="L223" s="67"/>
    </row>
    <row r="224" spans="1:12" s="50" customFormat="1" ht="20.25" customHeight="1" x14ac:dyDescent="0.4">
      <c r="A224" s="190">
        <v>45996</v>
      </c>
      <c r="B224" s="240" t="s">
        <v>218</v>
      </c>
      <c r="C224" s="80" t="s">
        <v>427</v>
      </c>
      <c r="D224" s="59" t="s">
        <v>443</v>
      </c>
      <c r="E224" s="59"/>
      <c r="F224" s="49">
        <v>1</v>
      </c>
      <c r="G224" s="49">
        <v>230000</v>
      </c>
      <c r="H224" s="49">
        <v>230000</v>
      </c>
      <c r="I224" s="67"/>
      <c r="J224" s="109" t="s">
        <v>566</v>
      </c>
      <c r="K224" s="109">
        <v>45961</v>
      </c>
      <c r="L224" s="67"/>
    </row>
    <row r="225" spans="1:12" s="50" customFormat="1" ht="20.25" customHeight="1" x14ac:dyDescent="0.4">
      <c r="A225" s="190">
        <v>45996</v>
      </c>
      <c r="B225" s="240" t="s">
        <v>218</v>
      </c>
      <c r="C225" s="80" t="s">
        <v>409</v>
      </c>
      <c r="D225" s="59" t="s">
        <v>410</v>
      </c>
      <c r="E225" s="59"/>
      <c r="F225" s="49">
        <v>1</v>
      </c>
      <c r="G225" s="49">
        <v>187000</v>
      </c>
      <c r="H225" s="49">
        <v>187000</v>
      </c>
      <c r="I225" s="67"/>
      <c r="J225" s="109" t="s">
        <v>527</v>
      </c>
      <c r="K225" s="109">
        <v>45889</v>
      </c>
      <c r="L225" s="67"/>
    </row>
    <row r="226" spans="1:12" s="50" customFormat="1" ht="20.25" customHeight="1" x14ac:dyDescent="0.4">
      <c r="A226" s="190">
        <v>45996</v>
      </c>
      <c r="B226" s="240" t="s">
        <v>218</v>
      </c>
      <c r="C226" s="80" t="s">
        <v>409</v>
      </c>
      <c r="D226" s="59" t="s">
        <v>410</v>
      </c>
      <c r="E226" s="59"/>
      <c r="F226" s="49">
        <v>1</v>
      </c>
      <c r="G226" s="49">
        <v>187000</v>
      </c>
      <c r="H226" s="49">
        <v>187000</v>
      </c>
      <c r="I226" s="67"/>
      <c r="J226" s="109" t="s">
        <v>613</v>
      </c>
      <c r="K226" s="109">
        <v>45889</v>
      </c>
      <c r="L226" s="67"/>
    </row>
    <row r="227" spans="1:12" s="50" customFormat="1" ht="20.25" customHeight="1" x14ac:dyDescent="0.4">
      <c r="A227" s="190">
        <v>45996</v>
      </c>
      <c r="B227" s="240" t="s">
        <v>218</v>
      </c>
      <c r="C227" s="80" t="s">
        <v>411</v>
      </c>
      <c r="D227" s="59" t="s">
        <v>423</v>
      </c>
      <c r="E227" s="59"/>
      <c r="F227" s="49">
        <v>1</v>
      </c>
      <c r="G227" s="49">
        <v>226000</v>
      </c>
      <c r="H227" s="49">
        <v>226000</v>
      </c>
      <c r="I227" s="67"/>
      <c r="J227" s="109" t="s">
        <v>527</v>
      </c>
      <c r="K227" s="109">
        <v>45889</v>
      </c>
      <c r="L227" s="67"/>
    </row>
    <row r="228" spans="1:12" s="50" customFormat="1" ht="20.25" customHeight="1" x14ac:dyDescent="0.4">
      <c r="A228" s="190">
        <v>45996</v>
      </c>
      <c r="B228" s="240" t="s">
        <v>218</v>
      </c>
      <c r="C228" s="80" t="s">
        <v>411</v>
      </c>
      <c r="D228" s="59" t="s">
        <v>423</v>
      </c>
      <c r="E228" s="59"/>
      <c r="F228" s="49">
        <v>1</v>
      </c>
      <c r="G228" s="49">
        <v>226000</v>
      </c>
      <c r="H228" s="49">
        <v>226000</v>
      </c>
      <c r="I228" s="67"/>
      <c r="J228" s="109" t="s">
        <v>613</v>
      </c>
      <c r="K228" s="109">
        <v>45889</v>
      </c>
      <c r="L228" s="67"/>
    </row>
    <row r="229" spans="1:12" s="50" customFormat="1" ht="20.25" customHeight="1" x14ac:dyDescent="0.4">
      <c r="A229" s="190">
        <v>45996</v>
      </c>
      <c r="B229" s="240" t="s">
        <v>218</v>
      </c>
      <c r="C229" s="80" t="s">
        <v>437</v>
      </c>
      <c r="D229" s="59" t="s">
        <v>438</v>
      </c>
      <c r="E229" s="59"/>
      <c r="F229" s="49">
        <v>1</v>
      </c>
      <c r="G229" s="49">
        <v>950000</v>
      </c>
      <c r="H229" s="49">
        <v>950000</v>
      </c>
      <c r="I229" s="67"/>
      <c r="J229" s="109" t="s">
        <v>565</v>
      </c>
      <c r="K229" s="109">
        <v>45912</v>
      </c>
      <c r="L229" s="67"/>
    </row>
    <row r="230" spans="1:12" ht="19.5" customHeight="1" x14ac:dyDescent="0.4">
      <c r="A230" s="248">
        <v>45996</v>
      </c>
      <c r="B230" s="240" t="s">
        <v>218</v>
      </c>
      <c r="C230" s="256" t="s">
        <v>437</v>
      </c>
      <c r="D230" s="257" t="s">
        <v>438</v>
      </c>
      <c r="E230" s="258"/>
      <c r="F230" s="259">
        <v>1</v>
      </c>
      <c r="G230" s="259">
        <v>950000</v>
      </c>
      <c r="H230" s="259">
        <v>950000</v>
      </c>
      <c r="I230" s="257"/>
      <c r="J230" s="260" t="s">
        <v>566</v>
      </c>
      <c r="K230" s="345">
        <v>45961</v>
      </c>
      <c r="L230" s="258"/>
    </row>
    <row r="231" spans="1:12" ht="19.5" customHeight="1" x14ac:dyDescent="0.4">
      <c r="A231" s="248">
        <v>45996</v>
      </c>
      <c r="B231" s="240" t="s">
        <v>218</v>
      </c>
      <c r="C231" s="256" t="s">
        <v>439</v>
      </c>
      <c r="D231" s="257" t="s">
        <v>440</v>
      </c>
      <c r="E231" s="258"/>
      <c r="F231" s="259">
        <v>1</v>
      </c>
      <c r="G231" s="259">
        <v>137500</v>
      </c>
      <c r="H231" s="259">
        <v>137500</v>
      </c>
      <c r="I231" s="257"/>
      <c r="J231" s="260" t="s">
        <v>565</v>
      </c>
      <c r="K231" s="345">
        <v>45912</v>
      </c>
      <c r="L231" s="258"/>
    </row>
    <row r="232" spans="1:12" ht="19.5" customHeight="1" x14ac:dyDescent="0.4">
      <c r="A232" s="248">
        <v>45996</v>
      </c>
      <c r="B232" s="240" t="s">
        <v>218</v>
      </c>
      <c r="C232" s="256" t="s">
        <v>439</v>
      </c>
      <c r="D232" s="257" t="s">
        <v>440</v>
      </c>
      <c r="E232" s="258"/>
      <c r="F232" s="259">
        <v>1</v>
      </c>
      <c r="G232" s="259">
        <v>137500</v>
      </c>
      <c r="H232" s="259">
        <v>137500</v>
      </c>
      <c r="I232" s="257"/>
      <c r="J232" s="260" t="s">
        <v>566</v>
      </c>
      <c r="K232" s="345">
        <v>45961</v>
      </c>
      <c r="L232" s="258"/>
    </row>
    <row r="233" spans="1:12" ht="19.5" customHeight="1" x14ac:dyDescent="0.4">
      <c r="A233" s="248">
        <v>45996</v>
      </c>
      <c r="B233" s="240" t="s">
        <v>218</v>
      </c>
      <c r="C233" s="256" t="s">
        <v>441</v>
      </c>
      <c r="D233" s="257" t="s">
        <v>442</v>
      </c>
      <c r="E233" s="258"/>
      <c r="F233" s="259">
        <v>1</v>
      </c>
      <c r="G233" s="259">
        <v>455000</v>
      </c>
      <c r="H233" s="259">
        <v>455000</v>
      </c>
      <c r="I233" s="257"/>
      <c r="J233" s="260" t="s">
        <v>565</v>
      </c>
      <c r="K233" s="345">
        <v>45912</v>
      </c>
      <c r="L233" s="258"/>
    </row>
    <row r="234" spans="1:12" ht="19.5" customHeight="1" x14ac:dyDescent="0.4">
      <c r="A234" s="248">
        <v>45996</v>
      </c>
      <c r="B234" s="240" t="s">
        <v>218</v>
      </c>
      <c r="C234" s="256" t="s">
        <v>441</v>
      </c>
      <c r="D234" s="257" t="s">
        <v>442</v>
      </c>
      <c r="E234" s="258"/>
      <c r="F234" s="259">
        <v>1</v>
      </c>
      <c r="G234" s="259">
        <v>455000</v>
      </c>
      <c r="H234" s="259">
        <v>455000</v>
      </c>
      <c r="I234" s="257"/>
      <c r="J234" s="260" t="s">
        <v>566</v>
      </c>
      <c r="K234" s="345">
        <v>45961</v>
      </c>
      <c r="L234" s="258"/>
    </row>
    <row r="235" spans="1:12" ht="19.5" customHeight="1" x14ac:dyDescent="0.4">
      <c r="A235" s="248">
        <v>45996</v>
      </c>
      <c r="B235" s="240" t="s">
        <v>218</v>
      </c>
      <c r="C235" s="256" t="s">
        <v>306</v>
      </c>
      <c r="D235" s="257" t="s">
        <v>307</v>
      </c>
      <c r="E235" s="258"/>
      <c r="F235" s="259">
        <v>2</v>
      </c>
      <c r="G235" s="259">
        <v>520000</v>
      </c>
      <c r="H235" s="259">
        <v>1040000</v>
      </c>
      <c r="I235" s="257"/>
      <c r="J235" s="260" t="s">
        <v>70</v>
      </c>
      <c r="K235" s="345">
        <v>45971</v>
      </c>
      <c r="L235" s="258"/>
    </row>
    <row r="236" spans="1:12" ht="19.5" customHeight="1" x14ac:dyDescent="0.4">
      <c r="A236" s="248">
        <v>45996</v>
      </c>
      <c r="B236" s="240" t="s">
        <v>218</v>
      </c>
      <c r="C236" s="256" t="s">
        <v>306</v>
      </c>
      <c r="D236" s="257" t="s">
        <v>307</v>
      </c>
      <c r="E236" s="258"/>
      <c r="F236" s="259">
        <v>3</v>
      </c>
      <c r="G236" s="259">
        <v>520000</v>
      </c>
      <c r="H236" s="259">
        <v>1560000</v>
      </c>
      <c r="I236" s="257"/>
      <c r="J236" s="260" t="s">
        <v>70</v>
      </c>
      <c r="K236" s="345">
        <v>45987</v>
      </c>
      <c r="L236" s="258"/>
    </row>
    <row r="237" spans="1:12" ht="19.5" customHeight="1" x14ac:dyDescent="0.4">
      <c r="A237" s="248">
        <v>45996</v>
      </c>
      <c r="B237" s="240" t="s">
        <v>218</v>
      </c>
      <c r="C237" s="259" t="s">
        <v>571</v>
      </c>
      <c r="D237" s="257" t="s">
        <v>572</v>
      </c>
      <c r="E237" s="258"/>
      <c r="F237" s="259">
        <v>1</v>
      </c>
      <c r="G237" s="259">
        <v>420000</v>
      </c>
      <c r="H237" s="259">
        <v>420000</v>
      </c>
      <c r="I237" s="257"/>
      <c r="J237" s="260" t="s">
        <v>573</v>
      </c>
      <c r="K237" s="345">
        <v>45950</v>
      </c>
      <c r="L237" s="258"/>
    </row>
    <row r="238" spans="1:12" ht="19.5" customHeight="1" x14ac:dyDescent="0.4">
      <c r="A238" s="248">
        <v>45999</v>
      </c>
      <c r="B238" s="240" t="s">
        <v>218</v>
      </c>
      <c r="C238" s="259" t="s">
        <v>121</v>
      </c>
      <c r="D238" s="257" t="s">
        <v>122</v>
      </c>
      <c r="E238" s="258"/>
      <c r="F238" s="259">
        <v>5</v>
      </c>
      <c r="G238" s="259">
        <v>7010050</v>
      </c>
      <c r="H238" s="259">
        <v>35050250</v>
      </c>
      <c r="I238" s="257"/>
      <c r="J238" s="260" t="s">
        <v>120</v>
      </c>
      <c r="K238" s="345">
        <v>45972</v>
      </c>
      <c r="L238" s="258"/>
    </row>
    <row r="239" spans="1:12" ht="19.5" customHeight="1" x14ac:dyDescent="0.4">
      <c r="A239" s="248">
        <v>45999</v>
      </c>
      <c r="B239" s="240" t="s">
        <v>218</v>
      </c>
      <c r="C239" s="259" t="s">
        <v>118</v>
      </c>
      <c r="D239" s="257" t="s">
        <v>119</v>
      </c>
      <c r="E239" s="258"/>
      <c r="F239" s="259">
        <v>10</v>
      </c>
      <c r="G239" s="259">
        <v>7790000</v>
      </c>
      <c r="H239" s="259">
        <v>77900000</v>
      </c>
      <c r="I239" s="257"/>
      <c r="J239" s="260" t="s">
        <v>120</v>
      </c>
      <c r="K239" s="345">
        <v>45958</v>
      </c>
      <c r="L239" s="258"/>
    </row>
    <row r="240" spans="1:12" ht="19.5" customHeight="1" x14ac:dyDescent="0.4">
      <c r="A240" s="248">
        <v>45999</v>
      </c>
      <c r="B240" s="240" t="s">
        <v>218</v>
      </c>
      <c r="C240" s="259" t="s">
        <v>118</v>
      </c>
      <c r="D240" s="257" t="s">
        <v>119</v>
      </c>
      <c r="E240" s="258"/>
      <c r="F240" s="259">
        <v>10</v>
      </c>
      <c r="G240" s="259">
        <v>7790000</v>
      </c>
      <c r="H240" s="259">
        <v>77900000</v>
      </c>
      <c r="I240" s="257"/>
      <c r="J240" s="260" t="s">
        <v>120</v>
      </c>
      <c r="K240" s="345">
        <v>45979</v>
      </c>
      <c r="L240" s="258"/>
    </row>
    <row r="241" spans="1:12" ht="19.5" customHeight="1" x14ac:dyDescent="0.4">
      <c r="A241" s="248">
        <v>45999</v>
      </c>
      <c r="B241" s="240" t="s">
        <v>218</v>
      </c>
      <c r="C241" s="259" t="s">
        <v>118</v>
      </c>
      <c r="D241" s="257" t="s">
        <v>119</v>
      </c>
      <c r="E241" s="258"/>
      <c r="F241" s="259">
        <v>10</v>
      </c>
      <c r="G241" s="259">
        <v>7790000</v>
      </c>
      <c r="H241" s="259">
        <v>77900000</v>
      </c>
      <c r="I241" s="257"/>
      <c r="J241" s="260" t="s">
        <v>120</v>
      </c>
      <c r="K241" s="345">
        <v>45965</v>
      </c>
      <c r="L241" s="258"/>
    </row>
    <row r="242" spans="1:12" ht="19.5" customHeight="1" x14ac:dyDescent="0.4">
      <c r="A242" s="248">
        <v>45999</v>
      </c>
      <c r="B242" s="240" t="s">
        <v>218</v>
      </c>
      <c r="C242" s="259" t="s">
        <v>449</v>
      </c>
      <c r="D242" s="257" t="s">
        <v>450</v>
      </c>
      <c r="E242" s="258"/>
      <c r="F242" s="259">
        <v>2</v>
      </c>
      <c r="G242" s="259">
        <v>2025000</v>
      </c>
      <c r="H242" s="259">
        <v>4050000</v>
      </c>
      <c r="I242" s="257"/>
      <c r="J242" s="260" t="s">
        <v>120</v>
      </c>
      <c r="K242" s="345">
        <v>45891</v>
      </c>
      <c r="L242" s="258"/>
    </row>
    <row r="243" spans="1:12" ht="19.5" customHeight="1" x14ac:dyDescent="0.4">
      <c r="A243" s="248">
        <v>45999</v>
      </c>
      <c r="B243" s="240" t="s">
        <v>218</v>
      </c>
      <c r="C243" s="259" t="s">
        <v>449</v>
      </c>
      <c r="D243" s="257" t="s">
        <v>450</v>
      </c>
      <c r="E243" s="258"/>
      <c r="F243" s="259">
        <v>10</v>
      </c>
      <c r="G243" s="259">
        <v>2025000</v>
      </c>
      <c r="H243" s="259">
        <v>20250000</v>
      </c>
      <c r="I243" s="257"/>
      <c r="J243" s="260" t="s">
        <v>120</v>
      </c>
      <c r="K243" s="345">
        <v>45950</v>
      </c>
      <c r="L243" s="258"/>
    </row>
    <row r="244" spans="1:12" ht="19.5" customHeight="1" x14ac:dyDescent="0.4">
      <c r="A244" s="248">
        <v>46000</v>
      </c>
      <c r="B244" s="240" t="s">
        <v>218</v>
      </c>
      <c r="C244" s="256" t="s">
        <v>71</v>
      </c>
      <c r="D244" s="257" t="s">
        <v>287</v>
      </c>
      <c r="E244" s="258"/>
      <c r="F244" s="259">
        <v>9</v>
      </c>
      <c r="G244" s="259">
        <v>520600</v>
      </c>
      <c r="H244" s="259">
        <v>4685400</v>
      </c>
      <c r="I244" s="257"/>
      <c r="J244" s="260" t="s">
        <v>506</v>
      </c>
      <c r="K244" s="345">
        <v>45923</v>
      </c>
      <c r="L244" s="258"/>
    </row>
    <row r="245" spans="1:12" ht="19.5" customHeight="1" x14ac:dyDescent="0.4">
      <c r="A245" s="248">
        <v>46000</v>
      </c>
      <c r="B245" s="240" t="s">
        <v>218</v>
      </c>
      <c r="C245" s="256" t="s">
        <v>71</v>
      </c>
      <c r="D245" s="257" t="s">
        <v>287</v>
      </c>
      <c r="E245" s="258"/>
      <c r="F245" s="259">
        <v>7</v>
      </c>
      <c r="G245" s="259">
        <v>520600</v>
      </c>
      <c r="H245" s="259">
        <v>3644200</v>
      </c>
      <c r="I245" s="257"/>
      <c r="J245" s="260" t="s">
        <v>525</v>
      </c>
      <c r="K245" s="345">
        <v>45959</v>
      </c>
      <c r="L245" s="258"/>
    </row>
    <row r="246" spans="1:12" ht="19.5" customHeight="1" x14ac:dyDescent="0.4">
      <c r="A246" s="248">
        <v>46000</v>
      </c>
      <c r="B246" s="240" t="s">
        <v>218</v>
      </c>
      <c r="C246" s="256" t="s">
        <v>63</v>
      </c>
      <c r="D246" s="257" t="s">
        <v>97</v>
      </c>
      <c r="E246" s="258"/>
      <c r="F246" s="259">
        <v>5</v>
      </c>
      <c r="G246" s="259">
        <v>137000</v>
      </c>
      <c r="H246" s="259">
        <v>685000</v>
      </c>
      <c r="I246" s="257"/>
      <c r="J246" s="260" t="s">
        <v>567</v>
      </c>
      <c r="K246" s="345">
        <v>46001</v>
      </c>
      <c r="L246" s="258"/>
    </row>
    <row r="247" spans="1:12" ht="19.5" customHeight="1" x14ac:dyDescent="0.4">
      <c r="A247" s="248">
        <v>46000</v>
      </c>
      <c r="B247" s="240" t="s">
        <v>218</v>
      </c>
      <c r="C247" s="256" t="s">
        <v>210</v>
      </c>
      <c r="D247" s="257" t="s">
        <v>211</v>
      </c>
      <c r="E247" s="258"/>
      <c r="F247" s="259">
        <v>3</v>
      </c>
      <c r="G247" s="259">
        <v>930000</v>
      </c>
      <c r="H247" s="259">
        <v>2790000</v>
      </c>
      <c r="I247" s="257"/>
      <c r="J247" s="260" t="s">
        <v>70</v>
      </c>
      <c r="K247" s="345">
        <v>45548</v>
      </c>
      <c r="L247" s="258"/>
    </row>
    <row r="248" spans="1:12" ht="19.5" customHeight="1" x14ac:dyDescent="0.4">
      <c r="A248" s="248">
        <v>46000</v>
      </c>
      <c r="B248" s="240" t="s">
        <v>218</v>
      </c>
      <c r="C248" s="256" t="s">
        <v>204</v>
      </c>
      <c r="D248" s="257" t="s">
        <v>205</v>
      </c>
      <c r="E248" s="258"/>
      <c r="F248" s="259">
        <v>10</v>
      </c>
      <c r="G248" s="259">
        <v>1295000</v>
      </c>
      <c r="H248" s="259">
        <v>12950000</v>
      </c>
      <c r="I248" s="257"/>
      <c r="J248" s="260" t="s">
        <v>564</v>
      </c>
      <c r="K248" s="345">
        <v>45994</v>
      </c>
      <c r="L248" s="258"/>
    </row>
    <row r="249" spans="1:12" ht="19.5" customHeight="1" x14ac:dyDescent="0.4">
      <c r="A249" s="248">
        <v>46000</v>
      </c>
      <c r="B249" s="240" t="s">
        <v>218</v>
      </c>
      <c r="C249" s="256" t="s">
        <v>204</v>
      </c>
      <c r="D249" s="257" t="s">
        <v>205</v>
      </c>
      <c r="E249" s="258"/>
      <c r="F249" s="259">
        <v>5</v>
      </c>
      <c r="G249" s="259">
        <v>1295000</v>
      </c>
      <c r="H249" s="259">
        <v>6475000</v>
      </c>
      <c r="I249" s="257"/>
      <c r="J249" s="260" t="s">
        <v>567</v>
      </c>
      <c r="K249" s="345">
        <v>46001</v>
      </c>
      <c r="L249" s="258"/>
    </row>
    <row r="250" spans="1:12" ht="19.5" customHeight="1" x14ac:dyDescent="0.4">
      <c r="A250" s="248">
        <v>46000</v>
      </c>
      <c r="B250" s="240" t="s">
        <v>218</v>
      </c>
      <c r="C250" s="256" t="s">
        <v>210</v>
      </c>
      <c r="D250" s="257" t="s">
        <v>211</v>
      </c>
      <c r="E250" s="258"/>
      <c r="F250" s="259">
        <v>5</v>
      </c>
      <c r="G250" s="259">
        <v>930000</v>
      </c>
      <c r="H250" s="259">
        <v>4650000</v>
      </c>
      <c r="I250" s="257"/>
      <c r="J250" s="260" t="s">
        <v>70</v>
      </c>
      <c r="K250" s="345">
        <v>45716</v>
      </c>
      <c r="L250" s="258"/>
    </row>
    <row r="251" spans="1:12" ht="19.5" customHeight="1" x14ac:dyDescent="0.4">
      <c r="A251" s="248">
        <v>46000</v>
      </c>
      <c r="B251" s="240" t="s">
        <v>218</v>
      </c>
      <c r="C251" s="256" t="s">
        <v>76</v>
      </c>
      <c r="D251" s="257" t="s">
        <v>77</v>
      </c>
      <c r="E251" s="258"/>
      <c r="F251" s="259">
        <v>6</v>
      </c>
      <c r="G251" s="259">
        <v>900000</v>
      </c>
      <c r="H251" s="259">
        <v>5400000</v>
      </c>
      <c r="I251" s="257"/>
      <c r="J251" s="260" t="s">
        <v>70</v>
      </c>
      <c r="K251" s="345">
        <v>45999</v>
      </c>
      <c r="L251" s="258"/>
    </row>
    <row r="252" spans="1:12" ht="19.5" customHeight="1" x14ac:dyDescent="0.4">
      <c r="A252" s="248">
        <v>46000</v>
      </c>
      <c r="B252" s="240" t="s">
        <v>218</v>
      </c>
      <c r="C252" s="256" t="s">
        <v>358</v>
      </c>
      <c r="D252" s="257" t="s">
        <v>359</v>
      </c>
      <c r="E252" s="258"/>
      <c r="F252" s="259">
        <v>4</v>
      </c>
      <c r="G252" s="259">
        <v>318000</v>
      </c>
      <c r="H252" s="259">
        <v>1272000</v>
      </c>
      <c r="I252" s="257"/>
      <c r="J252" s="260" t="s">
        <v>70</v>
      </c>
      <c r="K252" s="345">
        <v>45987</v>
      </c>
      <c r="L252" s="258"/>
    </row>
    <row r="253" spans="1:12" ht="19.5" customHeight="1" x14ac:dyDescent="0.4">
      <c r="A253" s="248">
        <v>46000</v>
      </c>
      <c r="B253" s="240" t="s">
        <v>218</v>
      </c>
      <c r="C253" s="256" t="s">
        <v>416</v>
      </c>
      <c r="D253" s="257" t="s">
        <v>417</v>
      </c>
      <c r="E253" s="258"/>
      <c r="F253" s="259">
        <v>4</v>
      </c>
      <c r="G253" s="259">
        <v>251000</v>
      </c>
      <c r="H253" s="259">
        <v>1004000</v>
      </c>
      <c r="I253" s="257"/>
      <c r="J253" s="260" t="s">
        <v>70</v>
      </c>
      <c r="K253" s="345">
        <v>45996</v>
      </c>
      <c r="L253" s="258"/>
    </row>
    <row r="254" spans="1:12" ht="19.5" customHeight="1" x14ac:dyDescent="0.4">
      <c r="A254" s="248">
        <v>46000</v>
      </c>
      <c r="B254" s="240" t="s">
        <v>218</v>
      </c>
      <c r="C254" s="256" t="s">
        <v>416</v>
      </c>
      <c r="D254" s="257" t="s">
        <v>417</v>
      </c>
      <c r="E254" s="258"/>
      <c r="F254" s="259">
        <v>2</v>
      </c>
      <c r="G254" s="259">
        <v>251000</v>
      </c>
      <c r="H254" s="259">
        <v>502000</v>
      </c>
      <c r="I254" s="257"/>
      <c r="J254" s="260" t="s">
        <v>70</v>
      </c>
      <c r="K254" s="345">
        <v>45945</v>
      </c>
      <c r="L254" s="258"/>
    </row>
    <row r="255" spans="1:12" ht="19.5" customHeight="1" x14ac:dyDescent="0.4">
      <c r="A255" s="248">
        <v>46000</v>
      </c>
      <c r="B255" s="240" t="s">
        <v>218</v>
      </c>
      <c r="C255" s="256" t="s">
        <v>416</v>
      </c>
      <c r="D255" s="257" t="s">
        <v>417</v>
      </c>
      <c r="E255" s="258"/>
      <c r="F255" s="259">
        <v>4</v>
      </c>
      <c r="G255" s="259">
        <v>251000</v>
      </c>
      <c r="H255" s="259">
        <v>1004000</v>
      </c>
      <c r="I255" s="257"/>
      <c r="J255" s="260" t="s">
        <v>70</v>
      </c>
      <c r="K255" s="345">
        <v>45976</v>
      </c>
      <c r="L255" s="258"/>
    </row>
    <row r="256" spans="1:12" ht="19.5" customHeight="1" x14ac:dyDescent="0.4">
      <c r="A256" s="248">
        <v>46000</v>
      </c>
      <c r="B256" s="240" t="s">
        <v>218</v>
      </c>
      <c r="C256" s="256" t="s">
        <v>358</v>
      </c>
      <c r="D256" s="257" t="s">
        <v>359</v>
      </c>
      <c r="E256" s="258"/>
      <c r="F256" s="259">
        <v>4</v>
      </c>
      <c r="G256" s="259">
        <v>318000</v>
      </c>
      <c r="H256" s="259">
        <v>1272000</v>
      </c>
      <c r="I256" s="257"/>
      <c r="J256" s="260" t="s">
        <v>70</v>
      </c>
      <c r="K256" s="345">
        <v>45894</v>
      </c>
      <c r="L256" s="258"/>
    </row>
    <row r="257" spans="1:12" ht="19.5" customHeight="1" x14ac:dyDescent="0.4">
      <c r="A257" s="248">
        <v>46000</v>
      </c>
      <c r="B257" s="240" t="s">
        <v>218</v>
      </c>
      <c r="C257" s="256" t="s">
        <v>416</v>
      </c>
      <c r="D257" s="257" t="s">
        <v>417</v>
      </c>
      <c r="E257" s="258"/>
      <c r="F257" s="259">
        <v>2</v>
      </c>
      <c r="G257" s="259">
        <v>251000</v>
      </c>
      <c r="H257" s="259">
        <v>502000</v>
      </c>
      <c r="I257" s="257"/>
      <c r="J257" s="260" t="s">
        <v>70</v>
      </c>
      <c r="K257" s="345">
        <v>45961</v>
      </c>
      <c r="L257" s="258"/>
    </row>
    <row r="258" spans="1:12" ht="19.5" customHeight="1" x14ac:dyDescent="0.4">
      <c r="A258" s="248">
        <v>46000</v>
      </c>
      <c r="B258" s="240" t="s">
        <v>218</v>
      </c>
      <c r="C258" s="256" t="s">
        <v>358</v>
      </c>
      <c r="D258" s="257" t="s">
        <v>359</v>
      </c>
      <c r="E258" s="258"/>
      <c r="F258" s="259">
        <v>1</v>
      </c>
      <c r="G258" s="259">
        <v>318000</v>
      </c>
      <c r="H258" s="259">
        <v>318000</v>
      </c>
      <c r="I258" s="257"/>
      <c r="J258" s="260" t="s">
        <v>70</v>
      </c>
      <c r="K258" s="345">
        <v>45961</v>
      </c>
      <c r="L258" s="258"/>
    </row>
    <row r="259" spans="1:12" ht="19.5" customHeight="1" x14ac:dyDescent="0.4">
      <c r="A259" s="248">
        <v>46000</v>
      </c>
      <c r="B259" s="240" t="s">
        <v>218</v>
      </c>
      <c r="C259" s="256" t="s">
        <v>416</v>
      </c>
      <c r="D259" s="257" t="s">
        <v>417</v>
      </c>
      <c r="E259" s="258"/>
      <c r="F259" s="259">
        <v>4</v>
      </c>
      <c r="G259" s="259">
        <v>251000</v>
      </c>
      <c r="H259" s="259">
        <v>1004000</v>
      </c>
      <c r="I259" s="257"/>
      <c r="J259" s="260" t="s">
        <v>70</v>
      </c>
      <c r="K259" s="345">
        <v>45971</v>
      </c>
      <c r="L259" s="258"/>
    </row>
    <row r="260" spans="1:12" ht="19.5" customHeight="1" x14ac:dyDescent="0.4">
      <c r="A260" s="248">
        <v>46000</v>
      </c>
      <c r="B260" s="240" t="s">
        <v>218</v>
      </c>
      <c r="C260" s="256" t="s">
        <v>358</v>
      </c>
      <c r="D260" s="257" t="s">
        <v>359</v>
      </c>
      <c r="E260" s="258"/>
      <c r="F260" s="259">
        <v>2</v>
      </c>
      <c r="G260" s="259">
        <v>318000</v>
      </c>
      <c r="H260" s="259">
        <v>636000</v>
      </c>
      <c r="I260" s="257"/>
      <c r="J260" s="260" t="s">
        <v>70</v>
      </c>
      <c r="K260" s="345">
        <v>45971</v>
      </c>
      <c r="L260" s="258"/>
    </row>
    <row r="261" spans="1:12" ht="19.5" customHeight="1" x14ac:dyDescent="0.4">
      <c r="A261" s="248">
        <v>46001</v>
      </c>
      <c r="B261" s="240" t="s">
        <v>218</v>
      </c>
      <c r="C261" s="256" t="s">
        <v>78</v>
      </c>
      <c r="D261" s="257" t="s">
        <v>79</v>
      </c>
      <c r="E261" s="258"/>
      <c r="F261" s="259">
        <v>3</v>
      </c>
      <c r="G261" s="259">
        <v>90500</v>
      </c>
      <c r="H261" s="259">
        <v>271500</v>
      </c>
      <c r="I261" s="257"/>
      <c r="J261" s="260" t="s">
        <v>570</v>
      </c>
      <c r="K261" s="345">
        <v>46001</v>
      </c>
      <c r="L261" s="258"/>
    </row>
    <row r="262" spans="1:12" ht="19.5" customHeight="1" x14ac:dyDescent="0.4">
      <c r="A262" s="248">
        <v>46001</v>
      </c>
      <c r="B262" s="240" t="s">
        <v>218</v>
      </c>
      <c r="C262" s="256" t="s">
        <v>71</v>
      </c>
      <c r="D262" s="257" t="s">
        <v>72</v>
      </c>
      <c r="E262" s="258"/>
      <c r="F262" s="259">
        <v>3</v>
      </c>
      <c r="G262" s="259">
        <v>548000</v>
      </c>
      <c r="H262" s="259">
        <v>1644000</v>
      </c>
      <c r="I262" s="257"/>
      <c r="J262" s="260" t="s">
        <v>570</v>
      </c>
      <c r="K262" s="345">
        <v>46001</v>
      </c>
      <c r="L262" s="258"/>
    </row>
    <row r="263" spans="1:12" ht="19.5" customHeight="1" x14ac:dyDescent="0.4">
      <c r="A263" s="248">
        <v>46001</v>
      </c>
      <c r="B263" s="240" t="s">
        <v>218</v>
      </c>
      <c r="C263" s="256" t="s">
        <v>67</v>
      </c>
      <c r="D263" s="257" t="s">
        <v>80</v>
      </c>
      <c r="E263" s="258"/>
      <c r="F263" s="259">
        <v>3</v>
      </c>
      <c r="G263" s="259">
        <v>384000</v>
      </c>
      <c r="H263" s="259">
        <v>1152000</v>
      </c>
      <c r="I263" s="257"/>
      <c r="J263" s="260" t="s">
        <v>570</v>
      </c>
      <c r="K263" s="345">
        <v>46001</v>
      </c>
      <c r="L263" s="258"/>
    </row>
    <row r="264" spans="1:12" ht="19.5" customHeight="1" x14ac:dyDescent="0.4">
      <c r="A264" s="248">
        <v>46001</v>
      </c>
      <c r="B264" s="240" t="s">
        <v>218</v>
      </c>
      <c r="C264" s="256" t="s">
        <v>63</v>
      </c>
      <c r="D264" s="257" t="s">
        <v>97</v>
      </c>
      <c r="E264" s="258"/>
      <c r="F264" s="259">
        <v>3</v>
      </c>
      <c r="G264" s="259">
        <v>137000</v>
      </c>
      <c r="H264" s="259">
        <v>411000</v>
      </c>
      <c r="I264" s="257"/>
      <c r="J264" s="260" t="s">
        <v>570</v>
      </c>
      <c r="K264" s="345">
        <v>46001</v>
      </c>
      <c r="L264" s="258"/>
    </row>
    <row r="265" spans="1:12" ht="19.5" customHeight="1" x14ac:dyDescent="0.4">
      <c r="A265" s="248">
        <v>46001</v>
      </c>
      <c r="B265" s="240" t="s">
        <v>218</v>
      </c>
      <c r="C265" s="256" t="s">
        <v>204</v>
      </c>
      <c r="D265" s="257" t="s">
        <v>205</v>
      </c>
      <c r="E265" s="258"/>
      <c r="F265" s="259">
        <v>3</v>
      </c>
      <c r="G265" s="259">
        <v>1295000</v>
      </c>
      <c r="H265" s="259">
        <v>3885000</v>
      </c>
      <c r="I265" s="257"/>
      <c r="J265" s="260" t="s">
        <v>570</v>
      </c>
      <c r="K265" s="345">
        <v>46001</v>
      </c>
      <c r="L265" s="258"/>
    </row>
    <row r="266" spans="1:12" ht="19.5" customHeight="1" x14ac:dyDescent="0.4">
      <c r="A266" s="248">
        <v>46006</v>
      </c>
      <c r="B266" s="240" t="s">
        <v>218</v>
      </c>
      <c r="C266" s="256" t="s">
        <v>78</v>
      </c>
      <c r="D266" s="257" t="s">
        <v>79</v>
      </c>
      <c r="E266" s="258"/>
      <c r="F266" s="259">
        <v>13</v>
      </c>
      <c r="G266" s="259">
        <v>90500</v>
      </c>
      <c r="H266" s="259">
        <v>1176500</v>
      </c>
      <c r="I266" s="257"/>
      <c r="J266" s="260" t="s">
        <v>569</v>
      </c>
      <c r="K266" s="345">
        <v>46008</v>
      </c>
      <c r="L266" s="258"/>
    </row>
    <row r="267" spans="1:12" ht="19.5" customHeight="1" x14ac:dyDescent="0.4">
      <c r="A267" s="248">
        <v>46006</v>
      </c>
      <c r="B267" s="240" t="s">
        <v>218</v>
      </c>
      <c r="C267" s="256" t="s">
        <v>71</v>
      </c>
      <c r="D267" s="257" t="s">
        <v>72</v>
      </c>
      <c r="E267" s="258"/>
      <c r="F267" s="259">
        <v>13</v>
      </c>
      <c r="G267" s="259">
        <v>548000</v>
      </c>
      <c r="H267" s="259">
        <v>7124000</v>
      </c>
      <c r="I267" s="257"/>
      <c r="J267" s="260" t="s">
        <v>569</v>
      </c>
      <c r="K267" s="345">
        <v>46008</v>
      </c>
      <c r="L267" s="258"/>
    </row>
    <row r="268" spans="1:12" ht="19.5" customHeight="1" x14ac:dyDescent="0.4">
      <c r="A268" s="248">
        <v>46006</v>
      </c>
      <c r="B268" s="240" t="s">
        <v>218</v>
      </c>
      <c r="C268" s="256" t="s">
        <v>63</v>
      </c>
      <c r="D268" s="257" t="s">
        <v>97</v>
      </c>
      <c r="E268" s="258"/>
      <c r="F268" s="259">
        <v>13</v>
      </c>
      <c r="G268" s="259">
        <v>137000</v>
      </c>
      <c r="H268" s="259">
        <v>1781000</v>
      </c>
      <c r="I268" s="257"/>
      <c r="J268" s="260" t="s">
        <v>569</v>
      </c>
      <c r="K268" s="345">
        <v>46008</v>
      </c>
      <c r="L268" s="258"/>
    </row>
    <row r="269" spans="1:12" ht="19.5" customHeight="1" x14ac:dyDescent="0.4">
      <c r="A269" s="248">
        <v>46006</v>
      </c>
      <c r="B269" s="240" t="s">
        <v>218</v>
      </c>
      <c r="C269" s="256" t="s">
        <v>73</v>
      </c>
      <c r="D269" s="257" t="s">
        <v>74</v>
      </c>
      <c r="E269" s="258"/>
      <c r="F269" s="259">
        <v>5</v>
      </c>
      <c r="G269" s="259">
        <v>442000</v>
      </c>
      <c r="H269" s="259">
        <v>2210000</v>
      </c>
      <c r="I269" s="257"/>
      <c r="J269" s="260" t="s">
        <v>567</v>
      </c>
      <c r="K269" s="345">
        <v>46001</v>
      </c>
      <c r="L269" s="258"/>
    </row>
    <row r="270" spans="1:12" ht="19.5" customHeight="1" x14ac:dyDescent="0.4">
      <c r="A270" s="248">
        <v>46006</v>
      </c>
      <c r="B270" s="240" t="s">
        <v>218</v>
      </c>
      <c r="C270" s="256" t="s">
        <v>73</v>
      </c>
      <c r="D270" s="257" t="s">
        <v>74</v>
      </c>
      <c r="E270" s="258"/>
      <c r="F270" s="259">
        <v>13</v>
      </c>
      <c r="G270" s="259">
        <v>442000</v>
      </c>
      <c r="H270" s="259">
        <v>5746000</v>
      </c>
      <c r="I270" s="257"/>
      <c r="J270" s="260" t="s">
        <v>569</v>
      </c>
      <c r="K270" s="345">
        <v>46008</v>
      </c>
      <c r="L270" s="258"/>
    </row>
    <row r="271" spans="1:12" ht="19.5" customHeight="1" x14ac:dyDescent="0.4">
      <c r="A271" s="248">
        <v>46006</v>
      </c>
      <c r="B271" s="240" t="s">
        <v>218</v>
      </c>
      <c r="C271" s="256" t="s">
        <v>62</v>
      </c>
      <c r="D271" s="257" t="s">
        <v>75</v>
      </c>
      <c r="E271" s="258"/>
      <c r="F271" s="259">
        <v>1</v>
      </c>
      <c r="G271" s="259">
        <v>442000</v>
      </c>
      <c r="H271" s="259">
        <v>442000</v>
      </c>
      <c r="I271" s="257"/>
      <c r="J271" s="260" t="s">
        <v>564</v>
      </c>
      <c r="K271" s="345">
        <v>45994</v>
      </c>
      <c r="L271" s="258"/>
    </row>
    <row r="272" spans="1:12" ht="19.5" customHeight="1" x14ac:dyDescent="0.4">
      <c r="A272" s="248">
        <v>46006</v>
      </c>
      <c r="B272" s="240" t="s">
        <v>218</v>
      </c>
      <c r="C272" s="256" t="s">
        <v>62</v>
      </c>
      <c r="D272" s="257" t="s">
        <v>75</v>
      </c>
      <c r="E272" s="258"/>
      <c r="F272" s="259">
        <v>5</v>
      </c>
      <c r="G272" s="259">
        <v>442000</v>
      </c>
      <c r="H272" s="259">
        <v>2210000</v>
      </c>
      <c r="I272" s="257"/>
      <c r="J272" s="260" t="s">
        <v>567</v>
      </c>
      <c r="K272" s="345">
        <v>46001</v>
      </c>
      <c r="L272" s="258"/>
    </row>
    <row r="273" spans="1:12" ht="19.5" customHeight="1" x14ac:dyDescent="0.4">
      <c r="A273" s="248">
        <v>46006</v>
      </c>
      <c r="B273" s="240" t="s">
        <v>218</v>
      </c>
      <c r="C273" s="256" t="s">
        <v>62</v>
      </c>
      <c r="D273" s="257" t="s">
        <v>75</v>
      </c>
      <c r="E273" s="258"/>
      <c r="F273" s="259">
        <v>13</v>
      </c>
      <c r="G273" s="259">
        <v>442000</v>
      </c>
      <c r="H273" s="259">
        <v>5746000</v>
      </c>
      <c r="I273" s="257"/>
      <c r="J273" s="260" t="s">
        <v>569</v>
      </c>
      <c r="K273" s="345">
        <v>46008</v>
      </c>
      <c r="L273" s="258"/>
    </row>
    <row r="274" spans="1:12" ht="19.5" customHeight="1" x14ac:dyDescent="0.4">
      <c r="A274" s="248">
        <v>46006</v>
      </c>
      <c r="B274" s="240" t="s">
        <v>218</v>
      </c>
      <c r="C274" s="256" t="s">
        <v>198</v>
      </c>
      <c r="D274" s="257" t="s">
        <v>286</v>
      </c>
      <c r="E274" s="258"/>
      <c r="F274" s="259">
        <v>10</v>
      </c>
      <c r="G274" s="259">
        <v>54000</v>
      </c>
      <c r="H274" s="259">
        <v>540000</v>
      </c>
      <c r="I274" s="257"/>
      <c r="J274" s="260" t="s">
        <v>616</v>
      </c>
      <c r="K274" s="345">
        <v>46008</v>
      </c>
      <c r="L274" s="258"/>
    </row>
    <row r="275" spans="1:12" ht="19.5" customHeight="1" x14ac:dyDescent="0.4">
      <c r="A275" s="248">
        <v>46006</v>
      </c>
      <c r="B275" s="240" t="s">
        <v>218</v>
      </c>
      <c r="C275" s="256" t="s">
        <v>64</v>
      </c>
      <c r="D275" s="257" t="s">
        <v>65</v>
      </c>
      <c r="E275" s="258"/>
      <c r="F275" s="259">
        <v>5</v>
      </c>
      <c r="G275" s="259">
        <v>1568700</v>
      </c>
      <c r="H275" s="259">
        <v>7843500</v>
      </c>
      <c r="I275" s="257"/>
      <c r="J275" s="260" t="s">
        <v>561</v>
      </c>
      <c r="K275" s="345">
        <v>45980</v>
      </c>
      <c r="L275" s="258"/>
    </row>
    <row r="276" spans="1:12" ht="19.5" customHeight="1" x14ac:dyDescent="0.4">
      <c r="A276" s="248">
        <v>46006</v>
      </c>
      <c r="B276" s="240" t="s">
        <v>218</v>
      </c>
      <c r="C276" s="256" t="s">
        <v>66</v>
      </c>
      <c r="D276" s="257" t="s">
        <v>195</v>
      </c>
      <c r="E276" s="258"/>
      <c r="F276" s="259">
        <v>3</v>
      </c>
      <c r="G276" s="259">
        <v>1917500</v>
      </c>
      <c r="H276" s="259">
        <v>5752500</v>
      </c>
      <c r="I276" s="257"/>
      <c r="J276" s="260" t="s">
        <v>567</v>
      </c>
      <c r="K276" s="345">
        <v>46001</v>
      </c>
      <c r="L276" s="258"/>
    </row>
    <row r="277" spans="1:12" ht="19.5" customHeight="1" x14ac:dyDescent="0.4">
      <c r="A277" s="248">
        <v>46006</v>
      </c>
      <c r="B277" s="240" t="s">
        <v>218</v>
      </c>
      <c r="C277" s="256" t="s">
        <v>617</v>
      </c>
      <c r="D277" s="257" t="s">
        <v>618</v>
      </c>
      <c r="E277" s="258"/>
      <c r="F277" s="259">
        <v>1</v>
      </c>
      <c r="G277" s="259">
        <v>900000</v>
      </c>
      <c r="H277" s="259">
        <v>900000</v>
      </c>
      <c r="I277" s="257"/>
      <c r="J277" s="260" t="s">
        <v>215</v>
      </c>
      <c r="K277" s="345">
        <v>45996</v>
      </c>
      <c r="L277" s="258"/>
    </row>
    <row r="278" spans="1:12" ht="19.5" customHeight="1" x14ac:dyDescent="0.4">
      <c r="A278" s="248">
        <v>46006</v>
      </c>
      <c r="B278" s="240" t="s">
        <v>218</v>
      </c>
      <c r="C278" s="256" t="s">
        <v>68</v>
      </c>
      <c r="D278" s="257" t="s">
        <v>69</v>
      </c>
      <c r="E278" s="258"/>
      <c r="F278" s="259">
        <v>8</v>
      </c>
      <c r="G278" s="259">
        <v>359000</v>
      </c>
      <c r="H278" s="259">
        <v>2872000</v>
      </c>
      <c r="I278" s="257"/>
      <c r="J278" s="260" t="s">
        <v>70</v>
      </c>
      <c r="K278" s="345">
        <v>46001</v>
      </c>
      <c r="L278" s="258"/>
    </row>
    <row r="279" spans="1:12" ht="19.5" customHeight="1" x14ac:dyDescent="0.4">
      <c r="A279" s="248">
        <v>46006</v>
      </c>
      <c r="B279" s="240" t="s">
        <v>218</v>
      </c>
      <c r="C279" s="256" t="s">
        <v>68</v>
      </c>
      <c r="D279" s="257" t="s">
        <v>69</v>
      </c>
      <c r="E279" s="258"/>
      <c r="F279" s="259">
        <v>6</v>
      </c>
      <c r="G279" s="259">
        <v>359000</v>
      </c>
      <c r="H279" s="259">
        <v>2154000</v>
      </c>
      <c r="I279" s="257"/>
      <c r="J279" s="260" t="s">
        <v>70</v>
      </c>
      <c r="K279" s="345">
        <v>46011</v>
      </c>
      <c r="L279" s="258"/>
    </row>
    <row r="280" spans="1:12" ht="19.5" customHeight="1" x14ac:dyDescent="0.4">
      <c r="A280" s="248">
        <v>46006</v>
      </c>
      <c r="B280" s="240" t="s">
        <v>218</v>
      </c>
      <c r="C280" s="256" t="s">
        <v>92</v>
      </c>
      <c r="D280" s="257" t="s">
        <v>200</v>
      </c>
      <c r="E280" s="258"/>
      <c r="F280" s="259">
        <v>6</v>
      </c>
      <c r="G280" s="259">
        <v>348500</v>
      </c>
      <c r="H280" s="259">
        <v>2091000</v>
      </c>
      <c r="I280" s="257"/>
      <c r="J280" s="260" t="s">
        <v>70</v>
      </c>
      <c r="K280" s="345">
        <v>46011</v>
      </c>
      <c r="L280" s="258"/>
    </row>
    <row r="281" spans="1:12" ht="19.5" customHeight="1" x14ac:dyDescent="0.4">
      <c r="A281" s="248">
        <v>46006</v>
      </c>
      <c r="B281" s="240" t="s">
        <v>218</v>
      </c>
      <c r="C281" s="256" t="s">
        <v>68</v>
      </c>
      <c r="D281" s="257" t="s">
        <v>69</v>
      </c>
      <c r="E281" s="258"/>
      <c r="F281" s="259">
        <v>2</v>
      </c>
      <c r="G281" s="259">
        <v>359000</v>
      </c>
      <c r="H281" s="259">
        <v>718000</v>
      </c>
      <c r="I281" s="257"/>
      <c r="J281" s="260" t="s">
        <v>70</v>
      </c>
      <c r="K281" s="345">
        <v>46001</v>
      </c>
      <c r="L281" s="258"/>
    </row>
    <row r="282" spans="1:12" ht="19.5" customHeight="1" x14ac:dyDescent="0.4">
      <c r="A282" s="248">
        <v>46007</v>
      </c>
      <c r="B282" s="240" t="s">
        <v>218</v>
      </c>
      <c r="C282" s="256" t="s">
        <v>67</v>
      </c>
      <c r="D282" s="257" t="s">
        <v>80</v>
      </c>
      <c r="E282" s="258"/>
      <c r="F282" s="259">
        <v>2</v>
      </c>
      <c r="G282" s="259">
        <v>384000</v>
      </c>
      <c r="H282" s="259">
        <v>768000</v>
      </c>
      <c r="I282" s="257"/>
      <c r="J282" s="260" t="s">
        <v>561</v>
      </c>
      <c r="K282" s="345">
        <v>45980</v>
      </c>
      <c r="L282" s="258"/>
    </row>
    <row r="283" spans="1:12" ht="19.5" customHeight="1" x14ac:dyDescent="0.4">
      <c r="A283" s="248">
        <v>46007</v>
      </c>
      <c r="B283" s="240" t="s">
        <v>218</v>
      </c>
      <c r="C283" s="256" t="s">
        <v>202</v>
      </c>
      <c r="D283" s="257" t="s">
        <v>203</v>
      </c>
      <c r="E283" s="258"/>
      <c r="F283" s="259">
        <v>16</v>
      </c>
      <c r="G283" s="259">
        <v>384000</v>
      </c>
      <c r="H283" s="259">
        <v>6144000</v>
      </c>
      <c r="I283" s="257"/>
      <c r="J283" s="260" t="s">
        <v>561</v>
      </c>
      <c r="K283" s="345">
        <v>45980</v>
      </c>
      <c r="L283" s="258"/>
    </row>
    <row r="284" spans="1:12" ht="19.5" customHeight="1" x14ac:dyDescent="0.4">
      <c r="A284" s="248">
        <v>46007</v>
      </c>
      <c r="B284" s="240" t="s">
        <v>218</v>
      </c>
      <c r="C284" s="256" t="s">
        <v>67</v>
      </c>
      <c r="D284" s="257" t="s">
        <v>80</v>
      </c>
      <c r="E284" s="258"/>
      <c r="F284" s="259">
        <v>8</v>
      </c>
      <c r="G284" s="259">
        <v>384000</v>
      </c>
      <c r="H284" s="259">
        <v>3072000</v>
      </c>
      <c r="I284" s="257"/>
      <c r="J284" s="260" t="s">
        <v>524</v>
      </c>
      <c r="K284" s="345">
        <v>45966</v>
      </c>
      <c r="L284" s="258"/>
    </row>
    <row r="285" spans="1:12" ht="19.5" customHeight="1" x14ac:dyDescent="0.4">
      <c r="A285" s="248">
        <v>46009</v>
      </c>
      <c r="B285" s="240" t="s">
        <v>218</v>
      </c>
      <c r="C285" s="256" t="s">
        <v>297</v>
      </c>
      <c r="D285" s="257" t="s">
        <v>298</v>
      </c>
      <c r="E285" s="258"/>
      <c r="F285" s="259">
        <v>4</v>
      </c>
      <c r="G285" s="259">
        <v>222000</v>
      </c>
      <c r="H285" s="259">
        <v>888000</v>
      </c>
      <c r="I285" s="257"/>
      <c r="J285" s="260" t="s">
        <v>70</v>
      </c>
      <c r="K285" s="345">
        <v>45987</v>
      </c>
      <c r="L285" s="258"/>
    </row>
    <row r="286" spans="1:12" ht="19.5" customHeight="1" x14ac:dyDescent="0.4">
      <c r="A286" s="248">
        <v>46009</v>
      </c>
      <c r="B286" s="240" t="s">
        <v>218</v>
      </c>
      <c r="C286" s="256" t="s">
        <v>380</v>
      </c>
      <c r="D286" s="257" t="s">
        <v>504</v>
      </c>
      <c r="E286" s="258"/>
      <c r="F286" s="259">
        <v>1</v>
      </c>
      <c r="G286" s="259">
        <v>37700</v>
      </c>
      <c r="H286" s="259">
        <v>37700</v>
      </c>
      <c r="I286" s="257"/>
      <c r="J286" s="260" t="s">
        <v>70</v>
      </c>
      <c r="K286" s="345">
        <v>45996</v>
      </c>
      <c r="L286" s="258"/>
    </row>
    <row r="287" spans="1:12" ht="19.5" customHeight="1" x14ac:dyDescent="0.4">
      <c r="A287" s="248">
        <v>46009</v>
      </c>
      <c r="B287" s="240" t="s">
        <v>218</v>
      </c>
      <c r="C287" s="256" t="s">
        <v>105</v>
      </c>
      <c r="D287" s="257" t="s">
        <v>505</v>
      </c>
      <c r="E287" s="258"/>
      <c r="F287" s="259">
        <v>1</v>
      </c>
      <c r="G287" s="259">
        <v>54300</v>
      </c>
      <c r="H287" s="259">
        <v>54300</v>
      </c>
      <c r="I287" s="257"/>
      <c r="J287" s="260" t="s">
        <v>70</v>
      </c>
      <c r="K287" s="345">
        <v>45996</v>
      </c>
      <c r="L287" s="258"/>
    </row>
    <row r="288" spans="1:12" ht="19.5" customHeight="1" x14ac:dyDescent="0.4">
      <c r="A288" s="248">
        <v>46009</v>
      </c>
      <c r="B288" s="240" t="s">
        <v>218</v>
      </c>
      <c r="C288" s="256" t="s">
        <v>297</v>
      </c>
      <c r="D288" s="257" t="s">
        <v>298</v>
      </c>
      <c r="E288" s="258"/>
      <c r="F288" s="259">
        <v>1</v>
      </c>
      <c r="G288" s="259">
        <v>222000</v>
      </c>
      <c r="H288" s="259">
        <v>222000</v>
      </c>
      <c r="I288" s="257"/>
      <c r="J288" s="260" t="s">
        <v>70</v>
      </c>
      <c r="K288" s="345">
        <v>45996</v>
      </c>
      <c r="L288" s="258"/>
    </row>
    <row r="289" spans="1:12" ht="19.5" customHeight="1" x14ac:dyDescent="0.4">
      <c r="A289" s="248">
        <v>46009</v>
      </c>
      <c r="B289" s="240" t="s">
        <v>218</v>
      </c>
      <c r="C289" s="256" t="s">
        <v>216</v>
      </c>
      <c r="D289" s="257" t="s">
        <v>217</v>
      </c>
      <c r="E289" s="258"/>
      <c r="F289" s="259">
        <v>2</v>
      </c>
      <c r="G289" s="259">
        <v>170000</v>
      </c>
      <c r="H289" s="259">
        <v>340000</v>
      </c>
      <c r="I289" s="257"/>
      <c r="J289" s="260" t="s">
        <v>215</v>
      </c>
      <c r="K289" s="345">
        <v>45996</v>
      </c>
      <c r="L289" s="258"/>
    </row>
    <row r="290" spans="1:12" ht="19.5" customHeight="1" x14ac:dyDescent="0.4">
      <c r="A290" s="248">
        <v>46009</v>
      </c>
      <c r="B290" s="240" t="s">
        <v>218</v>
      </c>
      <c r="C290" s="256" t="s">
        <v>95</v>
      </c>
      <c r="D290" s="257" t="s">
        <v>96</v>
      </c>
      <c r="E290" s="258"/>
      <c r="F290" s="259">
        <v>2</v>
      </c>
      <c r="G290" s="259">
        <v>10500</v>
      </c>
      <c r="H290" s="259">
        <v>21000</v>
      </c>
      <c r="I290" s="257"/>
      <c r="J290" s="260" t="s">
        <v>215</v>
      </c>
      <c r="K290" s="345">
        <v>45996</v>
      </c>
      <c r="L290" s="258"/>
    </row>
    <row r="291" spans="1:12" ht="19.5" customHeight="1" x14ac:dyDescent="0.4">
      <c r="A291" s="248">
        <v>46009</v>
      </c>
      <c r="B291" s="240" t="s">
        <v>218</v>
      </c>
      <c r="C291" s="256" t="s">
        <v>614</v>
      </c>
      <c r="D291" s="257" t="s">
        <v>615</v>
      </c>
      <c r="E291" s="258"/>
      <c r="F291" s="259">
        <v>1</v>
      </c>
      <c r="G291" s="259">
        <v>95000</v>
      </c>
      <c r="H291" s="259">
        <v>95000</v>
      </c>
      <c r="I291" s="257"/>
      <c r="J291" s="260" t="s">
        <v>70</v>
      </c>
      <c r="K291" s="345">
        <v>46010</v>
      </c>
      <c r="L291" s="258"/>
    </row>
    <row r="292" spans="1:12" ht="19.5" customHeight="1" x14ac:dyDescent="0.4">
      <c r="A292" s="248">
        <v>46009</v>
      </c>
      <c r="B292" s="240" t="s">
        <v>218</v>
      </c>
      <c r="C292" s="256" t="s">
        <v>105</v>
      </c>
      <c r="D292" s="257" t="s">
        <v>505</v>
      </c>
      <c r="E292" s="258"/>
      <c r="F292" s="259">
        <v>1</v>
      </c>
      <c r="G292" s="259">
        <v>54300</v>
      </c>
      <c r="H292" s="259">
        <v>54300</v>
      </c>
      <c r="I292" s="257"/>
      <c r="J292" s="260" t="s">
        <v>70</v>
      </c>
      <c r="K292" s="345">
        <v>46010</v>
      </c>
      <c r="L292" s="258"/>
    </row>
    <row r="293" spans="1:12" ht="19.5" customHeight="1" x14ac:dyDescent="0.4">
      <c r="A293" s="248">
        <v>46009</v>
      </c>
      <c r="B293" s="240" t="s">
        <v>218</v>
      </c>
      <c r="C293" s="256" t="s">
        <v>297</v>
      </c>
      <c r="D293" s="257" t="s">
        <v>298</v>
      </c>
      <c r="E293" s="258"/>
      <c r="F293" s="259">
        <v>1</v>
      </c>
      <c r="G293" s="259">
        <v>222000</v>
      </c>
      <c r="H293" s="259">
        <v>222000</v>
      </c>
      <c r="I293" s="257"/>
      <c r="J293" s="260" t="s">
        <v>70</v>
      </c>
      <c r="K293" s="345">
        <v>46010</v>
      </c>
      <c r="L293" s="258"/>
    </row>
    <row r="294" spans="1:12" ht="19.5" customHeight="1" x14ac:dyDescent="0.4">
      <c r="A294" s="248">
        <v>46009</v>
      </c>
      <c r="B294" s="240" t="s">
        <v>218</v>
      </c>
      <c r="C294" s="256" t="s">
        <v>295</v>
      </c>
      <c r="D294" s="257" t="s">
        <v>296</v>
      </c>
      <c r="E294" s="258"/>
      <c r="F294" s="259">
        <v>12</v>
      </c>
      <c r="G294" s="259">
        <v>270000</v>
      </c>
      <c r="H294" s="259">
        <v>3240000</v>
      </c>
      <c r="I294" s="257"/>
      <c r="J294" s="260" t="s">
        <v>70</v>
      </c>
      <c r="K294" s="345">
        <v>46011</v>
      </c>
      <c r="L294" s="258"/>
    </row>
    <row r="295" spans="1:12" ht="19.5" customHeight="1" x14ac:dyDescent="0.4">
      <c r="A295" s="248">
        <v>46009</v>
      </c>
      <c r="B295" s="240" t="s">
        <v>218</v>
      </c>
      <c r="C295" s="256" t="s">
        <v>83</v>
      </c>
      <c r="D295" s="257" t="s">
        <v>84</v>
      </c>
      <c r="E295" s="258"/>
      <c r="F295" s="259">
        <v>2</v>
      </c>
      <c r="G295" s="259">
        <v>76500</v>
      </c>
      <c r="H295" s="259">
        <v>153000</v>
      </c>
      <c r="I295" s="257"/>
      <c r="J295" s="260" t="s">
        <v>70</v>
      </c>
      <c r="K295" s="345">
        <v>45996</v>
      </c>
      <c r="L295" s="258"/>
    </row>
    <row r="296" spans="1:12" ht="19.5" customHeight="1" x14ac:dyDescent="0.4">
      <c r="A296" s="248">
        <v>46009</v>
      </c>
      <c r="B296" s="240" t="s">
        <v>218</v>
      </c>
      <c r="C296" s="256" t="s">
        <v>83</v>
      </c>
      <c r="D296" s="257" t="s">
        <v>84</v>
      </c>
      <c r="E296" s="258"/>
      <c r="F296" s="259">
        <v>2</v>
      </c>
      <c r="G296" s="259">
        <v>76500</v>
      </c>
      <c r="H296" s="259">
        <v>153000</v>
      </c>
      <c r="I296" s="257"/>
      <c r="J296" s="260" t="s">
        <v>70</v>
      </c>
      <c r="K296" s="345">
        <v>45996</v>
      </c>
      <c r="L296" s="258"/>
    </row>
    <row r="297" spans="1:12" ht="19.5" customHeight="1" x14ac:dyDescent="0.4">
      <c r="A297" s="248">
        <v>46009</v>
      </c>
      <c r="B297" s="240" t="s">
        <v>218</v>
      </c>
      <c r="C297" s="256" t="s">
        <v>85</v>
      </c>
      <c r="D297" s="257" t="s">
        <v>86</v>
      </c>
      <c r="E297" s="258"/>
      <c r="F297" s="259">
        <v>2</v>
      </c>
      <c r="G297" s="259">
        <v>37700</v>
      </c>
      <c r="H297" s="259">
        <v>75400</v>
      </c>
      <c r="I297" s="257"/>
      <c r="J297" s="260" t="s">
        <v>70</v>
      </c>
      <c r="K297" s="345">
        <v>45996</v>
      </c>
      <c r="L297" s="258"/>
    </row>
    <row r="298" spans="1:12" ht="19.5" customHeight="1" x14ac:dyDescent="0.4">
      <c r="A298" s="248">
        <v>46009</v>
      </c>
      <c r="B298" s="240" t="s">
        <v>218</v>
      </c>
      <c r="C298" s="256" t="s">
        <v>85</v>
      </c>
      <c r="D298" s="257" t="s">
        <v>86</v>
      </c>
      <c r="E298" s="258"/>
      <c r="F298" s="259">
        <v>2</v>
      </c>
      <c r="G298" s="259">
        <v>37700</v>
      </c>
      <c r="H298" s="259">
        <v>75400</v>
      </c>
      <c r="I298" s="257"/>
      <c r="J298" s="260" t="s">
        <v>70</v>
      </c>
      <c r="K298" s="345">
        <v>45996</v>
      </c>
      <c r="L298" s="258"/>
    </row>
    <row r="299" spans="1:12" ht="19.5" customHeight="1" x14ac:dyDescent="0.4">
      <c r="A299" s="248">
        <v>46009</v>
      </c>
      <c r="B299" s="240" t="s">
        <v>218</v>
      </c>
      <c r="C299" s="256" t="s">
        <v>83</v>
      </c>
      <c r="D299" s="257" t="s">
        <v>87</v>
      </c>
      <c r="E299" s="258"/>
      <c r="F299" s="259">
        <v>2</v>
      </c>
      <c r="G299" s="259">
        <v>75300</v>
      </c>
      <c r="H299" s="259">
        <v>150600</v>
      </c>
      <c r="I299" s="257"/>
      <c r="J299" s="260" t="s">
        <v>70</v>
      </c>
      <c r="K299" s="346">
        <v>45996</v>
      </c>
      <c r="L299" s="258"/>
    </row>
    <row r="300" spans="1:12" ht="19.5" customHeight="1" x14ac:dyDescent="0.4">
      <c r="A300" s="248">
        <v>46009</v>
      </c>
      <c r="B300" s="240" t="s">
        <v>218</v>
      </c>
      <c r="C300" s="256" t="s">
        <v>83</v>
      </c>
      <c r="D300" s="257" t="s">
        <v>87</v>
      </c>
      <c r="E300" s="258"/>
      <c r="F300" s="259">
        <v>2</v>
      </c>
      <c r="G300" s="259">
        <v>75300</v>
      </c>
      <c r="H300" s="259">
        <v>150600</v>
      </c>
      <c r="I300" s="257"/>
      <c r="J300" s="260" t="s">
        <v>70</v>
      </c>
      <c r="K300" s="345">
        <v>45996</v>
      </c>
      <c r="L300" s="258"/>
    </row>
    <row r="301" spans="1:12" ht="19.5" customHeight="1" x14ac:dyDescent="0.4">
      <c r="A301" s="248">
        <v>46009</v>
      </c>
      <c r="B301" s="240" t="s">
        <v>218</v>
      </c>
      <c r="C301" s="256" t="s">
        <v>88</v>
      </c>
      <c r="D301" s="257" t="s">
        <v>89</v>
      </c>
      <c r="E301" s="258"/>
      <c r="F301" s="259">
        <v>4</v>
      </c>
      <c r="G301" s="259">
        <v>64000</v>
      </c>
      <c r="H301" s="259">
        <v>256000</v>
      </c>
      <c r="I301" s="257"/>
      <c r="J301" s="260" t="s">
        <v>70</v>
      </c>
      <c r="K301" s="345">
        <v>45996</v>
      </c>
      <c r="L301" s="258"/>
    </row>
    <row r="302" spans="1:12" ht="19.5" customHeight="1" x14ac:dyDescent="0.4">
      <c r="A302" s="248">
        <v>46009</v>
      </c>
      <c r="B302" s="240" t="s">
        <v>218</v>
      </c>
      <c r="C302" s="256" t="s">
        <v>88</v>
      </c>
      <c r="D302" s="257" t="s">
        <v>89</v>
      </c>
      <c r="E302" s="258"/>
      <c r="F302" s="259">
        <v>1</v>
      </c>
      <c r="G302" s="259">
        <v>64000</v>
      </c>
      <c r="H302" s="259">
        <v>64000</v>
      </c>
      <c r="I302" s="257"/>
      <c r="J302" s="260" t="s">
        <v>70</v>
      </c>
      <c r="K302" s="345">
        <v>45996</v>
      </c>
      <c r="L302" s="258"/>
    </row>
    <row r="303" spans="1:12" ht="19.5" customHeight="1" x14ac:dyDescent="0.4">
      <c r="A303" s="248">
        <v>46009</v>
      </c>
      <c r="B303" s="240" t="s">
        <v>218</v>
      </c>
      <c r="C303" s="256" t="s">
        <v>95</v>
      </c>
      <c r="D303" s="257" t="s">
        <v>96</v>
      </c>
      <c r="E303" s="258"/>
      <c r="F303" s="259">
        <v>12</v>
      </c>
      <c r="G303" s="259">
        <v>10500</v>
      </c>
      <c r="H303" s="259">
        <v>126000</v>
      </c>
      <c r="I303" s="257"/>
      <c r="J303" s="260" t="s">
        <v>70</v>
      </c>
      <c r="K303" s="345">
        <v>45996</v>
      </c>
      <c r="L303" s="258"/>
    </row>
    <row r="304" spans="1:12" ht="19.5" customHeight="1" x14ac:dyDescent="0.4">
      <c r="A304" s="248">
        <v>46009</v>
      </c>
      <c r="B304" s="240" t="s">
        <v>218</v>
      </c>
      <c r="C304" s="256" t="s">
        <v>95</v>
      </c>
      <c r="D304" s="257" t="s">
        <v>96</v>
      </c>
      <c r="E304" s="258"/>
      <c r="F304" s="259">
        <v>6</v>
      </c>
      <c r="G304" s="259">
        <v>10500</v>
      </c>
      <c r="H304" s="259">
        <v>63000</v>
      </c>
      <c r="I304" s="257"/>
      <c r="J304" s="260" t="s">
        <v>70</v>
      </c>
      <c r="K304" s="345">
        <v>45996</v>
      </c>
      <c r="L304" s="258"/>
    </row>
    <row r="305" spans="1:12" ht="19.5" customHeight="1" x14ac:dyDescent="0.4">
      <c r="A305" s="248">
        <v>46009</v>
      </c>
      <c r="B305" s="240" t="s">
        <v>218</v>
      </c>
      <c r="C305" s="256" t="s">
        <v>297</v>
      </c>
      <c r="D305" s="257" t="s">
        <v>298</v>
      </c>
      <c r="E305" s="258"/>
      <c r="F305" s="259">
        <v>2</v>
      </c>
      <c r="G305" s="259">
        <v>222000</v>
      </c>
      <c r="H305" s="259">
        <v>444000</v>
      </c>
      <c r="I305" s="257"/>
      <c r="J305" s="260" t="s">
        <v>70</v>
      </c>
      <c r="K305" s="345">
        <v>45961</v>
      </c>
      <c r="L305" s="258"/>
    </row>
    <row r="306" spans="1:12" ht="19.5" customHeight="1" x14ac:dyDescent="0.4">
      <c r="A306" s="248">
        <v>46010</v>
      </c>
      <c r="B306" s="240" t="s">
        <v>218</v>
      </c>
      <c r="C306" s="256" t="s">
        <v>118</v>
      </c>
      <c r="D306" s="257" t="s">
        <v>119</v>
      </c>
      <c r="E306" s="258"/>
      <c r="F306" s="259">
        <v>3</v>
      </c>
      <c r="G306" s="259">
        <v>7790000</v>
      </c>
      <c r="H306" s="259">
        <v>23370000</v>
      </c>
      <c r="I306" s="257"/>
      <c r="J306" s="260" t="s">
        <v>120</v>
      </c>
      <c r="K306" s="345">
        <v>46000</v>
      </c>
      <c r="L306" s="258"/>
    </row>
    <row r="307" spans="1:12" ht="19.5" customHeight="1" x14ac:dyDescent="0.4">
      <c r="A307" s="248">
        <v>46010</v>
      </c>
      <c r="B307" s="240" t="s">
        <v>218</v>
      </c>
      <c r="C307" s="256" t="s">
        <v>73</v>
      </c>
      <c r="D307" s="257" t="s">
        <v>74</v>
      </c>
      <c r="E307" s="258"/>
      <c r="F307" s="259">
        <v>3</v>
      </c>
      <c r="G307" s="259">
        <v>442000</v>
      </c>
      <c r="H307" s="259">
        <v>1326000</v>
      </c>
      <c r="I307" s="257"/>
      <c r="J307" s="260" t="s">
        <v>570</v>
      </c>
      <c r="K307" s="345">
        <v>46001</v>
      </c>
      <c r="L307" s="258"/>
    </row>
    <row r="308" spans="1:12" ht="19.5" customHeight="1" x14ac:dyDescent="0.4">
      <c r="A308" s="248">
        <v>46010</v>
      </c>
      <c r="B308" s="240" t="s">
        <v>218</v>
      </c>
      <c r="C308" s="256" t="s">
        <v>62</v>
      </c>
      <c r="D308" s="257" t="s">
        <v>75</v>
      </c>
      <c r="E308" s="258"/>
      <c r="F308" s="259">
        <v>3</v>
      </c>
      <c r="G308" s="259">
        <v>442000</v>
      </c>
      <c r="H308" s="259">
        <v>1326000</v>
      </c>
      <c r="I308" s="257"/>
      <c r="J308" s="260" t="s">
        <v>570</v>
      </c>
      <c r="K308" s="345">
        <v>46001</v>
      </c>
      <c r="L308" s="258"/>
    </row>
    <row r="309" spans="1:12" ht="19.5" customHeight="1" x14ac:dyDescent="0.4">
      <c r="A309" s="248">
        <v>46010</v>
      </c>
      <c r="B309" s="240" t="s">
        <v>218</v>
      </c>
      <c r="C309" s="256" t="s">
        <v>118</v>
      </c>
      <c r="D309" s="257" t="s">
        <v>119</v>
      </c>
      <c r="E309" s="258"/>
      <c r="F309" s="259">
        <v>10</v>
      </c>
      <c r="G309" s="259">
        <v>7790000</v>
      </c>
      <c r="H309" s="259">
        <v>77900000</v>
      </c>
      <c r="I309" s="257"/>
      <c r="J309" s="260" t="s">
        <v>120</v>
      </c>
      <c r="K309" s="345">
        <v>45986</v>
      </c>
      <c r="L309" s="258"/>
    </row>
    <row r="310" spans="1:12" ht="19.5" customHeight="1" x14ac:dyDescent="0.4">
      <c r="A310" s="248">
        <v>46013</v>
      </c>
      <c r="B310" s="240" t="s">
        <v>218</v>
      </c>
      <c r="C310" s="256" t="s">
        <v>293</v>
      </c>
      <c r="D310" s="257" t="s">
        <v>294</v>
      </c>
      <c r="E310" s="258"/>
      <c r="F310" s="259">
        <v>1</v>
      </c>
      <c r="G310" s="259">
        <v>14400</v>
      </c>
      <c r="H310" s="259">
        <v>14400</v>
      </c>
      <c r="I310" s="257"/>
      <c r="J310" s="260" t="s">
        <v>220</v>
      </c>
      <c r="K310" s="345">
        <v>46020</v>
      </c>
      <c r="L310" s="258"/>
    </row>
    <row r="311" spans="1:12" ht="19.5" customHeight="1" x14ac:dyDescent="0.4">
      <c r="A311" s="248">
        <v>46013</v>
      </c>
      <c r="B311" s="240" t="s">
        <v>218</v>
      </c>
      <c r="C311" s="256" t="s">
        <v>101</v>
      </c>
      <c r="D311" s="257" t="s">
        <v>102</v>
      </c>
      <c r="E311" s="258"/>
      <c r="F311" s="259">
        <v>2</v>
      </c>
      <c r="G311" s="259">
        <v>71500</v>
      </c>
      <c r="H311" s="259">
        <v>143000</v>
      </c>
      <c r="I311" s="257"/>
      <c r="J311" s="260" t="s">
        <v>212</v>
      </c>
      <c r="K311" s="345">
        <v>46017</v>
      </c>
      <c r="L311" s="258"/>
    </row>
    <row r="312" spans="1:12" ht="19.5" customHeight="1" x14ac:dyDescent="0.4">
      <c r="A312" s="248">
        <v>46013</v>
      </c>
      <c r="B312" s="240" t="s">
        <v>218</v>
      </c>
      <c r="C312" s="256" t="s">
        <v>190</v>
      </c>
      <c r="D312" s="257" t="s">
        <v>214</v>
      </c>
      <c r="E312" s="258"/>
      <c r="F312" s="259">
        <v>2</v>
      </c>
      <c r="G312" s="259">
        <v>181000</v>
      </c>
      <c r="H312" s="259">
        <v>362000</v>
      </c>
      <c r="I312" s="257"/>
      <c r="J312" s="260" t="s">
        <v>212</v>
      </c>
      <c r="K312" s="345">
        <v>46017</v>
      </c>
      <c r="L312" s="258"/>
    </row>
    <row r="313" spans="1:12" ht="19.5" customHeight="1" x14ac:dyDescent="0.4">
      <c r="A313" s="248">
        <v>46013</v>
      </c>
      <c r="B313" s="240" t="s">
        <v>218</v>
      </c>
      <c r="C313" s="256" t="s">
        <v>106</v>
      </c>
      <c r="D313" s="257" t="s">
        <v>107</v>
      </c>
      <c r="E313" s="258"/>
      <c r="F313" s="259">
        <v>2</v>
      </c>
      <c r="G313" s="259">
        <v>333000</v>
      </c>
      <c r="H313" s="259">
        <v>666000</v>
      </c>
      <c r="I313" s="257"/>
      <c r="J313" s="260" t="s">
        <v>212</v>
      </c>
      <c r="K313" s="345">
        <v>46017</v>
      </c>
      <c r="L313" s="258"/>
    </row>
    <row r="314" spans="1:12" ht="18.75" customHeight="1" x14ac:dyDescent="0.4">
      <c r="A314" s="248">
        <v>46013</v>
      </c>
      <c r="B314" s="240" t="s">
        <v>218</v>
      </c>
      <c r="C314" s="256" t="s">
        <v>108</v>
      </c>
      <c r="D314" s="257" t="s">
        <v>109</v>
      </c>
      <c r="E314" s="258"/>
      <c r="F314" s="259">
        <v>2</v>
      </c>
      <c r="G314" s="259">
        <v>150000</v>
      </c>
      <c r="H314" s="259">
        <v>300000</v>
      </c>
      <c r="I314" s="257"/>
      <c r="J314" s="260" t="s">
        <v>212</v>
      </c>
      <c r="K314" s="345">
        <v>46017</v>
      </c>
      <c r="L314" s="258"/>
    </row>
    <row r="315" spans="1:12" ht="19.5" customHeight="1" x14ac:dyDescent="0.4">
      <c r="A315" s="248">
        <v>46013</v>
      </c>
      <c r="B315" s="240" t="s">
        <v>218</v>
      </c>
      <c r="C315" s="256" t="s">
        <v>110</v>
      </c>
      <c r="D315" s="257" t="s">
        <v>111</v>
      </c>
      <c r="E315" s="258"/>
      <c r="F315" s="259">
        <v>1</v>
      </c>
      <c r="G315" s="259">
        <v>102070</v>
      </c>
      <c r="H315" s="259">
        <v>102070</v>
      </c>
      <c r="I315" s="257"/>
      <c r="J315" s="260" t="s">
        <v>212</v>
      </c>
      <c r="K315" s="345">
        <v>46017</v>
      </c>
      <c r="L315" s="258"/>
    </row>
    <row r="316" spans="1:12" ht="19.5" customHeight="1" x14ac:dyDescent="0.4">
      <c r="A316" s="248">
        <v>46013</v>
      </c>
      <c r="B316" s="240" t="s">
        <v>218</v>
      </c>
      <c r="C316" s="256" t="s">
        <v>108</v>
      </c>
      <c r="D316" s="257" t="s">
        <v>112</v>
      </c>
      <c r="E316" s="258"/>
      <c r="F316" s="259">
        <v>2</v>
      </c>
      <c r="G316" s="259">
        <v>150000</v>
      </c>
      <c r="H316" s="259">
        <v>300000</v>
      </c>
      <c r="I316" s="257"/>
      <c r="J316" s="260" t="s">
        <v>212</v>
      </c>
      <c r="K316" s="345">
        <v>46017</v>
      </c>
      <c r="L316" s="258"/>
    </row>
    <row r="317" spans="1:12" ht="19.5" customHeight="1" x14ac:dyDescent="0.4">
      <c r="A317" s="248">
        <v>46013</v>
      </c>
      <c r="B317" s="240" t="s">
        <v>218</v>
      </c>
      <c r="C317" s="256" t="s">
        <v>101</v>
      </c>
      <c r="D317" s="257" t="s">
        <v>102</v>
      </c>
      <c r="E317" s="258"/>
      <c r="F317" s="259">
        <v>2</v>
      </c>
      <c r="G317" s="259">
        <v>71500</v>
      </c>
      <c r="H317" s="259">
        <v>143000</v>
      </c>
      <c r="I317" s="257"/>
      <c r="J317" s="260" t="s">
        <v>212</v>
      </c>
      <c r="K317" s="345">
        <v>46015</v>
      </c>
      <c r="L317" s="258"/>
    </row>
    <row r="318" spans="1:12" ht="19.5" customHeight="1" x14ac:dyDescent="0.4">
      <c r="A318" s="248">
        <v>46013</v>
      </c>
      <c r="B318" s="240" t="s">
        <v>218</v>
      </c>
      <c r="C318" s="256" t="s">
        <v>103</v>
      </c>
      <c r="D318" s="257" t="s">
        <v>104</v>
      </c>
      <c r="E318" s="258"/>
      <c r="F318" s="259">
        <v>1</v>
      </c>
      <c r="G318" s="259">
        <v>220000</v>
      </c>
      <c r="H318" s="259">
        <v>220000</v>
      </c>
      <c r="I318" s="257"/>
      <c r="J318" s="260" t="s">
        <v>212</v>
      </c>
      <c r="K318" s="345">
        <v>46015</v>
      </c>
      <c r="L318" s="258"/>
    </row>
    <row r="319" spans="1:12" ht="19.5" customHeight="1" x14ac:dyDescent="0.4">
      <c r="A319" s="248">
        <v>46013</v>
      </c>
      <c r="B319" s="240" t="s">
        <v>218</v>
      </c>
      <c r="C319" s="256" t="s">
        <v>190</v>
      </c>
      <c r="D319" s="257" t="s">
        <v>214</v>
      </c>
      <c r="E319" s="258"/>
      <c r="F319" s="259">
        <v>2</v>
      </c>
      <c r="G319" s="259">
        <v>181000</v>
      </c>
      <c r="H319" s="259">
        <v>362000</v>
      </c>
      <c r="I319" s="257"/>
      <c r="J319" s="260" t="s">
        <v>212</v>
      </c>
      <c r="K319" s="345">
        <v>46015</v>
      </c>
      <c r="L319" s="258"/>
    </row>
    <row r="320" spans="1:12" ht="19.5" customHeight="1" x14ac:dyDescent="0.4">
      <c r="A320" s="248">
        <v>46013</v>
      </c>
      <c r="B320" s="240" t="s">
        <v>218</v>
      </c>
      <c r="C320" s="256" t="s">
        <v>106</v>
      </c>
      <c r="D320" s="257" t="s">
        <v>107</v>
      </c>
      <c r="E320" s="258"/>
      <c r="F320" s="259">
        <v>2</v>
      </c>
      <c r="G320" s="259">
        <v>333000</v>
      </c>
      <c r="H320" s="259">
        <v>666000</v>
      </c>
      <c r="I320" s="257"/>
      <c r="J320" s="260" t="s">
        <v>212</v>
      </c>
      <c r="K320" s="345">
        <v>46015</v>
      </c>
      <c r="L320" s="258"/>
    </row>
    <row r="321" spans="1:12" ht="19.5" customHeight="1" x14ac:dyDescent="0.4">
      <c r="A321" s="248">
        <v>46013</v>
      </c>
      <c r="B321" s="240" t="s">
        <v>218</v>
      </c>
      <c r="C321" s="256" t="s">
        <v>108</v>
      </c>
      <c r="D321" s="257" t="s">
        <v>109</v>
      </c>
      <c r="E321" s="258"/>
      <c r="F321" s="259">
        <v>2</v>
      </c>
      <c r="G321" s="259">
        <v>150000</v>
      </c>
      <c r="H321" s="259">
        <v>300000</v>
      </c>
      <c r="I321" s="257"/>
      <c r="J321" s="260" t="s">
        <v>212</v>
      </c>
      <c r="K321" s="345">
        <v>46015</v>
      </c>
      <c r="L321" s="258"/>
    </row>
    <row r="322" spans="1:12" ht="19.5" customHeight="1" x14ac:dyDescent="0.4">
      <c r="A322" s="248">
        <v>46013</v>
      </c>
      <c r="B322" s="240" t="s">
        <v>218</v>
      </c>
      <c r="C322" s="256" t="s">
        <v>110</v>
      </c>
      <c r="D322" s="257" t="s">
        <v>111</v>
      </c>
      <c r="E322" s="258"/>
      <c r="F322" s="259">
        <v>1</v>
      </c>
      <c r="G322" s="259">
        <v>102070</v>
      </c>
      <c r="H322" s="259">
        <v>102070</v>
      </c>
      <c r="I322" s="257"/>
      <c r="J322" s="260" t="s">
        <v>212</v>
      </c>
      <c r="K322" s="345">
        <v>46015</v>
      </c>
      <c r="L322" s="258"/>
    </row>
    <row r="323" spans="1:12" ht="19.5" customHeight="1" x14ac:dyDescent="0.4">
      <c r="A323" s="248">
        <v>46013</v>
      </c>
      <c r="B323" s="240" t="s">
        <v>218</v>
      </c>
      <c r="C323" s="256" t="s">
        <v>108</v>
      </c>
      <c r="D323" s="257" t="s">
        <v>112</v>
      </c>
      <c r="E323" s="258"/>
      <c r="F323" s="259">
        <v>2</v>
      </c>
      <c r="G323" s="259">
        <v>150000</v>
      </c>
      <c r="H323" s="259">
        <v>300000</v>
      </c>
      <c r="I323" s="257"/>
      <c r="J323" s="260" t="s">
        <v>212</v>
      </c>
      <c r="K323" s="345">
        <v>46015</v>
      </c>
      <c r="L323" s="258"/>
    </row>
    <row r="324" spans="1:12" ht="19.5" customHeight="1" x14ac:dyDescent="0.4">
      <c r="A324" s="248">
        <v>46013</v>
      </c>
      <c r="B324" s="240" t="s">
        <v>218</v>
      </c>
      <c r="C324" s="256" t="s">
        <v>190</v>
      </c>
      <c r="D324" s="257" t="s">
        <v>214</v>
      </c>
      <c r="E324" s="258"/>
      <c r="F324" s="259">
        <v>2</v>
      </c>
      <c r="G324" s="259">
        <v>181000</v>
      </c>
      <c r="H324" s="259">
        <v>362000</v>
      </c>
      <c r="I324" s="257"/>
      <c r="J324" s="260" t="s">
        <v>213</v>
      </c>
      <c r="K324" s="345">
        <v>46009</v>
      </c>
      <c r="L324" s="258"/>
    </row>
    <row r="325" spans="1:12" ht="19.5" customHeight="1" x14ac:dyDescent="0.4">
      <c r="A325" s="248">
        <v>46013</v>
      </c>
      <c r="B325" s="240" t="s">
        <v>218</v>
      </c>
      <c r="C325" s="256" t="s">
        <v>103</v>
      </c>
      <c r="D325" s="257" t="s">
        <v>414</v>
      </c>
      <c r="E325" s="258"/>
      <c r="F325" s="259">
        <v>1</v>
      </c>
      <c r="G325" s="259">
        <v>235000</v>
      </c>
      <c r="H325" s="259">
        <v>235000</v>
      </c>
      <c r="I325" s="257"/>
      <c r="J325" s="260" t="s">
        <v>213</v>
      </c>
      <c r="K325" s="345">
        <v>46009</v>
      </c>
      <c r="L325" s="258"/>
    </row>
    <row r="326" spans="1:12" ht="19.5" customHeight="1" x14ac:dyDescent="0.4">
      <c r="A326" s="248">
        <v>46013</v>
      </c>
      <c r="B326" s="240" t="s">
        <v>218</v>
      </c>
      <c r="C326" s="256" t="s">
        <v>103</v>
      </c>
      <c r="D326" s="257" t="s">
        <v>415</v>
      </c>
      <c r="E326" s="258"/>
      <c r="F326" s="259">
        <v>1</v>
      </c>
      <c r="G326" s="259">
        <v>225000</v>
      </c>
      <c r="H326" s="259">
        <v>225000</v>
      </c>
      <c r="I326" s="257"/>
      <c r="J326" s="260" t="s">
        <v>213</v>
      </c>
      <c r="K326" s="345">
        <v>46009</v>
      </c>
      <c r="L326" s="258"/>
    </row>
    <row r="327" spans="1:12" ht="19.5" customHeight="1" x14ac:dyDescent="0.4">
      <c r="A327" s="248">
        <v>46013</v>
      </c>
      <c r="B327" s="240" t="s">
        <v>218</v>
      </c>
      <c r="C327" s="256" t="s">
        <v>106</v>
      </c>
      <c r="D327" s="257" t="s">
        <v>107</v>
      </c>
      <c r="E327" s="258"/>
      <c r="F327" s="259">
        <v>2</v>
      </c>
      <c r="G327" s="256">
        <v>333000</v>
      </c>
      <c r="H327" s="259">
        <v>666000</v>
      </c>
      <c r="I327" s="257"/>
      <c r="J327" s="260" t="s">
        <v>213</v>
      </c>
      <c r="K327" s="345">
        <v>46009</v>
      </c>
      <c r="L327" s="258"/>
    </row>
    <row r="328" spans="1:12" ht="19.5" customHeight="1" x14ac:dyDescent="0.4">
      <c r="A328" s="248">
        <v>46013</v>
      </c>
      <c r="B328" s="240" t="s">
        <v>218</v>
      </c>
      <c r="C328" s="256" t="s">
        <v>110</v>
      </c>
      <c r="D328" s="257" t="s">
        <v>111</v>
      </c>
      <c r="E328" s="258"/>
      <c r="F328" s="259">
        <v>1</v>
      </c>
      <c r="G328" s="259">
        <v>102070</v>
      </c>
      <c r="H328" s="259">
        <v>102070</v>
      </c>
      <c r="I328" s="257"/>
      <c r="J328" s="260" t="s">
        <v>213</v>
      </c>
      <c r="K328" s="345">
        <v>46009</v>
      </c>
      <c r="L328" s="258"/>
    </row>
    <row r="329" spans="1:12" ht="19.5" customHeight="1" x14ac:dyDescent="0.4">
      <c r="A329" s="248">
        <v>46014</v>
      </c>
      <c r="B329" s="240" t="s">
        <v>218</v>
      </c>
      <c r="C329" s="256" t="s">
        <v>81</v>
      </c>
      <c r="D329" s="257" t="s">
        <v>82</v>
      </c>
      <c r="E329" s="258"/>
      <c r="F329" s="259">
        <v>3</v>
      </c>
      <c r="G329" s="259">
        <v>86300</v>
      </c>
      <c r="H329" s="259">
        <v>258900</v>
      </c>
      <c r="I329" s="257"/>
      <c r="J329" s="260" t="s">
        <v>570</v>
      </c>
      <c r="K329" s="345">
        <v>46001</v>
      </c>
      <c r="L329" s="258"/>
    </row>
    <row r="330" spans="1:12" ht="19.5" customHeight="1" x14ac:dyDescent="0.4">
      <c r="A330" s="248">
        <v>46014</v>
      </c>
      <c r="B330" s="240" t="s">
        <v>218</v>
      </c>
      <c r="C330" s="256" t="s">
        <v>693</v>
      </c>
      <c r="D330" s="257" t="s">
        <v>694</v>
      </c>
      <c r="E330" s="258"/>
      <c r="F330" s="259">
        <v>1</v>
      </c>
      <c r="G330" s="256">
        <v>108000000</v>
      </c>
      <c r="H330" s="273">
        <v>108000000</v>
      </c>
      <c r="I330" s="257"/>
      <c r="J330" s="260" t="s">
        <v>709</v>
      </c>
      <c r="K330" s="345">
        <v>46017</v>
      </c>
      <c r="L330" s="258"/>
    </row>
    <row r="331" spans="1:12" ht="19.5" customHeight="1" x14ac:dyDescent="0.4">
      <c r="A331" s="248">
        <v>46014</v>
      </c>
      <c r="B331" s="240" t="s">
        <v>218</v>
      </c>
      <c r="C331" s="256" t="s">
        <v>696</v>
      </c>
      <c r="D331" s="257" t="s">
        <v>697</v>
      </c>
      <c r="E331" s="258"/>
      <c r="F331" s="259">
        <v>1</v>
      </c>
      <c r="G331" s="256">
        <v>26400000</v>
      </c>
      <c r="H331" s="273">
        <v>26400000</v>
      </c>
      <c r="I331" s="257"/>
      <c r="J331" s="260" t="s">
        <v>695</v>
      </c>
      <c r="K331" s="345">
        <v>46017</v>
      </c>
      <c r="L331" s="258"/>
    </row>
    <row r="332" spans="1:12" ht="19.5" customHeight="1" x14ac:dyDescent="0.4">
      <c r="A332" s="248">
        <v>46014</v>
      </c>
      <c r="B332" s="240" t="s">
        <v>218</v>
      </c>
      <c r="C332" s="256" t="s">
        <v>698</v>
      </c>
      <c r="D332" s="257" t="s">
        <v>699</v>
      </c>
      <c r="E332" s="258"/>
      <c r="F332" s="259">
        <v>1</v>
      </c>
      <c r="G332" s="256">
        <v>22500000</v>
      </c>
      <c r="H332" s="273">
        <v>22500000</v>
      </c>
      <c r="I332" s="257"/>
      <c r="J332" s="260" t="s">
        <v>695</v>
      </c>
      <c r="K332" s="345">
        <v>46017</v>
      </c>
      <c r="L332" s="258"/>
    </row>
    <row r="333" spans="1:12" ht="19.5" customHeight="1" x14ac:dyDescent="0.4">
      <c r="A333" s="248">
        <v>46014</v>
      </c>
      <c r="B333" s="240" t="s">
        <v>218</v>
      </c>
      <c r="C333" s="259" t="s">
        <v>700</v>
      </c>
      <c r="D333" s="257" t="s">
        <v>701</v>
      </c>
      <c r="E333" s="258"/>
      <c r="F333" s="259">
        <v>1</v>
      </c>
      <c r="G333" s="259">
        <v>23200000</v>
      </c>
      <c r="H333" s="273">
        <v>23200000</v>
      </c>
      <c r="I333" s="257"/>
      <c r="J333" s="260" t="s">
        <v>695</v>
      </c>
      <c r="K333" s="345">
        <v>46017</v>
      </c>
      <c r="L333" s="258"/>
    </row>
    <row r="334" spans="1:12" ht="19.5" customHeight="1" x14ac:dyDescent="0.4">
      <c r="A334" s="248">
        <v>46014</v>
      </c>
      <c r="B334" s="240" t="s">
        <v>218</v>
      </c>
      <c r="C334" s="259" t="s">
        <v>702</v>
      </c>
      <c r="D334" s="257" t="s">
        <v>703</v>
      </c>
      <c r="E334" s="258"/>
      <c r="F334" s="259">
        <v>1</v>
      </c>
      <c r="G334" s="259">
        <v>19900000</v>
      </c>
      <c r="H334" s="273">
        <v>19900000</v>
      </c>
      <c r="I334" s="257"/>
      <c r="J334" s="260" t="s">
        <v>695</v>
      </c>
      <c r="K334" s="345">
        <v>46017</v>
      </c>
      <c r="L334" s="258"/>
    </row>
    <row r="335" spans="1:12" ht="19.5" customHeight="1" x14ac:dyDescent="0.4">
      <c r="A335" s="248">
        <v>46014</v>
      </c>
      <c r="B335" s="240" t="s">
        <v>218</v>
      </c>
      <c r="C335" s="259" t="s">
        <v>704</v>
      </c>
      <c r="D335" s="257" t="s">
        <v>705</v>
      </c>
      <c r="E335" s="258"/>
      <c r="F335" s="259">
        <v>1</v>
      </c>
      <c r="G335" s="259">
        <v>220000000</v>
      </c>
      <c r="H335" s="259">
        <v>220000000</v>
      </c>
      <c r="I335" s="257"/>
      <c r="J335" s="260" t="s">
        <v>710</v>
      </c>
      <c r="K335" s="345">
        <v>46016</v>
      </c>
      <c r="L335" s="258"/>
    </row>
    <row r="336" spans="1:12" ht="19.5" customHeight="1" x14ac:dyDescent="0.4">
      <c r="A336" s="248">
        <v>46372</v>
      </c>
      <c r="B336" s="240" t="s">
        <v>218</v>
      </c>
      <c r="C336" s="259" t="s">
        <v>708</v>
      </c>
      <c r="D336" s="257"/>
      <c r="E336" s="258"/>
      <c r="F336" s="259"/>
      <c r="G336" s="259">
        <v>10000000</v>
      </c>
      <c r="H336" s="259">
        <v>10000000</v>
      </c>
      <c r="I336" s="257"/>
      <c r="J336" s="260"/>
      <c r="K336" s="345"/>
      <c r="L336" s="258"/>
    </row>
    <row r="337" spans="1:12" ht="19.5" customHeight="1" x14ac:dyDescent="0.4">
      <c r="A337" s="248">
        <v>46014</v>
      </c>
      <c r="B337" s="240" t="s">
        <v>218</v>
      </c>
      <c r="C337" s="259" t="s">
        <v>452</v>
      </c>
      <c r="D337" s="257" t="s">
        <v>453</v>
      </c>
      <c r="E337" s="258"/>
      <c r="F337" s="259">
        <v>4</v>
      </c>
      <c r="G337" s="259">
        <v>8000000</v>
      </c>
      <c r="H337" s="259">
        <v>32000000</v>
      </c>
      <c r="I337" s="257"/>
      <c r="J337" s="260" t="s">
        <v>619</v>
      </c>
      <c r="K337" s="345">
        <v>45996</v>
      </c>
      <c r="L337" s="258"/>
    </row>
    <row r="338" spans="1:12" ht="19.5" customHeight="1" x14ac:dyDescent="0.4">
      <c r="A338" s="248">
        <v>46014</v>
      </c>
      <c r="B338" s="240" t="s">
        <v>218</v>
      </c>
      <c r="C338" s="259" t="s">
        <v>358</v>
      </c>
      <c r="D338" s="257" t="s">
        <v>359</v>
      </c>
      <c r="E338" s="258"/>
      <c r="F338" s="259">
        <v>3</v>
      </c>
      <c r="G338" s="259">
        <v>318000</v>
      </c>
      <c r="H338" s="259">
        <v>954000</v>
      </c>
      <c r="I338" s="257"/>
      <c r="J338" s="260" t="s">
        <v>70</v>
      </c>
      <c r="K338" s="345">
        <v>46010</v>
      </c>
      <c r="L338" s="258"/>
    </row>
    <row r="339" spans="1:12" ht="19.5" customHeight="1" x14ac:dyDescent="0.4">
      <c r="A339" s="248">
        <v>46014</v>
      </c>
      <c r="B339" s="240" t="s">
        <v>218</v>
      </c>
      <c r="C339" s="259" t="s">
        <v>103</v>
      </c>
      <c r="D339" s="257" t="s">
        <v>454</v>
      </c>
      <c r="E339" s="258"/>
      <c r="F339" s="259">
        <v>1</v>
      </c>
      <c r="G339" s="259">
        <v>127000</v>
      </c>
      <c r="H339" s="259">
        <v>127000</v>
      </c>
      <c r="I339" s="257"/>
      <c r="J339" s="260" t="s">
        <v>70</v>
      </c>
      <c r="K339" s="345">
        <v>46010</v>
      </c>
      <c r="L339" s="258"/>
    </row>
    <row r="340" spans="1:12" ht="19.5" customHeight="1" x14ac:dyDescent="0.4">
      <c r="A340" s="248">
        <v>46014</v>
      </c>
      <c r="B340" s="240" t="s">
        <v>218</v>
      </c>
      <c r="C340" s="259" t="s">
        <v>290</v>
      </c>
      <c r="D340" s="257" t="s">
        <v>291</v>
      </c>
      <c r="E340" s="258"/>
      <c r="F340" s="259">
        <v>1</v>
      </c>
      <c r="G340" s="259">
        <v>129000</v>
      </c>
      <c r="H340" s="259">
        <v>129000</v>
      </c>
      <c r="I340" s="257"/>
      <c r="J340" s="260" t="s">
        <v>215</v>
      </c>
      <c r="K340" s="345">
        <v>46017</v>
      </c>
      <c r="L340" s="258"/>
    </row>
    <row r="341" spans="1:12" ht="19.5" customHeight="1" x14ac:dyDescent="0.4">
      <c r="A341" s="248">
        <v>46014</v>
      </c>
      <c r="B341" s="240" t="s">
        <v>218</v>
      </c>
      <c r="C341" s="259" t="s">
        <v>380</v>
      </c>
      <c r="D341" s="257" t="s">
        <v>504</v>
      </c>
      <c r="E341" s="258"/>
      <c r="F341" s="259">
        <v>2</v>
      </c>
      <c r="G341" s="259">
        <v>37700</v>
      </c>
      <c r="H341" s="259">
        <v>75400</v>
      </c>
      <c r="I341" s="257"/>
      <c r="J341" s="260" t="s">
        <v>70</v>
      </c>
      <c r="K341" s="345">
        <v>46021</v>
      </c>
      <c r="L341" s="258"/>
    </row>
    <row r="342" spans="1:12" ht="19.5" customHeight="1" x14ac:dyDescent="0.4">
      <c r="A342" s="248">
        <v>46014</v>
      </c>
      <c r="B342" s="240" t="s">
        <v>218</v>
      </c>
      <c r="C342" s="259" t="s">
        <v>32</v>
      </c>
      <c r="D342" s="257" t="s">
        <v>451</v>
      </c>
      <c r="E342" s="258"/>
      <c r="F342" s="259">
        <v>2</v>
      </c>
      <c r="G342" s="259">
        <v>58300</v>
      </c>
      <c r="H342" s="259">
        <v>116600</v>
      </c>
      <c r="I342" s="257"/>
      <c r="J342" s="260" t="s">
        <v>70</v>
      </c>
      <c r="K342" s="345">
        <v>46021</v>
      </c>
      <c r="L342" s="258"/>
    </row>
    <row r="343" spans="1:12" ht="19.5" customHeight="1" x14ac:dyDescent="0.4">
      <c r="A343" s="248">
        <v>46014</v>
      </c>
      <c r="B343" s="240" t="s">
        <v>218</v>
      </c>
      <c r="C343" s="259" t="s">
        <v>297</v>
      </c>
      <c r="D343" s="257" t="s">
        <v>298</v>
      </c>
      <c r="E343" s="258"/>
      <c r="F343" s="259">
        <v>1</v>
      </c>
      <c r="G343" s="259">
        <v>222000</v>
      </c>
      <c r="H343" s="259">
        <v>222000</v>
      </c>
      <c r="I343" s="257"/>
      <c r="J343" s="260" t="s">
        <v>70</v>
      </c>
      <c r="K343" s="345">
        <v>46021</v>
      </c>
      <c r="L343" s="258"/>
    </row>
    <row r="344" spans="1:12" ht="19.5" customHeight="1" x14ac:dyDescent="0.4">
      <c r="A344" s="248">
        <v>46014</v>
      </c>
      <c r="B344" s="240" t="s">
        <v>218</v>
      </c>
      <c r="C344" s="259" t="s">
        <v>192</v>
      </c>
      <c r="D344" s="257" t="s">
        <v>193</v>
      </c>
      <c r="E344" s="258"/>
      <c r="F344" s="259">
        <v>2</v>
      </c>
      <c r="G344" s="259">
        <v>218000</v>
      </c>
      <c r="H344" s="259">
        <v>436000</v>
      </c>
      <c r="I344" s="257"/>
      <c r="J344" s="260" t="s">
        <v>70</v>
      </c>
      <c r="K344" s="345">
        <v>46021</v>
      </c>
      <c r="L344" s="258"/>
    </row>
    <row r="345" spans="1:12" ht="19.5" customHeight="1" x14ac:dyDescent="0.4">
      <c r="A345" s="248">
        <v>46014</v>
      </c>
      <c r="B345" s="240" t="s">
        <v>218</v>
      </c>
      <c r="C345" s="259" t="s">
        <v>115</v>
      </c>
      <c r="D345" s="257" t="s">
        <v>194</v>
      </c>
      <c r="E345" s="258"/>
      <c r="F345" s="259">
        <v>1</v>
      </c>
      <c r="G345" s="259">
        <v>158000</v>
      </c>
      <c r="H345" s="259">
        <v>158000</v>
      </c>
      <c r="I345" s="257"/>
      <c r="J345" s="260" t="s">
        <v>70</v>
      </c>
      <c r="K345" s="345">
        <v>46021</v>
      </c>
      <c r="L345" s="258"/>
    </row>
    <row r="346" spans="1:12" ht="19.5" customHeight="1" x14ac:dyDescent="0.4">
      <c r="A346" s="248">
        <v>46014</v>
      </c>
      <c r="B346" s="240" t="s">
        <v>218</v>
      </c>
      <c r="C346" s="259" t="s">
        <v>32</v>
      </c>
      <c r="D346" s="257" t="s">
        <v>455</v>
      </c>
      <c r="E346" s="258"/>
      <c r="F346" s="259">
        <v>1</v>
      </c>
      <c r="G346" s="259">
        <v>32000</v>
      </c>
      <c r="H346" s="259">
        <v>32000</v>
      </c>
      <c r="I346" s="257"/>
      <c r="J346" s="260" t="s">
        <v>70</v>
      </c>
      <c r="K346" s="345">
        <v>46021</v>
      </c>
      <c r="L346" s="258"/>
    </row>
    <row r="347" spans="1:12" ht="19.5" customHeight="1" x14ac:dyDescent="0.4">
      <c r="A347" s="248">
        <v>46014</v>
      </c>
      <c r="B347" s="240" t="s">
        <v>218</v>
      </c>
      <c r="C347" s="259" t="s">
        <v>416</v>
      </c>
      <c r="D347" s="257" t="s">
        <v>417</v>
      </c>
      <c r="E347" s="258"/>
      <c r="F347" s="259">
        <v>2</v>
      </c>
      <c r="G347" s="259">
        <v>251000</v>
      </c>
      <c r="H347" s="259">
        <v>502000</v>
      </c>
      <c r="I347" s="257"/>
      <c r="J347" s="260" t="s">
        <v>70</v>
      </c>
      <c r="K347" s="345">
        <v>46006</v>
      </c>
      <c r="L347" s="258"/>
    </row>
    <row r="348" spans="1:12" ht="19.5" customHeight="1" x14ac:dyDescent="0.4">
      <c r="A348" s="248">
        <v>46014</v>
      </c>
      <c r="B348" s="240" t="s">
        <v>218</v>
      </c>
      <c r="C348" s="259" t="s">
        <v>115</v>
      </c>
      <c r="D348" s="257" t="s">
        <v>116</v>
      </c>
      <c r="E348" s="258"/>
      <c r="F348" s="259">
        <v>3</v>
      </c>
      <c r="G348" s="259">
        <v>187000</v>
      </c>
      <c r="H348" s="259">
        <v>561000</v>
      </c>
      <c r="I348" s="257"/>
      <c r="J348" s="260" t="s">
        <v>70</v>
      </c>
      <c r="K348" s="345">
        <v>46001</v>
      </c>
      <c r="L348" s="258"/>
    </row>
    <row r="349" spans="1:12" ht="19.5" customHeight="1" x14ac:dyDescent="0.4">
      <c r="A349" s="248">
        <v>46017</v>
      </c>
      <c r="B349" s="240" t="s">
        <v>218</v>
      </c>
      <c r="C349" s="259" t="s">
        <v>71</v>
      </c>
      <c r="D349" s="257" t="s">
        <v>287</v>
      </c>
      <c r="E349" s="258"/>
      <c r="F349" s="259">
        <v>3</v>
      </c>
      <c r="G349" s="259">
        <v>520600</v>
      </c>
      <c r="H349" s="259">
        <v>1561800</v>
      </c>
      <c r="I349" s="257"/>
      <c r="J349" s="260" t="s">
        <v>525</v>
      </c>
      <c r="K349" s="345">
        <v>45959</v>
      </c>
      <c r="L349" s="258"/>
    </row>
    <row r="350" spans="1:12" ht="19.5" customHeight="1" x14ac:dyDescent="0.4">
      <c r="A350" s="248">
        <v>46017</v>
      </c>
      <c r="B350" s="240" t="s">
        <v>218</v>
      </c>
      <c r="C350" s="259" t="s">
        <v>81</v>
      </c>
      <c r="D350" s="257" t="s">
        <v>196</v>
      </c>
      <c r="E350" s="258"/>
      <c r="F350" s="259">
        <v>12</v>
      </c>
      <c r="G350" s="259">
        <v>78850</v>
      </c>
      <c r="H350" s="259">
        <v>946200</v>
      </c>
      <c r="I350" s="257"/>
      <c r="J350" s="260" t="s">
        <v>525</v>
      </c>
      <c r="K350" s="345">
        <v>45959</v>
      </c>
      <c r="L350" s="258"/>
    </row>
    <row r="351" spans="1:12" ht="19.5" customHeight="1" x14ac:dyDescent="0.4">
      <c r="A351" s="248">
        <v>46017</v>
      </c>
      <c r="B351" s="240" t="s">
        <v>218</v>
      </c>
      <c r="C351" s="259" t="s">
        <v>67</v>
      </c>
      <c r="D351" s="257" t="s">
        <v>80</v>
      </c>
      <c r="E351" s="258"/>
      <c r="F351" s="259">
        <v>14</v>
      </c>
      <c r="G351" s="259">
        <v>384000</v>
      </c>
      <c r="H351" s="259">
        <v>5376000</v>
      </c>
      <c r="I351" s="257"/>
      <c r="J351" s="260" t="s">
        <v>561</v>
      </c>
      <c r="K351" s="345">
        <v>45980</v>
      </c>
      <c r="L351" s="258"/>
    </row>
    <row r="352" spans="1:12" ht="19.5" customHeight="1" x14ac:dyDescent="0.4">
      <c r="A352" s="248">
        <v>46017</v>
      </c>
      <c r="B352" s="240" t="s">
        <v>218</v>
      </c>
      <c r="C352" s="259" t="s">
        <v>202</v>
      </c>
      <c r="D352" s="257" t="s">
        <v>203</v>
      </c>
      <c r="E352" s="258"/>
      <c r="F352" s="259">
        <v>8</v>
      </c>
      <c r="G352" s="259">
        <v>384000</v>
      </c>
      <c r="H352" s="259">
        <v>3072000</v>
      </c>
      <c r="I352" s="257"/>
      <c r="J352" s="260" t="s">
        <v>524</v>
      </c>
      <c r="K352" s="345">
        <v>45966</v>
      </c>
      <c r="L352" s="258"/>
    </row>
    <row r="353" spans="1:12" ht="19.5" customHeight="1" x14ac:dyDescent="0.4">
      <c r="A353" s="248">
        <v>46017</v>
      </c>
      <c r="B353" s="240" t="s">
        <v>218</v>
      </c>
      <c r="C353" s="259" t="s">
        <v>81</v>
      </c>
      <c r="D353" s="257" t="s">
        <v>82</v>
      </c>
      <c r="E353" s="258"/>
      <c r="F353" s="259">
        <v>13</v>
      </c>
      <c r="G353" s="259">
        <v>86300</v>
      </c>
      <c r="H353" s="259">
        <v>1121900</v>
      </c>
      <c r="I353" s="257"/>
      <c r="J353" s="260" t="s">
        <v>569</v>
      </c>
      <c r="K353" s="345">
        <v>46008</v>
      </c>
      <c r="L353" s="258"/>
    </row>
    <row r="354" spans="1:12" ht="19.5" customHeight="1" x14ac:dyDescent="0.4">
      <c r="A354" s="248">
        <v>46017</v>
      </c>
      <c r="B354" s="240" t="s">
        <v>218</v>
      </c>
      <c r="C354" s="259" t="s">
        <v>81</v>
      </c>
      <c r="D354" s="257" t="s">
        <v>82</v>
      </c>
      <c r="E354" s="258"/>
      <c r="F354" s="259">
        <v>10</v>
      </c>
      <c r="G354" s="259">
        <v>86300</v>
      </c>
      <c r="H354" s="259">
        <v>863000</v>
      </c>
      <c r="I354" s="257"/>
      <c r="J354" s="260" t="s">
        <v>564</v>
      </c>
      <c r="K354" s="345">
        <v>45994</v>
      </c>
      <c r="L354" s="258"/>
    </row>
    <row r="355" spans="1:12" ht="19.5" customHeight="1" x14ac:dyDescent="0.4">
      <c r="A355" s="248">
        <v>46017</v>
      </c>
      <c r="B355" s="240" t="s">
        <v>218</v>
      </c>
      <c r="C355" s="259" t="s">
        <v>81</v>
      </c>
      <c r="D355" s="257" t="s">
        <v>82</v>
      </c>
      <c r="E355" s="258"/>
      <c r="F355" s="259">
        <v>5</v>
      </c>
      <c r="G355" s="259">
        <v>86300</v>
      </c>
      <c r="H355" s="259">
        <v>431500</v>
      </c>
      <c r="I355" s="257"/>
      <c r="J355" s="260" t="s">
        <v>567</v>
      </c>
      <c r="K355" s="345">
        <v>46001</v>
      </c>
      <c r="L355" s="258"/>
    </row>
    <row r="356" spans="1:12" ht="19.5" customHeight="1" x14ac:dyDescent="0.4">
      <c r="A356" s="248">
        <v>46017</v>
      </c>
      <c r="B356" s="240" t="s">
        <v>218</v>
      </c>
      <c r="C356" s="259" t="s">
        <v>290</v>
      </c>
      <c r="D356" s="257" t="s">
        <v>291</v>
      </c>
      <c r="E356" s="258"/>
      <c r="F356" s="259">
        <v>8</v>
      </c>
      <c r="G356" s="259">
        <v>129000</v>
      </c>
      <c r="H356" s="259">
        <v>1032000</v>
      </c>
      <c r="I356" s="257"/>
      <c r="J356" s="260" t="s">
        <v>70</v>
      </c>
      <c r="K356" s="345">
        <v>46024</v>
      </c>
      <c r="L356" s="258"/>
    </row>
    <row r="357" spans="1:12" ht="19.5" customHeight="1" x14ac:dyDescent="0.4">
      <c r="A357" s="248">
        <v>46020</v>
      </c>
      <c r="B357" s="240" t="s">
        <v>218</v>
      </c>
      <c r="C357" s="259" t="s">
        <v>105</v>
      </c>
      <c r="D357" s="257" t="s">
        <v>117</v>
      </c>
      <c r="E357" s="258"/>
      <c r="F357" s="259">
        <v>3</v>
      </c>
      <c r="G357" s="259">
        <v>248000</v>
      </c>
      <c r="H357" s="259">
        <v>744000</v>
      </c>
      <c r="I357" s="257"/>
      <c r="J357" s="260" t="s">
        <v>570</v>
      </c>
      <c r="K357" s="345">
        <v>46001</v>
      </c>
      <c r="L357" s="258"/>
    </row>
    <row r="358" spans="1:12" ht="19.5" customHeight="1" x14ac:dyDescent="0.4">
      <c r="A358" s="248">
        <v>46020</v>
      </c>
      <c r="B358" s="240" t="s">
        <v>218</v>
      </c>
      <c r="C358" s="259" t="s">
        <v>105</v>
      </c>
      <c r="D358" s="257" t="s">
        <v>117</v>
      </c>
      <c r="E358" s="258"/>
      <c r="F358" s="259">
        <v>10</v>
      </c>
      <c r="G358" s="259">
        <v>248000</v>
      </c>
      <c r="H358" s="259">
        <v>2480000</v>
      </c>
      <c r="I358" s="257"/>
      <c r="J358" s="260" t="s">
        <v>561</v>
      </c>
      <c r="K358" s="345">
        <v>45980</v>
      </c>
      <c r="L358" s="258"/>
    </row>
    <row r="359" spans="1:12" ht="19.5" customHeight="1" x14ac:dyDescent="0.4">
      <c r="A359" s="248">
        <v>46020</v>
      </c>
      <c r="B359" s="240" t="s">
        <v>218</v>
      </c>
      <c r="C359" s="259" t="s">
        <v>78</v>
      </c>
      <c r="D359" s="257" t="s">
        <v>79</v>
      </c>
      <c r="E359" s="258"/>
      <c r="F359" s="259">
        <v>13</v>
      </c>
      <c r="G359" s="259">
        <v>90500</v>
      </c>
      <c r="H359" s="259">
        <v>1176500</v>
      </c>
      <c r="I359" s="257"/>
      <c r="J359" s="260" t="s">
        <v>568</v>
      </c>
      <c r="K359" s="345">
        <v>46024</v>
      </c>
      <c r="L359" s="258"/>
    </row>
    <row r="360" spans="1:12" ht="19.5" customHeight="1" x14ac:dyDescent="0.4">
      <c r="A360" s="248">
        <v>46020</v>
      </c>
      <c r="B360" s="240" t="s">
        <v>218</v>
      </c>
      <c r="C360" s="259" t="s">
        <v>71</v>
      </c>
      <c r="D360" s="257" t="s">
        <v>72</v>
      </c>
      <c r="E360" s="258"/>
      <c r="F360" s="259">
        <v>3</v>
      </c>
      <c r="G360" s="259">
        <v>548000</v>
      </c>
      <c r="H360" s="259">
        <v>1644000</v>
      </c>
      <c r="I360" s="257"/>
      <c r="J360" s="260" t="s">
        <v>568</v>
      </c>
      <c r="K360" s="345">
        <v>46024</v>
      </c>
      <c r="L360" s="258"/>
    </row>
    <row r="361" spans="1:12" ht="19.5" customHeight="1" x14ac:dyDescent="0.4">
      <c r="A361" s="248">
        <v>46020</v>
      </c>
      <c r="B361" s="240" t="s">
        <v>218</v>
      </c>
      <c r="C361" s="259" t="s">
        <v>63</v>
      </c>
      <c r="D361" s="257" t="s">
        <v>97</v>
      </c>
      <c r="E361" s="258"/>
      <c r="F361" s="259">
        <v>13</v>
      </c>
      <c r="G361" s="259">
        <v>137000</v>
      </c>
      <c r="H361" s="259">
        <v>1781000</v>
      </c>
      <c r="I361" s="257"/>
      <c r="J361" s="260" t="s">
        <v>568</v>
      </c>
      <c r="K361" s="345">
        <v>46024</v>
      </c>
      <c r="L361" s="258"/>
    </row>
    <row r="362" spans="1:12" ht="19.5" customHeight="1" x14ac:dyDescent="0.4">
      <c r="A362" s="248">
        <v>46020</v>
      </c>
      <c r="B362" s="240" t="s">
        <v>218</v>
      </c>
      <c r="C362" s="259" t="s">
        <v>81</v>
      </c>
      <c r="D362" s="257" t="s">
        <v>82</v>
      </c>
      <c r="E362" s="258"/>
      <c r="F362" s="259">
        <v>13</v>
      </c>
      <c r="G362" s="259">
        <v>86300</v>
      </c>
      <c r="H362" s="259">
        <v>1121900</v>
      </c>
      <c r="I362" s="257"/>
      <c r="J362" s="260" t="s">
        <v>568</v>
      </c>
      <c r="K362" s="345">
        <v>46024</v>
      </c>
      <c r="L362" s="262"/>
    </row>
    <row r="363" spans="1:12" ht="19.5" customHeight="1" x14ac:dyDescent="0.4">
      <c r="A363" s="248">
        <v>46020</v>
      </c>
      <c r="B363" s="240" t="s">
        <v>218</v>
      </c>
      <c r="C363" s="259" t="s">
        <v>105</v>
      </c>
      <c r="D363" s="257" t="s">
        <v>117</v>
      </c>
      <c r="E363" s="258"/>
      <c r="F363" s="259">
        <v>10</v>
      </c>
      <c r="G363" s="259">
        <v>248000</v>
      </c>
      <c r="H363" s="259">
        <v>2480000</v>
      </c>
      <c r="I363" s="257"/>
      <c r="J363" s="260" t="s">
        <v>564</v>
      </c>
      <c r="K363" s="345">
        <v>45994</v>
      </c>
      <c r="L363" s="258"/>
    </row>
    <row r="364" spans="1:12" ht="19.5" customHeight="1" x14ac:dyDescent="0.4">
      <c r="A364" s="248">
        <v>46020</v>
      </c>
      <c r="B364" s="240" t="s">
        <v>218</v>
      </c>
      <c r="C364" s="259" t="s">
        <v>105</v>
      </c>
      <c r="D364" s="257" t="s">
        <v>117</v>
      </c>
      <c r="E364" s="258"/>
      <c r="F364" s="259">
        <v>5</v>
      </c>
      <c r="G364" s="259">
        <v>248000</v>
      </c>
      <c r="H364" s="259">
        <v>1240000</v>
      </c>
      <c r="I364" s="257"/>
      <c r="J364" s="260" t="s">
        <v>567</v>
      </c>
      <c r="K364" s="345">
        <v>46001</v>
      </c>
      <c r="L364" s="258"/>
    </row>
    <row r="365" spans="1:12" ht="19.5" customHeight="1" x14ac:dyDescent="0.4">
      <c r="A365" s="248">
        <v>46020</v>
      </c>
      <c r="B365" s="240" t="s">
        <v>218</v>
      </c>
      <c r="C365" s="259" t="s">
        <v>105</v>
      </c>
      <c r="D365" s="257" t="s">
        <v>117</v>
      </c>
      <c r="E365" s="258"/>
      <c r="F365" s="259">
        <v>13</v>
      </c>
      <c r="G365" s="259">
        <v>248000</v>
      </c>
      <c r="H365" s="259">
        <v>3224000</v>
      </c>
      <c r="I365" s="257"/>
      <c r="J365" s="260" t="s">
        <v>568</v>
      </c>
      <c r="K365" s="345">
        <v>46024</v>
      </c>
      <c r="L365" s="258"/>
    </row>
    <row r="366" spans="1:12" ht="19.5" customHeight="1" x14ac:dyDescent="0.4">
      <c r="A366" s="248">
        <v>46020</v>
      </c>
      <c r="B366" s="240" t="s">
        <v>218</v>
      </c>
      <c r="C366" s="259" t="s">
        <v>105</v>
      </c>
      <c r="D366" s="257" t="s">
        <v>117</v>
      </c>
      <c r="E366" s="258"/>
      <c r="F366" s="259">
        <v>13</v>
      </c>
      <c r="G366" s="259">
        <v>248000</v>
      </c>
      <c r="H366" s="259">
        <v>3224000</v>
      </c>
      <c r="I366" s="257"/>
      <c r="J366" s="260" t="s">
        <v>569</v>
      </c>
      <c r="K366" s="345">
        <v>46008</v>
      </c>
      <c r="L366" s="258"/>
    </row>
    <row r="367" spans="1:12" ht="19.5" customHeight="1" x14ac:dyDescent="0.4">
      <c r="A367" s="248">
        <v>46020</v>
      </c>
      <c r="B367" s="240" t="s">
        <v>218</v>
      </c>
      <c r="C367" s="259" t="s">
        <v>64</v>
      </c>
      <c r="D367" s="257" t="s">
        <v>65</v>
      </c>
      <c r="E367" s="258"/>
      <c r="F367" s="259">
        <v>11</v>
      </c>
      <c r="G367" s="259">
        <v>1568700</v>
      </c>
      <c r="H367" s="259">
        <v>17255700</v>
      </c>
      <c r="I367" s="257"/>
      <c r="J367" s="260" t="s">
        <v>561</v>
      </c>
      <c r="K367" s="345">
        <v>45980</v>
      </c>
      <c r="L367" s="258"/>
    </row>
    <row r="368" spans="1:12" ht="19.5" customHeight="1" x14ac:dyDescent="0.4">
      <c r="A368" s="248">
        <v>46020</v>
      </c>
      <c r="B368" s="240" t="s">
        <v>218</v>
      </c>
      <c r="C368" s="259" t="s">
        <v>64</v>
      </c>
      <c r="D368" s="257" t="s">
        <v>65</v>
      </c>
      <c r="E368" s="258"/>
      <c r="F368" s="259">
        <v>10</v>
      </c>
      <c r="G368" s="259">
        <v>1568700</v>
      </c>
      <c r="H368" s="259">
        <v>15687000</v>
      </c>
      <c r="I368" s="257"/>
      <c r="J368" s="260" t="s">
        <v>564</v>
      </c>
      <c r="K368" s="345">
        <v>45994</v>
      </c>
      <c r="L368" s="258"/>
    </row>
    <row r="369" spans="1:12" ht="19.5" customHeight="1" x14ac:dyDescent="0.4">
      <c r="A369" s="248">
        <v>46020</v>
      </c>
      <c r="B369" s="240" t="s">
        <v>218</v>
      </c>
      <c r="C369" s="259" t="s">
        <v>64</v>
      </c>
      <c r="D369" s="257" t="s">
        <v>65</v>
      </c>
      <c r="E369" s="258"/>
      <c r="F369" s="259">
        <v>5</v>
      </c>
      <c r="G369" s="259">
        <v>1568700</v>
      </c>
      <c r="H369" s="259">
        <v>7843500</v>
      </c>
      <c r="I369" s="257"/>
      <c r="J369" s="260" t="s">
        <v>567</v>
      </c>
      <c r="K369" s="345">
        <v>46001</v>
      </c>
      <c r="L369" s="258"/>
    </row>
    <row r="370" spans="1:12" ht="19.5" customHeight="1" x14ac:dyDescent="0.4">
      <c r="A370" s="248">
        <v>46020</v>
      </c>
      <c r="B370" s="240" t="s">
        <v>218</v>
      </c>
      <c r="C370" s="259" t="s">
        <v>64</v>
      </c>
      <c r="D370" s="257" t="s">
        <v>65</v>
      </c>
      <c r="E370" s="258"/>
      <c r="F370" s="259">
        <v>9</v>
      </c>
      <c r="G370" s="259">
        <v>1568700</v>
      </c>
      <c r="H370" s="259">
        <v>14118300</v>
      </c>
      <c r="I370" s="257"/>
      <c r="J370" s="260" t="s">
        <v>569</v>
      </c>
      <c r="K370" s="345">
        <v>46008</v>
      </c>
      <c r="L370" s="258"/>
    </row>
    <row r="371" spans="1:12" ht="19.5" customHeight="1" x14ac:dyDescent="0.4">
      <c r="A371" s="248">
        <v>46020</v>
      </c>
      <c r="B371" s="240" t="s">
        <v>218</v>
      </c>
      <c r="C371" s="259" t="s">
        <v>204</v>
      </c>
      <c r="D371" s="257" t="s">
        <v>205</v>
      </c>
      <c r="E371" s="258"/>
      <c r="F371" s="259">
        <v>12</v>
      </c>
      <c r="G371" s="259">
        <v>1295000</v>
      </c>
      <c r="H371" s="259">
        <v>15540000</v>
      </c>
      <c r="I371" s="257"/>
      <c r="J371" s="260" t="s">
        <v>569</v>
      </c>
      <c r="K371" s="345">
        <v>46008</v>
      </c>
      <c r="L371" s="258"/>
    </row>
    <row r="372" spans="1:12" ht="19.5" customHeight="1" x14ac:dyDescent="0.4">
      <c r="A372" s="248">
        <v>46020</v>
      </c>
      <c r="B372" s="240" t="s">
        <v>218</v>
      </c>
      <c r="C372" s="259" t="s">
        <v>95</v>
      </c>
      <c r="D372" s="257" t="s">
        <v>96</v>
      </c>
      <c r="E372" s="258"/>
      <c r="F372" s="259">
        <v>6</v>
      </c>
      <c r="G372" s="259">
        <v>10500</v>
      </c>
      <c r="H372" s="259">
        <v>63000</v>
      </c>
      <c r="I372" s="257"/>
      <c r="J372" s="260" t="s">
        <v>70</v>
      </c>
      <c r="K372" s="345">
        <v>45996</v>
      </c>
      <c r="L372" s="258"/>
    </row>
    <row r="373" spans="1:12" ht="19.5" customHeight="1" x14ac:dyDescent="0.4">
      <c r="A373" s="248">
        <v>46020</v>
      </c>
      <c r="B373" s="240" t="s">
        <v>218</v>
      </c>
      <c r="C373" s="259" t="s">
        <v>429</v>
      </c>
      <c r="D373" s="257" t="s">
        <v>430</v>
      </c>
      <c r="E373" s="258"/>
      <c r="F373" s="259">
        <v>1</v>
      </c>
      <c r="G373" s="259">
        <v>368000</v>
      </c>
      <c r="H373" s="259">
        <v>368000</v>
      </c>
      <c r="I373" s="257"/>
      <c r="J373" s="260" t="s">
        <v>70</v>
      </c>
      <c r="K373" s="345">
        <v>45926</v>
      </c>
      <c r="L373" s="258"/>
    </row>
    <row r="374" spans="1:12" ht="19.5" customHeight="1" x14ac:dyDescent="0.4">
      <c r="A374" s="248">
        <v>46020</v>
      </c>
      <c r="B374" s="240" t="s">
        <v>218</v>
      </c>
      <c r="C374" s="259" t="s">
        <v>429</v>
      </c>
      <c r="D374" s="257" t="s">
        <v>430</v>
      </c>
      <c r="E374" s="258"/>
      <c r="F374" s="259">
        <v>6</v>
      </c>
      <c r="G374" s="259">
        <v>368000</v>
      </c>
      <c r="H374" s="259">
        <v>2208000</v>
      </c>
      <c r="I374" s="257"/>
      <c r="J374" s="260" t="s">
        <v>70</v>
      </c>
      <c r="K374" s="345">
        <v>45961</v>
      </c>
      <c r="L374" s="258"/>
    </row>
    <row r="375" spans="1:12" ht="19.5" customHeight="1" x14ac:dyDescent="0.4">
      <c r="A375" s="248">
        <v>46020</v>
      </c>
      <c r="B375" s="240" t="s">
        <v>218</v>
      </c>
      <c r="C375" s="259" t="s">
        <v>429</v>
      </c>
      <c r="D375" s="257" t="s">
        <v>430</v>
      </c>
      <c r="E375" s="258"/>
      <c r="F375" s="259">
        <v>2</v>
      </c>
      <c r="G375" s="259">
        <v>368000</v>
      </c>
      <c r="H375" s="259">
        <v>736000</v>
      </c>
      <c r="I375" s="257"/>
      <c r="J375" s="260" t="s">
        <v>70</v>
      </c>
      <c r="K375" s="345">
        <v>45971</v>
      </c>
      <c r="L375" s="258"/>
    </row>
    <row r="376" spans="1:12" ht="19.5" customHeight="1" x14ac:dyDescent="0.4">
      <c r="A376" s="248">
        <v>46021</v>
      </c>
      <c r="B376" s="240" t="s">
        <v>218</v>
      </c>
      <c r="C376" s="259" t="s">
        <v>118</v>
      </c>
      <c r="D376" s="257" t="s">
        <v>119</v>
      </c>
      <c r="E376" s="258"/>
      <c r="F376" s="259">
        <v>7</v>
      </c>
      <c r="G376" s="259">
        <v>7790000</v>
      </c>
      <c r="H376" s="259">
        <v>54530000</v>
      </c>
      <c r="I376" s="257"/>
      <c r="J376" s="260" t="s">
        <v>120</v>
      </c>
      <c r="K376" s="345">
        <v>46000</v>
      </c>
      <c r="L376" s="258"/>
    </row>
    <row r="377" spans="1:12" ht="19.5" customHeight="1" x14ac:dyDescent="0.4">
      <c r="A377" s="248">
        <v>46021</v>
      </c>
      <c r="B377" s="240" t="s">
        <v>218</v>
      </c>
      <c r="C377" s="259" t="s">
        <v>118</v>
      </c>
      <c r="D377" s="257" t="s">
        <v>119</v>
      </c>
      <c r="E377" s="258"/>
      <c r="F377" s="259">
        <v>10</v>
      </c>
      <c r="G377" s="259">
        <v>7790000</v>
      </c>
      <c r="H377" s="259">
        <v>77900000</v>
      </c>
      <c r="I377" s="257"/>
      <c r="J377" s="260" t="s">
        <v>120</v>
      </c>
      <c r="K377" s="345">
        <v>46007</v>
      </c>
      <c r="L377" s="258"/>
    </row>
    <row r="378" spans="1:12" ht="19.5" customHeight="1" x14ac:dyDescent="0.4">
      <c r="A378" s="248">
        <v>46021</v>
      </c>
      <c r="B378" s="240" t="s">
        <v>218</v>
      </c>
      <c r="C378" s="259" t="s">
        <v>118</v>
      </c>
      <c r="D378" s="257" t="s">
        <v>119</v>
      </c>
      <c r="E378" s="258"/>
      <c r="F378" s="259">
        <v>4</v>
      </c>
      <c r="G378" s="259">
        <v>7790000</v>
      </c>
      <c r="H378" s="259">
        <v>31160000</v>
      </c>
      <c r="I378" s="257"/>
      <c r="J378" s="260" t="s">
        <v>120</v>
      </c>
      <c r="K378" s="345">
        <v>46014</v>
      </c>
      <c r="L378" s="258"/>
    </row>
    <row r="379" spans="1:12" ht="19.5" customHeight="1" x14ac:dyDescent="0.4">
      <c r="A379" s="248">
        <v>46021</v>
      </c>
      <c r="B379" s="240" t="s">
        <v>218</v>
      </c>
      <c r="C379" s="259" t="s">
        <v>64</v>
      </c>
      <c r="D379" s="257" t="s">
        <v>65</v>
      </c>
      <c r="E379" s="258"/>
      <c r="F379" s="259">
        <v>3</v>
      </c>
      <c r="G379" s="259">
        <v>1568700</v>
      </c>
      <c r="H379" s="259">
        <v>4706100</v>
      </c>
      <c r="I379" s="257"/>
      <c r="J379" s="260" t="s">
        <v>570</v>
      </c>
      <c r="K379" s="345">
        <v>46001</v>
      </c>
      <c r="L379" s="258"/>
    </row>
    <row r="380" spans="1:12" ht="19.5" customHeight="1" x14ac:dyDescent="0.4">
      <c r="A380" s="248">
        <v>46020</v>
      </c>
      <c r="B380" s="240" t="s">
        <v>218</v>
      </c>
      <c r="C380" s="259" t="s">
        <v>620</v>
      </c>
      <c r="D380" s="257" t="s">
        <v>621</v>
      </c>
      <c r="E380" s="258"/>
      <c r="F380" s="259">
        <v>1</v>
      </c>
      <c r="G380" s="259">
        <v>3000000</v>
      </c>
      <c r="H380" s="259">
        <f>F380*G380</f>
        <v>3000000</v>
      </c>
      <c r="I380" s="263" t="s">
        <v>689</v>
      </c>
      <c r="J380" s="260">
        <v>46001</v>
      </c>
      <c r="K380" s="258" t="s">
        <v>622</v>
      </c>
      <c r="L380" s="258"/>
    </row>
    <row r="381" spans="1:12" ht="19.5" customHeight="1" x14ac:dyDescent="0.4">
      <c r="A381" s="248">
        <v>46020</v>
      </c>
      <c r="B381" s="240" t="s">
        <v>218</v>
      </c>
      <c r="C381" s="259" t="s">
        <v>620</v>
      </c>
      <c r="D381" s="257" t="s">
        <v>621</v>
      </c>
      <c r="E381" s="258"/>
      <c r="F381" s="259">
        <v>1</v>
      </c>
      <c r="G381" s="259">
        <v>3000000</v>
      </c>
      <c r="H381" s="259">
        <f>F381*G381</f>
        <v>3000000</v>
      </c>
      <c r="I381" s="263" t="s">
        <v>689</v>
      </c>
      <c r="J381" s="260">
        <v>46001</v>
      </c>
      <c r="K381" s="258" t="s">
        <v>623</v>
      </c>
      <c r="L381" s="258"/>
    </row>
    <row r="382" spans="1:12" ht="19.5" customHeight="1" x14ac:dyDescent="0.4">
      <c r="A382" s="248">
        <v>46022</v>
      </c>
      <c r="B382" s="240" t="s">
        <v>218</v>
      </c>
      <c r="C382" s="259" t="s">
        <v>32</v>
      </c>
      <c r="D382" s="257" t="s">
        <v>624</v>
      </c>
      <c r="E382" s="257" t="s">
        <v>13</v>
      </c>
      <c r="F382" s="259">
        <v>2</v>
      </c>
      <c r="G382" s="259">
        <v>440000</v>
      </c>
      <c r="H382" s="259">
        <f>F382*G382</f>
        <v>880000</v>
      </c>
      <c r="I382" s="263" t="s">
        <v>689</v>
      </c>
      <c r="J382" s="260"/>
      <c r="K382" s="258" t="s">
        <v>706</v>
      </c>
      <c r="L382" s="258"/>
    </row>
    <row r="383" spans="1:12" ht="19.5" customHeight="1" x14ac:dyDescent="0.4">
      <c r="A383" s="248">
        <v>46022</v>
      </c>
      <c r="B383" s="240" t="s">
        <v>218</v>
      </c>
      <c r="C383" s="259" t="s">
        <v>105</v>
      </c>
      <c r="D383" s="257" t="s">
        <v>625</v>
      </c>
      <c r="E383" s="257" t="s">
        <v>13</v>
      </c>
      <c r="F383" s="259">
        <v>3</v>
      </c>
      <c r="G383" s="259">
        <v>1168000</v>
      </c>
      <c r="H383" s="259">
        <f>F383*G383</f>
        <v>3504000</v>
      </c>
      <c r="I383" s="263" t="s">
        <v>689</v>
      </c>
      <c r="J383" s="260"/>
      <c r="K383" s="258" t="s">
        <v>706</v>
      </c>
      <c r="L383" s="258"/>
    </row>
    <row r="384" spans="1:12" ht="19.5" customHeight="1" x14ac:dyDescent="0.4">
      <c r="A384" s="242"/>
      <c r="B384" s="243"/>
      <c r="C384" s="235"/>
      <c r="D384" s="243"/>
      <c r="E384" s="243"/>
      <c r="F384" s="244">
        <f>SUM(F230:F371)</f>
        <v>654</v>
      </c>
      <c r="G384" s="244"/>
      <c r="H384" s="273">
        <f>SUM(H166:H379)</f>
        <v>1395940550</v>
      </c>
      <c r="I384" s="244"/>
      <c r="J384" s="245"/>
      <c r="K384" s="264"/>
      <c r="L384" s="264"/>
    </row>
    <row r="385" spans="1:13" s="113" customFormat="1" ht="20.25" customHeight="1" x14ac:dyDescent="0.4">
      <c r="A385" s="190">
        <v>45985</v>
      </c>
      <c r="B385" s="110" t="s">
        <v>125</v>
      </c>
      <c r="C385" s="29" t="s">
        <v>680</v>
      </c>
      <c r="D385" s="110" t="s">
        <v>126</v>
      </c>
      <c r="E385" s="110" t="s">
        <v>127</v>
      </c>
      <c r="F385" s="198">
        <v>105</v>
      </c>
      <c r="G385" s="81">
        <v>55800</v>
      </c>
      <c r="H385" s="68">
        <f>F385*G385</f>
        <v>5859000</v>
      </c>
      <c r="I385" s="81"/>
      <c r="J385" s="111"/>
      <c r="K385" s="111"/>
      <c r="L385" s="82"/>
    </row>
    <row r="386" spans="1:13" s="113" customFormat="1" ht="20.25" customHeight="1" x14ac:dyDescent="0.4">
      <c r="A386" s="193"/>
      <c r="B386" s="194"/>
      <c r="C386" s="40"/>
      <c r="D386" s="194"/>
      <c r="E386" s="194"/>
      <c r="F386" s="199"/>
      <c r="G386" s="91"/>
      <c r="H386" s="138">
        <f>SUM(H385)</f>
        <v>5859000</v>
      </c>
      <c r="I386" s="91"/>
      <c r="J386" s="124"/>
      <c r="K386" s="124"/>
      <c r="L386" s="124"/>
    </row>
    <row r="387" spans="1:13" s="14" customFormat="1" ht="19.5" customHeight="1" x14ac:dyDescent="0.4">
      <c r="A387" s="15">
        <v>45981</v>
      </c>
      <c r="B387" s="33" t="s">
        <v>128</v>
      </c>
      <c r="C387" s="60" t="s">
        <v>310</v>
      </c>
      <c r="D387" s="16" t="s">
        <v>433</v>
      </c>
      <c r="E387" s="16" t="s">
        <v>127</v>
      </c>
      <c r="F387" s="17">
        <v>15</v>
      </c>
      <c r="G387" s="7">
        <v>89730</v>
      </c>
      <c r="H387" s="7">
        <f t="shared" ref="H387:H393" si="12">F387*G387</f>
        <v>1345950</v>
      </c>
      <c r="I387" s="127"/>
      <c r="J387" s="66"/>
      <c r="K387" s="66"/>
      <c r="L387" s="213"/>
      <c r="M387" s="214"/>
    </row>
    <row r="388" spans="1:13" s="14" customFormat="1" ht="21" customHeight="1" x14ac:dyDescent="0.4">
      <c r="A388" s="15">
        <v>45961</v>
      </c>
      <c r="B388" s="33" t="s">
        <v>128</v>
      </c>
      <c r="C388" s="173" t="s">
        <v>181</v>
      </c>
      <c r="D388" s="16" t="s">
        <v>371</v>
      </c>
      <c r="E388" s="16" t="s">
        <v>13</v>
      </c>
      <c r="F388" s="175">
        <v>3</v>
      </c>
      <c r="G388" s="165">
        <v>2163000</v>
      </c>
      <c r="H388" s="165">
        <f t="shared" si="12"/>
        <v>6489000</v>
      </c>
      <c r="I388" s="127"/>
      <c r="J388" s="66"/>
      <c r="K388" s="66"/>
      <c r="L388" s="215"/>
      <c r="M388" s="216"/>
    </row>
    <row r="389" spans="1:13" s="14" customFormat="1" ht="21" customHeight="1" x14ac:dyDescent="0.4">
      <c r="A389" s="15">
        <v>45961</v>
      </c>
      <c r="B389" s="33" t="s">
        <v>128</v>
      </c>
      <c r="C389" s="173" t="s">
        <v>182</v>
      </c>
      <c r="D389" s="16" t="s">
        <v>372</v>
      </c>
      <c r="E389" s="16" t="s">
        <v>13</v>
      </c>
      <c r="F389" s="175">
        <v>3</v>
      </c>
      <c r="G389" s="165">
        <v>2163000</v>
      </c>
      <c r="H389" s="165">
        <f t="shared" si="12"/>
        <v>6489000</v>
      </c>
      <c r="I389" s="127"/>
      <c r="J389" s="66"/>
      <c r="K389" s="66"/>
      <c r="L389" s="215"/>
      <c r="M389" s="216"/>
    </row>
    <row r="390" spans="1:13" s="14" customFormat="1" ht="21" customHeight="1" x14ac:dyDescent="0.4">
      <c r="A390" s="15">
        <v>45982</v>
      </c>
      <c r="B390" s="33" t="s">
        <v>128</v>
      </c>
      <c r="C390" s="60" t="s">
        <v>136</v>
      </c>
      <c r="D390" s="76" t="s">
        <v>422</v>
      </c>
      <c r="E390" s="16" t="s">
        <v>13</v>
      </c>
      <c r="F390" s="17">
        <v>15</v>
      </c>
      <c r="G390" s="7">
        <v>597880</v>
      </c>
      <c r="H390" s="7">
        <f t="shared" si="12"/>
        <v>8968200</v>
      </c>
      <c r="I390" s="127"/>
      <c r="J390" s="18"/>
      <c r="K390" s="49"/>
      <c r="L390" s="151"/>
    </row>
    <row r="391" spans="1:13" s="14" customFormat="1" ht="19.5" customHeight="1" x14ac:dyDescent="0.4">
      <c r="A391" s="15">
        <v>45986</v>
      </c>
      <c r="B391" s="33" t="s">
        <v>128</v>
      </c>
      <c r="C391" s="60" t="s">
        <v>129</v>
      </c>
      <c r="D391" s="16" t="s">
        <v>130</v>
      </c>
      <c r="E391" s="16" t="s">
        <v>131</v>
      </c>
      <c r="F391" s="17">
        <v>11</v>
      </c>
      <c r="G391" s="7">
        <v>52326</v>
      </c>
      <c r="H391" s="7">
        <f t="shared" si="12"/>
        <v>575586</v>
      </c>
      <c r="I391" s="127"/>
      <c r="J391" s="66"/>
      <c r="K391" s="66"/>
      <c r="L391" s="213"/>
      <c r="M391" s="214"/>
    </row>
    <row r="392" spans="1:13" s="14" customFormat="1" ht="19.5" customHeight="1" x14ac:dyDescent="0.4">
      <c r="A392" s="15">
        <v>45988</v>
      </c>
      <c r="B392" s="33" t="s">
        <v>128</v>
      </c>
      <c r="C392" s="60" t="s">
        <v>310</v>
      </c>
      <c r="D392" s="16" t="s">
        <v>433</v>
      </c>
      <c r="E392" s="16" t="s">
        <v>127</v>
      </c>
      <c r="F392" s="17">
        <v>35</v>
      </c>
      <c r="G392" s="7">
        <v>89730</v>
      </c>
      <c r="H392" s="7">
        <f t="shared" si="12"/>
        <v>3140550</v>
      </c>
      <c r="I392" s="127"/>
      <c r="J392" s="66"/>
      <c r="K392" s="66"/>
      <c r="L392" s="213"/>
      <c r="M392" s="214"/>
    </row>
    <row r="393" spans="1:13" s="14" customFormat="1" ht="19.5" customHeight="1" x14ac:dyDescent="0.4">
      <c r="A393" s="15">
        <v>45988</v>
      </c>
      <c r="B393" s="33" t="s">
        <v>128</v>
      </c>
      <c r="C393" s="60" t="s">
        <v>310</v>
      </c>
      <c r="D393" s="16" t="s">
        <v>326</v>
      </c>
      <c r="E393" s="16" t="s">
        <v>127</v>
      </c>
      <c r="F393" s="17">
        <v>22</v>
      </c>
      <c r="G393" s="7">
        <v>68000</v>
      </c>
      <c r="H393" s="7">
        <f t="shared" si="12"/>
        <v>1496000</v>
      </c>
      <c r="I393" s="127"/>
      <c r="J393" s="66"/>
      <c r="K393" s="66"/>
      <c r="L393" s="213"/>
      <c r="M393" s="214"/>
    </row>
    <row r="394" spans="1:13" s="14" customFormat="1" ht="19.5" customHeight="1" x14ac:dyDescent="0.4">
      <c r="A394" s="15">
        <v>45988</v>
      </c>
      <c r="B394" s="33" t="s">
        <v>128</v>
      </c>
      <c r="C394" s="60" t="s">
        <v>310</v>
      </c>
      <c r="D394" s="16" t="s">
        <v>326</v>
      </c>
      <c r="E394" s="16" t="s">
        <v>127</v>
      </c>
      <c r="F394" s="17">
        <v>6</v>
      </c>
      <c r="G394" s="7">
        <v>68000</v>
      </c>
      <c r="H394" s="7" t="s">
        <v>186</v>
      </c>
      <c r="I394" s="127"/>
      <c r="J394" s="66"/>
      <c r="K394" s="66"/>
      <c r="L394" s="213"/>
      <c r="M394" s="214"/>
    </row>
    <row r="395" spans="1:13" s="14" customFormat="1" ht="19.5" customHeight="1" x14ac:dyDescent="0.4">
      <c r="A395" s="15">
        <v>45988</v>
      </c>
      <c r="B395" s="33" t="s">
        <v>128</v>
      </c>
      <c r="C395" s="60" t="s">
        <v>312</v>
      </c>
      <c r="D395" s="16" t="s">
        <v>316</v>
      </c>
      <c r="E395" s="16" t="s">
        <v>13</v>
      </c>
      <c r="F395" s="17">
        <v>2</v>
      </c>
      <c r="G395" s="7">
        <v>96000</v>
      </c>
      <c r="H395" s="7">
        <f t="shared" ref="H395:H401" si="13">F395*G395</f>
        <v>192000</v>
      </c>
      <c r="I395" s="127"/>
      <c r="J395" s="66"/>
      <c r="K395" s="66"/>
      <c r="L395" s="213"/>
      <c r="M395" s="214"/>
    </row>
    <row r="396" spans="1:13" s="14" customFormat="1" ht="19.5" customHeight="1" x14ac:dyDescent="0.4">
      <c r="A396" s="15">
        <v>45988</v>
      </c>
      <c r="B396" s="33" t="s">
        <v>128</v>
      </c>
      <c r="C396" s="60" t="s">
        <v>312</v>
      </c>
      <c r="D396" s="16" t="s">
        <v>316</v>
      </c>
      <c r="E396" s="16" t="s">
        <v>13</v>
      </c>
      <c r="F396" s="17">
        <v>13</v>
      </c>
      <c r="G396" s="7">
        <v>96000</v>
      </c>
      <c r="H396" s="7" t="s">
        <v>186</v>
      </c>
      <c r="I396" s="127"/>
      <c r="J396" s="66"/>
      <c r="K396" s="66"/>
      <c r="L396" s="213"/>
      <c r="M396" s="214"/>
    </row>
    <row r="397" spans="1:13" s="14" customFormat="1" ht="19.5" customHeight="1" x14ac:dyDescent="0.4">
      <c r="A397" s="15">
        <v>45988</v>
      </c>
      <c r="B397" s="33" t="s">
        <v>128</v>
      </c>
      <c r="C397" s="60" t="s">
        <v>311</v>
      </c>
      <c r="D397" s="16" t="s">
        <v>323</v>
      </c>
      <c r="E397" s="16" t="s">
        <v>127</v>
      </c>
      <c r="F397" s="17">
        <v>40</v>
      </c>
      <c r="G397" s="7">
        <v>18470</v>
      </c>
      <c r="H397" s="7">
        <f t="shared" si="13"/>
        <v>738800</v>
      </c>
      <c r="I397" s="127"/>
      <c r="J397" s="66"/>
      <c r="K397" s="66"/>
      <c r="L397" s="213"/>
      <c r="M397" s="214"/>
    </row>
    <row r="398" spans="1:13" s="14" customFormat="1" ht="19.5" customHeight="1" x14ac:dyDescent="0.4">
      <c r="A398" s="15">
        <v>45988</v>
      </c>
      <c r="B398" s="33" t="s">
        <v>128</v>
      </c>
      <c r="C398" s="60" t="s">
        <v>311</v>
      </c>
      <c r="D398" s="16" t="s">
        <v>431</v>
      </c>
      <c r="E398" s="16" t="s">
        <v>127</v>
      </c>
      <c r="F398" s="17">
        <v>38</v>
      </c>
      <c r="G398" s="7">
        <v>27000</v>
      </c>
      <c r="H398" s="7">
        <f t="shared" si="13"/>
        <v>1026000</v>
      </c>
      <c r="I398" s="127"/>
      <c r="J398" s="66"/>
      <c r="K398" s="66"/>
      <c r="L398" s="213"/>
      <c r="M398" s="214"/>
    </row>
    <row r="399" spans="1:13" s="14" customFormat="1" ht="19.5" customHeight="1" x14ac:dyDescent="0.4">
      <c r="A399" s="15">
        <v>45988</v>
      </c>
      <c r="B399" s="33" t="s">
        <v>128</v>
      </c>
      <c r="C399" s="60" t="s">
        <v>309</v>
      </c>
      <c r="D399" s="16" t="s">
        <v>456</v>
      </c>
      <c r="E399" s="16" t="s">
        <v>127</v>
      </c>
      <c r="F399" s="17">
        <v>49</v>
      </c>
      <c r="G399" s="7">
        <v>16200</v>
      </c>
      <c r="H399" s="7">
        <f t="shared" si="13"/>
        <v>793800</v>
      </c>
      <c r="I399" s="127"/>
      <c r="J399" s="66"/>
      <c r="K399" s="66"/>
      <c r="L399" s="213"/>
      <c r="M399" s="214"/>
    </row>
    <row r="400" spans="1:13" s="14" customFormat="1" ht="19.5" customHeight="1" x14ac:dyDescent="0.4">
      <c r="A400" s="15">
        <v>45988</v>
      </c>
      <c r="B400" s="33" t="s">
        <v>128</v>
      </c>
      <c r="C400" s="60" t="s">
        <v>319</v>
      </c>
      <c r="D400" s="16" t="s">
        <v>432</v>
      </c>
      <c r="E400" s="16" t="s">
        <v>127</v>
      </c>
      <c r="F400" s="17">
        <v>50</v>
      </c>
      <c r="G400" s="7">
        <v>26000</v>
      </c>
      <c r="H400" s="7">
        <f t="shared" si="13"/>
        <v>1300000</v>
      </c>
      <c r="I400" s="127"/>
      <c r="J400" s="66"/>
      <c r="K400" s="66"/>
      <c r="L400" s="213"/>
      <c r="M400" s="214"/>
    </row>
    <row r="401" spans="1:13" s="14" customFormat="1" ht="19.5" customHeight="1" x14ac:dyDescent="0.4">
      <c r="A401" s="15">
        <v>45988</v>
      </c>
      <c r="B401" s="33" t="s">
        <v>128</v>
      </c>
      <c r="C401" s="60" t="s">
        <v>135</v>
      </c>
      <c r="D401" s="16" t="s">
        <v>325</v>
      </c>
      <c r="E401" s="16" t="s">
        <v>17</v>
      </c>
      <c r="F401" s="17">
        <v>89</v>
      </c>
      <c r="G401" s="7">
        <v>115150</v>
      </c>
      <c r="H401" s="7">
        <f t="shared" si="13"/>
        <v>10248350</v>
      </c>
      <c r="I401" s="127"/>
      <c r="J401" s="66"/>
      <c r="K401" s="66"/>
      <c r="L401" s="213"/>
      <c r="M401" s="214"/>
    </row>
    <row r="402" spans="1:13" s="14" customFormat="1" ht="21" customHeight="1" x14ac:dyDescent="0.4">
      <c r="A402" s="15">
        <v>45989</v>
      </c>
      <c r="B402" s="33" t="s">
        <v>128</v>
      </c>
      <c r="C402" s="60" t="s">
        <v>132</v>
      </c>
      <c r="D402" s="76" t="s">
        <v>222</v>
      </c>
      <c r="E402" s="16"/>
      <c r="F402" s="44">
        <v>15</v>
      </c>
      <c r="G402" s="7">
        <v>3225880</v>
      </c>
      <c r="H402" s="7">
        <f t="shared" ref="H402:H407" si="14">F402*G402</f>
        <v>48388200</v>
      </c>
      <c r="I402" s="127"/>
      <c r="J402" s="18"/>
      <c r="K402" s="49"/>
      <c r="L402" s="213"/>
    </row>
    <row r="403" spans="1:13" s="14" customFormat="1" ht="19.5" customHeight="1" x14ac:dyDescent="0.4">
      <c r="A403" s="15">
        <v>45989</v>
      </c>
      <c r="B403" s="33" t="s">
        <v>128</v>
      </c>
      <c r="C403" s="60" t="s">
        <v>129</v>
      </c>
      <c r="D403" s="16" t="s">
        <v>130</v>
      </c>
      <c r="E403" s="16" t="s">
        <v>131</v>
      </c>
      <c r="F403" s="17">
        <v>12</v>
      </c>
      <c r="G403" s="7">
        <v>52326</v>
      </c>
      <c r="H403" s="7">
        <f t="shared" si="14"/>
        <v>627912</v>
      </c>
      <c r="I403" s="127"/>
      <c r="J403" s="66"/>
      <c r="K403" s="66"/>
      <c r="L403" s="213"/>
      <c r="M403" s="214"/>
    </row>
    <row r="404" spans="1:13" ht="19.5" customHeight="1" x14ac:dyDescent="0.4">
      <c r="A404" s="248">
        <v>45995</v>
      </c>
      <c r="B404" s="5" t="s">
        <v>128</v>
      </c>
      <c r="C404" s="237" t="s">
        <v>223</v>
      </c>
      <c r="D404" s="265" t="s">
        <v>224</v>
      </c>
      <c r="E404" s="240" t="s">
        <v>127</v>
      </c>
      <c r="F404" s="250">
        <v>34</v>
      </c>
      <c r="G404" s="250">
        <v>115200</v>
      </c>
      <c r="H404" s="259">
        <f t="shared" si="14"/>
        <v>3916800</v>
      </c>
      <c r="I404" s="250"/>
      <c r="J404" s="266"/>
      <c r="K404" s="258"/>
      <c r="L404" s="258"/>
    </row>
    <row r="405" spans="1:13" ht="19.5" customHeight="1" x14ac:dyDescent="0.4">
      <c r="A405" s="248">
        <v>45995</v>
      </c>
      <c r="B405" s="5" t="s">
        <v>128</v>
      </c>
      <c r="C405" s="237" t="s">
        <v>458</v>
      </c>
      <c r="D405" s="265" t="s">
        <v>626</v>
      </c>
      <c r="E405" s="240" t="s">
        <v>127</v>
      </c>
      <c r="F405" s="250">
        <v>33</v>
      </c>
      <c r="G405" s="250">
        <v>70100</v>
      </c>
      <c r="H405" s="259">
        <f t="shared" si="14"/>
        <v>2313300</v>
      </c>
      <c r="I405" s="250"/>
      <c r="J405" s="266"/>
      <c r="K405" s="258"/>
      <c r="L405" s="258"/>
    </row>
    <row r="406" spans="1:13" ht="19.5" customHeight="1" x14ac:dyDescent="0.4">
      <c r="A406" s="248">
        <v>45995</v>
      </c>
      <c r="B406" s="5" t="s">
        <v>128</v>
      </c>
      <c r="C406" s="237" t="s">
        <v>370</v>
      </c>
      <c r="D406" s="265" t="s">
        <v>627</v>
      </c>
      <c r="E406" s="240" t="s">
        <v>17</v>
      </c>
      <c r="F406" s="250">
        <v>47</v>
      </c>
      <c r="G406" s="250">
        <v>208360</v>
      </c>
      <c r="H406" s="259">
        <f t="shared" si="14"/>
        <v>9792920</v>
      </c>
      <c r="I406" s="250"/>
      <c r="J406" s="266"/>
      <c r="K406" s="258"/>
      <c r="L406" s="258"/>
    </row>
    <row r="407" spans="1:13" ht="19.5" customHeight="1" x14ac:dyDescent="0.4">
      <c r="A407" s="248">
        <v>45995</v>
      </c>
      <c r="B407" s="5" t="s">
        <v>128</v>
      </c>
      <c r="C407" s="237" t="s">
        <v>369</v>
      </c>
      <c r="D407" s="265" t="s">
        <v>470</v>
      </c>
      <c r="E407" s="240" t="s">
        <v>17</v>
      </c>
      <c r="F407" s="250">
        <v>28</v>
      </c>
      <c r="G407" s="250">
        <v>99220</v>
      </c>
      <c r="H407" s="259">
        <f t="shared" si="14"/>
        <v>2778160</v>
      </c>
      <c r="I407" s="250"/>
      <c r="J407" s="266"/>
      <c r="K407" s="258"/>
      <c r="L407" s="258"/>
    </row>
    <row r="408" spans="1:13" s="19" customFormat="1" ht="19.5" customHeight="1" x14ac:dyDescent="0.4">
      <c r="A408" s="4">
        <v>45995</v>
      </c>
      <c r="B408" s="5" t="s">
        <v>128</v>
      </c>
      <c r="C408" s="236" t="s">
        <v>312</v>
      </c>
      <c r="D408" s="1" t="s">
        <v>313</v>
      </c>
      <c r="E408" s="1" t="s">
        <v>13</v>
      </c>
      <c r="F408" s="267">
        <v>8</v>
      </c>
      <c r="G408" s="228">
        <v>96000</v>
      </c>
      <c r="H408" s="254" t="s">
        <v>186</v>
      </c>
      <c r="I408" s="268"/>
      <c r="J408" s="41"/>
      <c r="K408" s="41"/>
      <c r="L408" s="269"/>
      <c r="M408" s="270"/>
    </row>
    <row r="409" spans="1:13" s="19" customFormat="1" ht="19.5" customHeight="1" x14ac:dyDescent="0.4">
      <c r="A409" s="4">
        <v>45999</v>
      </c>
      <c r="B409" s="5" t="s">
        <v>128</v>
      </c>
      <c r="C409" s="236" t="s">
        <v>129</v>
      </c>
      <c r="D409" s="1" t="s">
        <v>130</v>
      </c>
      <c r="E409" s="1" t="s">
        <v>131</v>
      </c>
      <c r="F409" s="267">
        <v>11</v>
      </c>
      <c r="G409" s="228">
        <v>52326</v>
      </c>
      <c r="H409" s="275">
        <f>F409*G409</f>
        <v>575586</v>
      </c>
      <c r="I409" s="268"/>
      <c r="J409" s="41"/>
      <c r="K409" s="41"/>
      <c r="L409" s="269"/>
      <c r="M409" s="270"/>
    </row>
    <row r="410" spans="1:13" s="19" customFormat="1" ht="19.5" customHeight="1" x14ac:dyDescent="0.4">
      <c r="A410" s="4">
        <v>46000</v>
      </c>
      <c r="B410" s="5" t="s">
        <v>128</v>
      </c>
      <c r="C410" s="236" t="s">
        <v>129</v>
      </c>
      <c r="D410" s="1" t="s">
        <v>130</v>
      </c>
      <c r="E410" s="1" t="s">
        <v>131</v>
      </c>
      <c r="F410" s="267">
        <v>1</v>
      </c>
      <c r="G410" s="228">
        <v>52326</v>
      </c>
      <c r="H410" s="275">
        <f>F410*G410</f>
        <v>52326</v>
      </c>
      <c r="I410" s="268"/>
      <c r="J410" s="41"/>
      <c r="K410" s="41"/>
      <c r="L410" s="269"/>
      <c r="M410" s="270"/>
    </row>
    <row r="411" spans="1:13" s="86" customFormat="1" ht="21" customHeight="1" x14ac:dyDescent="0.4">
      <c r="A411" s="4">
        <v>46002</v>
      </c>
      <c r="B411" s="5" t="s">
        <v>128</v>
      </c>
      <c r="C411" s="236" t="s">
        <v>136</v>
      </c>
      <c r="D411" s="42" t="s">
        <v>422</v>
      </c>
      <c r="E411" s="1" t="s">
        <v>13</v>
      </c>
      <c r="F411" s="267">
        <v>21</v>
      </c>
      <c r="G411" s="228">
        <v>597880</v>
      </c>
      <c r="H411" s="275">
        <f>F411*G411</f>
        <v>12555480</v>
      </c>
      <c r="I411" s="268"/>
      <c r="J411" s="43"/>
      <c r="K411" s="250"/>
      <c r="L411" s="140"/>
      <c r="M411" s="19"/>
    </row>
    <row r="412" spans="1:13" s="19" customFormat="1" ht="21" customHeight="1" x14ac:dyDescent="0.4">
      <c r="A412" s="4">
        <v>46002</v>
      </c>
      <c r="B412" s="5" t="s">
        <v>128</v>
      </c>
      <c r="C412" s="236" t="s">
        <v>181</v>
      </c>
      <c r="D412" s="1" t="s">
        <v>371</v>
      </c>
      <c r="E412" s="1" t="s">
        <v>13</v>
      </c>
      <c r="F412" s="267">
        <v>3</v>
      </c>
      <c r="G412" s="228">
        <v>2163000</v>
      </c>
      <c r="H412" s="275">
        <f t="shared" ref="H412:H428" si="15">F412*G412</f>
        <v>6489000</v>
      </c>
      <c r="I412" s="271" t="s">
        <v>628</v>
      </c>
      <c r="J412" s="41"/>
      <c r="K412" s="41"/>
      <c r="L412" s="269"/>
      <c r="M412" s="270"/>
    </row>
    <row r="413" spans="1:13" s="19" customFormat="1" ht="21" customHeight="1" x14ac:dyDescent="0.4">
      <c r="A413" s="4">
        <v>46002</v>
      </c>
      <c r="B413" s="5" t="s">
        <v>128</v>
      </c>
      <c r="C413" s="236" t="s">
        <v>182</v>
      </c>
      <c r="D413" s="1" t="s">
        <v>372</v>
      </c>
      <c r="E413" s="1" t="s">
        <v>13</v>
      </c>
      <c r="F413" s="267">
        <v>3</v>
      </c>
      <c r="G413" s="228">
        <v>2163000</v>
      </c>
      <c r="H413" s="275">
        <f t="shared" si="15"/>
        <v>6489000</v>
      </c>
      <c r="I413" s="271"/>
      <c r="J413" s="41"/>
      <c r="K413" s="41"/>
      <c r="L413" s="269"/>
      <c r="M413" s="270"/>
    </row>
    <row r="414" spans="1:13" s="19" customFormat="1" ht="19.5" customHeight="1" x14ac:dyDescent="0.4">
      <c r="A414" s="4">
        <v>46006</v>
      </c>
      <c r="B414" s="5" t="s">
        <v>128</v>
      </c>
      <c r="C414" s="236" t="s">
        <v>129</v>
      </c>
      <c r="D414" s="1" t="s">
        <v>130</v>
      </c>
      <c r="E414" s="1" t="s">
        <v>131</v>
      </c>
      <c r="F414" s="267">
        <v>10</v>
      </c>
      <c r="G414" s="228">
        <v>52326</v>
      </c>
      <c r="H414" s="275">
        <f t="shared" si="15"/>
        <v>523260</v>
      </c>
      <c r="I414" s="268"/>
      <c r="J414" s="41"/>
      <c r="K414" s="41"/>
      <c r="L414" s="269"/>
      <c r="M414" s="270"/>
    </row>
    <row r="415" spans="1:13" s="19" customFormat="1" ht="19.5" customHeight="1" x14ac:dyDescent="0.4">
      <c r="A415" s="4">
        <v>46007</v>
      </c>
      <c r="B415" s="5" t="s">
        <v>128</v>
      </c>
      <c r="C415" s="236" t="s">
        <v>132</v>
      </c>
      <c r="D415" s="1" t="s">
        <v>133</v>
      </c>
      <c r="E415" s="1"/>
      <c r="F415" s="267">
        <v>26</v>
      </c>
      <c r="G415" s="228">
        <v>3225880</v>
      </c>
      <c r="H415" s="275">
        <f t="shared" si="15"/>
        <v>83872880</v>
      </c>
      <c r="I415" s="268"/>
      <c r="J415" s="41"/>
      <c r="K415" s="41"/>
      <c r="L415" s="269"/>
      <c r="M415" s="270"/>
    </row>
    <row r="416" spans="1:13" s="19" customFormat="1" ht="19.5" customHeight="1" x14ac:dyDescent="0.4">
      <c r="A416" s="4">
        <v>46007</v>
      </c>
      <c r="B416" s="5" t="s">
        <v>128</v>
      </c>
      <c r="C416" s="236" t="s">
        <v>228</v>
      </c>
      <c r="D416" s="1" t="s">
        <v>382</v>
      </c>
      <c r="E416" s="1"/>
      <c r="F416" s="267">
        <v>81</v>
      </c>
      <c r="G416" s="228">
        <v>399640</v>
      </c>
      <c r="H416" s="275">
        <f t="shared" si="15"/>
        <v>32370840</v>
      </c>
      <c r="I416" s="268"/>
      <c r="J416" s="41"/>
      <c r="K416" s="41"/>
      <c r="L416" s="272"/>
      <c r="M416" s="270"/>
    </row>
    <row r="417" spans="1:13" s="19" customFormat="1" ht="19.5" customHeight="1" x14ac:dyDescent="0.4">
      <c r="A417" s="4">
        <v>46007</v>
      </c>
      <c r="B417" s="5" t="s">
        <v>128</v>
      </c>
      <c r="C417" s="236" t="s">
        <v>330</v>
      </c>
      <c r="D417" s="1" t="s">
        <v>331</v>
      </c>
      <c r="E417" s="1"/>
      <c r="F417" s="267">
        <v>157</v>
      </c>
      <c r="G417" s="228">
        <v>329030</v>
      </c>
      <c r="H417" s="275">
        <f t="shared" si="15"/>
        <v>51657710</v>
      </c>
      <c r="I417" s="268"/>
      <c r="J417" s="41"/>
      <c r="K417" s="41"/>
      <c r="L417" s="269"/>
      <c r="M417" s="270"/>
    </row>
    <row r="418" spans="1:13" s="19" customFormat="1" ht="19.5" customHeight="1" x14ac:dyDescent="0.4">
      <c r="A418" s="4">
        <v>46007</v>
      </c>
      <c r="B418" s="5" t="s">
        <v>128</v>
      </c>
      <c r="C418" s="236" t="s">
        <v>388</v>
      </c>
      <c r="D418" s="42" t="s">
        <v>629</v>
      </c>
      <c r="E418" s="1"/>
      <c r="F418" s="267">
        <v>60</v>
      </c>
      <c r="G418" s="228">
        <v>283020</v>
      </c>
      <c r="H418" s="275">
        <f t="shared" si="15"/>
        <v>16981200</v>
      </c>
      <c r="I418" s="268"/>
      <c r="J418" s="41"/>
      <c r="K418" s="41"/>
      <c r="L418" s="269"/>
      <c r="M418" s="270"/>
    </row>
    <row r="419" spans="1:13" s="19" customFormat="1" ht="19.5" customHeight="1" x14ac:dyDescent="0.4">
      <c r="A419" s="4">
        <v>46017</v>
      </c>
      <c r="B419" s="5" t="s">
        <v>128</v>
      </c>
      <c r="C419" s="236" t="s">
        <v>129</v>
      </c>
      <c r="D419" s="1" t="s">
        <v>130</v>
      </c>
      <c r="E419" s="1" t="s">
        <v>131</v>
      </c>
      <c r="F419" s="267">
        <v>12</v>
      </c>
      <c r="G419" s="228">
        <v>52326</v>
      </c>
      <c r="H419" s="275">
        <f t="shared" si="15"/>
        <v>627912</v>
      </c>
      <c r="I419" s="268" t="s">
        <v>689</v>
      </c>
      <c r="J419" s="41"/>
      <c r="K419" s="41"/>
      <c r="L419" s="269"/>
      <c r="M419" s="270"/>
    </row>
    <row r="420" spans="1:13" s="19" customFormat="1" ht="19.5" customHeight="1" x14ac:dyDescent="0.4">
      <c r="A420" s="4">
        <v>46022</v>
      </c>
      <c r="B420" s="5" t="s">
        <v>128</v>
      </c>
      <c r="C420" s="236" t="s">
        <v>132</v>
      </c>
      <c r="D420" s="1" t="s">
        <v>133</v>
      </c>
      <c r="E420" s="1" t="s">
        <v>13</v>
      </c>
      <c r="F420" s="267">
        <v>10</v>
      </c>
      <c r="G420" s="228">
        <v>3225880</v>
      </c>
      <c r="H420" s="275">
        <f t="shared" si="15"/>
        <v>32258800</v>
      </c>
      <c r="I420" s="268" t="s">
        <v>689</v>
      </c>
      <c r="J420" s="41"/>
      <c r="K420" s="41"/>
      <c r="L420" s="269"/>
      <c r="M420" s="270"/>
    </row>
    <row r="421" spans="1:13" s="19" customFormat="1" ht="19.5" customHeight="1" x14ac:dyDescent="0.4">
      <c r="A421" s="4">
        <v>46022</v>
      </c>
      <c r="B421" s="5" t="s">
        <v>128</v>
      </c>
      <c r="C421" s="236" t="s">
        <v>367</v>
      </c>
      <c r="D421" s="1" t="s">
        <v>368</v>
      </c>
      <c r="E421" s="1" t="s">
        <v>17</v>
      </c>
      <c r="F421" s="267">
        <v>154</v>
      </c>
      <c r="G421" s="228">
        <v>96490</v>
      </c>
      <c r="H421" s="275">
        <f t="shared" si="15"/>
        <v>14859460</v>
      </c>
      <c r="I421" s="268" t="s">
        <v>689</v>
      </c>
      <c r="J421" s="41"/>
      <c r="K421" s="41"/>
      <c r="L421" s="269"/>
      <c r="M421" s="270"/>
    </row>
    <row r="422" spans="1:13" s="19" customFormat="1" ht="19.5" customHeight="1" x14ac:dyDescent="0.4">
      <c r="A422" s="4">
        <v>46022</v>
      </c>
      <c r="B422" s="5" t="s">
        <v>128</v>
      </c>
      <c r="C422" s="236" t="s">
        <v>388</v>
      </c>
      <c r="D422" s="1" t="s">
        <v>389</v>
      </c>
      <c r="E422" s="1" t="s">
        <v>17</v>
      </c>
      <c r="F422" s="267">
        <v>25</v>
      </c>
      <c r="G422" s="228">
        <v>283020</v>
      </c>
      <c r="H422" s="275">
        <f t="shared" si="15"/>
        <v>7075500</v>
      </c>
      <c r="I422" s="268" t="s">
        <v>689</v>
      </c>
      <c r="J422" s="41"/>
      <c r="K422" s="41"/>
      <c r="L422" s="269"/>
      <c r="M422" s="270"/>
    </row>
    <row r="423" spans="1:13" s="19" customFormat="1" ht="19.5" customHeight="1" x14ac:dyDescent="0.4">
      <c r="A423" s="4">
        <v>46022</v>
      </c>
      <c r="B423" s="5" t="s">
        <v>128</v>
      </c>
      <c r="C423" s="236" t="s">
        <v>228</v>
      </c>
      <c r="D423" s="1" t="s">
        <v>382</v>
      </c>
      <c r="E423" s="1" t="s">
        <v>17</v>
      </c>
      <c r="F423" s="267">
        <v>20</v>
      </c>
      <c r="G423" s="228">
        <v>399640</v>
      </c>
      <c r="H423" s="275">
        <f t="shared" si="15"/>
        <v>7992800</v>
      </c>
      <c r="I423" s="268" t="s">
        <v>689</v>
      </c>
      <c r="J423" s="41"/>
      <c r="K423" s="41"/>
      <c r="L423" s="269"/>
      <c r="M423" s="270"/>
    </row>
    <row r="424" spans="1:13" s="19" customFormat="1" ht="19.5" customHeight="1" x14ac:dyDescent="0.4">
      <c r="A424" s="4">
        <v>46022</v>
      </c>
      <c r="B424" s="5" t="s">
        <v>128</v>
      </c>
      <c r="C424" s="236" t="s">
        <v>458</v>
      </c>
      <c r="D424" s="1" t="s">
        <v>630</v>
      </c>
      <c r="E424" s="1" t="s">
        <v>127</v>
      </c>
      <c r="F424" s="267">
        <v>42</v>
      </c>
      <c r="G424" s="228">
        <v>70100</v>
      </c>
      <c r="H424" s="275">
        <f t="shared" si="15"/>
        <v>2944200</v>
      </c>
      <c r="I424" s="268" t="s">
        <v>689</v>
      </c>
      <c r="J424" s="41"/>
      <c r="K424" s="41"/>
      <c r="L424" s="269"/>
      <c r="M424" s="270"/>
    </row>
    <row r="425" spans="1:13" s="19" customFormat="1" ht="19.5" customHeight="1" x14ac:dyDescent="0.4">
      <c r="A425" s="4">
        <v>46022</v>
      </c>
      <c r="B425" s="5" t="s">
        <v>128</v>
      </c>
      <c r="C425" s="236" t="s">
        <v>225</v>
      </c>
      <c r="D425" s="1" t="s">
        <v>631</v>
      </c>
      <c r="E425" s="1" t="s">
        <v>127</v>
      </c>
      <c r="F425" s="267">
        <v>100</v>
      </c>
      <c r="G425" s="228">
        <v>10850</v>
      </c>
      <c r="H425" s="275">
        <f t="shared" si="15"/>
        <v>1085000</v>
      </c>
      <c r="I425" s="268" t="s">
        <v>689</v>
      </c>
      <c r="J425" s="41"/>
      <c r="K425" s="41"/>
      <c r="L425" s="269"/>
      <c r="M425" s="270"/>
    </row>
    <row r="426" spans="1:13" s="19" customFormat="1" ht="19.5" customHeight="1" x14ac:dyDescent="0.4">
      <c r="A426" s="4">
        <v>46022</v>
      </c>
      <c r="B426" s="5" t="s">
        <v>128</v>
      </c>
      <c r="C426" s="236" t="s">
        <v>383</v>
      </c>
      <c r="D426" s="1" t="s">
        <v>384</v>
      </c>
      <c r="E426" s="1" t="s">
        <v>127</v>
      </c>
      <c r="F426" s="267">
        <v>25</v>
      </c>
      <c r="G426" s="228">
        <v>85440</v>
      </c>
      <c r="H426" s="275">
        <f t="shared" si="15"/>
        <v>2136000</v>
      </c>
      <c r="I426" s="268" t="s">
        <v>689</v>
      </c>
      <c r="J426" s="41"/>
      <c r="K426" s="41"/>
      <c r="L426" s="269"/>
      <c r="M426" s="270"/>
    </row>
    <row r="427" spans="1:13" s="19" customFormat="1" ht="19.5" customHeight="1" x14ac:dyDescent="0.4">
      <c r="A427" s="4">
        <v>46022</v>
      </c>
      <c r="B427" s="5" t="s">
        <v>128</v>
      </c>
      <c r="C427" s="236" t="s">
        <v>226</v>
      </c>
      <c r="D427" s="1" t="s">
        <v>227</v>
      </c>
      <c r="E427" s="1" t="s">
        <v>11</v>
      </c>
      <c r="F427" s="267">
        <v>50</v>
      </c>
      <c r="G427" s="228">
        <v>28990</v>
      </c>
      <c r="H427" s="275">
        <f t="shared" si="15"/>
        <v>1449500</v>
      </c>
      <c r="I427" s="268" t="s">
        <v>689</v>
      </c>
      <c r="J427" s="41"/>
      <c r="K427" s="41"/>
      <c r="L427" s="269"/>
      <c r="M427" s="270"/>
    </row>
    <row r="428" spans="1:13" s="19" customFormat="1" ht="19.5" customHeight="1" x14ac:dyDescent="0.4">
      <c r="A428" s="4">
        <v>46022</v>
      </c>
      <c r="B428" s="5" t="s">
        <v>128</v>
      </c>
      <c r="C428" s="236" t="s">
        <v>385</v>
      </c>
      <c r="D428" s="1" t="s">
        <v>386</v>
      </c>
      <c r="E428" s="1" t="s">
        <v>17</v>
      </c>
      <c r="F428" s="267">
        <v>52</v>
      </c>
      <c r="G428" s="228">
        <v>185800</v>
      </c>
      <c r="H428" s="275">
        <f t="shared" si="15"/>
        <v>9661600</v>
      </c>
      <c r="I428" s="268" t="s">
        <v>689</v>
      </c>
      <c r="J428" s="41"/>
      <c r="K428" s="41"/>
      <c r="L428" s="269"/>
      <c r="M428" s="270"/>
    </row>
    <row r="429" spans="1:13" ht="19.5" customHeight="1" x14ac:dyDescent="0.4">
      <c r="A429" s="242"/>
      <c r="B429" s="243"/>
      <c r="C429" s="235"/>
      <c r="D429" s="243"/>
      <c r="E429" s="243"/>
      <c r="F429" s="244"/>
      <c r="G429" s="244"/>
      <c r="H429" s="273">
        <f>SUM(H387:H418)</f>
        <v>322187810</v>
      </c>
      <c r="I429" s="244"/>
      <c r="J429" s="245"/>
      <c r="K429" s="264"/>
      <c r="L429" s="264"/>
    </row>
    <row r="430" spans="1:13" ht="19.5" customHeight="1" x14ac:dyDescent="0.4">
      <c r="A430" s="248">
        <v>45994</v>
      </c>
      <c r="B430" s="5" t="s">
        <v>137</v>
      </c>
      <c r="C430" s="256" t="s">
        <v>241</v>
      </c>
      <c r="D430" s="257" t="s">
        <v>231</v>
      </c>
      <c r="E430" s="258"/>
      <c r="F430" s="259">
        <v>16</v>
      </c>
      <c r="G430" s="256">
        <v>195700</v>
      </c>
      <c r="H430" s="256">
        <f t="shared" ref="H430:H447" si="16">F430*G430</f>
        <v>3131200</v>
      </c>
      <c r="I430" s="257" t="s">
        <v>537</v>
      </c>
      <c r="J430" s="258"/>
      <c r="K430" s="258"/>
      <c r="L430" s="258"/>
    </row>
    <row r="431" spans="1:13" ht="19.5" customHeight="1" x14ac:dyDescent="0.4">
      <c r="A431" s="248">
        <v>45994</v>
      </c>
      <c r="B431" s="5" t="s">
        <v>137</v>
      </c>
      <c r="C431" s="256" t="s">
        <v>241</v>
      </c>
      <c r="D431" s="257" t="s">
        <v>373</v>
      </c>
      <c r="E431" s="258"/>
      <c r="F431" s="259">
        <v>16</v>
      </c>
      <c r="G431" s="256">
        <v>195700</v>
      </c>
      <c r="H431" s="256">
        <f t="shared" si="16"/>
        <v>3131200</v>
      </c>
      <c r="I431" s="257" t="s">
        <v>632</v>
      </c>
      <c r="J431" s="258"/>
      <c r="K431" s="258"/>
      <c r="L431" s="258"/>
    </row>
    <row r="432" spans="1:13" ht="19.5" customHeight="1" x14ac:dyDescent="0.4">
      <c r="A432" s="248">
        <v>45994</v>
      </c>
      <c r="B432" s="5" t="s">
        <v>137</v>
      </c>
      <c r="C432" s="256" t="s">
        <v>241</v>
      </c>
      <c r="D432" s="257" t="s">
        <v>373</v>
      </c>
      <c r="E432" s="258"/>
      <c r="F432" s="259">
        <v>32</v>
      </c>
      <c r="G432" s="256">
        <v>195700</v>
      </c>
      <c r="H432" s="256">
        <f t="shared" si="16"/>
        <v>6262400</v>
      </c>
      <c r="I432" s="257" t="s">
        <v>632</v>
      </c>
      <c r="J432" s="258"/>
      <c r="K432" s="258"/>
      <c r="L432" s="258"/>
    </row>
    <row r="433" spans="1:12" ht="19.5" customHeight="1" x14ac:dyDescent="0.4">
      <c r="A433" s="248">
        <v>45994</v>
      </c>
      <c r="B433" s="5" t="s">
        <v>137</v>
      </c>
      <c r="C433" s="256" t="s">
        <v>138</v>
      </c>
      <c r="D433" s="257" t="s">
        <v>236</v>
      </c>
      <c r="E433" s="258"/>
      <c r="F433" s="259">
        <v>60</v>
      </c>
      <c r="G433" s="256">
        <v>180900</v>
      </c>
      <c r="H433" s="256">
        <f t="shared" si="16"/>
        <v>10854000</v>
      </c>
      <c r="I433" s="257" t="s">
        <v>577</v>
      </c>
      <c r="J433" s="258"/>
      <c r="K433" s="258"/>
      <c r="L433" s="258"/>
    </row>
    <row r="434" spans="1:12" ht="19.5" customHeight="1" x14ac:dyDescent="0.4">
      <c r="A434" s="248">
        <v>45994</v>
      </c>
      <c r="B434" s="5" t="s">
        <v>137</v>
      </c>
      <c r="C434" s="256" t="s">
        <v>332</v>
      </c>
      <c r="D434" s="257" t="s">
        <v>238</v>
      </c>
      <c r="E434" s="258"/>
      <c r="F434" s="259">
        <v>20</v>
      </c>
      <c r="G434" s="256">
        <v>137000</v>
      </c>
      <c r="H434" s="256">
        <f t="shared" si="16"/>
        <v>2740000</v>
      </c>
      <c r="I434" s="257" t="s">
        <v>538</v>
      </c>
      <c r="J434" s="258"/>
      <c r="K434" s="258"/>
      <c r="L434" s="258"/>
    </row>
    <row r="435" spans="1:12" ht="19.5" customHeight="1" x14ac:dyDescent="0.4">
      <c r="A435" s="248">
        <v>45994</v>
      </c>
      <c r="B435" s="5" t="s">
        <v>137</v>
      </c>
      <c r="C435" s="256" t="s">
        <v>332</v>
      </c>
      <c r="D435" s="257" t="s">
        <v>420</v>
      </c>
      <c r="E435" s="258"/>
      <c r="F435" s="259">
        <v>28</v>
      </c>
      <c r="G435" s="256">
        <v>137000</v>
      </c>
      <c r="H435" s="256">
        <f t="shared" si="16"/>
        <v>3836000</v>
      </c>
      <c r="I435" s="257" t="s">
        <v>633</v>
      </c>
      <c r="J435" s="258"/>
      <c r="K435" s="258"/>
      <c r="L435" s="258"/>
    </row>
    <row r="436" spans="1:12" ht="19.5" customHeight="1" x14ac:dyDescent="0.4">
      <c r="A436" s="248">
        <v>45994</v>
      </c>
      <c r="B436" s="5" t="s">
        <v>137</v>
      </c>
      <c r="C436" s="256" t="s">
        <v>332</v>
      </c>
      <c r="D436" s="257" t="s">
        <v>420</v>
      </c>
      <c r="E436" s="258"/>
      <c r="F436" s="259">
        <v>60</v>
      </c>
      <c r="G436" s="256">
        <v>137000</v>
      </c>
      <c r="H436" s="256">
        <f t="shared" si="16"/>
        <v>8220000</v>
      </c>
      <c r="I436" s="257" t="s">
        <v>633</v>
      </c>
      <c r="J436" s="258"/>
      <c r="K436" s="258"/>
      <c r="L436" s="258"/>
    </row>
    <row r="437" spans="1:12" ht="19.5" customHeight="1" x14ac:dyDescent="0.4">
      <c r="A437" s="248">
        <v>45994</v>
      </c>
      <c r="B437" s="5" t="s">
        <v>137</v>
      </c>
      <c r="C437" s="256" t="s">
        <v>241</v>
      </c>
      <c r="D437" s="257" t="s">
        <v>471</v>
      </c>
      <c r="E437" s="258"/>
      <c r="F437" s="259">
        <v>23</v>
      </c>
      <c r="G437" s="256">
        <v>256600</v>
      </c>
      <c r="H437" s="256">
        <f t="shared" si="16"/>
        <v>5901800</v>
      </c>
      <c r="I437" s="257" t="s">
        <v>579</v>
      </c>
      <c r="J437" s="258"/>
      <c r="K437" s="258"/>
      <c r="L437" s="258"/>
    </row>
    <row r="438" spans="1:12" ht="19.5" customHeight="1" x14ac:dyDescent="0.4">
      <c r="A438" s="248">
        <v>45994</v>
      </c>
      <c r="B438" s="5" t="s">
        <v>137</v>
      </c>
      <c r="C438" s="256" t="s">
        <v>241</v>
      </c>
      <c r="D438" s="257" t="s">
        <v>471</v>
      </c>
      <c r="E438" s="258"/>
      <c r="F438" s="259">
        <v>16</v>
      </c>
      <c r="G438" s="256">
        <v>256600</v>
      </c>
      <c r="H438" s="256">
        <f t="shared" si="16"/>
        <v>4105600</v>
      </c>
      <c r="I438" s="257" t="s">
        <v>579</v>
      </c>
      <c r="J438" s="258"/>
      <c r="K438" s="258"/>
      <c r="L438" s="258"/>
    </row>
    <row r="439" spans="1:12" ht="19.5" customHeight="1" x14ac:dyDescent="0.4">
      <c r="A439" s="248">
        <v>45994</v>
      </c>
      <c r="B439" s="5" t="s">
        <v>137</v>
      </c>
      <c r="C439" s="256" t="s">
        <v>241</v>
      </c>
      <c r="D439" s="257" t="s">
        <v>471</v>
      </c>
      <c r="E439" s="258"/>
      <c r="F439" s="259">
        <v>8</v>
      </c>
      <c r="G439" s="256">
        <v>256600</v>
      </c>
      <c r="H439" s="256">
        <f t="shared" si="16"/>
        <v>2052800</v>
      </c>
      <c r="I439" s="257" t="s">
        <v>634</v>
      </c>
      <c r="J439" s="258"/>
      <c r="K439" s="258"/>
      <c r="L439" s="258"/>
    </row>
    <row r="440" spans="1:12" ht="19.5" customHeight="1" x14ac:dyDescent="0.4">
      <c r="A440" s="248">
        <v>46009</v>
      </c>
      <c r="B440" s="5" t="s">
        <v>137</v>
      </c>
      <c r="C440" s="256" t="s">
        <v>241</v>
      </c>
      <c r="D440" s="257" t="s">
        <v>373</v>
      </c>
      <c r="E440" s="258"/>
      <c r="F440" s="259">
        <v>16</v>
      </c>
      <c r="G440" s="256">
        <v>195700</v>
      </c>
      <c r="H440" s="256">
        <f t="shared" si="16"/>
        <v>3131200</v>
      </c>
      <c r="I440" s="257" t="s">
        <v>632</v>
      </c>
      <c r="J440" s="258"/>
      <c r="K440" s="258"/>
      <c r="L440" s="258"/>
    </row>
    <row r="441" spans="1:12" ht="19.5" customHeight="1" x14ac:dyDescent="0.4">
      <c r="A441" s="248">
        <v>46009</v>
      </c>
      <c r="B441" s="5" t="s">
        <v>137</v>
      </c>
      <c r="C441" s="256" t="s">
        <v>241</v>
      </c>
      <c r="D441" s="257" t="s">
        <v>373</v>
      </c>
      <c r="E441" s="258"/>
      <c r="F441" s="259">
        <v>32</v>
      </c>
      <c r="G441" s="256">
        <v>195700</v>
      </c>
      <c r="H441" s="256">
        <f t="shared" si="16"/>
        <v>6262400</v>
      </c>
      <c r="I441" s="257" t="s">
        <v>632</v>
      </c>
      <c r="J441" s="258"/>
      <c r="K441" s="258"/>
      <c r="L441" s="258"/>
    </row>
    <row r="442" spans="1:12" ht="19.5" customHeight="1" x14ac:dyDescent="0.4">
      <c r="A442" s="248">
        <v>46009</v>
      </c>
      <c r="B442" s="5" t="s">
        <v>137</v>
      </c>
      <c r="C442" s="256" t="s">
        <v>635</v>
      </c>
      <c r="D442" s="257" t="s">
        <v>390</v>
      </c>
      <c r="E442" s="258"/>
      <c r="F442" s="259">
        <v>9</v>
      </c>
      <c r="G442" s="256">
        <v>27100</v>
      </c>
      <c r="H442" s="256">
        <f t="shared" si="16"/>
        <v>243900</v>
      </c>
      <c r="I442" s="257" t="s">
        <v>636</v>
      </c>
      <c r="J442" s="258">
        <v>27100</v>
      </c>
      <c r="K442" s="258"/>
      <c r="L442" s="258"/>
    </row>
    <row r="443" spans="1:12" ht="19.5" customHeight="1" x14ac:dyDescent="0.4">
      <c r="A443" s="248">
        <v>46009</v>
      </c>
      <c r="B443" s="5" t="s">
        <v>137</v>
      </c>
      <c r="C443" s="256" t="s">
        <v>635</v>
      </c>
      <c r="D443" s="257" t="s">
        <v>637</v>
      </c>
      <c r="E443" s="258"/>
      <c r="F443" s="259">
        <v>200</v>
      </c>
      <c r="G443" s="256">
        <v>27800</v>
      </c>
      <c r="H443" s="256">
        <f t="shared" si="16"/>
        <v>5560000</v>
      </c>
      <c r="I443" s="257" t="s">
        <v>638</v>
      </c>
      <c r="J443" s="258"/>
      <c r="K443" s="258"/>
      <c r="L443" s="258"/>
    </row>
    <row r="444" spans="1:12" ht="19.5" customHeight="1" x14ac:dyDescent="0.4">
      <c r="A444" s="248">
        <v>46009</v>
      </c>
      <c r="B444" s="5" t="s">
        <v>137</v>
      </c>
      <c r="C444" s="256" t="s">
        <v>241</v>
      </c>
      <c r="D444" s="257" t="s">
        <v>471</v>
      </c>
      <c r="E444" s="258"/>
      <c r="F444" s="259">
        <v>21</v>
      </c>
      <c r="G444" s="256">
        <v>256600</v>
      </c>
      <c r="H444" s="256">
        <f t="shared" si="16"/>
        <v>5388600</v>
      </c>
      <c r="I444" s="257" t="s">
        <v>634</v>
      </c>
      <c r="J444" s="258"/>
      <c r="K444" s="258"/>
      <c r="L444" s="258"/>
    </row>
    <row r="445" spans="1:12" ht="19.5" customHeight="1" x14ac:dyDescent="0.4">
      <c r="A445" s="248">
        <v>46009</v>
      </c>
      <c r="B445" s="5" t="s">
        <v>137</v>
      </c>
      <c r="C445" s="256" t="s">
        <v>138</v>
      </c>
      <c r="D445" s="257" t="s">
        <v>639</v>
      </c>
      <c r="E445" s="258"/>
      <c r="F445" s="259">
        <v>45</v>
      </c>
      <c r="G445" s="256">
        <v>184100</v>
      </c>
      <c r="H445" s="256">
        <f t="shared" si="16"/>
        <v>8284500</v>
      </c>
      <c r="I445" s="257" t="s">
        <v>640</v>
      </c>
      <c r="J445" s="258"/>
      <c r="K445" s="258"/>
      <c r="L445" s="258"/>
    </row>
    <row r="446" spans="1:12" ht="19.5" customHeight="1" x14ac:dyDescent="0.4">
      <c r="A446" s="248">
        <v>46009</v>
      </c>
      <c r="B446" s="5" t="s">
        <v>137</v>
      </c>
      <c r="C446" s="256" t="s">
        <v>138</v>
      </c>
      <c r="D446" s="257" t="s">
        <v>639</v>
      </c>
      <c r="E446" s="258"/>
      <c r="F446" s="259">
        <v>45</v>
      </c>
      <c r="G446" s="256">
        <v>184100</v>
      </c>
      <c r="H446" s="256">
        <f t="shared" si="16"/>
        <v>8284500</v>
      </c>
      <c r="I446" s="257" t="s">
        <v>640</v>
      </c>
      <c r="J446" s="258"/>
      <c r="K446" s="258"/>
      <c r="L446" s="258"/>
    </row>
    <row r="447" spans="1:12" ht="19.5" customHeight="1" x14ac:dyDescent="0.4">
      <c r="A447" s="248">
        <v>46009</v>
      </c>
      <c r="B447" s="5" t="s">
        <v>137</v>
      </c>
      <c r="C447" s="256" t="s">
        <v>138</v>
      </c>
      <c r="D447" s="257" t="s">
        <v>639</v>
      </c>
      <c r="E447" s="258"/>
      <c r="F447" s="259">
        <v>10</v>
      </c>
      <c r="G447" s="256">
        <v>184100</v>
      </c>
      <c r="H447" s="256">
        <f t="shared" si="16"/>
        <v>1841000</v>
      </c>
      <c r="I447" s="257" t="s">
        <v>640</v>
      </c>
      <c r="J447" s="258"/>
      <c r="K447" s="258"/>
      <c r="L447" s="258"/>
    </row>
    <row r="448" spans="1:12" ht="19.5" customHeight="1" x14ac:dyDescent="0.4">
      <c r="A448" s="264"/>
      <c r="B448" s="264"/>
      <c r="C448" s="273"/>
      <c r="D448" s="274"/>
      <c r="E448" s="274"/>
      <c r="F448" s="273"/>
      <c r="G448" s="273"/>
      <c r="H448" s="273">
        <f>SUM(H430:H447)</f>
        <v>89231100</v>
      </c>
      <c r="I448" s="264"/>
      <c r="J448" s="264"/>
      <c r="K448" s="264"/>
      <c r="L448" s="264"/>
    </row>
    <row r="449" spans="1:12" s="113" customFormat="1" ht="20.25" customHeight="1" x14ac:dyDescent="0.4">
      <c r="A449" s="15"/>
      <c r="B449" s="7" t="s">
        <v>140</v>
      </c>
      <c r="C449" s="29" t="s">
        <v>707</v>
      </c>
      <c r="D449" s="110" t="s">
        <v>244</v>
      </c>
      <c r="E449" s="110" t="s">
        <v>13</v>
      </c>
      <c r="F449" s="347">
        <v>7</v>
      </c>
      <c r="G449" s="81">
        <v>973200</v>
      </c>
      <c r="H449" s="49">
        <f>F449*G449</f>
        <v>6812400</v>
      </c>
      <c r="I449" s="111"/>
      <c r="J449" s="111"/>
      <c r="K449" s="111"/>
      <c r="L449" s="25"/>
    </row>
    <row r="450" spans="1:12" ht="19.5" customHeight="1" x14ac:dyDescent="0.4">
      <c r="A450" s="15">
        <v>46001</v>
      </c>
      <c r="B450" s="275" t="s">
        <v>140</v>
      </c>
      <c r="C450" s="259" t="s">
        <v>476</v>
      </c>
      <c r="D450" s="257" t="s">
        <v>477</v>
      </c>
      <c r="E450" s="257" t="s">
        <v>11</v>
      </c>
      <c r="F450" s="348">
        <v>2</v>
      </c>
      <c r="G450" s="259">
        <v>271000</v>
      </c>
      <c r="H450" s="256">
        <f>F450*G450</f>
        <v>542000</v>
      </c>
      <c r="I450" s="258"/>
      <c r="J450" s="258"/>
      <c r="K450" s="258"/>
      <c r="L450" s="258"/>
    </row>
    <row r="451" spans="1:12" ht="19.5" customHeight="1" x14ac:dyDescent="0.4">
      <c r="A451" s="15">
        <v>46002</v>
      </c>
      <c r="B451" s="275" t="s">
        <v>140</v>
      </c>
      <c r="C451" s="259" t="s">
        <v>476</v>
      </c>
      <c r="D451" s="257" t="s">
        <v>477</v>
      </c>
      <c r="E451" s="257" t="s">
        <v>11</v>
      </c>
      <c r="F451" s="348">
        <v>4</v>
      </c>
      <c r="G451" s="256">
        <v>271000</v>
      </c>
      <c r="H451" s="256">
        <f>F451*G451</f>
        <v>1084000</v>
      </c>
      <c r="I451" s="258"/>
      <c r="J451" s="258"/>
      <c r="K451" s="258"/>
      <c r="L451" s="258"/>
    </row>
    <row r="452" spans="1:12" ht="19.5" customHeight="1" x14ac:dyDescent="0.4">
      <c r="A452" s="15">
        <v>46003</v>
      </c>
      <c r="B452" s="275" t="s">
        <v>140</v>
      </c>
      <c r="C452" s="259" t="s">
        <v>476</v>
      </c>
      <c r="D452" s="257" t="s">
        <v>477</v>
      </c>
      <c r="E452" s="257" t="s">
        <v>11</v>
      </c>
      <c r="F452" s="348">
        <v>3</v>
      </c>
      <c r="G452" s="256">
        <v>271000</v>
      </c>
      <c r="H452" s="256">
        <f>F452*G452</f>
        <v>813000</v>
      </c>
      <c r="I452" s="258"/>
      <c r="J452" s="258"/>
      <c r="K452" s="258"/>
      <c r="L452" s="258"/>
    </row>
    <row r="453" spans="1:12" s="113" customFormat="1" ht="20.25" customHeight="1" x14ac:dyDescent="0.4">
      <c r="A453" s="15"/>
      <c r="B453" s="7" t="s">
        <v>140</v>
      </c>
      <c r="C453" s="29" t="s">
        <v>555</v>
      </c>
      <c r="D453" s="110" t="s">
        <v>248</v>
      </c>
      <c r="E453" s="110" t="s">
        <v>13</v>
      </c>
      <c r="F453" s="81">
        <v>3</v>
      </c>
      <c r="G453" s="81">
        <v>227500</v>
      </c>
      <c r="H453" s="49">
        <f t="shared" ref="H453:H480" si="17">F453*G453</f>
        <v>682500</v>
      </c>
      <c r="I453" s="111" t="s">
        <v>682</v>
      </c>
      <c r="J453" s="111"/>
      <c r="K453" s="111"/>
      <c r="L453" s="25"/>
    </row>
    <row r="454" spans="1:12" s="113" customFormat="1" ht="20.25" customHeight="1" x14ac:dyDescent="0.4">
      <c r="A454" s="15"/>
      <c r="B454" s="7" t="s">
        <v>140</v>
      </c>
      <c r="C454" s="29" t="s">
        <v>595</v>
      </c>
      <c r="D454" s="110" t="s">
        <v>247</v>
      </c>
      <c r="E454" s="110" t="s">
        <v>13</v>
      </c>
      <c r="F454" s="81">
        <v>3</v>
      </c>
      <c r="G454" s="81">
        <v>56100</v>
      </c>
      <c r="H454" s="49">
        <f t="shared" si="17"/>
        <v>168300</v>
      </c>
      <c r="I454" s="111" t="s">
        <v>682</v>
      </c>
      <c r="J454" s="111" t="s">
        <v>598</v>
      </c>
      <c r="K454" s="111"/>
      <c r="L454" s="25"/>
    </row>
    <row r="455" spans="1:12" s="113" customFormat="1" ht="20.25" customHeight="1" x14ac:dyDescent="0.4">
      <c r="A455" s="15"/>
      <c r="B455" s="7" t="s">
        <v>140</v>
      </c>
      <c r="C455" s="29" t="s">
        <v>473</v>
      </c>
      <c r="D455" s="110" t="s">
        <v>246</v>
      </c>
      <c r="E455" s="110" t="s">
        <v>13</v>
      </c>
      <c r="F455" s="81">
        <v>9</v>
      </c>
      <c r="G455" s="81">
        <v>393500</v>
      </c>
      <c r="H455" s="49">
        <f t="shared" si="17"/>
        <v>3541500</v>
      </c>
      <c r="I455" s="111" t="s">
        <v>682</v>
      </c>
      <c r="J455" s="111"/>
      <c r="K455" s="111"/>
      <c r="L455" s="25"/>
    </row>
    <row r="456" spans="1:12" s="113" customFormat="1" ht="20.25" customHeight="1" x14ac:dyDescent="0.4">
      <c r="A456" s="15"/>
      <c r="B456" s="7" t="s">
        <v>140</v>
      </c>
      <c r="C456" s="29" t="s">
        <v>596</v>
      </c>
      <c r="D456" s="110" t="s">
        <v>597</v>
      </c>
      <c r="E456" s="110" t="s">
        <v>13</v>
      </c>
      <c r="F456" s="81">
        <v>2</v>
      </c>
      <c r="G456" s="81">
        <v>423620</v>
      </c>
      <c r="H456" s="49">
        <f t="shared" si="17"/>
        <v>847240</v>
      </c>
      <c r="I456" s="111" t="s">
        <v>682</v>
      </c>
      <c r="J456" s="111"/>
      <c r="K456" s="111"/>
      <c r="L456" s="25"/>
    </row>
    <row r="457" spans="1:12" s="113" customFormat="1" ht="20.25" customHeight="1" x14ac:dyDescent="0.4">
      <c r="A457" s="15"/>
      <c r="B457" s="7" t="s">
        <v>140</v>
      </c>
      <c r="C457" s="29" t="s">
        <v>474</v>
      </c>
      <c r="D457" s="110" t="s">
        <v>475</v>
      </c>
      <c r="E457" s="110" t="s">
        <v>11</v>
      </c>
      <c r="F457" s="81">
        <v>10</v>
      </c>
      <c r="G457" s="81">
        <v>652000</v>
      </c>
      <c r="H457" s="49">
        <f t="shared" si="17"/>
        <v>6520000</v>
      </c>
      <c r="I457" s="111" t="s">
        <v>682</v>
      </c>
      <c r="J457" s="111"/>
      <c r="K457" s="111"/>
      <c r="L457" s="25"/>
    </row>
    <row r="458" spans="1:12" s="113" customFormat="1" ht="20.25" customHeight="1" x14ac:dyDescent="0.4">
      <c r="A458" s="15"/>
      <c r="B458" s="7" t="s">
        <v>140</v>
      </c>
      <c r="C458" s="29" t="s">
        <v>540</v>
      </c>
      <c r="D458" s="110" t="s">
        <v>541</v>
      </c>
      <c r="E458" s="110" t="s">
        <v>13</v>
      </c>
      <c r="F458" s="81">
        <v>13</v>
      </c>
      <c r="G458" s="81">
        <v>102000</v>
      </c>
      <c r="H458" s="49">
        <f t="shared" si="17"/>
        <v>1326000</v>
      </c>
      <c r="I458" s="111" t="s">
        <v>682</v>
      </c>
      <c r="J458" s="111"/>
      <c r="K458" s="111"/>
      <c r="L458" s="25"/>
    </row>
    <row r="459" spans="1:12" s="113" customFormat="1" ht="20.25" customHeight="1" x14ac:dyDescent="0.4">
      <c r="A459" s="15"/>
      <c r="B459" s="7" t="s">
        <v>140</v>
      </c>
      <c r="C459" s="29" t="s">
        <v>553</v>
      </c>
      <c r="D459" s="110" t="s">
        <v>244</v>
      </c>
      <c r="E459" s="110" t="s">
        <v>13</v>
      </c>
      <c r="F459" s="81">
        <f>24-7</f>
        <v>17</v>
      </c>
      <c r="G459" s="81">
        <v>973200</v>
      </c>
      <c r="H459" s="49">
        <f t="shared" si="17"/>
        <v>16544400</v>
      </c>
      <c r="I459" s="111" t="s">
        <v>682</v>
      </c>
      <c r="J459" s="111"/>
      <c r="K459" s="111"/>
      <c r="L459" s="25"/>
    </row>
    <row r="460" spans="1:12" s="113" customFormat="1" ht="20.25" customHeight="1" x14ac:dyDescent="0.4">
      <c r="A460" s="15"/>
      <c r="B460" s="7" t="s">
        <v>140</v>
      </c>
      <c r="C460" s="29" t="s">
        <v>554</v>
      </c>
      <c r="D460" s="110" t="s">
        <v>245</v>
      </c>
      <c r="E460" s="110" t="s">
        <v>13</v>
      </c>
      <c r="F460" s="81">
        <v>21</v>
      </c>
      <c r="G460" s="81">
        <v>630500</v>
      </c>
      <c r="H460" s="49">
        <f t="shared" si="17"/>
        <v>13240500</v>
      </c>
      <c r="I460" s="111" t="s">
        <v>682</v>
      </c>
      <c r="J460" s="111"/>
      <c r="K460" s="111"/>
      <c r="L460" s="25"/>
    </row>
    <row r="461" spans="1:12" s="113" customFormat="1" ht="20.25" customHeight="1" x14ac:dyDescent="0.4">
      <c r="A461" s="15"/>
      <c r="B461" s="7" t="s">
        <v>140</v>
      </c>
      <c r="C461" s="29" t="s">
        <v>552</v>
      </c>
      <c r="D461" s="110" t="s">
        <v>243</v>
      </c>
      <c r="E461" s="110" t="s">
        <v>13</v>
      </c>
      <c r="F461" s="81">
        <v>5</v>
      </c>
      <c r="G461" s="81">
        <v>202000</v>
      </c>
      <c r="H461" s="49">
        <f t="shared" si="17"/>
        <v>1010000</v>
      </c>
      <c r="I461" s="111" t="s">
        <v>682</v>
      </c>
      <c r="J461" s="111"/>
      <c r="K461" s="111"/>
      <c r="L461" s="25"/>
    </row>
    <row r="462" spans="1:12" s="113" customFormat="1" ht="20.25" customHeight="1" x14ac:dyDescent="0.4">
      <c r="A462" s="15"/>
      <c r="B462" s="7" t="s">
        <v>140</v>
      </c>
      <c r="C462" s="29" t="s">
        <v>580</v>
      </c>
      <c r="D462" s="110" t="s">
        <v>581</v>
      </c>
      <c r="E462" s="110" t="s">
        <v>13</v>
      </c>
      <c r="F462" s="81">
        <v>10</v>
      </c>
      <c r="G462" s="81">
        <v>984000</v>
      </c>
      <c r="H462" s="49">
        <f t="shared" si="17"/>
        <v>9840000</v>
      </c>
      <c r="I462" s="111" t="s">
        <v>682</v>
      </c>
      <c r="J462" s="111"/>
      <c r="K462" s="111"/>
      <c r="L462" s="25"/>
    </row>
    <row r="463" spans="1:12" ht="19.5" customHeight="1" x14ac:dyDescent="0.4">
      <c r="A463" s="15">
        <v>45993</v>
      </c>
      <c r="B463" s="275" t="s">
        <v>140</v>
      </c>
      <c r="C463" s="259" t="s">
        <v>473</v>
      </c>
      <c r="D463" s="257" t="s">
        <v>246</v>
      </c>
      <c r="E463" s="257" t="s">
        <v>13</v>
      </c>
      <c r="F463" s="259">
        <v>7</v>
      </c>
      <c r="G463" s="259">
        <v>393500</v>
      </c>
      <c r="H463" s="259">
        <f t="shared" si="17"/>
        <v>2754500</v>
      </c>
      <c r="I463" s="111" t="s">
        <v>682</v>
      </c>
      <c r="J463" s="258"/>
      <c r="K463" s="258"/>
      <c r="L463" s="258"/>
    </row>
    <row r="464" spans="1:12" ht="19.5" customHeight="1" x14ac:dyDescent="0.4">
      <c r="A464" s="15">
        <v>45993</v>
      </c>
      <c r="B464" s="275" t="s">
        <v>140</v>
      </c>
      <c r="C464" s="259" t="s">
        <v>553</v>
      </c>
      <c r="D464" s="257" t="s">
        <v>244</v>
      </c>
      <c r="E464" s="257" t="s">
        <v>13</v>
      </c>
      <c r="F464" s="259">
        <v>3</v>
      </c>
      <c r="G464" s="259">
        <v>973200</v>
      </c>
      <c r="H464" s="259">
        <f t="shared" si="17"/>
        <v>2919600</v>
      </c>
      <c r="I464" s="111" t="s">
        <v>682</v>
      </c>
      <c r="J464" s="258"/>
      <c r="K464" s="258"/>
      <c r="L464" s="258"/>
    </row>
    <row r="465" spans="1:12" ht="19.5" customHeight="1" x14ac:dyDescent="0.4">
      <c r="A465" s="15">
        <v>45993</v>
      </c>
      <c r="B465" s="275" t="s">
        <v>140</v>
      </c>
      <c r="C465" s="259" t="s">
        <v>641</v>
      </c>
      <c r="D465" s="257" t="s">
        <v>244</v>
      </c>
      <c r="E465" s="257" t="s">
        <v>13</v>
      </c>
      <c r="F465" s="259">
        <v>3</v>
      </c>
      <c r="G465" s="259">
        <v>973200</v>
      </c>
      <c r="H465" s="259">
        <f t="shared" si="17"/>
        <v>2919600</v>
      </c>
      <c r="I465" s="111" t="s">
        <v>682</v>
      </c>
      <c r="J465" s="258"/>
      <c r="K465" s="258"/>
      <c r="L465" s="258"/>
    </row>
    <row r="466" spans="1:12" ht="19.5" customHeight="1" x14ac:dyDescent="0.4">
      <c r="A466" s="15">
        <v>45993</v>
      </c>
      <c r="B466" s="275" t="s">
        <v>140</v>
      </c>
      <c r="C466" s="259" t="s">
        <v>554</v>
      </c>
      <c r="D466" s="257" t="s">
        <v>245</v>
      </c>
      <c r="E466" s="257" t="s">
        <v>13</v>
      </c>
      <c r="F466" s="259">
        <v>2</v>
      </c>
      <c r="G466" s="259">
        <v>630500</v>
      </c>
      <c r="H466" s="259">
        <f t="shared" si="17"/>
        <v>1261000</v>
      </c>
      <c r="I466" s="111" t="s">
        <v>682</v>
      </c>
      <c r="J466" s="258"/>
      <c r="K466" s="258"/>
      <c r="L466" s="258"/>
    </row>
    <row r="467" spans="1:12" ht="19.5" customHeight="1" x14ac:dyDescent="0.4">
      <c r="A467" s="15">
        <v>45993</v>
      </c>
      <c r="B467" s="275" t="s">
        <v>140</v>
      </c>
      <c r="C467" s="259" t="s">
        <v>580</v>
      </c>
      <c r="D467" s="257" t="s">
        <v>581</v>
      </c>
      <c r="E467" s="257" t="s">
        <v>13</v>
      </c>
      <c r="F467" s="259">
        <v>7</v>
      </c>
      <c r="G467" s="259">
        <v>984000</v>
      </c>
      <c r="H467" s="259">
        <f t="shared" si="17"/>
        <v>6888000</v>
      </c>
      <c r="I467" s="111" t="s">
        <v>682</v>
      </c>
      <c r="J467" s="258"/>
      <c r="K467" s="258"/>
      <c r="L467" s="258"/>
    </row>
    <row r="468" spans="1:12" ht="19.5" customHeight="1" x14ac:dyDescent="0.4">
      <c r="A468" s="15">
        <v>45993</v>
      </c>
      <c r="B468" s="275" t="s">
        <v>140</v>
      </c>
      <c r="C468" s="259" t="s">
        <v>474</v>
      </c>
      <c r="D468" s="257" t="s">
        <v>475</v>
      </c>
      <c r="E468" s="257" t="s">
        <v>11</v>
      </c>
      <c r="F468" s="259">
        <v>12</v>
      </c>
      <c r="G468" s="259">
        <v>652000</v>
      </c>
      <c r="H468" s="259">
        <f t="shared" si="17"/>
        <v>7824000</v>
      </c>
      <c r="I468" s="111" t="s">
        <v>682</v>
      </c>
      <c r="J468" s="258"/>
      <c r="K468" s="258"/>
      <c r="L468" s="258"/>
    </row>
    <row r="469" spans="1:12" ht="19.5" customHeight="1" x14ac:dyDescent="0.4">
      <c r="A469" s="15">
        <v>45999</v>
      </c>
      <c r="B469" s="275" t="s">
        <v>140</v>
      </c>
      <c r="C469" s="259" t="s">
        <v>580</v>
      </c>
      <c r="D469" s="257" t="s">
        <v>581</v>
      </c>
      <c r="E469" s="257" t="s">
        <v>13</v>
      </c>
      <c r="F469" s="259">
        <v>2</v>
      </c>
      <c r="G469" s="259">
        <v>984000</v>
      </c>
      <c r="H469" s="256">
        <f t="shared" si="17"/>
        <v>1968000</v>
      </c>
      <c r="I469" s="111" t="s">
        <v>682</v>
      </c>
      <c r="J469" s="258"/>
      <c r="K469" s="258"/>
      <c r="L469" s="258"/>
    </row>
    <row r="470" spans="1:12" ht="19.5" customHeight="1" x14ac:dyDescent="0.4">
      <c r="A470" s="15">
        <v>45999</v>
      </c>
      <c r="B470" s="275" t="s">
        <v>140</v>
      </c>
      <c r="C470" s="259" t="s">
        <v>554</v>
      </c>
      <c r="D470" s="257" t="s">
        <v>245</v>
      </c>
      <c r="E470" s="257" t="s">
        <v>13</v>
      </c>
      <c r="F470" s="259">
        <v>1</v>
      </c>
      <c r="G470" s="256">
        <v>630500</v>
      </c>
      <c r="H470" s="256">
        <f t="shared" si="17"/>
        <v>630500</v>
      </c>
      <c r="I470" s="111" t="s">
        <v>682</v>
      </c>
      <c r="J470" s="258"/>
      <c r="K470" s="258"/>
      <c r="L470" s="258"/>
    </row>
    <row r="471" spans="1:12" ht="19.5" customHeight="1" x14ac:dyDescent="0.4">
      <c r="A471" s="15">
        <v>45999</v>
      </c>
      <c r="B471" s="275" t="s">
        <v>140</v>
      </c>
      <c r="C471" s="259" t="s">
        <v>552</v>
      </c>
      <c r="D471" s="257" t="s">
        <v>243</v>
      </c>
      <c r="E471" s="257" t="s">
        <v>13</v>
      </c>
      <c r="F471" s="259">
        <v>5</v>
      </c>
      <c r="G471" s="256">
        <v>202000</v>
      </c>
      <c r="H471" s="256">
        <f t="shared" si="17"/>
        <v>1010000</v>
      </c>
      <c r="I471" s="111" t="s">
        <v>682</v>
      </c>
      <c r="J471" s="258"/>
      <c r="K471" s="258"/>
      <c r="L471" s="258"/>
    </row>
    <row r="472" spans="1:12" ht="19.5" customHeight="1" x14ac:dyDescent="0.4">
      <c r="A472" s="15">
        <v>45999</v>
      </c>
      <c r="B472" s="275" t="s">
        <v>140</v>
      </c>
      <c r="C472" s="259" t="s">
        <v>539</v>
      </c>
      <c r="D472" s="257" t="s">
        <v>242</v>
      </c>
      <c r="E472" s="257" t="s">
        <v>13</v>
      </c>
      <c r="F472" s="259">
        <v>4</v>
      </c>
      <c r="G472" s="256">
        <v>175300</v>
      </c>
      <c r="H472" s="256">
        <f t="shared" si="17"/>
        <v>701200</v>
      </c>
      <c r="I472" s="111" t="s">
        <v>682</v>
      </c>
      <c r="J472" s="258"/>
      <c r="K472" s="258"/>
      <c r="L472" s="258"/>
    </row>
    <row r="473" spans="1:12" ht="19.5" customHeight="1" x14ac:dyDescent="0.4">
      <c r="A473" s="15">
        <v>46001</v>
      </c>
      <c r="B473" s="275" t="s">
        <v>140</v>
      </c>
      <c r="C473" s="259" t="s">
        <v>554</v>
      </c>
      <c r="D473" s="257" t="s">
        <v>245</v>
      </c>
      <c r="E473" s="257" t="s">
        <v>13</v>
      </c>
      <c r="F473" s="259">
        <v>5</v>
      </c>
      <c r="G473" s="256">
        <v>630500</v>
      </c>
      <c r="H473" s="256">
        <f t="shared" si="17"/>
        <v>3152500</v>
      </c>
      <c r="I473" s="111" t="s">
        <v>682</v>
      </c>
      <c r="J473" s="258"/>
      <c r="K473" s="258"/>
      <c r="L473" s="258"/>
    </row>
    <row r="474" spans="1:12" ht="19.5" customHeight="1" x14ac:dyDescent="0.4">
      <c r="A474" s="15">
        <v>46001</v>
      </c>
      <c r="B474" s="275" t="s">
        <v>140</v>
      </c>
      <c r="C474" s="259" t="s">
        <v>552</v>
      </c>
      <c r="D474" s="257" t="s">
        <v>243</v>
      </c>
      <c r="E474" s="257" t="s">
        <v>13</v>
      </c>
      <c r="F474" s="259">
        <v>9</v>
      </c>
      <c r="G474" s="256">
        <v>202000</v>
      </c>
      <c r="H474" s="256">
        <f t="shared" si="17"/>
        <v>1818000</v>
      </c>
      <c r="I474" s="111" t="s">
        <v>682</v>
      </c>
      <c r="J474" s="258"/>
      <c r="K474" s="258"/>
      <c r="L474" s="258"/>
    </row>
    <row r="475" spans="1:12" ht="19.5" customHeight="1" x14ac:dyDescent="0.4">
      <c r="A475" s="15">
        <v>46001</v>
      </c>
      <c r="B475" s="275" t="s">
        <v>140</v>
      </c>
      <c r="C475" s="259" t="s">
        <v>539</v>
      </c>
      <c r="D475" s="257" t="s">
        <v>242</v>
      </c>
      <c r="E475" s="257" t="s">
        <v>13</v>
      </c>
      <c r="F475" s="259">
        <v>4</v>
      </c>
      <c r="G475" s="259">
        <v>175300</v>
      </c>
      <c r="H475" s="256">
        <f t="shared" si="17"/>
        <v>701200</v>
      </c>
      <c r="I475" s="111" t="s">
        <v>682</v>
      </c>
      <c r="J475" s="258"/>
      <c r="K475" s="258"/>
      <c r="L475" s="258"/>
    </row>
    <row r="476" spans="1:12" ht="19.5" customHeight="1" x14ac:dyDescent="0.4">
      <c r="A476" s="15">
        <v>46003</v>
      </c>
      <c r="B476" s="275" t="s">
        <v>140</v>
      </c>
      <c r="C476" s="259" t="s">
        <v>476</v>
      </c>
      <c r="D476" s="257" t="s">
        <v>477</v>
      </c>
      <c r="E476" s="257" t="s">
        <v>11</v>
      </c>
      <c r="F476" s="259">
        <v>2</v>
      </c>
      <c r="G476" s="256">
        <v>271000</v>
      </c>
      <c r="H476" s="256">
        <f t="shared" si="17"/>
        <v>542000</v>
      </c>
      <c r="I476" s="111" t="s">
        <v>682</v>
      </c>
      <c r="J476" s="258"/>
      <c r="K476" s="258"/>
      <c r="L476" s="258"/>
    </row>
    <row r="477" spans="1:12" ht="19.5" customHeight="1" x14ac:dyDescent="0.4">
      <c r="A477" s="15">
        <v>46009</v>
      </c>
      <c r="B477" s="275" t="s">
        <v>140</v>
      </c>
      <c r="C477" s="259" t="s">
        <v>580</v>
      </c>
      <c r="D477" s="257" t="s">
        <v>581</v>
      </c>
      <c r="E477" s="257" t="s">
        <v>13</v>
      </c>
      <c r="F477" s="259">
        <v>8</v>
      </c>
      <c r="G477" s="259">
        <v>984000</v>
      </c>
      <c r="H477" s="256">
        <f t="shared" si="17"/>
        <v>7872000</v>
      </c>
      <c r="I477" s="111" t="s">
        <v>682</v>
      </c>
      <c r="J477" s="258"/>
      <c r="K477" s="258"/>
      <c r="L477" s="258"/>
    </row>
    <row r="478" spans="1:12" ht="19.5" customHeight="1" x14ac:dyDescent="0.4">
      <c r="A478" s="15">
        <v>46017</v>
      </c>
      <c r="B478" s="275" t="s">
        <v>140</v>
      </c>
      <c r="C478" s="259" t="s">
        <v>554</v>
      </c>
      <c r="D478" s="257" t="s">
        <v>642</v>
      </c>
      <c r="E478" s="257" t="s">
        <v>13</v>
      </c>
      <c r="F478" s="259">
        <v>3</v>
      </c>
      <c r="G478" s="256">
        <v>630500</v>
      </c>
      <c r="H478" s="256">
        <f t="shared" si="17"/>
        <v>1891500</v>
      </c>
      <c r="I478" s="111" t="s">
        <v>682</v>
      </c>
      <c r="J478" s="258"/>
      <c r="K478" s="258"/>
      <c r="L478" s="258"/>
    </row>
    <row r="479" spans="1:12" ht="19.5" customHeight="1" x14ac:dyDescent="0.4">
      <c r="A479" s="15">
        <v>46022</v>
      </c>
      <c r="B479" s="275" t="s">
        <v>140</v>
      </c>
      <c r="C479" s="259" t="s">
        <v>641</v>
      </c>
      <c r="D479" s="257" t="s">
        <v>244</v>
      </c>
      <c r="E479" s="257" t="s">
        <v>13</v>
      </c>
      <c r="F479" s="259">
        <v>2</v>
      </c>
      <c r="G479" s="259">
        <v>973200</v>
      </c>
      <c r="H479" s="256">
        <f t="shared" si="17"/>
        <v>1946400</v>
      </c>
      <c r="I479" s="111" t="s">
        <v>682</v>
      </c>
      <c r="J479" s="258"/>
      <c r="K479" s="258"/>
      <c r="L479" s="258"/>
    </row>
    <row r="480" spans="1:12" ht="19.5" customHeight="1" x14ac:dyDescent="0.4">
      <c r="A480" s="15">
        <v>46022</v>
      </c>
      <c r="B480" s="275" t="s">
        <v>140</v>
      </c>
      <c r="C480" s="259" t="s">
        <v>643</v>
      </c>
      <c r="D480" s="257" t="s">
        <v>644</v>
      </c>
      <c r="E480" s="257" t="s">
        <v>13</v>
      </c>
      <c r="F480" s="259">
        <v>11</v>
      </c>
      <c r="G480" s="256">
        <v>202000</v>
      </c>
      <c r="H480" s="256">
        <f t="shared" si="17"/>
        <v>2222000</v>
      </c>
      <c r="I480" s="111" t="s">
        <v>682</v>
      </c>
      <c r="J480" s="258"/>
      <c r="K480" s="258"/>
      <c r="L480" s="258"/>
    </row>
    <row r="481" spans="1:13" ht="19.5" customHeight="1" x14ac:dyDescent="0.4">
      <c r="A481" s="264"/>
      <c r="B481" s="264"/>
      <c r="C481" s="273"/>
      <c r="D481" s="274"/>
      <c r="E481" s="264"/>
      <c r="F481" s="273"/>
      <c r="G481" s="273"/>
      <c r="H481" s="273">
        <f>SUM(H449:H452)</f>
        <v>9251400</v>
      </c>
      <c r="I481" s="264"/>
      <c r="J481" s="264"/>
      <c r="K481" s="264"/>
      <c r="L481" s="264"/>
    </row>
    <row r="482" spans="1:13" s="14" customFormat="1" ht="20.25" customHeight="1" x14ac:dyDescent="0.4">
      <c r="A482" s="47">
        <v>45834</v>
      </c>
      <c r="B482" s="33" t="s">
        <v>146</v>
      </c>
      <c r="C482" s="129" t="s">
        <v>147</v>
      </c>
      <c r="D482" s="16" t="s">
        <v>148</v>
      </c>
      <c r="E482" s="48" t="s">
        <v>149</v>
      </c>
      <c r="F482" s="125">
        <v>38</v>
      </c>
      <c r="G482" s="130">
        <v>1100000</v>
      </c>
      <c r="H482" s="130">
        <f>F482*G482</f>
        <v>41800000</v>
      </c>
      <c r="I482" s="114"/>
      <c r="J482" s="131"/>
      <c r="K482" s="83"/>
      <c r="L482" s="128"/>
    </row>
    <row r="483" spans="1:13" s="14" customFormat="1" ht="20.25" customHeight="1" x14ac:dyDescent="0.4">
      <c r="A483" s="47">
        <v>45930</v>
      </c>
      <c r="B483" s="33" t="s">
        <v>146</v>
      </c>
      <c r="C483" s="158" t="s">
        <v>147</v>
      </c>
      <c r="D483" s="16" t="s">
        <v>148</v>
      </c>
      <c r="E483" s="48" t="s">
        <v>149</v>
      </c>
      <c r="F483" s="159">
        <v>35</v>
      </c>
      <c r="G483" s="160">
        <v>1100000</v>
      </c>
      <c r="H483" s="160">
        <f>F483*G483</f>
        <v>38500000</v>
      </c>
      <c r="I483" s="114"/>
      <c r="J483" s="157"/>
      <c r="K483" s="83"/>
      <c r="L483" s="161"/>
    </row>
    <row r="484" spans="1:13" s="14" customFormat="1" ht="21" customHeight="1" x14ac:dyDescent="0.4">
      <c r="A484" s="47">
        <v>45957</v>
      </c>
      <c r="B484" s="33" t="s">
        <v>146</v>
      </c>
      <c r="C484" s="183" t="s">
        <v>147</v>
      </c>
      <c r="D484" s="16" t="s">
        <v>148</v>
      </c>
      <c r="E484" s="48" t="s">
        <v>149</v>
      </c>
      <c r="F484" s="172">
        <v>33</v>
      </c>
      <c r="G484" s="184">
        <v>1100000</v>
      </c>
      <c r="H484" s="184">
        <f>F484*G484</f>
        <v>36300000</v>
      </c>
      <c r="I484" s="114"/>
      <c r="J484" s="182"/>
      <c r="K484" s="83"/>
      <c r="L484" s="185"/>
      <c r="M484" s="9"/>
    </row>
    <row r="485" spans="1:13" s="14" customFormat="1" ht="21" customHeight="1" x14ac:dyDescent="0.4">
      <c r="A485" s="51"/>
      <c r="B485" s="52" t="s">
        <v>687</v>
      </c>
      <c r="C485" s="186"/>
      <c r="D485" s="53"/>
      <c r="E485" s="54"/>
      <c r="F485" s="170"/>
      <c r="G485" s="93"/>
      <c r="H485" s="353">
        <f>SUM(H482:H484)</f>
        <v>116600000</v>
      </c>
      <c r="I485" s="55"/>
      <c r="J485" s="56"/>
      <c r="K485" s="56"/>
      <c r="L485" s="187"/>
      <c r="M485" s="9"/>
    </row>
    <row r="486" spans="1:13" s="14" customFormat="1" ht="20.25" customHeight="1" x14ac:dyDescent="0.4">
      <c r="A486" s="4">
        <v>46013</v>
      </c>
      <c r="B486" s="5" t="s">
        <v>141</v>
      </c>
      <c r="C486" s="276" t="s">
        <v>142</v>
      </c>
      <c r="D486" s="1">
        <v>40220976</v>
      </c>
      <c r="E486" s="228" t="s">
        <v>17</v>
      </c>
      <c r="F486" s="253">
        <v>36</v>
      </c>
      <c r="G486" s="254">
        <v>176943</v>
      </c>
      <c r="H486" s="254">
        <f>F486*G486</f>
        <v>6369948</v>
      </c>
      <c r="I486" s="277"/>
      <c r="J486" s="275"/>
      <c r="K486" s="75"/>
      <c r="L486" s="73"/>
      <c r="M486" s="278"/>
    </row>
    <row r="487" spans="1:13" s="14" customFormat="1" ht="20.25" customHeight="1" x14ac:dyDescent="0.4">
      <c r="A487" s="4">
        <v>46020</v>
      </c>
      <c r="B487" s="5" t="s">
        <v>141</v>
      </c>
      <c r="C487" s="276" t="s">
        <v>142</v>
      </c>
      <c r="D487" s="1">
        <v>40220976</v>
      </c>
      <c r="E487" s="228" t="s">
        <v>17</v>
      </c>
      <c r="F487" s="253">
        <v>72</v>
      </c>
      <c r="G487" s="254">
        <v>176943</v>
      </c>
      <c r="H487" s="254">
        <f>F487*G487</f>
        <v>12739896</v>
      </c>
      <c r="I487" s="277" t="s">
        <v>689</v>
      </c>
      <c r="J487" s="275"/>
      <c r="K487" s="75"/>
      <c r="L487" s="73"/>
      <c r="M487" s="278"/>
    </row>
    <row r="488" spans="1:13" ht="19.5" customHeight="1" x14ac:dyDescent="0.4">
      <c r="A488" s="264"/>
      <c r="B488" s="264"/>
      <c r="C488" s="273"/>
      <c r="D488" s="274"/>
      <c r="E488" s="264"/>
      <c r="F488" s="273"/>
      <c r="G488" s="273"/>
      <c r="H488" s="273">
        <f>SUM(H486)</f>
        <v>6369948</v>
      </c>
      <c r="I488" s="264"/>
      <c r="J488" s="264"/>
      <c r="K488" s="264"/>
      <c r="L488" s="264"/>
    </row>
    <row r="489" spans="1:13" ht="19.5" customHeight="1" x14ac:dyDescent="0.4">
      <c r="A489" s="4">
        <v>46022</v>
      </c>
      <c r="B489" s="257" t="s">
        <v>143</v>
      </c>
      <c r="C489" s="259" t="s">
        <v>144</v>
      </c>
      <c r="D489" s="257" t="s">
        <v>679</v>
      </c>
      <c r="E489" s="257" t="s">
        <v>13</v>
      </c>
      <c r="F489" s="259">
        <v>50</v>
      </c>
      <c r="G489" s="259">
        <v>220770</v>
      </c>
      <c r="H489" s="254">
        <f>F489*G489</f>
        <v>11038500</v>
      </c>
      <c r="I489" s="277" t="s">
        <v>689</v>
      </c>
      <c r="J489" s="258"/>
      <c r="K489" s="258"/>
      <c r="L489" s="258"/>
    </row>
    <row r="490" spans="1:13" ht="19.5" customHeight="1" x14ac:dyDescent="0.4">
      <c r="A490" s="264"/>
      <c r="B490" s="264"/>
      <c r="C490" s="273"/>
      <c r="D490" s="274"/>
      <c r="E490" s="264"/>
      <c r="F490" s="273"/>
      <c r="G490" s="273"/>
      <c r="H490" s="273"/>
      <c r="I490" s="264"/>
      <c r="J490" s="264"/>
      <c r="K490" s="264"/>
      <c r="L490" s="264"/>
    </row>
    <row r="491" spans="1:13" s="19" customFormat="1" ht="21" customHeight="1" x14ac:dyDescent="0.4">
      <c r="A491" s="4">
        <v>45996</v>
      </c>
      <c r="B491" s="5" t="s">
        <v>249</v>
      </c>
      <c r="C491" s="236" t="s">
        <v>160</v>
      </c>
      <c r="D491" s="1" t="s">
        <v>274</v>
      </c>
      <c r="E491" s="228"/>
      <c r="F491" s="267">
        <v>8</v>
      </c>
      <c r="G491" s="267">
        <f>J491*L491</f>
        <v>516696.97300000006</v>
      </c>
      <c r="H491" s="254">
        <f t="shared" ref="H491:H507" si="18">F491*G491</f>
        <v>4133575.7840000005</v>
      </c>
      <c r="I491" s="139" t="s">
        <v>436</v>
      </c>
      <c r="J491" s="267">
        <v>54470</v>
      </c>
      <c r="K491" s="237" t="s">
        <v>645</v>
      </c>
      <c r="L491" s="96">
        <v>9.4859000000000009</v>
      </c>
      <c r="M491" s="279">
        <v>1</v>
      </c>
    </row>
    <row r="492" spans="1:13" s="19" customFormat="1" ht="21" customHeight="1" x14ac:dyDescent="0.4">
      <c r="A492" s="4">
        <v>45996</v>
      </c>
      <c r="B492" s="5" t="s">
        <v>249</v>
      </c>
      <c r="C492" s="236" t="s">
        <v>152</v>
      </c>
      <c r="D492" s="1" t="s">
        <v>263</v>
      </c>
      <c r="E492" s="228"/>
      <c r="F492" s="267">
        <v>4</v>
      </c>
      <c r="G492" s="267">
        <f t="shared" ref="G492:G554" si="19">J492*L492</f>
        <v>957411.8870000001</v>
      </c>
      <c r="H492" s="254">
        <f t="shared" si="18"/>
        <v>3829647.5480000004</v>
      </c>
      <c r="I492" s="139" t="s">
        <v>435</v>
      </c>
      <c r="J492" s="267">
        <v>100930</v>
      </c>
      <c r="K492" s="237" t="s">
        <v>645</v>
      </c>
      <c r="L492" s="96">
        <v>9.4859000000000009</v>
      </c>
      <c r="M492" s="279">
        <v>2</v>
      </c>
    </row>
    <row r="493" spans="1:13" s="19" customFormat="1" ht="21" customHeight="1" x14ac:dyDescent="0.4">
      <c r="A493" s="4">
        <v>45996</v>
      </c>
      <c r="B493" s="5" t="s">
        <v>249</v>
      </c>
      <c r="C493" s="236" t="s">
        <v>154</v>
      </c>
      <c r="D493" s="1" t="s">
        <v>267</v>
      </c>
      <c r="E493" s="228"/>
      <c r="F493" s="254">
        <v>8</v>
      </c>
      <c r="G493" s="267">
        <f t="shared" si="19"/>
        <v>3878215.3560000001</v>
      </c>
      <c r="H493" s="254">
        <f t="shared" si="18"/>
        <v>31025722.848000001</v>
      </c>
      <c r="I493" s="139" t="s">
        <v>646</v>
      </c>
      <c r="J493" s="267">
        <v>408840</v>
      </c>
      <c r="K493" s="237" t="s">
        <v>645</v>
      </c>
      <c r="L493" s="96">
        <v>9.4859000000000009</v>
      </c>
      <c r="M493" s="279">
        <v>3</v>
      </c>
    </row>
    <row r="494" spans="1:13" s="19" customFormat="1" ht="21" customHeight="1" x14ac:dyDescent="0.4">
      <c r="A494" s="4">
        <v>45996</v>
      </c>
      <c r="B494" s="5" t="s">
        <v>249</v>
      </c>
      <c r="C494" s="236" t="s">
        <v>150</v>
      </c>
      <c r="D494" s="1" t="s">
        <v>334</v>
      </c>
      <c r="E494" s="228"/>
      <c r="F494" s="267">
        <v>4</v>
      </c>
      <c r="G494" s="267">
        <f t="shared" si="19"/>
        <v>310663.22500000003</v>
      </c>
      <c r="H494" s="254">
        <f t="shared" si="18"/>
        <v>1242652.9000000001</v>
      </c>
      <c r="I494" s="139" t="s">
        <v>587</v>
      </c>
      <c r="J494" s="267">
        <v>32750</v>
      </c>
      <c r="K494" s="237" t="s">
        <v>645</v>
      </c>
      <c r="L494" s="96">
        <v>9.4859000000000009</v>
      </c>
      <c r="M494" s="279">
        <v>4</v>
      </c>
    </row>
    <row r="495" spans="1:13" s="19" customFormat="1" ht="21" customHeight="1" x14ac:dyDescent="0.4">
      <c r="A495" s="4">
        <v>45996</v>
      </c>
      <c r="B495" s="5" t="s">
        <v>249</v>
      </c>
      <c r="C495" s="236" t="s">
        <v>161</v>
      </c>
      <c r="D495" s="1" t="s">
        <v>265</v>
      </c>
      <c r="E495" s="228"/>
      <c r="F495" s="267">
        <v>4</v>
      </c>
      <c r="G495" s="267">
        <f t="shared" si="19"/>
        <v>255550.14600000004</v>
      </c>
      <c r="H495" s="254">
        <f t="shared" si="18"/>
        <v>1022200.5840000001</v>
      </c>
      <c r="I495" s="139" t="s">
        <v>587</v>
      </c>
      <c r="J495" s="267">
        <v>26940</v>
      </c>
      <c r="K495" s="237" t="s">
        <v>645</v>
      </c>
      <c r="L495" s="96">
        <v>9.4859000000000009</v>
      </c>
      <c r="M495" s="279">
        <v>5</v>
      </c>
    </row>
    <row r="496" spans="1:13" s="19" customFormat="1" ht="21" customHeight="1" x14ac:dyDescent="0.4">
      <c r="A496" s="4">
        <v>45996</v>
      </c>
      <c r="B496" s="5" t="s">
        <v>249</v>
      </c>
      <c r="C496" s="236" t="s">
        <v>157</v>
      </c>
      <c r="D496" s="1" t="s">
        <v>273</v>
      </c>
      <c r="E496" s="228"/>
      <c r="F496" s="254">
        <v>4</v>
      </c>
      <c r="G496" s="267">
        <f t="shared" si="19"/>
        <v>323374.33100000001</v>
      </c>
      <c r="H496" s="254">
        <f t="shared" si="18"/>
        <v>1293497.324</v>
      </c>
      <c r="I496" s="139" t="s">
        <v>587</v>
      </c>
      <c r="J496" s="267">
        <v>34090</v>
      </c>
      <c r="K496" s="237" t="s">
        <v>645</v>
      </c>
      <c r="L496" s="96">
        <v>9.4859000000000009</v>
      </c>
      <c r="M496" s="279">
        <v>6</v>
      </c>
    </row>
    <row r="497" spans="1:13" s="19" customFormat="1" ht="21" customHeight="1" x14ac:dyDescent="0.4">
      <c r="A497" s="4">
        <v>45996</v>
      </c>
      <c r="B497" s="5" t="s">
        <v>249</v>
      </c>
      <c r="C497" s="236" t="s">
        <v>156</v>
      </c>
      <c r="D497" s="1" t="s">
        <v>261</v>
      </c>
      <c r="E497" s="228"/>
      <c r="F497" s="267">
        <v>1</v>
      </c>
      <c r="G497" s="267">
        <f t="shared" si="19"/>
        <v>2090787.2190000003</v>
      </c>
      <c r="H497" s="254">
        <f t="shared" si="18"/>
        <v>2090787.2190000003</v>
      </c>
      <c r="I497" s="139" t="s">
        <v>590</v>
      </c>
      <c r="J497" s="267">
        <v>220410</v>
      </c>
      <c r="K497" s="237" t="s">
        <v>645</v>
      </c>
      <c r="L497" s="96">
        <v>9.4859000000000009</v>
      </c>
      <c r="M497" s="279">
        <v>7</v>
      </c>
    </row>
    <row r="498" spans="1:13" s="19" customFormat="1" ht="21" customHeight="1" x14ac:dyDescent="0.4">
      <c r="A498" s="4">
        <v>45996</v>
      </c>
      <c r="B498" s="5" t="s">
        <v>249</v>
      </c>
      <c r="C498" s="236" t="s">
        <v>160</v>
      </c>
      <c r="D498" s="1" t="s">
        <v>341</v>
      </c>
      <c r="E498" s="228"/>
      <c r="F498" s="267">
        <v>8</v>
      </c>
      <c r="G498" s="267">
        <f t="shared" si="19"/>
        <v>508539.09900000005</v>
      </c>
      <c r="H498" s="254">
        <f t="shared" si="18"/>
        <v>4068312.7920000004</v>
      </c>
      <c r="I498" s="139" t="s">
        <v>462</v>
      </c>
      <c r="J498" s="267">
        <v>53610</v>
      </c>
      <c r="K498" s="237" t="s">
        <v>645</v>
      </c>
      <c r="L498" s="96">
        <v>9.4859000000000009</v>
      </c>
      <c r="M498" s="279">
        <v>8</v>
      </c>
    </row>
    <row r="499" spans="1:13" s="19" customFormat="1" ht="21" customHeight="1" x14ac:dyDescent="0.4">
      <c r="A499" s="4">
        <v>45996</v>
      </c>
      <c r="B499" s="5" t="s">
        <v>249</v>
      </c>
      <c r="C499" s="236" t="s">
        <v>155</v>
      </c>
      <c r="D499" s="1" t="s">
        <v>253</v>
      </c>
      <c r="E499" s="228"/>
      <c r="F499" s="267">
        <v>8</v>
      </c>
      <c r="G499" s="267">
        <f t="shared" si="19"/>
        <v>3631012.8020000001</v>
      </c>
      <c r="H499" s="254">
        <f t="shared" si="18"/>
        <v>29048102.416000001</v>
      </c>
      <c r="I499" s="139" t="s">
        <v>592</v>
      </c>
      <c r="J499" s="267">
        <v>382780</v>
      </c>
      <c r="K499" s="237" t="s">
        <v>645</v>
      </c>
      <c r="L499" s="96">
        <v>9.4859000000000009</v>
      </c>
      <c r="M499" s="279">
        <v>9</v>
      </c>
    </row>
    <row r="500" spans="1:13" s="19" customFormat="1" ht="21" customHeight="1" x14ac:dyDescent="0.4">
      <c r="A500" s="4">
        <v>45996</v>
      </c>
      <c r="B500" s="5" t="s">
        <v>249</v>
      </c>
      <c r="C500" s="236" t="s">
        <v>153</v>
      </c>
      <c r="D500" s="1" t="s">
        <v>269</v>
      </c>
      <c r="E500" s="228"/>
      <c r="F500" s="254">
        <v>8</v>
      </c>
      <c r="G500" s="267">
        <f t="shared" si="19"/>
        <v>1922886.7890000001</v>
      </c>
      <c r="H500" s="254">
        <f t="shared" si="18"/>
        <v>15383094.312000001</v>
      </c>
      <c r="I500" s="139" t="s">
        <v>592</v>
      </c>
      <c r="J500" s="267">
        <v>202710</v>
      </c>
      <c r="K500" s="237" t="s">
        <v>645</v>
      </c>
      <c r="L500" s="96">
        <v>9.4859000000000009</v>
      </c>
      <c r="M500" s="279">
        <v>10</v>
      </c>
    </row>
    <row r="501" spans="1:13" s="19" customFormat="1" ht="21" customHeight="1" x14ac:dyDescent="0.4">
      <c r="A501" s="4">
        <v>45996</v>
      </c>
      <c r="B501" s="5" t="s">
        <v>249</v>
      </c>
      <c r="C501" s="236" t="s">
        <v>150</v>
      </c>
      <c r="D501" s="1" t="s">
        <v>335</v>
      </c>
      <c r="E501" s="228"/>
      <c r="F501" s="254">
        <v>4</v>
      </c>
      <c r="G501" s="267">
        <f t="shared" si="19"/>
        <v>310663.22500000003</v>
      </c>
      <c r="H501" s="254">
        <f t="shared" si="18"/>
        <v>1242652.9000000001</v>
      </c>
      <c r="I501" s="139" t="s">
        <v>588</v>
      </c>
      <c r="J501" s="267">
        <v>32750</v>
      </c>
      <c r="K501" s="237" t="s">
        <v>645</v>
      </c>
      <c r="L501" s="96">
        <v>9.4859000000000009</v>
      </c>
      <c r="M501" s="279">
        <v>11</v>
      </c>
    </row>
    <row r="502" spans="1:13" s="19" customFormat="1" ht="21" customHeight="1" x14ac:dyDescent="0.4">
      <c r="A502" s="4">
        <v>45996</v>
      </c>
      <c r="B502" s="5" t="s">
        <v>249</v>
      </c>
      <c r="C502" s="236" t="s">
        <v>157</v>
      </c>
      <c r="D502" s="1" t="s">
        <v>338</v>
      </c>
      <c r="E502" s="228"/>
      <c r="F502" s="254">
        <v>4</v>
      </c>
      <c r="G502" s="267">
        <f t="shared" si="19"/>
        <v>323374.33100000001</v>
      </c>
      <c r="H502" s="254">
        <f t="shared" si="18"/>
        <v>1293497.324</v>
      </c>
      <c r="I502" s="139" t="s">
        <v>588</v>
      </c>
      <c r="J502" s="267">
        <v>34090</v>
      </c>
      <c r="K502" s="237" t="s">
        <v>645</v>
      </c>
      <c r="L502" s="96">
        <v>9.4859000000000009</v>
      </c>
      <c r="M502" s="279">
        <v>12</v>
      </c>
    </row>
    <row r="503" spans="1:13" s="19" customFormat="1" ht="21" customHeight="1" x14ac:dyDescent="0.4">
      <c r="A503" s="4">
        <v>45996</v>
      </c>
      <c r="B503" s="5" t="s">
        <v>249</v>
      </c>
      <c r="C503" s="236" t="s">
        <v>156</v>
      </c>
      <c r="D503" s="1" t="s">
        <v>262</v>
      </c>
      <c r="E503" s="228"/>
      <c r="F503" s="267">
        <v>1</v>
      </c>
      <c r="G503" s="267">
        <f t="shared" si="19"/>
        <v>2090787.2190000003</v>
      </c>
      <c r="H503" s="254">
        <f t="shared" si="18"/>
        <v>2090787.2190000003</v>
      </c>
      <c r="I503" s="139" t="s">
        <v>591</v>
      </c>
      <c r="J503" s="267">
        <v>220410</v>
      </c>
      <c r="K503" s="237" t="s">
        <v>645</v>
      </c>
      <c r="L503" s="96">
        <v>9.4859000000000009</v>
      </c>
      <c r="M503" s="279">
        <v>13</v>
      </c>
    </row>
    <row r="504" spans="1:13" s="19" customFormat="1" ht="21" customHeight="1" x14ac:dyDescent="0.4">
      <c r="A504" s="4">
        <v>45996</v>
      </c>
      <c r="B504" s="5" t="s">
        <v>249</v>
      </c>
      <c r="C504" s="236" t="s">
        <v>153</v>
      </c>
      <c r="D504" s="1" t="s">
        <v>337</v>
      </c>
      <c r="E504" s="228"/>
      <c r="F504" s="267">
        <v>8</v>
      </c>
      <c r="G504" s="267">
        <f t="shared" si="19"/>
        <v>2053223.0550000002</v>
      </c>
      <c r="H504" s="254">
        <f t="shared" si="18"/>
        <v>16425784.440000001</v>
      </c>
      <c r="I504" s="139" t="s">
        <v>545</v>
      </c>
      <c r="J504" s="267">
        <v>216450</v>
      </c>
      <c r="K504" s="237" t="s">
        <v>645</v>
      </c>
      <c r="L504" s="96">
        <v>9.4859000000000009</v>
      </c>
      <c r="M504" s="279">
        <v>14</v>
      </c>
    </row>
    <row r="505" spans="1:13" s="19" customFormat="1" ht="21" customHeight="1" x14ac:dyDescent="0.4">
      <c r="A505" s="4">
        <v>45996</v>
      </c>
      <c r="B505" s="5" t="s">
        <v>249</v>
      </c>
      <c r="C505" s="236" t="s">
        <v>155</v>
      </c>
      <c r="D505" s="1" t="s">
        <v>254</v>
      </c>
      <c r="E505" s="228"/>
      <c r="F505" s="267">
        <v>4</v>
      </c>
      <c r="G505" s="267">
        <f t="shared" si="19"/>
        <v>3631012.8020000001</v>
      </c>
      <c r="H505" s="254">
        <f t="shared" si="18"/>
        <v>14524051.208000001</v>
      </c>
      <c r="I505" s="139" t="s">
        <v>584</v>
      </c>
      <c r="J505" s="267">
        <v>382780</v>
      </c>
      <c r="K505" s="237" t="s">
        <v>645</v>
      </c>
      <c r="L505" s="96">
        <v>9.4859000000000009</v>
      </c>
      <c r="M505" s="279">
        <v>15</v>
      </c>
    </row>
    <row r="506" spans="1:13" s="19" customFormat="1" ht="21" customHeight="1" x14ac:dyDescent="0.4">
      <c r="A506" s="4">
        <v>45996</v>
      </c>
      <c r="B506" s="5" t="s">
        <v>249</v>
      </c>
      <c r="C506" s="236" t="s">
        <v>157</v>
      </c>
      <c r="D506" s="1" t="s">
        <v>259</v>
      </c>
      <c r="E506" s="228"/>
      <c r="F506" s="267">
        <v>2</v>
      </c>
      <c r="G506" s="267">
        <f t="shared" si="19"/>
        <v>3409991.3320000004</v>
      </c>
      <c r="H506" s="254">
        <f t="shared" si="18"/>
        <v>6819982.6640000008</v>
      </c>
      <c r="I506" s="139" t="s">
        <v>582</v>
      </c>
      <c r="J506" s="267">
        <v>359480</v>
      </c>
      <c r="K506" s="237" t="s">
        <v>645</v>
      </c>
      <c r="L506" s="96">
        <v>9.4859000000000009</v>
      </c>
      <c r="M506" s="279">
        <v>16</v>
      </c>
    </row>
    <row r="507" spans="1:13" s="19" customFormat="1" ht="21" customHeight="1" x14ac:dyDescent="0.4">
      <c r="A507" s="4">
        <v>45996</v>
      </c>
      <c r="B507" s="5" t="s">
        <v>249</v>
      </c>
      <c r="C507" s="236" t="s">
        <v>157</v>
      </c>
      <c r="D507" s="1" t="s">
        <v>270</v>
      </c>
      <c r="E507" s="228"/>
      <c r="F507" s="267">
        <v>2</v>
      </c>
      <c r="G507" s="267">
        <f t="shared" si="19"/>
        <v>3409991.3320000004</v>
      </c>
      <c r="H507" s="254">
        <f t="shared" si="18"/>
        <v>6819982.6640000008</v>
      </c>
      <c r="I507" s="139" t="s">
        <v>647</v>
      </c>
      <c r="J507" s="267">
        <v>359480</v>
      </c>
      <c r="K507" s="237" t="s">
        <v>645</v>
      </c>
      <c r="L507" s="96">
        <v>9.4859000000000009</v>
      </c>
      <c r="M507" s="279">
        <v>17</v>
      </c>
    </row>
    <row r="508" spans="1:13" s="19" customFormat="1" ht="21" customHeight="1" x14ac:dyDescent="0.4">
      <c r="A508" s="4">
        <v>45996</v>
      </c>
      <c r="B508" s="5" t="s">
        <v>249</v>
      </c>
      <c r="C508" s="236" t="s">
        <v>150</v>
      </c>
      <c r="D508" s="1" t="s">
        <v>275</v>
      </c>
      <c r="E508" s="228"/>
      <c r="F508" s="267">
        <v>1</v>
      </c>
      <c r="G508" s="267">
        <f t="shared" si="19"/>
        <v>549328.46900000004</v>
      </c>
      <c r="H508" s="254">
        <f>F508*G508</f>
        <v>549328.46900000004</v>
      </c>
      <c r="I508" s="139" t="s">
        <v>648</v>
      </c>
      <c r="J508" s="267">
        <v>57910</v>
      </c>
      <c r="K508" s="237" t="s">
        <v>645</v>
      </c>
      <c r="L508" s="96">
        <v>9.4859000000000009</v>
      </c>
      <c r="M508" s="279">
        <v>18</v>
      </c>
    </row>
    <row r="509" spans="1:13" s="19" customFormat="1" ht="21" customHeight="1" x14ac:dyDescent="0.4">
      <c r="A509" s="4">
        <v>46003</v>
      </c>
      <c r="B509" s="5" t="s">
        <v>249</v>
      </c>
      <c r="C509" s="236" t="s">
        <v>153</v>
      </c>
      <c r="D509" s="1" t="s">
        <v>269</v>
      </c>
      <c r="E509" s="228"/>
      <c r="F509" s="267">
        <v>2</v>
      </c>
      <c r="G509" s="267">
        <f t="shared" si="19"/>
        <v>1915710.855</v>
      </c>
      <c r="H509" s="254">
        <f t="shared" ref="H509:H537" si="20">F509*G509</f>
        <v>3831421.71</v>
      </c>
      <c r="I509" s="139" t="s">
        <v>547</v>
      </c>
      <c r="J509" s="267">
        <v>202710</v>
      </c>
      <c r="K509" s="237" t="s">
        <v>649</v>
      </c>
      <c r="L509" s="96">
        <v>9.4504999999999999</v>
      </c>
      <c r="M509" s="279"/>
    </row>
    <row r="510" spans="1:13" s="19" customFormat="1" ht="21" customHeight="1" x14ac:dyDescent="0.4">
      <c r="A510" s="4">
        <v>46003</v>
      </c>
      <c r="B510" s="5" t="s">
        <v>249</v>
      </c>
      <c r="C510" s="236" t="s">
        <v>154</v>
      </c>
      <c r="D510" s="1" t="s">
        <v>267</v>
      </c>
      <c r="E510" s="228"/>
      <c r="F510" s="267">
        <v>4</v>
      </c>
      <c r="G510" s="267">
        <f t="shared" si="19"/>
        <v>3863742.42</v>
      </c>
      <c r="H510" s="254">
        <f t="shared" si="20"/>
        <v>15454969.68</v>
      </c>
      <c r="I510" s="139" t="s">
        <v>547</v>
      </c>
      <c r="J510" s="267">
        <v>408840</v>
      </c>
      <c r="K510" s="237" t="s">
        <v>649</v>
      </c>
      <c r="L510" s="96">
        <v>9.4504999999999999</v>
      </c>
      <c r="M510" s="279"/>
    </row>
    <row r="511" spans="1:13" s="19" customFormat="1" ht="21" customHeight="1" x14ac:dyDescent="0.4">
      <c r="A511" s="4">
        <v>46003</v>
      </c>
      <c r="B511" s="5" t="s">
        <v>249</v>
      </c>
      <c r="C511" s="236" t="s">
        <v>150</v>
      </c>
      <c r="D511" s="1" t="s">
        <v>334</v>
      </c>
      <c r="E511" s="228"/>
      <c r="F511" s="267">
        <v>4</v>
      </c>
      <c r="G511" s="267">
        <f t="shared" si="19"/>
        <v>309503.875</v>
      </c>
      <c r="H511" s="254">
        <f t="shared" si="20"/>
        <v>1238015.5</v>
      </c>
      <c r="I511" s="139" t="s">
        <v>650</v>
      </c>
      <c r="J511" s="267">
        <v>32750</v>
      </c>
      <c r="K511" s="237" t="s">
        <v>649</v>
      </c>
      <c r="L511" s="96">
        <v>9.4504999999999999</v>
      </c>
      <c r="M511" s="279"/>
    </row>
    <row r="512" spans="1:13" s="19" customFormat="1" ht="21" customHeight="1" x14ac:dyDescent="0.4">
      <c r="A512" s="4">
        <v>46003</v>
      </c>
      <c r="B512" s="5" t="s">
        <v>249</v>
      </c>
      <c r="C512" s="236" t="s">
        <v>156</v>
      </c>
      <c r="D512" s="1" t="s">
        <v>261</v>
      </c>
      <c r="E512" s="228"/>
      <c r="F512" s="267">
        <v>1</v>
      </c>
      <c r="G512" s="267">
        <f t="shared" si="19"/>
        <v>2082984.7050000001</v>
      </c>
      <c r="H512" s="254">
        <f t="shared" si="20"/>
        <v>2082984.7050000001</v>
      </c>
      <c r="I512" s="139" t="s">
        <v>548</v>
      </c>
      <c r="J512" s="267">
        <v>220410</v>
      </c>
      <c r="K512" s="237" t="s">
        <v>649</v>
      </c>
      <c r="L512" s="96">
        <v>9.4504999999999999</v>
      </c>
      <c r="M512" s="279"/>
    </row>
    <row r="513" spans="1:14" s="19" customFormat="1" ht="21" customHeight="1" x14ac:dyDescent="0.4">
      <c r="A513" s="4">
        <v>46003</v>
      </c>
      <c r="B513" s="5" t="s">
        <v>249</v>
      </c>
      <c r="C513" s="236" t="s">
        <v>154</v>
      </c>
      <c r="D513" s="1" t="s">
        <v>267</v>
      </c>
      <c r="E513" s="228"/>
      <c r="F513" s="267">
        <v>10</v>
      </c>
      <c r="G513" s="267">
        <f t="shared" si="19"/>
        <v>3863742.42</v>
      </c>
      <c r="H513" s="254">
        <f t="shared" si="20"/>
        <v>38637424.200000003</v>
      </c>
      <c r="I513" s="139" t="s">
        <v>584</v>
      </c>
      <c r="J513" s="267">
        <v>408840</v>
      </c>
      <c r="K513" s="237" t="s">
        <v>649</v>
      </c>
      <c r="L513" s="96">
        <v>9.4504999999999999</v>
      </c>
      <c r="M513" s="279"/>
    </row>
    <row r="514" spans="1:14" s="19" customFormat="1" ht="21" customHeight="1" x14ac:dyDescent="0.4">
      <c r="A514" s="4">
        <v>46003</v>
      </c>
      <c r="B514" s="5" t="s">
        <v>249</v>
      </c>
      <c r="C514" s="236" t="s">
        <v>153</v>
      </c>
      <c r="D514" s="1" t="s">
        <v>269</v>
      </c>
      <c r="E514" s="228"/>
      <c r="F514" s="267">
        <v>6</v>
      </c>
      <c r="G514" s="267">
        <f t="shared" si="19"/>
        <v>1915710.855</v>
      </c>
      <c r="H514" s="254">
        <f t="shared" si="20"/>
        <v>11494265.129999999</v>
      </c>
      <c r="I514" s="139" t="s">
        <v>584</v>
      </c>
      <c r="J514" s="267">
        <v>202710</v>
      </c>
      <c r="K514" s="237" t="s">
        <v>649</v>
      </c>
      <c r="L514" s="96">
        <v>9.4504999999999999</v>
      </c>
      <c r="M514" s="279"/>
    </row>
    <row r="515" spans="1:14" s="19" customFormat="1" ht="21" customHeight="1" x14ac:dyDescent="0.4">
      <c r="A515" s="4">
        <v>46003</v>
      </c>
      <c r="B515" s="5" t="s">
        <v>249</v>
      </c>
      <c r="C515" s="236" t="s">
        <v>155</v>
      </c>
      <c r="D515" s="1" t="s">
        <v>253</v>
      </c>
      <c r="E515" s="228"/>
      <c r="F515" s="267">
        <v>8</v>
      </c>
      <c r="G515" s="267">
        <f t="shared" si="19"/>
        <v>3617462.39</v>
      </c>
      <c r="H515" s="254">
        <f t="shared" si="20"/>
        <v>28939699.120000001</v>
      </c>
      <c r="I515" s="139" t="s">
        <v>582</v>
      </c>
      <c r="J515" s="267">
        <v>382780</v>
      </c>
      <c r="K515" s="237" t="s">
        <v>649</v>
      </c>
      <c r="L515" s="96">
        <v>9.4504999999999999</v>
      </c>
      <c r="M515" s="279"/>
    </row>
    <row r="516" spans="1:14" s="19" customFormat="1" ht="21" customHeight="1" x14ac:dyDescent="0.4">
      <c r="A516" s="4">
        <v>46003</v>
      </c>
      <c r="B516" s="5" t="s">
        <v>249</v>
      </c>
      <c r="C516" s="236" t="s">
        <v>155</v>
      </c>
      <c r="D516" s="1" t="s">
        <v>254</v>
      </c>
      <c r="E516" s="228"/>
      <c r="F516" s="267">
        <v>8</v>
      </c>
      <c r="G516" s="267">
        <f t="shared" si="19"/>
        <v>3617462.39</v>
      </c>
      <c r="H516" s="254">
        <f t="shared" si="20"/>
        <v>28939699.120000001</v>
      </c>
      <c r="I516" s="139" t="s">
        <v>647</v>
      </c>
      <c r="J516" s="267">
        <v>382780</v>
      </c>
      <c r="K516" s="237" t="s">
        <v>649</v>
      </c>
      <c r="L516" s="96">
        <v>9.4504999999999999</v>
      </c>
      <c r="M516" s="279"/>
    </row>
    <row r="517" spans="1:14" s="19" customFormat="1" ht="21" customHeight="1" x14ac:dyDescent="0.4">
      <c r="A517" s="4">
        <v>46003</v>
      </c>
      <c r="B517" s="5" t="s">
        <v>249</v>
      </c>
      <c r="C517" s="236" t="s">
        <v>154</v>
      </c>
      <c r="D517" s="1" t="s">
        <v>267</v>
      </c>
      <c r="E517" s="228"/>
      <c r="F517" s="267">
        <v>6</v>
      </c>
      <c r="G517" s="267">
        <f t="shared" si="19"/>
        <v>3863742.42</v>
      </c>
      <c r="H517" s="254">
        <f t="shared" si="20"/>
        <v>23182454.52</v>
      </c>
      <c r="I517" s="139" t="s">
        <v>647</v>
      </c>
      <c r="J517" s="267">
        <v>408840</v>
      </c>
      <c r="K517" s="237" t="s">
        <v>649</v>
      </c>
      <c r="L517" s="96">
        <v>9.4504999999999999</v>
      </c>
      <c r="M517" s="279"/>
    </row>
    <row r="518" spans="1:14" s="19" customFormat="1" ht="21" customHeight="1" x14ac:dyDescent="0.4">
      <c r="A518" s="4">
        <v>46010</v>
      </c>
      <c r="B518" s="5" t="s">
        <v>249</v>
      </c>
      <c r="C518" s="236" t="s">
        <v>152</v>
      </c>
      <c r="D518" s="1" t="s">
        <v>159</v>
      </c>
      <c r="E518" s="228"/>
      <c r="F518" s="267">
        <v>4</v>
      </c>
      <c r="G518" s="267">
        <f t="shared" si="19"/>
        <v>958461.55900000001</v>
      </c>
      <c r="H518" s="254">
        <f t="shared" si="20"/>
        <v>3833846.236</v>
      </c>
      <c r="I518" s="139" t="s">
        <v>459</v>
      </c>
      <c r="J518" s="267">
        <v>100930</v>
      </c>
      <c r="K518" s="237" t="s">
        <v>651</v>
      </c>
      <c r="L518" s="349">
        <v>9.4962999999999997</v>
      </c>
      <c r="M518" s="279"/>
    </row>
    <row r="519" spans="1:14" s="19" customFormat="1" ht="21" customHeight="1" x14ac:dyDescent="0.4">
      <c r="A519" s="4">
        <v>46010</v>
      </c>
      <c r="B519" s="5" t="s">
        <v>249</v>
      </c>
      <c r="C519" s="236" t="s">
        <v>160</v>
      </c>
      <c r="D519" s="1" t="s">
        <v>340</v>
      </c>
      <c r="E519" s="228"/>
      <c r="F519" s="267">
        <v>8</v>
      </c>
      <c r="G519" s="267">
        <f t="shared" si="19"/>
        <v>393241.783</v>
      </c>
      <c r="H519" s="254">
        <f t="shared" si="20"/>
        <v>3145934.264</v>
      </c>
      <c r="I519" s="139" t="s">
        <v>460</v>
      </c>
      <c r="J519" s="267">
        <v>41410</v>
      </c>
      <c r="K519" s="237" t="s">
        <v>651</v>
      </c>
      <c r="L519" s="349">
        <v>9.4962999999999997</v>
      </c>
      <c r="M519" s="279"/>
      <c r="N519" s="280"/>
    </row>
    <row r="520" spans="1:14" s="19" customFormat="1" ht="21" customHeight="1" x14ac:dyDescent="0.4">
      <c r="A520" s="4">
        <v>46010</v>
      </c>
      <c r="B520" s="5" t="s">
        <v>249</v>
      </c>
      <c r="C520" s="236" t="s">
        <v>160</v>
      </c>
      <c r="D520" s="1" t="s">
        <v>340</v>
      </c>
      <c r="E520" s="228"/>
      <c r="F520" s="267">
        <v>8</v>
      </c>
      <c r="G520" s="267">
        <f t="shared" si="19"/>
        <v>393241.783</v>
      </c>
      <c r="H520" s="254">
        <f t="shared" si="20"/>
        <v>3145934.264</v>
      </c>
      <c r="I520" s="139" t="s">
        <v>478</v>
      </c>
      <c r="J520" s="267">
        <v>41410</v>
      </c>
      <c r="K520" s="237" t="s">
        <v>651</v>
      </c>
      <c r="L520" s="349">
        <v>9.4962999999999997</v>
      </c>
      <c r="M520" s="279"/>
      <c r="N520" s="280"/>
    </row>
    <row r="521" spans="1:14" s="19" customFormat="1" ht="21" customHeight="1" x14ac:dyDescent="0.4">
      <c r="A521" s="4">
        <v>46010</v>
      </c>
      <c r="B521" s="5" t="s">
        <v>249</v>
      </c>
      <c r="C521" s="236" t="s">
        <v>150</v>
      </c>
      <c r="D521" s="1" t="s">
        <v>391</v>
      </c>
      <c r="E521" s="228"/>
      <c r="F521" s="267">
        <v>8</v>
      </c>
      <c r="G521" s="267">
        <f t="shared" si="19"/>
        <v>1174882.236</v>
      </c>
      <c r="H521" s="254">
        <f t="shared" si="20"/>
        <v>9399057.8880000003</v>
      </c>
      <c r="I521" s="139" t="s">
        <v>589</v>
      </c>
      <c r="J521" s="267">
        <v>123720</v>
      </c>
      <c r="K521" s="237" t="s">
        <v>651</v>
      </c>
      <c r="L521" s="349">
        <v>9.4962999999999997</v>
      </c>
      <c r="M521" s="279"/>
      <c r="N521" s="21"/>
    </row>
    <row r="522" spans="1:14" s="19" customFormat="1" ht="21" customHeight="1" x14ac:dyDescent="0.4">
      <c r="A522" s="4">
        <v>46010</v>
      </c>
      <c r="B522" s="5" t="s">
        <v>249</v>
      </c>
      <c r="C522" s="236" t="s">
        <v>156</v>
      </c>
      <c r="D522" s="1" t="s">
        <v>272</v>
      </c>
      <c r="E522" s="228"/>
      <c r="F522" s="267">
        <v>4</v>
      </c>
      <c r="G522" s="267">
        <f t="shared" si="19"/>
        <v>1089985.314</v>
      </c>
      <c r="H522" s="254">
        <f t="shared" si="20"/>
        <v>4359941.2560000001</v>
      </c>
      <c r="I522" s="139" t="s">
        <v>587</v>
      </c>
      <c r="J522" s="267">
        <v>114780</v>
      </c>
      <c r="K522" s="237" t="s">
        <v>651</v>
      </c>
      <c r="L522" s="349">
        <v>9.4962999999999997</v>
      </c>
      <c r="M522" s="279"/>
      <c r="N522" s="280"/>
    </row>
    <row r="523" spans="1:14" s="19" customFormat="1" ht="21" customHeight="1" x14ac:dyDescent="0.4">
      <c r="A523" s="4">
        <v>46010</v>
      </c>
      <c r="B523" s="5" t="s">
        <v>249</v>
      </c>
      <c r="C523" s="236" t="s">
        <v>150</v>
      </c>
      <c r="D523" s="1" t="s">
        <v>391</v>
      </c>
      <c r="E523" s="228"/>
      <c r="F523" s="267">
        <v>8</v>
      </c>
      <c r="G523" s="267">
        <f t="shared" si="19"/>
        <v>1174882.236</v>
      </c>
      <c r="H523" s="254">
        <f t="shared" si="20"/>
        <v>9399057.8880000003</v>
      </c>
      <c r="I523" s="139" t="s">
        <v>542</v>
      </c>
      <c r="J523" s="267">
        <v>123720</v>
      </c>
      <c r="K523" s="237" t="s">
        <v>651</v>
      </c>
      <c r="L523" s="349">
        <v>9.4962999999999997</v>
      </c>
      <c r="M523" s="279"/>
    </row>
    <row r="524" spans="1:14" s="19" customFormat="1" ht="21" customHeight="1" x14ac:dyDescent="0.4">
      <c r="A524" s="4">
        <v>46010</v>
      </c>
      <c r="B524" s="5" t="s">
        <v>249</v>
      </c>
      <c r="C524" s="236" t="s">
        <v>154</v>
      </c>
      <c r="D524" s="1" t="s">
        <v>653</v>
      </c>
      <c r="E524" s="228"/>
      <c r="F524" s="267">
        <v>1</v>
      </c>
      <c r="G524" s="267">
        <f t="shared" si="19"/>
        <v>1502409.6229999999</v>
      </c>
      <c r="H524" s="254">
        <f t="shared" si="20"/>
        <v>1502409.6229999999</v>
      </c>
      <c r="I524" s="139" t="s">
        <v>479</v>
      </c>
      <c r="J524" s="267">
        <v>158210</v>
      </c>
      <c r="K524" s="237" t="s">
        <v>651</v>
      </c>
      <c r="L524" s="349">
        <v>9.4962999999999997</v>
      </c>
      <c r="M524" s="279"/>
    </row>
    <row r="525" spans="1:14" s="19" customFormat="1" ht="21" customHeight="1" x14ac:dyDescent="0.4">
      <c r="A525" s="4">
        <v>46010</v>
      </c>
      <c r="B525" s="5" t="s">
        <v>249</v>
      </c>
      <c r="C525" s="236" t="s">
        <v>150</v>
      </c>
      <c r="D525" s="1" t="s">
        <v>391</v>
      </c>
      <c r="E525" s="228"/>
      <c r="F525" s="267">
        <v>8</v>
      </c>
      <c r="G525" s="267">
        <f t="shared" si="19"/>
        <v>1174882.236</v>
      </c>
      <c r="H525" s="254">
        <f t="shared" si="20"/>
        <v>9399057.8880000003</v>
      </c>
      <c r="I525" s="139" t="s">
        <v>592</v>
      </c>
      <c r="J525" s="267">
        <v>123720</v>
      </c>
      <c r="K525" s="237" t="s">
        <v>651</v>
      </c>
      <c r="L525" s="349">
        <v>9.4962999999999997</v>
      </c>
      <c r="M525" s="279"/>
    </row>
    <row r="526" spans="1:14" s="19" customFormat="1" ht="21" customHeight="1" x14ac:dyDescent="0.4">
      <c r="A526" s="4">
        <v>46010</v>
      </c>
      <c r="B526" s="5" t="s">
        <v>249</v>
      </c>
      <c r="C526" s="236" t="s">
        <v>154</v>
      </c>
      <c r="D526" s="1" t="s">
        <v>268</v>
      </c>
      <c r="E526" s="228"/>
      <c r="F526" s="267">
        <v>8</v>
      </c>
      <c r="G526" s="267">
        <f t="shared" si="19"/>
        <v>3882467.2919999999</v>
      </c>
      <c r="H526" s="254">
        <f t="shared" si="20"/>
        <v>31059738.335999999</v>
      </c>
      <c r="I526" s="139" t="s">
        <v>592</v>
      </c>
      <c r="J526" s="267">
        <v>408840</v>
      </c>
      <c r="K526" s="237" t="s">
        <v>651</v>
      </c>
      <c r="L526" s="349">
        <v>9.4962999999999997</v>
      </c>
      <c r="M526" s="279"/>
      <c r="N526" s="280"/>
    </row>
    <row r="527" spans="1:14" s="19" customFormat="1" ht="21" customHeight="1" x14ac:dyDescent="0.4">
      <c r="A527" s="4">
        <v>46010</v>
      </c>
      <c r="B527" s="5" t="s">
        <v>249</v>
      </c>
      <c r="C527" s="236" t="s">
        <v>157</v>
      </c>
      <c r="D527" s="1" t="s">
        <v>270</v>
      </c>
      <c r="E527" s="228"/>
      <c r="F527" s="267">
        <v>8</v>
      </c>
      <c r="G527" s="267">
        <f t="shared" si="19"/>
        <v>3413729.9240000001</v>
      </c>
      <c r="H527" s="254">
        <f t="shared" si="20"/>
        <v>27309839.392000001</v>
      </c>
      <c r="I527" s="139" t="s">
        <v>592</v>
      </c>
      <c r="J527" s="267">
        <v>359480</v>
      </c>
      <c r="K527" s="237" t="s">
        <v>651</v>
      </c>
      <c r="L527" s="349">
        <v>9.4962999999999997</v>
      </c>
      <c r="M527" s="279"/>
    </row>
    <row r="528" spans="1:14" s="19" customFormat="1" ht="21" customHeight="1" x14ac:dyDescent="0.4">
      <c r="A528" s="4">
        <v>46010</v>
      </c>
      <c r="B528" s="5" t="s">
        <v>249</v>
      </c>
      <c r="C528" s="236" t="s">
        <v>154</v>
      </c>
      <c r="D528" s="1" t="s">
        <v>336</v>
      </c>
      <c r="E528" s="228"/>
      <c r="F528" s="267">
        <v>8</v>
      </c>
      <c r="G528" s="267">
        <f t="shared" si="19"/>
        <v>3902504.4849999999</v>
      </c>
      <c r="H528" s="254">
        <f t="shared" si="20"/>
        <v>31220035.879999999</v>
      </c>
      <c r="I528" s="139" t="s">
        <v>545</v>
      </c>
      <c r="J528" s="267">
        <v>410950</v>
      </c>
      <c r="K528" s="237" t="s">
        <v>651</v>
      </c>
      <c r="L528" s="349">
        <v>9.4962999999999997</v>
      </c>
      <c r="M528" s="279"/>
      <c r="N528" s="280"/>
    </row>
    <row r="529" spans="1:14" s="19" customFormat="1" ht="21" customHeight="1" x14ac:dyDescent="0.4">
      <c r="A529" s="4">
        <v>46010</v>
      </c>
      <c r="B529" s="5" t="s">
        <v>249</v>
      </c>
      <c r="C529" s="236" t="s">
        <v>154</v>
      </c>
      <c r="D529" s="1" t="s">
        <v>653</v>
      </c>
      <c r="E529" s="228"/>
      <c r="F529" s="267">
        <v>1</v>
      </c>
      <c r="G529" s="267">
        <f t="shared" si="19"/>
        <v>1502409.6229999999</v>
      </c>
      <c r="H529" s="254">
        <f t="shared" si="20"/>
        <v>1502409.6229999999</v>
      </c>
      <c r="I529" s="139" t="s">
        <v>548</v>
      </c>
      <c r="J529" s="267">
        <v>158210</v>
      </c>
      <c r="K529" s="237" t="s">
        <v>651</v>
      </c>
      <c r="L529" s="349">
        <v>9.4962999999999997</v>
      </c>
      <c r="M529" s="279"/>
    </row>
    <row r="530" spans="1:14" s="19" customFormat="1" ht="21" customHeight="1" x14ac:dyDescent="0.4">
      <c r="A530" s="4">
        <v>46010</v>
      </c>
      <c r="B530" s="5" t="s">
        <v>249</v>
      </c>
      <c r="C530" s="236" t="s">
        <v>156</v>
      </c>
      <c r="D530" s="1" t="s">
        <v>262</v>
      </c>
      <c r="E530" s="228"/>
      <c r="F530" s="267">
        <v>1</v>
      </c>
      <c r="G530" s="267">
        <f t="shared" si="19"/>
        <v>2093079.483</v>
      </c>
      <c r="H530" s="254">
        <f t="shared" si="20"/>
        <v>2093079.483</v>
      </c>
      <c r="I530" s="139" t="s">
        <v>585</v>
      </c>
      <c r="J530" s="267">
        <v>220410</v>
      </c>
      <c r="K530" s="237" t="s">
        <v>651</v>
      </c>
      <c r="L530" s="349">
        <v>9.4962999999999997</v>
      </c>
      <c r="M530" s="279"/>
    </row>
    <row r="531" spans="1:14" s="19" customFormat="1" ht="21" customHeight="1" x14ac:dyDescent="0.4">
      <c r="A531" s="4">
        <v>46010</v>
      </c>
      <c r="B531" s="5" t="s">
        <v>249</v>
      </c>
      <c r="C531" s="236" t="s">
        <v>154</v>
      </c>
      <c r="D531" s="1" t="s">
        <v>336</v>
      </c>
      <c r="E531" s="228"/>
      <c r="F531" s="267">
        <v>6</v>
      </c>
      <c r="G531" s="267">
        <f t="shared" si="19"/>
        <v>3902504.4849999999</v>
      </c>
      <c r="H531" s="254">
        <f t="shared" si="20"/>
        <v>23415026.91</v>
      </c>
      <c r="I531" s="139" t="s">
        <v>582</v>
      </c>
      <c r="J531" s="267">
        <v>410950</v>
      </c>
      <c r="K531" s="237" t="s">
        <v>651</v>
      </c>
      <c r="L531" s="349">
        <v>9.4962999999999997</v>
      </c>
      <c r="M531" s="279"/>
      <c r="N531" s="280"/>
    </row>
    <row r="532" spans="1:14" s="19" customFormat="1" ht="21" customHeight="1" x14ac:dyDescent="0.4">
      <c r="A532" s="4">
        <v>46010</v>
      </c>
      <c r="B532" s="5" t="s">
        <v>249</v>
      </c>
      <c r="C532" s="236" t="s">
        <v>156</v>
      </c>
      <c r="D532" s="1" t="s">
        <v>272</v>
      </c>
      <c r="E532" s="228"/>
      <c r="F532" s="267">
        <v>3</v>
      </c>
      <c r="G532" s="267">
        <f t="shared" si="19"/>
        <v>117944.046</v>
      </c>
      <c r="H532" s="254">
        <f t="shared" si="20"/>
        <v>353832.13800000004</v>
      </c>
      <c r="I532" s="162" t="s">
        <v>654</v>
      </c>
      <c r="J532" s="267">
        <v>12420</v>
      </c>
      <c r="K532" s="237" t="s">
        <v>651</v>
      </c>
      <c r="L532" s="349">
        <v>9.4962999999999997</v>
      </c>
      <c r="M532" s="279"/>
      <c r="N532" s="280">
        <f t="shared" ref="N532:N537" si="21">F532*G532</f>
        <v>353832.13800000004</v>
      </c>
    </row>
    <row r="533" spans="1:14" s="19" customFormat="1" ht="21" customHeight="1" x14ac:dyDescent="0.4">
      <c r="A533" s="4">
        <v>46010</v>
      </c>
      <c r="B533" s="5" t="s">
        <v>249</v>
      </c>
      <c r="C533" s="236" t="s">
        <v>156</v>
      </c>
      <c r="D533" s="1" t="s">
        <v>272</v>
      </c>
      <c r="E533" s="228"/>
      <c r="F533" s="267">
        <v>3</v>
      </c>
      <c r="G533" s="267">
        <f t="shared" si="19"/>
        <v>117944.046</v>
      </c>
      <c r="H533" s="254">
        <f t="shared" si="20"/>
        <v>353832.13800000004</v>
      </c>
      <c r="I533" s="162" t="s">
        <v>655</v>
      </c>
      <c r="J533" s="267">
        <v>12420</v>
      </c>
      <c r="K533" s="237" t="s">
        <v>651</v>
      </c>
      <c r="L533" s="349">
        <v>9.4962999999999997</v>
      </c>
      <c r="M533" s="279"/>
      <c r="N533" s="280">
        <f t="shared" si="21"/>
        <v>353832.13800000004</v>
      </c>
    </row>
    <row r="534" spans="1:14" s="19" customFormat="1" ht="21" customHeight="1" x14ac:dyDescent="0.4">
      <c r="A534" s="4">
        <v>46010</v>
      </c>
      <c r="B534" s="5" t="s">
        <v>249</v>
      </c>
      <c r="C534" s="236" t="s">
        <v>160</v>
      </c>
      <c r="D534" s="1" t="s">
        <v>340</v>
      </c>
      <c r="E534" s="228"/>
      <c r="F534" s="267">
        <v>1</v>
      </c>
      <c r="G534" s="267">
        <f t="shared" si="19"/>
        <v>49067.382099999995</v>
      </c>
      <c r="H534" s="254">
        <f t="shared" si="20"/>
        <v>49067.382099999995</v>
      </c>
      <c r="I534" s="162" t="s">
        <v>656</v>
      </c>
      <c r="J534" s="267">
        <v>5167</v>
      </c>
      <c r="K534" s="237" t="s">
        <v>651</v>
      </c>
      <c r="L534" s="349">
        <v>9.4962999999999997</v>
      </c>
      <c r="M534" s="279"/>
      <c r="N534" s="280">
        <f t="shared" si="21"/>
        <v>49067.382099999995</v>
      </c>
    </row>
    <row r="535" spans="1:14" s="19" customFormat="1" ht="21" customHeight="1" x14ac:dyDescent="0.4">
      <c r="A535" s="4">
        <v>46010</v>
      </c>
      <c r="B535" s="5" t="s">
        <v>249</v>
      </c>
      <c r="C535" s="236" t="s">
        <v>160</v>
      </c>
      <c r="D535" s="1" t="s">
        <v>340</v>
      </c>
      <c r="E535" s="228"/>
      <c r="F535" s="267">
        <v>1</v>
      </c>
      <c r="G535" s="267">
        <f t="shared" si="19"/>
        <v>49067.382099999995</v>
      </c>
      <c r="H535" s="254">
        <f t="shared" si="20"/>
        <v>49067.382099999995</v>
      </c>
      <c r="I535" s="162" t="s">
        <v>657</v>
      </c>
      <c r="J535" s="267">
        <v>5167</v>
      </c>
      <c r="K535" s="237" t="s">
        <v>651</v>
      </c>
      <c r="L535" s="349">
        <v>9.4962999999999997</v>
      </c>
      <c r="M535" s="279"/>
      <c r="N535" s="280">
        <f t="shared" si="21"/>
        <v>49067.382099999995</v>
      </c>
    </row>
    <row r="536" spans="1:14" s="19" customFormat="1" ht="21" customHeight="1" x14ac:dyDescent="0.4">
      <c r="A536" s="4">
        <v>46010</v>
      </c>
      <c r="B536" s="5" t="s">
        <v>249</v>
      </c>
      <c r="C536" s="236" t="s">
        <v>156</v>
      </c>
      <c r="D536" s="1" t="s">
        <v>272</v>
      </c>
      <c r="E536" s="228"/>
      <c r="F536" s="267">
        <v>4</v>
      </c>
      <c r="G536" s="267">
        <f t="shared" si="19"/>
        <v>108504.72379999999</v>
      </c>
      <c r="H536" s="254">
        <f t="shared" si="20"/>
        <v>434018.89519999997</v>
      </c>
      <c r="I536" s="162" t="s">
        <v>658</v>
      </c>
      <c r="J536" s="267">
        <v>11426</v>
      </c>
      <c r="K536" s="237" t="s">
        <v>651</v>
      </c>
      <c r="L536" s="349">
        <v>9.4962999999999997</v>
      </c>
      <c r="M536" s="279"/>
      <c r="N536" s="280">
        <f t="shared" si="21"/>
        <v>434018.89519999997</v>
      </c>
    </row>
    <row r="537" spans="1:14" s="19" customFormat="1" ht="21" customHeight="1" x14ac:dyDescent="0.4">
      <c r="A537" s="4">
        <v>46010</v>
      </c>
      <c r="B537" s="5" t="s">
        <v>249</v>
      </c>
      <c r="C537" s="236" t="s">
        <v>156</v>
      </c>
      <c r="D537" s="1" t="s">
        <v>272</v>
      </c>
      <c r="E537" s="228"/>
      <c r="F537" s="267">
        <v>3</v>
      </c>
      <c r="G537" s="267">
        <f t="shared" si="19"/>
        <v>108504.72379999999</v>
      </c>
      <c r="H537" s="254">
        <f t="shared" si="20"/>
        <v>325514.17139999999</v>
      </c>
      <c r="I537" s="162" t="s">
        <v>659</v>
      </c>
      <c r="J537" s="267">
        <v>11426</v>
      </c>
      <c r="K537" s="237" t="s">
        <v>651</v>
      </c>
      <c r="L537" s="349">
        <v>9.4962999999999997</v>
      </c>
      <c r="M537" s="279"/>
      <c r="N537" s="280">
        <f t="shared" si="21"/>
        <v>325514.17139999999</v>
      </c>
    </row>
    <row r="538" spans="1:14" s="19" customFormat="1" ht="21" customHeight="1" x14ac:dyDescent="0.4">
      <c r="A538" s="4">
        <v>46017</v>
      </c>
      <c r="B538" s="5" t="s">
        <v>249</v>
      </c>
      <c r="C538" s="236" t="s">
        <v>160</v>
      </c>
      <c r="D538" s="1" t="s">
        <v>255</v>
      </c>
      <c r="E538" s="228"/>
      <c r="F538" s="267">
        <v>8</v>
      </c>
      <c r="G538" s="267">
        <f t="shared" si="19"/>
        <v>381704.95700000005</v>
      </c>
      <c r="H538" s="254">
        <f t="shared" ref="H538:H554" si="22">F538*G538</f>
        <v>3053639.6560000004</v>
      </c>
      <c r="I538" s="139" t="s">
        <v>542</v>
      </c>
      <c r="J538" s="267">
        <v>41410</v>
      </c>
      <c r="K538" s="237" t="s">
        <v>660</v>
      </c>
      <c r="L538" s="349">
        <v>9.2177000000000007</v>
      </c>
      <c r="M538" s="279"/>
    </row>
    <row r="539" spans="1:14" s="19" customFormat="1" ht="21" customHeight="1" x14ac:dyDescent="0.4">
      <c r="A539" s="4">
        <v>46017</v>
      </c>
      <c r="B539" s="5" t="s">
        <v>249</v>
      </c>
      <c r="C539" s="236" t="s">
        <v>150</v>
      </c>
      <c r="D539" s="1" t="s">
        <v>256</v>
      </c>
      <c r="E539" s="228"/>
      <c r="F539" s="267">
        <v>8</v>
      </c>
      <c r="G539" s="267">
        <f t="shared" si="19"/>
        <v>1140413.844</v>
      </c>
      <c r="H539" s="254">
        <f t="shared" si="22"/>
        <v>9123310.7520000003</v>
      </c>
      <c r="I539" s="139" t="s">
        <v>547</v>
      </c>
      <c r="J539" s="267">
        <v>123720</v>
      </c>
      <c r="K539" s="237" t="s">
        <v>660</v>
      </c>
      <c r="L539" s="349">
        <v>9.2177000000000007</v>
      </c>
      <c r="M539" s="279"/>
    </row>
    <row r="540" spans="1:14" s="19" customFormat="1" ht="21" customHeight="1" x14ac:dyDescent="0.4">
      <c r="A540" s="4">
        <v>46017</v>
      </c>
      <c r="B540" s="5" t="s">
        <v>249</v>
      </c>
      <c r="C540" s="236" t="s">
        <v>153</v>
      </c>
      <c r="D540" s="1" t="s">
        <v>269</v>
      </c>
      <c r="E540" s="228"/>
      <c r="F540" s="267">
        <v>4</v>
      </c>
      <c r="G540" s="267">
        <f t="shared" si="19"/>
        <v>1868519.9670000002</v>
      </c>
      <c r="H540" s="254">
        <f t="shared" si="22"/>
        <v>7474079.8680000007</v>
      </c>
      <c r="I540" s="139" t="s">
        <v>584</v>
      </c>
      <c r="J540" s="267">
        <v>202710</v>
      </c>
      <c r="K540" s="237" t="s">
        <v>660</v>
      </c>
      <c r="L540" s="349">
        <v>9.2177000000000007</v>
      </c>
      <c r="M540" s="279"/>
    </row>
    <row r="541" spans="1:14" s="19" customFormat="1" ht="21" customHeight="1" x14ac:dyDescent="0.4">
      <c r="A541" s="4">
        <v>46017</v>
      </c>
      <c r="B541" s="5" t="s">
        <v>249</v>
      </c>
      <c r="C541" s="236" t="s">
        <v>154</v>
      </c>
      <c r="D541" s="1" t="s">
        <v>652</v>
      </c>
      <c r="E541" s="228"/>
      <c r="F541" s="267">
        <v>1</v>
      </c>
      <c r="G541" s="267">
        <f t="shared" si="19"/>
        <v>1458332.317</v>
      </c>
      <c r="H541" s="254">
        <f t="shared" si="22"/>
        <v>1458332.317</v>
      </c>
      <c r="I541" s="139" t="s">
        <v>585</v>
      </c>
      <c r="J541" s="267">
        <v>158210</v>
      </c>
      <c r="K541" s="237" t="s">
        <v>660</v>
      </c>
      <c r="L541" s="349">
        <v>9.2177000000000007</v>
      </c>
      <c r="M541" s="279"/>
    </row>
    <row r="542" spans="1:14" s="19" customFormat="1" ht="21" customHeight="1" x14ac:dyDescent="0.4">
      <c r="A542" s="4">
        <v>46017</v>
      </c>
      <c r="B542" s="5" t="s">
        <v>249</v>
      </c>
      <c r="C542" s="236" t="s">
        <v>154</v>
      </c>
      <c r="D542" s="1" t="s">
        <v>266</v>
      </c>
      <c r="E542" s="228"/>
      <c r="F542" s="267">
        <v>2</v>
      </c>
      <c r="G542" s="267">
        <f t="shared" si="19"/>
        <v>3788013.8150000004</v>
      </c>
      <c r="H542" s="254">
        <f t="shared" si="22"/>
        <v>7576027.6300000008</v>
      </c>
      <c r="I542" s="139" t="s">
        <v>582</v>
      </c>
      <c r="J542" s="267">
        <v>410950</v>
      </c>
      <c r="K542" s="237" t="s">
        <v>660</v>
      </c>
      <c r="L542" s="349">
        <v>9.2177000000000007</v>
      </c>
      <c r="M542" s="279"/>
    </row>
    <row r="543" spans="1:14" s="19" customFormat="1" ht="21" customHeight="1" x14ac:dyDescent="0.4">
      <c r="A543" s="4">
        <v>46017</v>
      </c>
      <c r="B543" s="5" t="s">
        <v>249</v>
      </c>
      <c r="C543" s="236" t="s">
        <v>154</v>
      </c>
      <c r="D543" s="1" t="s">
        <v>653</v>
      </c>
      <c r="E543" s="228"/>
      <c r="F543" s="267">
        <v>1</v>
      </c>
      <c r="G543" s="267">
        <f t="shared" si="19"/>
        <v>1458332.317</v>
      </c>
      <c r="H543" s="254">
        <f t="shared" si="22"/>
        <v>1458332.317</v>
      </c>
      <c r="I543" s="139" t="s">
        <v>583</v>
      </c>
      <c r="J543" s="267">
        <v>158210</v>
      </c>
      <c r="K543" s="237" t="s">
        <v>660</v>
      </c>
      <c r="L543" s="349">
        <v>9.2177000000000007</v>
      </c>
      <c r="M543" s="279"/>
    </row>
    <row r="544" spans="1:14" s="19" customFormat="1" ht="21" customHeight="1" x14ac:dyDescent="0.4">
      <c r="A544" s="4">
        <v>46017</v>
      </c>
      <c r="B544" s="5" t="s">
        <v>249</v>
      </c>
      <c r="C544" s="236" t="s">
        <v>153</v>
      </c>
      <c r="D544" s="1" t="s">
        <v>269</v>
      </c>
      <c r="E544" s="228"/>
      <c r="F544" s="267">
        <v>8</v>
      </c>
      <c r="G544" s="267">
        <f t="shared" si="19"/>
        <v>1868519.9670000002</v>
      </c>
      <c r="H544" s="254">
        <f t="shared" si="22"/>
        <v>14948159.736000001</v>
      </c>
      <c r="I544" s="139" t="s">
        <v>647</v>
      </c>
      <c r="J544" s="267">
        <v>202710</v>
      </c>
      <c r="K544" s="237" t="s">
        <v>660</v>
      </c>
      <c r="L544" s="349">
        <v>9.2177000000000007</v>
      </c>
      <c r="M544" s="279"/>
    </row>
    <row r="545" spans="1:14" s="19" customFormat="1" ht="21" customHeight="1" x14ac:dyDescent="0.4">
      <c r="A545" s="4">
        <v>46017</v>
      </c>
      <c r="B545" s="5" t="s">
        <v>249</v>
      </c>
      <c r="C545" s="236" t="s">
        <v>154</v>
      </c>
      <c r="D545" s="1" t="s">
        <v>653</v>
      </c>
      <c r="E545" s="228"/>
      <c r="F545" s="267">
        <v>1</v>
      </c>
      <c r="G545" s="267">
        <f>J545*L545</f>
        <v>1458332.317</v>
      </c>
      <c r="H545" s="254">
        <f t="shared" si="22"/>
        <v>1458332.317</v>
      </c>
      <c r="I545" s="139" t="s">
        <v>648</v>
      </c>
      <c r="J545" s="267">
        <v>158210</v>
      </c>
      <c r="K545" s="237" t="s">
        <v>660</v>
      </c>
      <c r="L545" s="349">
        <v>9.2177000000000007</v>
      </c>
      <c r="M545" s="279"/>
    </row>
    <row r="546" spans="1:14" s="19" customFormat="1" ht="21" customHeight="1" x14ac:dyDescent="0.4">
      <c r="A546" s="4">
        <v>46017</v>
      </c>
      <c r="B546" s="5" t="s">
        <v>249</v>
      </c>
      <c r="C546" s="236" t="s">
        <v>154</v>
      </c>
      <c r="D546" s="1" t="s">
        <v>267</v>
      </c>
      <c r="E546" s="228"/>
      <c r="F546" s="267">
        <v>10</v>
      </c>
      <c r="G546" s="267">
        <f t="shared" si="19"/>
        <v>3768564.4680000003</v>
      </c>
      <c r="H546" s="254">
        <f t="shared" si="22"/>
        <v>37685644.680000007</v>
      </c>
      <c r="I546" s="139" t="s">
        <v>661</v>
      </c>
      <c r="J546" s="267">
        <v>408840</v>
      </c>
      <c r="K546" s="237" t="s">
        <v>660</v>
      </c>
      <c r="L546" s="349">
        <v>9.2177000000000007</v>
      </c>
      <c r="M546" s="279"/>
    </row>
    <row r="547" spans="1:14" s="19" customFormat="1" ht="21" customHeight="1" x14ac:dyDescent="0.4">
      <c r="A547" s="4">
        <v>46017</v>
      </c>
      <c r="B547" s="5" t="s">
        <v>249</v>
      </c>
      <c r="C547" s="236" t="s">
        <v>155</v>
      </c>
      <c r="D547" s="1" t="s">
        <v>253</v>
      </c>
      <c r="E547" s="228"/>
      <c r="F547" s="267">
        <v>4</v>
      </c>
      <c r="G547" s="267">
        <f t="shared" si="19"/>
        <v>3548814.5000000005</v>
      </c>
      <c r="H547" s="254">
        <f t="shared" si="22"/>
        <v>14195258.000000002</v>
      </c>
      <c r="I547" s="139" t="s">
        <v>662</v>
      </c>
      <c r="J547" s="267">
        <v>385000</v>
      </c>
      <c r="K547" s="237" t="s">
        <v>660</v>
      </c>
      <c r="L547" s="349">
        <v>9.2177000000000007</v>
      </c>
      <c r="M547" s="279"/>
    </row>
    <row r="548" spans="1:14" s="19" customFormat="1" ht="21" customHeight="1" x14ac:dyDescent="0.4">
      <c r="A548" s="4">
        <v>46017</v>
      </c>
      <c r="B548" s="5" t="s">
        <v>249</v>
      </c>
      <c r="C548" s="236" t="s">
        <v>158</v>
      </c>
      <c r="D548" s="1" t="s">
        <v>252</v>
      </c>
      <c r="E548" s="228"/>
      <c r="F548" s="267">
        <v>8</v>
      </c>
      <c r="G548" s="267">
        <f t="shared" si="19"/>
        <v>3421610.24</v>
      </c>
      <c r="H548" s="254">
        <f t="shared" si="22"/>
        <v>27372881.920000002</v>
      </c>
      <c r="I548" s="139" t="s">
        <v>662</v>
      </c>
      <c r="J548" s="267">
        <v>371200</v>
      </c>
      <c r="K548" s="237" t="s">
        <v>660</v>
      </c>
      <c r="L548" s="349">
        <v>9.2177000000000007</v>
      </c>
      <c r="M548" s="279"/>
    </row>
    <row r="549" spans="1:14" s="19" customFormat="1" ht="21" customHeight="1" x14ac:dyDescent="0.4">
      <c r="A549" s="4">
        <v>46017</v>
      </c>
      <c r="B549" s="5" t="s">
        <v>249</v>
      </c>
      <c r="C549" s="236" t="s">
        <v>150</v>
      </c>
      <c r="D549" s="1" t="s">
        <v>275</v>
      </c>
      <c r="E549" s="228"/>
      <c r="F549" s="267">
        <v>1</v>
      </c>
      <c r="G549" s="267">
        <f t="shared" si="19"/>
        <v>535087.48499999999</v>
      </c>
      <c r="H549" s="254">
        <f t="shared" si="22"/>
        <v>535087.48499999999</v>
      </c>
      <c r="I549" s="139" t="s">
        <v>663</v>
      </c>
      <c r="J549" s="267">
        <v>58050</v>
      </c>
      <c r="K549" s="237" t="s">
        <v>660</v>
      </c>
      <c r="L549" s="349">
        <v>9.2177000000000007</v>
      </c>
      <c r="M549" s="279"/>
    </row>
    <row r="550" spans="1:14" s="19" customFormat="1" ht="21" customHeight="1" x14ac:dyDescent="0.4">
      <c r="A550" s="4">
        <v>46017</v>
      </c>
      <c r="B550" s="5" t="s">
        <v>249</v>
      </c>
      <c r="C550" s="236" t="s">
        <v>153</v>
      </c>
      <c r="D550" s="1" t="s">
        <v>337</v>
      </c>
      <c r="E550" s="228"/>
      <c r="F550" s="267">
        <v>2</v>
      </c>
      <c r="G550" s="267">
        <f t="shared" si="19"/>
        <v>2006232.4050000003</v>
      </c>
      <c r="H550" s="254">
        <f t="shared" si="22"/>
        <v>4012464.8100000005</v>
      </c>
      <c r="I550" s="139" t="s">
        <v>664</v>
      </c>
      <c r="J550" s="267">
        <v>217650</v>
      </c>
      <c r="K550" s="237" t="s">
        <v>660</v>
      </c>
      <c r="L550" s="349">
        <v>9.2177000000000007</v>
      </c>
      <c r="M550" s="279"/>
    </row>
    <row r="551" spans="1:14" s="19" customFormat="1" ht="21" customHeight="1" x14ac:dyDescent="0.4">
      <c r="A551" s="4">
        <v>46017</v>
      </c>
      <c r="B551" s="5" t="s">
        <v>249</v>
      </c>
      <c r="C551" s="236" t="s">
        <v>158</v>
      </c>
      <c r="D551" s="1" t="s">
        <v>339</v>
      </c>
      <c r="E551" s="228"/>
      <c r="F551" s="267">
        <v>8</v>
      </c>
      <c r="G551" s="267">
        <f t="shared" si="19"/>
        <v>3421610.24</v>
      </c>
      <c r="H551" s="254">
        <f t="shared" si="22"/>
        <v>27372881.920000002</v>
      </c>
      <c r="I551" s="139" t="s">
        <v>664</v>
      </c>
      <c r="J551" s="267">
        <v>371200</v>
      </c>
      <c r="K551" s="237" t="s">
        <v>660</v>
      </c>
      <c r="L551" s="349">
        <v>9.2177000000000007</v>
      </c>
      <c r="M551" s="279"/>
    </row>
    <row r="552" spans="1:14" s="19" customFormat="1" ht="21" customHeight="1" x14ac:dyDescent="0.4">
      <c r="A552" s="4">
        <v>46017</v>
      </c>
      <c r="B552" s="5" t="s">
        <v>249</v>
      </c>
      <c r="C552" s="236" t="s">
        <v>150</v>
      </c>
      <c r="D552" s="1" t="s">
        <v>151</v>
      </c>
      <c r="E552" s="228"/>
      <c r="F552" s="267">
        <v>1</v>
      </c>
      <c r="G552" s="267">
        <f t="shared" si="19"/>
        <v>535087.48499999999</v>
      </c>
      <c r="H552" s="254">
        <f t="shared" si="22"/>
        <v>535087.48499999999</v>
      </c>
      <c r="I552" s="139" t="s">
        <v>665</v>
      </c>
      <c r="J552" s="267">
        <v>58050</v>
      </c>
      <c r="K552" s="237" t="s">
        <v>660</v>
      </c>
      <c r="L552" s="349">
        <v>9.2177000000000007</v>
      </c>
      <c r="M552" s="279"/>
    </row>
    <row r="553" spans="1:14" s="19" customFormat="1" ht="21" customHeight="1" x14ac:dyDescent="0.4">
      <c r="A553" s="4">
        <v>46017</v>
      </c>
      <c r="B553" s="5" t="s">
        <v>249</v>
      </c>
      <c r="C553" s="236" t="s">
        <v>155</v>
      </c>
      <c r="D553" s="1" t="s">
        <v>254</v>
      </c>
      <c r="E553" s="228"/>
      <c r="F553" s="267">
        <v>4</v>
      </c>
      <c r="G553" s="267">
        <f t="shared" si="19"/>
        <v>3548814.5000000005</v>
      </c>
      <c r="H553" s="254">
        <f t="shared" si="22"/>
        <v>14195258.000000002</v>
      </c>
      <c r="I553" s="139" t="s">
        <v>662</v>
      </c>
      <c r="J553" s="267">
        <v>385000</v>
      </c>
      <c r="K553" s="237" t="s">
        <v>666</v>
      </c>
      <c r="L553" s="349">
        <v>9.2177000000000007</v>
      </c>
      <c r="M553" s="279"/>
    </row>
    <row r="554" spans="1:14" s="19" customFormat="1" ht="21" customHeight="1" x14ac:dyDescent="0.4">
      <c r="A554" s="4">
        <v>46017</v>
      </c>
      <c r="B554" s="5" t="s">
        <v>249</v>
      </c>
      <c r="C554" s="236" t="s">
        <v>155</v>
      </c>
      <c r="D554" s="1" t="s">
        <v>254</v>
      </c>
      <c r="E554" s="228"/>
      <c r="F554" s="267">
        <v>8</v>
      </c>
      <c r="G554" s="267">
        <f t="shared" si="19"/>
        <v>3548814.5000000005</v>
      </c>
      <c r="H554" s="254">
        <f t="shared" si="22"/>
        <v>28390516.000000004</v>
      </c>
      <c r="I554" s="139" t="s">
        <v>664</v>
      </c>
      <c r="J554" s="267">
        <v>385000</v>
      </c>
      <c r="K554" s="237" t="s">
        <v>666</v>
      </c>
      <c r="L554" s="349">
        <v>9.2177000000000007</v>
      </c>
      <c r="M554" s="279"/>
    </row>
    <row r="555" spans="1:14" s="19" customFormat="1" ht="21" customHeight="1" x14ac:dyDescent="0.4">
      <c r="A555" s="37"/>
      <c r="B555" s="243"/>
      <c r="C555" s="233"/>
      <c r="D555" s="38"/>
      <c r="E555" s="234"/>
      <c r="F555" s="281"/>
      <c r="G555" s="281"/>
      <c r="H555" s="354">
        <f>SUM(H491:H554)-2</f>
        <v>659900588.23079991</v>
      </c>
      <c r="I555" s="235">
        <v>663871254</v>
      </c>
      <c r="J555" s="234">
        <f>H555-I555</f>
        <v>-3970665.7692000866</v>
      </c>
      <c r="K555" s="57"/>
      <c r="L555" s="282"/>
      <c r="M555" s="283"/>
    </row>
    <row r="556" spans="1:14" s="19" customFormat="1" ht="21" customHeight="1" x14ac:dyDescent="0.4">
      <c r="A556" s="4">
        <v>46015</v>
      </c>
      <c r="B556" s="240" t="s">
        <v>162</v>
      </c>
      <c r="C556" s="236" t="s">
        <v>667</v>
      </c>
      <c r="D556" s="1" t="s">
        <v>668</v>
      </c>
      <c r="E556" s="228" t="s">
        <v>11</v>
      </c>
      <c r="F556" s="267">
        <v>137</v>
      </c>
      <c r="G556" s="267">
        <v>300273</v>
      </c>
      <c r="H556" s="254">
        <f>F556*G556</f>
        <v>41137401</v>
      </c>
      <c r="I556" s="237"/>
      <c r="J556" s="228"/>
      <c r="K556" s="43"/>
      <c r="L556" s="284"/>
      <c r="M556" s="279"/>
    </row>
    <row r="557" spans="1:14" s="19" customFormat="1" ht="21" customHeight="1" x14ac:dyDescent="0.4">
      <c r="A557" s="4">
        <v>46372</v>
      </c>
      <c r="B557" s="240" t="s">
        <v>162</v>
      </c>
      <c r="C557" s="236" t="s">
        <v>711</v>
      </c>
      <c r="D557" s="1" t="s">
        <v>712</v>
      </c>
      <c r="E557" s="228"/>
      <c r="F557" s="267">
        <v>5250</v>
      </c>
      <c r="G557" s="267">
        <v>340</v>
      </c>
      <c r="H557" s="254">
        <f>F557*G557</f>
        <v>1785000</v>
      </c>
      <c r="I557" s="237"/>
      <c r="J557" s="228"/>
      <c r="K557" s="43"/>
      <c r="L557" s="284"/>
      <c r="M557" s="279"/>
    </row>
    <row r="558" spans="1:14" s="19" customFormat="1" ht="21" customHeight="1" x14ac:dyDescent="0.4">
      <c r="A558" s="37"/>
      <c r="B558" s="243"/>
      <c r="C558" s="233"/>
      <c r="D558" s="38"/>
      <c r="E558" s="234"/>
      <c r="F558" s="281"/>
      <c r="G558" s="281"/>
      <c r="H558" s="354">
        <f>SUM(H556:H557)</f>
        <v>42922401</v>
      </c>
      <c r="I558" s="235"/>
      <c r="J558" s="234"/>
      <c r="K558" s="57"/>
      <c r="L558" s="282"/>
      <c r="M558" s="283"/>
    </row>
    <row r="559" spans="1:14" s="19" customFormat="1" ht="21" customHeight="1" x14ac:dyDescent="0.4">
      <c r="A559" s="4">
        <v>45992</v>
      </c>
      <c r="B559" s="240" t="s">
        <v>163</v>
      </c>
      <c r="C559" s="236" t="s">
        <v>276</v>
      </c>
      <c r="D559" s="1"/>
      <c r="E559" s="228" t="s">
        <v>17</v>
      </c>
      <c r="F559" s="228">
        <v>60</v>
      </c>
      <c r="G559" s="285">
        <v>107474</v>
      </c>
      <c r="H559" s="254">
        <f t="shared" ref="H559:H587" si="23">F559*G559</f>
        <v>6448440</v>
      </c>
      <c r="I559" s="284"/>
      <c r="J559" s="228"/>
      <c r="K559" s="253"/>
      <c r="L559" s="73"/>
      <c r="N559" s="3"/>
    </row>
    <row r="560" spans="1:14" s="19" customFormat="1" ht="21" customHeight="1" x14ac:dyDescent="0.4">
      <c r="A560" s="4">
        <v>45993</v>
      </c>
      <c r="B560" s="240" t="s">
        <v>163</v>
      </c>
      <c r="C560" s="236" t="s">
        <v>276</v>
      </c>
      <c r="D560" s="1"/>
      <c r="E560" s="228" t="s">
        <v>17</v>
      </c>
      <c r="F560" s="228">
        <v>90</v>
      </c>
      <c r="G560" s="285">
        <v>107474</v>
      </c>
      <c r="H560" s="254">
        <f t="shared" si="23"/>
        <v>9672660</v>
      </c>
      <c r="I560" s="139"/>
      <c r="J560" s="228"/>
      <c r="K560" s="253"/>
      <c r="L560" s="73"/>
      <c r="N560" s="3"/>
    </row>
    <row r="561" spans="1:14" s="19" customFormat="1" ht="21" customHeight="1" x14ac:dyDescent="0.4">
      <c r="A561" s="4">
        <v>45994</v>
      </c>
      <c r="B561" s="240" t="s">
        <v>163</v>
      </c>
      <c r="C561" s="236" t="s">
        <v>276</v>
      </c>
      <c r="D561" s="1"/>
      <c r="E561" s="228" t="s">
        <v>17</v>
      </c>
      <c r="F561" s="228">
        <v>60</v>
      </c>
      <c r="G561" s="285">
        <v>107474</v>
      </c>
      <c r="H561" s="254">
        <f t="shared" si="23"/>
        <v>6448440</v>
      </c>
      <c r="I561" s="139"/>
      <c r="J561" s="228"/>
      <c r="K561" s="253"/>
      <c r="L561" s="73"/>
      <c r="N561" s="3"/>
    </row>
    <row r="562" spans="1:14" s="19" customFormat="1" ht="21" customHeight="1" x14ac:dyDescent="0.4">
      <c r="A562" s="4">
        <v>45995</v>
      </c>
      <c r="B562" s="240" t="s">
        <v>163</v>
      </c>
      <c r="C562" s="236" t="s">
        <v>276</v>
      </c>
      <c r="D562" s="1"/>
      <c r="E562" s="228" t="s">
        <v>17</v>
      </c>
      <c r="F562" s="228">
        <v>60</v>
      </c>
      <c r="G562" s="285">
        <v>107474</v>
      </c>
      <c r="H562" s="254">
        <f t="shared" si="23"/>
        <v>6448440</v>
      </c>
      <c r="I562" s="139"/>
      <c r="J562" s="228"/>
      <c r="K562" s="253"/>
      <c r="L562" s="73"/>
      <c r="N562" s="3"/>
    </row>
    <row r="563" spans="1:14" s="19" customFormat="1" ht="21" customHeight="1" x14ac:dyDescent="0.4">
      <c r="A563" s="4">
        <v>45996</v>
      </c>
      <c r="B563" s="240" t="s">
        <v>163</v>
      </c>
      <c r="C563" s="236" t="s">
        <v>276</v>
      </c>
      <c r="D563" s="1"/>
      <c r="E563" s="228" t="s">
        <v>17</v>
      </c>
      <c r="F563" s="228">
        <v>30</v>
      </c>
      <c r="G563" s="285">
        <v>107474</v>
      </c>
      <c r="H563" s="254">
        <f t="shared" si="23"/>
        <v>3224220</v>
      </c>
      <c r="I563" s="139"/>
      <c r="J563" s="228"/>
      <c r="K563" s="253"/>
      <c r="L563" s="73"/>
      <c r="N563" s="3"/>
    </row>
    <row r="564" spans="1:14" s="19" customFormat="1" ht="21" customHeight="1" x14ac:dyDescent="0.4">
      <c r="A564" s="4">
        <v>45996</v>
      </c>
      <c r="B564" s="240" t="s">
        <v>163</v>
      </c>
      <c r="C564" s="236" t="s">
        <v>276</v>
      </c>
      <c r="D564" s="1"/>
      <c r="E564" s="228" t="s">
        <v>17</v>
      </c>
      <c r="F564" s="228">
        <v>60</v>
      </c>
      <c r="G564" s="285">
        <v>107474</v>
      </c>
      <c r="H564" s="254">
        <f t="shared" si="23"/>
        <v>6448440</v>
      </c>
      <c r="I564" s="139"/>
      <c r="J564" s="228"/>
      <c r="K564" s="253"/>
      <c r="L564" s="73"/>
      <c r="N564" s="3"/>
    </row>
    <row r="565" spans="1:14" s="19" customFormat="1" ht="21" customHeight="1" x14ac:dyDescent="0.4">
      <c r="A565" s="4">
        <v>45997</v>
      </c>
      <c r="B565" s="240" t="s">
        <v>163</v>
      </c>
      <c r="C565" s="236" t="s">
        <v>276</v>
      </c>
      <c r="D565" s="1"/>
      <c r="E565" s="228" t="s">
        <v>17</v>
      </c>
      <c r="F565" s="228">
        <v>90</v>
      </c>
      <c r="G565" s="285">
        <v>107474</v>
      </c>
      <c r="H565" s="254">
        <f t="shared" si="23"/>
        <v>9672660</v>
      </c>
      <c r="I565" s="139"/>
      <c r="J565" s="228"/>
      <c r="K565" s="253"/>
      <c r="L565" s="73"/>
      <c r="N565" s="3"/>
    </row>
    <row r="566" spans="1:14" s="19" customFormat="1" ht="21" customHeight="1" x14ac:dyDescent="0.4">
      <c r="A566" s="4">
        <v>45999</v>
      </c>
      <c r="B566" s="240" t="s">
        <v>163</v>
      </c>
      <c r="C566" s="236" t="s">
        <v>276</v>
      </c>
      <c r="D566" s="1"/>
      <c r="E566" s="228" t="s">
        <v>17</v>
      </c>
      <c r="F566" s="228">
        <v>90</v>
      </c>
      <c r="G566" s="285">
        <v>107474</v>
      </c>
      <c r="H566" s="254">
        <f t="shared" si="23"/>
        <v>9672660</v>
      </c>
      <c r="I566" s="139"/>
      <c r="J566" s="228"/>
      <c r="K566" s="253"/>
      <c r="L566" s="73"/>
      <c r="N566" s="3"/>
    </row>
    <row r="567" spans="1:14" s="19" customFormat="1" ht="21" customHeight="1" x14ac:dyDescent="0.4">
      <c r="A567" s="4">
        <v>46000</v>
      </c>
      <c r="B567" s="240" t="s">
        <v>163</v>
      </c>
      <c r="C567" s="236" t="s">
        <v>276</v>
      </c>
      <c r="D567" s="1"/>
      <c r="E567" s="228" t="s">
        <v>17</v>
      </c>
      <c r="F567" s="228">
        <v>60</v>
      </c>
      <c r="G567" s="285">
        <v>107474</v>
      </c>
      <c r="H567" s="254">
        <f t="shared" si="23"/>
        <v>6448440</v>
      </c>
      <c r="I567" s="139"/>
      <c r="J567" s="228"/>
      <c r="K567" s="253"/>
      <c r="L567" s="73"/>
      <c r="N567" s="3"/>
    </row>
    <row r="568" spans="1:14" s="19" customFormat="1" ht="21" customHeight="1" x14ac:dyDescent="0.4">
      <c r="A568" s="4">
        <v>46001</v>
      </c>
      <c r="B568" s="240" t="s">
        <v>163</v>
      </c>
      <c r="C568" s="236" t="s">
        <v>276</v>
      </c>
      <c r="D568" s="1"/>
      <c r="E568" s="228" t="s">
        <v>17</v>
      </c>
      <c r="F568" s="228">
        <v>143</v>
      </c>
      <c r="G568" s="285">
        <v>107474</v>
      </c>
      <c r="H568" s="254">
        <f t="shared" si="23"/>
        <v>15368782</v>
      </c>
      <c r="I568" s="139"/>
      <c r="J568" s="228"/>
      <c r="K568" s="253"/>
      <c r="L568" s="73"/>
      <c r="N568" s="3"/>
    </row>
    <row r="569" spans="1:14" s="19" customFormat="1" ht="21" customHeight="1" x14ac:dyDescent="0.4">
      <c r="A569" s="4">
        <v>46003</v>
      </c>
      <c r="B569" s="240" t="s">
        <v>163</v>
      </c>
      <c r="C569" s="236" t="s">
        <v>276</v>
      </c>
      <c r="D569" s="1"/>
      <c r="E569" s="228" t="s">
        <v>17</v>
      </c>
      <c r="F569" s="228">
        <v>90</v>
      </c>
      <c r="G569" s="285">
        <v>107474</v>
      </c>
      <c r="H569" s="254">
        <f t="shared" si="23"/>
        <v>9672660</v>
      </c>
      <c r="I569" s="139"/>
      <c r="J569" s="228"/>
      <c r="K569" s="253"/>
      <c r="L569" s="73"/>
      <c r="N569" s="3"/>
    </row>
    <row r="570" spans="1:14" s="19" customFormat="1" ht="21" customHeight="1" x14ac:dyDescent="0.4">
      <c r="A570" s="4">
        <v>46004</v>
      </c>
      <c r="B570" s="240" t="s">
        <v>163</v>
      </c>
      <c r="C570" s="236" t="s">
        <v>276</v>
      </c>
      <c r="D570" s="1"/>
      <c r="E570" s="228" t="s">
        <v>17</v>
      </c>
      <c r="F570" s="228">
        <v>51</v>
      </c>
      <c r="G570" s="285">
        <v>107474</v>
      </c>
      <c r="H570" s="254">
        <f t="shared" si="23"/>
        <v>5481174</v>
      </c>
      <c r="I570" s="139"/>
      <c r="J570" s="228"/>
      <c r="K570" s="253"/>
      <c r="L570" s="73"/>
      <c r="N570" s="3"/>
    </row>
    <row r="571" spans="1:14" s="19" customFormat="1" ht="21" customHeight="1" x14ac:dyDescent="0.4">
      <c r="A571" s="4">
        <v>46006</v>
      </c>
      <c r="B571" s="240" t="s">
        <v>163</v>
      </c>
      <c r="C571" s="236" t="s">
        <v>276</v>
      </c>
      <c r="D571" s="1"/>
      <c r="E571" s="228" t="s">
        <v>17</v>
      </c>
      <c r="F571" s="228">
        <v>30</v>
      </c>
      <c r="G571" s="285">
        <v>107474</v>
      </c>
      <c r="H571" s="254">
        <f t="shared" si="23"/>
        <v>3224220</v>
      </c>
      <c r="I571" s="139" t="s">
        <v>549</v>
      </c>
      <c r="J571" s="228"/>
      <c r="K571" s="253"/>
      <c r="L571" s="73"/>
      <c r="N571" s="3"/>
    </row>
    <row r="572" spans="1:14" s="19" customFormat="1" ht="21" customHeight="1" x14ac:dyDescent="0.4">
      <c r="A572" s="4">
        <v>46006</v>
      </c>
      <c r="B572" s="240" t="s">
        <v>163</v>
      </c>
      <c r="C572" s="236" t="s">
        <v>276</v>
      </c>
      <c r="D572" s="1"/>
      <c r="E572" s="228" t="s">
        <v>17</v>
      </c>
      <c r="F572" s="228">
        <v>30</v>
      </c>
      <c r="G572" s="285">
        <v>107474</v>
      </c>
      <c r="H572" s="254">
        <f t="shared" si="23"/>
        <v>3224220</v>
      </c>
      <c r="I572" s="139"/>
      <c r="J572" s="228"/>
      <c r="K572" s="253"/>
      <c r="L572" s="73"/>
      <c r="N572" s="3"/>
    </row>
    <row r="573" spans="1:14" s="19" customFormat="1" ht="21" customHeight="1" x14ac:dyDescent="0.4">
      <c r="A573" s="4">
        <v>46007</v>
      </c>
      <c r="B573" s="240" t="s">
        <v>163</v>
      </c>
      <c r="C573" s="236" t="s">
        <v>276</v>
      </c>
      <c r="D573" s="1"/>
      <c r="E573" s="228" t="s">
        <v>17</v>
      </c>
      <c r="F573" s="228">
        <v>44</v>
      </c>
      <c r="G573" s="285">
        <v>107474</v>
      </c>
      <c r="H573" s="254">
        <f t="shared" si="23"/>
        <v>4728856</v>
      </c>
      <c r="I573" s="139"/>
      <c r="J573" s="228"/>
      <c r="K573" s="253"/>
      <c r="L573" s="73"/>
      <c r="N573" s="3"/>
    </row>
    <row r="574" spans="1:14" s="19" customFormat="1" ht="21" customHeight="1" x14ac:dyDescent="0.4">
      <c r="A574" s="4">
        <v>46008</v>
      </c>
      <c r="B574" s="240" t="s">
        <v>163</v>
      </c>
      <c r="C574" s="236" t="s">
        <v>276</v>
      </c>
      <c r="D574" s="1"/>
      <c r="E574" s="228" t="s">
        <v>17</v>
      </c>
      <c r="F574" s="228">
        <v>60</v>
      </c>
      <c r="G574" s="285">
        <v>107474</v>
      </c>
      <c r="H574" s="254">
        <f t="shared" si="23"/>
        <v>6448440</v>
      </c>
      <c r="I574" s="139"/>
      <c r="J574" s="228"/>
      <c r="K574" s="253"/>
      <c r="L574" s="73"/>
      <c r="N574" s="3"/>
    </row>
    <row r="575" spans="1:14" s="19" customFormat="1" ht="21" customHeight="1" x14ac:dyDescent="0.4">
      <c r="A575" s="4">
        <v>46009</v>
      </c>
      <c r="B575" s="240" t="s">
        <v>163</v>
      </c>
      <c r="C575" s="236" t="s">
        <v>276</v>
      </c>
      <c r="D575" s="1"/>
      <c r="E575" s="228" t="s">
        <v>17</v>
      </c>
      <c r="F575" s="228">
        <v>90</v>
      </c>
      <c r="G575" s="285">
        <v>107474</v>
      </c>
      <c r="H575" s="254">
        <f t="shared" si="23"/>
        <v>9672660</v>
      </c>
      <c r="I575" s="139"/>
      <c r="J575" s="228"/>
      <c r="K575" s="253"/>
      <c r="L575" s="73"/>
      <c r="N575" s="3"/>
    </row>
    <row r="576" spans="1:14" s="19" customFormat="1" ht="21" customHeight="1" x14ac:dyDescent="0.4">
      <c r="A576" s="4">
        <v>46010</v>
      </c>
      <c r="B576" s="240" t="s">
        <v>163</v>
      </c>
      <c r="C576" s="236" t="s">
        <v>276</v>
      </c>
      <c r="D576" s="1"/>
      <c r="E576" s="228" t="s">
        <v>17</v>
      </c>
      <c r="F576" s="228">
        <v>90</v>
      </c>
      <c r="G576" s="285">
        <v>107474</v>
      </c>
      <c r="H576" s="254">
        <f t="shared" si="23"/>
        <v>9672660</v>
      </c>
      <c r="I576" s="139"/>
      <c r="J576" s="228"/>
      <c r="K576" s="253"/>
      <c r="L576" s="73"/>
      <c r="N576" s="3"/>
    </row>
    <row r="577" spans="1:15" s="19" customFormat="1" ht="21" customHeight="1" x14ac:dyDescent="0.4">
      <c r="A577" s="4">
        <v>46012</v>
      </c>
      <c r="B577" s="240" t="s">
        <v>163</v>
      </c>
      <c r="C577" s="236" t="s">
        <v>276</v>
      </c>
      <c r="D577" s="1"/>
      <c r="E577" s="228" t="s">
        <v>17</v>
      </c>
      <c r="F577" s="228">
        <v>60</v>
      </c>
      <c r="G577" s="285">
        <v>107474</v>
      </c>
      <c r="H577" s="254">
        <f t="shared" si="23"/>
        <v>6448440</v>
      </c>
      <c r="I577" s="139"/>
      <c r="J577" s="228"/>
      <c r="K577" s="253"/>
      <c r="L577" s="73"/>
      <c r="N577" s="3"/>
    </row>
    <row r="578" spans="1:15" s="19" customFormat="1" ht="21" customHeight="1" x14ac:dyDescent="0.4">
      <c r="A578" s="4">
        <v>46013</v>
      </c>
      <c r="B578" s="240" t="s">
        <v>163</v>
      </c>
      <c r="C578" s="236" t="s">
        <v>276</v>
      </c>
      <c r="D578" s="1"/>
      <c r="E578" s="228" t="s">
        <v>17</v>
      </c>
      <c r="F578" s="228">
        <v>90</v>
      </c>
      <c r="G578" s="285">
        <v>107474</v>
      </c>
      <c r="H578" s="254">
        <f t="shared" si="23"/>
        <v>9672660</v>
      </c>
      <c r="I578" s="139"/>
      <c r="J578" s="228"/>
      <c r="K578" s="253"/>
      <c r="L578" s="286"/>
      <c r="N578" s="3"/>
    </row>
    <row r="579" spans="1:15" s="19" customFormat="1" ht="21" customHeight="1" x14ac:dyDescent="0.4">
      <c r="A579" s="4">
        <v>46014</v>
      </c>
      <c r="B579" s="240" t="s">
        <v>163</v>
      </c>
      <c r="C579" s="236" t="s">
        <v>276</v>
      </c>
      <c r="D579" s="1"/>
      <c r="E579" s="228" t="s">
        <v>17</v>
      </c>
      <c r="F579" s="228">
        <v>60</v>
      </c>
      <c r="G579" s="285">
        <v>107474</v>
      </c>
      <c r="H579" s="254">
        <f t="shared" si="23"/>
        <v>6448440</v>
      </c>
      <c r="I579" s="139"/>
      <c r="J579" s="228"/>
      <c r="K579" s="253"/>
      <c r="L579" s="286"/>
      <c r="N579" s="3"/>
    </row>
    <row r="580" spans="1:15" s="19" customFormat="1" ht="21" customHeight="1" x14ac:dyDescent="0.4">
      <c r="A580" s="4">
        <v>46015</v>
      </c>
      <c r="B580" s="240" t="s">
        <v>163</v>
      </c>
      <c r="C580" s="236" t="s">
        <v>276</v>
      </c>
      <c r="D580" s="1"/>
      <c r="E580" s="228" t="s">
        <v>17</v>
      </c>
      <c r="F580" s="228">
        <v>30</v>
      </c>
      <c r="G580" s="285">
        <v>107474</v>
      </c>
      <c r="H580" s="254">
        <f t="shared" si="23"/>
        <v>3224220</v>
      </c>
      <c r="I580" s="139" t="s">
        <v>550</v>
      </c>
      <c r="J580" s="228"/>
      <c r="K580" s="253"/>
      <c r="L580" s="286"/>
      <c r="N580" s="3"/>
    </row>
    <row r="581" spans="1:15" s="19" customFormat="1" ht="21" customHeight="1" x14ac:dyDescent="0.4">
      <c r="A581" s="4">
        <v>46015</v>
      </c>
      <c r="B581" s="240" t="s">
        <v>163</v>
      </c>
      <c r="C581" s="236" t="s">
        <v>276</v>
      </c>
      <c r="D581" s="1"/>
      <c r="E581" s="228" t="s">
        <v>17</v>
      </c>
      <c r="F581" s="228">
        <v>60</v>
      </c>
      <c r="G581" s="285">
        <v>107474</v>
      </c>
      <c r="H581" s="254">
        <f t="shared" si="23"/>
        <v>6448440</v>
      </c>
      <c r="I581" s="139"/>
      <c r="J581" s="228"/>
      <c r="K581" s="253"/>
      <c r="L581" s="286"/>
      <c r="N581" s="3"/>
    </row>
    <row r="582" spans="1:15" s="19" customFormat="1" ht="21" customHeight="1" x14ac:dyDescent="0.4">
      <c r="A582" s="4">
        <v>46016</v>
      </c>
      <c r="B582" s="240" t="s">
        <v>163</v>
      </c>
      <c r="C582" s="236" t="s">
        <v>276</v>
      </c>
      <c r="D582" s="1"/>
      <c r="E582" s="228" t="s">
        <v>17</v>
      </c>
      <c r="F582" s="228">
        <v>27</v>
      </c>
      <c r="G582" s="285">
        <v>107474</v>
      </c>
      <c r="H582" s="254">
        <f t="shared" si="23"/>
        <v>2901798</v>
      </c>
      <c r="I582" s="139"/>
      <c r="J582" s="228"/>
      <c r="K582" s="253"/>
      <c r="L582" s="286"/>
      <c r="N582" s="3"/>
    </row>
    <row r="583" spans="1:15" s="19" customFormat="1" ht="21" customHeight="1" x14ac:dyDescent="0.4">
      <c r="A583" s="4">
        <v>46017</v>
      </c>
      <c r="B583" s="240" t="s">
        <v>163</v>
      </c>
      <c r="C583" s="236" t="s">
        <v>276</v>
      </c>
      <c r="D583" s="1"/>
      <c r="E583" s="228" t="s">
        <v>17</v>
      </c>
      <c r="F583" s="228">
        <v>60</v>
      </c>
      <c r="G583" s="285">
        <v>107474</v>
      </c>
      <c r="H583" s="254">
        <f t="shared" si="23"/>
        <v>6448440</v>
      </c>
      <c r="I583" s="139"/>
      <c r="J583" s="228"/>
      <c r="K583" s="253"/>
      <c r="L583" s="286"/>
      <c r="N583" s="3"/>
    </row>
    <row r="584" spans="1:15" s="19" customFormat="1" ht="21" customHeight="1" x14ac:dyDescent="0.4">
      <c r="A584" s="4">
        <v>46018</v>
      </c>
      <c r="B584" s="240" t="s">
        <v>163</v>
      </c>
      <c r="C584" s="236" t="s">
        <v>276</v>
      </c>
      <c r="D584" s="1"/>
      <c r="E584" s="228" t="s">
        <v>17</v>
      </c>
      <c r="F584" s="228">
        <v>60</v>
      </c>
      <c r="G584" s="285">
        <v>107474</v>
      </c>
      <c r="H584" s="254">
        <f t="shared" si="23"/>
        <v>6448440</v>
      </c>
      <c r="I584" s="139"/>
      <c r="J584" s="228"/>
      <c r="K584" s="253"/>
      <c r="L584" s="286"/>
      <c r="N584" s="3"/>
    </row>
    <row r="585" spans="1:15" s="19" customFormat="1" ht="21" customHeight="1" x14ac:dyDescent="0.4">
      <c r="A585" s="4">
        <v>46020</v>
      </c>
      <c r="B585" s="240" t="s">
        <v>163</v>
      </c>
      <c r="C585" s="236" t="s">
        <v>276</v>
      </c>
      <c r="D585" s="1"/>
      <c r="E585" s="228" t="s">
        <v>17</v>
      </c>
      <c r="F585" s="228">
        <v>50</v>
      </c>
      <c r="G585" s="285">
        <v>107474</v>
      </c>
      <c r="H585" s="254">
        <f t="shared" si="23"/>
        <v>5373700</v>
      </c>
      <c r="I585" s="139"/>
      <c r="J585" s="228"/>
      <c r="K585" s="253"/>
      <c r="L585" s="286"/>
      <c r="N585" s="3"/>
    </row>
    <row r="586" spans="1:15" s="19" customFormat="1" ht="21" customHeight="1" x14ac:dyDescent="0.4">
      <c r="A586" s="4">
        <v>46021</v>
      </c>
      <c r="B586" s="240" t="s">
        <v>163</v>
      </c>
      <c r="C586" s="236" t="s">
        <v>276</v>
      </c>
      <c r="D586" s="1"/>
      <c r="E586" s="228" t="s">
        <v>17</v>
      </c>
      <c r="F586" s="228">
        <v>30</v>
      </c>
      <c r="G586" s="285">
        <v>107474</v>
      </c>
      <c r="H586" s="254">
        <f t="shared" si="23"/>
        <v>3224220</v>
      </c>
      <c r="I586" s="139"/>
      <c r="J586" s="228"/>
      <c r="K586" s="253"/>
      <c r="L586" s="286"/>
      <c r="N586" s="3"/>
    </row>
    <row r="587" spans="1:15" s="19" customFormat="1" ht="21" customHeight="1" x14ac:dyDescent="0.4">
      <c r="A587" s="4">
        <v>46022</v>
      </c>
      <c r="B587" s="240" t="s">
        <v>163</v>
      </c>
      <c r="C587" s="236" t="s">
        <v>276</v>
      </c>
      <c r="D587" s="1"/>
      <c r="E587" s="228" t="s">
        <v>17</v>
      </c>
      <c r="F587" s="228">
        <v>90</v>
      </c>
      <c r="G587" s="285">
        <v>107474</v>
      </c>
      <c r="H587" s="254">
        <f t="shared" si="23"/>
        <v>9672660</v>
      </c>
      <c r="I587" s="139"/>
      <c r="J587" s="228"/>
      <c r="K587" s="253"/>
      <c r="L587" s="286"/>
      <c r="N587" s="3"/>
    </row>
    <row r="588" spans="1:15" s="19" customFormat="1" ht="21" customHeight="1" x14ac:dyDescent="0.4">
      <c r="A588" s="204"/>
      <c r="B588" s="287"/>
      <c r="C588" s="288"/>
      <c r="D588" s="207"/>
      <c r="E588" s="289"/>
      <c r="F588" s="290">
        <f>SUM(F559:F587)</f>
        <v>1845</v>
      </c>
      <c r="G588" s="291"/>
      <c r="H588" s="355">
        <f>SUM(H559:H587)</f>
        <v>198289530</v>
      </c>
      <c r="I588" s="291"/>
      <c r="J588" s="289"/>
      <c r="K588" s="292"/>
      <c r="L588" s="291"/>
      <c r="M588" s="283"/>
      <c r="O588" s="280"/>
    </row>
    <row r="589" spans="1:15" s="19" customFormat="1" ht="21" customHeight="1" x14ac:dyDescent="0.4">
      <c r="A589" s="4">
        <v>46006</v>
      </c>
      <c r="B589" s="240" t="s">
        <v>163</v>
      </c>
      <c r="C589" s="236" t="s">
        <v>276</v>
      </c>
      <c r="D589" s="1"/>
      <c r="E589" s="228" t="s">
        <v>17</v>
      </c>
      <c r="F589" s="228">
        <v>2</v>
      </c>
      <c r="G589" s="285">
        <v>107474</v>
      </c>
      <c r="H589" s="254">
        <f>F589*G589</f>
        <v>214948</v>
      </c>
      <c r="I589" s="139"/>
      <c r="J589" s="228"/>
      <c r="K589" s="30"/>
      <c r="L589" s="249"/>
      <c r="M589" s="283"/>
      <c r="N589" s="3"/>
      <c r="O589" s="280"/>
    </row>
    <row r="590" spans="1:15" s="19" customFormat="1" ht="21" customHeight="1" x14ac:dyDescent="0.4">
      <c r="A590" s="204"/>
      <c r="B590" s="287"/>
      <c r="C590" s="288"/>
      <c r="D590" s="207"/>
      <c r="E590" s="289"/>
      <c r="F590" s="290"/>
      <c r="G590" s="291"/>
      <c r="H590" s="355">
        <f>SUM(H589:H589)</f>
        <v>214948</v>
      </c>
      <c r="I590" s="209"/>
      <c r="J590" s="289"/>
      <c r="K590" s="85"/>
      <c r="L590" s="210"/>
      <c r="M590" s="283"/>
      <c r="O590" s="280"/>
    </row>
    <row r="591" spans="1:15" s="19" customFormat="1" ht="21" customHeight="1" x14ac:dyDescent="0.4">
      <c r="A591" s="4">
        <v>45993</v>
      </c>
      <c r="B591" s="240" t="s">
        <v>163</v>
      </c>
      <c r="C591" s="236" t="s">
        <v>276</v>
      </c>
      <c r="D591" s="1"/>
      <c r="E591" s="228" t="s">
        <v>17</v>
      </c>
      <c r="F591" s="228">
        <v>-30</v>
      </c>
      <c r="G591" s="285">
        <v>107474</v>
      </c>
      <c r="H591" s="254">
        <f t="shared" ref="H591:H600" si="24">F591*G591</f>
        <v>-3224220</v>
      </c>
      <c r="I591" s="139" t="s">
        <v>394</v>
      </c>
      <c r="J591" s="228"/>
      <c r="K591" s="41"/>
      <c r="L591" s="121"/>
      <c r="M591" s="283"/>
    </row>
    <row r="592" spans="1:15" s="19" customFormat="1" ht="21" customHeight="1" x14ac:dyDescent="0.4">
      <c r="A592" s="4">
        <v>45995</v>
      </c>
      <c r="B592" s="240" t="s">
        <v>163</v>
      </c>
      <c r="C592" s="236" t="s">
        <v>276</v>
      </c>
      <c r="D592" s="1"/>
      <c r="E592" s="228" t="s">
        <v>17</v>
      </c>
      <c r="F592" s="228">
        <v>-30</v>
      </c>
      <c r="G592" s="285">
        <v>107474</v>
      </c>
      <c r="H592" s="254">
        <f t="shared" si="24"/>
        <v>-3224220</v>
      </c>
      <c r="I592" s="139" t="s">
        <v>394</v>
      </c>
      <c r="J592" s="228"/>
      <c r="K592" s="41"/>
      <c r="L592" s="121"/>
      <c r="M592" s="283"/>
    </row>
    <row r="593" spans="1:13" s="19" customFormat="1" ht="21" customHeight="1" x14ac:dyDescent="0.4">
      <c r="A593" s="4">
        <v>46000</v>
      </c>
      <c r="B593" s="240" t="s">
        <v>163</v>
      </c>
      <c r="C593" s="236" t="s">
        <v>276</v>
      </c>
      <c r="D593" s="1"/>
      <c r="E593" s="228" t="s">
        <v>17</v>
      </c>
      <c r="F593" s="228">
        <v>-60</v>
      </c>
      <c r="G593" s="285">
        <v>107474</v>
      </c>
      <c r="H593" s="254">
        <f t="shared" si="24"/>
        <v>-6448440</v>
      </c>
      <c r="I593" s="139" t="s">
        <v>394</v>
      </c>
      <c r="J593" s="228"/>
      <c r="K593" s="41"/>
      <c r="L593" s="121"/>
      <c r="M593" s="283"/>
    </row>
    <row r="594" spans="1:13" s="19" customFormat="1" ht="21" customHeight="1" x14ac:dyDescent="0.4">
      <c r="A594" s="4">
        <v>46001</v>
      </c>
      <c r="B594" s="240" t="s">
        <v>163</v>
      </c>
      <c r="C594" s="236" t="s">
        <v>276</v>
      </c>
      <c r="D594" s="1"/>
      <c r="E594" s="228" t="s">
        <v>17</v>
      </c>
      <c r="F594" s="228">
        <v>-27</v>
      </c>
      <c r="G594" s="285">
        <v>107474</v>
      </c>
      <c r="H594" s="254">
        <f t="shared" si="24"/>
        <v>-2901798</v>
      </c>
      <c r="I594" s="139" t="s">
        <v>394</v>
      </c>
      <c r="J594" s="228"/>
      <c r="K594" s="41"/>
      <c r="L594" s="121"/>
      <c r="M594" s="283"/>
    </row>
    <row r="595" spans="1:13" s="19" customFormat="1" ht="21" customHeight="1" x14ac:dyDescent="0.4">
      <c r="A595" s="4">
        <v>46006</v>
      </c>
      <c r="B595" s="240" t="s">
        <v>163</v>
      </c>
      <c r="C595" s="236" t="s">
        <v>276</v>
      </c>
      <c r="D595" s="1"/>
      <c r="E595" s="228" t="s">
        <v>17</v>
      </c>
      <c r="F595" s="228">
        <v>-60</v>
      </c>
      <c r="G595" s="285">
        <v>107474</v>
      </c>
      <c r="H595" s="254">
        <f t="shared" si="24"/>
        <v>-6448440</v>
      </c>
      <c r="I595" s="139" t="s">
        <v>394</v>
      </c>
      <c r="J595" s="228"/>
      <c r="K595" s="41"/>
      <c r="L595" s="121"/>
      <c r="M595" s="283"/>
    </row>
    <row r="596" spans="1:13" s="19" customFormat="1" ht="21" customHeight="1" x14ac:dyDescent="0.4">
      <c r="A596" s="4">
        <v>46012</v>
      </c>
      <c r="B596" s="240" t="s">
        <v>163</v>
      </c>
      <c r="C596" s="236" t="s">
        <v>276</v>
      </c>
      <c r="D596" s="1"/>
      <c r="E596" s="228" t="s">
        <v>17</v>
      </c>
      <c r="F596" s="228">
        <v>-27</v>
      </c>
      <c r="G596" s="285">
        <v>107474</v>
      </c>
      <c r="H596" s="254">
        <f t="shared" si="24"/>
        <v>-2901798</v>
      </c>
      <c r="I596" s="139" t="s">
        <v>394</v>
      </c>
      <c r="J596" s="228"/>
      <c r="K596" s="41"/>
      <c r="L596" s="121"/>
      <c r="M596" s="283"/>
    </row>
    <row r="597" spans="1:13" s="19" customFormat="1" ht="21" customHeight="1" x14ac:dyDescent="0.4">
      <c r="A597" s="4">
        <v>46013</v>
      </c>
      <c r="B597" s="240" t="s">
        <v>163</v>
      </c>
      <c r="C597" s="236" t="s">
        <v>276</v>
      </c>
      <c r="D597" s="1"/>
      <c r="E597" s="228" t="s">
        <v>17</v>
      </c>
      <c r="F597" s="228">
        <v>-60</v>
      </c>
      <c r="G597" s="285">
        <v>107474</v>
      </c>
      <c r="H597" s="254">
        <f t="shared" si="24"/>
        <v>-6448440</v>
      </c>
      <c r="I597" s="139"/>
      <c r="J597" s="228"/>
      <c r="K597" s="41"/>
      <c r="L597" s="121"/>
      <c r="M597" s="283"/>
    </row>
    <row r="598" spans="1:13" s="19" customFormat="1" ht="21" customHeight="1" x14ac:dyDescent="0.4">
      <c r="A598" s="4">
        <v>46015</v>
      </c>
      <c r="B598" s="240" t="s">
        <v>163</v>
      </c>
      <c r="C598" s="236" t="s">
        <v>276</v>
      </c>
      <c r="D598" s="1"/>
      <c r="E598" s="228" t="s">
        <v>17</v>
      </c>
      <c r="F598" s="228">
        <v>-30</v>
      </c>
      <c r="G598" s="285">
        <v>107474</v>
      </c>
      <c r="H598" s="254">
        <f t="shared" si="24"/>
        <v>-3224220</v>
      </c>
      <c r="I598" s="139"/>
      <c r="J598" s="228"/>
      <c r="K598" s="41"/>
      <c r="L598" s="121"/>
      <c r="M598" s="283"/>
    </row>
    <row r="599" spans="1:13" s="19" customFormat="1" ht="21" customHeight="1" x14ac:dyDescent="0.4">
      <c r="A599" s="4">
        <v>46015</v>
      </c>
      <c r="B599" s="240" t="s">
        <v>163</v>
      </c>
      <c r="C599" s="236" t="s">
        <v>276</v>
      </c>
      <c r="D599" s="1"/>
      <c r="E599" s="228" t="s">
        <v>17</v>
      </c>
      <c r="F599" s="228">
        <v>-30</v>
      </c>
      <c r="G599" s="285">
        <v>107474</v>
      </c>
      <c r="H599" s="254">
        <f t="shared" si="24"/>
        <v>-3224220</v>
      </c>
      <c r="I599" s="237"/>
      <c r="J599" s="228"/>
      <c r="K599" s="41"/>
      <c r="L599" s="121"/>
      <c r="M599" s="283"/>
    </row>
    <row r="600" spans="1:13" s="19" customFormat="1" ht="21" customHeight="1" x14ac:dyDescent="0.4">
      <c r="A600" s="4">
        <v>46022</v>
      </c>
      <c r="B600" s="240" t="s">
        <v>163</v>
      </c>
      <c r="C600" s="236" t="s">
        <v>276</v>
      </c>
      <c r="D600" s="1"/>
      <c r="E600" s="228" t="s">
        <v>17</v>
      </c>
      <c r="F600" s="228">
        <v>-73</v>
      </c>
      <c r="G600" s="285">
        <v>107474</v>
      </c>
      <c r="H600" s="254">
        <f t="shared" si="24"/>
        <v>-7845602</v>
      </c>
      <c r="I600" s="237"/>
      <c r="J600" s="228"/>
      <c r="K600" s="41"/>
      <c r="L600" s="121"/>
      <c r="M600" s="283"/>
    </row>
    <row r="601" spans="1:13" s="19" customFormat="1" ht="21" customHeight="1" x14ac:dyDescent="0.4">
      <c r="A601" s="204"/>
      <c r="B601" s="287"/>
      <c r="C601" s="288"/>
      <c r="D601" s="207"/>
      <c r="E601" s="289"/>
      <c r="F601" s="290"/>
      <c r="G601" s="290"/>
      <c r="H601" s="355">
        <f>SUM(H591:H600)</f>
        <v>-45891398</v>
      </c>
      <c r="I601" s="209"/>
      <c r="J601" s="85"/>
      <c r="K601" s="85"/>
      <c r="L601" s="293"/>
      <c r="M601" s="283"/>
    </row>
    <row r="602" spans="1:13" s="19" customFormat="1" ht="21" customHeight="1" x14ac:dyDescent="0.4">
      <c r="A602" s="37"/>
      <c r="B602" s="243" t="s">
        <v>163</v>
      </c>
      <c r="C602" s="233"/>
      <c r="D602" s="38"/>
      <c r="E602" s="234"/>
      <c r="F602" s="281"/>
      <c r="G602" s="281"/>
      <c r="H602" s="354">
        <f>SUM(H588,H590,H601)</f>
        <v>152613080</v>
      </c>
      <c r="I602" s="294"/>
      <c r="J602" s="45"/>
      <c r="K602" s="45"/>
      <c r="L602" s="295"/>
      <c r="M602" s="283"/>
    </row>
    <row r="603" spans="1:13" s="28" customFormat="1" ht="21" customHeight="1" x14ac:dyDescent="0.4">
      <c r="A603" s="4">
        <v>45996</v>
      </c>
      <c r="B603" s="228" t="s">
        <v>395</v>
      </c>
      <c r="C603" s="296" t="s">
        <v>509</v>
      </c>
      <c r="D603" s="11" t="s">
        <v>464</v>
      </c>
      <c r="E603" s="11"/>
      <c r="F603" s="297">
        <v>27</v>
      </c>
      <c r="G603" s="253">
        <f>J603*L603</f>
        <v>2339801.5799000002</v>
      </c>
      <c r="H603" s="254">
        <f>F603*G603</f>
        <v>63174642.65730001</v>
      </c>
      <c r="I603" s="272"/>
      <c r="J603" s="73">
        <v>246661</v>
      </c>
      <c r="K603" s="73" t="s">
        <v>714</v>
      </c>
      <c r="L603" s="350">
        <v>9.4859000000000009</v>
      </c>
      <c r="M603" s="298"/>
    </row>
    <row r="604" spans="1:13" s="28" customFormat="1" ht="21" customHeight="1" x14ac:dyDescent="0.4">
      <c r="A604" s="4">
        <v>46015</v>
      </c>
      <c r="B604" s="228" t="s">
        <v>395</v>
      </c>
      <c r="C604" s="296" t="s">
        <v>509</v>
      </c>
      <c r="D604" s="11" t="s">
        <v>464</v>
      </c>
      <c r="E604" s="11"/>
      <c r="F604" s="297">
        <v>27</v>
      </c>
      <c r="G604" s="253">
        <f>J604*L604</f>
        <v>2311879.5547000002</v>
      </c>
      <c r="H604" s="254">
        <f>F604*G604</f>
        <v>62420747.976900004</v>
      </c>
      <c r="I604" s="272"/>
      <c r="J604" s="73">
        <v>246661</v>
      </c>
      <c r="K604" s="73" t="s">
        <v>713</v>
      </c>
      <c r="L604" s="350">
        <v>9.3727</v>
      </c>
      <c r="M604" s="298"/>
    </row>
    <row r="605" spans="1:13" s="19" customFormat="1" ht="21" customHeight="1" x14ac:dyDescent="0.4">
      <c r="A605" s="37"/>
      <c r="B605" s="243"/>
      <c r="C605" s="233"/>
      <c r="D605" s="38"/>
      <c r="E605" s="234"/>
      <c r="F605" s="281"/>
      <c r="G605" s="281"/>
      <c r="H605" s="354">
        <f>SUM(H603:H604)-2</f>
        <v>125595388.63420001</v>
      </c>
      <c r="I605" s="294"/>
      <c r="J605" s="45"/>
      <c r="K605" s="45"/>
      <c r="L605" s="295"/>
      <c r="M605" s="283"/>
    </row>
    <row r="606" spans="1:13" s="14" customFormat="1" ht="21" customHeight="1" x14ac:dyDescent="0.4">
      <c r="A606" s="15">
        <v>45985</v>
      </c>
      <c r="B606" s="7" t="s">
        <v>164</v>
      </c>
      <c r="C606" s="60" t="s">
        <v>165</v>
      </c>
      <c r="D606" s="71" t="s">
        <v>510</v>
      </c>
      <c r="E606" s="7" t="s">
        <v>13</v>
      </c>
      <c r="F606" s="7">
        <v>2</v>
      </c>
      <c r="G606" s="17">
        <v>3720000</v>
      </c>
      <c r="H606" s="17">
        <f t="shared" ref="H606:H611" si="25">F606*G606</f>
        <v>7440000</v>
      </c>
      <c r="I606" s="142"/>
      <c r="J606" s="72"/>
      <c r="K606" s="72"/>
      <c r="L606" s="73"/>
      <c r="M606" s="19" t="s">
        <v>494</v>
      </c>
    </row>
    <row r="607" spans="1:13" s="19" customFormat="1" ht="21" customHeight="1" x14ac:dyDescent="0.4">
      <c r="A607" s="15">
        <v>45985</v>
      </c>
      <c r="B607" s="7" t="s">
        <v>164</v>
      </c>
      <c r="C607" s="6" t="s">
        <v>170</v>
      </c>
      <c r="D607" s="42" t="s">
        <v>511</v>
      </c>
      <c r="E607" s="1" t="s">
        <v>13</v>
      </c>
      <c r="F607" s="92">
        <v>2</v>
      </c>
      <c r="G607" s="8">
        <v>1300000</v>
      </c>
      <c r="H607" s="17">
        <f t="shared" si="25"/>
        <v>2600000</v>
      </c>
      <c r="I607" s="142"/>
      <c r="J607" s="43"/>
      <c r="K607" s="81"/>
      <c r="L607" s="73"/>
      <c r="M607" s="19" t="s">
        <v>494</v>
      </c>
    </row>
    <row r="608" spans="1:13" s="19" customFormat="1" ht="21.75" customHeight="1" x14ac:dyDescent="0.4">
      <c r="A608" s="15">
        <v>45985</v>
      </c>
      <c r="B608" s="7" t="s">
        <v>164</v>
      </c>
      <c r="C608" s="6" t="s">
        <v>512</v>
      </c>
      <c r="D608" s="42" t="s">
        <v>551</v>
      </c>
      <c r="E608" s="1" t="s">
        <v>13</v>
      </c>
      <c r="F608" s="92">
        <v>3</v>
      </c>
      <c r="G608" s="8">
        <v>1270000</v>
      </c>
      <c r="H608" s="7">
        <f t="shared" si="25"/>
        <v>3810000</v>
      </c>
      <c r="I608" s="142"/>
      <c r="J608" s="43"/>
      <c r="K608" s="81"/>
      <c r="L608" s="73"/>
    </row>
    <row r="609" spans="1:13" s="19" customFormat="1" ht="21" customHeight="1" x14ac:dyDescent="0.4">
      <c r="A609" s="15">
        <v>45985</v>
      </c>
      <c r="B609" s="7" t="s">
        <v>164</v>
      </c>
      <c r="C609" s="6" t="s">
        <v>277</v>
      </c>
      <c r="D609" s="42" t="s">
        <v>278</v>
      </c>
      <c r="E609" s="1" t="s">
        <v>13</v>
      </c>
      <c r="F609" s="92">
        <v>8</v>
      </c>
      <c r="G609" s="8">
        <v>240000</v>
      </c>
      <c r="H609" s="7">
        <f t="shared" si="25"/>
        <v>1920000</v>
      </c>
      <c r="I609" s="142"/>
      <c r="J609" s="43"/>
      <c r="K609" s="81"/>
      <c r="L609" s="73"/>
    </row>
    <row r="610" spans="1:13" s="14" customFormat="1" ht="21" customHeight="1" x14ac:dyDescent="0.4">
      <c r="A610" s="15">
        <v>45990</v>
      </c>
      <c r="B610" s="7" t="s">
        <v>164</v>
      </c>
      <c r="C610" s="60" t="s">
        <v>165</v>
      </c>
      <c r="D610" s="71" t="s">
        <v>510</v>
      </c>
      <c r="E610" s="7" t="s">
        <v>13</v>
      </c>
      <c r="F610" s="7">
        <v>2</v>
      </c>
      <c r="G610" s="17">
        <v>3720000</v>
      </c>
      <c r="H610" s="17">
        <f t="shared" si="25"/>
        <v>7440000</v>
      </c>
      <c r="I610" s="142"/>
      <c r="J610" s="72"/>
      <c r="K610" s="72"/>
      <c r="L610" s="73"/>
      <c r="M610" s="19" t="s">
        <v>494</v>
      </c>
    </row>
    <row r="611" spans="1:13" s="19" customFormat="1" ht="21" customHeight="1" x14ac:dyDescent="0.4">
      <c r="A611" s="15">
        <v>45990</v>
      </c>
      <c r="B611" s="7" t="s">
        <v>164</v>
      </c>
      <c r="C611" s="6" t="s">
        <v>170</v>
      </c>
      <c r="D611" s="42" t="s">
        <v>511</v>
      </c>
      <c r="E611" s="1" t="s">
        <v>13</v>
      </c>
      <c r="F611" s="92">
        <v>2</v>
      </c>
      <c r="G611" s="8">
        <v>1300000</v>
      </c>
      <c r="H611" s="17">
        <f t="shared" si="25"/>
        <v>2600000</v>
      </c>
      <c r="I611" s="142"/>
      <c r="J611" s="43"/>
      <c r="K611" s="81"/>
      <c r="L611" s="73"/>
      <c r="M611" s="19" t="s">
        <v>494</v>
      </c>
    </row>
    <row r="612" spans="1:13" s="14" customFormat="1" ht="21" customHeight="1" x14ac:dyDescent="0.4">
      <c r="A612" s="15">
        <v>45999</v>
      </c>
      <c r="B612" s="275" t="s">
        <v>164</v>
      </c>
      <c r="C612" s="299" t="s">
        <v>165</v>
      </c>
      <c r="D612" s="300" t="s">
        <v>510</v>
      </c>
      <c r="E612" s="275" t="s">
        <v>13</v>
      </c>
      <c r="F612" s="275">
        <v>2</v>
      </c>
      <c r="G612" s="254">
        <v>3720000</v>
      </c>
      <c r="H612" s="254">
        <f t="shared" ref="H612:H619" si="26">F612*G612</f>
        <v>7440000</v>
      </c>
      <c r="I612" s="271"/>
      <c r="J612" s="301"/>
      <c r="K612" s="301"/>
      <c r="L612" s="73"/>
      <c r="M612" s="19"/>
    </row>
    <row r="613" spans="1:13" s="19" customFormat="1" ht="21" customHeight="1" x14ac:dyDescent="0.4">
      <c r="A613" s="15">
        <v>45999</v>
      </c>
      <c r="B613" s="275" t="s">
        <v>164</v>
      </c>
      <c r="C613" s="236" t="s">
        <v>170</v>
      </c>
      <c r="D613" s="42" t="s">
        <v>511</v>
      </c>
      <c r="E613" s="1" t="s">
        <v>13</v>
      </c>
      <c r="F613" s="302">
        <v>1</v>
      </c>
      <c r="G613" s="228">
        <v>1300000</v>
      </c>
      <c r="H613" s="254">
        <f t="shared" si="26"/>
        <v>1300000</v>
      </c>
      <c r="I613" s="268"/>
      <c r="J613" s="43"/>
      <c r="K613" s="250"/>
      <c r="L613" s="73"/>
    </row>
    <row r="614" spans="1:13" s="19" customFormat="1" ht="21" customHeight="1" x14ac:dyDescent="0.4">
      <c r="A614" s="15">
        <v>46007</v>
      </c>
      <c r="B614" s="275" t="s">
        <v>164</v>
      </c>
      <c r="C614" s="299" t="s">
        <v>165</v>
      </c>
      <c r="D614" s="300" t="s">
        <v>510</v>
      </c>
      <c r="E614" s="275" t="s">
        <v>13</v>
      </c>
      <c r="F614" s="275">
        <v>1</v>
      </c>
      <c r="G614" s="254">
        <v>3720000</v>
      </c>
      <c r="H614" s="254">
        <f t="shared" si="26"/>
        <v>3720000</v>
      </c>
      <c r="I614" s="268"/>
      <c r="J614" s="43"/>
      <c r="K614" s="250"/>
      <c r="L614" s="73"/>
    </row>
    <row r="615" spans="1:13" s="19" customFormat="1" ht="21" customHeight="1" x14ac:dyDescent="0.4">
      <c r="A615" s="15">
        <v>46007</v>
      </c>
      <c r="B615" s="275" t="s">
        <v>164</v>
      </c>
      <c r="C615" s="236" t="s">
        <v>170</v>
      </c>
      <c r="D615" s="42" t="s">
        <v>511</v>
      </c>
      <c r="E615" s="1" t="s">
        <v>13</v>
      </c>
      <c r="F615" s="302">
        <v>3</v>
      </c>
      <c r="G615" s="228">
        <v>1300000</v>
      </c>
      <c r="H615" s="254">
        <f t="shared" si="26"/>
        <v>3900000</v>
      </c>
      <c r="I615" s="268"/>
      <c r="J615" s="43"/>
      <c r="K615" s="250"/>
      <c r="L615" s="73"/>
    </row>
    <row r="616" spans="1:13" s="14" customFormat="1" ht="21" customHeight="1" x14ac:dyDescent="0.4">
      <c r="A616" s="15">
        <v>46018</v>
      </c>
      <c r="B616" s="275" t="s">
        <v>164</v>
      </c>
      <c r="C616" s="299" t="s">
        <v>165</v>
      </c>
      <c r="D616" s="300" t="s">
        <v>510</v>
      </c>
      <c r="E616" s="275" t="s">
        <v>13</v>
      </c>
      <c r="F616" s="275">
        <v>5</v>
      </c>
      <c r="G616" s="254">
        <v>3720000</v>
      </c>
      <c r="H616" s="254">
        <f t="shared" si="26"/>
        <v>18600000</v>
      </c>
      <c r="I616" s="271"/>
      <c r="J616" s="301"/>
      <c r="K616" s="301"/>
      <c r="L616" s="73"/>
      <c r="M616" s="19"/>
    </row>
    <row r="617" spans="1:13" s="19" customFormat="1" ht="21" customHeight="1" x14ac:dyDescent="0.4">
      <c r="A617" s="15">
        <v>46018</v>
      </c>
      <c r="B617" s="275" t="s">
        <v>164</v>
      </c>
      <c r="C617" s="236" t="s">
        <v>170</v>
      </c>
      <c r="D617" s="42" t="s">
        <v>511</v>
      </c>
      <c r="E617" s="1" t="s">
        <v>13</v>
      </c>
      <c r="F617" s="302">
        <v>7</v>
      </c>
      <c r="G617" s="228">
        <v>1300000</v>
      </c>
      <c r="H617" s="254">
        <f t="shared" si="26"/>
        <v>9100000</v>
      </c>
      <c r="I617" s="268"/>
      <c r="J617" s="43"/>
      <c r="K617" s="250"/>
      <c r="L617" s="73"/>
    </row>
    <row r="618" spans="1:13" s="19" customFormat="1" ht="21" customHeight="1" x14ac:dyDescent="0.4">
      <c r="A618" s="15">
        <v>46018</v>
      </c>
      <c r="B618" s="275" t="s">
        <v>164</v>
      </c>
      <c r="C618" s="236" t="s">
        <v>166</v>
      </c>
      <c r="D618" s="42" t="s">
        <v>167</v>
      </c>
      <c r="E618" s="1" t="s">
        <v>13</v>
      </c>
      <c r="F618" s="302">
        <v>11</v>
      </c>
      <c r="G618" s="228">
        <v>650000</v>
      </c>
      <c r="H618" s="254">
        <f t="shared" si="26"/>
        <v>7150000</v>
      </c>
      <c r="I618" s="268"/>
      <c r="J618" s="43"/>
      <c r="K618" s="250"/>
      <c r="L618" s="73"/>
    </row>
    <row r="619" spans="1:13" s="19" customFormat="1" ht="21" customHeight="1" x14ac:dyDescent="0.4">
      <c r="A619" s="15">
        <v>46018</v>
      </c>
      <c r="B619" s="275" t="s">
        <v>164</v>
      </c>
      <c r="C619" s="236" t="s">
        <v>277</v>
      </c>
      <c r="D619" s="42" t="s">
        <v>278</v>
      </c>
      <c r="E619" s="1" t="s">
        <v>13</v>
      </c>
      <c r="F619" s="302">
        <v>8</v>
      </c>
      <c r="G619" s="228">
        <v>240000</v>
      </c>
      <c r="H619" s="254">
        <f t="shared" si="26"/>
        <v>1920000</v>
      </c>
      <c r="I619" s="268"/>
      <c r="J619" s="43"/>
      <c r="K619" s="250"/>
      <c r="L619" s="73"/>
    </row>
    <row r="620" spans="1:13" s="19" customFormat="1" ht="21" customHeight="1" x14ac:dyDescent="0.4">
      <c r="A620" s="37"/>
      <c r="B620" s="243" t="s">
        <v>164</v>
      </c>
      <c r="C620" s="233"/>
      <c r="D620" s="38"/>
      <c r="E620" s="234"/>
      <c r="F620" s="281"/>
      <c r="G620" s="281"/>
      <c r="H620" s="354">
        <f>SUM(H606:H619)</f>
        <v>78940000</v>
      </c>
      <c r="I620" s="294"/>
      <c r="J620" s="45"/>
      <c r="K620" s="45"/>
      <c r="L620" s="295"/>
      <c r="M620" s="283"/>
    </row>
    <row r="621" spans="1:13" s="19" customFormat="1" ht="21" customHeight="1" x14ac:dyDescent="0.4">
      <c r="A621" s="4"/>
      <c r="B621" s="8"/>
      <c r="C621" s="6" t="s">
        <v>688</v>
      </c>
      <c r="D621" s="69"/>
      <c r="E621" s="8"/>
      <c r="F621" s="8"/>
      <c r="G621" s="36"/>
      <c r="H621" s="17">
        <v>3458000</v>
      </c>
      <c r="I621" s="150"/>
      <c r="J621" s="70"/>
      <c r="K621" s="70"/>
      <c r="L621" s="121"/>
      <c r="M621" s="31"/>
    </row>
    <row r="622" spans="1:13" s="19" customFormat="1" ht="21" customHeight="1" x14ac:dyDescent="0.4">
      <c r="A622" s="4">
        <v>45988</v>
      </c>
      <c r="B622" s="8" t="s">
        <v>483</v>
      </c>
      <c r="C622" s="6" t="s">
        <v>489</v>
      </c>
      <c r="D622" s="69" t="s">
        <v>490</v>
      </c>
      <c r="E622" s="8" t="s">
        <v>13</v>
      </c>
      <c r="F622" s="8">
        <v>1</v>
      </c>
      <c r="G622" s="36">
        <v>9379400</v>
      </c>
      <c r="H622" s="17">
        <f>F622*G622</f>
        <v>9379400</v>
      </c>
      <c r="I622" s="150"/>
      <c r="J622" s="70"/>
      <c r="K622" s="70"/>
      <c r="L622" s="121"/>
      <c r="M622" s="31"/>
    </row>
    <row r="623" spans="1:13" s="14" customFormat="1" ht="21" customHeight="1" x14ac:dyDescent="0.4">
      <c r="A623" s="15">
        <v>46007</v>
      </c>
      <c r="B623" s="275" t="s">
        <v>483</v>
      </c>
      <c r="C623" s="299" t="s">
        <v>486</v>
      </c>
      <c r="D623" s="300" t="s">
        <v>513</v>
      </c>
      <c r="E623" s="275"/>
      <c r="F623" s="275">
        <v>2</v>
      </c>
      <c r="G623" s="254">
        <v>9741800</v>
      </c>
      <c r="H623" s="254">
        <f>F623*G623</f>
        <v>19483600</v>
      </c>
      <c r="I623" s="271"/>
      <c r="J623" s="301"/>
      <c r="K623" s="301"/>
      <c r="L623" s="73"/>
      <c r="M623" s="19" t="s">
        <v>494</v>
      </c>
    </row>
    <row r="624" spans="1:13" s="14" customFormat="1" ht="21" customHeight="1" x14ac:dyDescent="0.4">
      <c r="A624" s="15">
        <v>45960</v>
      </c>
      <c r="B624" s="165" t="s">
        <v>483</v>
      </c>
      <c r="C624" s="173" t="s">
        <v>484</v>
      </c>
      <c r="D624" s="174" t="s">
        <v>485</v>
      </c>
      <c r="E624" s="165" t="s">
        <v>13</v>
      </c>
      <c r="F624" s="165">
        <v>3</v>
      </c>
      <c r="G624" s="156">
        <v>1123200</v>
      </c>
      <c r="H624" s="175">
        <f>F624*G624</f>
        <v>3369600</v>
      </c>
      <c r="I624" s="150" t="s">
        <v>682</v>
      </c>
      <c r="J624" s="177"/>
      <c r="K624" s="177"/>
      <c r="L624" s="73"/>
      <c r="M624" s="19"/>
    </row>
    <row r="625" spans="1:13" s="19" customFormat="1" ht="21" customHeight="1" x14ac:dyDescent="0.4">
      <c r="A625" s="4">
        <v>45967</v>
      </c>
      <c r="B625" s="8" t="s">
        <v>483</v>
      </c>
      <c r="C625" s="6" t="s">
        <v>487</v>
      </c>
      <c r="D625" s="69" t="s">
        <v>488</v>
      </c>
      <c r="E625" s="8" t="s">
        <v>13</v>
      </c>
      <c r="F625" s="8">
        <v>1</v>
      </c>
      <c r="G625" s="36">
        <v>1233600</v>
      </c>
      <c r="H625" s="17">
        <f>F625*G625</f>
        <v>1233600</v>
      </c>
      <c r="I625" s="150" t="s">
        <v>682</v>
      </c>
      <c r="J625" s="70"/>
      <c r="K625" s="70"/>
      <c r="L625" s="121"/>
      <c r="M625" s="31"/>
    </row>
    <row r="626" spans="1:13" s="19" customFormat="1" ht="21" customHeight="1" x14ac:dyDescent="0.4">
      <c r="A626" s="37"/>
      <c r="B626" s="243" t="s">
        <v>483</v>
      </c>
      <c r="C626" s="233"/>
      <c r="D626" s="38"/>
      <c r="E626" s="234"/>
      <c r="F626" s="281"/>
      <c r="G626" s="281"/>
      <c r="H626" s="354">
        <f>SUM(H621:H623)</f>
        <v>32321000</v>
      </c>
      <c r="I626" s="294"/>
      <c r="J626" s="45"/>
      <c r="K626" s="45"/>
      <c r="L626" s="295"/>
      <c r="M626" s="283"/>
    </row>
    <row r="627" spans="1:13" ht="19.5" customHeight="1" x14ac:dyDescent="0.4">
      <c r="A627" s="303"/>
      <c r="B627" s="304"/>
      <c r="C627" s="305"/>
      <c r="D627" s="306"/>
      <c r="E627" s="305"/>
      <c r="F627" s="303"/>
      <c r="G627" s="307"/>
      <c r="H627" s="356">
        <f>SUM(H10,H19,H80,H91,H112,H161,H165,H384,H386,H429,H448,H481,H485,H488,H555,H558,H602,H605,H620,H626)</f>
        <v>4160480530.8649998</v>
      </c>
      <c r="I627" s="307"/>
      <c r="J627" s="303"/>
      <c r="K627" s="303"/>
      <c r="L627" s="308"/>
    </row>
    <row r="631" spans="1:13" ht="19.5" customHeight="1" x14ac:dyDescent="0.4">
      <c r="H631" s="357"/>
    </row>
    <row r="632" spans="1:13" ht="19.5" customHeight="1" x14ac:dyDescent="0.4">
      <c r="H632" s="357"/>
      <c r="I632" s="357"/>
    </row>
    <row r="633" spans="1:13" ht="19.5" customHeight="1" x14ac:dyDescent="0.4">
      <c r="H633" s="357"/>
      <c r="I633" s="357"/>
    </row>
    <row r="634" spans="1:13" ht="19.5" customHeight="1" x14ac:dyDescent="0.4">
      <c r="H634" s="357"/>
      <c r="I634" s="357"/>
    </row>
    <row r="635" spans="1:13" ht="19.5" customHeight="1" x14ac:dyDescent="0.4">
      <c r="H635" s="357"/>
      <c r="I635" s="357"/>
    </row>
    <row r="638" spans="1:13" s="3" customFormat="1" ht="19.5" customHeight="1" x14ac:dyDescent="0.4">
      <c r="A638" s="99" t="s">
        <v>0</v>
      </c>
      <c r="B638" s="100" t="s">
        <v>1</v>
      </c>
      <c r="C638" s="219" t="s">
        <v>2</v>
      </c>
      <c r="D638" s="102" t="s">
        <v>3</v>
      </c>
      <c r="E638" s="102" t="s">
        <v>4</v>
      </c>
      <c r="F638" s="220" t="s">
        <v>5</v>
      </c>
      <c r="G638" s="221" t="s">
        <v>6</v>
      </c>
      <c r="H638" s="351" t="s">
        <v>7</v>
      </c>
      <c r="I638" s="222" t="s">
        <v>8</v>
      </c>
      <c r="J638" s="223"/>
      <c r="K638" s="221"/>
      <c r="L638" s="224"/>
      <c r="M638" s="225"/>
    </row>
    <row r="639" spans="1:13" s="247" customFormat="1" ht="19.5" customHeight="1" x14ac:dyDescent="0.4">
      <c r="A639" s="248">
        <v>45897</v>
      </c>
      <c r="B639" s="240" t="s">
        <v>24</v>
      </c>
      <c r="C639" s="249" t="s">
        <v>374</v>
      </c>
      <c r="D639" s="240" t="s">
        <v>30</v>
      </c>
      <c r="E639" s="240" t="s">
        <v>17</v>
      </c>
      <c r="F639" s="310">
        <v>27</v>
      </c>
      <c r="G639" s="310">
        <v>206710</v>
      </c>
      <c r="H639" s="256">
        <v>5581170</v>
      </c>
      <c r="I639" s="249">
        <v>215</v>
      </c>
      <c r="J639" s="251"/>
      <c r="K639" s="251"/>
      <c r="L639" s="251"/>
    </row>
    <row r="640" spans="1:13" s="247" customFormat="1" ht="19.5" customHeight="1" x14ac:dyDescent="0.4">
      <c r="A640" s="248">
        <v>45930</v>
      </c>
      <c r="B640" s="240" t="s">
        <v>24</v>
      </c>
      <c r="C640" s="249" t="s">
        <v>29</v>
      </c>
      <c r="D640" s="240" t="s">
        <v>30</v>
      </c>
      <c r="E640" s="240" t="s">
        <v>17</v>
      </c>
      <c r="F640" s="310">
        <v>80</v>
      </c>
      <c r="G640" s="310">
        <v>206710</v>
      </c>
      <c r="H640" s="256">
        <v>16536800</v>
      </c>
      <c r="I640" s="311"/>
      <c r="J640" s="251"/>
      <c r="K640" s="251"/>
      <c r="L640" s="251"/>
    </row>
    <row r="641" spans="1:13" s="316" customFormat="1" ht="19.5" customHeight="1" x14ac:dyDescent="0.4">
      <c r="A641" s="312">
        <v>45898</v>
      </c>
      <c r="B641" s="313" t="s">
        <v>24</v>
      </c>
      <c r="C641" s="311" t="s">
        <v>25</v>
      </c>
      <c r="D641" s="313" t="s">
        <v>26</v>
      </c>
      <c r="E641" s="313" t="s">
        <v>17</v>
      </c>
      <c r="F641" s="314">
        <v>27</v>
      </c>
      <c r="G641" s="314">
        <v>122010</v>
      </c>
      <c r="H641" s="259">
        <v>3294270</v>
      </c>
      <c r="I641" s="315" t="s">
        <v>593</v>
      </c>
      <c r="J641" s="315" t="s">
        <v>593</v>
      </c>
      <c r="K641" s="315"/>
      <c r="L641" s="315"/>
    </row>
    <row r="642" spans="1:13" s="247" customFormat="1" ht="19.5" customHeight="1" x14ac:dyDescent="0.4">
      <c r="A642" s="248">
        <v>45930</v>
      </c>
      <c r="B642" s="240" t="s">
        <v>31</v>
      </c>
      <c r="C642" s="249" t="s">
        <v>53</v>
      </c>
      <c r="D642" s="240" t="s">
        <v>54</v>
      </c>
      <c r="E642" s="240"/>
      <c r="F642" s="310">
        <v>80</v>
      </c>
      <c r="G642" s="310">
        <v>237450</v>
      </c>
      <c r="H642" s="256">
        <v>18996000</v>
      </c>
      <c r="I642" s="317"/>
      <c r="J642" s="317" t="s">
        <v>594</v>
      </c>
      <c r="K642" s="251"/>
      <c r="L642" s="251"/>
    </row>
    <row r="643" spans="1:13" s="3" customFormat="1" ht="19.5" customHeight="1" x14ac:dyDescent="0.4">
      <c r="A643" s="148">
        <v>45988</v>
      </c>
      <c r="B643" s="149" t="s">
        <v>10</v>
      </c>
      <c r="C643" s="318" t="s">
        <v>171</v>
      </c>
      <c r="D643" s="188">
        <v>60623160</v>
      </c>
      <c r="E643" s="188" t="s">
        <v>11</v>
      </c>
      <c r="F643" s="319">
        <v>20</v>
      </c>
      <c r="G643" s="320">
        <v>595000</v>
      </c>
      <c r="H643" s="320">
        <v>11900000</v>
      </c>
      <c r="I643" s="321">
        <v>0.52173913043478259</v>
      </c>
      <c r="J643" s="322"/>
      <c r="K643" s="322"/>
      <c r="L643" s="323"/>
      <c r="M643" s="232"/>
    </row>
    <row r="644" spans="1:13" s="3" customFormat="1" ht="19.5" customHeight="1" x14ac:dyDescent="0.4">
      <c r="A644" s="148">
        <v>45991</v>
      </c>
      <c r="B644" s="149" t="s">
        <v>556</v>
      </c>
      <c r="C644" s="324" t="s">
        <v>376</v>
      </c>
      <c r="D644" s="188">
        <v>7060740312</v>
      </c>
      <c r="E644" s="188" t="s">
        <v>13</v>
      </c>
      <c r="F644" s="319">
        <v>7</v>
      </c>
      <c r="G644" s="320">
        <v>5972950</v>
      </c>
      <c r="H644" s="325">
        <v>41810650</v>
      </c>
      <c r="I644" s="326"/>
      <c r="J644" s="327">
        <v>46000</v>
      </c>
      <c r="K644" s="322"/>
      <c r="L644" s="323"/>
      <c r="M644" s="232"/>
    </row>
    <row r="645" spans="1:13" s="3" customFormat="1" ht="19.5" customHeight="1" x14ac:dyDescent="0.4">
      <c r="A645" s="4">
        <v>45989</v>
      </c>
      <c r="B645" s="33" t="s">
        <v>58</v>
      </c>
      <c r="C645" s="328" t="s">
        <v>189</v>
      </c>
      <c r="D645" s="76" t="s">
        <v>59</v>
      </c>
      <c r="E645" s="76"/>
      <c r="F645" s="275">
        <v>80</v>
      </c>
      <c r="G645" s="275">
        <v>489000</v>
      </c>
      <c r="H645" s="275">
        <v>39120000</v>
      </c>
      <c r="I645" s="271" t="s">
        <v>669</v>
      </c>
      <c r="J645" s="329">
        <f>10+12+36+20</f>
        <v>78</v>
      </c>
      <c r="K645" s="228"/>
      <c r="L645" s="231"/>
      <c r="M645" s="232"/>
    </row>
    <row r="646" spans="1:13" s="247" customFormat="1" ht="19.5" customHeight="1" x14ac:dyDescent="0.4">
      <c r="A646" s="330">
        <v>45961</v>
      </c>
      <c r="B646" s="331" t="s">
        <v>58</v>
      </c>
      <c r="C646" s="326" t="s">
        <v>445</v>
      </c>
      <c r="D646" s="331" t="s">
        <v>446</v>
      </c>
      <c r="E646" s="331" t="s">
        <v>11</v>
      </c>
      <c r="F646" s="332">
        <v>20</v>
      </c>
      <c r="G646" s="332">
        <v>1671500</v>
      </c>
      <c r="H646" s="325">
        <v>33430000</v>
      </c>
      <c r="I646" s="333">
        <v>46011</v>
      </c>
      <c r="J646" s="334"/>
      <c r="K646" s="334"/>
      <c r="L646" s="334"/>
    </row>
    <row r="647" spans="1:13" s="3" customFormat="1" ht="19.5" customHeight="1" x14ac:dyDescent="0.4">
      <c r="A647" s="4">
        <v>45989</v>
      </c>
      <c r="B647" s="33" t="s">
        <v>58</v>
      </c>
      <c r="C647" s="328" t="s">
        <v>445</v>
      </c>
      <c r="D647" s="76" t="s">
        <v>446</v>
      </c>
      <c r="E647" s="76" t="s">
        <v>11</v>
      </c>
      <c r="F647" s="275">
        <v>8</v>
      </c>
      <c r="G647" s="275">
        <v>1671500</v>
      </c>
      <c r="H647" s="275">
        <v>13372000</v>
      </c>
      <c r="I647" s="271"/>
      <c r="J647" s="230"/>
      <c r="K647" s="228"/>
      <c r="L647" s="231"/>
      <c r="M647" s="232"/>
    </row>
    <row r="648" spans="1:13" ht="19.5" customHeight="1" x14ac:dyDescent="0.4">
      <c r="A648" s="330">
        <v>45991</v>
      </c>
      <c r="B648" s="331" t="s">
        <v>218</v>
      </c>
      <c r="C648" s="335" t="s">
        <v>62</v>
      </c>
      <c r="D648" s="336" t="s">
        <v>209</v>
      </c>
      <c r="E648" s="336"/>
      <c r="F648" s="337">
        <v>3</v>
      </c>
      <c r="G648" s="337">
        <v>390000</v>
      </c>
      <c r="H648" s="337">
        <v>1950000</v>
      </c>
      <c r="I648" s="338" t="s">
        <v>670</v>
      </c>
      <c r="J648" s="339"/>
      <c r="K648" s="340"/>
      <c r="L648" s="340"/>
    </row>
    <row r="649" spans="1:13" ht="19.5" customHeight="1" x14ac:dyDescent="0.4">
      <c r="A649" s="330">
        <v>45991</v>
      </c>
      <c r="B649" s="331" t="s">
        <v>218</v>
      </c>
      <c r="C649" s="341" t="s">
        <v>73</v>
      </c>
      <c r="D649" s="342" t="s">
        <v>208</v>
      </c>
      <c r="E649" s="342"/>
      <c r="F649" s="325">
        <v>12</v>
      </c>
      <c r="G649" s="325">
        <v>390000</v>
      </c>
      <c r="H649" s="325">
        <v>4680000</v>
      </c>
      <c r="I649" s="340" t="s">
        <v>671</v>
      </c>
      <c r="J649" s="343"/>
      <c r="K649" s="340"/>
      <c r="L649" s="340"/>
    </row>
    <row r="650" spans="1:13" ht="19.5" customHeight="1" x14ac:dyDescent="0.4">
      <c r="A650" s="330">
        <v>45991</v>
      </c>
      <c r="B650" s="331" t="s">
        <v>218</v>
      </c>
      <c r="C650" s="341" t="s">
        <v>571</v>
      </c>
      <c r="D650" s="342" t="s">
        <v>572</v>
      </c>
      <c r="E650" s="342"/>
      <c r="F650" s="325">
        <v>1</v>
      </c>
      <c r="G650" s="325">
        <v>420000</v>
      </c>
      <c r="H650" s="325">
        <v>420000</v>
      </c>
      <c r="I650" s="340" t="s">
        <v>672</v>
      </c>
      <c r="J650" s="343"/>
      <c r="K650" s="340"/>
      <c r="L650" s="340"/>
    </row>
    <row r="654" spans="1:13" ht="19.5" customHeight="1" x14ac:dyDescent="0.4">
      <c r="H654" s="309">
        <f>+H626+H620+H602+H485+H161+H10</f>
        <v>915323580</v>
      </c>
    </row>
    <row r="655" spans="1:13" ht="19.5" customHeight="1" x14ac:dyDescent="0.4">
      <c r="H655" s="309">
        <v>803579580</v>
      </c>
    </row>
    <row r="656" spans="1:13" ht="19.5" customHeight="1" x14ac:dyDescent="0.4">
      <c r="H656" s="309">
        <f>+H654-H655</f>
        <v>111744000</v>
      </c>
    </row>
  </sheetData>
  <autoFilter ref="A1:M650" xr:uid="{B52A9AB3-AB55-4CE6-A554-149E3712E00D}"/>
  <phoneticPr fontId="2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1E99-98C0-495E-8C8A-782788D48A5C}">
  <dimension ref="A1:O546"/>
  <sheetViews>
    <sheetView zoomScaleNormal="100" workbookViewId="0">
      <pane xSplit="2" ySplit="1" topLeftCell="C14" activePane="bottomRight" state="frozen"/>
      <selection pane="topRight" activeCell="C1" sqref="C1"/>
      <selection pane="bottomLeft" activeCell="A2" sqref="A2"/>
      <selection pane="bottomRight" activeCell="D18" sqref="D18:H18"/>
    </sheetView>
  </sheetViews>
  <sheetFormatPr defaultRowHeight="17.399999999999999" x14ac:dyDescent="0.4"/>
  <cols>
    <col min="1" max="1" width="7.69921875" style="392" customWidth="1"/>
    <col min="2" max="2" width="21.19921875" customWidth="1"/>
    <col min="3" max="3" width="33.09765625" customWidth="1"/>
    <col min="4" max="4" width="29.3984375" bestFit="1" customWidth="1"/>
    <col min="5" max="6" width="7.59765625" customWidth="1"/>
    <col min="7" max="8" width="15.3984375" style="94" customWidth="1"/>
    <col min="9" max="9" width="39.3984375" style="94" customWidth="1"/>
    <col min="10" max="10" width="14" style="94" customWidth="1"/>
    <col min="11" max="11" width="17.19921875" style="94" customWidth="1"/>
    <col min="12" max="12" width="37.09765625" style="94" customWidth="1"/>
  </cols>
  <sheetData>
    <row r="1" spans="1:13" s="3" customFormat="1" ht="19.5" customHeight="1" x14ac:dyDescent="0.4">
      <c r="A1" s="99" t="s">
        <v>0</v>
      </c>
      <c r="B1" s="100" t="s">
        <v>1</v>
      </c>
      <c r="C1" s="101" t="s">
        <v>2</v>
      </c>
      <c r="D1" s="102" t="s">
        <v>3</v>
      </c>
      <c r="E1" s="102" t="s">
        <v>4</v>
      </c>
      <c r="F1" s="120" t="s">
        <v>5</v>
      </c>
      <c r="G1" s="87" t="s">
        <v>6</v>
      </c>
      <c r="H1" s="87" t="s">
        <v>7</v>
      </c>
      <c r="I1" s="136" t="s">
        <v>8</v>
      </c>
      <c r="J1" s="360"/>
      <c r="K1" s="87"/>
      <c r="L1" s="361" t="s">
        <v>9</v>
      </c>
      <c r="M1" s="2"/>
    </row>
    <row r="2" spans="1:13" s="3" customFormat="1" ht="21" customHeight="1" x14ac:dyDescent="0.4">
      <c r="A2" s="4">
        <v>46052</v>
      </c>
      <c r="B2" s="5" t="s">
        <v>10</v>
      </c>
      <c r="C2" s="6" t="s">
        <v>171</v>
      </c>
      <c r="D2" s="1">
        <v>60623159</v>
      </c>
      <c r="E2" s="1" t="s">
        <v>11</v>
      </c>
      <c r="F2" s="362">
        <v>78</v>
      </c>
      <c r="G2" s="7">
        <v>563000</v>
      </c>
      <c r="H2" s="7">
        <f>F2*G2</f>
        <v>43914000</v>
      </c>
      <c r="I2" s="61" t="s">
        <v>834</v>
      </c>
      <c r="J2" s="7"/>
      <c r="K2" s="7"/>
      <c r="L2" s="363"/>
      <c r="M2" s="89"/>
    </row>
    <row r="3" spans="1:13" s="3" customFormat="1" ht="19.5" customHeight="1" x14ac:dyDescent="0.4">
      <c r="A3" s="193"/>
      <c r="B3" s="194"/>
      <c r="C3" s="40"/>
      <c r="D3" s="194"/>
      <c r="E3" s="194"/>
      <c r="F3" s="91"/>
      <c r="G3" s="138"/>
      <c r="H3" s="138"/>
      <c r="I3" s="138"/>
      <c r="J3" s="145"/>
      <c r="K3" s="145"/>
      <c r="L3" s="145"/>
      <c r="M3" s="89"/>
    </row>
    <row r="4" spans="1:13" s="3" customFormat="1" ht="21" customHeight="1" x14ac:dyDescent="0.4">
      <c r="A4" s="4">
        <v>46013</v>
      </c>
      <c r="B4" s="5" t="s">
        <v>16</v>
      </c>
      <c r="C4" s="236" t="s">
        <v>492</v>
      </c>
      <c r="D4" s="1" t="s">
        <v>493</v>
      </c>
      <c r="E4" s="1" t="s">
        <v>17</v>
      </c>
      <c r="F4" s="228">
        <f>27*5</f>
        <v>135</v>
      </c>
      <c r="G4" s="228">
        <v>237760</v>
      </c>
      <c r="H4" s="275">
        <f t="shared" ref="H4:H11" si="0">F4*G4</f>
        <v>32097600</v>
      </c>
      <c r="I4" s="237"/>
      <c r="J4" s="228"/>
      <c r="K4" s="228" t="s">
        <v>681</v>
      </c>
      <c r="L4" s="238"/>
      <c r="M4" s="232"/>
    </row>
    <row r="5" spans="1:13" s="3" customFormat="1" ht="21" customHeight="1" x14ac:dyDescent="0.4">
      <c r="A5" s="4">
        <v>46020</v>
      </c>
      <c r="B5" s="5" t="s">
        <v>16</v>
      </c>
      <c r="C5" s="236" t="s">
        <v>492</v>
      </c>
      <c r="D5" s="1" t="s">
        <v>493</v>
      </c>
      <c r="E5" s="1" t="s">
        <v>17</v>
      </c>
      <c r="F5" s="228">
        <v>108</v>
      </c>
      <c r="G5" s="228">
        <v>237760</v>
      </c>
      <c r="H5" s="275">
        <f t="shared" si="0"/>
        <v>25678080</v>
      </c>
      <c r="I5" s="237"/>
      <c r="J5" s="228"/>
      <c r="K5" s="228" t="s">
        <v>681</v>
      </c>
      <c r="L5" s="238"/>
      <c r="M5" s="232"/>
    </row>
    <row r="6" spans="1:13" s="3" customFormat="1" ht="21" customHeight="1" x14ac:dyDescent="0.4">
      <c r="A6" s="4">
        <v>46029</v>
      </c>
      <c r="B6" s="5" t="s">
        <v>16</v>
      </c>
      <c r="C6" s="6" t="s">
        <v>492</v>
      </c>
      <c r="D6" s="1" t="s">
        <v>493</v>
      </c>
      <c r="E6" s="1" t="s">
        <v>17</v>
      </c>
      <c r="F6" s="8">
        <v>54</v>
      </c>
      <c r="G6" s="7">
        <v>237760</v>
      </c>
      <c r="H6" s="275">
        <f t="shared" si="0"/>
        <v>12839040</v>
      </c>
      <c r="I6" s="61"/>
      <c r="J6" s="7"/>
      <c r="K6" s="7"/>
      <c r="L6" s="364"/>
      <c r="M6" s="89"/>
    </row>
    <row r="7" spans="1:13" s="3" customFormat="1" ht="19.5" customHeight="1" x14ac:dyDescent="0.4">
      <c r="A7" s="4">
        <v>46029</v>
      </c>
      <c r="B7" s="5" t="s">
        <v>16</v>
      </c>
      <c r="C7" s="115" t="s">
        <v>18</v>
      </c>
      <c r="D7" s="42" t="s">
        <v>715</v>
      </c>
      <c r="E7" s="42" t="s">
        <v>17</v>
      </c>
      <c r="F7" s="117">
        <v>16</v>
      </c>
      <c r="G7" s="7">
        <v>198970</v>
      </c>
      <c r="H7" s="275">
        <f t="shared" si="0"/>
        <v>3183520</v>
      </c>
      <c r="I7" s="141"/>
      <c r="J7" s="72"/>
      <c r="K7" s="7"/>
      <c r="L7" s="364"/>
      <c r="M7" s="89"/>
    </row>
    <row r="8" spans="1:13" s="3" customFormat="1" ht="19.5" customHeight="1" x14ac:dyDescent="0.4">
      <c r="A8" s="4">
        <v>46053</v>
      </c>
      <c r="B8" s="5" t="s">
        <v>16</v>
      </c>
      <c r="C8" s="115" t="s">
        <v>838</v>
      </c>
      <c r="D8" s="42" t="s">
        <v>837</v>
      </c>
      <c r="E8" s="42" t="s">
        <v>17</v>
      </c>
      <c r="F8" s="117">
        <v>-8</v>
      </c>
      <c r="G8" s="7">
        <v>198970</v>
      </c>
      <c r="H8" s="275">
        <f t="shared" si="0"/>
        <v>-1591760</v>
      </c>
      <c r="I8" s="141"/>
      <c r="J8" s="72"/>
      <c r="K8" s="7"/>
      <c r="L8" s="364"/>
      <c r="M8" s="89"/>
    </row>
    <row r="9" spans="1:13" s="3" customFormat="1" ht="19.5" customHeight="1" x14ac:dyDescent="0.4">
      <c r="A9" s="4">
        <v>46053</v>
      </c>
      <c r="B9" s="5" t="s">
        <v>16</v>
      </c>
      <c r="C9" s="115" t="s">
        <v>18</v>
      </c>
      <c r="D9" s="42" t="s">
        <v>836</v>
      </c>
      <c r="E9" s="1" t="s">
        <v>17</v>
      </c>
      <c r="F9" s="8">
        <v>2398</v>
      </c>
      <c r="G9" s="7">
        <v>25447</v>
      </c>
      <c r="H9" s="275">
        <f t="shared" si="0"/>
        <v>61021906</v>
      </c>
      <c r="I9" s="142" t="s">
        <v>835</v>
      </c>
      <c r="J9" s="72"/>
      <c r="K9" s="7"/>
      <c r="L9" s="364"/>
      <c r="M9" s="89"/>
    </row>
    <row r="10" spans="1:13" s="3" customFormat="1" ht="21" customHeight="1" x14ac:dyDescent="0.4">
      <c r="A10" s="4">
        <v>46048</v>
      </c>
      <c r="B10" s="5" t="s">
        <v>16</v>
      </c>
      <c r="C10" s="6" t="s">
        <v>492</v>
      </c>
      <c r="D10" s="1" t="s">
        <v>493</v>
      </c>
      <c r="E10" s="1" t="s">
        <v>17</v>
      </c>
      <c r="F10" s="8">
        <v>162</v>
      </c>
      <c r="G10" s="7">
        <v>237760</v>
      </c>
      <c r="H10" s="7">
        <f t="shared" si="0"/>
        <v>38517120</v>
      </c>
      <c r="I10" s="61" t="s">
        <v>834</v>
      </c>
      <c r="J10" s="7"/>
      <c r="K10" s="7"/>
      <c r="L10" s="363"/>
      <c r="M10" s="89"/>
    </row>
    <row r="11" spans="1:13" s="3" customFormat="1" ht="21" customHeight="1" x14ac:dyDescent="0.4">
      <c r="A11" s="4">
        <v>46052</v>
      </c>
      <c r="B11" s="5" t="s">
        <v>16</v>
      </c>
      <c r="C11" s="6" t="s">
        <v>492</v>
      </c>
      <c r="D11" s="1" t="s">
        <v>493</v>
      </c>
      <c r="E11" s="1" t="s">
        <v>17</v>
      </c>
      <c r="F11" s="362">
        <v>135</v>
      </c>
      <c r="G11" s="7">
        <v>237760</v>
      </c>
      <c r="H11" s="7">
        <f t="shared" si="0"/>
        <v>32097600</v>
      </c>
      <c r="I11" s="61" t="s">
        <v>834</v>
      </c>
      <c r="J11" s="7"/>
      <c r="K11" s="7"/>
      <c r="L11" s="363"/>
      <c r="M11" s="89"/>
    </row>
    <row r="12" spans="1:13" s="3" customFormat="1" ht="19.5" customHeight="1" x14ac:dyDescent="0.4">
      <c r="A12" s="193"/>
      <c r="B12" s="194"/>
      <c r="C12" s="40"/>
      <c r="D12" s="194"/>
      <c r="E12" s="194"/>
      <c r="F12" s="91">
        <v>160</v>
      </c>
      <c r="G12" s="138"/>
      <c r="H12" s="138">
        <f>SUM(H4:H9)</f>
        <v>133228386</v>
      </c>
      <c r="I12" s="138"/>
      <c r="J12" s="145"/>
      <c r="K12" s="145"/>
      <c r="L12" s="145"/>
      <c r="M12" s="89"/>
    </row>
    <row r="13" spans="1:13" s="3" customFormat="1" ht="19.5" customHeight="1" x14ac:dyDescent="0.4">
      <c r="A13" s="190">
        <v>46050</v>
      </c>
      <c r="B13" s="110" t="s">
        <v>24</v>
      </c>
      <c r="C13" s="29" t="s">
        <v>716</v>
      </c>
      <c r="D13" s="110" t="s">
        <v>717</v>
      </c>
      <c r="E13" s="110" t="s">
        <v>17</v>
      </c>
      <c r="F13" s="81">
        <v>33</v>
      </c>
      <c r="G13" s="49">
        <v>122010</v>
      </c>
      <c r="H13" s="49" t="s">
        <v>186</v>
      </c>
      <c r="I13" s="49"/>
      <c r="J13" s="144"/>
      <c r="K13" s="144"/>
      <c r="L13" s="144"/>
      <c r="M13" s="89"/>
    </row>
    <row r="14" spans="1:13" s="3" customFormat="1" ht="19.5" customHeight="1" x14ac:dyDescent="0.4">
      <c r="A14" s="190">
        <v>46051</v>
      </c>
      <c r="B14" s="110" t="s">
        <v>24</v>
      </c>
      <c r="C14" s="29" t="s">
        <v>716</v>
      </c>
      <c r="D14" s="110" t="s">
        <v>717</v>
      </c>
      <c r="E14" s="110" t="s">
        <v>17</v>
      </c>
      <c r="F14" s="81">
        <v>17</v>
      </c>
      <c r="G14" s="49">
        <v>122010</v>
      </c>
      <c r="H14" s="49" t="s">
        <v>186</v>
      </c>
      <c r="I14" s="49"/>
      <c r="J14" s="144"/>
      <c r="K14" s="144"/>
      <c r="L14" s="144"/>
      <c r="M14" s="89"/>
    </row>
    <row r="15" spans="1:13" s="3" customFormat="1" ht="19.5" customHeight="1" x14ac:dyDescent="0.4">
      <c r="A15" s="190">
        <v>46052</v>
      </c>
      <c r="B15" s="110" t="s">
        <v>24</v>
      </c>
      <c r="C15" s="29" t="s">
        <v>716</v>
      </c>
      <c r="D15" s="110" t="s">
        <v>717</v>
      </c>
      <c r="E15" s="110" t="s">
        <v>17</v>
      </c>
      <c r="F15" s="81">
        <v>33</v>
      </c>
      <c r="G15" s="49">
        <v>122010</v>
      </c>
      <c r="H15" s="49" t="s">
        <v>186</v>
      </c>
      <c r="I15" s="49"/>
      <c r="J15" s="144"/>
      <c r="K15" s="144"/>
      <c r="L15" s="144"/>
      <c r="M15" s="89"/>
    </row>
    <row r="16" spans="1:13" s="3" customFormat="1" ht="19.5" customHeight="1" x14ac:dyDescent="0.4">
      <c r="A16" s="190">
        <v>46052</v>
      </c>
      <c r="B16" s="110" t="s">
        <v>24</v>
      </c>
      <c r="C16" s="29" t="s">
        <v>27</v>
      </c>
      <c r="D16" s="110" t="s">
        <v>28</v>
      </c>
      <c r="E16" s="110" t="s">
        <v>424</v>
      </c>
      <c r="F16" s="81">
        <v>760</v>
      </c>
      <c r="G16" s="81">
        <v>9081</v>
      </c>
      <c r="H16" s="7">
        <f>F16*G16</f>
        <v>6901560</v>
      </c>
      <c r="I16" s="49"/>
      <c r="J16" s="144"/>
      <c r="K16" s="144"/>
      <c r="L16" s="144"/>
      <c r="M16" s="89"/>
    </row>
    <row r="17" spans="1:13" s="3" customFormat="1" ht="19.5" customHeight="1" x14ac:dyDescent="0.4">
      <c r="A17" s="190">
        <v>46052</v>
      </c>
      <c r="B17" s="110" t="s">
        <v>24</v>
      </c>
      <c r="C17" s="29" t="s">
        <v>716</v>
      </c>
      <c r="D17" s="110" t="s">
        <v>717</v>
      </c>
      <c r="E17" s="110" t="s">
        <v>17</v>
      </c>
      <c r="F17" s="81">
        <v>-79</v>
      </c>
      <c r="G17" s="49">
        <v>122010</v>
      </c>
      <c r="H17" s="7">
        <f>F17*G17</f>
        <v>-9638790</v>
      </c>
      <c r="I17" s="49"/>
      <c r="J17" s="144"/>
      <c r="K17" s="144"/>
      <c r="L17" s="144"/>
      <c r="M17" s="89"/>
    </row>
    <row r="18" spans="1:13" s="19" customFormat="1" ht="20.25" customHeight="1" x14ac:dyDescent="0.4">
      <c r="A18" s="15">
        <v>46038</v>
      </c>
      <c r="B18" s="23" t="s">
        <v>24</v>
      </c>
      <c r="C18" s="24" t="s">
        <v>29</v>
      </c>
      <c r="D18" s="11" t="s">
        <v>30</v>
      </c>
      <c r="E18" s="11" t="s">
        <v>17</v>
      </c>
      <c r="F18" s="396">
        <v>-4</v>
      </c>
      <c r="G18" s="396">
        <v>206710</v>
      </c>
      <c r="H18" s="7">
        <f>F18*G18</f>
        <v>-826840</v>
      </c>
      <c r="I18" s="397"/>
      <c r="J18" s="398"/>
      <c r="K18" s="398"/>
      <c r="L18" s="104"/>
      <c r="M18" s="399"/>
    </row>
    <row r="19" spans="1:13" s="19" customFormat="1" ht="21.75" customHeight="1" x14ac:dyDescent="0.3">
      <c r="A19" s="15">
        <v>46051</v>
      </c>
      <c r="B19" s="5" t="s">
        <v>24</v>
      </c>
      <c r="C19" s="401" t="s">
        <v>27</v>
      </c>
      <c r="D19" s="1" t="s">
        <v>839</v>
      </c>
      <c r="E19" s="1" t="s">
        <v>840</v>
      </c>
      <c r="F19" s="402">
        <v>-6</v>
      </c>
      <c r="G19" s="403" ph="1">
        <v>9149</v>
      </c>
      <c r="H19" s="7">
        <f>F19*G19</f>
        <v>-54894</v>
      </c>
      <c r="I19" s="404"/>
      <c r="J19" s="398"/>
      <c r="K19" s="400"/>
      <c r="L19" s="405"/>
      <c r="M19" s="406"/>
    </row>
    <row r="20" spans="1:13" s="19" customFormat="1" ht="21.75" customHeight="1" x14ac:dyDescent="0.4">
      <c r="A20" s="15">
        <v>46051</v>
      </c>
      <c r="B20" s="5" t="s">
        <v>24</v>
      </c>
      <c r="C20" s="401" t="s">
        <v>841</v>
      </c>
      <c r="D20" s="1" t="s">
        <v>28</v>
      </c>
      <c r="E20" s="1" t="s">
        <v>840</v>
      </c>
      <c r="F20" s="402">
        <v>-1</v>
      </c>
      <c r="G20" s="403">
        <v>9081</v>
      </c>
      <c r="H20" s="7">
        <f>F20*G20</f>
        <v>-9081</v>
      </c>
      <c r="I20" s="404"/>
      <c r="J20" s="398"/>
      <c r="K20" s="400"/>
      <c r="L20" s="405"/>
      <c r="M20" s="406"/>
    </row>
    <row r="21" spans="1:13" s="3" customFormat="1" ht="21.75" customHeight="1" x14ac:dyDescent="0.4">
      <c r="A21" s="193"/>
      <c r="B21" s="194"/>
      <c r="C21" s="40"/>
      <c r="D21" s="194"/>
      <c r="E21" s="194"/>
      <c r="F21" s="91"/>
      <c r="G21" s="138"/>
      <c r="H21" s="138">
        <f>SUM(H13:H20)</f>
        <v>-3628045</v>
      </c>
      <c r="I21" s="138"/>
      <c r="J21" s="145"/>
      <c r="K21" s="145"/>
      <c r="L21" s="145"/>
      <c r="M21" s="89"/>
    </row>
    <row r="22" spans="1:13" s="3" customFormat="1" ht="21" customHeight="1" x14ac:dyDescent="0.4">
      <c r="A22" s="4">
        <v>46020</v>
      </c>
      <c r="B22" s="103" t="s">
        <v>516</v>
      </c>
      <c r="C22" s="236" t="s">
        <v>347</v>
      </c>
      <c r="D22" s="1" t="s">
        <v>348</v>
      </c>
      <c r="E22" s="1"/>
      <c r="F22" s="228">
        <v>13</v>
      </c>
      <c r="G22" s="228">
        <v>38000</v>
      </c>
      <c r="H22" s="275">
        <f t="shared" ref="H22:H28" si="1">F22*G22</f>
        <v>494000</v>
      </c>
      <c r="I22" s="237" t="s">
        <v>682</v>
      </c>
      <c r="J22" s="228"/>
      <c r="K22" s="228"/>
      <c r="L22" s="237"/>
      <c r="M22" s="232"/>
    </row>
    <row r="23" spans="1:13" s="3" customFormat="1" ht="21" customHeight="1" x14ac:dyDescent="0.4">
      <c r="A23" s="4">
        <v>46020</v>
      </c>
      <c r="B23" s="103" t="s">
        <v>516</v>
      </c>
      <c r="C23" s="236" t="s">
        <v>347</v>
      </c>
      <c r="D23" s="1" t="s">
        <v>349</v>
      </c>
      <c r="E23" s="1"/>
      <c r="F23" s="239">
        <v>13</v>
      </c>
      <c r="G23" s="228">
        <v>43200</v>
      </c>
      <c r="H23" s="275">
        <f t="shared" si="1"/>
        <v>561600</v>
      </c>
      <c r="I23" s="237" t="s">
        <v>682</v>
      </c>
      <c r="J23" s="228"/>
      <c r="K23" s="228"/>
      <c r="L23" s="237"/>
      <c r="M23" s="232"/>
    </row>
    <row r="24" spans="1:13" s="3" customFormat="1" ht="21" customHeight="1" x14ac:dyDescent="0.4">
      <c r="A24" s="4">
        <v>46020</v>
      </c>
      <c r="B24" s="103" t="s">
        <v>516</v>
      </c>
      <c r="C24" s="236" t="s">
        <v>347</v>
      </c>
      <c r="D24" s="1" t="s">
        <v>350</v>
      </c>
      <c r="E24" s="1"/>
      <c r="F24" s="228">
        <v>13</v>
      </c>
      <c r="G24" s="228">
        <v>38000</v>
      </c>
      <c r="H24" s="275">
        <f t="shared" si="1"/>
        <v>494000</v>
      </c>
      <c r="I24" s="237" t="s">
        <v>682</v>
      </c>
      <c r="J24" s="228"/>
      <c r="K24" s="228"/>
      <c r="L24" s="237"/>
      <c r="M24" s="232"/>
    </row>
    <row r="25" spans="1:13" s="3" customFormat="1" ht="21" customHeight="1" x14ac:dyDescent="0.4">
      <c r="A25" s="4">
        <v>46020</v>
      </c>
      <c r="B25" s="103" t="s">
        <v>516</v>
      </c>
      <c r="C25" s="236" t="s">
        <v>347</v>
      </c>
      <c r="D25" s="1" t="s">
        <v>351</v>
      </c>
      <c r="E25" s="1"/>
      <c r="F25" s="228">
        <v>13</v>
      </c>
      <c r="G25" s="228">
        <v>39400</v>
      </c>
      <c r="H25" s="275">
        <f t="shared" si="1"/>
        <v>512200</v>
      </c>
      <c r="I25" s="237" t="s">
        <v>682</v>
      </c>
      <c r="J25" s="228"/>
      <c r="K25" s="228"/>
      <c r="L25" s="237"/>
      <c r="M25" s="232"/>
    </row>
    <row r="26" spans="1:13" s="3" customFormat="1" ht="21" customHeight="1" x14ac:dyDescent="0.4">
      <c r="A26" s="4">
        <v>46020</v>
      </c>
      <c r="B26" s="103" t="s">
        <v>516</v>
      </c>
      <c r="C26" s="236" t="s">
        <v>347</v>
      </c>
      <c r="D26" s="1" t="s">
        <v>352</v>
      </c>
      <c r="E26" s="1"/>
      <c r="F26" s="228">
        <v>13</v>
      </c>
      <c r="G26" s="228">
        <v>35400</v>
      </c>
      <c r="H26" s="275">
        <f t="shared" si="1"/>
        <v>460200</v>
      </c>
      <c r="I26" s="237" t="s">
        <v>682</v>
      </c>
      <c r="J26" s="228"/>
      <c r="K26" s="228"/>
      <c r="L26" s="237"/>
      <c r="M26" s="232"/>
    </row>
    <row r="27" spans="1:13" s="3" customFormat="1" ht="21" customHeight="1" x14ac:dyDescent="0.4">
      <c r="A27" s="4">
        <v>46020</v>
      </c>
      <c r="B27" s="103" t="s">
        <v>516</v>
      </c>
      <c r="C27" s="236" t="s">
        <v>347</v>
      </c>
      <c r="D27" s="1" t="s">
        <v>353</v>
      </c>
      <c r="E27" s="1"/>
      <c r="F27" s="228">
        <v>13</v>
      </c>
      <c r="G27" s="228">
        <v>40000</v>
      </c>
      <c r="H27" s="275">
        <f t="shared" si="1"/>
        <v>520000</v>
      </c>
      <c r="I27" s="237" t="s">
        <v>682</v>
      </c>
      <c r="J27" s="228"/>
      <c r="K27" s="228"/>
      <c r="L27" s="237"/>
      <c r="M27" s="232"/>
    </row>
    <row r="28" spans="1:13" s="3" customFormat="1" ht="21" customHeight="1" x14ac:dyDescent="0.4">
      <c r="A28" s="4">
        <v>46020</v>
      </c>
      <c r="B28" s="103" t="s">
        <v>516</v>
      </c>
      <c r="C28" s="236" t="s">
        <v>354</v>
      </c>
      <c r="D28" s="1">
        <v>7060741881</v>
      </c>
      <c r="E28" s="1"/>
      <c r="F28" s="228">
        <v>13</v>
      </c>
      <c r="G28" s="228">
        <v>1285900</v>
      </c>
      <c r="H28" s="275">
        <f t="shared" si="1"/>
        <v>16716700</v>
      </c>
      <c r="I28" s="237" t="s">
        <v>682</v>
      </c>
      <c r="J28" s="228"/>
      <c r="K28" s="228"/>
      <c r="L28" s="237"/>
      <c r="M28" s="232"/>
    </row>
    <row r="29" spans="1:13" s="3" customFormat="1" ht="21" customHeight="1" x14ac:dyDescent="0.4">
      <c r="A29" s="4">
        <v>46022</v>
      </c>
      <c r="B29" s="103" t="s">
        <v>516</v>
      </c>
      <c r="C29" s="236" t="s">
        <v>376</v>
      </c>
      <c r="D29" s="1" t="s">
        <v>402</v>
      </c>
      <c r="E29" s="1"/>
      <c r="F29" s="228">
        <v>9</v>
      </c>
      <c r="G29" s="228">
        <v>5972950</v>
      </c>
      <c r="H29" s="275">
        <f>F29*G29</f>
        <v>53756550</v>
      </c>
      <c r="I29" s="237"/>
      <c r="J29" s="228"/>
      <c r="K29" s="228"/>
      <c r="L29" s="237"/>
      <c r="M29" s="232"/>
    </row>
    <row r="30" spans="1:13" s="3" customFormat="1" ht="21" customHeight="1" x14ac:dyDescent="0.4">
      <c r="A30" s="4">
        <v>46022</v>
      </c>
      <c r="B30" s="103" t="s">
        <v>516</v>
      </c>
      <c r="C30" s="236" t="s">
        <v>376</v>
      </c>
      <c r="D30" s="1" t="s">
        <v>402</v>
      </c>
      <c r="E30" s="1"/>
      <c r="F30" s="228">
        <v>1</v>
      </c>
      <c r="G30" s="228">
        <v>5972950</v>
      </c>
      <c r="H30" s="275" t="s">
        <v>186</v>
      </c>
      <c r="I30" s="237"/>
      <c r="J30" s="228"/>
      <c r="K30" s="228"/>
      <c r="L30" s="237"/>
      <c r="M30" s="232"/>
    </row>
    <row r="31" spans="1:13" s="3" customFormat="1" ht="19.5" customHeight="1" x14ac:dyDescent="0.4">
      <c r="A31" s="4">
        <v>46030</v>
      </c>
      <c r="B31" s="103" t="s">
        <v>516</v>
      </c>
      <c r="C31" s="29" t="s">
        <v>39</v>
      </c>
      <c r="D31" s="110" t="s">
        <v>40</v>
      </c>
      <c r="E31" s="110"/>
      <c r="F31" s="81">
        <v>24</v>
      </c>
      <c r="G31" s="49">
        <v>1380450</v>
      </c>
      <c r="H31" s="7">
        <f>F31*G31</f>
        <v>33130800</v>
      </c>
      <c r="I31" s="49"/>
      <c r="J31" s="144"/>
      <c r="K31" s="144"/>
      <c r="L31" s="144"/>
      <c r="M31" s="89"/>
    </row>
    <row r="32" spans="1:13" s="3" customFormat="1" ht="19.5" customHeight="1" x14ac:dyDescent="0.4">
      <c r="A32" s="4">
        <v>46030</v>
      </c>
      <c r="B32" s="103" t="s">
        <v>516</v>
      </c>
      <c r="C32" s="29" t="s">
        <v>43</v>
      </c>
      <c r="D32" s="110" t="s">
        <v>44</v>
      </c>
      <c r="E32" s="110"/>
      <c r="F32" s="81">
        <v>98</v>
      </c>
      <c r="G32" s="49">
        <v>174080</v>
      </c>
      <c r="H32" s="7">
        <f t="shared" ref="H32:H63" si="2">F32*G32</f>
        <v>17059840</v>
      </c>
      <c r="I32" s="49"/>
      <c r="J32" s="144"/>
      <c r="K32" s="144"/>
      <c r="L32" s="144"/>
      <c r="M32" s="89"/>
    </row>
    <row r="33" spans="1:13" s="3" customFormat="1" ht="19.5" customHeight="1" x14ac:dyDescent="0.4">
      <c r="A33" s="4">
        <v>46030</v>
      </c>
      <c r="B33" s="103" t="s">
        <v>516</v>
      </c>
      <c r="C33" s="29" t="s">
        <v>47</v>
      </c>
      <c r="D33" s="110" t="s">
        <v>48</v>
      </c>
      <c r="E33" s="110"/>
      <c r="F33" s="81">
        <v>59</v>
      </c>
      <c r="G33" s="49">
        <v>231760</v>
      </c>
      <c r="H33" s="7">
        <f t="shared" si="2"/>
        <v>13673840</v>
      </c>
      <c r="I33" s="49"/>
      <c r="J33" s="144"/>
      <c r="K33" s="144"/>
      <c r="L33" s="144"/>
      <c r="M33" s="89"/>
    </row>
    <row r="34" spans="1:13" s="3" customFormat="1" ht="19.5" customHeight="1" x14ac:dyDescent="0.4">
      <c r="A34" s="4">
        <v>46037</v>
      </c>
      <c r="B34" s="103" t="s">
        <v>516</v>
      </c>
      <c r="C34" s="29" t="s">
        <v>397</v>
      </c>
      <c r="D34" s="110" t="s">
        <v>398</v>
      </c>
      <c r="E34" s="110"/>
      <c r="F34" s="81">
        <v>18</v>
      </c>
      <c r="G34" s="49">
        <v>12180</v>
      </c>
      <c r="H34" s="7">
        <f t="shared" si="2"/>
        <v>219240</v>
      </c>
      <c r="I34" s="49"/>
      <c r="J34" s="144"/>
      <c r="K34" s="144"/>
      <c r="L34" s="144"/>
      <c r="M34" s="89"/>
    </row>
    <row r="35" spans="1:13" s="3" customFormat="1" ht="19.5" customHeight="1" x14ac:dyDescent="0.4">
      <c r="A35" s="4">
        <v>46037</v>
      </c>
      <c r="B35" s="103" t="s">
        <v>516</v>
      </c>
      <c r="C35" s="29" t="s">
        <v>397</v>
      </c>
      <c r="D35" s="110" t="s">
        <v>398</v>
      </c>
      <c r="E35" s="110"/>
      <c r="F35" s="81">
        <v>32</v>
      </c>
      <c r="G35" s="49">
        <v>15600</v>
      </c>
      <c r="H35" s="7">
        <f t="shared" si="2"/>
        <v>499200</v>
      </c>
      <c r="I35" s="49">
        <v>15600</v>
      </c>
      <c r="J35" s="144"/>
      <c r="K35" s="144"/>
      <c r="L35" s="144"/>
      <c r="M35" s="89"/>
    </row>
    <row r="36" spans="1:13" s="3" customFormat="1" ht="19.5" customHeight="1" x14ac:dyDescent="0.4">
      <c r="A36" s="4">
        <v>46037</v>
      </c>
      <c r="B36" s="103" t="s">
        <v>516</v>
      </c>
      <c r="C36" s="29" t="s">
        <v>35</v>
      </c>
      <c r="D36" s="110" t="s">
        <v>36</v>
      </c>
      <c r="E36" s="110"/>
      <c r="F36" s="81">
        <v>11</v>
      </c>
      <c r="G36" s="49">
        <v>1259290</v>
      </c>
      <c r="H36" s="7">
        <f t="shared" si="2"/>
        <v>13852190</v>
      </c>
      <c r="I36" s="49"/>
      <c r="J36" s="144"/>
      <c r="K36" s="144"/>
      <c r="L36" s="144"/>
      <c r="M36" s="89"/>
    </row>
    <row r="37" spans="1:13" s="3" customFormat="1" ht="19.5" customHeight="1" x14ac:dyDescent="0.4">
      <c r="A37" s="4">
        <v>46037</v>
      </c>
      <c r="B37" s="103" t="s">
        <v>516</v>
      </c>
      <c r="C37" s="29" t="s">
        <v>39</v>
      </c>
      <c r="D37" s="110" t="s">
        <v>40</v>
      </c>
      <c r="E37" s="110"/>
      <c r="F37" s="81">
        <v>12</v>
      </c>
      <c r="G37" s="49">
        <v>1380450</v>
      </c>
      <c r="H37" s="7">
        <f t="shared" si="2"/>
        <v>16565400</v>
      </c>
      <c r="I37" s="49"/>
      <c r="J37" s="144"/>
      <c r="K37" s="144"/>
      <c r="L37" s="144"/>
      <c r="M37" s="89"/>
    </row>
    <row r="38" spans="1:13" s="3" customFormat="1" ht="19.5" customHeight="1" x14ac:dyDescent="0.4">
      <c r="A38" s="4">
        <v>46044</v>
      </c>
      <c r="B38" s="103" t="s">
        <v>516</v>
      </c>
      <c r="C38" s="29" t="s">
        <v>467</v>
      </c>
      <c r="D38" s="110" t="s">
        <v>468</v>
      </c>
      <c r="E38" s="110"/>
      <c r="F38" s="81">
        <v>17</v>
      </c>
      <c r="G38" s="49">
        <v>130900</v>
      </c>
      <c r="H38" s="7">
        <f t="shared" si="2"/>
        <v>2225300</v>
      </c>
      <c r="I38" s="49"/>
      <c r="J38" s="144"/>
      <c r="K38" s="144"/>
      <c r="L38" s="144"/>
      <c r="M38" s="89"/>
    </row>
    <row r="39" spans="1:13" s="3" customFormat="1" ht="19.5" customHeight="1" x14ac:dyDescent="0.4">
      <c r="A39" s="4">
        <v>46044</v>
      </c>
      <c r="B39" s="103" t="s">
        <v>516</v>
      </c>
      <c r="C39" s="29" t="s">
        <v>279</v>
      </c>
      <c r="D39" s="110" t="s">
        <v>280</v>
      </c>
      <c r="E39" s="110"/>
      <c r="F39" s="81">
        <v>34</v>
      </c>
      <c r="G39" s="49">
        <v>242500</v>
      </c>
      <c r="H39" s="7">
        <f t="shared" si="2"/>
        <v>8245000</v>
      </c>
      <c r="I39" s="49"/>
      <c r="J39" s="144"/>
      <c r="K39" s="144"/>
      <c r="L39" s="144"/>
      <c r="M39" s="89"/>
    </row>
    <row r="40" spans="1:13" s="3" customFormat="1" ht="19.5" customHeight="1" x14ac:dyDescent="0.4">
      <c r="A40" s="4">
        <v>46044</v>
      </c>
      <c r="B40" s="103" t="s">
        <v>516</v>
      </c>
      <c r="C40" s="29" t="s">
        <v>37</v>
      </c>
      <c r="D40" s="110" t="s">
        <v>38</v>
      </c>
      <c r="E40" s="110"/>
      <c r="F40" s="81">
        <v>11</v>
      </c>
      <c r="G40" s="49">
        <v>1278690</v>
      </c>
      <c r="H40" s="7">
        <f t="shared" si="2"/>
        <v>14065590</v>
      </c>
      <c r="I40" s="49"/>
      <c r="J40" s="144"/>
      <c r="K40" s="144"/>
      <c r="L40" s="144"/>
      <c r="M40" s="89"/>
    </row>
    <row r="41" spans="1:13" s="3" customFormat="1" ht="19.5" customHeight="1" x14ac:dyDescent="0.4">
      <c r="A41" s="4">
        <v>46044</v>
      </c>
      <c r="B41" s="103" t="s">
        <v>516</v>
      </c>
      <c r="C41" s="29" t="s">
        <v>172</v>
      </c>
      <c r="D41" s="110" t="s">
        <v>173</v>
      </c>
      <c r="E41" s="110"/>
      <c r="F41" s="81">
        <v>83</v>
      </c>
      <c r="G41" s="49">
        <v>246640</v>
      </c>
      <c r="H41" s="7">
        <f t="shared" si="2"/>
        <v>20471120</v>
      </c>
      <c r="I41" s="49"/>
      <c r="J41" s="144"/>
      <c r="K41" s="144"/>
      <c r="L41" s="144"/>
      <c r="M41" s="89"/>
    </row>
    <row r="42" spans="1:13" s="3" customFormat="1" ht="19.5" customHeight="1" x14ac:dyDescent="0.4">
      <c r="A42" s="4">
        <v>46044</v>
      </c>
      <c r="B42" s="103" t="s">
        <v>516</v>
      </c>
      <c r="C42" s="29" t="s">
        <v>177</v>
      </c>
      <c r="D42" s="110" t="s">
        <v>178</v>
      </c>
      <c r="E42" s="110"/>
      <c r="F42" s="81">
        <v>53</v>
      </c>
      <c r="G42" s="49">
        <v>176840</v>
      </c>
      <c r="H42" s="7">
        <f t="shared" si="2"/>
        <v>9372520</v>
      </c>
      <c r="I42" s="49"/>
      <c r="J42" s="144"/>
      <c r="K42" s="144"/>
      <c r="L42" s="144"/>
      <c r="M42" s="89"/>
    </row>
    <row r="43" spans="1:13" s="3" customFormat="1" ht="19.5" customHeight="1" x14ac:dyDescent="0.4">
      <c r="A43" s="4">
        <v>46044</v>
      </c>
      <c r="B43" s="103" t="s">
        <v>516</v>
      </c>
      <c r="C43" s="29" t="s">
        <v>177</v>
      </c>
      <c r="D43" s="110" t="s">
        <v>178</v>
      </c>
      <c r="E43" s="110"/>
      <c r="F43" s="81">
        <v>2</v>
      </c>
      <c r="G43" s="49">
        <v>176840</v>
      </c>
      <c r="H43" s="7">
        <f t="shared" si="2"/>
        <v>353680</v>
      </c>
      <c r="I43" s="49"/>
      <c r="J43" s="144"/>
      <c r="K43" s="144"/>
      <c r="L43" s="144"/>
      <c r="M43" s="89"/>
    </row>
    <row r="44" spans="1:13" s="3" customFormat="1" ht="19.5" customHeight="1" x14ac:dyDescent="0.4">
      <c r="A44" s="4">
        <v>46044</v>
      </c>
      <c r="B44" s="103" t="s">
        <v>516</v>
      </c>
      <c r="C44" s="29" t="s">
        <v>177</v>
      </c>
      <c r="D44" s="110" t="s">
        <v>178</v>
      </c>
      <c r="E44" s="110"/>
      <c r="F44" s="81">
        <v>5</v>
      </c>
      <c r="G44" s="49">
        <v>176840</v>
      </c>
      <c r="H44" s="7">
        <f t="shared" si="2"/>
        <v>884200</v>
      </c>
      <c r="I44" s="49"/>
      <c r="J44" s="144"/>
      <c r="K44" s="144"/>
      <c r="L44" s="144"/>
      <c r="M44" s="89"/>
    </row>
    <row r="45" spans="1:13" s="3" customFormat="1" ht="19.5" customHeight="1" x14ac:dyDescent="0.4">
      <c r="A45" s="4">
        <v>46044</v>
      </c>
      <c r="B45" s="103" t="s">
        <v>516</v>
      </c>
      <c r="C45" s="29" t="s">
        <v>465</v>
      </c>
      <c r="D45" s="110" t="s">
        <v>466</v>
      </c>
      <c r="E45" s="110"/>
      <c r="F45" s="81">
        <v>14</v>
      </c>
      <c r="G45" s="49">
        <v>243680</v>
      </c>
      <c r="H45" s="7">
        <f t="shared" si="2"/>
        <v>3411520</v>
      </c>
      <c r="I45" s="49"/>
      <c r="J45" s="144"/>
      <c r="K45" s="144"/>
      <c r="L45" s="144"/>
      <c r="M45" s="89"/>
    </row>
    <row r="46" spans="1:13" s="3" customFormat="1" ht="19.5" customHeight="1" x14ac:dyDescent="0.4">
      <c r="A46" s="4">
        <v>46044</v>
      </c>
      <c r="B46" s="103" t="s">
        <v>516</v>
      </c>
      <c r="C46" s="29" t="s">
        <v>465</v>
      </c>
      <c r="D46" s="110" t="s">
        <v>466</v>
      </c>
      <c r="E46" s="110"/>
      <c r="F46" s="81">
        <v>3</v>
      </c>
      <c r="G46" s="49">
        <v>247600</v>
      </c>
      <c r="H46" s="7">
        <f t="shared" si="2"/>
        <v>742800</v>
      </c>
      <c r="I46" s="49"/>
      <c r="J46" s="144"/>
      <c r="K46" s="144"/>
      <c r="L46" s="144"/>
      <c r="M46" s="89"/>
    </row>
    <row r="47" spans="1:13" s="3" customFormat="1" ht="19.5" customHeight="1" x14ac:dyDescent="0.4">
      <c r="A47" s="4">
        <v>46051</v>
      </c>
      <c r="B47" s="103" t="s">
        <v>516</v>
      </c>
      <c r="C47" s="29" t="s">
        <v>179</v>
      </c>
      <c r="D47" s="110" t="s">
        <v>180</v>
      </c>
      <c r="E47" s="110"/>
      <c r="F47" s="81">
        <v>41</v>
      </c>
      <c r="G47" s="49">
        <v>147800</v>
      </c>
      <c r="H47" s="7">
        <f t="shared" si="2"/>
        <v>6059800</v>
      </c>
      <c r="I47" s="49" t="s">
        <v>834</v>
      </c>
      <c r="J47" s="144"/>
      <c r="K47" s="144"/>
      <c r="L47" s="144"/>
      <c r="M47" s="89"/>
    </row>
    <row r="48" spans="1:13" s="3" customFormat="1" ht="19.5" customHeight="1" x14ac:dyDescent="0.4">
      <c r="A48" s="4">
        <v>46051</v>
      </c>
      <c r="B48" s="103" t="s">
        <v>516</v>
      </c>
      <c r="C48" s="29" t="s">
        <v>179</v>
      </c>
      <c r="D48" s="110" t="s">
        <v>180</v>
      </c>
      <c r="E48" s="110"/>
      <c r="F48" s="81">
        <v>2</v>
      </c>
      <c r="G48" s="49">
        <v>147800</v>
      </c>
      <c r="H48" s="7">
        <f t="shared" si="2"/>
        <v>295600</v>
      </c>
      <c r="I48" s="49" t="s">
        <v>834</v>
      </c>
      <c r="J48" s="144"/>
      <c r="K48" s="144"/>
      <c r="L48" s="144"/>
      <c r="M48" s="89"/>
    </row>
    <row r="49" spans="1:13" s="3" customFormat="1" ht="19.5" customHeight="1" x14ac:dyDescent="0.4">
      <c r="A49" s="4">
        <v>46051</v>
      </c>
      <c r="B49" s="103" t="s">
        <v>516</v>
      </c>
      <c r="C49" s="29" t="s">
        <v>179</v>
      </c>
      <c r="D49" s="110" t="s">
        <v>180</v>
      </c>
      <c r="E49" s="110"/>
      <c r="F49" s="81">
        <v>1</v>
      </c>
      <c r="G49" s="49">
        <v>147800</v>
      </c>
      <c r="H49" s="7">
        <f t="shared" si="2"/>
        <v>147800</v>
      </c>
      <c r="I49" s="49" t="s">
        <v>834</v>
      </c>
      <c r="J49" s="144"/>
      <c r="K49" s="144"/>
      <c r="L49" s="144"/>
      <c r="M49" s="89"/>
    </row>
    <row r="50" spans="1:13" s="3" customFormat="1" ht="19.5" customHeight="1" x14ac:dyDescent="0.4">
      <c r="A50" s="4">
        <v>46051</v>
      </c>
      <c r="B50" s="103" t="s">
        <v>516</v>
      </c>
      <c r="C50" s="29" t="s">
        <v>179</v>
      </c>
      <c r="D50" s="110" t="s">
        <v>180</v>
      </c>
      <c r="E50" s="110"/>
      <c r="F50" s="81">
        <v>7</v>
      </c>
      <c r="G50" s="49">
        <v>147800</v>
      </c>
      <c r="H50" s="7">
        <f t="shared" si="2"/>
        <v>1034600</v>
      </c>
      <c r="I50" s="49" t="s">
        <v>834</v>
      </c>
      <c r="J50" s="144"/>
      <c r="K50" s="144"/>
      <c r="L50" s="144"/>
      <c r="M50" s="89"/>
    </row>
    <row r="51" spans="1:13" s="3" customFormat="1" ht="19.5" customHeight="1" x14ac:dyDescent="0.4">
      <c r="A51" s="4">
        <v>46051</v>
      </c>
      <c r="B51" s="103" t="s">
        <v>516</v>
      </c>
      <c r="C51" s="29" t="s">
        <v>718</v>
      </c>
      <c r="D51" s="110" t="s">
        <v>396</v>
      </c>
      <c r="E51" s="110"/>
      <c r="F51" s="81">
        <v>7</v>
      </c>
      <c r="G51" s="49">
        <v>1259290</v>
      </c>
      <c r="H51" s="7">
        <f t="shared" si="2"/>
        <v>8815030</v>
      </c>
      <c r="I51" s="49" t="s">
        <v>834</v>
      </c>
      <c r="J51" s="144"/>
      <c r="K51" s="144"/>
      <c r="L51" s="144"/>
      <c r="M51" s="89"/>
    </row>
    <row r="52" spans="1:13" s="3" customFormat="1" ht="19.5" customHeight="1" x14ac:dyDescent="0.4">
      <c r="A52" s="4">
        <v>46051</v>
      </c>
      <c r="B52" s="103" t="s">
        <v>516</v>
      </c>
      <c r="C52" s="29" t="s">
        <v>399</v>
      </c>
      <c r="D52" s="110" t="s">
        <v>400</v>
      </c>
      <c r="E52" s="110"/>
      <c r="F52" s="81">
        <v>9</v>
      </c>
      <c r="G52" s="49">
        <v>1278690</v>
      </c>
      <c r="H52" s="7">
        <f t="shared" si="2"/>
        <v>11508210</v>
      </c>
      <c r="I52" s="49" t="s">
        <v>834</v>
      </c>
      <c r="J52" s="144"/>
      <c r="K52" s="144"/>
      <c r="L52" s="144"/>
      <c r="M52" s="89"/>
    </row>
    <row r="53" spans="1:13" s="3" customFormat="1" ht="19.5" customHeight="1" x14ac:dyDescent="0.4">
      <c r="A53" s="4">
        <v>46051</v>
      </c>
      <c r="B53" s="103" t="s">
        <v>516</v>
      </c>
      <c r="C53" s="29" t="s">
        <v>39</v>
      </c>
      <c r="D53" s="110" t="s">
        <v>40</v>
      </c>
      <c r="E53" s="110"/>
      <c r="F53" s="81">
        <v>46</v>
      </c>
      <c r="G53" s="49">
        <v>1380450</v>
      </c>
      <c r="H53" s="7">
        <f t="shared" si="2"/>
        <v>63500700</v>
      </c>
      <c r="I53" s="49" t="s">
        <v>834</v>
      </c>
      <c r="J53" s="144"/>
      <c r="K53" s="144"/>
      <c r="L53" s="144"/>
      <c r="M53" s="89"/>
    </row>
    <row r="54" spans="1:13" s="3" customFormat="1" ht="19.5" customHeight="1" x14ac:dyDescent="0.4">
      <c r="A54" s="4">
        <v>46052</v>
      </c>
      <c r="B54" s="103" t="s">
        <v>516</v>
      </c>
      <c r="C54" s="29" t="s">
        <v>39</v>
      </c>
      <c r="D54" s="110" t="s">
        <v>40</v>
      </c>
      <c r="E54" s="110"/>
      <c r="F54" s="81">
        <v>35</v>
      </c>
      <c r="G54" s="49">
        <v>1380450</v>
      </c>
      <c r="H54" s="7">
        <f t="shared" si="2"/>
        <v>48315750</v>
      </c>
      <c r="I54" s="49" t="s">
        <v>834</v>
      </c>
      <c r="J54" s="144"/>
      <c r="K54" s="144"/>
      <c r="L54" s="144"/>
      <c r="M54" s="89"/>
    </row>
    <row r="55" spans="1:13" s="3" customFormat="1" ht="18.75" customHeight="1" x14ac:dyDescent="0.4">
      <c r="A55" s="4">
        <v>46052</v>
      </c>
      <c r="B55" s="103" t="s">
        <v>516</v>
      </c>
      <c r="C55" s="29" t="s">
        <v>347</v>
      </c>
      <c r="D55" s="110" t="s">
        <v>348</v>
      </c>
      <c r="E55" s="110"/>
      <c r="F55" s="81">
        <v>10</v>
      </c>
      <c r="G55" s="49">
        <v>38000</v>
      </c>
      <c r="H55" s="7">
        <f t="shared" si="2"/>
        <v>380000</v>
      </c>
      <c r="I55" s="49" t="s">
        <v>834</v>
      </c>
      <c r="J55" s="144"/>
      <c r="K55" s="144"/>
      <c r="L55" s="144"/>
      <c r="M55" s="89"/>
    </row>
    <row r="56" spans="1:13" s="3" customFormat="1" ht="18.75" customHeight="1" x14ac:dyDescent="0.4">
      <c r="A56" s="4">
        <v>46052</v>
      </c>
      <c r="B56" s="103" t="s">
        <v>516</v>
      </c>
      <c r="C56" s="29" t="s">
        <v>347</v>
      </c>
      <c r="D56" s="110" t="s">
        <v>349</v>
      </c>
      <c r="E56" s="110"/>
      <c r="F56" s="81">
        <v>10</v>
      </c>
      <c r="G56" s="49">
        <v>43200</v>
      </c>
      <c r="H56" s="7">
        <f t="shared" si="2"/>
        <v>432000</v>
      </c>
      <c r="I56" s="49" t="s">
        <v>834</v>
      </c>
      <c r="J56" s="144"/>
      <c r="K56" s="144"/>
      <c r="L56" s="144"/>
      <c r="M56" s="89"/>
    </row>
    <row r="57" spans="1:13" s="3" customFormat="1" ht="18.75" customHeight="1" x14ac:dyDescent="0.4">
      <c r="A57" s="4">
        <v>46052</v>
      </c>
      <c r="B57" s="103" t="s">
        <v>516</v>
      </c>
      <c r="C57" s="29" t="s">
        <v>347</v>
      </c>
      <c r="D57" s="110" t="s">
        <v>350</v>
      </c>
      <c r="E57" s="110"/>
      <c r="F57" s="81">
        <v>10</v>
      </c>
      <c r="G57" s="49">
        <v>38000</v>
      </c>
      <c r="H57" s="7">
        <f t="shared" si="2"/>
        <v>380000</v>
      </c>
      <c r="I57" s="49" t="s">
        <v>834</v>
      </c>
      <c r="J57" s="144"/>
      <c r="K57" s="144"/>
      <c r="L57" s="144"/>
      <c r="M57" s="89"/>
    </row>
    <row r="58" spans="1:13" s="3" customFormat="1" ht="18.75" customHeight="1" x14ac:dyDescent="0.4">
      <c r="A58" s="4">
        <v>46052</v>
      </c>
      <c r="B58" s="103" t="s">
        <v>516</v>
      </c>
      <c r="C58" s="29" t="s">
        <v>347</v>
      </c>
      <c r="D58" s="110" t="s">
        <v>351</v>
      </c>
      <c r="E58" s="110"/>
      <c r="F58" s="81">
        <v>10</v>
      </c>
      <c r="G58" s="49">
        <v>39400</v>
      </c>
      <c r="H58" s="7">
        <f t="shared" si="2"/>
        <v>394000</v>
      </c>
      <c r="I58" s="49" t="s">
        <v>834</v>
      </c>
      <c r="J58" s="144"/>
      <c r="K58" s="144"/>
      <c r="L58" s="144"/>
      <c r="M58" s="89"/>
    </row>
    <row r="59" spans="1:13" s="3" customFormat="1" ht="18.75" customHeight="1" x14ac:dyDescent="0.4">
      <c r="A59" s="4">
        <v>46052</v>
      </c>
      <c r="B59" s="103" t="s">
        <v>516</v>
      </c>
      <c r="C59" s="29" t="s">
        <v>347</v>
      </c>
      <c r="D59" s="110" t="s">
        <v>352</v>
      </c>
      <c r="E59" s="110"/>
      <c r="F59" s="81">
        <v>10</v>
      </c>
      <c r="G59" s="49">
        <v>35400</v>
      </c>
      <c r="H59" s="7">
        <f t="shared" si="2"/>
        <v>354000</v>
      </c>
      <c r="I59" s="49" t="s">
        <v>834</v>
      </c>
      <c r="J59" s="144"/>
      <c r="K59" s="144"/>
      <c r="L59" s="144"/>
      <c r="M59" s="89"/>
    </row>
    <row r="60" spans="1:13" s="3" customFormat="1" ht="18.75" customHeight="1" x14ac:dyDescent="0.4">
      <c r="A60" s="4">
        <v>46052</v>
      </c>
      <c r="B60" s="103" t="s">
        <v>516</v>
      </c>
      <c r="C60" s="29" t="s">
        <v>347</v>
      </c>
      <c r="D60" s="110" t="s">
        <v>353</v>
      </c>
      <c r="E60" s="110"/>
      <c r="F60" s="81">
        <v>10</v>
      </c>
      <c r="G60" s="49">
        <v>40000</v>
      </c>
      <c r="H60" s="7">
        <f t="shared" si="2"/>
        <v>400000</v>
      </c>
      <c r="I60" s="49" t="s">
        <v>834</v>
      </c>
      <c r="J60" s="144"/>
      <c r="K60" s="144"/>
      <c r="L60" s="144"/>
      <c r="M60" s="89"/>
    </row>
    <row r="61" spans="1:13" s="3" customFormat="1" ht="18.75" customHeight="1" x14ac:dyDescent="0.4">
      <c r="A61" s="4">
        <v>46052</v>
      </c>
      <c r="B61" s="103" t="s">
        <v>516</v>
      </c>
      <c r="C61" s="29" t="s">
        <v>401</v>
      </c>
      <c r="D61" s="110" t="s">
        <v>402</v>
      </c>
      <c r="E61" s="110"/>
      <c r="F61" s="347">
        <v>3</v>
      </c>
      <c r="G61" s="49">
        <v>5972950</v>
      </c>
      <c r="H61" s="7">
        <f>F61*G61</f>
        <v>17918850</v>
      </c>
      <c r="I61" s="49" t="s">
        <v>842</v>
      </c>
      <c r="J61" s="144"/>
      <c r="K61" s="144"/>
      <c r="L61" s="144"/>
      <c r="M61" s="89"/>
    </row>
    <row r="62" spans="1:13" s="3" customFormat="1" ht="18.75" customHeight="1" x14ac:dyDescent="0.4">
      <c r="A62" s="4">
        <v>46052</v>
      </c>
      <c r="B62" s="103" t="s">
        <v>516</v>
      </c>
      <c r="C62" s="29" t="s">
        <v>354</v>
      </c>
      <c r="D62" s="110" t="s">
        <v>355</v>
      </c>
      <c r="E62" s="110"/>
      <c r="F62" s="81">
        <v>10</v>
      </c>
      <c r="G62" s="49">
        <v>1364980</v>
      </c>
      <c r="H62" s="7">
        <f>F62*G62</f>
        <v>13649800</v>
      </c>
      <c r="I62" s="49" t="s">
        <v>834</v>
      </c>
      <c r="J62" s="144"/>
      <c r="K62" s="144"/>
      <c r="L62" s="144" t="s">
        <v>496</v>
      </c>
      <c r="M62" s="89"/>
    </row>
    <row r="63" spans="1:13" s="3" customFormat="1" ht="18.75" customHeight="1" x14ac:dyDescent="0.4">
      <c r="A63" s="4">
        <v>46052</v>
      </c>
      <c r="B63" s="103" t="s">
        <v>516</v>
      </c>
      <c r="C63" s="29" t="s">
        <v>41</v>
      </c>
      <c r="D63" s="110" t="s">
        <v>42</v>
      </c>
      <c r="E63" s="110"/>
      <c r="F63" s="81">
        <v>122</v>
      </c>
      <c r="G63" s="49">
        <v>203030</v>
      </c>
      <c r="H63" s="7">
        <f t="shared" si="2"/>
        <v>24769660</v>
      </c>
      <c r="I63" s="49" t="s">
        <v>834</v>
      </c>
      <c r="J63" s="144"/>
      <c r="K63" s="144"/>
      <c r="L63" s="144" t="s">
        <v>496</v>
      </c>
      <c r="M63" s="89"/>
    </row>
    <row r="64" spans="1:13" s="3" customFormat="1" ht="19.5" customHeight="1" x14ac:dyDescent="0.4">
      <c r="A64" s="193"/>
      <c r="B64" s="194"/>
      <c r="C64" s="40"/>
      <c r="D64" s="194"/>
      <c r="E64" s="194"/>
      <c r="F64" s="91"/>
      <c r="G64" s="138"/>
      <c r="H64" s="138">
        <f>SUM(H22:H46)</f>
        <v>228287490</v>
      </c>
      <c r="I64" s="138"/>
      <c r="J64" s="145"/>
      <c r="K64" s="145"/>
      <c r="L64" s="145"/>
      <c r="M64" s="89"/>
    </row>
    <row r="65" spans="1:14" s="3" customFormat="1" ht="19.5" customHeight="1" x14ac:dyDescent="0.4">
      <c r="A65" s="190">
        <v>46041</v>
      </c>
      <c r="B65" s="110" t="s">
        <v>55</v>
      </c>
      <c r="C65" s="29" t="s">
        <v>56</v>
      </c>
      <c r="D65" s="110" t="s">
        <v>57</v>
      </c>
      <c r="E65" s="110" t="s">
        <v>17</v>
      </c>
      <c r="F65" s="81">
        <v>180</v>
      </c>
      <c r="G65" s="49">
        <v>237507</v>
      </c>
      <c r="H65" s="7">
        <f>F65*G65</f>
        <v>42751260</v>
      </c>
      <c r="I65" s="49" t="s">
        <v>834</v>
      </c>
      <c r="J65" s="144"/>
      <c r="K65" s="144"/>
      <c r="L65" s="144"/>
      <c r="M65" s="89"/>
    </row>
    <row r="66" spans="1:14" s="3" customFormat="1" ht="19.5" customHeight="1" x14ac:dyDescent="0.4">
      <c r="A66" s="190">
        <v>46041</v>
      </c>
      <c r="B66" s="110" t="s">
        <v>55</v>
      </c>
      <c r="C66" s="29" t="s">
        <v>56</v>
      </c>
      <c r="D66" s="110" t="s">
        <v>281</v>
      </c>
      <c r="E66" s="110" t="s">
        <v>17</v>
      </c>
      <c r="F66" s="81">
        <v>33</v>
      </c>
      <c r="G66" s="49">
        <v>205002</v>
      </c>
      <c r="H66" s="7">
        <f>F66*G66</f>
        <v>6765066</v>
      </c>
      <c r="I66" s="49" t="s">
        <v>834</v>
      </c>
      <c r="J66" s="144"/>
      <c r="K66" s="144"/>
      <c r="L66" s="144"/>
      <c r="M66" s="89"/>
    </row>
    <row r="67" spans="1:14" s="3" customFormat="1" ht="19.5" customHeight="1" x14ac:dyDescent="0.4">
      <c r="A67" s="190">
        <v>46053</v>
      </c>
      <c r="B67" s="110" t="s">
        <v>55</v>
      </c>
      <c r="C67" s="29" t="s">
        <v>863</v>
      </c>
      <c r="D67" s="110" t="s">
        <v>862</v>
      </c>
      <c r="E67" s="110"/>
      <c r="F67" s="81"/>
      <c r="G67" s="49"/>
      <c r="H67" s="7">
        <v>2400000</v>
      </c>
      <c r="I67" s="49"/>
      <c r="J67" s="144"/>
      <c r="K67" s="144"/>
      <c r="L67" s="144"/>
      <c r="M67" s="89"/>
    </row>
    <row r="68" spans="1:14" s="3" customFormat="1" ht="19.5" customHeight="1" x14ac:dyDescent="0.4">
      <c r="A68" s="193"/>
      <c r="B68" s="194"/>
      <c r="C68" s="40"/>
      <c r="D68" s="194"/>
      <c r="E68" s="194"/>
      <c r="F68" s="91"/>
      <c r="G68" s="138"/>
      <c r="H68" s="138">
        <f>SUM(H67)</f>
        <v>2400000</v>
      </c>
      <c r="I68" s="138"/>
      <c r="J68" s="145"/>
      <c r="K68" s="145"/>
      <c r="L68" s="145"/>
      <c r="M68" s="89"/>
    </row>
    <row r="69" spans="1:14" s="3" customFormat="1" ht="20.25" customHeight="1" x14ac:dyDescent="0.4">
      <c r="A69" s="118">
        <v>46020</v>
      </c>
      <c r="B69" s="240" t="s">
        <v>557</v>
      </c>
      <c r="C69" s="241" t="s">
        <v>181</v>
      </c>
      <c r="D69" s="42">
        <v>61541861</v>
      </c>
      <c r="E69" s="42" t="s">
        <v>13</v>
      </c>
      <c r="F69" s="227">
        <v>5</v>
      </c>
      <c r="G69" s="228">
        <v>2275670</v>
      </c>
      <c r="H69" s="275">
        <f t="shared" ref="H69:H78" si="3">F69*G69</f>
        <v>11378350</v>
      </c>
      <c r="I69" s="237" t="s">
        <v>690</v>
      </c>
      <c r="J69" s="228"/>
      <c r="K69" s="228"/>
      <c r="L69" s="237"/>
      <c r="M69" s="232"/>
    </row>
    <row r="70" spans="1:14" s="3" customFormat="1" ht="20.25" customHeight="1" x14ac:dyDescent="0.4">
      <c r="A70" s="118">
        <v>46020</v>
      </c>
      <c r="B70" s="240" t="s">
        <v>557</v>
      </c>
      <c r="C70" s="241" t="s">
        <v>182</v>
      </c>
      <c r="D70" s="42">
        <v>61541862</v>
      </c>
      <c r="E70" s="42" t="s">
        <v>13</v>
      </c>
      <c r="F70" s="227">
        <v>5</v>
      </c>
      <c r="G70" s="228">
        <v>2275670</v>
      </c>
      <c r="H70" s="275">
        <f t="shared" si="3"/>
        <v>11378350</v>
      </c>
      <c r="I70" s="237" t="s">
        <v>690</v>
      </c>
      <c r="J70" s="228"/>
      <c r="K70" s="228"/>
      <c r="L70" s="237"/>
      <c r="M70" s="232"/>
    </row>
    <row r="71" spans="1:14" s="3" customFormat="1" ht="20.25" customHeight="1" x14ac:dyDescent="0.4">
      <c r="A71" s="118">
        <v>46020</v>
      </c>
      <c r="B71" s="240" t="s">
        <v>557</v>
      </c>
      <c r="C71" s="241" t="s">
        <v>183</v>
      </c>
      <c r="D71" s="42">
        <v>61541863</v>
      </c>
      <c r="E71" s="42" t="s">
        <v>606</v>
      </c>
      <c r="F71" s="227">
        <v>5</v>
      </c>
      <c r="G71" s="228">
        <v>44000</v>
      </c>
      <c r="H71" s="275">
        <f t="shared" si="3"/>
        <v>220000</v>
      </c>
      <c r="I71" s="237" t="s">
        <v>690</v>
      </c>
      <c r="J71" s="228"/>
      <c r="K71" s="228"/>
      <c r="L71" s="237"/>
      <c r="M71" s="232"/>
    </row>
    <row r="72" spans="1:14" s="3" customFormat="1" ht="20.25" customHeight="1" x14ac:dyDescent="0.4">
      <c r="A72" s="118">
        <v>46020</v>
      </c>
      <c r="B72" s="240" t="s">
        <v>557</v>
      </c>
      <c r="C72" s="241" t="s">
        <v>183</v>
      </c>
      <c r="D72" s="42">
        <v>61541864</v>
      </c>
      <c r="E72" s="42" t="s">
        <v>184</v>
      </c>
      <c r="F72" s="227">
        <v>5</v>
      </c>
      <c r="G72" s="228">
        <v>44000</v>
      </c>
      <c r="H72" s="275">
        <f t="shared" si="3"/>
        <v>220000</v>
      </c>
      <c r="I72" s="237" t="s">
        <v>690</v>
      </c>
      <c r="J72" s="228"/>
      <c r="K72" s="228"/>
      <c r="L72" s="237"/>
      <c r="M72" s="232"/>
    </row>
    <row r="73" spans="1:14" s="3" customFormat="1" ht="20.25" customHeight="1" x14ac:dyDescent="0.4">
      <c r="A73" s="118">
        <v>46020</v>
      </c>
      <c r="B73" s="240" t="s">
        <v>557</v>
      </c>
      <c r="C73" s="241" t="s">
        <v>185</v>
      </c>
      <c r="D73" s="42">
        <v>61541865</v>
      </c>
      <c r="E73" s="42" t="s">
        <v>184</v>
      </c>
      <c r="F73" s="227">
        <v>10</v>
      </c>
      <c r="G73" s="228">
        <v>14700</v>
      </c>
      <c r="H73" s="275">
        <f t="shared" si="3"/>
        <v>147000</v>
      </c>
      <c r="I73" s="237" t="s">
        <v>690</v>
      </c>
      <c r="J73" s="228"/>
      <c r="K73" s="228"/>
      <c r="L73" s="237"/>
      <c r="M73" s="232"/>
      <c r="N73" s="22" t="s">
        <v>607</v>
      </c>
    </row>
    <row r="74" spans="1:14" s="78" customFormat="1" ht="20.25" customHeight="1" x14ac:dyDescent="0.4">
      <c r="A74" s="105">
        <v>46045</v>
      </c>
      <c r="B74" s="59" t="s">
        <v>557</v>
      </c>
      <c r="C74" s="107" t="s">
        <v>181</v>
      </c>
      <c r="D74" s="76">
        <v>61541861</v>
      </c>
      <c r="E74" s="76" t="s">
        <v>13</v>
      </c>
      <c r="F74" s="108">
        <v>5</v>
      </c>
      <c r="G74" s="7">
        <v>2275670</v>
      </c>
      <c r="H74" s="7">
        <f t="shared" si="3"/>
        <v>11378350</v>
      </c>
      <c r="I74" s="61" t="s">
        <v>719</v>
      </c>
      <c r="J74" s="7"/>
      <c r="K74" s="7"/>
      <c r="L74" s="61"/>
      <c r="M74" s="365"/>
    </row>
    <row r="75" spans="1:14" s="78" customFormat="1" ht="20.25" customHeight="1" x14ac:dyDescent="0.4">
      <c r="A75" s="105">
        <v>46045</v>
      </c>
      <c r="B75" s="59" t="s">
        <v>557</v>
      </c>
      <c r="C75" s="107" t="s">
        <v>182</v>
      </c>
      <c r="D75" s="76">
        <v>61541862</v>
      </c>
      <c r="E75" s="76" t="s">
        <v>13</v>
      </c>
      <c r="F75" s="108">
        <v>5</v>
      </c>
      <c r="G75" s="7">
        <v>2275670</v>
      </c>
      <c r="H75" s="7">
        <f t="shared" si="3"/>
        <v>11378350</v>
      </c>
      <c r="I75" s="61" t="s">
        <v>719</v>
      </c>
      <c r="J75" s="7"/>
      <c r="K75" s="7"/>
      <c r="L75" s="61"/>
      <c r="M75" s="365"/>
    </row>
    <row r="76" spans="1:14" s="78" customFormat="1" ht="20.25" customHeight="1" x14ac:dyDescent="0.4">
      <c r="A76" s="105">
        <v>46045</v>
      </c>
      <c r="B76" s="59" t="s">
        <v>557</v>
      </c>
      <c r="C76" s="107" t="s">
        <v>183</v>
      </c>
      <c r="D76" s="76">
        <v>61541863</v>
      </c>
      <c r="E76" s="76" t="s">
        <v>606</v>
      </c>
      <c r="F76" s="108">
        <v>5</v>
      </c>
      <c r="G76" s="7">
        <v>44000</v>
      </c>
      <c r="H76" s="7">
        <f t="shared" si="3"/>
        <v>220000</v>
      </c>
      <c r="I76" s="61" t="s">
        <v>719</v>
      </c>
      <c r="J76" s="7"/>
      <c r="K76" s="7"/>
      <c r="L76" s="61"/>
      <c r="M76" s="365"/>
    </row>
    <row r="77" spans="1:14" s="78" customFormat="1" ht="20.25" customHeight="1" x14ac:dyDescent="0.4">
      <c r="A77" s="105">
        <v>46045</v>
      </c>
      <c r="B77" s="59" t="s">
        <v>557</v>
      </c>
      <c r="C77" s="107" t="s">
        <v>183</v>
      </c>
      <c r="D77" s="76">
        <v>61541864</v>
      </c>
      <c r="E77" s="76" t="s">
        <v>184</v>
      </c>
      <c r="F77" s="108">
        <v>5</v>
      </c>
      <c r="G77" s="7">
        <v>44000</v>
      </c>
      <c r="H77" s="7">
        <f t="shared" si="3"/>
        <v>220000</v>
      </c>
      <c r="I77" s="61" t="s">
        <v>719</v>
      </c>
      <c r="J77" s="7"/>
      <c r="K77" s="7"/>
      <c r="L77" s="61"/>
      <c r="M77" s="365"/>
    </row>
    <row r="78" spans="1:14" s="78" customFormat="1" ht="20.25" customHeight="1" x14ac:dyDescent="0.4">
      <c r="A78" s="105">
        <v>46045</v>
      </c>
      <c r="B78" s="59" t="s">
        <v>557</v>
      </c>
      <c r="C78" s="107" t="s">
        <v>843</v>
      </c>
      <c r="D78" s="76">
        <v>61541865</v>
      </c>
      <c r="E78" s="76" t="s">
        <v>184</v>
      </c>
      <c r="F78" s="108">
        <v>10</v>
      </c>
      <c r="G78" s="7">
        <v>14700</v>
      </c>
      <c r="H78" s="7">
        <f t="shared" si="3"/>
        <v>147000</v>
      </c>
      <c r="I78" s="61" t="s">
        <v>719</v>
      </c>
      <c r="J78" s="7"/>
      <c r="K78" s="7"/>
      <c r="L78" s="61"/>
      <c r="M78" s="365"/>
      <c r="N78" s="9" t="s">
        <v>607</v>
      </c>
    </row>
    <row r="79" spans="1:14" s="78" customFormat="1" ht="20.25" customHeight="1" x14ac:dyDescent="0.4">
      <c r="A79" s="105">
        <v>46039</v>
      </c>
      <c r="B79" s="59" t="s">
        <v>557</v>
      </c>
      <c r="C79" s="107" t="s">
        <v>846</v>
      </c>
      <c r="D79" s="76"/>
      <c r="E79" s="76"/>
      <c r="F79" s="108"/>
      <c r="G79" s="7"/>
      <c r="H79" s="7">
        <v>140621090</v>
      </c>
      <c r="I79" s="61" t="s">
        <v>845</v>
      </c>
      <c r="J79" s="7"/>
      <c r="K79" s="7"/>
      <c r="L79" s="61"/>
      <c r="M79" s="365"/>
      <c r="N79" s="9"/>
    </row>
    <row r="80" spans="1:14" s="78" customFormat="1" ht="20.25" customHeight="1" x14ac:dyDescent="0.4">
      <c r="A80" s="105">
        <v>46042</v>
      </c>
      <c r="B80" s="59" t="s">
        <v>557</v>
      </c>
      <c r="C80" s="107" t="s">
        <v>844</v>
      </c>
      <c r="D80" s="76"/>
      <c r="E80" s="76"/>
      <c r="F80" s="108"/>
      <c r="G80" s="7"/>
      <c r="H80" s="7">
        <v>-9251388</v>
      </c>
      <c r="I80" s="508"/>
      <c r="J80" s="7"/>
      <c r="K80" s="7"/>
      <c r="L80" s="61"/>
      <c r="M80" s="365"/>
      <c r="N80" s="9"/>
    </row>
    <row r="81" spans="1:14" s="78" customFormat="1" ht="20.25" customHeight="1" x14ac:dyDescent="0.4">
      <c r="A81" s="105">
        <v>46052</v>
      </c>
      <c r="B81" s="59" t="s">
        <v>557</v>
      </c>
      <c r="C81" s="107" t="s">
        <v>844</v>
      </c>
      <c r="D81" s="76"/>
      <c r="E81" s="76"/>
      <c r="F81" s="108"/>
      <c r="G81" s="7"/>
      <c r="H81" s="7">
        <v>-9251388</v>
      </c>
      <c r="I81" s="61"/>
      <c r="J81" s="7"/>
      <c r="K81" s="7"/>
      <c r="L81" s="61"/>
      <c r="M81" s="365"/>
      <c r="N81" s="9"/>
    </row>
    <row r="82" spans="1:14" s="3" customFormat="1" ht="19.5" customHeight="1" x14ac:dyDescent="0.4">
      <c r="A82" s="193"/>
      <c r="B82" s="194"/>
      <c r="C82" s="40"/>
      <c r="D82" s="194"/>
      <c r="E82" s="194"/>
      <c r="F82" s="91"/>
      <c r="G82" s="138"/>
      <c r="H82" s="138">
        <f>SUM(H69:H81)</f>
        <v>168805714</v>
      </c>
      <c r="I82" s="138"/>
      <c r="J82" s="145"/>
      <c r="K82" s="145"/>
      <c r="L82" s="145"/>
      <c r="M82" s="89"/>
    </row>
    <row r="83" spans="1:14" s="3" customFormat="1" ht="21" customHeight="1" x14ac:dyDescent="0.4">
      <c r="A83" s="4">
        <v>45961</v>
      </c>
      <c r="B83" s="5" t="s">
        <v>58</v>
      </c>
      <c r="C83" s="163" t="s">
        <v>445</v>
      </c>
      <c r="D83" s="42" t="s">
        <v>446</v>
      </c>
      <c r="E83" s="42" t="s">
        <v>11</v>
      </c>
      <c r="F83" s="358">
        <v>20</v>
      </c>
      <c r="G83" s="167">
        <v>1671500</v>
      </c>
      <c r="H83" s="165">
        <f>F83*G83</f>
        <v>33430000</v>
      </c>
      <c r="I83" s="67"/>
      <c r="J83" s="166"/>
      <c r="K83" s="167"/>
      <c r="L83" s="168"/>
      <c r="M83" s="169"/>
    </row>
    <row r="84" spans="1:14" s="28" customFormat="1" ht="19.5" customHeight="1" x14ac:dyDescent="0.4">
      <c r="A84" s="5">
        <v>45922</v>
      </c>
      <c r="B84" s="5" t="s">
        <v>58</v>
      </c>
      <c r="C84" s="153" t="s">
        <v>499</v>
      </c>
      <c r="D84" s="11" t="s">
        <v>500</v>
      </c>
      <c r="E84" s="11" t="s">
        <v>11</v>
      </c>
      <c r="F84" s="359">
        <v>4</v>
      </c>
      <c r="G84" s="154">
        <v>566800</v>
      </c>
      <c r="H84" s="152">
        <f>F84*G84</f>
        <v>2267200</v>
      </c>
      <c r="I84" s="67"/>
      <c r="J84" s="27"/>
      <c r="K84" s="27"/>
      <c r="L84" s="126"/>
      <c r="M84" s="155"/>
    </row>
    <row r="85" spans="1:14" s="28" customFormat="1" ht="19.5" customHeight="1" x14ac:dyDescent="0.4">
      <c r="A85" s="5">
        <v>45922</v>
      </c>
      <c r="B85" s="5" t="s">
        <v>58</v>
      </c>
      <c r="C85" s="153" t="s">
        <v>501</v>
      </c>
      <c r="D85" s="11" t="s">
        <v>502</v>
      </c>
      <c r="E85" s="11" t="s">
        <v>11</v>
      </c>
      <c r="F85" s="359">
        <v>4</v>
      </c>
      <c r="G85" s="154">
        <v>566800</v>
      </c>
      <c r="H85" s="152">
        <f>F85*G85</f>
        <v>2267200</v>
      </c>
      <c r="I85" s="67"/>
      <c r="J85" s="27"/>
      <c r="K85" s="27"/>
      <c r="L85" s="126"/>
      <c r="M85" s="155"/>
    </row>
    <row r="86" spans="1:14" s="28" customFormat="1" ht="19.5" customHeight="1" x14ac:dyDescent="0.4">
      <c r="A86" s="5">
        <v>45924</v>
      </c>
      <c r="B86" s="5" t="s">
        <v>58</v>
      </c>
      <c r="C86" s="153" t="s">
        <v>499</v>
      </c>
      <c r="D86" s="11" t="s">
        <v>500</v>
      </c>
      <c r="E86" s="11" t="s">
        <v>11</v>
      </c>
      <c r="F86" s="359">
        <v>20</v>
      </c>
      <c r="G86" s="154">
        <v>566800</v>
      </c>
      <c r="H86" s="152">
        <f>F86*G86</f>
        <v>11336000</v>
      </c>
      <c r="I86" s="67"/>
      <c r="J86" s="27"/>
      <c r="K86" s="27"/>
      <c r="L86" s="126"/>
      <c r="M86" s="155"/>
    </row>
    <row r="87" spans="1:14" s="28" customFormat="1" ht="19.5" customHeight="1" x14ac:dyDescent="0.4">
      <c r="A87" s="5">
        <v>45924</v>
      </c>
      <c r="B87" s="5" t="s">
        <v>58</v>
      </c>
      <c r="C87" s="153" t="s">
        <v>501</v>
      </c>
      <c r="D87" s="11" t="s">
        <v>502</v>
      </c>
      <c r="E87" s="11" t="s">
        <v>11</v>
      </c>
      <c r="F87" s="359">
        <v>20</v>
      </c>
      <c r="G87" s="154">
        <v>566800</v>
      </c>
      <c r="H87" s="152">
        <f>F87*G87</f>
        <v>11336000</v>
      </c>
      <c r="I87" s="67"/>
      <c r="J87" s="27"/>
      <c r="K87" s="27"/>
      <c r="L87" s="126"/>
      <c r="M87" s="155"/>
    </row>
    <row r="88" spans="1:14" s="28" customFormat="1" ht="19.5" customHeight="1" x14ac:dyDescent="0.4">
      <c r="A88" s="5">
        <v>45929</v>
      </c>
      <c r="B88" s="5" t="s">
        <v>58</v>
      </c>
      <c r="C88" s="153" t="s">
        <v>447</v>
      </c>
      <c r="D88" s="11"/>
      <c r="E88" s="11"/>
      <c r="F88" s="154">
        <v>20</v>
      </c>
      <c r="G88" s="154"/>
      <c r="H88" s="156"/>
      <c r="I88" s="67"/>
      <c r="J88" s="27" t="s">
        <v>491</v>
      </c>
      <c r="K88" s="27"/>
      <c r="L88" s="126"/>
      <c r="M88" s="155"/>
    </row>
    <row r="89" spans="1:14" s="3" customFormat="1" ht="19.5" customHeight="1" x14ac:dyDescent="0.4">
      <c r="A89" s="118">
        <v>46028</v>
      </c>
      <c r="B89" s="110" t="s">
        <v>58</v>
      </c>
      <c r="C89" s="82" t="s">
        <v>720</v>
      </c>
      <c r="D89" s="110" t="s">
        <v>558</v>
      </c>
      <c r="E89" s="110" t="s">
        <v>11</v>
      </c>
      <c r="F89" s="8">
        <v>12</v>
      </c>
      <c r="G89" s="81">
        <v>700000</v>
      </c>
      <c r="H89" s="8">
        <f t="shared" ref="H89:H111" si="4">F89*G89</f>
        <v>8400000</v>
      </c>
      <c r="I89" s="137"/>
      <c r="J89" s="70"/>
      <c r="K89" s="8"/>
      <c r="L89" s="116"/>
      <c r="M89" s="89"/>
    </row>
    <row r="90" spans="1:14" s="3" customFormat="1" ht="19.5" customHeight="1" x14ac:dyDescent="0.4">
      <c r="A90" s="118">
        <v>46028</v>
      </c>
      <c r="B90" s="110" t="s">
        <v>58</v>
      </c>
      <c r="C90" s="82" t="s">
        <v>720</v>
      </c>
      <c r="D90" s="110" t="s">
        <v>559</v>
      </c>
      <c r="E90" s="110" t="s">
        <v>11</v>
      </c>
      <c r="F90" s="8">
        <v>12</v>
      </c>
      <c r="G90" s="81">
        <v>700000</v>
      </c>
      <c r="H90" s="8">
        <f t="shared" si="4"/>
        <v>8400000</v>
      </c>
      <c r="I90" s="137"/>
      <c r="J90" s="70"/>
      <c r="K90" s="8"/>
      <c r="L90" s="116"/>
      <c r="M90" s="89"/>
    </row>
    <row r="91" spans="1:14" s="113" customFormat="1" ht="20.25" customHeight="1" x14ac:dyDescent="0.4">
      <c r="A91" s="190">
        <v>46034</v>
      </c>
      <c r="B91" s="110" t="s">
        <v>58</v>
      </c>
      <c r="C91" s="29" t="s">
        <v>60</v>
      </c>
      <c r="D91" s="110" t="s">
        <v>282</v>
      </c>
      <c r="E91" s="110" t="s">
        <v>11</v>
      </c>
      <c r="F91" s="8">
        <v>70</v>
      </c>
      <c r="G91" s="81">
        <v>246000</v>
      </c>
      <c r="H91" s="8">
        <f t="shared" si="4"/>
        <v>17220000</v>
      </c>
      <c r="I91" s="111" t="s">
        <v>378</v>
      </c>
      <c r="J91" s="111"/>
      <c r="K91" s="111"/>
      <c r="L91" s="111"/>
    </row>
    <row r="92" spans="1:14" s="113" customFormat="1" ht="20.25" customHeight="1" x14ac:dyDescent="0.4">
      <c r="A92" s="190">
        <v>46034</v>
      </c>
      <c r="B92" s="110" t="s">
        <v>58</v>
      </c>
      <c r="C92" s="29" t="s">
        <v>60</v>
      </c>
      <c r="D92" s="110" t="s">
        <v>285</v>
      </c>
      <c r="E92" s="110" t="s">
        <v>11</v>
      </c>
      <c r="F92" s="8">
        <v>115</v>
      </c>
      <c r="G92" s="81">
        <v>188000</v>
      </c>
      <c r="H92" s="8">
        <f t="shared" si="4"/>
        <v>21620000</v>
      </c>
      <c r="I92" s="111" t="s">
        <v>379</v>
      </c>
      <c r="J92" s="111"/>
      <c r="K92" s="111"/>
      <c r="L92" s="111"/>
    </row>
    <row r="93" spans="1:14" s="113" customFormat="1" ht="20.25" customHeight="1" x14ac:dyDescent="0.4">
      <c r="A93" s="190">
        <v>46034</v>
      </c>
      <c r="B93" s="110" t="s">
        <v>58</v>
      </c>
      <c r="C93" s="82" t="s">
        <v>60</v>
      </c>
      <c r="D93" s="110" t="s">
        <v>498</v>
      </c>
      <c r="E93" s="110" t="s">
        <v>13</v>
      </c>
      <c r="F93" s="8">
        <v>52</v>
      </c>
      <c r="G93" s="81">
        <v>673000</v>
      </c>
      <c r="H93" s="8">
        <f t="shared" si="4"/>
        <v>34996000</v>
      </c>
      <c r="I93" s="111" t="s">
        <v>721</v>
      </c>
      <c r="J93" s="111"/>
      <c r="K93" s="111"/>
      <c r="L93" s="116"/>
    </row>
    <row r="94" spans="1:14" s="113" customFormat="1" ht="20.25" customHeight="1" x14ac:dyDescent="0.4">
      <c r="A94" s="190">
        <v>46041</v>
      </c>
      <c r="B94" s="110" t="s">
        <v>58</v>
      </c>
      <c r="C94" s="82" t="s">
        <v>60</v>
      </c>
      <c r="D94" s="110" t="s">
        <v>498</v>
      </c>
      <c r="E94" s="110" t="s">
        <v>13</v>
      </c>
      <c r="F94" s="8">
        <v>53</v>
      </c>
      <c r="G94" s="81">
        <v>673000</v>
      </c>
      <c r="H94" s="8">
        <f t="shared" si="4"/>
        <v>35669000</v>
      </c>
      <c r="I94" s="111" t="s">
        <v>727</v>
      </c>
      <c r="J94" s="111"/>
      <c r="K94" s="111"/>
      <c r="L94" s="116"/>
    </row>
    <row r="95" spans="1:14" s="113" customFormat="1" ht="20.25" customHeight="1" x14ac:dyDescent="0.4">
      <c r="A95" s="190">
        <v>46041</v>
      </c>
      <c r="B95" s="110" t="s">
        <v>58</v>
      </c>
      <c r="C95" s="29" t="s">
        <v>60</v>
      </c>
      <c r="D95" s="110" t="s">
        <v>282</v>
      </c>
      <c r="E95" s="110" t="s">
        <v>11</v>
      </c>
      <c r="F95" s="8">
        <v>80</v>
      </c>
      <c r="G95" s="81">
        <v>246000</v>
      </c>
      <c r="H95" s="8">
        <f t="shared" si="4"/>
        <v>19680000</v>
      </c>
      <c r="I95" s="111" t="s">
        <v>378</v>
      </c>
      <c r="J95" s="111"/>
      <c r="K95" s="111"/>
      <c r="L95" s="111"/>
    </row>
    <row r="96" spans="1:14" s="113" customFormat="1" ht="20.25" customHeight="1" x14ac:dyDescent="0.4">
      <c r="A96" s="190">
        <v>46041</v>
      </c>
      <c r="B96" s="110" t="s">
        <v>58</v>
      </c>
      <c r="C96" s="29" t="s">
        <v>60</v>
      </c>
      <c r="D96" s="110" t="s">
        <v>285</v>
      </c>
      <c r="E96" s="110" t="s">
        <v>11</v>
      </c>
      <c r="F96" s="8">
        <v>55</v>
      </c>
      <c r="G96" s="81">
        <v>188000</v>
      </c>
      <c r="H96" s="8">
        <f t="shared" si="4"/>
        <v>10340000</v>
      </c>
      <c r="I96" s="111" t="s">
        <v>379</v>
      </c>
      <c r="J96" s="111"/>
      <c r="K96" s="111"/>
      <c r="L96" s="111"/>
    </row>
    <row r="97" spans="1:13" s="113" customFormat="1" ht="20.25" customHeight="1" x14ac:dyDescent="0.4">
      <c r="A97" s="190">
        <v>46050</v>
      </c>
      <c r="B97" s="110" t="s">
        <v>58</v>
      </c>
      <c r="C97" s="82" t="s">
        <v>60</v>
      </c>
      <c r="D97" s="110" t="s">
        <v>498</v>
      </c>
      <c r="E97" s="110" t="s">
        <v>13</v>
      </c>
      <c r="F97" s="8">
        <v>45</v>
      </c>
      <c r="G97" s="81">
        <v>673000</v>
      </c>
      <c r="H97" s="8">
        <f t="shared" si="4"/>
        <v>30285000</v>
      </c>
      <c r="I97" s="111" t="s">
        <v>728</v>
      </c>
      <c r="J97" s="111"/>
      <c r="K97" s="111"/>
      <c r="L97" s="116"/>
    </row>
    <row r="98" spans="1:13" s="113" customFormat="1" ht="20.25" customHeight="1" x14ac:dyDescent="0.4">
      <c r="A98" s="190">
        <v>46050</v>
      </c>
      <c r="B98" s="110" t="s">
        <v>58</v>
      </c>
      <c r="C98" s="82" t="s">
        <v>60</v>
      </c>
      <c r="D98" s="110" t="s">
        <v>498</v>
      </c>
      <c r="E98" s="110" t="s">
        <v>13</v>
      </c>
      <c r="F98" s="8">
        <v>3</v>
      </c>
      <c r="G98" s="81">
        <v>673000</v>
      </c>
      <c r="H98" s="8" t="s">
        <v>186</v>
      </c>
      <c r="I98" s="111" t="s">
        <v>612</v>
      </c>
      <c r="J98" s="111"/>
      <c r="K98" s="111"/>
      <c r="L98" s="116"/>
    </row>
    <row r="99" spans="1:13" s="113" customFormat="1" ht="20.25" customHeight="1" x14ac:dyDescent="0.4">
      <c r="A99" s="190">
        <v>46052</v>
      </c>
      <c r="B99" s="33" t="s">
        <v>58</v>
      </c>
      <c r="C99" s="192" t="s">
        <v>189</v>
      </c>
      <c r="D99" s="76" t="s">
        <v>729</v>
      </c>
      <c r="E99" s="76"/>
      <c r="F99" s="7">
        <v>68</v>
      </c>
      <c r="G99" s="7">
        <v>489000</v>
      </c>
      <c r="H99" s="8">
        <f t="shared" si="4"/>
        <v>33252000</v>
      </c>
      <c r="I99" s="111"/>
      <c r="J99" s="111"/>
      <c r="K99" s="111"/>
      <c r="L99" s="116"/>
    </row>
    <row r="100" spans="1:13" s="28" customFormat="1" ht="19.5" customHeight="1" x14ac:dyDescent="0.4">
      <c r="A100" s="5">
        <v>45929</v>
      </c>
      <c r="B100" s="5" t="s">
        <v>58</v>
      </c>
      <c r="C100" s="153" t="s">
        <v>445</v>
      </c>
      <c r="D100" s="11" t="s">
        <v>497</v>
      </c>
      <c r="E100" s="11"/>
      <c r="F100" s="154">
        <v>25</v>
      </c>
      <c r="G100" s="154">
        <v>1671500</v>
      </c>
      <c r="H100" s="152">
        <f t="shared" si="4"/>
        <v>41787500</v>
      </c>
      <c r="I100" s="67" t="s">
        <v>852</v>
      </c>
      <c r="J100" s="27" t="s">
        <v>491</v>
      </c>
      <c r="K100" s="27"/>
      <c r="L100" s="126"/>
      <c r="M100" s="155"/>
    </row>
    <row r="101" spans="1:13" s="3" customFormat="1" ht="21" customHeight="1" x14ac:dyDescent="0.4">
      <c r="A101" s="4">
        <v>45989</v>
      </c>
      <c r="B101" s="33" t="s">
        <v>58</v>
      </c>
      <c r="C101" s="192" t="s">
        <v>445</v>
      </c>
      <c r="D101" s="76" t="s">
        <v>446</v>
      </c>
      <c r="E101" s="76" t="s">
        <v>11</v>
      </c>
      <c r="F101" s="7">
        <v>8</v>
      </c>
      <c r="G101" s="7">
        <v>1671500</v>
      </c>
      <c r="H101" s="7">
        <f t="shared" si="4"/>
        <v>13372000</v>
      </c>
      <c r="I101" s="67" t="s">
        <v>852</v>
      </c>
      <c r="J101" s="27" t="s">
        <v>491</v>
      </c>
      <c r="K101" s="8"/>
      <c r="L101" s="116"/>
      <c r="M101" s="89"/>
    </row>
    <row r="102" spans="1:13" s="3" customFormat="1" ht="19.5" customHeight="1" x14ac:dyDescent="0.4">
      <c r="A102" s="190">
        <v>46034</v>
      </c>
      <c r="B102" s="110" t="s">
        <v>58</v>
      </c>
      <c r="C102" s="29" t="s">
        <v>60</v>
      </c>
      <c r="D102" s="110" t="s">
        <v>722</v>
      </c>
      <c r="E102" s="110" t="s">
        <v>13</v>
      </c>
      <c r="F102" s="8">
        <v>1</v>
      </c>
      <c r="G102" s="81">
        <v>673000</v>
      </c>
      <c r="H102" s="8">
        <f t="shared" si="4"/>
        <v>673000</v>
      </c>
      <c r="I102" s="67" t="s">
        <v>852</v>
      </c>
      <c r="J102" s="70"/>
      <c r="K102" s="8"/>
      <c r="L102" s="116"/>
      <c r="M102" s="89"/>
    </row>
    <row r="103" spans="1:13" s="3" customFormat="1" ht="19.5" customHeight="1" x14ac:dyDescent="0.4">
      <c r="A103" s="190">
        <v>46034</v>
      </c>
      <c r="B103" s="110" t="s">
        <v>58</v>
      </c>
      <c r="C103" s="29" t="s">
        <v>60</v>
      </c>
      <c r="D103" s="110" t="s">
        <v>723</v>
      </c>
      <c r="E103" s="110" t="s">
        <v>13</v>
      </c>
      <c r="F103" s="8">
        <v>1</v>
      </c>
      <c r="G103" s="81">
        <v>673000</v>
      </c>
      <c r="H103" s="8">
        <f t="shared" si="4"/>
        <v>673000</v>
      </c>
      <c r="I103" s="67" t="s">
        <v>852</v>
      </c>
      <c r="J103" s="70"/>
      <c r="K103" s="8"/>
      <c r="L103" s="116"/>
      <c r="M103" s="89"/>
    </row>
    <row r="104" spans="1:13" s="3" customFormat="1" ht="19.5" customHeight="1" x14ac:dyDescent="0.4">
      <c r="A104" s="190">
        <v>46034</v>
      </c>
      <c r="B104" s="110" t="s">
        <v>58</v>
      </c>
      <c r="C104" s="29" t="s">
        <v>60</v>
      </c>
      <c r="D104" s="110" t="s">
        <v>724</v>
      </c>
      <c r="E104" s="110" t="s">
        <v>13</v>
      </c>
      <c r="F104" s="8">
        <v>9</v>
      </c>
      <c r="G104" s="81">
        <v>188000</v>
      </c>
      <c r="H104" s="8">
        <f t="shared" si="4"/>
        <v>1692000</v>
      </c>
      <c r="I104" s="67" t="s">
        <v>852</v>
      </c>
      <c r="J104" s="70"/>
      <c r="K104" s="8"/>
      <c r="L104" s="116"/>
      <c r="M104" s="89"/>
    </row>
    <row r="105" spans="1:13" s="3" customFormat="1" ht="19.5" customHeight="1" x14ac:dyDescent="0.4">
      <c r="A105" s="190">
        <v>46034</v>
      </c>
      <c r="B105" s="110" t="s">
        <v>725</v>
      </c>
      <c r="C105" s="29" t="s">
        <v>60</v>
      </c>
      <c r="D105" s="110" t="s">
        <v>726</v>
      </c>
      <c r="E105" s="110" t="s">
        <v>11</v>
      </c>
      <c r="F105" s="8">
        <v>6</v>
      </c>
      <c r="G105" s="81">
        <v>188000</v>
      </c>
      <c r="H105" s="8">
        <f t="shared" si="4"/>
        <v>1128000</v>
      </c>
      <c r="I105" s="67" t="s">
        <v>852</v>
      </c>
      <c r="J105" s="70"/>
      <c r="K105" s="8"/>
      <c r="L105" s="116"/>
      <c r="M105" s="89"/>
    </row>
    <row r="106" spans="1:13" s="28" customFormat="1" ht="19.5" customHeight="1" x14ac:dyDescent="0.4">
      <c r="A106" s="5">
        <v>46042</v>
      </c>
      <c r="B106" s="5" t="s">
        <v>58</v>
      </c>
      <c r="C106" s="24" t="s">
        <v>445</v>
      </c>
      <c r="D106" s="11" t="s">
        <v>497</v>
      </c>
      <c r="E106" s="11"/>
      <c r="F106" s="12">
        <v>8</v>
      </c>
      <c r="G106" s="12">
        <v>1671500</v>
      </c>
      <c r="H106" s="7">
        <f t="shared" si="4"/>
        <v>13372000</v>
      </c>
      <c r="I106" s="67" t="s">
        <v>852</v>
      </c>
      <c r="J106" s="27" t="s">
        <v>491</v>
      </c>
      <c r="K106" s="27"/>
      <c r="L106" s="126"/>
      <c r="M106" s="366"/>
    </row>
    <row r="107" spans="1:13" s="28" customFormat="1" ht="19.5" customHeight="1" x14ac:dyDescent="0.4">
      <c r="A107" s="5">
        <v>46042</v>
      </c>
      <c r="B107" s="5" t="s">
        <v>58</v>
      </c>
      <c r="C107" s="24" t="s">
        <v>447</v>
      </c>
      <c r="D107" s="11"/>
      <c r="E107" s="11"/>
      <c r="F107" s="12">
        <v>8</v>
      </c>
      <c r="G107" s="12"/>
      <c r="H107" s="17"/>
      <c r="I107" s="67" t="s">
        <v>852</v>
      </c>
      <c r="J107" s="27" t="s">
        <v>491</v>
      </c>
      <c r="K107" s="27"/>
      <c r="L107" s="126"/>
      <c r="M107" s="366"/>
    </row>
    <row r="108" spans="1:13" s="3" customFormat="1" ht="19.5" customHeight="1" x14ac:dyDescent="0.4">
      <c r="A108" s="118">
        <v>46052</v>
      </c>
      <c r="B108" s="110" t="s">
        <v>58</v>
      </c>
      <c r="C108" s="29" t="s">
        <v>720</v>
      </c>
      <c r="D108" s="110" t="s">
        <v>558</v>
      </c>
      <c r="E108" s="110" t="s">
        <v>11</v>
      </c>
      <c r="F108" s="8">
        <v>8</v>
      </c>
      <c r="G108" s="81">
        <v>700000</v>
      </c>
      <c r="H108" s="8">
        <f t="shared" si="4"/>
        <v>5600000</v>
      </c>
      <c r="I108" s="67" t="s">
        <v>852</v>
      </c>
      <c r="J108" s="70"/>
      <c r="K108" s="8"/>
      <c r="L108" s="116"/>
      <c r="M108" s="89"/>
    </row>
    <row r="109" spans="1:13" s="3" customFormat="1" ht="19.5" customHeight="1" x14ac:dyDescent="0.4">
      <c r="A109" s="118">
        <v>46052</v>
      </c>
      <c r="B109" s="110" t="s">
        <v>58</v>
      </c>
      <c r="C109" s="29" t="s">
        <v>720</v>
      </c>
      <c r="D109" s="110" t="s">
        <v>559</v>
      </c>
      <c r="E109" s="110" t="s">
        <v>11</v>
      </c>
      <c r="F109" s="8">
        <v>8</v>
      </c>
      <c r="G109" s="81">
        <v>700000</v>
      </c>
      <c r="H109" s="8">
        <f t="shared" si="4"/>
        <v>5600000</v>
      </c>
      <c r="I109" s="67" t="s">
        <v>852</v>
      </c>
      <c r="J109" s="70"/>
      <c r="K109" s="8"/>
      <c r="L109" s="116"/>
      <c r="M109" s="89"/>
    </row>
    <row r="110" spans="1:13" s="28" customFormat="1" ht="19.5" customHeight="1" x14ac:dyDescent="0.4">
      <c r="A110" s="5">
        <v>46052</v>
      </c>
      <c r="B110" s="5" t="s">
        <v>58</v>
      </c>
      <c r="C110" s="24" t="s">
        <v>445</v>
      </c>
      <c r="D110" s="11" t="s">
        <v>497</v>
      </c>
      <c r="E110" s="11"/>
      <c r="F110" s="12">
        <v>12</v>
      </c>
      <c r="G110" s="12">
        <v>1671500</v>
      </c>
      <c r="H110" s="7">
        <f t="shared" si="4"/>
        <v>20058000</v>
      </c>
      <c r="I110" s="67" t="s">
        <v>852</v>
      </c>
      <c r="J110" s="27"/>
      <c r="K110" s="27"/>
      <c r="L110" s="126"/>
      <c r="M110" s="366"/>
    </row>
    <row r="111" spans="1:13" s="113" customFormat="1" ht="20.25" customHeight="1" x14ac:dyDescent="0.4">
      <c r="A111" s="190">
        <v>46053</v>
      </c>
      <c r="B111" s="110" t="s">
        <v>58</v>
      </c>
      <c r="C111" s="29" t="s">
        <v>60</v>
      </c>
      <c r="D111" s="110" t="s">
        <v>498</v>
      </c>
      <c r="E111" s="110" t="s">
        <v>13</v>
      </c>
      <c r="F111" s="8">
        <v>47</v>
      </c>
      <c r="G111" s="81">
        <v>673000</v>
      </c>
      <c r="H111" s="8">
        <f t="shared" si="4"/>
        <v>31631000</v>
      </c>
      <c r="I111" s="67" t="s">
        <v>852</v>
      </c>
      <c r="J111" s="111"/>
      <c r="K111" s="111"/>
      <c r="L111" s="116"/>
    </row>
    <row r="112" spans="1:13" s="3" customFormat="1" ht="19.5" customHeight="1" x14ac:dyDescent="0.4">
      <c r="A112" s="193"/>
      <c r="B112" s="194"/>
      <c r="C112" s="40"/>
      <c r="D112" s="194"/>
      <c r="E112" s="194"/>
      <c r="F112" s="91"/>
      <c r="G112" s="138"/>
      <c r="H112" s="138">
        <f>SUM(H83:H99)</f>
        <v>280498400</v>
      </c>
      <c r="I112" s="138"/>
      <c r="J112" s="145"/>
      <c r="K112" s="145"/>
      <c r="L112" s="145"/>
      <c r="M112" s="89"/>
    </row>
    <row r="113" spans="1:13" s="28" customFormat="1" ht="21" customHeight="1" x14ac:dyDescent="0.4">
      <c r="A113" s="10">
        <v>46052</v>
      </c>
      <c r="B113" s="23" t="s">
        <v>356</v>
      </c>
      <c r="C113" s="24" t="s">
        <v>56</v>
      </c>
      <c r="D113" s="11" t="s">
        <v>503</v>
      </c>
      <c r="E113" s="11" t="s">
        <v>13</v>
      </c>
      <c r="F113" s="143">
        <v>20</v>
      </c>
      <c r="G113" s="12">
        <v>536960</v>
      </c>
      <c r="H113" s="8">
        <f>F113*G113</f>
        <v>10739200</v>
      </c>
      <c r="I113" s="84" t="s">
        <v>847</v>
      </c>
      <c r="J113" s="12"/>
      <c r="K113" s="35"/>
      <c r="L113" s="104" t="s">
        <v>495</v>
      </c>
      <c r="M113" s="90"/>
    </row>
    <row r="114" spans="1:13" s="113" customFormat="1" ht="20.25" customHeight="1" x14ac:dyDescent="0.4">
      <c r="A114" s="193"/>
      <c r="B114" s="194"/>
      <c r="C114" s="40"/>
      <c r="D114" s="194"/>
      <c r="E114" s="194"/>
      <c r="F114" s="91"/>
      <c r="G114" s="91"/>
      <c r="H114" s="91"/>
      <c r="I114" s="124"/>
      <c r="J114" s="124"/>
      <c r="K114" s="124"/>
      <c r="L114" s="124"/>
    </row>
    <row r="115" spans="1:13" s="261" customFormat="1" ht="19.5" customHeight="1" x14ac:dyDescent="0.4">
      <c r="A115" s="248">
        <v>46020</v>
      </c>
      <c r="B115" s="240" t="s">
        <v>218</v>
      </c>
      <c r="C115" s="259" t="s">
        <v>620</v>
      </c>
      <c r="D115" s="257" t="s">
        <v>621</v>
      </c>
      <c r="E115" s="258"/>
      <c r="F115" s="259">
        <v>1</v>
      </c>
      <c r="G115" s="259">
        <v>3000000</v>
      </c>
      <c r="H115" s="259">
        <f>F115*G115</f>
        <v>3000000</v>
      </c>
      <c r="I115" s="263" t="s">
        <v>682</v>
      </c>
      <c r="J115" s="260">
        <v>46001</v>
      </c>
      <c r="K115" s="258" t="s">
        <v>622</v>
      </c>
      <c r="L115" s="258"/>
    </row>
    <row r="116" spans="1:13" s="261" customFormat="1" ht="19.5" customHeight="1" x14ac:dyDescent="0.4">
      <c r="A116" s="248">
        <v>46020</v>
      </c>
      <c r="B116" s="240" t="s">
        <v>218</v>
      </c>
      <c r="C116" s="259" t="s">
        <v>620</v>
      </c>
      <c r="D116" s="257" t="s">
        <v>621</v>
      </c>
      <c r="E116" s="258"/>
      <c r="F116" s="259">
        <v>1</v>
      </c>
      <c r="G116" s="259">
        <v>3000000</v>
      </c>
      <c r="H116" s="259">
        <f>F116*G116</f>
        <v>3000000</v>
      </c>
      <c r="I116" s="263" t="s">
        <v>682</v>
      </c>
      <c r="J116" s="260">
        <v>46001</v>
      </c>
      <c r="K116" s="258" t="s">
        <v>623</v>
      </c>
      <c r="L116" s="258"/>
    </row>
    <row r="117" spans="1:13" s="3" customFormat="1" ht="19.5" customHeight="1" x14ac:dyDescent="0.4">
      <c r="A117" s="118">
        <v>46028</v>
      </c>
      <c r="B117" s="103" t="s">
        <v>61</v>
      </c>
      <c r="C117" s="115" t="s">
        <v>448</v>
      </c>
      <c r="D117" s="42" t="s">
        <v>563</v>
      </c>
      <c r="E117" s="42"/>
      <c r="F117" s="117">
        <v>1</v>
      </c>
      <c r="G117" s="7">
        <v>110500</v>
      </c>
      <c r="H117" s="7">
        <f t="shared" ref="H117:H122" si="5">F117*G117</f>
        <v>110500</v>
      </c>
      <c r="I117" s="141" t="s">
        <v>70</v>
      </c>
      <c r="J117" s="72">
        <v>46038</v>
      </c>
      <c r="K117" s="7"/>
      <c r="L117" s="364"/>
      <c r="M117" s="89"/>
    </row>
    <row r="118" spans="1:13" s="3" customFormat="1" ht="19.5" customHeight="1" x14ac:dyDescent="0.4">
      <c r="A118" s="118">
        <v>46028</v>
      </c>
      <c r="B118" s="103" t="s">
        <v>61</v>
      </c>
      <c r="C118" s="115" t="s">
        <v>620</v>
      </c>
      <c r="D118" s="42" t="s">
        <v>621</v>
      </c>
      <c r="E118" s="42"/>
      <c r="F118" s="117">
        <v>1</v>
      </c>
      <c r="G118" s="7">
        <v>3000000</v>
      </c>
      <c r="H118" s="7">
        <f t="shared" si="5"/>
        <v>3000000</v>
      </c>
      <c r="I118" s="141" t="s">
        <v>730</v>
      </c>
      <c r="J118" s="72">
        <v>46001</v>
      </c>
      <c r="K118" s="7"/>
      <c r="L118" s="364"/>
      <c r="M118" s="89"/>
    </row>
    <row r="119" spans="1:13" s="3" customFormat="1" ht="19.5" customHeight="1" x14ac:dyDescent="0.4">
      <c r="A119" s="118">
        <v>46028</v>
      </c>
      <c r="B119" s="103" t="s">
        <v>61</v>
      </c>
      <c r="C119" s="115" t="s">
        <v>620</v>
      </c>
      <c r="D119" s="42" t="s">
        <v>621</v>
      </c>
      <c r="E119" s="42"/>
      <c r="F119" s="117">
        <v>1</v>
      </c>
      <c r="G119" s="7">
        <v>3000000</v>
      </c>
      <c r="H119" s="7">
        <f t="shared" si="5"/>
        <v>3000000</v>
      </c>
      <c r="I119" s="141" t="s">
        <v>731</v>
      </c>
      <c r="J119" s="72">
        <v>46001</v>
      </c>
      <c r="K119" s="7"/>
      <c r="L119" s="364"/>
      <c r="M119" s="89"/>
    </row>
    <row r="120" spans="1:13" s="3" customFormat="1" ht="19.5" customHeight="1" x14ac:dyDescent="0.4">
      <c r="A120" s="118">
        <v>46028</v>
      </c>
      <c r="B120" s="103" t="s">
        <v>61</v>
      </c>
      <c r="C120" s="115" t="s">
        <v>78</v>
      </c>
      <c r="D120" s="42" t="s">
        <v>79</v>
      </c>
      <c r="E120" s="42"/>
      <c r="F120" s="117">
        <v>6</v>
      </c>
      <c r="G120" s="7">
        <v>90500</v>
      </c>
      <c r="H120" s="7">
        <f t="shared" si="5"/>
        <v>543000</v>
      </c>
      <c r="I120" s="141" t="s">
        <v>732</v>
      </c>
      <c r="J120" s="72">
        <v>46029</v>
      </c>
      <c r="K120" s="7"/>
      <c r="L120" s="364"/>
      <c r="M120" s="89"/>
    </row>
    <row r="121" spans="1:13" s="3" customFormat="1" ht="19.5" customHeight="1" x14ac:dyDescent="0.4">
      <c r="A121" s="118">
        <v>46028</v>
      </c>
      <c r="B121" s="103" t="s">
        <v>61</v>
      </c>
      <c r="C121" s="115" t="s">
        <v>63</v>
      </c>
      <c r="D121" s="42" t="s">
        <v>97</v>
      </c>
      <c r="E121" s="42"/>
      <c r="F121" s="117">
        <v>6</v>
      </c>
      <c r="G121" s="7">
        <v>137000</v>
      </c>
      <c r="H121" s="7">
        <f t="shared" si="5"/>
        <v>822000</v>
      </c>
      <c r="I121" s="141" t="s">
        <v>732</v>
      </c>
      <c r="J121" s="72">
        <v>46029</v>
      </c>
      <c r="K121" s="7"/>
      <c r="L121" s="364"/>
      <c r="M121" s="89"/>
    </row>
    <row r="122" spans="1:13" s="3" customFormat="1" ht="19.5" customHeight="1" x14ac:dyDescent="0.4">
      <c r="A122" s="118">
        <v>46028</v>
      </c>
      <c r="B122" s="103" t="s">
        <v>61</v>
      </c>
      <c r="C122" s="115" t="s">
        <v>81</v>
      </c>
      <c r="D122" s="42" t="s">
        <v>82</v>
      </c>
      <c r="E122" s="42"/>
      <c r="F122" s="117">
        <v>6</v>
      </c>
      <c r="G122" s="7">
        <v>86300</v>
      </c>
      <c r="H122" s="7">
        <f t="shared" si="5"/>
        <v>517800</v>
      </c>
      <c r="I122" s="141" t="s">
        <v>732</v>
      </c>
      <c r="J122" s="72">
        <v>46029</v>
      </c>
      <c r="K122" s="7"/>
      <c r="L122" s="364"/>
      <c r="M122" s="89"/>
    </row>
    <row r="123" spans="1:13" s="3" customFormat="1" ht="19.5" customHeight="1" x14ac:dyDescent="0.4">
      <c r="A123" s="118">
        <v>46028</v>
      </c>
      <c r="B123" s="103" t="s">
        <v>61</v>
      </c>
      <c r="C123" s="115" t="s">
        <v>73</v>
      </c>
      <c r="D123" s="42" t="s">
        <v>208</v>
      </c>
      <c r="E123" s="42"/>
      <c r="F123" s="117">
        <v>1</v>
      </c>
      <c r="G123" s="7">
        <v>390000</v>
      </c>
      <c r="H123" s="7" t="s">
        <v>186</v>
      </c>
      <c r="I123" s="141"/>
      <c r="J123" s="72"/>
      <c r="K123" s="7"/>
      <c r="L123" s="364"/>
      <c r="M123" s="89"/>
    </row>
    <row r="124" spans="1:13" s="3" customFormat="1" ht="19.5" customHeight="1" x14ac:dyDescent="0.4">
      <c r="A124" s="118">
        <v>46028</v>
      </c>
      <c r="B124" s="103" t="s">
        <v>61</v>
      </c>
      <c r="C124" s="115" t="s">
        <v>62</v>
      </c>
      <c r="D124" s="42" t="s">
        <v>209</v>
      </c>
      <c r="E124" s="42"/>
      <c r="F124" s="117">
        <v>1</v>
      </c>
      <c r="G124" s="7">
        <v>390000</v>
      </c>
      <c r="H124" s="7" t="s">
        <v>186</v>
      </c>
      <c r="I124" s="141"/>
      <c r="J124" s="72"/>
      <c r="K124" s="7"/>
      <c r="L124" s="364"/>
      <c r="M124" s="89"/>
    </row>
    <row r="125" spans="1:13" s="3" customFormat="1" ht="19.5" customHeight="1" x14ac:dyDescent="0.4">
      <c r="A125" s="118">
        <v>46028</v>
      </c>
      <c r="B125" s="103" t="s">
        <v>61</v>
      </c>
      <c r="C125" s="115" t="s">
        <v>198</v>
      </c>
      <c r="D125" s="42" t="s">
        <v>199</v>
      </c>
      <c r="E125" s="42"/>
      <c r="F125" s="117">
        <v>10</v>
      </c>
      <c r="G125" s="7">
        <v>54000</v>
      </c>
      <c r="H125" s="7">
        <f t="shared" ref="H125:H180" si="6">F125*G125</f>
        <v>540000</v>
      </c>
      <c r="I125" s="141" t="s">
        <v>733</v>
      </c>
      <c r="J125" s="72">
        <v>46055</v>
      </c>
      <c r="K125" s="7"/>
      <c r="L125" s="364"/>
      <c r="M125" s="89"/>
    </row>
    <row r="126" spans="1:13" s="3" customFormat="1" ht="19.5" customHeight="1" x14ac:dyDescent="0.4">
      <c r="A126" s="118">
        <v>46028</v>
      </c>
      <c r="B126" s="103" t="s">
        <v>61</v>
      </c>
      <c r="C126" s="115" t="s">
        <v>198</v>
      </c>
      <c r="D126" s="42" t="s">
        <v>286</v>
      </c>
      <c r="E126" s="42"/>
      <c r="F126" s="117">
        <v>10</v>
      </c>
      <c r="G126" s="7">
        <v>54000</v>
      </c>
      <c r="H126" s="7">
        <f t="shared" si="6"/>
        <v>540000</v>
      </c>
      <c r="I126" s="141" t="s">
        <v>734</v>
      </c>
      <c r="J126" s="72">
        <v>46041</v>
      </c>
      <c r="K126" s="7"/>
      <c r="L126" s="364"/>
      <c r="M126" s="89"/>
    </row>
    <row r="127" spans="1:13" s="3" customFormat="1" ht="19.5" customHeight="1" x14ac:dyDescent="0.4">
      <c r="A127" s="118">
        <v>46029</v>
      </c>
      <c r="B127" s="103" t="s">
        <v>61</v>
      </c>
      <c r="C127" s="115" t="s">
        <v>300</v>
      </c>
      <c r="D127" s="42" t="s">
        <v>735</v>
      </c>
      <c r="E127" s="42"/>
      <c r="F127" s="117">
        <v>5</v>
      </c>
      <c r="G127" s="7">
        <v>232000</v>
      </c>
      <c r="H127" s="7">
        <f t="shared" si="6"/>
        <v>1160000</v>
      </c>
      <c r="I127" s="141" t="s">
        <v>70</v>
      </c>
      <c r="J127" s="72">
        <v>46032</v>
      </c>
      <c r="K127" s="7"/>
      <c r="L127" s="364"/>
      <c r="M127" s="89"/>
    </row>
    <row r="128" spans="1:13" s="3" customFormat="1" ht="19.5" customHeight="1" x14ac:dyDescent="0.4">
      <c r="A128" s="118">
        <v>46029</v>
      </c>
      <c r="B128" s="103" t="s">
        <v>61</v>
      </c>
      <c r="C128" s="115" t="s">
        <v>306</v>
      </c>
      <c r="D128" s="42" t="s">
        <v>736</v>
      </c>
      <c r="E128" s="42"/>
      <c r="F128" s="117">
        <v>10</v>
      </c>
      <c r="G128" s="7">
        <v>520000</v>
      </c>
      <c r="H128" s="7">
        <f t="shared" si="6"/>
        <v>5200000</v>
      </c>
      <c r="I128" s="141" t="s">
        <v>70</v>
      </c>
      <c r="J128" s="72">
        <v>46001</v>
      </c>
      <c r="K128" s="7"/>
      <c r="L128" s="364"/>
      <c r="M128" s="89"/>
    </row>
    <row r="129" spans="1:15" s="3" customFormat="1" ht="19.5" customHeight="1" x14ac:dyDescent="0.4">
      <c r="A129" s="118">
        <v>46029</v>
      </c>
      <c r="B129" s="103" t="s">
        <v>61</v>
      </c>
      <c r="C129" s="115" t="s">
        <v>66</v>
      </c>
      <c r="D129" s="42" t="s">
        <v>357</v>
      </c>
      <c r="E129" s="42"/>
      <c r="F129" s="117">
        <v>7</v>
      </c>
      <c r="G129" s="7">
        <v>1766050</v>
      </c>
      <c r="H129" s="7">
        <f t="shared" si="6"/>
        <v>12362350</v>
      </c>
      <c r="I129" s="141" t="s">
        <v>737</v>
      </c>
      <c r="J129" s="72">
        <v>46036</v>
      </c>
      <c r="K129" s="7"/>
      <c r="L129" s="364"/>
      <c r="M129" s="89"/>
    </row>
    <row r="130" spans="1:15" s="3" customFormat="1" ht="19.5" customHeight="1" x14ac:dyDescent="0.4">
      <c r="A130" s="118">
        <v>46031</v>
      </c>
      <c r="B130" s="103" t="s">
        <v>61</v>
      </c>
      <c r="C130" s="115" t="s">
        <v>67</v>
      </c>
      <c r="D130" s="42" t="s">
        <v>381</v>
      </c>
      <c r="E130" s="42"/>
      <c r="F130" s="117">
        <v>4</v>
      </c>
      <c r="G130" s="7">
        <v>384000</v>
      </c>
      <c r="H130" s="7">
        <f t="shared" si="6"/>
        <v>1536000</v>
      </c>
      <c r="I130" s="141" t="s">
        <v>564</v>
      </c>
      <c r="J130" s="72">
        <v>45994</v>
      </c>
      <c r="K130" s="7"/>
      <c r="L130" s="364"/>
      <c r="M130" s="89"/>
    </row>
    <row r="131" spans="1:15" s="3" customFormat="1" ht="19.5" customHeight="1" x14ac:dyDescent="0.4">
      <c r="A131" s="118">
        <v>46031</v>
      </c>
      <c r="B131" s="103" t="s">
        <v>61</v>
      </c>
      <c r="C131" s="115" t="s">
        <v>202</v>
      </c>
      <c r="D131" s="42" t="s">
        <v>305</v>
      </c>
      <c r="E131" s="42"/>
      <c r="F131" s="117">
        <v>3</v>
      </c>
      <c r="G131" s="7">
        <v>384000</v>
      </c>
      <c r="H131" s="7">
        <f t="shared" si="6"/>
        <v>1152000</v>
      </c>
      <c r="I131" s="141" t="s">
        <v>570</v>
      </c>
      <c r="J131" s="72">
        <v>46001</v>
      </c>
      <c r="K131" s="7"/>
      <c r="L131" s="364"/>
      <c r="M131" s="89"/>
    </row>
    <row r="132" spans="1:15" s="3" customFormat="1" ht="19.5" customHeight="1" x14ac:dyDescent="0.4">
      <c r="A132" s="118">
        <v>46031</v>
      </c>
      <c r="B132" s="103" t="s">
        <v>61</v>
      </c>
      <c r="C132" s="115" t="s">
        <v>66</v>
      </c>
      <c r="D132" s="42" t="s">
        <v>206</v>
      </c>
      <c r="E132" s="42"/>
      <c r="F132" s="117">
        <v>3</v>
      </c>
      <c r="G132" s="7">
        <v>1917500</v>
      </c>
      <c r="H132" s="7">
        <f t="shared" si="6"/>
        <v>5752500</v>
      </c>
      <c r="I132" s="141" t="s">
        <v>570</v>
      </c>
      <c r="J132" s="72">
        <v>46001</v>
      </c>
      <c r="K132" s="7"/>
      <c r="L132" s="364"/>
      <c r="M132" s="89"/>
    </row>
    <row r="133" spans="1:15" s="3" customFormat="1" ht="19.5" customHeight="1" x14ac:dyDescent="0.4">
      <c r="A133" s="118">
        <v>46034</v>
      </c>
      <c r="B133" s="103" t="s">
        <v>61</v>
      </c>
      <c r="C133" s="115" t="s">
        <v>202</v>
      </c>
      <c r="D133" s="42" t="s">
        <v>203</v>
      </c>
      <c r="E133" s="42"/>
      <c r="F133" s="117">
        <v>4</v>
      </c>
      <c r="G133" s="7">
        <v>384000</v>
      </c>
      <c r="H133" s="7">
        <f t="shared" si="6"/>
        <v>1536000</v>
      </c>
      <c r="I133" s="141" t="s">
        <v>564</v>
      </c>
      <c r="J133" s="72">
        <v>45994</v>
      </c>
      <c r="K133" s="7"/>
      <c r="L133" s="364"/>
      <c r="M133" s="89"/>
    </row>
    <row r="134" spans="1:15" s="3" customFormat="1" ht="19.5" customHeight="1" x14ac:dyDescent="0.4">
      <c r="A134" s="105">
        <v>46035</v>
      </c>
      <c r="B134" s="106" t="s">
        <v>61</v>
      </c>
      <c r="C134" s="192" t="s">
        <v>93</v>
      </c>
      <c r="D134" s="76" t="s">
        <v>361</v>
      </c>
      <c r="E134" s="76"/>
      <c r="F134" s="117">
        <v>3</v>
      </c>
      <c r="G134" s="7">
        <v>235000</v>
      </c>
      <c r="H134" s="7">
        <f t="shared" si="6"/>
        <v>705000</v>
      </c>
      <c r="I134" s="141" t="s">
        <v>70</v>
      </c>
      <c r="J134" s="72">
        <v>46032</v>
      </c>
      <c r="K134" s="7"/>
      <c r="L134" s="364"/>
      <c r="M134" s="365"/>
      <c r="N134" s="78"/>
      <c r="O134" s="78"/>
    </row>
    <row r="135" spans="1:15" s="3" customFormat="1" ht="19.5" customHeight="1" x14ac:dyDescent="0.4">
      <c r="A135" s="118">
        <v>46035</v>
      </c>
      <c r="B135" s="103" t="s">
        <v>61</v>
      </c>
      <c r="C135" s="115" t="s">
        <v>67</v>
      </c>
      <c r="D135" s="42" t="s">
        <v>381</v>
      </c>
      <c r="E135" s="42"/>
      <c r="F135" s="117">
        <v>6</v>
      </c>
      <c r="G135" s="7">
        <v>384000</v>
      </c>
      <c r="H135" s="7">
        <f t="shared" si="6"/>
        <v>2304000</v>
      </c>
      <c r="I135" s="141" t="s">
        <v>564</v>
      </c>
      <c r="J135" s="72">
        <v>45994</v>
      </c>
      <c r="K135" s="7"/>
      <c r="L135" s="364"/>
      <c r="M135" s="89"/>
    </row>
    <row r="136" spans="1:15" s="3" customFormat="1" ht="19.5" customHeight="1" x14ac:dyDescent="0.4">
      <c r="A136" s="118">
        <v>46035</v>
      </c>
      <c r="B136" s="103" t="s">
        <v>61</v>
      </c>
      <c r="C136" s="115" t="s">
        <v>64</v>
      </c>
      <c r="D136" s="42" t="s">
        <v>65</v>
      </c>
      <c r="E136" s="42"/>
      <c r="F136" s="117">
        <v>6</v>
      </c>
      <c r="G136" s="7">
        <v>1568700</v>
      </c>
      <c r="H136" s="7">
        <f t="shared" si="6"/>
        <v>9412200</v>
      </c>
      <c r="I136" s="141" t="s">
        <v>568</v>
      </c>
      <c r="J136" s="72">
        <v>46024</v>
      </c>
      <c r="K136" s="7"/>
      <c r="L136" s="364"/>
      <c r="M136" s="89"/>
    </row>
    <row r="137" spans="1:15" s="3" customFormat="1" ht="19.5" customHeight="1" x14ac:dyDescent="0.4">
      <c r="A137" s="118">
        <v>46035</v>
      </c>
      <c r="B137" s="103" t="s">
        <v>61</v>
      </c>
      <c r="C137" s="115" t="s">
        <v>64</v>
      </c>
      <c r="D137" s="42" t="s">
        <v>65</v>
      </c>
      <c r="E137" s="42"/>
      <c r="F137" s="117">
        <v>4</v>
      </c>
      <c r="G137" s="7">
        <v>1568700</v>
      </c>
      <c r="H137" s="7">
        <f t="shared" si="6"/>
        <v>6274800</v>
      </c>
      <c r="I137" s="141" t="s">
        <v>569</v>
      </c>
      <c r="J137" s="72">
        <v>46008</v>
      </c>
      <c r="K137" s="7"/>
      <c r="L137" s="364"/>
      <c r="M137" s="89"/>
    </row>
    <row r="138" spans="1:15" s="3" customFormat="1" ht="19.5" customHeight="1" x14ac:dyDescent="0.4">
      <c r="A138" s="118">
        <v>46035</v>
      </c>
      <c r="B138" s="103" t="s">
        <v>61</v>
      </c>
      <c r="C138" s="115" t="s">
        <v>67</v>
      </c>
      <c r="D138" s="42" t="s">
        <v>292</v>
      </c>
      <c r="E138" s="42"/>
      <c r="F138" s="117">
        <v>12</v>
      </c>
      <c r="G138" s="7">
        <v>364800</v>
      </c>
      <c r="H138" s="7">
        <f t="shared" si="6"/>
        <v>4377600</v>
      </c>
      <c r="I138" s="141" t="s">
        <v>737</v>
      </c>
      <c r="J138" s="72">
        <v>46036</v>
      </c>
      <c r="K138" s="7"/>
      <c r="L138" s="364"/>
      <c r="M138" s="89"/>
    </row>
    <row r="139" spans="1:15" s="78" customFormat="1" ht="19.5" customHeight="1" x14ac:dyDescent="0.4">
      <c r="A139" s="118">
        <v>46035</v>
      </c>
      <c r="B139" s="103" t="s">
        <v>61</v>
      </c>
      <c r="C139" s="115" t="s">
        <v>62</v>
      </c>
      <c r="D139" s="42" t="s">
        <v>209</v>
      </c>
      <c r="E139" s="42"/>
      <c r="F139" s="117">
        <v>9</v>
      </c>
      <c r="G139" s="7">
        <v>390000</v>
      </c>
      <c r="H139" s="7">
        <f t="shared" si="6"/>
        <v>3510000</v>
      </c>
      <c r="I139" s="141" t="s">
        <v>525</v>
      </c>
      <c r="J139" s="72">
        <v>45959</v>
      </c>
      <c r="K139" s="7"/>
      <c r="L139" s="364"/>
      <c r="M139" s="89"/>
      <c r="N139" s="3"/>
      <c r="O139" s="3"/>
    </row>
    <row r="140" spans="1:15" s="78" customFormat="1" ht="19.5" customHeight="1" x14ac:dyDescent="0.4">
      <c r="A140" s="105">
        <v>46037</v>
      </c>
      <c r="B140" s="106" t="s">
        <v>61</v>
      </c>
      <c r="C140" s="192" t="s">
        <v>190</v>
      </c>
      <c r="D140" s="76" t="s">
        <v>214</v>
      </c>
      <c r="E140" s="76"/>
      <c r="F140" s="108">
        <v>1</v>
      </c>
      <c r="G140" s="7">
        <v>181000</v>
      </c>
      <c r="H140" s="7">
        <f t="shared" si="6"/>
        <v>181000</v>
      </c>
      <c r="I140" s="141" t="s">
        <v>213</v>
      </c>
      <c r="J140" s="72">
        <v>46055</v>
      </c>
      <c r="K140" s="7"/>
      <c r="L140" s="364"/>
      <c r="M140" s="365"/>
    </row>
    <row r="141" spans="1:15" s="78" customFormat="1" ht="19.5" customHeight="1" x14ac:dyDescent="0.4">
      <c r="A141" s="105">
        <v>46037</v>
      </c>
      <c r="B141" s="106" t="s">
        <v>61</v>
      </c>
      <c r="C141" s="192" t="s">
        <v>190</v>
      </c>
      <c r="D141" s="76" t="s">
        <v>214</v>
      </c>
      <c r="E141" s="76"/>
      <c r="F141" s="108">
        <v>1</v>
      </c>
      <c r="G141" s="7">
        <v>181000</v>
      </c>
      <c r="H141" s="7">
        <f t="shared" si="6"/>
        <v>181000</v>
      </c>
      <c r="I141" s="141" t="s">
        <v>213</v>
      </c>
      <c r="J141" s="72">
        <v>46056</v>
      </c>
      <c r="K141" s="7"/>
      <c r="L141" s="364"/>
      <c r="M141" s="365"/>
    </row>
    <row r="142" spans="1:15" s="78" customFormat="1" ht="19.5" customHeight="1" x14ac:dyDescent="0.4">
      <c r="A142" s="105">
        <v>46037</v>
      </c>
      <c r="B142" s="106" t="s">
        <v>61</v>
      </c>
      <c r="C142" s="192" t="s">
        <v>106</v>
      </c>
      <c r="D142" s="76" t="s">
        <v>107</v>
      </c>
      <c r="E142" s="76"/>
      <c r="F142" s="108">
        <v>1</v>
      </c>
      <c r="G142" s="7">
        <v>333000</v>
      </c>
      <c r="H142" s="7">
        <f t="shared" si="6"/>
        <v>333000</v>
      </c>
      <c r="I142" s="141" t="s">
        <v>213</v>
      </c>
      <c r="J142" s="72">
        <v>46056</v>
      </c>
      <c r="K142" s="7"/>
      <c r="L142" s="364"/>
      <c r="M142" s="365"/>
    </row>
    <row r="143" spans="1:15" s="78" customFormat="1" ht="19.5" customHeight="1" x14ac:dyDescent="0.4">
      <c r="A143" s="105">
        <v>46037</v>
      </c>
      <c r="B143" s="106" t="s">
        <v>61</v>
      </c>
      <c r="C143" s="192" t="s">
        <v>83</v>
      </c>
      <c r="D143" s="76" t="s">
        <v>84</v>
      </c>
      <c r="E143" s="76"/>
      <c r="F143" s="108">
        <v>2</v>
      </c>
      <c r="G143" s="7">
        <v>76500</v>
      </c>
      <c r="H143" s="7">
        <f t="shared" si="6"/>
        <v>153000</v>
      </c>
      <c r="I143" s="141" t="s">
        <v>215</v>
      </c>
      <c r="J143" s="72">
        <v>46031</v>
      </c>
      <c r="K143" s="7"/>
      <c r="L143" s="364"/>
      <c r="M143" s="365"/>
    </row>
    <row r="144" spans="1:15" s="78" customFormat="1" ht="19.5" customHeight="1" x14ac:dyDescent="0.4">
      <c r="A144" s="105">
        <v>46037</v>
      </c>
      <c r="B144" s="106" t="s">
        <v>61</v>
      </c>
      <c r="C144" s="192" t="s">
        <v>83</v>
      </c>
      <c r="D144" s="76" t="s">
        <v>84</v>
      </c>
      <c r="E144" s="76"/>
      <c r="F144" s="108">
        <v>2</v>
      </c>
      <c r="G144" s="7">
        <v>76500</v>
      </c>
      <c r="H144" s="7">
        <f t="shared" si="6"/>
        <v>153000</v>
      </c>
      <c r="I144" s="141" t="s">
        <v>70</v>
      </c>
      <c r="J144" s="72">
        <v>46058</v>
      </c>
      <c r="K144" s="7"/>
      <c r="L144" s="364"/>
      <c r="M144" s="365"/>
    </row>
    <row r="145" spans="1:13" s="78" customFormat="1" ht="19.5" customHeight="1" x14ac:dyDescent="0.4">
      <c r="A145" s="105">
        <v>46037</v>
      </c>
      <c r="B145" s="106" t="s">
        <v>61</v>
      </c>
      <c r="C145" s="192" t="s">
        <v>83</v>
      </c>
      <c r="D145" s="76" t="s">
        <v>84</v>
      </c>
      <c r="E145" s="76"/>
      <c r="F145" s="108">
        <v>2</v>
      </c>
      <c r="G145" s="7">
        <v>76500</v>
      </c>
      <c r="H145" s="7">
        <f t="shared" si="6"/>
        <v>153000</v>
      </c>
      <c r="I145" s="141" t="s">
        <v>70</v>
      </c>
      <c r="J145" s="72">
        <v>46058</v>
      </c>
      <c r="K145" s="7"/>
      <c r="L145" s="364"/>
      <c r="M145" s="365"/>
    </row>
    <row r="146" spans="1:13" s="78" customFormat="1" ht="19.5" customHeight="1" x14ac:dyDescent="0.4">
      <c r="A146" s="105">
        <v>46037</v>
      </c>
      <c r="B146" s="106" t="s">
        <v>61</v>
      </c>
      <c r="C146" s="192" t="s">
        <v>85</v>
      </c>
      <c r="D146" s="76" t="s">
        <v>86</v>
      </c>
      <c r="E146" s="76"/>
      <c r="F146" s="108">
        <v>2</v>
      </c>
      <c r="G146" s="7">
        <v>37700</v>
      </c>
      <c r="H146" s="7">
        <f t="shared" si="6"/>
        <v>75400</v>
      </c>
      <c r="I146" s="141" t="s">
        <v>215</v>
      </c>
      <c r="J146" s="72">
        <v>46031</v>
      </c>
      <c r="K146" s="7"/>
      <c r="L146" s="364"/>
      <c r="M146" s="365"/>
    </row>
    <row r="147" spans="1:13" s="78" customFormat="1" ht="19.5" customHeight="1" x14ac:dyDescent="0.4">
      <c r="A147" s="105">
        <v>46037</v>
      </c>
      <c r="B147" s="106" t="s">
        <v>61</v>
      </c>
      <c r="C147" s="192" t="s">
        <v>85</v>
      </c>
      <c r="D147" s="76" t="s">
        <v>86</v>
      </c>
      <c r="E147" s="76"/>
      <c r="F147" s="108">
        <v>2</v>
      </c>
      <c r="G147" s="7">
        <v>37700</v>
      </c>
      <c r="H147" s="7">
        <f t="shared" si="6"/>
        <v>75400</v>
      </c>
      <c r="I147" s="141" t="s">
        <v>70</v>
      </c>
      <c r="J147" s="72">
        <v>46058</v>
      </c>
      <c r="K147" s="7"/>
      <c r="L147" s="364"/>
      <c r="M147" s="365"/>
    </row>
    <row r="148" spans="1:13" s="78" customFormat="1" ht="19.5" customHeight="1" x14ac:dyDescent="0.4">
      <c r="A148" s="105">
        <v>46037</v>
      </c>
      <c r="B148" s="106" t="s">
        <v>61</v>
      </c>
      <c r="C148" s="192" t="s">
        <v>85</v>
      </c>
      <c r="D148" s="76" t="s">
        <v>86</v>
      </c>
      <c r="E148" s="76"/>
      <c r="F148" s="108">
        <v>2</v>
      </c>
      <c r="G148" s="7">
        <v>37700</v>
      </c>
      <c r="H148" s="7">
        <f t="shared" si="6"/>
        <v>75400</v>
      </c>
      <c r="I148" s="141" t="s">
        <v>70</v>
      </c>
      <c r="J148" s="72">
        <v>46058</v>
      </c>
      <c r="K148" s="7"/>
      <c r="L148" s="364"/>
      <c r="M148" s="365"/>
    </row>
    <row r="149" spans="1:13" s="78" customFormat="1" ht="19.5" customHeight="1" x14ac:dyDescent="0.4">
      <c r="A149" s="105">
        <v>46037</v>
      </c>
      <c r="B149" s="106" t="s">
        <v>61</v>
      </c>
      <c r="C149" s="192" t="s">
        <v>113</v>
      </c>
      <c r="D149" s="76" t="s">
        <v>114</v>
      </c>
      <c r="E149" s="76"/>
      <c r="F149" s="108">
        <v>4</v>
      </c>
      <c r="G149" s="7">
        <v>36500</v>
      </c>
      <c r="H149" s="7">
        <f t="shared" si="6"/>
        <v>146000</v>
      </c>
      <c r="I149" s="141" t="s">
        <v>70</v>
      </c>
      <c r="J149" s="72">
        <v>46038</v>
      </c>
      <c r="K149" s="7"/>
      <c r="L149" s="364"/>
      <c r="M149" s="365"/>
    </row>
    <row r="150" spans="1:13" s="78" customFormat="1" ht="19.5" customHeight="1" x14ac:dyDescent="0.4">
      <c r="A150" s="105">
        <v>46037</v>
      </c>
      <c r="B150" s="106" t="s">
        <v>61</v>
      </c>
      <c r="C150" s="192" t="s">
        <v>614</v>
      </c>
      <c r="D150" s="76" t="s">
        <v>615</v>
      </c>
      <c r="E150" s="76"/>
      <c r="F150" s="108">
        <v>3</v>
      </c>
      <c r="G150" s="7">
        <v>95000</v>
      </c>
      <c r="H150" s="7">
        <f t="shared" si="6"/>
        <v>285000</v>
      </c>
      <c r="I150" s="141" t="s">
        <v>70</v>
      </c>
      <c r="J150" s="72">
        <v>46053</v>
      </c>
      <c r="K150" s="7"/>
      <c r="L150" s="364"/>
      <c r="M150" s="365"/>
    </row>
    <row r="151" spans="1:13" s="78" customFormat="1" ht="19.5" customHeight="1" x14ac:dyDescent="0.4">
      <c r="A151" s="105">
        <v>46037</v>
      </c>
      <c r="B151" s="106" t="s">
        <v>61</v>
      </c>
      <c r="C151" s="192" t="s">
        <v>83</v>
      </c>
      <c r="D151" s="76" t="s">
        <v>87</v>
      </c>
      <c r="E151" s="76"/>
      <c r="F151" s="108">
        <v>1</v>
      </c>
      <c r="G151" s="7">
        <v>75300</v>
      </c>
      <c r="H151" s="7">
        <f t="shared" si="6"/>
        <v>75300</v>
      </c>
      <c r="I151" s="141" t="s">
        <v>215</v>
      </c>
      <c r="J151" s="72">
        <v>46031</v>
      </c>
      <c r="K151" s="7"/>
      <c r="L151" s="364"/>
      <c r="M151" s="365"/>
    </row>
    <row r="152" spans="1:13" s="78" customFormat="1" ht="19.5" customHeight="1" x14ac:dyDescent="0.4">
      <c r="A152" s="105">
        <v>46037</v>
      </c>
      <c r="B152" s="106" t="s">
        <v>61</v>
      </c>
      <c r="C152" s="192" t="s">
        <v>83</v>
      </c>
      <c r="D152" s="76" t="s">
        <v>87</v>
      </c>
      <c r="E152" s="76"/>
      <c r="F152" s="108">
        <v>2</v>
      </c>
      <c r="G152" s="7">
        <v>75300</v>
      </c>
      <c r="H152" s="7">
        <f t="shared" si="6"/>
        <v>150600</v>
      </c>
      <c r="I152" s="141" t="s">
        <v>70</v>
      </c>
      <c r="J152" s="72">
        <v>46058</v>
      </c>
      <c r="K152" s="7"/>
      <c r="L152" s="364"/>
      <c r="M152" s="365"/>
    </row>
    <row r="153" spans="1:13" s="78" customFormat="1" ht="19.5" customHeight="1" x14ac:dyDescent="0.4">
      <c r="A153" s="105">
        <v>46037</v>
      </c>
      <c r="B153" s="106" t="s">
        <v>61</v>
      </c>
      <c r="C153" s="192" t="s">
        <v>83</v>
      </c>
      <c r="D153" s="76" t="s">
        <v>87</v>
      </c>
      <c r="E153" s="76"/>
      <c r="F153" s="108">
        <v>2</v>
      </c>
      <c r="G153" s="7">
        <v>75300</v>
      </c>
      <c r="H153" s="7">
        <f t="shared" si="6"/>
        <v>150600</v>
      </c>
      <c r="I153" s="141" t="s">
        <v>70</v>
      </c>
      <c r="J153" s="72">
        <v>46058</v>
      </c>
      <c r="K153" s="7"/>
      <c r="L153" s="364"/>
      <c r="M153" s="365"/>
    </row>
    <row r="154" spans="1:13" s="78" customFormat="1" ht="19.5" customHeight="1" x14ac:dyDescent="0.4">
      <c r="A154" s="105">
        <v>46037</v>
      </c>
      <c r="B154" s="106" t="s">
        <v>61</v>
      </c>
      <c r="C154" s="192" t="s">
        <v>105</v>
      </c>
      <c r="D154" s="76" t="s">
        <v>505</v>
      </c>
      <c r="E154" s="76"/>
      <c r="F154" s="108">
        <v>1</v>
      </c>
      <c r="G154" s="7">
        <v>54300</v>
      </c>
      <c r="H154" s="7">
        <f t="shared" si="6"/>
        <v>54300</v>
      </c>
      <c r="I154" s="141" t="s">
        <v>70</v>
      </c>
      <c r="J154" s="72">
        <v>46053</v>
      </c>
      <c r="K154" s="7"/>
      <c r="L154" s="364"/>
      <c r="M154" s="365"/>
    </row>
    <row r="155" spans="1:13" s="78" customFormat="1" ht="19.5" customHeight="1" x14ac:dyDescent="0.4">
      <c r="A155" s="105">
        <v>46037</v>
      </c>
      <c r="B155" s="106" t="s">
        <v>61</v>
      </c>
      <c r="C155" s="192" t="s">
        <v>297</v>
      </c>
      <c r="D155" s="76" t="s">
        <v>298</v>
      </c>
      <c r="E155" s="76"/>
      <c r="F155" s="108">
        <v>1</v>
      </c>
      <c r="G155" s="7">
        <v>222000</v>
      </c>
      <c r="H155" s="7">
        <f t="shared" si="6"/>
        <v>222000</v>
      </c>
      <c r="I155" s="141" t="s">
        <v>70</v>
      </c>
      <c r="J155" s="72">
        <v>46038</v>
      </c>
      <c r="K155" s="7"/>
      <c r="L155" s="364"/>
      <c r="M155" s="365"/>
    </row>
    <row r="156" spans="1:13" s="78" customFormat="1" ht="19.5" customHeight="1" x14ac:dyDescent="0.4">
      <c r="A156" s="105">
        <v>46037</v>
      </c>
      <c r="B156" s="106" t="s">
        <v>61</v>
      </c>
      <c r="C156" s="192" t="s">
        <v>297</v>
      </c>
      <c r="D156" s="76" t="s">
        <v>298</v>
      </c>
      <c r="E156" s="76"/>
      <c r="F156" s="108">
        <v>2</v>
      </c>
      <c r="G156" s="7">
        <v>222000</v>
      </c>
      <c r="H156" s="7">
        <f t="shared" si="6"/>
        <v>444000</v>
      </c>
      <c r="I156" s="141" t="s">
        <v>70</v>
      </c>
      <c r="J156" s="72">
        <v>46053</v>
      </c>
      <c r="K156" s="7"/>
      <c r="L156" s="364"/>
      <c r="M156" s="365"/>
    </row>
    <row r="157" spans="1:13" s="78" customFormat="1" ht="19.5" customHeight="1" x14ac:dyDescent="0.4">
      <c r="A157" s="105">
        <v>46037</v>
      </c>
      <c r="B157" s="106" t="s">
        <v>61</v>
      </c>
      <c r="C157" s="192" t="s">
        <v>68</v>
      </c>
      <c r="D157" s="76" t="s">
        <v>191</v>
      </c>
      <c r="E157" s="76"/>
      <c r="F157" s="108">
        <v>5</v>
      </c>
      <c r="G157" s="7">
        <v>352000</v>
      </c>
      <c r="H157" s="7">
        <f t="shared" si="6"/>
        <v>1760000</v>
      </c>
      <c r="I157" s="141" t="s">
        <v>70</v>
      </c>
      <c r="J157" s="72">
        <v>46032</v>
      </c>
      <c r="K157" s="7"/>
      <c r="L157" s="364"/>
      <c r="M157" s="365"/>
    </row>
    <row r="158" spans="1:13" s="78" customFormat="1" ht="19.5" customHeight="1" x14ac:dyDescent="0.4">
      <c r="A158" s="105">
        <v>46037</v>
      </c>
      <c r="B158" s="106" t="s">
        <v>61</v>
      </c>
      <c r="C158" s="192" t="s">
        <v>115</v>
      </c>
      <c r="D158" s="76" t="s">
        <v>194</v>
      </c>
      <c r="E158" s="76"/>
      <c r="F158" s="108">
        <v>1</v>
      </c>
      <c r="G158" s="7">
        <v>158000</v>
      </c>
      <c r="H158" s="7">
        <f t="shared" si="6"/>
        <v>158000</v>
      </c>
      <c r="I158" s="141" t="s">
        <v>70</v>
      </c>
      <c r="J158" s="72">
        <v>46038</v>
      </c>
      <c r="K158" s="7"/>
      <c r="L158" s="364"/>
      <c r="M158" s="365"/>
    </row>
    <row r="159" spans="1:13" s="78" customFormat="1" ht="19.5" customHeight="1" x14ac:dyDescent="0.4">
      <c r="A159" s="105">
        <v>46037</v>
      </c>
      <c r="B159" s="106" t="s">
        <v>61</v>
      </c>
      <c r="C159" s="192" t="s">
        <v>95</v>
      </c>
      <c r="D159" s="76" t="s">
        <v>96</v>
      </c>
      <c r="E159" s="76"/>
      <c r="F159" s="108">
        <v>4</v>
      </c>
      <c r="G159" s="7">
        <v>10500</v>
      </c>
      <c r="H159" s="7">
        <f t="shared" si="6"/>
        <v>42000</v>
      </c>
      <c r="I159" s="141" t="s">
        <v>215</v>
      </c>
      <c r="J159" s="72">
        <v>46031</v>
      </c>
      <c r="K159" s="7">
        <v>10500</v>
      </c>
      <c r="L159" s="364"/>
      <c r="M159" s="365"/>
    </row>
    <row r="160" spans="1:13" s="78" customFormat="1" ht="19.5" customHeight="1" x14ac:dyDescent="0.4">
      <c r="A160" s="105">
        <v>46037</v>
      </c>
      <c r="B160" s="106" t="s">
        <v>61</v>
      </c>
      <c r="C160" s="192" t="s">
        <v>95</v>
      </c>
      <c r="D160" s="76" t="s">
        <v>96</v>
      </c>
      <c r="E160" s="76"/>
      <c r="F160" s="108">
        <v>2</v>
      </c>
      <c r="G160" s="7">
        <v>12000</v>
      </c>
      <c r="H160" s="7">
        <f t="shared" si="6"/>
        <v>24000</v>
      </c>
      <c r="I160" s="141" t="s">
        <v>215</v>
      </c>
      <c r="J160" s="72">
        <v>46052</v>
      </c>
      <c r="K160" s="7"/>
      <c r="L160" s="364"/>
      <c r="M160" s="365"/>
    </row>
    <row r="161" spans="1:15" s="78" customFormat="1" ht="19.5" customHeight="1" x14ac:dyDescent="0.4">
      <c r="A161" s="105">
        <v>46037</v>
      </c>
      <c r="B161" s="106" t="s">
        <v>61</v>
      </c>
      <c r="C161" s="192" t="s">
        <v>95</v>
      </c>
      <c r="D161" s="76" t="s">
        <v>96</v>
      </c>
      <c r="E161" s="76"/>
      <c r="F161" s="108">
        <v>12</v>
      </c>
      <c r="G161" s="7">
        <v>12000</v>
      </c>
      <c r="H161" s="7">
        <f t="shared" si="6"/>
        <v>144000</v>
      </c>
      <c r="I161" s="141" t="s">
        <v>70</v>
      </c>
      <c r="J161" s="72">
        <v>46058</v>
      </c>
      <c r="K161" s="7"/>
      <c r="L161" s="364"/>
      <c r="M161" s="365"/>
    </row>
    <row r="162" spans="1:15" s="78" customFormat="1" ht="19.5" customHeight="1" x14ac:dyDescent="0.4">
      <c r="A162" s="105">
        <v>46037</v>
      </c>
      <c r="B162" s="106" t="s">
        <v>61</v>
      </c>
      <c r="C162" s="192" t="s">
        <v>95</v>
      </c>
      <c r="D162" s="76" t="s">
        <v>96</v>
      </c>
      <c r="E162" s="76"/>
      <c r="F162" s="108">
        <v>12</v>
      </c>
      <c r="G162" s="7">
        <v>12000</v>
      </c>
      <c r="H162" s="7">
        <f t="shared" si="6"/>
        <v>144000</v>
      </c>
      <c r="I162" s="141" t="s">
        <v>70</v>
      </c>
      <c r="J162" s="72">
        <v>46058</v>
      </c>
      <c r="K162" s="7"/>
      <c r="L162" s="364"/>
      <c r="M162" s="365"/>
    </row>
    <row r="163" spans="1:15" s="78" customFormat="1" ht="19.5" customHeight="1" x14ac:dyDescent="0.4">
      <c r="A163" s="105">
        <v>46038</v>
      </c>
      <c r="B163" s="106" t="s">
        <v>61</v>
      </c>
      <c r="C163" s="192" t="s">
        <v>202</v>
      </c>
      <c r="D163" s="367" t="s">
        <v>203</v>
      </c>
      <c r="E163" s="76"/>
      <c r="F163" s="108">
        <v>6</v>
      </c>
      <c r="G163" s="7">
        <v>384000</v>
      </c>
      <c r="H163" s="7">
        <f t="shared" si="6"/>
        <v>2304000</v>
      </c>
      <c r="I163" s="141" t="s">
        <v>564</v>
      </c>
      <c r="J163" s="72">
        <v>45994</v>
      </c>
      <c r="K163" s="7"/>
      <c r="L163" s="364"/>
      <c r="M163" s="365"/>
    </row>
    <row r="164" spans="1:15" s="78" customFormat="1" ht="19.5" customHeight="1" x14ac:dyDescent="0.4">
      <c r="A164" s="105">
        <v>46038</v>
      </c>
      <c r="B164" s="106" t="s">
        <v>61</v>
      </c>
      <c r="C164" s="192" t="s">
        <v>118</v>
      </c>
      <c r="D164" s="367" t="s">
        <v>119</v>
      </c>
      <c r="E164" s="76"/>
      <c r="F164" s="108">
        <v>6</v>
      </c>
      <c r="G164" s="7">
        <v>7790000</v>
      </c>
      <c r="H164" s="7">
        <f t="shared" si="6"/>
        <v>46740000</v>
      </c>
      <c r="I164" s="141" t="s">
        <v>120</v>
      </c>
      <c r="J164" s="72">
        <v>46014</v>
      </c>
      <c r="K164" s="7"/>
      <c r="L164" s="364"/>
      <c r="M164" s="365"/>
    </row>
    <row r="165" spans="1:15" s="78" customFormat="1" ht="19.5" customHeight="1" x14ac:dyDescent="0.4">
      <c r="A165" s="105">
        <v>46038</v>
      </c>
      <c r="B165" s="106" t="s">
        <v>61</v>
      </c>
      <c r="C165" s="192" t="s">
        <v>118</v>
      </c>
      <c r="D165" s="367" t="s">
        <v>119</v>
      </c>
      <c r="E165" s="76"/>
      <c r="F165" s="108">
        <v>4</v>
      </c>
      <c r="G165" s="7">
        <v>7790000</v>
      </c>
      <c r="H165" s="7">
        <f t="shared" si="6"/>
        <v>31160000</v>
      </c>
      <c r="I165" s="141" t="s">
        <v>120</v>
      </c>
      <c r="J165" s="72">
        <v>46030</v>
      </c>
      <c r="K165" s="7"/>
      <c r="L165" s="364"/>
      <c r="M165" s="365"/>
    </row>
    <row r="166" spans="1:15" s="78" customFormat="1" ht="19.5" customHeight="1" x14ac:dyDescent="0.4">
      <c r="A166" s="105">
        <v>46038</v>
      </c>
      <c r="B166" s="106" t="s">
        <v>61</v>
      </c>
      <c r="C166" s="192" t="s">
        <v>121</v>
      </c>
      <c r="D166" s="367" t="s">
        <v>362</v>
      </c>
      <c r="E166" s="76"/>
      <c r="F166" s="108">
        <v>9</v>
      </c>
      <c r="G166" s="7">
        <v>7010050</v>
      </c>
      <c r="H166" s="7">
        <f t="shared" si="6"/>
        <v>63090450</v>
      </c>
      <c r="I166" s="141" t="s">
        <v>120</v>
      </c>
      <c r="J166" s="72">
        <v>46030</v>
      </c>
      <c r="K166" s="7"/>
      <c r="L166" s="364"/>
      <c r="M166" s="365"/>
    </row>
    <row r="167" spans="1:15" s="78" customFormat="1" ht="19.5" customHeight="1" x14ac:dyDescent="0.4">
      <c r="A167" s="118">
        <v>46041</v>
      </c>
      <c r="B167" s="103" t="s">
        <v>61</v>
      </c>
      <c r="C167" s="115" t="s">
        <v>192</v>
      </c>
      <c r="D167" s="42" t="s">
        <v>193</v>
      </c>
      <c r="E167" s="42"/>
      <c r="F167" s="117">
        <v>3</v>
      </c>
      <c r="G167" s="7">
        <v>218000</v>
      </c>
      <c r="H167" s="7">
        <f t="shared" si="6"/>
        <v>654000</v>
      </c>
      <c r="I167" s="141" t="s">
        <v>70</v>
      </c>
      <c r="J167" s="72">
        <v>46038</v>
      </c>
      <c r="K167" s="7"/>
      <c r="L167" s="364"/>
      <c r="M167" s="89"/>
      <c r="N167" s="3"/>
      <c r="O167" s="3"/>
    </row>
    <row r="168" spans="1:15" s="78" customFormat="1" ht="19.5" customHeight="1" x14ac:dyDescent="0.4">
      <c r="A168" s="118">
        <v>46041</v>
      </c>
      <c r="B168" s="103" t="s">
        <v>61</v>
      </c>
      <c r="C168" s="115" t="s">
        <v>290</v>
      </c>
      <c r="D168" s="42" t="s">
        <v>291</v>
      </c>
      <c r="E168" s="42"/>
      <c r="F168" s="117">
        <v>2</v>
      </c>
      <c r="G168" s="7">
        <v>129000</v>
      </c>
      <c r="H168" s="7">
        <f t="shared" si="6"/>
        <v>258000</v>
      </c>
      <c r="I168" s="141" t="s">
        <v>70</v>
      </c>
      <c r="J168" s="72">
        <v>46058</v>
      </c>
      <c r="K168" s="7"/>
      <c r="L168" s="364"/>
      <c r="M168" s="89"/>
      <c r="N168" s="3"/>
      <c r="O168" s="3"/>
    </row>
    <row r="169" spans="1:15" s="78" customFormat="1" ht="19.5" customHeight="1" x14ac:dyDescent="0.4">
      <c r="A169" s="118">
        <v>46041</v>
      </c>
      <c r="B169" s="103" t="s">
        <v>61</v>
      </c>
      <c r="C169" s="115" t="s">
        <v>290</v>
      </c>
      <c r="D169" s="42" t="s">
        <v>291</v>
      </c>
      <c r="E169" s="42"/>
      <c r="F169" s="117">
        <v>2</v>
      </c>
      <c r="G169" s="7">
        <v>129000</v>
      </c>
      <c r="H169" s="7">
        <f t="shared" si="6"/>
        <v>258000</v>
      </c>
      <c r="I169" s="141" t="s">
        <v>70</v>
      </c>
      <c r="J169" s="72">
        <v>46058</v>
      </c>
      <c r="K169" s="7"/>
      <c r="L169" s="364"/>
      <c r="M169" s="89"/>
      <c r="N169" s="3"/>
      <c r="O169" s="3"/>
    </row>
    <row r="170" spans="1:15" s="78" customFormat="1" ht="19.5" customHeight="1" x14ac:dyDescent="0.4">
      <c r="A170" s="118">
        <v>46041</v>
      </c>
      <c r="B170" s="103" t="s">
        <v>61</v>
      </c>
      <c r="C170" s="115" t="s">
        <v>93</v>
      </c>
      <c r="D170" s="42" t="s">
        <v>94</v>
      </c>
      <c r="E170" s="42" t="s">
        <v>201</v>
      </c>
      <c r="F170" s="117">
        <v>2</v>
      </c>
      <c r="G170" s="7">
        <v>235000</v>
      </c>
      <c r="H170" s="7">
        <f t="shared" si="6"/>
        <v>470000</v>
      </c>
      <c r="I170" s="141" t="s">
        <v>70</v>
      </c>
      <c r="J170" s="72">
        <v>46032</v>
      </c>
      <c r="K170" s="7"/>
      <c r="L170" s="364"/>
      <c r="M170" s="89"/>
      <c r="N170" s="3"/>
      <c r="O170" s="3"/>
    </row>
    <row r="171" spans="1:15" s="78" customFormat="1" ht="19.5" customHeight="1" x14ac:dyDescent="0.4">
      <c r="A171" s="118">
        <v>46041</v>
      </c>
      <c r="B171" s="103" t="s">
        <v>61</v>
      </c>
      <c r="C171" s="115" t="s">
        <v>67</v>
      </c>
      <c r="D171" s="42" t="s">
        <v>80</v>
      </c>
      <c r="E171" s="42"/>
      <c r="F171" s="117">
        <v>5</v>
      </c>
      <c r="G171" s="7">
        <v>384000</v>
      </c>
      <c r="H171" s="7">
        <f t="shared" si="6"/>
        <v>1920000</v>
      </c>
      <c r="I171" s="141" t="s">
        <v>567</v>
      </c>
      <c r="J171" s="72">
        <v>46001</v>
      </c>
      <c r="K171" s="7"/>
      <c r="L171" s="364"/>
      <c r="M171" s="89"/>
      <c r="N171" s="3"/>
      <c r="O171" s="3"/>
    </row>
    <row r="172" spans="1:15" s="78" customFormat="1" ht="19.5" customHeight="1" x14ac:dyDescent="0.4">
      <c r="A172" s="118">
        <v>46041</v>
      </c>
      <c r="B172" s="103" t="s">
        <v>61</v>
      </c>
      <c r="C172" s="115" t="s">
        <v>67</v>
      </c>
      <c r="D172" s="42" t="s">
        <v>80</v>
      </c>
      <c r="E172" s="42"/>
      <c r="F172" s="117">
        <v>13</v>
      </c>
      <c r="G172" s="7">
        <v>384000</v>
      </c>
      <c r="H172" s="7">
        <f t="shared" si="6"/>
        <v>4992000</v>
      </c>
      <c r="I172" s="141" t="s">
        <v>569</v>
      </c>
      <c r="J172" s="72">
        <v>46008</v>
      </c>
      <c r="K172" s="7"/>
      <c r="L172" s="364"/>
      <c r="M172" s="89"/>
      <c r="N172" s="3"/>
      <c r="O172" s="3"/>
    </row>
    <row r="173" spans="1:15" s="78" customFormat="1" ht="19.5" customHeight="1" x14ac:dyDescent="0.4">
      <c r="A173" s="118">
        <v>46041</v>
      </c>
      <c r="B173" s="103" t="s">
        <v>61</v>
      </c>
      <c r="C173" s="115" t="s">
        <v>202</v>
      </c>
      <c r="D173" s="42" t="s">
        <v>203</v>
      </c>
      <c r="E173" s="42"/>
      <c r="F173" s="117">
        <v>5</v>
      </c>
      <c r="G173" s="7">
        <v>384000</v>
      </c>
      <c r="H173" s="7">
        <f t="shared" si="6"/>
        <v>1920000</v>
      </c>
      <c r="I173" s="141" t="s">
        <v>567</v>
      </c>
      <c r="J173" s="72">
        <v>46001</v>
      </c>
      <c r="K173" s="7"/>
      <c r="L173" s="364"/>
      <c r="M173" s="89"/>
      <c r="N173" s="3"/>
      <c r="O173" s="3"/>
    </row>
    <row r="174" spans="1:15" s="78" customFormat="1" ht="19.5" customHeight="1" x14ac:dyDescent="0.4">
      <c r="A174" s="118">
        <v>46041</v>
      </c>
      <c r="B174" s="103" t="s">
        <v>61</v>
      </c>
      <c r="C174" s="115" t="s">
        <v>202</v>
      </c>
      <c r="D174" s="42" t="s">
        <v>203</v>
      </c>
      <c r="E174" s="42"/>
      <c r="F174" s="117">
        <v>13</v>
      </c>
      <c r="G174" s="7">
        <v>384000</v>
      </c>
      <c r="H174" s="7">
        <f t="shared" si="6"/>
        <v>4992000</v>
      </c>
      <c r="I174" s="141" t="s">
        <v>569</v>
      </c>
      <c r="J174" s="72">
        <v>46008</v>
      </c>
      <c r="K174" s="7"/>
      <c r="L174" s="364"/>
      <c r="M174" s="89"/>
      <c r="N174" s="3"/>
      <c r="O174" s="3"/>
    </row>
    <row r="175" spans="1:15" s="78" customFormat="1" ht="19.5" customHeight="1" x14ac:dyDescent="0.4">
      <c r="A175" s="118">
        <v>46041</v>
      </c>
      <c r="B175" s="103" t="s">
        <v>61</v>
      </c>
      <c r="C175" s="115" t="s">
        <v>306</v>
      </c>
      <c r="D175" s="42" t="s">
        <v>307</v>
      </c>
      <c r="E175" s="42"/>
      <c r="F175" s="117">
        <v>1</v>
      </c>
      <c r="G175" s="7">
        <v>520000</v>
      </c>
      <c r="H175" s="7">
        <f t="shared" si="6"/>
        <v>520000</v>
      </c>
      <c r="I175" s="141" t="s">
        <v>70</v>
      </c>
      <c r="J175" s="72">
        <v>45987</v>
      </c>
      <c r="K175" s="7"/>
      <c r="L175" s="364"/>
      <c r="M175" s="89"/>
      <c r="N175" s="3"/>
      <c r="O175" s="3"/>
    </row>
    <row r="176" spans="1:15" s="78" customFormat="1" ht="19.5" customHeight="1" x14ac:dyDescent="0.4">
      <c r="A176" s="118">
        <v>46041</v>
      </c>
      <c r="B176" s="103" t="s">
        <v>61</v>
      </c>
      <c r="C176" s="115" t="s">
        <v>66</v>
      </c>
      <c r="D176" s="42" t="s">
        <v>195</v>
      </c>
      <c r="E176" s="42"/>
      <c r="F176" s="117">
        <v>2</v>
      </c>
      <c r="G176" s="7">
        <v>1917500</v>
      </c>
      <c r="H176" s="7">
        <f t="shared" si="6"/>
        <v>3835000</v>
      </c>
      <c r="I176" s="141" t="s">
        <v>567</v>
      </c>
      <c r="J176" s="72">
        <v>46001</v>
      </c>
      <c r="K176" s="7"/>
      <c r="L176" s="364"/>
      <c r="M176" s="89"/>
      <c r="N176" s="3"/>
      <c r="O176" s="3"/>
    </row>
    <row r="177" spans="1:15" s="78" customFormat="1" ht="19.5" customHeight="1" x14ac:dyDescent="0.4">
      <c r="A177" s="118">
        <v>46041</v>
      </c>
      <c r="B177" s="103" t="s">
        <v>61</v>
      </c>
      <c r="C177" s="115" t="s">
        <v>66</v>
      </c>
      <c r="D177" s="42" t="s">
        <v>195</v>
      </c>
      <c r="E177" s="42"/>
      <c r="F177" s="117">
        <v>13</v>
      </c>
      <c r="G177" s="7">
        <v>1917500</v>
      </c>
      <c r="H177" s="7">
        <f t="shared" si="6"/>
        <v>24927500</v>
      </c>
      <c r="I177" s="141" t="s">
        <v>569</v>
      </c>
      <c r="J177" s="72">
        <v>46008</v>
      </c>
      <c r="K177" s="7"/>
      <c r="L177" s="364"/>
      <c r="M177" s="89"/>
      <c r="N177" s="3"/>
      <c r="O177" s="3"/>
    </row>
    <row r="178" spans="1:15" s="78" customFormat="1" ht="19.5" customHeight="1" x14ac:dyDescent="0.4">
      <c r="A178" s="118">
        <v>46041</v>
      </c>
      <c r="B178" s="103" t="s">
        <v>61</v>
      </c>
      <c r="C178" s="115" t="s">
        <v>204</v>
      </c>
      <c r="D178" s="42" t="s">
        <v>205</v>
      </c>
      <c r="E178" s="42"/>
      <c r="F178" s="117">
        <v>1</v>
      </c>
      <c r="G178" s="7">
        <v>1295000</v>
      </c>
      <c r="H178" s="7">
        <f t="shared" si="6"/>
        <v>1295000</v>
      </c>
      <c r="I178" s="141" t="s">
        <v>569</v>
      </c>
      <c r="J178" s="72">
        <v>46008</v>
      </c>
      <c r="K178" s="7"/>
      <c r="L178" s="364"/>
      <c r="M178" s="89"/>
      <c r="N178" s="3"/>
      <c r="O178" s="3"/>
    </row>
    <row r="179" spans="1:15" s="78" customFormat="1" ht="19.5" customHeight="1" x14ac:dyDescent="0.4">
      <c r="A179" s="118">
        <v>46041</v>
      </c>
      <c r="B179" s="103" t="s">
        <v>61</v>
      </c>
      <c r="C179" s="115" t="s">
        <v>64</v>
      </c>
      <c r="D179" s="42" t="s">
        <v>360</v>
      </c>
      <c r="E179" s="42"/>
      <c r="F179" s="117">
        <v>12</v>
      </c>
      <c r="G179" s="7">
        <v>1431650</v>
      </c>
      <c r="H179" s="7">
        <f t="shared" si="6"/>
        <v>17179800</v>
      </c>
      <c r="I179" s="141" t="s">
        <v>737</v>
      </c>
      <c r="J179" s="72">
        <v>46036</v>
      </c>
      <c r="K179" s="7"/>
      <c r="L179" s="364"/>
      <c r="M179" s="89"/>
      <c r="N179" s="3"/>
      <c r="O179" s="3"/>
    </row>
    <row r="180" spans="1:15" s="78" customFormat="1" ht="19.5" customHeight="1" x14ac:dyDescent="0.4">
      <c r="A180" s="118">
        <v>46041</v>
      </c>
      <c r="B180" s="103" t="s">
        <v>61</v>
      </c>
      <c r="C180" s="115" t="s">
        <v>64</v>
      </c>
      <c r="D180" s="42" t="s">
        <v>98</v>
      </c>
      <c r="E180" s="42"/>
      <c r="F180" s="117">
        <v>12</v>
      </c>
      <c r="G180" s="7">
        <v>1431650</v>
      </c>
      <c r="H180" s="7">
        <f t="shared" si="6"/>
        <v>17179800</v>
      </c>
      <c r="I180" s="141" t="s">
        <v>738</v>
      </c>
      <c r="J180" s="72">
        <v>46050</v>
      </c>
      <c r="K180" s="7"/>
      <c r="L180" s="364"/>
      <c r="M180" s="89"/>
      <c r="N180" s="3"/>
      <c r="O180" s="3"/>
    </row>
    <row r="181" spans="1:15" s="78" customFormat="1" ht="19.5" customHeight="1" x14ac:dyDescent="0.4">
      <c r="A181" s="118">
        <v>46041</v>
      </c>
      <c r="B181" s="103" t="s">
        <v>61</v>
      </c>
      <c r="C181" s="115" t="s">
        <v>64</v>
      </c>
      <c r="D181" s="42" t="s">
        <v>98</v>
      </c>
      <c r="E181" s="42"/>
      <c r="F181" s="117">
        <v>1</v>
      </c>
      <c r="G181" s="7">
        <v>1431650</v>
      </c>
      <c r="H181" s="7">
        <f t="shared" ref="H181:H191" si="7">F181*G181</f>
        <v>1431650</v>
      </c>
      <c r="I181" s="141" t="s">
        <v>739</v>
      </c>
      <c r="J181" s="72">
        <v>46049</v>
      </c>
      <c r="K181" s="7"/>
      <c r="L181" s="364"/>
      <c r="M181" s="89"/>
      <c r="N181" s="3"/>
      <c r="O181" s="3"/>
    </row>
    <row r="182" spans="1:15" s="78" customFormat="1" ht="19.5" customHeight="1" x14ac:dyDescent="0.4">
      <c r="A182" s="118">
        <v>46041</v>
      </c>
      <c r="B182" s="103" t="s">
        <v>61</v>
      </c>
      <c r="C182" s="115" t="s">
        <v>202</v>
      </c>
      <c r="D182" s="42" t="s">
        <v>299</v>
      </c>
      <c r="E182" s="42"/>
      <c r="F182" s="117">
        <v>12</v>
      </c>
      <c r="G182" s="7">
        <v>351500</v>
      </c>
      <c r="H182" s="7">
        <f t="shared" si="7"/>
        <v>4218000</v>
      </c>
      <c r="I182" s="141" t="s">
        <v>737</v>
      </c>
      <c r="J182" s="72">
        <v>46036</v>
      </c>
      <c r="K182" s="7"/>
      <c r="L182" s="364"/>
      <c r="M182" s="89"/>
      <c r="N182" s="3"/>
      <c r="O182" s="3"/>
    </row>
    <row r="183" spans="1:15" s="78" customFormat="1" ht="19.5" customHeight="1" x14ac:dyDescent="0.4">
      <c r="A183" s="118">
        <v>46042</v>
      </c>
      <c r="B183" s="103" t="s">
        <v>61</v>
      </c>
      <c r="C183" s="115" t="s">
        <v>73</v>
      </c>
      <c r="D183" s="42" t="s">
        <v>74</v>
      </c>
      <c r="E183" s="42"/>
      <c r="F183" s="117">
        <v>13</v>
      </c>
      <c r="G183" s="7">
        <v>442000</v>
      </c>
      <c r="H183" s="7">
        <f t="shared" si="7"/>
        <v>5746000</v>
      </c>
      <c r="I183" s="141" t="s">
        <v>568</v>
      </c>
      <c r="J183" s="72">
        <v>46024</v>
      </c>
      <c r="K183" s="7"/>
      <c r="L183" s="364"/>
      <c r="M183" s="89"/>
      <c r="N183" s="3"/>
      <c r="O183" s="3"/>
    </row>
    <row r="184" spans="1:15" s="78" customFormat="1" ht="19.5" customHeight="1" x14ac:dyDescent="0.4">
      <c r="A184" s="118">
        <v>46042</v>
      </c>
      <c r="B184" s="103" t="s">
        <v>61</v>
      </c>
      <c r="C184" s="115" t="s">
        <v>73</v>
      </c>
      <c r="D184" s="42" t="s">
        <v>74</v>
      </c>
      <c r="E184" s="42"/>
      <c r="F184" s="117">
        <v>6</v>
      </c>
      <c r="G184" s="7">
        <v>442000</v>
      </c>
      <c r="H184" s="7">
        <f t="shared" si="7"/>
        <v>2652000</v>
      </c>
      <c r="I184" s="141" t="s">
        <v>732</v>
      </c>
      <c r="J184" s="72">
        <v>46029</v>
      </c>
      <c r="K184" s="7"/>
      <c r="L184" s="364"/>
      <c r="M184" s="89"/>
      <c r="N184" s="3"/>
      <c r="O184" s="3"/>
    </row>
    <row r="185" spans="1:15" s="78" customFormat="1" ht="19.5" customHeight="1" x14ac:dyDescent="0.4">
      <c r="A185" s="118">
        <v>46042</v>
      </c>
      <c r="B185" s="103" t="s">
        <v>61</v>
      </c>
      <c r="C185" s="115" t="s">
        <v>73</v>
      </c>
      <c r="D185" s="42" t="s">
        <v>74</v>
      </c>
      <c r="E185" s="42"/>
      <c r="F185" s="117">
        <v>3</v>
      </c>
      <c r="G185" s="7">
        <v>442000</v>
      </c>
      <c r="H185" s="7">
        <f t="shared" si="7"/>
        <v>1326000</v>
      </c>
      <c r="I185" s="141" t="s">
        <v>740</v>
      </c>
      <c r="J185" s="72">
        <v>46058</v>
      </c>
      <c r="K185" s="7"/>
      <c r="L185" s="364"/>
      <c r="M185" s="89"/>
      <c r="N185" s="3"/>
      <c r="O185" s="3"/>
    </row>
    <row r="186" spans="1:15" s="78" customFormat="1" ht="19.5" customHeight="1" x14ac:dyDescent="0.4">
      <c r="A186" s="118">
        <v>46042</v>
      </c>
      <c r="B186" s="103" t="s">
        <v>61</v>
      </c>
      <c r="C186" s="115" t="s">
        <v>63</v>
      </c>
      <c r="D186" s="42" t="s">
        <v>304</v>
      </c>
      <c r="E186" s="42"/>
      <c r="F186" s="117">
        <v>9</v>
      </c>
      <c r="G186" s="7">
        <v>125400</v>
      </c>
      <c r="H186" s="7">
        <f t="shared" si="7"/>
        <v>1128600</v>
      </c>
      <c r="I186" s="141" t="s">
        <v>525</v>
      </c>
      <c r="J186" s="72">
        <v>45959</v>
      </c>
      <c r="K186" s="7"/>
      <c r="L186" s="364" t="s">
        <v>496</v>
      </c>
      <c r="M186" s="89"/>
      <c r="N186" s="3"/>
      <c r="O186" s="3"/>
    </row>
    <row r="187" spans="1:15" s="78" customFormat="1" ht="19.5" customHeight="1" x14ac:dyDescent="0.4">
      <c r="A187" s="118">
        <v>46042</v>
      </c>
      <c r="B187" s="103" t="s">
        <v>61</v>
      </c>
      <c r="C187" s="115" t="s">
        <v>78</v>
      </c>
      <c r="D187" s="42" t="s">
        <v>303</v>
      </c>
      <c r="E187" s="42"/>
      <c r="F187" s="117">
        <v>12</v>
      </c>
      <c r="G187" s="7">
        <v>82650</v>
      </c>
      <c r="H187" s="7">
        <f t="shared" si="7"/>
        <v>991800</v>
      </c>
      <c r="I187" s="141" t="s">
        <v>737</v>
      </c>
      <c r="J187" s="72">
        <v>46036</v>
      </c>
      <c r="K187" s="7"/>
      <c r="L187" s="364" t="s">
        <v>741</v>
      </c>
      <c r="M187" s="89"/>
      <c r="N187" s="3"/>
      <c r="O187" s="3"/>
    </row>
    <row r="188" spans="1:15" s="78" customFormat="1" ht="19.5" customHeight="1" x14ac:dyDescent="0.4">
      <c r="A188" s="118">
        <v>46042</v>
      </c>
      <c r="B188" s="103" t="s">
        <v>61</v>
      </c>
      <c r="C188" s="115" t="s">
        <v>92</v>
      </c>
      <c r="D188" s="42" t="s">
        <v>363</v>
      </c>
      <c r="E188" s="42"/>
      <c r="F188" s="117">
        <v>6</v>
      </c>
      <c r="G188" s="7">
        <v>348500</v>
      </c>
      <c r="H188" s="7">
        <f t="shared" si="7"/>
        <v>2091000</v>
      </c>
      <c r="I188" s="141" t="s">
        <v>70</v>
      </c>
      <c r="J188" s="72">
        <v>46032</v>
      </c>
      <c r="K188" s="7"/>
      <c r="L188" s="364"/>
      <c r="M188" s="89"/>
      <c r="N188" s="3"/>
      <c r="O188" s="3"/>
    </row>
    <row r="189" spans="1:15" s="78" customFormat="1" ht="19.5" customHeight="1" x14ac:dyDescent="0.4">
      <c r="A189" s="118">
        <v>46042</v>
      </c>
      <c r="B189" s="103" t="s">
        <v>61</v>
      </c>
      <c r="C189" s="115" t="s">
        <v>115</v>
      </c>
      <c r="D189" s="42" t="s">
        <v>742</v>
      </c>
      <c r="E189" s="42"/>
      <c r="F189" s="117">
        <v>1</v>
      </c>
      <c r="G189" s="7">
        <v>186000</v>
      </c>
      <c r="H189" s="7">
        <f t="shared" si="7"/>
        <v>186000</v>
      </c>
      <c r="I189" s="141" t="s">
        <v>70</v>
      </c>
      <c r="J189" s="72">
        <v>46010</v>
      </c>
      <c r="K189" s="7"/>
      <c r="L189" s="364"/>
      <c r="M189" s="89"/>
      <c r="N189" s="3"/>
      <c r="O189" s="3"/>
    </row>
    <row r="190" spans="1:15" s="78" customFormat="1" ht="19.5" customHeight="1" x14ac:dyDescent="0.4">
      <c r="A190" s="118">
        <v>46042</v>
      </c>
      <c r="B190" s="103" t="s">
        <v>61</v>
      </c>
      <c r="C190" s="115" t="s">
        <v>115</v>
      </c>
      <c r="D190" s="42" t="s">
        <v>742</v>
      </c>
      <c r="E190" s="42"/>
      <c r="F190" s="117">
        <v>1</v>
      </c>
      <c r="G190" s="7">
        <v>186000</v>
      </c>
      <c r="H190" s="7">
        <f t="shared" si="7"/>
        <v>186000</v>
      </c>
      <c r="I190" s="141" t="s">
        <v>70</v>
      </c>
      <c r="J190" s="72">
        <v>46038</v>
      </c>
      <c r="K190" s="7"/>
      <c r="L190" s="368"/>
      <c r="M190" s="89"/>
      <c r="N190" s="3"/>
      <c r="O190" s="3"/>
    </row>
    <row r="191" spans="1:15" s="78" customFormat="1" ht="19.5" customHeight="1" x14ac:dyDescent="0.4">
      <c r="A191" s="118">
        <v>46042</v>
      </c>
      <c r="B191" s="103" t="s">
        <v>61</v>
      </c>
      <c r="C191" s="115" t="s">
        <v>115</v>
      </c>
      <c r="D191" s="42" t="s">
        <v>742</v>
      </c>
      <c r="E191" s="42"/>
      <c r="F191" s="117">
        <v>2</v>
      </c>
      <c r="G191" s="7">
        <v>186000</v>
      </c>
      <c r="H191" s="7">
        <f t="shared" si="7"/>
        <v>372000</v>
      </c>
      <c r="I191" s="141" t="s">
        <v>70</v>
      </c>
      <c r="J191" s="72">
        <v>46053</v>
      </c>
      <c r="K191" s="7"/>
      <c r="L191" s="368"/>
      <c r="M191" s="89"/>
      <c r="N191" s="3"/>
      <c r="O191" s="3"/>
    </row>
    <row r="192" spans="1:15" s="78" customFormat="1" ht="19.5" customHeight="1" x14ac:dyDescent="0.4">
      <c r="A192" s="105">
        <v>46043</v>
      </c>
      <c r="B192" s="106" t="s">
        <v>61</v>
      </c>
      <c r="C192" s="192" t="s">
        <v>202</v>
      </c>
      <c r="D192" s="367" t="s">
        <v>203</v>
      </c>
      <c r="E192" s="76"/>
      <c r="F192" s="108">
        <v>1</v>
      </c>
      <c r="G192" s="7">
        <v>384000</v>
      </c>
      <c r="H192" s="7" t="s">
        <v>186</v>
      </c>
      <c r="I192" s="141"/>
      <c r="J192" s="72"/>
      <c r="K192" s="7"/>
      <c r="L192" s="368"/>
      <c r="M192" s="365"/>
    </row>
    <row r="193" spans="1:13" s="78" customFormat="1" ht="19.5" customHeight="1" x14ac:dyDescent="0.4">
      <c r="A193" s="105">
        <v>46048</v>
      </c>
      <c r="B193" s="106" t="s">
        <v>61</v>
      </c>
      <c r="C193" s="192" t="s">
        <v>78</v>
      </c>
      <c r="D193" s="367" t="s">
        <v>743</v>
      </c>
      <c r="E193" s="76"/>
      <c r="F193" s="108">
        <v>3</v>
      </c>
      <c r="G193" s="7">
        <v>90500</v>
      </c>
      <c r="H193" s="7">
        <f t="shared" ref="H193:H219" si="8">F193*G193</f>
        <v>271500</v>
      </c>
      <c r="I193" s="141" t="s">
        <v>740</v>
      </c>
      <c r="J193" s="72">
        <v>46058</v>
      </c>
      <c r="K193" s="7"/>
      <c r="L193" s="368"/>
      <c r="M193" s="365"/>
    </row>
    <row r="194" spans="1:13" s="78" customFormat="1" ht="19.5" customHeight="1" x14ac:dyDescent="0.4">
      <c r="A194" s="105">
        <v>46048</v>
      </c>
      <c r="B194" s="106" t="s">
        <v>61</v>
      </c>
      <c r="C194" s="192" t="s">
        <v>67</v>
      </c>
      <c r="D194" s="367" t="s">
        <v>80</v>
      </c>
      <c r="E194" s="76"/>
      <c r="F194" s="108">
        <v>11</v>
      </c>
      <c r="G194" s="7">
        <v>384000</v>
      </c>
      <c r="H194" s="7">
        <f t="shared" si="8"/>
        <v>4224000</v>
      </c>
      <c r="I194" s="141" t="s">
        <v>568</v>
      </c>
      <c r="J194" s="72">
        <v>46024</v>
      </c>
      <c r="K194" s="7"/>
      <c r="L194" s="368"/>
      <c r="M194" s="365"/>
    </row>
    <row r="195" spans="1:13" s="78" customFormat="1" ht="19.5" customHeight="1" x14ac:dyDescent="0.4">
      <c r="A195" s="105">
        <v>46048</v>
      </c>
      <c r="B195" s="106" t="s">
        <v>61</v>
      </c>
      <c r="C195" s="192" t="s">
        <v>67</v>
      </c>
      <c r="D195" s="367" t="s">
        <v>80</v>
      </c>
      <c r="E195" s="76"/>
      <c r="F195" s="108">
        <v>6</v>
      </c>
      <c r="G195" s="7">
        <v>384000</v>
      </c>
      <c r="H195" s="7">
        <f t="shared" si="8"/>
        <v>2304000</v>
      </c>
      <c r="I195" s="141" t="s">
        <v>732</v>
      </c>
      <c r="J195" s="72">
        <v>46029</v>
      </c>
      <c r="K195" s="7"/>
      <c r="L195" s="368"/>
      <c r="M195" s="365"/>
    </row>
    <row r="196" spans="1:13" s="78" customFormat="1" ht="19.5" customHeight="1" x14ac:dyDescent="0.4">
      <c r="A196" s="105">
        <v>46048</v>
      </c>
      <c r="B196" s="106" t="s">
        <v>61</v>
      </c>
      <c r="C196" s="192" t="s">
        <v>204</v>
      </c>
      <c r="D196" s="367" t="s">
        <v>205</v>
      </c>
      <c r="E196" s="76"/>
      <c r="F196" s="108">
        <v>13</v>
      </c>
      <c r="G196" s="7">
        <v>1295000</v>
      </c>
      <c r="H196" s="7">
        <f t="shared" si="8"/>
        <v>16835000</v>
      </c>
      <c r="I196" s="141" t="s">
        <v>568</v>
      </c>
      <c r="J196" s="72">
        <v>46024</v>
      </c>
      <c r="K196" s="7"/>
      <c r="L196" s="368"/>
      <c r="M196" s="365"/>
    </row>
    <row r="197" spans="1:13" s="78" customFormat="1" ht="19.5" customHeight="1" x14ac:dyDescent="0.4">
      <c r="A197" s="105">
        <v>46048</v>
      </c>
      <c r="B197" s="106" t="s">
        <v>61</v>
      </c>
      <c r="C197" s="192" t="s">
        <v>71</v>
      </c>
      <c r="D197" s="367" t="s">
        <v>207</v>
      </c>
      <c r="E197" s="76"/>
      <c r="F197" s="108">
        <v>2</v>
      </c>
      <c r="G197" s="7">
        <v>520600</v>
      </c>
      <c r="H197" s="7">
        <f t="shared" si="8"/>
        <v>1041200</v>
      </c>
      <c r="I197" s="141" t="s">
        <v>525</v>
      </c>
      <c r="J197" s="72">
        <v>45959</v>
      </c>
      <c r="K197" s="7"/>
      <c r="L197" s="368"/>
      <c r="M197" s="365"/>
    </row>
    <row r="198" spans="1:13" s="78" customFormat="1" ht="19.5" customHeight="1" x14ac:dyDescent="0.4">
      <c r="A198" s="105">
        <v>46048</v>
      </c>
      <c r="B198" s="106" t="s">
        <v>61</v>
      </c>
      <c r="C198" s="192" t="s">
        <v>71</v>
      </c>
      <c r="D198" s="367" t="s">
        <v>287</v>
      </c>
      <c r="E198" s="76"/>
      <c r="F198" s="108">
        <v>4</v>
      </c>
      <c r="G198" s="7">
        <v>520600</v>
      </c>
      <c r="H198" s="7">
        <f t="shared" si="8"/>
        <v>2082400</v>
      </c>
      <c r="I198" s="141" t="s">
        <v>737</v>
      </c>
      <c r="J198" s="72">
        <v>46036</v>
      </c>
      <c r="K198" s="7"/>
      <c r="L198" s="368"/>
      <c r="M198" s="365"/>
    </row>
    <row r="199" spans="1:13" s="78" customFormat="1" ht="19.5" customHeight="1" x14ac:dyDescent="0.4">
      <c r="A199" s="105">
        <v>46048</v>
      </c>
      <c r="B199" s="106" t="s">
        <v>61</v>
      </c>
      <c r="C199" s="192" t="s">
        <v>81</v>
      </c>
      <c r="D199" s="367" t="s">
        <v>219</v>
      </c>
      <c r="E199" s="76"/>
      <c r="F199" s="108">
        <v>12</v>
      </c>
      <c r="G199" s="7">
        <v>78850</v>
      </c>
      <c r="H199" s="7">
        <f t="shared" si="8"/>
        <v>946200</v>
      </c>
      <c r="I199" s="141" t="s">
        <v>737</v>
      </c>
      <c r="J199" s="72">
        <v>46036</v>
      </c>
      <c r="K199" s="7"/>
      <c r="L199" s="368"/>
      <c r="M199" s="365"/>
    </row>
    <row r="200" spans="1:13" s="78" customFormat="1" ht="19.5" customHeight="1" x14ac:dyDescent="0.4">
      <c r="A200" s="105">
        <v>46048</v>
      </c>
      <c r="B200" s="106" t="s">
        <v>61</v>
      </c>
      <c r="C200" s="192" t="s">
        <v>428</v>
      </c>
      <c r="D200" s="367" t="s">
        <v>209</v>
      </c>
      <c r="E200" s="76"/>
      <c r="F200" s="108">
        <v>1</v>
      </c>
      <c r="G200" s="7">
        <v>390000</v>
      </c>
      <c r="H200" s="7">
        <f t="shared" si="8"/>
        <v>390000</v>
      </c>
      <c r="I200" s="141" t="s">
        <v>739</v>
      </c>
      <c r="J200" s="72">
        <v>46049</v>
      </c>
      <c r="K200" s="7"/>
      <c r="L200" s="368"/>
      <c r="M200" s="365"/>
    </row>
    <row r="201" spans="1:13" s="78" customFormat="1" ht="19.5" customHeight="1" x14ac:dyDescent="0.4">
      <c r="A201" s="105">
        <v>46048</v>
      </c>
      <c r="B201" s="106" t="s">
        <v>61</v>
      </c>
      <c r="C201" s="192" t="s">
        <v>63</v>
      </c>
      <c r="D201" s="367" t="s">
        <v>304</v>
      </c>
      <c r="E201" s="76"/>
      <c r="F201" s="108">
        <v>3</v>
      </c>
      <c r="G201" s="7">
        <v>125400</v>
      </c>
      <c r="H201" s="7">
        <f t="shared" si="8"/>
        <v>376200</v>
      </c>
      <c r="I201" s="141" t="s">
        <v>525</v>
      </c>
      <c r="J201" s="72">
        <v>45959</v>
      </c>
      <c r="K201" s="7"/>
      <c r="L201" s="368" t="s">
        <v>744</v>
      </c>
      <c r="M201" s="365"/>
    </row>
    <row r="202" spans="1:13" s="78" customFormat="1" ht="19.5" customHeight="1" x14ac:dyDescent="0.4">
      <c r="A202" s="105">
        <v>46051</v>
      </c>
      <c r="B202" s="106" t="s">
        <v>61</v>
      </c>
      <c r="C202" s="192" t="s">
        <v>118</v>
      </c>
      <c r="D202" s="367" t="s">
        <v>119</v>
      </c>
      <c r="E202" s="76"/>
      <c r="F202" s="108">
        <v>4</v>
      </c>
      <c r="G202" s="7">
        <v>7790000</v>
      </c>
      <c r="H202" s="7">
        <f t="shared" si="8"/>
        <v>31160000</v>
      </c>
      <c r="I202" s="141" t="s">
        <v>120</v>
      </c>
      <c r="J202" s="72">
        <v>46030</v>
      </c>
      <c r="K202" s="7"/>
      <c r="L202" s="368"/>
      <c r="M202" s="365"/>
    </row>
    <row r="203" spans="1:13" s="78" customFormat="1" ht="19.5" customHeight="1" x14ac:dyDescent="0.4">
      <c r="A203" s="105">
        <v>46051</v>
      </c>
      <c r="B203" s="106" t="s">
        <v>61</v>
      </c>
      <c r="C203" s="192" t="s">
        <v>118</v>
      </c>
      <c r="D203" s="367" t="s">
        <v>119</v>
      </c>
      <c r="E203" s="76"/>
      <c r="F203" s="108">
        <v>6</v>
      </c>
      <c r="G203" s="7">
        <v>7790000</v>
      </c>
      <c r="H203" s="7">
        <f t="shared" si="8"/>
        <v>46740000</v>
      </c>
      <c r="I203" s="141" t="s">
        <v>120</v>
      </c>
      <c r="J203" s="72">
        <v>46030</v>
      </c>
      <c r="K203" s="7"/>
      <c r="L203" s="368"/>
      <c r="M203" s="365"/>
    </row>
    <row r="204" spans="1:13" s="78" customFormat="1" ht="19.5" customHeight="1" x14ac:dyDescent="0.4">
      <c r="A204" s="105">
        <v>46051</v>
      </c>
      <c r="B204" s="106" t="s">
        <v>61</v>
      </c>
      <c r="C204" s="192" t="s">
        <v>121</v>
      </c>
      <c r="D204" s="367" t="s">
        <v>362</v>
      </c>
      <c r="E204" s="76"/>
      <c r="F204" s="108">
        <v>1</v>
      </c>
      <c r="G204" s="7">
        <v>7010050</v>
      </c>
      <c r="H204" s="7">
        <f t="shared" si="8"/>
        <v>7010050</v>
      </c>
      <c r="I204" s="141" t="s">
        <v>120</v>
      </c>
      <c r="J204" s="72">
        <v>46030</v>
      </c>
      <c r="K204" s="7"/>
      <c r="L204" s="368"/>
      <c r="M204" s="365"/>
    </row>
    <row r="205" spans="1:13" s="78" customFormat="1" ht="19.5" customHeight="1" x14ac:dyDescent="0.4">
      <c r="A205" s="105">
        <v>46051</v>
      </c>
      <c r="B205" s="106" t="s">
        <v>61</v>
      </c>
      <c r="C205" s="192" t="s">
        <v>562</v>
      </c>
      <c r="D205" s="367" t="s">
        <v>745</v>
      </c>
      <c r="E205" s="76"/>
      <c r="F205" s="108">
        <v>1</v>
      </c>
      <c r="G205" s="7">
        <v>1000000</v>
      </c>
      <c r="H205" s="7">
        <f t="shared" si="8"/>
        <v>1000000</v>
      </c>
      <c r="I205" s="141" t="s">
        <v>70</v>
      </c>
      <c r="J205" s="72">
        <v>46053</v>
      </c>
      <c r="K205" s="7"/>
      <c r="L205" s="368"/>
      <c r="M205" s="365"/>
    </row>
    <row r="206" spans="1:13" s="78" customFormat="1" ht="19.5" customHeight="1" x14ac:dyDescent="0.4">
      <c r="A206" s="105">
        <v>46052</v>
      </c>
      <c r="B206" s="106" t="s">
        <v>61</v>
      </c>
      <c r="C206" s="192" t="s">
        <v>449</v>
      </c>
      <c r="D206" s="367" t="s">
        <v>450</v>
      </c>
      <c r="E206" s="76"/>
      <c r="F206" s="108">
        <v>10</v>
      </c>
      <c r="G206" s="7">
        <v>2025000</v>
      </c>
      <c r="H206" s="7">
        <f t="shared" si="8"/>
        <v>20250000</v>
      </c>
      <c r="I206" s="141" t="s">
        <v>120</v>
      </c>
      <c r="J206" s="72">
        <v>45999</v>
      </c>
      <c r="K206" s="7"/>
      <c r="L206" s="368"/>
      <c r="M206" s="365"/>
    </row>
    <row r="207" spans="1:13" s="78" customFormat="1" ht="19.5" customHeight="1" x14ac:dyDescent="0.4">
      <c r="A207" s="105">
        <v>46052</v>
      </c>
      <c r="B207" s="106" t="s">
        <v>61</v>
      </c>
      <c r="C207" s="192" t="s">
        <v>118</v>
      </c>
      <c r="D207" s="367" t="s">
        <v>119</v>
      </c>
      <c r="E207" s="76"/>
      <c r="F207" s="108">
        <v>6</v>
      </c>
      <c r="G207" s="7">
        <v>7790000</v>
      </c>
      <c r="H207" s="7">
        <f t="shared" si="8"/>
        <v>46740000</v>
      </c>
      <c r="I207" s="141" t="s">
        <v>120</v>
      </c>
      <c r="J207" s="72">
        <v>46030</v>
      </c>
      <c r="K207" s="7"/>
      <c r="L207" s="368"/>
      <c r="M207" s="365"/>
    </row>
    <row r="208" spans="1:13" s="78" customFormat="1" ht="19.5" customHeight="1" x14ac:dyDescent="0.4">
      <c r="A208" s="105">
        <v>46052</v>
      </c>
      <c r="B208" s="106" t="s">
        <v>61</v>
      </c>
      <c r="C208" s="192" t="s">
        <v>118</v>
      </c>
      <c r="D208" s="367" t="s">
        <v>119</v>
      </c>
      <c r="E208" s="76"/>
      <c r="F208" s="108">
        <v>9</v>
      </c>
      <c r="G208" s="7">
        <v>7790000</v>
      </c>
      <c r="H208" s="7">
        <f t="shared" si="8"/>
        <v>70110000</v>
      </c>
      <c r="I208" s="141" t="s">
        <v>120</v>
      </c>
      <c r="J208" s="72">
        <v>46030</v>
      </c>
      <c r="K208" s="7"/>
      <c r="L208" s="368"/>
      <c r="M208" s="365"/>
    </row>
    <row r="209" spans="1:13" s="78" customFormat="1" ht="19.5" customHeight="1" x14ac:dyDescent="0.4">
      <c r="A209" s="105">
        <v>46052</v>
      </c>
      <c r="B209" s="106" t="s">
        <v>61</v>
      </c>
      <c r="C209" s="192" t="s">
        <v>416</v>
      </c>
      <c r="D209" s="367" t="s">
        <v>417</v>
      </c>
      <c r="E209" s="76"/>
      <c r="F209" s="108">
        <v>2</v>
      </c>
      <c r="G209" s="7">
        <v>251000</v>
      </c>
      <c r="H209" s="7">
        <f t="shared" si="8"/>
        <v>502000</v>
      </c>
      <c r="I209" s="141" t="s">
        <v>70</v>
      </c>
      <c r="J209" s="72">
        <v>46006</v>
      </c>
      <c r="K209" s="7"/>
      <c r="L209" s="368"/>
      <c r="M209" s="365"/>
    </row>
    <row r="210" spans="1:13" s="78" customFormat="1" ht="19.5" customHeight="1" x14ac:dyDescent="0.4">
      <c r="A210" s="105">
        <v>46052</v>
      </c>
      <c r="B210" s="106" t="s">
        <v>61</v>
      </c>
      <c r="C210" s="192" t="s">
        <v>71</v>
      </c>
      <c r="D210" s="367" t="s">
        <v>72</v>
      </c>
      <c r="E210" s="76"/>
      <c r="F210" s="108">
        <v>10</v>
      </c>
      <c r="G210" s="7">
        <v>548000</v>
      </c>
      <c r="H210" s="7">
        <f t="shared" si="8"/>
        <v>5480000</v>
      </c>
      <c r="I210" s="141" t="s">
        <v>568</v>
      </c>
      <c r="J210" s="72">
        <v>46024</v>
      </c>
      <c r="K210" s="7"/>
      <c r="L210" s="368"/>
      <c r="M210" s="365"/>
    </row>
    <row r="211" spans="1:13" s="78" customFormat="1" ht="19.5" customHeight="1" x14ac:dyDescent="0.4">
      <c r="A211" s="105">
        <v>46052</v>
      </c>
      <c r="B211" s="106" t="s">
        <v>61</v>
      </c>
      <c r="C211" s="192" t="s">
        <v>71</v>
      </c>
      <c r="D211" s="367" t="s">
        <v>72</v>
      </c>
      <c r="E211" s="76"/>
      <c r="F211" s="108">
        <v>6</v>
      </c>
      <c r="G211" s="7">
        <v>548000</v>
      </c>
      <c r="H211" s="7">
        <f t="shared" si="8"/>
        <v>3288000</v>
      </c>
      <c r="I211" s="141" t="s">
        <v>732</v>
      </c>
      <c r="J211" s="72">
        <v>46029</v>
      </c>
      <c r="K211" s="7"/>
      <c r="L211" s="368"/>
      <c r="M211" s="365"/>
    </row>
    <row r="212" spans="1:13" s="78" customFormat="1" ht="19.5" customHeight="1" x14ac:dyDescent="0.4">
      <c r="A212" s="105">
        <v>46052</v>
      </c>
      <c r="B212" s="106" t="s">
        <v>61</v>
      </c>
      <c r="C212" s="192" t="s">
        <v>71</v>
      </c>
      <c r="D212" s="367" t="s">
        <v>72</v>
      </c>
      <c r="E212" s="76"/>
      <c r="F212" s="108">
        <v>3</v>
      </c>
      <c r="G212" s="7">
        <v>548000</v>
      </c>
      <c r="H212" s="7">
        <f t="shared" si="8"/>
        <v>1644000</v>
      </c>
      <c r="I212" s="141" t="s">
        <v>740</v>
      </c>
      <c r="J212" s="72">
        <v>46058</v>
      </c>
      <c r="K212" s="7"/>
      <c r="L212" s="368"/>
      <c r="M212" s="365"/>
    </row>
    <row r="213" spans="1:13" s="78" customFormat="1" ht="19.5" customHeight="1" x14ac:dyDescent="0.4">
      <c r="A213" s="105">
        <v>46052</v>
      </c>
      <c r="B213" s="106" t="s">
        <v>61</v>
      </c>
      <c r="C213" s="192" t="s">
        <v>67</v>
      </c>
      <c r="D213" s="367" t="s">
        <v>80</v>
      </c>
      <c r="E213" s="76"/>
      <c r="F213" s="108">
        <v>2</v>
      </c>
      <c r="G213" s="7">
        <v>384000</v>
      </c>
      <c r="H213" s="7">
        <f t="shared" si="8"/>
        <v>768000</v>
      </c>
      <c r="I213" s="141" t="s">
        <v>568</v>
      </c>
      <c r="J213" s="72">
        <v>46024</v>
      </c>
      <c r="K213" s="7"/>
      <c r="L213" s="368"/>
      <c r="M213" s="365"/>
    </row>
    <row r="214" spans="1:13" s="78" customFormat="1" ht="19.5" customHeight="1" x14ac:dyDescent="0.4">
      <c r="A214" s="105">
        <v>46052</v>
      </c>
      <c r="B214" s="106" t="s">
        <v>61</v>
      </c>
      <c r="C214" s="192" t="s">
        <v>746</v>
      </c>
      <c r="D214" s="367" t="s">
        <v>80</v>
      </c>
      <c r="E214" s="76"/>
      <c r="F214" s="108">
        <v>3</v>
      </c>
      <c r="G214" s="7">
        <v>384000</v>
      </c>
      <c r="H214" s="7">
        <f t="shared" si="8"/>
        <v>1152000</v>
      </c>
      <c r="I214" s="141" t="s">
        <v>740</v>
      </c>
      <c r="J214" s="72">
        <v>46058</v>
      </c>
      <c r="K214" s="7"/>
      <c r="L214" s="368"/>
      <c r="M214" s="365"/>
    </row>
    <row r="215" spans="1:13" s="78" customFormat="1" ht="19.5" customHeight="1" x14ac:dyDescent="0.4">
      <c r="A215" s="105">
        <v>46052</v>
      </c>
      <c r="B215" s="106" t="s">
        <v>61</v>
      </c>
      <c r="C215" s="192" t="s">
        <v>62</v>
      </c>
      <c r="D215" s="367" t="s">
        <v>75</v>
      </c>
      <c r="E215" s="76"/>
      <c r="F215" s="108">
        <v>4</v>
      </c>
      <c r="G215" s="7">
        <v>442000</v>
      </c>
      <c r="H215" s="7">
        <f t="shared" si="8"/>
        <v>1768000</v>
      </c>
      <c r="I215" s="141" t="s">
        <v>568</v>
      </c>
      <c r="J215" s="72">
        <v>46024</v>
      </c>
      <c r="K215" s="7"/>
      <c r="L215" s="368"/>
      <c r="M215" s="365"/>
    </row>
    <row r="216" spans="1:13" s="78" customFormat="1" ht="19.5" customHeight="1" x14ac:dyDescent="0.4">
      <c r="A216" s="105">
        <v>46052</v>
      </c>
      <c r="B216" s="106" t="s">
        <v>61</v>
      </c>
      <c r="C216" s="192" t="s">
        <v>66</v>
      </c>
      <c r="D216" s="367" t="s">
        <v>357</v>
      </c>
      <c r="E216" s="76"/>
      <c r="F216" s="108">
        <v>4</v>
      </c>
      <c r="G216" s="7">
        <v>1766050</v>
      </c>
      <c r="H216" s="7">
        <f t="shared" si="8"/>
        <v>7064200</v>
      </c>
      <c r="I216" s="141" t="s">
        <v>737</v>
      </c>
      <c r="J216" s="72">
        <v>46036</v>
      </c>
      <c r="K216" s="7"/>
      <c r="L216" s="369"/>
      <c r="M216" s="365"/>
    </row>
    <row r="217" spans="1:13" s="78" customFormat="1" ht="19.5" customHeight="1" x14ac:dyDescent="0.4">
      <c r="A217" s="105">
        <v>46052</v>
      </c>
      <c r="B217" s="106" t="s">
        <v>61</v>
      </c>
      <c r="C217" s="192" t="s">
        <v>78</v>
      </c>
      <c r="D217" s="367" t="s">
        <v>303</v>
      </c>
      <c r="E217" s="76"/>
      <c r="F217" s="108">
        <v>11</v>
      </c>
      <c r="G217" s="7">
        <v>82650</v>
      </c>
      <c r="H217" s="7">
        <f t="shared" si="8"/>
        <v>909150</v>
      </c>
      <c r="I217" s="141" t="s">
        <v>738</v>
      </c>
      <c r="J217" s="72">
        <v>46050</v>
      </c>
      <c r="K217" s="7"/>
      <c r="L217" s="368" t="s">
        <v>747</v>
      </c>
      <c r="M217" s="365"/>
    </row>
    <row r="218" spans="1:13" s="78" customFormat="1" ht="19.5" customHeight="1" x14ac:dyDescent="0.4">
      <c r="A218" s="105">
        <v>46052</v>
      </c>
      <c r="B218" s="106" t="s">
        <v>61</v>
      </c>
      <c r="C218" s="192" t="s">
        <v>67</v>
      </c>
      <c r="D218" s="367" t="s">
        <v>292</v>
      </c>
      <c r="E218" s="76"/>
      <c r="F218" s="108">
        <v>10</v>
      </c>
      <c r="G218" s="7">
        <v>364800</v>
      </c>
      <c r="H218" s="7">
        <f t="shared" si="8"/>
        <v>3648000</v>
      </c>
      <c r="I218" s="141" t="s">
        <v>738</v>
      </c>
      <c r="J218" s="72">
        <v>46050</v>
      </c>
      <c r="K218" s="7"/>
      <c r="L218" s="368"/>
      <c r="M218" s="365"/>
    </row>
    <row r="219" spans="1:13" s="78" customFormat="1" ht="19.5" customHeight="1" x14ac:dyDescent="0.4">
      <c r="A219" s="105">
        <v>46052</v>
      </c>
      <c r="B219" s="106" t="s">
        <v>61</v>
      </c>
      <c r="C219" s="192" t="s">
        <v>73</v>
      </c>
      <c r="D219" s="367" t="s">
        <v>208</v>
      </c>
      <c r="E219" s="76"/>
      <c r="F219" s="108">
        <v>12</v>
      </c>
      <c r="G219" s="7">
        <v>390000</v>
      </c>
      <c r="H219" s="7">
        <f t="shared" si="8"/>
        <v>4680000</v>
      </c>
      <c r="I219" s="141" t="s">
        <v>737</v>
      </c>
      <c r="J219" s="72">
        <v>46036</v>
      </c>
      <c r="K219" s="7"/>
      <c r="L219" s="368"/>
      <c r="M219" s="365"/>
    </row>
    <row r="220" spans="1:13" s="261" customFormat="1" ht="19.5" customHeight="1" x14ac:dyDescent="0.4">
      <c r="A220" s="248">
        <v>46022</v>
      </c>
      <c r="B220" s="240" t="s">
        <v>218</v>
      </c>
      <c r="C220" s="259" t="s">
        <v>32</v>
      </c>
      <c r="D220" s="257" t="s">
        <v>624</v>
      </c>
      <c r="E220" s="257" t="s">
        <v>13</v>
      </c>
      <c r="F220" s="259">
        <v>2</v>
      </c>
      <c r="G220" s="259">
        <v>440000</v>
      </c>
      <c r="H220" s="259">
        <f t="shared" ref="H220:H229" si="9">F220*G220</f>
        <v>880000</v>
      </c>
      <c r="I220" s="263" t="s">
        <v>834</v>
      </c>
      <c r="J220" s="260"/>
      <c r="K220" s="258" t="s">
        <v>706</v>
      </c>
      <c r="L220" s="258"/>
    </row>
    <row r="221" spans="1:13" s="261" customFormat="1" ht="19.5" customHeight="1" x14ac:dyDescent="0.4">
      <c r="A221" s="248">
        <v>46022</v>
      </c>
      <c r="B221" s="240" t="s">
        <v>218</v>
      </c>
      <c r="C221" s="259" t="s">
        <v>105</v>
      </c>
      <c r="D221" s="257" t="s">
        <v>625</v>
      </c>
      <c r="E221" s="257" t="s">
        <v>13</v>
      </c>
      <c r="F221" s="259">
        <v>3</v>
      </c>
      <c r="G221" s="259">
        <v>1168000</v>
      </c>
      <c r="H221" s="259">
        <f t="shared" si="9"/>
        <v>3504000</v>
      </c>
      <c r="I221" s="263" t="s">
        <v>834</v>
      </c>
      <c r="J221" s="260"/>
      <c r="K221" s="258" t="s">
        <v>706</v>
      </c>
      <c r="L221" s="258"/>
    </row>
    <row r="222" spans="1:13" s="3" customFormat="1" ht="19.5" customHeight="1" x14ac:dyDescent="0.4">
      <c r="A222" s="118">
        <v>46031</v>
      </c>
      <c r="B222" s="103" t="s">
        <v>61</v>
      </c>
      <c r="C222" s="115" t="s">
        <v>403</v>
      </c>
      <c r="D222" s="42" t="s">
        <v>526</v>
      </c>
      <c r="E222" s="42"/>
      <c r="F222" s="117">
        <v>1</v>
      </c>
      <c r="G222" s="7">
        <v>407000</v>
      </c>
      <c r="H222" s="407">
        <f t="shared" si="9"/>
        <v>407000</v>
      </c>
      <c r="I222" s="142" t="s">
        <v>848</v>
      </c>
      <c r="J222" s="72">
        <v>45889</v>
      </c>
      <c r="K222" s="7"/>
      <c r="L222" s="364"/>
      <c r="M222" s="89"/>
    </row>
    <row r="223" spans="1:13" s="3" customFormat="1" ht="19.5" customHeight="1" x14ac:dyDescent="0.4">
      <c r="A223" s="118">
        <v>46031</v>
      </c>
      <c r="B223" s="103" t="s">
        <v>61</v>
      </c>
      <c r="C223" s="115" t="s">
        <v>405</v>
      </c>
      <c r="D223" s="42" t="s">
        <v>528</v>
      </c>
      <c r="E223" s="42"/>
      <c r="F223" s="117">
        <v>1</v>
      </c>
      <c r="G223" s="7">
        <v>353000</v>
      </c>
      <c r="H223" s="407">
        <f t="shared" si="9"/>
        <v>353000</v>
      </c>
      <c r="I223" s="142" t="s">
        <v>848</v>
      </c>
      <c r="J223" s="72">
        <v>45889</v>
      </c>
      <c r="K223" s="7"/>
      <c r="L223" s="364"/>
      <c r="M223" s="89"/>
    </row>
    <row r="224" spans="1:13" s="3" customFormat="1" ht="19.5" customHeight="1" x14ac:dyDescent="0.4">
      <c r="A224" s="118">
        <v>46031</v>
      </c>
      <c r="B224" s="103" t="s">
        <v>61</v>
      </c>
      <c r="C224" s="115" t="s">
        <v>425</v>
      </c>
      <c r="D224" s="42" t="s">
        <v>529</v>
      </c>
      <c r="E224" s="42"/>
      <c r="F224" s="117">
        <v>1</v>
      </c>
      <c r="G224" s="7">
        <v>1315000</v>
      </c>
      <c r="H224" s="407">
        <f t="shared" si="9"/>
        <v>1315000</v>
      </c>
      <c r="I224" s="142" t="s">
        <v>848</v>
      </c>
      <c r="J224" s="72">
        <v>45889</v>
      </c>
      <c r="K224" s="7"/>
      <c r="L224" s="364"/>
      <c r="M224" s="89"/>
    </row>
    <row r="225" spans="1:13" s="3" customFormat="1" ht="19.5" customHeight="1" x14ac:dyDescent="0.4">
      <c r="A225" s="118">
        <v>46031</v>
      </c>
      <c r="B225" s="103" t="s">
        <v>61</v>
      </c>
      <c r="C225" s="115" t="s">
        <v>407</v>
      </c>
      <c r="D225" s="42" t="s">
        <v>531</v>
      </c>
      <c r="E225" s="42"/>
      <c r="F225" s="117">
        <v>1</v>
      </c>
      <c r="G225" s="7">
        <v>239000</v>
      </c>
      <c r="H225" s="407">
        <f t="shared" si="9"/>
        <v>239000</v>
      </c>
      <c r="I225" s="142" t="s">
        <v>848</v>
      </c>
      <c r="J225" s="72">
        <v>45889</v>
      </c>
      <c r="K225" s="7"/>
      <c r="L225" s="364"/>
      <c r="M225" s="89"/>
    </row>
    <row r="226" spans="1:13" s="3" customFormat="1" ht="19.5" customHeight="1" x14ac:dyDescent="0.4">
      <c r="A226" s="118">
        <v>46031</v>
      </c>
      <c r="B226" s="103" t="s">
        <v>61</v>
      </c>
      <c r="C226" s="115" t="s">
        <v>412</v>
      </c>
      <c r="D226" s="42" t="s">
        <v>533</v>
      </c>
      <c r="E226" s="42"/>
      <c r="F226" s="117">
        <v>1</v>
      </c>
      <c r="G226" s="7">
        <v>1388900</v>
      </c>
      <c r="H226" s="407">
        <f t="shared" si="9"/>
        <v>1388900</v>
      </c>
      <c r="I226" s="142" t="s">
        <v>848</v>
      </c>
      <c r="J226" s="72">
        <v>45889</v>
      </c>
      <c r="K226" s="7"/>
      <c r="L226" s="364"/>
      <c r="M226" s="89"/>
    </row>
    <row r="227" spans="1:13" s="3" customFormat="1" ht="19.5" customHeight="1" x14ac:dyDescent="0.4">
      <c r="A227" s="118">
        <v>46031</v>
      </c>
      <c r="B227" s="103" t="s">
        <v>61</v>
      </c>
      <c r="C227" s="115" t="s">
        <v>427</v>
      </c>
      <c r="D227" s="42" t="s">
        <v>534</v>
      </c>
      <c r="E227" s="42"/>
      <c r="F227" s="117">
        <v>1</v>
      </c>
      <c r="G227" s="7">
        <v>230000</v>
      </c>
      <c r="H227" s="407">
        <f t="shared" si="9"/>
        <v>230000</v>
      </c>
      <c r="I227" s="142" t="s">
        <v>848</v>
      </c>
      <c r="J227" s="72">
        <v>45889</v>
      </c>
      <c r="K227" s="7"/>
      <c r="L227" s="364"/>
      <c r="M227" s="89"/>
    </row>
    <row r="228" spans="1:13" s="3" customFormat="1" ht="19.5" customHeight="1" x14ac:dyDescent="0.4">
      <c r="A228" s="118">
        <v>46031</v>
      </c>
      <c r="B228" s="103" t="s">
        <v>61</v>
      </c>
      <c r="C228" s="115" t="s">
        <v>409</v>
      </c>
      <c r="D228" s="42" t="s">
        <v>535</v>
      </c>
      <c r="E228" s="42"/>
      <c r="F228" s="117">
        <v>1</v>
      </c>
      <c r="G228" s="7">
        <v>187000</v>
      </c>
      <c r="H228" s="407">
        <f t="shared" si="9"/>
        <v>187000</v>
      </c>
      <c r="I228" s="142" t="s">
        <v>848</v>
      </c>
      <c r="J228" s="72">
        <v>45889</v>
      </c>
      <c r="K228" s="7"/>
      <c r="L228" s="364"/>
      <c r="M228" s="89"/>
    </row>
    <row r="229" spans="1:13" s="3" customFormat="1" ht="19.5" customHeight="1" x14ac:dyDescent="0.4">
      <c r="A229" s="118">
        <v>46031</v>
      </c>
      <c r="B229" s="103" t="s">
        <v>61</v>
      </c>
      <c r="C229" s="115" t="s">
        <v>411</v>
      </c>
      <c r="D229" s="42" t="s">
        <v>536</v>
      </c>
      <c r="E229" s="42"/>
      <c r="F229" s="117">
        <v>1</v>
      </c>
      <c r="G229" s="7">
        <v>226000</v>
      </c>
      <c r="H229" s="407">
        <f t="shared" si="9"/>
        <v>226000</v>
      </c>
      <c r="I229" s="142" t="s">
        <v>848</v>
      </c>
      <c r="J229" s="72">
        <v>45889</v>
      </c>
      <c r="K229" s="7"/>
      <c r="L229" s="364"/>
      <c r="M229" s="89"/>
    </row>
    <row r="230" spans="1:13" s="3" customFormat="1" ht="19.5" customHeight="1" x14ac:dyDescent="0.4">
      <c r="A230" s="193"/>
      <c r="B230" s="194"/>
      <c r="C230" s="40"/>
      <c r="D230" s="194"/>
      <c r="E230" s="194"/>
      <c r="F230" s="91">
        <f>SUM(F117:F166)</f>
        <v>211</v>
      </c>
      <c r="G230" s="138"/>
      <c r="H230" s="138">
        <f>SUM(H115:H219)</f>
        <v>601944250</v>
      </c>
      <c r="I230" s="138"/>
      <c r="J230" s="145"/>
      <c r="K230" s="145"/>
      <c r="L230" s="370"/>
      <c r="M230" s="89"/>
    </row>
    <row r="231" spans="1:13" s="3" customFormat="1" ht="19.5" customHeight="1" x14ac:dyDescent="0.4">
      <c r="A231" s="190">
        <v>46042</v>
      </c>
      <c r="B231" s="103" t="s">
        <v>221</v>
      </c>
      <c r="C231" s="29" t="s">
        <v>308</v>
      </c>
      <c r="D231" s="110" t="s">
        <v>748</v>
      </c>
      <c r="E231" s="110"/>
      <c r="F231" s="81">
        <v>18</v>
      </c>
      <c r="G231" s="49">
        <v>114000</v>
      </c>
      <c r="H231" s="7">
        <f>F231*G231</f>
        <v>2052000</v>
      </c>
      <c r="I231" s="49" t="s">
        <v>574</v>
      </c>
      <c r="J231" s="109">
        <v>45979</v>
      </c>
      <c r="K231" s="144"/>
      <c r="L231" s="144" t="s">
        <v>496</v>
      </c>
      <c r="M231" s="89"/>
    </row>
    <row r="232" spans="1:13" s="3" customFormat="1" ht="19.5" customHeight="1" x14ac:dyDescent="0.4">
      <c r="A232" s="190">
        <v>46042</v>
      </c>
      <c r="B232" s="103" t="s">
        <v>221</v>
      </c>
      <c r="C232" s="29" t="s">
        <v>123</v>
      </c>
      <c r="D232" s="110" t="s">
        <v>124</v>
      </c>
      <c r="E232" s="110" t="s">
        <v>201</v>
      </c>
      <c r="F232" s="81">
        <v>12</v>
      </c>
      <c r="G232" s="49">
        <v>155840</v>
      </c>
      <c r="H232" s="7">
        <f>F232*G232</f>
        <v>1870080</v>
      </c>
      <c r="I232" s="49" t="s">
        <v>365</v>
      </c>
      <c r="J232" s="109">
        <v>46052</v>
      </c>
      <c r="K232" s="144"/>
      <c r="L232" s="144"/>
      <c r="M232" s="89"/>
    </row>
    <row r="233" spans="1:13" s="3" customFormat="1" ht="19.5" customHeight="1" x14ac:dyDescent="0.4">
      <c r="A233" s="193"/>
      <c r="B233" s="194"/>
      <c r="C233" s="40"/>
      <c r="D233" s="194"/>
      <c r="E233" s="194"/>
      <c r="F233" s="91"/>
      <c r="G233" s="138"/>
      <c r="H233" s="138">
        <f>SUM(H231:H232)</f>
        <v>3922080</v>
      </c>
      <c r="I233" s="138"/>
      <c r="J233" s="145"/>
      <c r="K233" s="145"/>
      <c r="L233" s="145"/>
      <c r="M233" s="89"/>
    </row>
    <row r="234" spans="1:13" s="19" customFormat="1" ht="19.5" customHeight="1" x14ac:dyDescent="0.4">
      <c r="A234" s="4">
        <v>46017</v>
      </c>
      <c r="B234" s="5" t="s">
        <v>128</v>
      </c>
      <c r="C234" s="236" t="s">
        <v>129</v>
      </c>
      <c r="D234" s="1" t="s">
        <v>130</v>
      </c>
      <c r="E234" s="1" t="s">
        <v>131</v>
      </c>
      <c r="F234" s="267">
        <v>12</v>
      </c>
      <c r="G234" s="228">
        <v>52326</v>
      </c>
      <c r="H234" s="275">
        <f t="shared" ref="H234:H275" si="10">F234*G234</f>
        <v>627912</v>
      </c>
      <c r="I234" s="268"/>
      <c r="J234" s="41"/>
      <c r="K234" s="41"/>
      <c r="L234" s="272"/>
      <c r="M234" s="270"/>
    </row>
    <row r="235" spans="1:13" s="19" customFormat="1" ht="19.5" customHeight="1" x14ac:dyDescent="0.4">
      <c r="A235" s="4">
        <v>46022</v>
      </c>
      <c r="B235" s="5" t="s">
        <v>128</v>
      </c>
      <c r="C235" s="236" t="s">
        <v>132</v>
      </c>
      <c r="D235" s="1" t="s">
        <v>133</v>
      </c>
      <c r="E235" s="1" t="s">
        <v>13</v>
      </c>
      <c r="F235" s="267">
        <v>10</v>
      </c>
      <c r="G235" s="228">
        <v>3225880</v>
      </c>
      <c r="H235" s="275">
        <f t="shared" si="10"/>
        <v>32258800</v>
      </c>
      <c r="I235" s="268"/>
      <c r="J235" s="41"/>
      <c r="K235" s="41"/>
      <c r="L235" s="272"/>
      <c r="M235" s="270"/>
    </row>
    <row r="236" spans="1:13" s="19" customFormat="1" ht="19.5" customHeight="1" x14ac:dyDescent="0.4">
      <c r="A236" s="4">
        <v>46022</v>
      </c>
      <c r="B236" s="5" t="s">
        <v>128</v>
      </c>
      <c r="C236" s="236" t="s">
        <v>367</v>
      </c>
      <c r="D236" s="1" t="s">
        <v>368</v>
      </c>
      <c r="E236" s="1" t="s">
        <v>17</v>
      </c>
      <c r="F236" s="267">
        <v>154</v>
      </c>
      <c r="G236" s="228">
        <v>96490</v>
      </c>
      <c r="H236" s="275">
        <f t="shared" si="10"/>
        <v>14859460</v>
      </c>
      <c r="I236" s="268"/>
      <c r="J236" s="41"/>
      <c r="K236" s="41"/>
      <c r="L236" s="272"/>
      <c r="M236" s="270"/>
    </row>
    <row r="237" spans="1:13" s="19" customFormat="1" ht="19.5" customHeight="1" x14ac:dyDescent="0.4">
      <c r="A237" s="4">
        <v>46022</v>
      </c>
      <c r="B237" s="5" t="s">
        <v>128</v>
      </c>
      <c r="C237" s="236" t="s">
        <v>388</v>
      </c>
      <c r="D237" s="1" t="s">
        <v>389</v>
      </c>
      <c r="E237" s="1" t="s">
        <v>17</v>
      </c>
      <c r="F237" s="267">
        <v>25</v>
      </c>
      <c r="G237" s="228">
        <v>283020</v>
      </c>
      <c r="H237" s="275">
        <f t="shared" si="10"/>
        <v>7075500</v>
      </c>
      <c r="I237" s="268"/>
      <c r="J237" s="41"/>
      <c r="K237" s="41"/>
      <c r="L237" s="272"/>
      <c r="M237" s="270"/>
    </row>
    <row r="238" spans="1:13" s="19" customFormat="1" ht="19.5" customHeight="1" x14ac:dyDescent="0.4">
      <c r="A238" s="4">
        <v>46022</v>
      </c>
      <c r="B238" s="5" t="s">
        <v>128</v>
      </c>
      <c r="C238" s="236" t="s">
        <v>228</v>
      </c>
      <c r="D238" s="1" t="s">
        <v>382</v>
      </c>
      <c r="E238" s="1" t="s">
        <v>17</v>
      </c>
      <c r="F238" s="267">
        <v>20</v>
      </c>
      <c r="G238" s="228">
        <v>399640</v>
      </c>
      <c r="H238" s="275">
        <f t="shared" si="10"/>
        <v>7992800</v>
      </c>
      <c r="I238" s="268"/>
      <c r="J238" s="41"/>
      <c r="K238" s="41"/>
      <c r="L238" s="272"/>
      <c r="M238" s="270"/>
    </row>
    <row r="239" spans="1:13" s="19" customFormat="1" ht="19.5" customHeight="1" x14ac:dyDescent="0.4">
      <c r="A239" s="4">
        <v>46022</v>
      </c>
      <c r="B239" s="5" t="s">
        <v>128</v>
      </c>
      <c r="C239" s="236" t="s">
        <v>458</v>
      </c>
      <c r="D239" s="1" t="s">
        <v>630</v>
      </c>
      <c r="E239" s="1" t="s">
        <v>127</v>
      </c>
      <c r="F239" s="267">
        <v>42</v>
      </c>
      <c r="G239" s="228">
        <v>70100</v>
      </c>
      <c r="H239" s="275">
        <f t="shared" si="10"/>
        <v>2944200</v>
      </c>
      <c r="I239" s="268"/>
      <c r="J239" s="41"/>
      <c r="K239" s="41"/>
      <c r="L239" s="272"/>
      <c r="M239" s="270"/>
    </row>
    <row r="240" spans="1:13" s="19" customFormat="1" ht="19.5" customHeight="1" x14ac:dyDescent="0.4">
      <c r="A240" s="4">
        <v>46022</v>
      </c>
      <c r="B240" s="5" t="s">
        <v>128</v>
      </c>
      <c r="C240" s="236" t="s">
        <v>225</v>
      </c>
      <c r="D240" s="1" t="s">
        <v>631</v>
      </c>
      <c r="E240" s="1" t="s">
        <v>127</v>
      </c>
      <c r="F240" s="267">
        <v>100</v>
      </c>
      <c r="G240" s="228">
        <v>10850</v>
      </c>
      <c r="H240" s="275">
        <f t="shared" si="10"/>
        <v>1085000</v>
      </c>
      <c r="I240" s="268"/>
      <c r="J240" s="41"/>
      <c r="K240" s="41"/>
      <c r="L240" s="272"/>
      <c r="M240" s="270"/>
    </row>
    <row r="241" spans="1:13" s="19" customFormat="1" ht="19.5" customHeight="1" x14ac:dyDescent="0.4">
      <c r="A241" s="4">
        <v>46022</v>
      </c>
      <c r="B241" s="5" t="s">
        <v>128</v>
      </c>
      <c r="C241" s="236" t="s">
        <v>383</v>
      </c>
      <c r="D241" s="1" t="s">
        <v>384</v>
      </c>
      <c r="E241" s="1" t="s">
        <v>127</v>
      </c>
      <c r="F241" s="267">
        <v>25</v>
      </c>
      <c r="G241" s="228">
        <v>85440</v>
      </c>
      <c r="H241" s="275">
        <f t="shared" si="10"/>
        <v>2136000</v>
      </c>
      <c r="I241" s="268"/>
      <c r="J241" s="41"/>
      <c r="K241" s="41"/>
      <c r="L241" s="272"/>
      <c r="M241" s="270"/>
    </row>
    <row r="242" spans="1:13" s="19" customFormat="1" ht="19.5" customHeight="1" x14ac:dyDescent="0.4">
      <c r="A242" s="4">
        <v>46022</v>
      </c>
      <c r="B242" s="5" t="s">
        <v>128</v>
      </c>
      <c r="C242" s="236" t="s">
        <v>226</v>
      </c>
      <c r="D242" s="1" t="s">
        <v>227</v>
      </c>
      <c r="E242" s="1" t="s">
        <v>11</v>
      </c>
      <c r="F242" s="267">
        <v>50</v>
      </c>
      <c r="G242" s="228">
        <v>28990</v>
      </c>
      <c r="H242" s="275">
        <f t="shared" si="10"/>
        <v>1449500</v>
      </c>
      <c r="I242" s="268"/>
      <c r="J242" s="41"/>
      <c r="K242" s="41"/>
      <c r="L242" s="272"/>
      <c r="M242" s="270"/>
    </row>
    <row r="243" spans="1:13" s="19" customFormat="1" ht="19.5" customHeight="1" x14ac:dyDescent="0.4">
      <c r="A243" s="4">
        <v>46022</v>
      </c>
      <c r="B243" s="5" t="s">
        <v>128</v>
      </c>
      <c r="C243" s="236" t="s">
        <v>385</v>
      </c>
      <c r="D243" s="1" t="s">
        <v>386</v>
      </c>
      <c r="E243" s="1" t="s">
        <v>17</v>
      </c>
      <c r="F243" s="267">
        <v>52</v>
      </c>
      <c r="G243" s="228">
        <v>185800</v>
      </c>
      <c r="H243" s="275">
        <f t="shared" si="10"/>
        <v>9661600</v>
      </c>
      <c r="I243" s="268"/>
      <c r="J243" s="41"/>
      <c r="K243" s="41"/>
      <c r="L243" s="272"/>
      <c r="M243" s="270"/>
    </row>
    <row r="244" spans="1:13" s="19" customFormat="1" ht="19.5" customHeight="1" x14ac:dyDescent="0.4">
      <c r="A244" s="4">
        <v>46029</v>
      </c>
      <c r="B244" s="5" t="s">
        <v>128</v>
      </c>
      <c r="C244" s="6" t="s">
        <v>129</v>
      </c>
      <c r="D244" s="1" t="s">
        <v>130</v>
      </c>
      <c r="E244" s="1" t="s">
        <v>131</v>
      </c>
      <c r="F244" s="36">
        <v>12</v>
      </c>
      <c r="G244" s="7">
        <v>52326</v>
      </c>
      <c r="H244" s="7">
        <f t="shared" si="10"/>
        <v>627912</v>
      </c>
      <c r="I244" s="142"/>
      <c r="J244" s="66"/>
      <c r="K244" s="66"/>
      <c r="L244" s="408"/>
      <c r="M244" s="200"/>
    </row>
    <row r="245" spans="1:13" s="19" customFormat="1" ht="19.5" customHeight="1" x14ac:dyDescent="0.4">
      <c r="A245" s="4">
        <v>46031</v>
      </c>
      <c r="B245" s="5" t="s">
        <v>128</v>
      </c>
      <c r="C245" s="6" t="s">
        <v>132</v>
      </c>
      <c r="D245" s="1" t="s">
        <v>133</v>
      </c>
      <c r="E245" s="1" t="s">
        <v>13</v>
      </c>
      <c r="F245" s="36">
        <v>6</v>
      </c>
      <c r="G245" s="7">
        <v>3225880</v>
      </c>
      <c r="H245" s="7">
        <f t="shared" si="10"/>
        <v>19355280</v>
      </c>
      <c r="I245" s="142"/>
      <c r="J245" s="66"/>
      <c r="K245" s="66"/>
      <c r="L245" s="408"/>
      <c r="M245" s="200"/>
    </row>
    <row r="246" spans="1:13" s="19" customFormat="1" ht="19.5" customHeight="1" x14ac:dyDescent="0.4">
      <c r="A246" s="4">
        <v>46031</v>
      </c>
      <c r="B246" s="5" t="s">
        <v>128</v>
      </c>
      <c r="C246" s="6" t="s">
        <v>385</v>
      </c>
      <c r="D246" s="42" t="s">
        <v>469</v>
      </c>
      <c r="E246" s="1" t="s">
        <v>17</v>
      </c>
      <c r="F246" s="36">
        <f>22+31+14</f>
        <v>67</v>
      </c>
      <c r="G246" s="7">
        <v>185800</v>
      </c>
      <c r="H246" s="7">
        <f t="shared" si="10"/>
        <v>12448600</v>
      </c>
      <c r="I246" s="142"/>
      <c r="J246" s="66"/>
      <c r="K246" s="66"/>
      <c r="L246" s="408"/>
      <c r="M246" s="200"/>
    </row>
    <row r="247" spans="1:13" s="19" customFormat="1" ht="19.5" customHeight="1" x14ac:dyDescent="0.4">
      <c r="A247" s="4">
        <v>46031</v>
      </c>
      <c r="B247" s="5" t="s">
        <v>128</v>
      </c>
      <c r="C247" s="6" t="s">
        <v>312</v>
      </c>
      <c r="D247" s="1" t="s">
        <v>316</v>
      </c>
      <c r="E247" s="1" t="s">
        <v>13</v>
      </c>
      <c r="F247" s="36">
        <v>3</v>
      </c>
      <c r="G247" s="7">
        <v>96000</v>
      </c>
      <c r="H247" s="7">
        <f t="shared" si="10"/>
        <v>288000</v>
      </c>
      <c r="I247" s="142"/>
      <c r="J247" s="66"/>
      <c r="K247" s="66"/>
      <c r="L247" s="408"/>
      <c r="M247" s="200"/>
    </row>
    <row r="248" spans="1:13" s="19" customFormat="1" ht="19.5" customHeight="1" x14ac:dyDescent="0.4">
      <c r="A248" s="4">
        <v>46031</v>
      </c>
      <c r="B248" s="5" t="s">
        <v>128</v>
      </c>
      <c r="C248" s="6" t="s">
        <v>312</v>
      </c>
      <c r="D248" s="1" t="s">
        <v>316</v>
      </c>
      <c r="E248" s="1" t="s">
        <v>13</v>
      </c>
      <c r="F248" s="36">
        <v>23</v>
      </c>
      <c r="G248" s="7">
        <v>96000</v>
      </c>
      <c r="H248" s="7" t="s">
        <v>186</v>
      </c>
      <c r="I248" s="142"/>
      <c r="J248" s="66"/>
      <c r="K248" s="66"/>
      <c r="L248" s="408"/>
      <c r="M248" s="200"/>
    </row>
    <row r="249" spans="1:13" s="19" customFormat="1" ht="19.5" customHeight="1" x14ac:dyDescent="0.4">
      <c r="A249" s="4">
        <v>46031</v>
      </c>
      <c r="B249" s="5" t="s">
        <v>128</v>
      </c>
      <c r="C249" s="405" t="s">
        <v>849</v>
      </c>
      <c r="D249" s="1" t="s">
        <v>850</v>
      </c>
      <c r="E249" s="1" t="s">
        <v>851</v>
      </c>
      <c r="F249" s="36">
        <v>8</v>
      </c>
      <c r="G249" s="7">
        <v>35000</v>
      </c>
      <c r="H249" s="7">
        <f t="shared" si="10"/>
        <v>280000</v>
      </c>
      <c r="I249" s="142"/>
      <c r="J249" s="66"/>
      <c r="K249" s="66"/>
      <c r="L249" s="408"/>
      <c r="M249" s="200"/>
    </row>
    <row r="250" spans="1:13" s="19" customFormat="1" ht="19.5" customHeight="1" x14ac:dyDescent="0.4">
      <c r="A250" s="4">
        <v>46031</v>
      </c>
      <c r="B250" s="5" t="s">
        <v>128</v>
      </c>
      <c r="C250" s="6" t="s">
        <v>310</v>
      </c>
      <c r="D250" s="1" t="s">
        <v>321</v>
      </c>
      <c r="E250" s="1" t="s">
        <v>127</v>
      </c>
      <c r="F250" s="36">
        <v>41</v>
      </c>
      <c r="G250" s="7">
        <v>68000</v>
      </c>
      <c r="H250" s="7">
        <f t="shared" si="10"/>
        <v>2788000</v>
      </c>
      <c r="I250" s="142"/>
      <c r="J250" s="66"/>
      <c r="K250" s="66"/>
      <c r="L250" s="408"/>
      <c r="M250" s="200"/>
    </row>
    <row r="251" spans="1:13" s="19" customFormat="1" ht="19.5" customHeight="1" x14ac:dyDescent="0.4">
      <c r="A251" s="4">
        <v>46035</v>
      </c>
      <c r="B251" s="5" t="s">
        <v>128</v>
      </c>
      <c r="C251" s="6" t="s">
        <v>136</v>
      </c>
      <c r="D251" s="1" t="s">
        <v>366</v>
      </c>
      <c r="E251" s="1" t="s">
        <v>13</v>
      </c>
      <c r="F251" s="36">
        <v>25</v>
      </c>
      <c r="G251" s="7">
        <v>597880</v>
      </c>
      <c r="H251" s="7">
        <f t="shared" si="10"/>
        <v>14947000</v>
      </c>
      <c r="I251" s="142"/>
      <c r="J251" s="66"/>
      <c r="K251" s="66"/>
      <c r="L251" s="408"/>
      <c r="M251" s="200"/>
    </row>
    <row r="252" spans="1:13" s="19" customFormat="1" ht="19.5" customHeight="1" x14ac:dyDescent="0.4">
      <c r="A252" s="4">
        <v>46035</v>
      </c>
      <c r="B252" s="5" t="s">
        <v>128</v>
      </c>
      <c r="C252" s="6" t="s">
        <v>181</v>
      </c>
      <c r="D252" s="1" t="s">
        <v>749</v>
      </c>
      <c r="E252" s="1" t="s">
        <v>13</v>
      </c>
      <c r="F252" s="36">
        <v>5</v>
      </c>
      <c r="G252" s="7">
        <v>2163000</v>
      </c>
      <c r="H252" s="7">
        <f t="shared" si="10"/>
        <v>10815000</v>
      </c>
      <c r="I252" s="142"/>
      <c r="J252" s="66"/>
      <c r="K252" s="66"/>
      <c r="L252" s="408"/>
      <c r="M252" s="200"/>
    </row>
    <row r="253" spans="1:13" s="19" customFormat="1" ht="19.5" customHeight="1" x14ac:dyDescent="0.4">
      <c r="A253" s="4">
        <v>46035</v>
      </c>
      <c r="B253" s="5" t="s">
        <v>128</v>
      </c>
      <c r="C253" s="6" t="s">
        <v>182</v>
      </c>
      <c r="D253" s="1" t="s">
        <v>372</v>
      </c>
      <c r="E253" s="1" t="s">
        <v>13</v>
      </c>
      <c r="F253" s="36">
        <v>5</v>
      </c>
      <c r="G253" s="7">
        <v>2163000</v>
      </c>
      <c r="H253" s="7">
        <f t="shared" si="10"/>
        <v>10815000</v>
      </c>
      <c r="I253" s="142"/>
      <c r="J253" s="66"/>
      <c r="K253" s="66"/>
      <c r="L253" s="408"/>
      <c r="M253" s="200"/>
    </row>
    <row r="254" spans="1:13" s="19" customFormat="1" ht="20.25" customHeight="1" x14ac:dyDescent="0.4">
      <c r="A254" s="4">
        <v>46036</v>
      </c>
      <c r="B254" s="5" t="s">
        <v>128</v>
      </c>
      <c r="C254" s="6" t="s">
        <v>129</v>
      </c>
      <c r="D254" s="1" t="s">
        <v>130</v>
      </c>
      <c r="E254" s="1" t="s">
        <v>131</v>
      </c>
      <c r="F254" s="36">
        <v>12</v>
      </c>
      <c r="G254" s="7">
        <v>52326</v>
      </c>
      <c r="H254" s="7">
        <f t="shared" si="10"/>
        <v>627912</v>
      </c>
      <c r="I254" s="142"/>
      <c r="J254" s="66"/>
      <c r="K254" s="66"/>
      <c r="L254" s="408"/>
      <c r="M254" s="200"/>
    </row>
    <row r="255" spans="1:13" s="19" customFormat="1" ht="21.75" customHeight="1" x14ac:dyDescent="0.4">
      <c r="A255" s="4">
        <v>46038</v>
      </c>
      <c r="B255" s="5" t="s">
        <v>134</v>
      </c>
      <c r="C255" s="6" t="s">
        <v>132</v>
      </c>
      <c r="D255" s="42" t="s">
        <v>222</v>
      </c>
      <c r="E255" s="1" t="s">
        <v>13</v>
      </c>
      <c r="F255" s="36">
        <v>12</v>
      </c>
      <c r="G255" s="7">
        <v>3225880</v>
      </c>
      <c r="H255" s="7">
        <f t="shared" si="10"/>
        <v>38710560</v>
      </c>
      <c r="I255" s="142"/>
      <c r="J255" s="66"/>
      <c r="K255" s="66"/>
      <c r="L255" s="408"/>
      <c r="M255" s="200"/>
    </row>
    <row r="256" spans="1:13" s="19" customFormat="1" ht="21.75" customHeight="1" x14ac:dyDescent="0.4">
      <c r="A256" s="4">
        <v>46038</v>
      </c>
      <c r="B256" s="5" t="s">
        <v>134</v>
      </c>
      <c r="C256" s="6" t="s">
        <v>229</v>
      </c>
      <c r="D256" s="42" t="s">
        <v>230</v>
      </c>
      <c r="E256" s="1" t="s">
        <v>127</v>
      </c>
      <c r="F256" s="36">
        <v>39</v>
      </c>
      <c r="G256" s="7">
        <v>144860</v>
      </c>
      <c r="H256" s="7">
        <f t="shared" si="10"/>
        <v>5649540</v>
      </c>
      <c r="I256" s="142"/>
      <c r="J256" s="66"/>
      <c r="K256" s="66"/>
      <c r="L256" s="408"/>
      <c r="M256" s="200"/>
    </row>
    <row r="257" spans="1:13" s="19" customFormat="1" ht="19.5" customHeight="1" x14ac:dyDescent="0.4">
      <c r="A257" s="4">
        <v>46038</v>
      </c>
      <c r="B257" s="5" t="s">
        <v>134</v>
      </c>
      <c r="C257" s="6" t="s">
        <v>508</v>
      </c>
      <c r="D257" s="1" t="s">
        <v>327</v>
      </c>
      <c r="E257" s="1" t="s">
        <v>13</v>
      </c>
      <c r="F257" s="36">
        <v>6</v>
      </c>
      <c r="G257" s="7">
        <v>1364000</v>
      </c>
      <c r="H257" s="7">
        <f t="shared" si="10"/>
        <v>8184000</v>
      </c>
      <c r="I257" s="142"/>
      <c r="J257" s="66"/>
      <c r="K257" s="66"/>
      <c r="L257" s="408"/>
      <c r="M257" s="200"/>
    </row>
    <row r="258" spans="1:13" s="19" customFormat="1" ht="19.5" customHeight="1" x14ac:dyDescent="0.4">
      <c r="A258" s="4">
        <v>46045</v>
      </c>
      <c r="B258" s="5" t="s">
        <v>134</v>
      </c>
      <c r="C258" s="6" t="s">
        <v>310</v>
      </c>
      <c r="D258" s="1" t="s">
        <v>315</v>
      </c>
      <c r="E258" s="1" t="s">
        <v>13</v>
      </c>
      <c r="F258" s="36">
        <v>24</v>
      </c>
      <c r="G258" s="7">
        <v>84000</v>
      </c>
      <c r="H258" s="7">
        <f t="shared" si="10"/>
        <v>2016000</v>
      </c>
      <c r="I258" s="142" t="s">
        <v>852</v>
      </c>
      <c r="J258" s="66"/>
      <c r="K258" s="66"/>
      <c r="L258" s="408"/>
      <c r="M258" s="200"/>
    </row>
    <row r="259" spans="1:13" s="19" customFormat="1" ht="19.5" customHeight="1" x14ac:dyDescent="0.4">
      <c r="A259" s="4">
        <v>46045</v>
      </c>
      <c r="B259" s="5" t="s">
        <v>134</v>
      </c>
      <c r="C259" s="6" t="s">
        <v>310</v>
      </c>
      <c r="D259" s="1" t="s">
        <v>315</v>
      </c>
      <c r="E259" s="1" t="s">
        <v>13</v>
      </c>
      <c r="F259" s="36">
        <v>6</v>
      </c>
      <c r="G259" s="7">
        <v>84000</v>
      </c>
      <c r="H259" s="7" t="s">
        <v>186</v>
      </c>
      <c r="I259" s="142"/>
      <c r="J259" s="66"/>
      <c r="K259" s="66"/>
      <c r="L259" s="408" t="s">
        <v>186</v>
      </c>
      <c r="M259" s="200"/>
    </row>
    <row r="260" spans="1:13" s="19" customFormat="1" ht="19.5" customHeight="1" x14ac:dyDescent="0.4">
      <c r="A260" s="4">
        <v>46045</v>
      </c>
      <c r="B260" s="5" t="s">
        <v>134</v>
      </c>
      <c r="C260" s="6" t="s">
        <v>507</v>
      </c>
      <c r="D260" s="1" t="s">
        <v>328</v>
      </c>
      <c r="E260" s="1" t="s">
        <v>13</v>
      </c>
      <c r="F260" s="36">
        <v>2</v>
      </c>
      <c r="G260" s="7">
        <v>1364000</v>
      </c>
      <c r="H260" s="7">
        <f t="shared" si="10"/>
        <v>2728000</v>
      </c>
      <c r="I260" s="142" t="s">
        <v>852</v>
      </c>
      <c r="J260" s="66"/>
      <c r="K260" s="66"/>
      <c r="L260" s="408"/>
      <c r="M260" s="200"/>
    </row>
    <row r="261" spans="1:13" s="19" customFormat="1" ht="19.5" customHeight="1" x14ac:dyDescent="0.4">
      <c r="A261" s="4">
        <v>46045</v>
      </c>
      <c r="B261" s="5" t="s">
        <v>134</v>
      </c>
      <c r="C261" s="6" t="s">
        <v>314</v>
      </c>
      <c r="D261" s="1" t="s">
        <v>387</v>
      </c>
      <c r="E261" s="1" t="s">
        <v>13</v>
      </c>
      <c r="F261" s="36">
        <v>15</v>
      </c>
      <c r="G261" s="7">
        <v>200000</v>
      </c>
      <c r="H261" s="7">
        <f t="shared" si="10"/>
        <v>3000000</v>
      </c>
      <c r="I261" s="142" t="s">
        <v>852</v>
      </c>
      <c r="J261" s="66"/>
      <c r="K261" s="66"/>
      <c r="L261" s="408"/>
      <c r="M261" s="200"/>
    </row>
    <row r="262" spans="1:13" s="19" customFormat="1" ht="19.5" customHeight="1" x14ac:dyDescent="0.4">
      <c r="A262" s="4">
        <v>46045</v>
      </c>
      <c r="B262" s="5" t="s">
        <v>134</v>
      </c>
      <c r="C262" s="6" t="s">
        <v>319</v>
      </c>
      <c r="D262" s="1" t="s">
        <v>322</v>
      </c>
      <c r="E262" s="1" t="s">
        <v>127</v>
      </c>
      <c r="F262" s="36">
        <v>28</v>
      </c>
      <c r="G262" s="7">
        <v>30790</v>
      </c>
      <c r="H262" s="7">
        <f t="shared" si="10"/>
        <v>862120</v>
      </c>
      <c r="I262" s="142" t="s">
        <v>852</v>
      </c>
      <c r="J262" s="66"/>
      <c r="K262" s="66"/>
      <c r="L262" s="408"/>
      <c r="M262" s="200"/>
    </row>
    <row r="263" spans="1:13" s="19" customFormat="1" ht="19.5" customHeight="1" x14ac:dyDescent="0.4">
      <c r="A263" s="4">
        <v>46045</v>
      </c>
      <c r="B263" s="5" t="s">
        <v>134</v>
      </c>
      <c r="C263" s="6" t="s">
        <v>385</v>
      </c>
      <c r="D263" s="1" t="s">
        <v>386</v>
      </c>
      <c r="E263" s="1" t="s">
        <v>17</v>
      </c>
      <c r="F263" s="36">
        <v>66</v>
      </c>
      <c r="G263" s="7">
        <v>185800</v>
      </c>
      <c r="H263" s="7">
        <f t="shared" si="10"/>
        <v>12262800</v>
      </c>
      <c r="I263" s="142" t="s">
        <v>852</v>
      </c>
      <c r="J263" s="66"/>
      <c r="K263" s="66"/>
      <c r="L263" s="408"/>
      <c r="M263" s="200"/>
    </row>
    <row r="264" spans="1:13" s="19" customFormat="1" ht="19.5" customHeight="1" x14ac:dyDescent="0.4">
      <c r="A264" s="4">
        <v>46051</v>
      </c>
      <c r="B264" s="5" t="s">
        <v>134</v>
      </c>
      <c r="C264" s="6" t="s">
        <v>132</v>
      </c>
      <c r="D264" s="1" t="s">
        <v>133</v>
      </c>
      <c r="E264" s="1" t="s">
        <v>13</v>
      </c>
      <c r="F264" s="36">
        <v>22</v>
      </c>
      <c r="G264" s="7">
        <v>3225880</v>
      </c>
      <c r="H264" s="7">
        <f t="shared" si="10"/>
        <v>70969360</v>
      </c>
      <c r="I264" s="142" t="s">
        <v>852</v>
      </c>
      <c r="J264" s="66"/>
      <c r="K264" s="66"/>
      <c r="L264" s="408"/>
      <c r="M264" s="200"/>
    </row>
    <row r="265" spans="1:13" s="19" customFormat="1" ht="19.5" customHeight="1" x14ac:dyDescent="0.4">
      <c r="A265" s="4">
        <v>46051</v>
      </c>
      <c r="B265" s="5" t="s">
        <v>134</v>
      </c>
      <c r="C265" s="6" t="s">
        <v>508</v>
      </c>
      <c r="D265" s="1" t="s">
        <v>329</v>
      </c>
      <c r="E265" s="1" t="s">
        <v>13</v>
      </c>
      <c r="F265" s="36">
        <v>2</v>
      </c>
      <c r="G265" s="7">
        <v>1364000</v>
      </c>
      <c r="H265" s="7">
        <f t="shared" si="10"/>
        <v>2728000</v>
      </c>
      <c r="I265" s="142" t="s">
        <v>852</v>
      </c>
      <c r="J265" s="66"/>
      <c r="K265" s="66"/>
      <c r="L265" s="408"/>
      <c r="M265" s="200"/>
    </row>
    <row r="266" spans="1:13" s="19" customFormat="1" ht="19.5" customHeight="1" x14ac:dyDescent="0.4">
      <c r="A266" s="4">
        <v>46051</v>
      </c>
      <c r="B266" s="5" t="s">
        <v>134</v>
      </c>
      <c r="C266" s="6" t="s">
        <v>507</v>
      </c>
      <c r="D266" s="1" t="s">
        <v>328</v>
      </c>
      <c r="E266" s="1" t="s">
        <v>13</v>
      </c>
      <c r="F266" s="36">
        <v>2</v>
      </c>
      <c r="G266" s="7">
        <v>1364000</v>
      </c>
      <c r="H266" s="7">
        <f t="shared" si="10"/>
        <v>2728000</v>
      </c>
      <c r="I266" s="142" t="s">
        <v>852</v>
      </c>
      <c r="J266" s="66"/>
      <c r="K266" s="66"/>
      <c r="L266" s="408"/>
      <c r="M266" s="200"/>
    </row>
    <row r="267" spans="1:13" s="19" customFormat="1" ht="19.5" customHeight="1" x14ac:dyDescent="0.4">
      <c r="A267" s="4">
        <v>46051</v>
      </c>
      <c r="B267" s="5" t="s">
        <v>134</v>
      </c>
      <c r="C267" s="6" t="s">
        <v>135</v>
      </c>
      <c r="D267" s="1" t="s">
        <v>325</v>
      </c>
      <c r="E267" s="1" t="s">
        <v>17</v>
      </c>
      <c r="F267" s="36">
        <v>100</v>
      </c>
      <c r="G267" s="7">
        <v>115150</v>
      </c>
      <c r="H267" s="7">
        <f t="shared" si="10"/>
        <v>11515000</v>
      </c>
      <c r="I267" s="142" t="s">
        <v>852</v>
      </c>
      <c r="J267" s="66"/>
      <c r="K267" s="66"/>
      <c r="L267" s="408"/>
      <c r="M267" s="200"/>
    </row>
    <row r="268" spans="1:13" s="19" customFormat="1" ht="19.5" customHeight="1" x14ac:dyDescent="0.4">
      <c r="A268" s="4">
        <v>46051</v>
      </c>
      <c r="B268" s="5" t="s">
        <v>134</v>
      </c>
      <c r="C268" s="6" t="s">
        <v>319</v>
      </c>
      <c r="D268" s="1" t="s">
        <v>457</v>
      </c>
      <c r="E268" s="1" t="s">
        <v>127</v>
      </c>
      <c r="F268" s="36">
        <v>54</v>
      </c>
      <c r="G268" s="7">
        <v>19400</v>
      </c>
      <c r="H268" s="7">
        <f t="shared" si="10"/>
        <v>1047600</v>
      </c>
      <c r="I268" s="142" t="s">
        <v>852</v>
      </c>
      <c r="J268" s="66"/>
      <c r="K268" s="66"/>
      <c r="L268" s="408"/>
      <c r="M268" s="200"/>
    </row>
    <row r="269" spans="1:13" s="19" customFormat="1" ht="19.5" customHeight="1" x14ac:dyDescent="0.4">
      <c r="A269" s="4">
        <v>46051</v>
      </c>
      <c r="B269" s="5" t="s">
        <v>134</v>
      </c>
      <c r="C269" s="6" t="s">
        <v>314</v>
      </c>
      <c r="D269" s="1" t="s">
        <v>434</v>
      </c>
      <c r="E269" s="1" t="s">
        <v>13</v>
      </c>
      <c r="F269" s="36">
        <v>6</v>
      </c>
      <c r="G269" s="7">
        <v>108000</v>
      </c>
      <c r="H269" s="7">
        <f t="shared" si="10"/>
        <v>648000</v>
      </c>
      <c r="I269" s="142" t="s">
        <v>852</v>
      </c>
      <c r="J269" s="66"/>
      <c r="K269" s="66"/>
      <c r="L269" s="408"/>
      <c r="M269" s="200"/>
    </row>
    <row r="270" spans="1:13" s="19" customFormat="1" ht="19.5" customHeight="1" x14ac:dyDescent="0.4">
      <c r="A270" s="4">
        <v>46051</v>
      </c>
      <c r="B270" s="5" t="s">
        <v>134</v>
      </c>
      <c r="C270" s="6" t="s">
        <v>317</v>
      </c>
      <c r="D270" s="1" t="s">
        <v>318</v>
      </c>
      <c r="E270" s="1" t="s">
        <v>13</v>
      </c>
      <c r="F270" s="36">
        <v>9</v>
      </c>
      <c r="G270" s="7">
        <v>236000</v>
      </c>
      <c r="H270" s="7">
        <f t="shared" si="10"/>
        <v>2124000</v>
      </c>
      <c r="I270" s="142" t="s">
        <v>852</v>
      </c>
      <c r="J270" s="66"/>
      <c r="K270" s="66"/>
      <c r="L270" s="408"/>
      <c r="M270" s="200"/>
    </row>
    <row r="271" spans="1:13" s="19" customFormat="1" ht="19.5" customHeight="1" x14ac:dyDescent="0.4">
      <c r="A271" s="4">
        <v>46051</v>
      </c>
      <c r="B271" s="5" t="s">
        <v>134</v>
      </c>
      <c r="C271" s="6" t="s">
        <v>320</v>
      </c>
      <c r="D271" s="1" t="s">
        <v>324</v>
      </c>
      <c r="E271" s="1" t="s">
        <v>127</v>
      </c>
      <c r="F271" s="36">
        <v>12</v>
      </c>
      <c r="G271" s="7">
        <v>20000</v>
      </c>
      <c r="H271" s="7">
        <f t="shared" si="10"/>
        <v>240000</v>
      </c>
      <c r="I271" s="142" t="s">
        <v>852</v>
      </c>
      <c r="J271" s="66"/>
      <c r="K271" s="66"/>
      <c r="L271" s="408"/>
      <c r="M271" s="200"/>
    </row>
    <row r="272" spans="1:13" s="19" customFormat="1" ht="19.5" customHeight="1" x14ac:dyDescent="0.4">
      <c r="A272" s="4">
        <v>46051</v>
      </c>
      <c r="B272" s="5" t="s">
        <v>134</v>
      </c>
      <c r="C272" s="6" t="s">
        <v>369</v>
      </c>
      <c r="D272" s="42" t="s">
        <v>470</v>
      </c>
      <c r="E272" s="1" t="s">
        <v>17</v>
      </c>
      <c r="F272" s="36">
        <v>100</v>
      </c>
      <c r="G272" s="7">
        <v>99220</v>
      </c>
      <c r="H272" s="7">
        <f t="shared" si="10"/>
        <v>9922000</v>
      </c>
      <c r="I272" s="142" t="s">
        <v>852</v>
      </c>
      <c r="J272" s="66"/>
      <c r="K272" s="66"/>
      <c r="L272" s="408"/>
      <c r="M272" s="200"/>
    </row>
    <row r="273" spans="1:13" s="19" customFormat="1" ht="20.25" customHeight="1" x14ac:dyDescent="0.4">
      <c r="A273" s="4">
        <v>46052</v>
      </c>
      <c r="B273" s="5" t="s">
        <v>128</v>
      </c>
      <c r="C273" s="6" t="s">
        <v>129</v>
      </c>
      <c r="D273" s="1" t="s">
        <v>130</v>
      </c>
      <c r="E273" s="1" t="s">
        <v>131</v>
      </c>
      <c r="F273" s="36">
        <v>12</v>
      </c>
      <c r="G273" s="7">
        <v>52326</v>
      </c>
      <c r="H273" s="7">
        <f t="shared" si="10"/>
        <v>627912</v>
      </c>
      <c r="I273" s="142" t="s">
        <v>852</v>
      </c>
      <c r="J273" s="66"/>
      <c r="K273" s="66"/>
      <c r="L273" s="408"/>
      <c r="M273" s="200"/>
    </row>
    <row r="274" spans="1:13" s="19" customFormat="1" ht="20.25" customHeight="1" x14ac:dyDescent="0.4">
      <c r="A274" s="4">
        <v>46052</v>
      </c>
      <c r="B274" s="5" t="s">
        <v>128</v>
      </c>
      <c r="C274" s="6" t="s">
        <v>129</v>
      </c>
      <c r="D274" s="1" t="s">
        <v>130</v>
      </c>
      <c r="E274" s="1" t="s">
        <v>131</v>
      </c>
      <c r="F274" s="36">
        <v>12</v>
      </c>
      <c r="G274" s="7">
        <v>52326</v>
      </c>
      <c r="H274" s="7">
        <f t="shared" si="10"/>
        <v>627912</v>
      </c>
      <c r="I274" s="142" t="s">
        <v>852</v>
      </c>
      <c r="J274" s="66"/>
      <c r="K274" s="66"/>
      <c r="L274" s="408"/>
      <c r="M274" s="200"/>
    </row>
    <row r="275" spans="1:13" s="19" customFormat="1" ht="20.25" customHeight="1" x14ac:dyDescent="0.4">
      <c r="A275" s="4">
        <v>46052</v>
      </c>
      <c r="B275" s="5" t="s">
        <v>134</v>
      </c>
      <c r="C275" s="6" t="s">
        <v>418</v>
      </c>
      <c r="D275" s="42" t="s">
        <v>750</v>
      </c>
      <c r="E275" s="1" t="s">
        <v>17</v>
      </c>
      <c r="F275" s="36">
        <v>100</v>
      </c>
      <c r="G275" s="7">
        <v>336730</v>
      </c>
      <c r="H275" s="7">
        <f t="shared" si="10"/>
        <v>33673000</v>
      </c>
      <c r="I275" s="142" t="s">
        <v>852</v>
      </c>
      <c r="J275" s="66"/>
      <c r="K275" s="66"/>
      <c r="L275" s="408"/>
      <c r="M275" s="200"/>
    </row>
    <row r="276" spans="1:13" s="3" customFormat="1" ht="20.25" customHeight="1" x14ac:dyDescent="0.4">
      <c r="A276" s="193"/>
      <c r="B276" s="194"/>
      <c r="C276" s="40"/>
      <c r="D276" s="194"/>
      <c r="E276" s="194"/>
      <c r="F276" s="91"/>
      <c r="G276" s="138"/>
      <c r="H276" s="138">
        <f>SUM(H234:H257)</f>
        <v>205627576</v>
      </c>
      <c r="I276" s="138"/>
      <c r="J276" s="145"/>
      <c r="K276" s="145"/>
      <c r="L276" s="145"/>
      <c r="M276" s="89"/>
    </row>
    <row r="277" spans="1:13" s="3" customFormat="1" ht="19.5" customHeight="1" x14ac:dyDescent="0.4">
      <c r="A277" s="371">
        <v>46041</v>
      </c>
      <c r="B277" s="5" t="s">
        <v>137</v>
      </c>
      <c r="C277" s="372" t="s">
        <v>751</v>
      </c>
      <c r="D277" s="373" t="s">
        <v>240</v>
      </c>
      <c r="E277" s="373"/>
      <c r="F277" s="374">
        <v>1</v>
      </c>
      <c r="G277" s="375">
        <v>256600</v>
      </c>
      <c r="H277" s="375"/>
      <c r="I277" s="375" t="s">
        <v>752</v>
      </c>
      <c r="J277" s="376"/>
      <c r="K277" s="376"/>
      <c r="L277" s="376"/>
      <c r="M277" s="89"/>
    </row>
    <row r="278" spans="1:13" s="3" customFormat="1" ht="19.5" customHeight="1" x14ac:dyDescent="0.4">
      <c r="A278" s="371">
        <v>46041</v>
      </c>
      <c r="B278" s="5" t="s">
        <v>137</v>
      </c>
      <c r="C278" s="372" t="s">
        <v>237</v>
      </c>
      <c r="D278" s="373" t="s">
        <v>753</v>
      </c>
      <c r="E278" s="373"/>
      <c r="F278" s="374">
        <v>1</v>
      </c>
      <c r="G278" s="375">
        <v>137000</v>
      </c>
      <c r="H278" s="375"/>
      <c r="I278" s="375" t="s">
        <v>752</v>
      </c>
      <c r="J278" s="376"/>
      <c r="K278" s="376"/>
      <c r="L278" s="376"/>
      <c r="M278" s="89"/>
    </row>
    <row r="279" spans="1:13" s="3" customFormat="1" ht="19.5" customHeight="1" x14ac:dyDescent="0.4">
      <c r="A279" s="371">
        <v>46041</v>
      </c>
      <c r="B279" s="5" t="s">
        <v>137</v>
      </c>
      <c r="C279" s="372" t="s">
        <v>751</v>
      </c>
      <c r="D279" s="373" t="s">
        <v>754</v>
      </c>
      <c r="E279" s="373"/>
      <c r="F279" s="374">
        <v>1</v>
      </c>
      <c r="G279" s="375">
        <v>195700</v>
      </c>
      <c r="H279" s="375"/>
      <c r="I279" s="375" t="s">
        <v>752</v>
      </c>
      <c r="J279" s="376"/>
      <c r="K279" s="376"/>
      <c r="L279" s="376"/>
      <c r="M279" s="89"/>
    </row>
    <row r="280" spans="1:13" s="3" customFormat="1" ht="19.5" customHeight="1" x14ac:dyDescent="0.4">
      <c r="A280" s="371">
        <v>46041</v>
      </c>
      <c r="B280" s="5" t="s">
        <v>137</v>
      </c>
      <c r="C280" s="372" t="s">
        <v>755</v>
      </c>
      <c r="D280" s="373" t="s">
        <v>756</v>
      </c>
      <c r="E280" s="373"/>
      <c r="F280" s="374">
        <v>78</v>
      </c>
      <c r="G280" s="375">
        <v>27800</v>
      </c>
      <c r="H280" s="375"/>
      <c r="I280" s="375" t="s">
        <v>752</v>
      </c>
      <c r="J280" s="376"/>
      <c r="K280" s="376"/>
      <c r="L280" s="376"/>
      <c r="M280" s="89"/>
    </row>
    <row r="281" spans="1:13" s="3" customFormat="1" ht="19.5" customHeight="1" x14ac:dyDescent="0.4">
      <c r="A281" s="371">
        <v>46041</v>
      </c>
      <c r="B281" s="5" t="s">
        <v>137</v>
      </c>
      <c r="C281" s="372" t="s">
        <v>239</v>
      </c>
      <c r="D281" s="110" t="s">
        <v>757</v>
      </c>
      <c r="E281" s="373"/>
      <c r="F281" s="374">
        <v>10</v>
      </c>
      <c r="G281" s="375">
        <v>181500</v>
      </c>
      <c r="H281" s="375"/>
      <c r="I281" s="375" t="s">
        <v>758</v>
      </c>
      <c r="J281" s="376"/>
      <c r="K281" s="376"/>
      <c r="L281" s="376"/>
      <c r="M281" s="89"/>
    </row>
    <row r="282" spans="1:13" s="3" customFormat="1" ht="19.5" customHeight="1" x14ac:dyDescent="0.4">
      <c r="A282" s="190">
        <v>46044</v>
      </c>
      <c r="B282" s="5" t="s">
        <v>137</v>
      </c>
      <c r="C282" s="29" t="s">
        <v>241</v>
      </c>
      <c r="D282" s="110" t="s">
        <v>231</v>
      </c>
      <c r="E282" s="110"/>
      <c r="F282" s="81">
        <v>4</v>
      </c>
      <c r="G282" s="49">
        <v>195700</v>
      </c>
      <c r="H282" s="49">
        <f>F282*G282</f>
        <v>782800</v>
      </c>
      <c r="I282" s="49" t="s">
        <v>632</v>
      </c>
      <c r="J282" s="144"/>
      <c r="K282" s="144"/>
      <c r="L282" s="144"/>
      <c r="M282" s="89"/>
    </row>
    <row r="283" spans="1:13" s="3" customFormat="1" ht="19.5" customHeight="1" x14ac:dyDescent="0.4">
      <c r="A283" s="190">
        <v>46044</v>
      </c>
      <c r="B283" s="5" t="s">
        <v>137</v>
      </c>
      <c r="C283" s="29" t="s">
        <v>241</v>
      </c>
      <c r="D283" s="110" t="s">
        <v>373</v>
      </c>
      <c r="E283" s="110"/>
      <c r="F283" s="81">
        <v>60</v>
      </c>
      <c r="G283" s="49">
        <v>195700</v>
      </c>
      <c r="H283" s="49">
        <f t="shared" ref="H283:H301" si="11">F283*G283</f>
        <v>11742000</v>
      </c>
      <c r="I283" s="49" t="s">
        <v>759</v>
      </c>
      <c r="J283" s="144"/>
      <c r="K283" s="144"/>
      <c r="L283" s="144"/>
      <c r="M283" s="89"/>
    </row>
    <row r="284" spans="1:13" s="3" customFormat="1" ht="19.5" customHeight="1" x14ac:dyDescent="0.4">
      <c r="A284" s="190">
        <v>46044</v>
      </c>
      <c r="B284" s="5" t="s">
        <v>137</v>
      </c>
      <c r="C284" s="29" t="s">
        <v>241</v>
      </c>
      <c r="D284" s="110" t="s">
        <v>232</v>
      </c>
      <c r="E284" s="110"/>
      <c r="F284" s="81">
        <v>65</v>
      </c>
      <c r="G284" s="49">
        <v>171300</v>
      </c>
      <c r="H284" s="49">
        <f t="shared" si="11"/>
        <v>11134500</v>
      </c>
      <c r="I284" s="49" t="s">
        <v>576</v>
      </c>
      <c r="J284" s="144"/>
      <c r="K284" s="144"/>
      <c r="L284" s="144"/>
      <c r="M284" s="89"/>
    </row>
    <row r="285" spans="1:13" s="3" customFormat="1" ht="19.5" customHeight="1" x14ac:dyDescent="0.4">
      <c r="A285" s="190">
        <v>46044</v>
      </c>
      <c r="B285" s="5" t="s">
        <v>137</v>
      </c>
      <c r="C285" s="29" t="s">
        <v>760</v>
      </c>
      <c r="D285" s="110" t="s">
        <v>761</v>
      </c>
      <c r="E285" s="110"/>
      <c r="F285" s="81">
        <v>200</v>
      </c>
      <c r="G285" s="49">
        <v>22500</v>
      </c>
      <c r="H285" s="49">
        <f t="shared" si="11"/>
        <v>4500000</v>
      </c>
      <c r="I285" s="49" t="s">
        <v>762</v>
      </c>
      <c r="J285" s="144"/>
      <c r="K285" s="144"/>
      <c r="L285" s="144"/>
      <c r="M285" s="89"/>
    </row>
    <row r="286" spans="1:13" s="3" customFormat="1" ht="19.5" customHeight="1" x14ac:dyDescent="0.4">
      <c r="A286" s="190">
        <v>46044</v>
      </c>
      <c r="B286" s="5" t="s">
        <v>137</v>
      </c>
      <c r="C286" s="29" t="s">
        <v>138</v>
      </c>
      <c r="D286" s="110" t="s">
        <v>236</v>
      </c>
      <c r="E286" s="110"/>
      <c r="F286" s="81">
        <v>35</v>
      </c>
      <c r="G286" s="49">
        <v>180900</v>
      </c>
      <c r="H286" s="49">
        <f t="shared" si="11"/>
        <v>6331500</v>
      </c>
      <c r="I286" s="49" t="s">
        <v>577</v>
      </c>
      <c r="J286" s="144"/>
      <c r="K286" s="144"/>
      <c r="L286" s="144"/>
      <c r="M286" s="89"/>
    </row>
    <row r="287" spans="1:13" s="3" customFormat="1" ht="19.5" customHeight="1" x14ac:dyDescent="0.4">
      <c r="A287" s="190">
        <v>46044</v>
      </c>
      <c r="B287" s="5" t="s">
        <v>137</v>
      </c>
      <c r="C287" s="29" t="s">
        <v>138</v>
      </c>
      <c r="D287" s="110" t="s">
        <v>139</v>
      </c>
      <c r="E287" s="110"/>
      <c r="F287" s="81">
        <v>69</v>
      </c>
      <c r="G287" s="49">
        <v>180900</v>
      </c>
      <c r="H287" s="49">
        <f t="shared" si="11"/>
        <v>12482100</v>
      </c>
      <c r="I287" s="49" t="s">
        <v>763</v>
      </c>
      <c r="J287" s="144"/>
      <c r="K287" s="144"/>
      <c r="L287" s="144"/>
      <c r="M287" s="89"/>
    </row>
    <row r="288" spans="1:13" s="3" customFormat="1" ht="19.5" customHeight="1" x14ac:dyDescent="0.4">
      <c r="A288" s="190">
        <v>46044</v>
      </c>
      <c r="B288" s="5" t="s">
        <v>137</v>
      </c>
      <c r="C288" s="29" t="s">
        <v>234</v>
      </c>
      <c r="D288" s="110" t="s">
        <v>235</v>
      </c>
      <c r="E288" s="110"/>
      <c r="F288" s="81">
        <v>9</v>
      </c>
      <c r="G288" s="49">
        <v>69400</v>
      </c>
      <c r="H288" s="49">
        <f t="shared" si="11"/>
        <v>624600</v>
      </c>
      <c r="I288" s="49" t="s">
        <v>578</v>
      </c>
      <c r="J288" s="144"/>
      <c r="K288" s="144"/>
      <c r="L288" s="144"/>
      <c r="M288" s="89"/>
    </row>
    <row r="289" spans="1:13" s="3" customFormat="1" ht="19.5" customHeight="1" x14ac:dyDescent="0.4">
      <c r="A289" s="190">
        <v>46044</v>
      </c>
      <c r="B289" s="5" t="s">
        <v>137</v>
      </c>
      <c r="C289" s="29" t="s">
        <v>234</v>
      </c>
      <c r="D289" s="110" t="s">
        <v>333</v>
      </c>
      <c r="E289" s="110"/>
      <c r="F289" s="81">
        <v>100</v>
      </c>
      <c r="G289" s="49">
        <v>69400</v>
      </c>
      <c r="H289" s="49">
        <f t="shared" si="11"/>
        <v>6940000</v>
      </c>
      <c r="I289" s="49" t="s">
        <v>764</v>
      </c>
      <c r="J289" s="144"/>
      <c r="K289" s="144"/>
      <c r="L289" s="144"/>
      <c r="M289" s="89"/>
    </row>
    <row r="290" spans="1:13" s="3" customFormat="1" ht="19.5" customHeight="1" x14ac:dyDescent="0.4">
      <c r="A290" s="190">
        <v>46044</v>
      </c>
      <c r="B290" s="5" t="s">
        <v>137</v>
      </c>
      <c r="C290" s="29" t="s">
        <v>234</v>
      </c>
      <c r="D290" s="110" t="s">
        <v>333</v>
      </c>
      <c r="E290" s="110"/>
      <c r="F290" s="81">
        <v>100</v>
      </c>
      <c r="G290" s="49">
        <v>69400</v>
      </c>
      <c r="H290" s="49">
        <f t="shared" si="11"/>
        <v>6940000</v>
      </c>
      <c r="I290" s="49" t="s">
        <v>765</v>
      </c>
      <c r="J290" s="144"/>
      <c r="K290" s="144"/>
      <c r="L290" s="144"/>
      <c r="M290" s="89"/>
    </row>
    <row r="291" spans="1:13" s="3" customFormat="1" ht="19.5" customHeight="1" x14ac:dyDescent="0.4">
      <c r="A291" s="190">
        <v>46044</v>
      </c>
      <c r="B291" s="5" t="s">
        <v>137</v>
      </c>
      <c r="C291" s="29" t="s">
        <v>234</v>
      </c>
      <c r="D291" s="110" t="s">
        <v>333</v>
      </c>
      <c r="E291" s="110"/>
      <c r="F291" s="81">
        <v>12</v>
      </c>
      <c r="G291" s="49">
        <v>69400</v>
      </c>
      <c r="H291" s="49">
        <f t="shared" si="11"/>
        <v>832800</v>
      </c>
      <c r="I291" s="49" t="s">
        <v>766</v>
      </c>
      <c r="J291" s="144"/>
      <c r="K291" s="144"/>
      <c r="L291" s="144"/>
      <c r="M291" s="89"/>
    </row>
    <row r="292" spans="1:13" s="3" customFormat="1" ht="19.5" customHeight="1" x14ac:dyDescent="0.4">
      <c r="A292" s="190">
        <v>46044</v>
      </c>
      <c r="B292" s="5" t="s">
        <v>137</v>
      </c>
      <c r="C292" s="29" t="s">
        <v>332</v>
      </c>
      <c r="D292" s="110" t="s">
        <v>238</v>
      </c>
      <c r="E292" s="110"/>
      <c r="F292" s="81">
        <v>12</v>
      </c>
      <c r="G292" s="49">
        <v>137000</v>
      </c>
      <c r="H292" s="49">
        <f t="shared" si="11"/>
        <v>1644000</v>
      </c>
      <c r="I292" s="49" t="s">
        <v>633</v>
      </c>
      <c r="J292" s="144"/>
      <c r="K292" s="144"/>
      <c r="L292" s="144"/>
      <c r="M292" s="89"/>
    </row>
    <row r="293" spans="1:13" s="3" customFormat="1" ht="19.5" customHeight="1" x14ac:dyDescent="0.4">
      <c r="A293" s="190">
        <v>46044</v>
      </c>
      <c r="B293" s="5" t="s">
        <v>137</v>
      </c>
      <c r="C293" s="29" t="s">
        <v>332</v>
      </c>
      <c r="D293" s="110" t="s">
        <v>420</v>
      </c>
      <c r="E293" s="110"/>
      <c r="F293" s="81">
        <v>79</v>
      </c>
      <c r="G293" s="49">
        <v>137000</v>
      </c>
      <c r="H293" s="49">
        <f t="shared" si="11"/>
        <v>10823000</v>
      </c>
      <c r="I293" s="49" t="s">
        <v>767</v>
      </c>
      <c r="J293" s="144"/>
      <c r="K293" s="144"/>
      <c r="L293" s="144"/>
      <c r="M293" s="89"/>
    </row>
    <row r="294" spans="1:13" s="3" customFormat="1" ht="19.5" customHeight="1" x14ac:dyDescent="0.4">
      <c r="A294" s="190">
        <v>46052</v>
      </c>
      <c r="B294" s="5" t="s">
        <v>137</v>
      </c>
      <c r="C294" s="29" t="s">
        <v>241</v>
      </c>
      <c r="D294" s="110" t="s">
        <v>419</v>
      </c>
      <c r="E294" s="110"/>
      <c r="F294" s="81">
        <v>1</v>
      </c>
      <c r="G294" s="49">
        <v>171300</v>
      </c>
      <c r="H294" s="49">
        <f t="shared" si="11"/>
        <v>171300</v>
      </c>
      <c r="I294" s="49" t="s">
        <v>854</v>
      </c>
      <c r="J294" s="144" t="s">
        <v>847</v>
      </c>
      <c r="K294" s="144"/>
      <c r="L294" s="144"/>
      <c r="M294" s="89"/>
    </row>
    <row r="295" spans="1:13" s="3" customFormat="1" ht="19.5" customHeight="1" x14ac:dyDescent="0.4">
      <c r="A295" s="190">
        <v>46052</v>
      </c>
      <c r="B295" s="5" t="s">
        <v>137</v>
      </c>
      <c r="C295" s="29" t="s">
        <v>241</v>
      </c>
      <c r="D295" s="110" t="s">
        <v>419</v>
      </c>
      <c r="E295" s="110"/>
      <c r="F295" s="81">
        <v>47</v>
      </c>
      <c r="G295" s="49">
        <v>171300</v>
      </c>
      <c r="H295" s="49">
        <f t="shared" si="11"/>
        <v>8051100</v>
      </c>
      <c r="I295" s="49" t="s">
        <v>853</v>
      </c>
      <c r="J295" s="144" t="s">
        <v>847</v>
      </c>
      <c r="K295" s="144"/>
      <c r="L295" s="144"/>
      <c r="M295" s="89"/>
    </row>
    <row r="296" spans="1:13" s="3" customFormat="1" ht="19.5" customHeight="1" x14ac:dyDescent="0.4">
      <c r="A296" s="190">
        <v>46052</v>
      </c>
      <c r="B296" s="5" t="s">
        <v>137</v>
      </c>
      <c r="C296" s="29" t="s">
        <v>233</v>
      </c>
      <c r="D296" s="110" t="s">
        <v>472</v>
      </c>
      <c r="E296" s="110"/>
      <c r="F296" s="81">
        <v>5</v>
      </c>
      <c r="G296" s="49">
        <v>133300</v>
      </c>
      <c r="H296" s="49">
        <f t="shared" si="11"/>
        <v>666500</v>
      </c>
      <c r="I296" s="49" t="s">
        <v>575</v>
      </c>
      <c r="J296" s="144" t="s">
        <v>847</v>
      </c>
      <c r="K296" s="144"/>
      <c r="L296" s="144"/>
      <c r="M296" s="89"/>
    </row>
    <row r="297" spans="1:13" s="3" customFormat="1" ht="19.5" customHeight="1" x14ac:dyDescent="0.4">
      <c r="A297" s="190">
        <v>46052</v>
      </c>
      <c r="B297" s="5" t="s">
        <v>137</v>
      </c>
      <c r="C297" s="29" t="s">
        <v>233</v>
      </c>
      <c r="D297" s="110" t="s">
        <v>472</v>
      </c>
      <c r="E297" s="110"/>
      <c r="F297" s="81">
        <v>60</v>
      </c>
      <c r="G297" s="49">
        <v>133300</v>
      </c>
      <c r="H297" s="49">
        <f t="shared" si="11"/>
        <v>7998000</v>
      </c>
      <c r="I297" s="49" t="s">
        <v>768</v>
      </c>
      <c r="J297" s="144" t="s">
        <v>847</v>
      </c>
      <c r="K297" s="144"/>
      <c r="L297" s="144"/>
      <c r="M297" s="89"/>
    </row>
    <row r="298" spans="1:13" s="3" customFormat="1" ht="19.5" customHeight="1" x14ac:dyDescent="0.4">
      <c r="A298" s="190">
        <v>46052</v>
      </c>
      <c r="B298" s="5" t="s">
        <v>137</v>
      </c>
      <c r="C298" s="29" t="s">
        <v>233</v>
      </c>
      <c r="D298" s="110" t="s">
        <v>472</v>
      </c>
      <c r="E298" s="110"/>
      <c r="F298" s="81">
        <v>70</v>
      </c>
      <c r="G298" s="49">
        <v>133300</v>
      </c>
      <c r="H298" s="49">
        <f t="shared" si="11"/>
        <v>9331000</v>
      </c>
      <c r="I298" s="49" t="s">
        <v>769</v>
      </c>
      <c r="J298" s="144" t="s">
        <v>847</v>
      </c>
      <c r="K298" s="144"/>
      <c r="L298" s="144"/>
      <c r="M298" s="89"/>
    </row>
    <row r="299" spans="1:13" s="3" customFormat="1" ht="19.5" customHeight="1" x14ac:dyDescent="0.4">
      <c r="A299" s="190">
        <v>46052</v>
      </c>
      <c r="B299" s="5" t="s">
        <v>137</v>
      </c>
      <c r="C299" s="29" t="s">
        <v>234</v>
      </c>
      <c r="D299" s="110" t="s">
        <v>333</v>
      </c>
      <c r="E299" s="110"/>
      <c r="F299" s="81">
        <v>88</v>
      </c>
      <c r="G299" s="49">
        <v>69400</v>
      </c>
      <c r="H299" s="49">
        <f t="shared" si="11"/>
        <v>6107200</v>
      </c>
      <c r="I299" s="49" t="s">
        <v>766</v>
      </c>
      <c r="J299" s="144" t="s">
        <v>847</v>
      </c>
      <c r="K299" s="144"/>
      <c r="L299" s="144"/>
      <c r="M299" s="89"/>
    </row>
    <row r="300" spans="1:13" s="3" customFormat="1" ht="19.5" customHeight="1" x14ac:dyDescent="0.4">
      <c r="A300" s="190">
        <v>46052</v>
      </c>
      <c r="B300" s="5" t="s">
        <v>137</v>
      </c>
      <c r="C300" s="29" t="s">
        <v>234</v>
      </c>
      <c r="D300" s="110" t="s">
        <v>333</v>
      </c>
      <c r="E300" s="110"/>
      <c r="F300" s="81">
        <v>100</v>
      </c>
      <c r="G300" s="49">
        <v>69400</v>
      </c>
      <c r="H300" s="49">
        <f t="shared" si="11"/>
        <v>6940000</v>
      </c>
      <c r="I300" s="49" t="s">
        <v>759</v>
      </c>
      <c r="J300" s="144" t="s">
        <v>847</v>
      </c>
      <c r="K300" s="144"/>
      <c r="L300" s="144"/>
      <c r="M300" s="89"/>
    </row>
    <row r="301" spans="1:13" s="3" customFormat="1" ht="19.5" customHeight="1" x14ac:dyDescent="0.4">
      <c r="A301" s="190">
        <v>46052</v>
      </c>
      <c r="B301" s="5" t="s">
        <v>137</v>
      </c>
      <c r="C301" s="29" t="s">
        <v>234</v>
      </c>
      <c r="D301" s="110" t="s">
        <v>333</v>
      </c>
      <c r="E301" s="110"/>
      <c r="F301" s="81">
        <v>9</v>
      </c>
      <c r="G301" s="49">
        <v>69400</v>
      </c>
      <c r="H301" s="49">
        <f t="shared" si="11"/>
        <v>624600</v>
      </c>
      <c r="I301" s="49" t="s">
        <v>770</v>
      </c>
      <c r="J301" s="144" t="s">
        <v>847</v>
      </c>
      <c r="K301" s="144"/>
      <c r="L301" s="144"/>
      <c r="M301" s="89"/>
    </row>
    <row r="302" spans="1:13" s="3" customFormat="1" ht="19.5" customHeight="1" x14ac:dyDescent="0.4">
      <c r="A302" s="193"/>
      <c r="B302" s="194"/>
      <c r="C302" s="40"/>
      <c r="D302" s="194"/>
      <c r="E302" s="194"/>
      <c r="F302" s="91"/>
      <c r="G302" s="138"/>
      <c r="H302" s="138">
        <f>SUM(H277:H293)</f>
        <v>74777300</v>
      </c>
      <c r="I302" s="138"/>
      <c r="J302" s="145"/>
      <c r="K302" s="145"/>
      <c r="L302" s="145"/>
      <c r="M302" s="89"/>
    </row>
    <row r="303" spans="1:13" s="113" customFormat="1" ht="20.25" customHeight="1" x14ac:dyDescent="0.4">
      <c r="A303" s="15"/>
      <c r="B303" s="7" t="s">
        <v>140</v>
      </c>
      <c r="C303" s="29" t="s">
        <v>473</v>
      </c>
      <c r="D303" s="110" t="s">
        <v>246</v>
      </c>
      <c r="E303" s="110" t="s">
        <v>13</v>
      </c>
      <c r="F303" s="81">
        <v>6</v>
      </c>
      <c r="G303" s="81">
        <v>393500</v>
      </c>
      <c r="H303" s="49">
        <f t="shared" ref="H303:H316" si="12">F303*G303</f>
        <v>2361000</v>
      </c>
      <c r="I303" s="111" t="s">
        <v>855</v>
      </c>
      <c r="J303" s="111"/>
      <c r="K303" s="111"/>
      <c r="L303" s="25"/>
    </row>
    <row r="304" spans="1:13" s="113" customFormat="1" ht="20.25" customHeight="1" x14ac:dyDescent="0.4">
      <c r="A304" s="15"/>
      <c r="B304" s="7" t="s">
        <v>140</v>
      </c>
      <c r="C304" s="29" t="s">
        <v>553</v>
      </c>
      <c r="D304" s="110" t="s">
        <v>244</v>
      </c>
      <c r="E304" s="110" t="s">
        <v>13</v>
      </c>
      <c r="F304" s="81">
        <v>12</v>
      </c>
      <c r="G304" s="81">
        <v>973200</v>
      </c>
      <c r="H304" s="49">
        <f t="shared" si="12"/>
        <v>11678400</v>
      </c>
      <c r="I304" s="111" t="s">
        <v>855</v>
      </c>
      <c r="J304" s="111"/>
      <c r="K304" s="111"/>
      <c r="L304" s="25"/>
    </row>
    <row r="305" spans="1:13" s="113" customFormat="1" ht="20.25" customHeight="1" x14ac:dyDescent="0.4">
      <c r="A305" s="15"/>
      <c r="B305" s="7" t="s">
        <v>140</v>
      </c>
      <c r="C305" s="29" t="s">
        <v>554</v>
      </c>
      <c r="D305" s="110" t="s">
        <v>245</v>
      </c>
      <c r="E305" s="110" t="s">
        <v>13</v>
      </c>
      <c r="F305" s="81">
        <v>21</v>
      </c>
      <c r="G305" s="81">
        <v>630500</v>
      </c>
      <c r="H305" s="49">
        <f t="shared" si="12"/>
        <v>13240500</v>
      </c>
      <c r="I305" s="111" t="s">
        <v>855</v>
      </c>
      <c r="J305" s="111"/>
      <c r="K305" s="111"/>
      <c r="L305" s="25"/>
    </row>
    <row r="306" spans="1:13" s="113" customFormat="1" ht="20.25" customHeight="1" x14ac:dyDescent="0.4">
      <c r="A306" s="15"/>
      <c r="B306" s="7" t="s">
        <v>140</v>
      </c>
      <c r="C306" s="29" t="s">
        <v>552</v>
      </c>
      <c r="D306" s="110" t="s">
        <v>243</v>
      </c>
      <c r="E306" s="110" t="s">
        <v>13</v>
      </c>
      <c r="F306" s="81">
        <v>5</v>
      </c>
      <c r="G306" s="81">
        <v>202000</v>
      </c>
      <c r="H306" s="49">
        <f t="shared" si="12"/>
        <v>1010000</v>
      </c>
      <c r="I306" s="111" t="s">
        <v>855</v>
      </c>
      <c r="J306" s="111"/>
      <c r="K306" s="111"/>
      <c r="L306" s="25"/>
    </row>
    <row r="307" spans="1:13" s="113" customFormat="1" ht="20.25" customHeight="1" x14ac:dyDescent="0.4">
      <c r="A307" s="15"/>
      <c r="B307" s="7" t="s">
        <v>140</v>
      </c>
      <c r="C307" s="29" t="s">
        <v>580</v>
      </c>
      <c r="D307" s="110" t="s">
        <v>581</v>
      </c>
      <c r="E307" s="110" t="s">
        <v>13</v>
      </c>
      <c r="F307" s="81">
        <v>10</v>
      </c>
      <c r="G307" s="81">
        <v>984000</v>
      </c>
      <c r="H307" s="49">
        <f t="shared" si="12"/>
        <v>9840000</v>
      </c>
      <c r="I307" s="111" t="s">
        <v>855</v>
      </c>
      <c r="J307" s="111"/>
      <c r="K307" s="111"/>
      <c r="L307" s="25"/>
    </row>
    <row r="308" spans="1:13" s="261" customFormat="1" ht="19.5" customHeight="1" x14ac:dyDescent="0.4">
      <c r="A308" s="15">
        <v>45993</v>
      </c>
      <c r="B308" s="275" t="s">
        <v>140</v>
      </c>
      <c r="C308" s="259" t="s">
        <v>580</v>
      </c>
      <c r="D308" s="257" t="s">
        <v>581</v>
      </c>
      <c r="E308" s="257" t="s">
        <v>13</v>
      </c>
      <c r="F308" s="259">
        <v>3</v>
      </c>
      <c r="G308" s="259">
        <v>984000</v>
      </c>
      <c r="H308" s="259">
        <f t="shared" si="12"/>
        <v>2952000</v>
      </c>
      <c r="I308" s="111" t="s">
        <v>855</v>
      </c>
      <c r="J308" s="258"/>
      <c r="K308" s="258"/>
      <c r="L308" s="258"/>
    </row>
    <row r="309" spans="1:13" s="261" customFormat="1" ht="19.5" customHeight="1" x14ac:dyDescent="0.4">
      <c r="A309" s="15">
        <v>45999</v>
      </c>
      <c r="B309" s="275" t="s">
        <v>140</v>
      </c>
      <c r="C309" s="259" t="s">
        <v>554</v>
      </c>
      <c r="D309" s="257" t="s">
        <v>245</v>
      </c>
      <c r="E309" s="257" t="s">
        <v>13</v>
      </c>
      <c r="F309" s="259">
        <v>1</v>
      </c>
      <c r="G309" s="259">
        <v>630500</v>
      </c>
      <c r="H309" s="259">
        <f t="shared" si="12"/>
        <v>630500</v>
      </c>
      <c r="I309" s="111" t="s">
        <v>855</v>
      </c>
      <c r="J309" s="258"/>
      <c r="K309" s="258"/>
      <c r="L309" s="258"/>
    </row>
    <row r="310" spans="1:13" s="261" customFormat="1" ht="19.5" customHeight="1" x14ac:dyDescent="0.4">
      <c r="A310" s="15">
        <v>45999</v>
      </c>
      <c r="B310" s="275" t="s">
        <v>140</v>
      </c>
      <c r="C310" s="259" t="s">
        <v>552</v>
      </c>
      <c r="D310" s="257" t="s">
        <v>243</v>
      </c>
      <c r="E310" s="257" t="s">
        <v>13</v>
      </c>
      <c r="F310" s="259">
        <v>5</v>
      </c>
      <c r="G310" s="259">
        <v>202000</v>
      </c>
      <c r="H310" s="259">
        <f t="shared" si="12"/>
        <v>1010000</v>
      </c>
      <c r="I310" s="111" t="s">
        <v>855</v>
      </c>
      <c r="J310" s="258"/>
      <c r="K310" s="258"/>
      <c r="L310" s="258"/>
    </row>
    <row r="311" spans="1:13" s="261" customFormat="1" ht="19.5" customHeight="1" x14ac:dyDescent="0.4">
      <c r="A311" s="15">
        <v>46001</v>
      </c>
      <c r="B311" s="275" t="s">
        <v>140</v>
      </c>
      <c r="C311" s="259" t="s">
        <v>552</v>
      </c>
      <c r="D311" s="257" t="s">
        <v>243</v>
      </c>
      <c r="E311" s="257" t="s">
        <v>13</v>
      </c>
      <c r="F311" s="259">
        <v>9</v>
      </c>
      <c r="G311" s="259">
        <v>202000</v>
      </c>
      <c r="H311" s="259">
        <f t="shared" si="12"/>
        <v>1818000</v>
      </c>
      <c r="I311" s="111" t="s">
        <v>855</v>
      </c>
      <c r="J311" s="258"/>
      <c r="K311" s="258"/>
      <c r="L311" s="258"/>
    </row>
    <row r="312" spans="1:13" s="261" customFormat="1" ht="19.5" customHeight="1" x14ac:dyDescent="0.4">
      <c r="A312" s="15">
        <v>46022</v>
      </c>
      <c r="B312" s="275" t="s">
        <v>140</v>
      </c>
      <c r="C312" s="259" t="s">
        <v>643</v>
      </c>
      <c r="D312" s="257" t="s">
        <v>644</v>
      </c>
      <c r="E312" s="257" t="s">
        <v>13</v>
      </c>
      <c r="F312" s="259">
        <v>11</v>
      </c>
      <c r="G312" s="259">
        <v>202000</v>
      </c>
      <c r="H312" s="259">
        <f t="shared" si="12"/>
        <v>2222000</v>
      </c>
      <c r="I312" s="111" t="s">
        <v>855</v>
      </c>
      <c r="J312" s="258"/>
      <c r="K312" s="258"/>
      <c r="L312" s="258"/>
    </row>
    <row r="313" spans="1:13" s="3" customFormat="1" ht="19.5" customHeight="1" x14ac:dyDescent="0.4">
      <c r="A313" s="190">
        <v>46028</v>
      </c>
      <c r="B313" s="110" t="s">
        <v>140</v>
      </c>
      <c r="C313" s="29" t="s">
        <v>643</v>
      </c>
      <c r="D313" s="110" t="s">
        <v>644</v>
      </c>
      <c r="E313" s="110" t="s">
        <v>13</v>
      </c>
      <c r="F313" s="81">
        <v>9</v>
      </c>
      <c r="G313" s="49">
        <v>202000</v>
      </c>
      <c r="H313" s="7">
        <f t="shared" si="12"/>
        <v>1818000</v>
      </c>
      <c r="I313" s="49" t="s">
        <v>856</v>
      </c>
      <c r="J313" s="144"/>
      <c r="K313" s="144"/>
      <c r="L313" s="144"/>
      <c r="M313" s="89"/>
    </row>
    <row r="314" spans="1:13" s="3" customFormat="1" ht="19.5" customHeight="1" x14ac:dyDescent="0.4">
      <c r="A314" s="190">
        <v>46030</v>
      </c>
      <c r="B314" s="110" t="s">
        <v>140</v>
      </c>
      <c r="C314" s="29" t="s">
        <v>643</v>
      </c>
      <c r="D314" s="110" t="s">
        <v>644</v>
      </c>
      <c r="E314" s="110" t="s">
        <v>13</v>
      </c>
      <c r="F314" s="81">
        <v>11</v>
      </c>
      <c r="G314" s="49">
        <v>202000</v>
      </c>
      <c r="H314" s="7">
        <f t="shared" si="12"/>
        <v>2222000</v>
      </c>
      <c r="I314" s="49" t="s">
        <v>856</v>
      </c>
      <c r="J314" s="144"/>
      <c r="K314" s="144"/>
      <c r="L314" s="144"/>
      <c r="M314" s="89"/>
    </row>
    <row r="315" spans="1:13" s="3" customFormat="1" ht="19.5" customHeight="1" x14ac:dyDescent="0.4">
      <c r="A315" s="190">
        <v>46031</v>
      </c>
      <c r="B315" s="110" t="s">
        <v>140</v>
      </c>
      <c r="C315" s="29" t="s">
        <v>771</v>
      </c>
      <c r="D315" s="110" t="s">
        <v>772</v>
      </c>
      <c r="E315" s="110" t="s">
        <v>13</v>
      </c>
      <c r="F315" s="81">
        <v>3</v>
      </c>
      <c r="G315" s="49">
        <v>633000</v>
      </c>
      <c r="H315" s="7">
        <f t="shared" si="12"/>
        <v>1899000</v>
      </c>
      <c r="I315" s="49" t="s">
        <v>856</v>
      </c>
      <c r="J315" s="144"/>
      <c r="K315" s="144"/>
      <c r="L315" s="144"/>
      <c r="M315" s="89"/>
    </row>
    <row r="316" spans="1:13" s="3" customFormat="1" ht="19.5" customHeight="1" x14ac:dyDescent="0.4">
      <c r="A316" s="190">
        <v>46038</v>
      </c>
      <c r="B316" s="110" t="s">
        <v>140</v>
      </c>
      <c r="C316" s="29" t="s">
        <v>771</v>
      </c>
      <c r="D316" s="110" t="s">
        <v>772</v>
      </c>
      <c r="E316" s="110" t="s">
        <v>13</v>
      </c>
      <c r="F316" s="81">
        <v>4</v>
      </c>
      <c r="G316" s="49">
        <v>633000</v>
      </c>
      <c r="H316" s="7">
        <f t="shared" si="12"/>
        <v>2532000</v>
      </c>
      <c r="I316" s="49" t="s">
        <v>856</v>
      </c>
      <c r="J316" s="144"/>
      <c r="K316" s="144"/>
      <c r="L316" s="144"/>
      <c r="M316" s="89"/>
    </row>
    <row r="317" spans="1:13" s="3" customFormat="1" ht="19.5" customHeight="1" x14ac:dyDescent="0.4">
      <c r="A317" s="190">
        <v>46045</v>
      </c>
      <c r="B317" s="110" t="s">
        <v>140</v>
      </c>
      <c r="C317" s="29" t="s">
        <v>771</v>
      </c>
      <c r="D317" s="110" t="s">
        <v>772</v>
      </c>
      <c r="E317" s="110" t="s">
        <v>13</v>
      </c>
      <c r="F317" s="81">
        <v>3</v>
      </c>
      <c r="G317" s="49">
        <v>633000</v>
      </c>
      <c r="H317" s="7">
        <f t="shared" ref="H317:H346" si="13">F317*G317</f>
        <v>1899000</v>
      </c>
      <c r="I317" s="49" t="s">
        <v>856</v>
      </c>
      <c r="J317" s="196"/>
      <c r="K317" s="196"/>
      <c r="L317" s="196"/>
      <c r="M317" s="89"/>
    </row>
    <row r="318" spans="1:13" s="113" customFormat="1" ht="20.25" customHeight="1" x14ac:dyDescent="0.4">
      <c r="A318" s="15"/>
      <c r="B318" s="7" t="s">
        <v>140</v>
      </c>
      <c r="C318" s="29" t="s">
        <v>555</v>
      </c>
      <c r="D318" s="110" t="s">
        <v>248</v>
      </c>
      <c r="E318" s="110" t="s">
        <v>13</v>
      </c>
      <c r="F318" s="81">
        <v>3</v>
      </c>
      <c r="G318" s="81">
        <v>227500</v>
      </c>
      <c r="H318" s="49">
        <f t="shared" si="13"/>
        <v>682500</v>
      </c>
      <c r="I318" s="111" t="s">
        <v>834</v>
      </c>
      <c r="J318" s="111"/>
      <c r="K318" s="111"/>
      <c r="L318" s="25"/>
    </row>
    <row r="319" spans="1:13" s="113" customFormat="1" ht="20.25" customHeight="1" x14ac:dyDescent="0.4">
      <c r="A319" s="15"/>
      <c r="B319" s="7" t="s">
        <v>140</v>
      </c>
      <c r="C319" s="29" t="s">
        <v>595</v>
      </c>
      <c r="D319" s="110" t="s">
        <v>247</v>
      </c>
      <c r="E319" s="110" t="s">
        <v>13</v>
      </c>
      <c r="F319" s="81">
        <v>3</v>
      </c>
      <c r="G319" s="81">
        <v>56100</v>
      </c>
      <c r="H319" s="49">
        <f t="shared" si="13"/>
        <v>168300</v>
      </c>
      <c r="I319" s="111" t="s">
        <v>834</v>
      </c>
      <c r="J319" s="111" t="s">
        <v>598</v>
      </c>
      <c r="K319" s="111"/>
      <c r="L319" s="25"/>
    </row>
    <row r="320" spans="1:13" s="113" customFormat="1" ht="20.25" customHeight="1" x14ac:dyDescent="0.4">
      <c r="A320" s="15"/>
      <c r="B320" s="7" t="s">
        <v>140</v>
      </c>
      <c r="C320" s="29" t="s">
        <v>473</v>
      </c>
      <c r="D320" s="110" t="s">
        <v>246</v>
      </c>
      <c r="E320" s="110" t="s">
        <v>13</v>
      </c>
      <c r="F320" s="81">
        <v>3</v>
      </c>
      <c r="G320" s="81">
        <v>393500</v>
      </c>
      <c r="H320" s="49">
        <f t="shared" si="13"/>
        <v>1180500</v>
      </c>
      <c r="I320" s="111" t="s">
        <v>834</v>
      </c>
      <c r="J320" s="111"/>
      <c r="K320" s="111"/>
      <c r="L320" s="25"/>
    </row>
    <row r="321" spans="1:12" s="113" customFormat="1" ht="20.25" customHeight="1" x14ac:dyDescent="0.4">
      <c r="A321" s="15"/>
      <c r="B321" s="7" t="s">
        <v>140</v>
      </c>
      <c r="C321" s="29" t="s">
        <v>596</v>
      </c>
      <c r="D321" s="110" t="s">
        <v>597</v>
      </c>
      <c r="E321" s="110" t="s">
        <v>13</v>
      </c>
      <c r="F321" s="81">
        <v>2</v>
      </c>
      <c r="G321" s="81">
        <v>423620</v>
      </c>
      <c r="H321" s="49">
        <f t="shared" si="13"/>
        <v>847240</v>
      </c>
      <c r="I321" s="111" t="s">
        <v>834</v>
      </c>
      <c r="J321" s="111"/>
      <c r="K321" s="111"/>
      <c r="L321" s="25"/>
    </row>
    <row r="322" spans="1:12" s="113" customFormat="1" ht="20.25" customHeight="1" x14ac:dyDescent="0.4">
      <c r="A322" s="15"/>
      <c r="B322" s="7" t="s">
        <v>140</v>
      </c>
      <c r="C322" s="29" t="s">
        <v>474</v>
      </c>
      <c r="D322" s="110" t="s">
        <v>475</v>
      </c>
      <c r="E322" s="110" t="s">
        <v>11</v>
      </c>
      <c r="F322" s="81">
        <v>10</v>
      </c>
      <c r="G322" s="81">
        <v>652000</v>
      </c>
      <c r="H322" s="49">
        <f t="shared" si="13"/>
        <v>6520000</v>
      </c>
      <c r="I322" s="111" t="s">
        <v>834</v>
      </c>
      <c r="J322" s="111"/>
      <c r="K322" s="111"/>
      <c r="L322" s="25"/>
    </row>
    <row r="323" spans="1:12" s="113" customFormat="1" ht="20.25" customHeight="1" x14ac:dyDescent="0.4">
      <c r="A323" s="15"/>
      <c r="B323" s="7" t="s">
        <v>140</v>
      </c>
      <c r="C323" s="29" t="s">
        <v>540</v>
      </c>
      <c r="D323" s="110" t="s">
        <v>541</v>
      </c>
      <c r="E323" s="110" t="s">
        <v>13</v>
      </c>
      <c r="F323" s="81">
        <v>13</v>
      </c>
      <c r="G323" s="81">
        <v>102000</v>
      </c>
      <c r="H323" s="49">
        <f t="shared" si="13"/>
        <v>1326000</v>
      </c>
      <c r="I323" s="111" t="s">
        <v>834</v>
      </c>
      <c r="J323" s="111"/>
      <c r="K323" s="111"/>
      <c r="L323" s="25"/>
    </row>
    <row r="324" spans="1:12" s="113" customFormat="1" ht="20.25" customHeight="1" x14ac:dyDescent="0.4">
      <c r="A324" s="15"/>
      <c r="B324" s="7" t="s">
        <v>140</v>
      </c>
      <c r="C324" s="29" t="s">
        <v>553</v>
      </c>
      <c r="D324" s="110" t="s">
        <v>244</v>
      </c>
      <c r="E324" s="110" t="s">
        <v>13</v>
      </c>
      <c r="F324" s="81">
        <v>5</v>
      </c>
      <c r="G324" s="81">
        <v>973200</v>
      </c>
      <c r="H324" s="49">
        <f t="shared" si="13"/>
        <v>4866000</v>
      </c>
      <c r="I324" s="111" t="s">
        <v>834</v>
      </c>
      <c r="J324" s="111"/>
      <c r="K324" s="111"/>
      <c r="L324" s="25"/>
    </row>
    <row r="325" spans="1:12" s="261" customFormat="1" ht="19.5" customHeight="1" x14ac:dyDescent="0.4">
      <c r="A325" s="15">
        <v>45993</v>
      </c>
      <c r="B325" s="275" t="s">
        <v>140</v>
      </c>
      <c r="C325" s="259" t="s">
        <v>473</v>
      </c>
      <c r="D325" s="257" t="s">
        <v>246</v>
      </c>
      <c r="E325" s="257" t="s">
        <v>13</v>
      </c>
      <c r="F325" s="259">
        <v>7</v>
      </c>
      <c r="G325" s="259">
        <v>393500</v>
      </c>
      <c r="H325" s="259">
        <f t="shared" si="13"/>
        <v>2754500</v>
      </c>
      <c r="I325" s="111" t="s">
        <v>834</v>
      </c>
      <c r="J325" s="258"/>
      <c r="K325" s="258"/>
      <c r="L325" s="258"/>
    </row>
    <row r="326" spans="1:12" s="261" customFormat="1" ht="19.5" customHeight="1" x14ac:dyDescent="0.4">
      <c r="A326" s="15">
        <v>45993</v>
      </c>
      <c r="B326" s="275" t="s">
        <v>140</v>
      </c>
      <c r="C326" s="259" t="s">
        <v>553</v>
      </c>
      <c r="D326" s="257" t="s">
        <v>244</v>
      </c>
      <c r="E326" s="257" t="s">
        <v>13</v>
      </c>
      <c r="F326" s="259">
        <v>3</v>
      </c>
      <c r="G326" s="259">
        <v>973200</v>
      </c>
      <c r="H326" s="259">
        <f t="shared" si="13"/>
        <v>2919600</v>
      </c>
      <c r="I326" s="111" t="s">
        <v>834</v>
      </c>
      <c r="J326" s="258"/>
      <c r="K326" s="258"/>
      <c r="L326" s="258"/>
    </row>
    <row r="327" spans="1:12" s="261" customFormat="1" ht="19.5" customHeight="1" x14ac:dyDescent="0.4">
      <c r="A327" s="15">
        <v>45993</v>
      </c>
      <c r="B327" s="275" t="s">
        <v>140</v>
      </c>
      <c r="C327" s="259" t="s">
        <v>641</v>
      </c>
      <c r="D327" s="257" t="s">
        <v>244</v>
      </c>
      <c r="E327" s="257" t="s">
        <v>13</v>
      </c>
      <c r="F327" s="259">
        <v>3</v>
      </c>
      <c r="G327" s="259">
        <v>973200</v>
      </c>
      <c r="H327" s="259">
        <f t="shared" si="13"/>
        <v>2919600</v>
      </c>
      <c r="I327" s="111" t="s">
        <v>834</v>
      </c>
      <c r="J327" s="258"/>
      <c r="K327" s="258"/>
      <c r="L327" s="258"/>
    </row>
    <row r="328" spans="1:12" s="261" customFormat="1" ht="19.5" customHeight="1" x14ac:dyDescent="0.4">
      <c r="A328" s="15">
        <v>45993</v>
      </c>
      <c r="B328" s="275" t="s">
        <v>140</v>
      </c>
      <c r="C328" s="259" t="s">
        <v>554</v>
      </c>
      <c r="D328" s="257" t="s">
        <v>245</v>
      </c>
      <c r="E328" s="257" t="s">
        <v>13</v>
      </c>
      <c r="F328" s="259">
        <v>2</v>
      </c>
      <c r="G328" s="259">
        <v>630500</v>
      </c>
      <c r="H328" s="259">
        <f t="shared" si="13"/>
        <v>1261000</v>
      </c>
      <c r="I328" s="111" t="s">
        <v>834</v>
      </c>
      <c r="J328" s="258"/>
      <c r="K328" s="258"/>
      <c r="L328" s="258"/>
    </row>
    <row r="329" spans="1:12" s="261" customFormat="1" ht="19.5" customHeight="1" x14ac:dyDescent="0.4">
      <c r="A329" s="15">
        <v>45993</v>
      </c>
      <c r="B329" s="275" t="s">
        <v>140</v>
      </c>
      <c r="C329" s="259" t="s">
        <v>580</v>
      </c>
      <c r="D329" s="257" t="s">
        <v>581</v>
      </c>
      <c r="E329" s="257" t="s">
        <v>13</v>
      </c>
      <c r="F329" s="259">
        <v>4</v>
      </c>
      <c r="G329" s="259">
        <v>984000</v>
      </c>
      <c r="H329" s="259">
        <f t="shared" si="13"/>
        <v>3936000</v>
      </c>
      <c r="I329" s="111" t="s">
        <v>834</v>
      </c>
      <c r="J329" s="258"/>
      <c r="K329" s="258"/>
      <c r="L329" s="258"/>
    </row>
    <row r="330" spans="1:12" s="261" customFormat="1" ht="19.5" customHeight="1" x14ac:dyDescent="0.4">
      <c r="A330" s="15">
        <v>45993</v>
      </c>
      <c r="B330" s="275" t="s">
        <v>140</v>
      </c>
      <c r="C330" s="259" t="s">
        <v>474</v>
      </c>
      <c r="D330" s="257" t="s">
        <v>475</v>
      </c>
      <c r="E330" s="257" t="s">
        <v>11</v>
      </c>
      <c r="F330" s="259">
        <v>12</v>
      </c>
      <c r="G330" s="259">
        <v>652000</v>
      </c>
      <c r="H330" s="259">
        <f t="shared" si="13"/>
        <v>7824000</v>
      </c>
      <c r="I330" s="111" t="s">
        <v>834</v>
      </c>
      <c r="J330" s="258"/>
      <c r="K330" s="258"/>
      <c r="L330" s="258"/>
    </row>
    <row r="331" spans="1:12" s="261" customFormat="1" ht="19.5" customHeight="1" x14ac:dyDescent="0.4">
      <c r="A331" s="15">
        <v>45999</v>
      </c>
      <c r="B331" s="275" t="s">
        <v>140</v>
      </c>
      <c r="C331" s="259" t="s">
        <v>580</v>
      </c>
      <c r="D331" s="257" t="s">
        <v>581</v>
      </c>
      <c r="E331" s="257" t="s">
        <v>13</v>
      </c>
      <c r="F331" s="259">
        <v>2</v>
      </c>
      <c r="G331" s="259">
        <v>984000</v>
      </c>
      <c r="H331" s="256">
        <f t="shared" si="13"/>
        <v>1968000</v>
      </c>
      <c r="I331" s="111" t="s">
        <v>834</v>
      </c>
      <c r="J331" s="258"/>
      <c r="K331" s="258"/>
      <c r="L331" s="258"/>
    </row>
    <row r="332" spans="1:12" s="261" customFormat="1" ht="19.5" customHeight="1" x14ac:dyDescent="0.4">
      <c r="A332" s="15">
        <v>45999</v>
      </c>
      <c r="B332" s="275" t="s">
        <v>140</v>
      </c>
      <c r="C332" s="259" t="s">
        <v>539</v>
      </c>
      <c r="D332" s="257" t="s">
        <v>242</v>
      </c>
      <c r="E332" s="257" t="s">
        <v>13</v>
      </c>
      <c r="F332" s="259">
        <v>4</v>
      </c>
      <c r="G332" s="256">
        <v>175300</v>
      </c>
      <c r="H332" s="256">
        <f t="shared" si="13"/>
        <v>701200</v>
      </c>
      <c r="I332" s="111" t="s">
        <v>834</v>
      </c>
      <c r="J332" s="258"/>
      <c r="K332" s="258"/>
      <c r="L332" s="258"/>
    </row>
    <row r="333" spans="1:12" s="261" customFormat="1" ht="19.5" customHeight="1" x14ac:dyDescent="0.4">
      <c r="A333" s="15">
        <v>46001</v>
      </c>
      <c r="B333" s="275" t="s">
        <v>140</v>
      </c>
      <c r="C333" s="259" t="s">
        <v>554</v>
      </c>
      <c r="D333" s="257" t="s">
        <v>245</v>
      </c>
      <c r="E333" s="257" t="s">
        <v>13</v>
      </c>
      <c r="F333" s="259">
        <v>5</v>
      </c>
      <c r="G333" s="256">
        <v>630500</v>
      </c>
      <c r="H333" s="256">
        <f t="shared" si="13"/>
        <v>3152500</v>
      </c>
      <c r="I333" s="111" t="s">
        <v>834</v>
      </c>
      <c r="J333" s="258"/>
      <c r="K333" s="258"/>
      <c r="L333" s="258"/>
    </row>
    <row r="334" spans="1:12" s="261" customFormat="1" ht="19.5" customHeight="1" x14ac:dyDescent="0.4">
      <c r="A334" s="15">
        <v>46001</v>
      </c>
      <c r="B334" s="275" t="s">
        <v>140</v>
      </c>
      <c r="C334" s="259" t="s">
        <v>539</v>
      </c>
      <c r="D334" s="257" t="s">
        <v>242</v>
      </c>
      <c r="E334" s="257" t="s">
        <v>13</v>
      </c>
      <c r="F334" s="259">
        <v>4</v>
      </c>
      <c r="G334" s="259">
        <v>175300</v>
      </c>
      <c r="H334" s="256">
        <f t="shared" si="13"/>
        <v>701200</v>
      </c>
      <c r="I334" s="111" t="s">
        <v>834</v>
      </c>
      <c r="J334" s="258"/>
      <c r="K334" s="258"/>
      <c r="L334" s="258"/>
    </row>
    <row r="335" spans="1:12" s="261" customFormat="1" ht="19.5" customHeight="1" x14ac:dyDescent="0.4">
      <c r="A335" s="15">
        <v>46003</v>
      </c>
      <c r="B335" s="275" t="s">
        <v>140</v>
      </c>
      <c r="C335" s="259" t="s">
        <v>476</v>
      </c>
      <c r="D335" s="257" t="s">
        <v>477</v>
      </c>
      <c r="E335" s="257" t="s">
        <v>11</v>
      </c>
      <c r="F335" s="259">
        <v>2</v>
      </c>
      <c r="G335" s="256">
        <v>271000</v>
      </c>
      <c r="H335" s="256">
        <f t="shared" si="13"/>
        <v>542000</v>
      </c>
      <c r="I335" s="111" t="s">
        <v>834</v>
      </c>
      <c r="J335" s="258"/>
      <c r="K335" s="258"/>
      <c r="L335" s="258"/>
    </row>
    <row r="336" spans="1:12" s="261" customFormat="1" ht="19.5" customHeight="1" x14ac:dyDescent="0.4">
      <c r="A336" s="15">
        <v>46009</v>
      </c>
      <c r="B336" s="275" t="s">
        <v>140</v>
      </c>
      <c r="C336" s="259" t="s">
        <v>580</v>
      </c>
      <c r="D336" s="257" t="s">
        <v>581</v>
      </c>
      <c r="E336" s="257" t="s">
        <v>13</v>
      </c>
      <c r="F336" s="259">
        <v>8</v>
      </c>
      <c r="G336" s="259">
        <v>984000</v>
      </c>
      <c r="H336" s="256">
        <f t="shared" si="13"/>
        <v>7872000</v>
      </c>
      <c r="I336" s="111" t="s">
        <v>834</v>
      </c>
      <c r="J336" s="258"/>
      <c r="K336" s="258"/>
      <c r="L336" s="258"/>
    </row>
    <row r="337" spans="1:13" s="261" customFormat="1" ht="19.5" customHeight="1" x14ac:dyDescent="0.4">
      <c r="A337" s="15">
        <v>46017</v>
      </c>
      <c r="B337" s="275" t="s">
        <v>140</v>
      </c>
      <c r="C337" s="259" t="s">
        <v>554</v>
      </c>
      <c r="D337" s="257" t="s">
        <v>642</v>
      </c>
      <c r="E337" s="257" t="s">
        <v>13</v>
      </c>
      <c r="F337" s="259">
        <v>3</v>
      </c>
      <c r="G337" s="256">
        <v>630500</v>
      </c>
      <c r="H337" s="256">
        <f t="shared" si="13"/>
        <v>1891500</v>
      </c>
      <c r="I337" s="111" t="s">
        <v>834</v>
      </c>
      <c r="J337" s="258"/>
      <c r="K337" s="258"/>
      <c r="L337" s="258"/>
    </row>
    <row r="338" spans="1:13" s="261" customFormat="1" ht="19.5" customHeight="1" x14ac:dyDescent="0.4">
      <c r="A338" s="15">
        <v>46022</v>
      </c>
      <c r="B338" s="275" t="s">
        <v>140</v>
      </c>
      <c r="C338" s="259" t="s">
        <v>641</v>
      </c>
      <c r="D338" s="257" t="s">
        <v>244</v>
      </c>
      <c r="E338" s="257" t="s">
        <v>13</v>
      </c>
      <c r="F338" s="259">
        <v>2</v>
      </c>
      <c r="G338" s="259">
        <v>973200</v>
      </c>
      <c r="H338" s="256">
        <f t="shared" si="13"/>
        <v>1946400</v>
      </c>
      <c r="I338" s="111" t="s">
        <v>834</v>
      </c>
      <c r="J338" s="258"/>
      <c r="K338" s="258"/>
      <c r="L338" s="258"/>
    </row>
    <row r="339" spans="1:13" s="3" customFormat="1" ht="19.5" customHeight="1" x14ac:dyDescent="0.4">
      <c r="A339" s="190">
        <v>46027</v>
      </c>
      <c r="B339" s="110" t="s">
        <v>140</v>
      </c>
      <c r="C339" s="29" t="s">
        <v>553</v>
      </c>
      <c r="D339" s="110" t="s">
        <v>244</v>
      </c>
      <c r="E339" s="110" t="s">
        <v>13</v>
      </c>
      <c r="F339" s="81">
        <v>2</v>
      </c>
      <c r="G339" s="49">
        <v>973200</v>
      </c>
      <c r="H339" s="7">
        <f t="shared" si="13"/>
        <v>1946400</v>
      </c>
      <c r="I339" s="111" t="s">
        <v>834</v>
      </c>
      <c r="J339" s="144"/>
      <c r="K339" s="144"/>
      <c r="L339" s="144"/>
      <c r="M339" s="89"/>
    </row>
    <row r="340" spans="1:13" s="3" customFormat="1" ht="19.5" customHeight="1" x14ac:dyDescent="0.4">
      <c r="A340" s="190">
        <v>46027</v>
      </c>
      <c r="B340" s="110" t="s">
        <v>140</v>
      </c>
      <c r="C340" s="29" t="s">
        <v>580</v>
      </c>
      <c r="D340" s="110" t="s">
        <v>581</v>
      </c>
      <c r="E340" s="110" t="s">
        <v>13</v>
      </c>
      <c r="F340" s="81">
        <v>2</v>
      </c>
      <c r="G340" s="49">
        <v>984000</v>
      </c>
      <c r="H340" s="7">
        <f t="shared" si="13"/>
        <v>1968000</v>
      </c>
      <c r="I340" s="111" t="s">
        <v>834</v>
      </c>
      <c r="J340" s="144"/>
      <c r="K340" s="144"/>
      <c r="L340" s="144"/>
      <c r="M340" s="89"/>
    </row>
    <row r="341" spans="1:13" s="3" customFormat="1" ht="19.5" customHeight="1" x14ac:dyDescent="0.4">
      <c r="A341" s="190">
        <v>46030</v>
      </c>
      <c r="B341" s="110" t="s">
        <v>140</v>
      </c>
      <c r="C341" s="29" t="s">
        <v>553</v>
      </c>
      <c r="D341" s="110" t="s">
        <v>244</v>
      </c>
      <c r="E341" s="110" t="s">
        <v>13</v>
      </c>
      <c r="F341" s="81">
        <v>2</v>
      </c>
      <c r="G341" s="49">
        <v>973200</v>
      </c>
      <c r="H341" s="7">
        <f t="shared" si="13"/>
        <v>1946400</v>
      </c>
      <c r="I341" s="111" t="s">
        <v>834</v>
      </c>
      <c r="J341" s="144"/>
      <c r="K341" s="144"/>
      <c r="L341" s="144"/>
      <c r="M341" s="89"/>
    </row>
    <row r="342" spans="1:13" s="3" customFormat="1" ht="19.5" customHeight="1" x14ac:dyDescent="0.4">
      <c r="A342" s="190">
        <v>46030</v>
      </c>
      <c r="B342" s="110" t="s">
        <v>140</v>
      </c>
      <c r="C342" s="29" t="s">
        <v>643</v>
      </c>
      <c r="D342" s="110" t="s">
        <v>644</v>
      </c>
      <c r="E342" s="110" t="s">
        <v>13</v>
      </c>
      <c r="F342" s="81">
        <v>1</v>
      </c>
      <c r="G342" s="49">
        <v>202000</v>
      </c>
      <c r="H342" s="7">
        <f t="shared" si="13"/>
        <v>202000</v>
      </c>
      <c r="I342" s="111" t="s">
        <v>834</v>
      </c>
      <c r="J342" s="144"/>
      <c r="K342" s="144"/>
      <c r="L342" s="144"/>
      <c r="M342" s="89"/>
    </row>
    <row r="343" spans="1:13" s="3" customFormat="1" ht="19.5" customHeight="1" x14ac:dyDescent="0.4">
      <c r="A343" s="190">
        <v>46038</v>
      </c>
      <c r="B343" s="110" t="s">
        <v>140</v>
      </c>
      <c r="C343" s="29" t="s">
        <v>643</v>
      </c>
      <c r="D343" s="110" t="s">
        <v>644</v>
      </c>
      <c r="E343" s="110" t="s">
        <v>13</v>
      </c>
      <c r="F343" s="81">
        <v>27</v>
      </c>
      <c r="G343" s="49">
        <v>202000</v>
      </c>
      <c r="H343" s="7">
        <f t="shared" si="13"/>
        <v>5454000</v>
      </c>
      <c r="I343" s="111" t="s">
        <v>834</v>
      </c>
      <c r="J343" s="144"/>
      <c r="K343" s="144"/>
      <c r="L343" s="144"/>
      <c r="M343" s="89"/>
    </row>
    <row r="344" spans="1:13" s="3" customFormat="1" ht="19.5" customHeight="1" x14ac:dyDescent="0.4">
      <c r="A344" s="190">
        <v>46038</v>
      </c>
      <c r="B344" s="110" t="s">
        <v>140</v>
      </c>
      <c r="C344" s="29" t="s">
        <v>553</v>
      </c>
      <c r="D344" s="110" t="s">
        <v>244</v>
      </c>
      <c r="E344" s="110" t="s">
        <v>13</v>
      </c>
      <c r="F344" s="81">
        <v>2</v>
      </c>
      <c r="G344" s="81">
        <v>973200</v>
      </c>
      <c r="H344" s="8">
        <f t="shared" si="13"/>
        <v>1946400</v>
      </c>
      <c r="I344" s="111" t="s">
        <v>834</v>
      </c>
      <c r="J344" s="196"/>
      <c r="K344" s="196"/>
      <c r="L344" s="196"/>
      <c r="M344" s="89"/>
    </row>
    <row r="345" spans="1:13" s="3" customFormat="1" ht="19.5" customHeight="1" x14ac:dyDescent="0.4">
      <c r="A345" s="190">
        <v>46038</v>
      </c>
      <c r="B345" s="110" t="s">
        <v>140</v>
      </c>
      <c r="C345" s="29" t="s">
        <v>580</v>
      </c>
      <c r="D345" s="110" t="s">
        <v>581</v>
      </c>
      <c r="E345" s="110" t="s">
        <v>13</v>
      </c>
      <c r="F345" s="81">
        <v>2</v>
      </c>
      <c r="G345" s="81">
        <v>984000</v>
      </c>
      <c r="H345" s="8">
        <f t="shared" si="13"/>
        <v>1968000</v>
      </c>
      <c r="I345" s="111" t="s">
        <v>834</v>
      </c>
      <c r="J345" s="196"/>
      <c r="K345" s="196"/>
      <c r="L345" s="196"/>
      <c r="M345" s="89"/>
    </row>
    <row r="346" spans="1:13" s="3" customFormat="1" ht="19.5" customHeight="1" x14ac:dyDescent="0.4">
      <c r="A346" s="190">
        <v>46043</v>
      </c>
      <c r="B346" s="110" t="s">
        <v>140</v>
      </c>
      <c r="C346" s="29" t="s">
        <v>553</v>
      </c>
      <c r="D346" s="110" t="s">
        <v>244</v>
      </c>
      <c r="E346" s="110" t="s">
        <v>13</v>
      </c>
      <c r="F346" s="81">
        <v>2</v>
      </c>
      <c r="G346" s="49">
        <v>973200</v>
      </c>
      <c r="H346" s="7">
        <f t="shared" si="13"/>
        <v>1946400</v>
      </c>
      <c r="I346" s="111" t="s">
        <v>834</v>
      </c>
      <c r="J346" s="196"/>
      <c r="K346" s="196"/>
      <c r="L346" s="196"/>
      <c r="M346" s="89"/>
    </row>
    <row r="347" spans="1:13" s="3" customFormat="1" ht="19.5" customHeight="1" x14ac:dyDescent="0.4">
      <c r="A347" s="190">
        <v>46043</v>
      </c>
      <c r="B347" s="110" t="s">
        <v>140</v>
      </c>
      <c r="C347" s="29" t="s">
        <v>553</v>
      </c>
      <c r="D347" s="110" t="s">
        <v>244</v>
      </c>
      <c r="E347" s="110" t="s">
        <v>13</v>
      </c>
      <c r="F347" s="81">
        <v>1</v>
      </c>
      <c r="G347" s="49">
        <v>973200</v>
      </c>
      <c r="H347" s="81" t="s">
        <v>344</v>
      </c>
      <c r="I347" s="111" t="s">
        <v>834</v>
      </c>
      <c r="J347" s="196"/>
      <c r="K347" s="196"/>
      <c r="L347" s="81" t="s">
        <v>344</v>
      </c>
      <c r="M347" s="89"/>
    </row>
    <row r="348" spans="1:13" s="3" customFormat="1" ht="19.5" customHeight="1" x14ac:dyDescent="0.4">
      <c r="A348" s="190">
        <v>46043</v>
      </c>
      <c r="B348" s="110" t="s">
        <v>140</v>
      </c>
      <c r="C348" s="29" t="s">
        <v>552</v>
      </c>
      <c r="D348" s="110" t="s">
        <v>243</v>
      </c>
      <c r="E348" s="110" t="s">
        <v>13</v>
      </c>
      <c r="F348" s="81">
        <v>6</v>
      </c>
      <c r="G348" s="81">
        <v>202000</v>
      </c>
      <c r="H348" s="81" t="s">
        <v>344</v>
      </c>
      <c r="I348" s="111" t="s">
        <v>834</v>
      </c>
      <c r="J348" s="196"/>
      <c r="K348" s="196"/>
      <c r="L348" s="81" t="s">
        <v>344</v>
      </c>
      <c r="M348" s="89"/>
    </row>
    <row r="349" spans="1:13" s="3" customFormat="1" ht="19.5" customHeight="1" x14ac:dyDescent="0.4">
      <c r="A349" s="190">
        <v>46043</v>
      </c>
      <c r="B349" s="110" t="s">
        <v>140</v>
      </c>
      <c r="C349" s="395" t="s">
        <v>773</v>
      </c>
      <c r="D349" s="46" t="s">
        <v>774</v>
      </c>
      <c r="E349" s="46" t="s">
        <v>775</v>
      </c>
      <c r="F349" s="81">
        <v>1</v>
      </c>
      <c r="G349" s="81">
        <v>69700</v>
      </c>
      <c r="H349" s="81" t="s">
        <v>344</v>
      </c>
      <c r="I349" s="111" t="s">
        <v>834</v>
      </c>
      <c r="J349" s="196"/>
      <c r="K349" s="196"/>
      <c r="L349" s="81" t="s">
        <v>344</v>
      </c>
      <c r="M349" s="89"/>
    </row>
    <row r="350" spans="1:13" s="3" customFormat="1" ht="19.5" customHeight="1" x14ac:dyDescent="0.4">
      <c r="A350" s="190">
        <v>46045</v>
      </c>
      <c r="B350" s="110" t="s">
        <v>140</v>
      </c>
      <c r="C350" s="29" t="s">
        <v>553</v>
      </c>
      <c r="D350" s="110" t="s">
        <v>244</v>
      </c>
      <c r="E350" s="110" t="s">
        <v>13</v>
      </c>
      <c r="F350" s="81">
        <v>3</v>
      </c>
      <c r="G350" s="49">
        <v>973200</v>
      </c>
      <c r="H350" s="7">
        <f t="shared" ref="H350:H358" si="14">F350*G350</f>
        <v>2919600</v>
      </c>
      <c r="I350" s="111" t="s">
        <v>834</v>
      </c>
      <c r="J350" s="196"/>
      <c r="K350" s="196"/>
      <c r="L350" s="196"/>
      <c r="M350" s="89"/>
    </row>
    <row r="351" spans="1:13" s="3" customFormat="1" ht="19.5" customHeight="1" x14ac:dyDescent="0.4">
      <c r="A351" s="190">
        <v>46045</v>
      </c>
      <c r="B351" s="110" t="s">
        <v>140</v>
      </c>
      <c r="C351" s="395" t="s">
        <v>473</v>
      </c>
      <c r="D351" s="46" t="s">
        <v>246</v>
      </c>
      <c r="E351" s="46" t="s">
        <v>13</v>
      </c>
      <c r="F351" s="81">
        <v>2</v>
      </c>
      <c r="G351" s="81">
        <v>393500</v>
      </c>
      <c r="H351" s="7">
        <f t="shared" si="14"/>
        <v>787000</v>
      </c>
      <c r="I351" s="111" t="s">
        <v>834</v>
      </c>
      <c r="J351" s="196"/>
      <c r="K351" s="196"/>
      <c r="L351" s="196"/>
      <c r="M351" s="89"/>
    </row>
    <row r="352" spans="1:13" s="3" customFormat="1" ht="19.5" customHeight="1" x14ac:dyDescent="0.4">
      <c r="A352" s="190">
        <v>46045</v>
      </c>
      <c r="B352" s="110" t="s">
        <v>140</v>
      </c>
      <c r="C352" s="29" t="s">
        <v>771</v>
      </c>
      <c r="D352" s="110" t="s">
        <v>772</v>
      </c>
      <c r="E352" s="110" t="s">
        <v>13</v>
      </c>
      <c r="F352" s="81">
        <v>5</v>
      </c>
      <c r="G352" s="49">
        <v>633000</v>
      </c>
      <c r="H352" s="7">
        <f t="shared" si="14"/>
        <v>3165000</v>
      </c>
      <c r="I352" s="111" t="s">
        <v>834</v>
      </c>
      <c r="J352" s="196"/>
      <c r="K352" s="196"/>
      <c r="L352" s="196"/>
      <c r="M352" s="89"/>
    </row>
    <row r="353" spans="1:13" s="3" customFormat="1" ht="19.5" customHeight="1" x14ac:dyDescent="0.4">
      <c r="A353" s="190">
        <v>46052</v>
      </c>
      <c r="B353" s="110" t="s">
        <v>140</v>
      </c>
      <c r="C353" s="29" t="s">
        <v>773</v>
      </c>
      <c r="D353" s="110" t="s">
        <v>774</v>
      </c>
      <c r="E353" s="110" t="s">
        <v>775</v>
      </c>
      <c r="F353" s="81">
        <v>10</v>
      </c>
      <c r="G353" s="49">
        <v>69700</v>
      </c>
      <c r="H353" s="7">
        <f t="shared" si="14"/>
        <v>697000</v>
      </c>
      <c r="I353" s="111" t="s">
        <v>834</v>
      </c>
      <c r="J353" s="196"/>
      <c r="K353" s="196"/>
      <c r="L353" s="196"/>
      <c r="M353" s="89"/>
    </row>
    <row r="354" spans="1:13" s="3" customFormat="1" ht="19.5" customHeight="1" x14ac:dyDescent="0.4">
      <c r="A354" s="190">
        <v>46052</v>
      </c>
      <c r="B354" s="110" t="s">
        <v>140</v>
      </c>
      <c r="C354" s="29" t="s">
        <v>552</v>
      </c>
      <c r="D354" s="110" t="s">
        <v>776</v>
      </c>
      <c r="E354" s="110" t="s">
        <v>13</v>
      </c>
      <c r="F354" s="81">
        <v>1</v>
      </c>
      <c r="G354" s="49">
        <v>202000</v>
      </c>
      <c r="H354" s="7">
        <f t="shared" si="14"/>
        <v>202000</v>
      </c>
      <c r="I354" s="111" t="s">
        <v>834</v>
      </c>
      <c r="J354" s="196"/>
      <c r="K354" s="196"/>
      <c r="L354" s="196"/>
      <c r="M354" s="89"/>
    </row>
    <row r="355" spans="1:13" s="3" customFormat="1" ht="19.5" customHeight="1" x14ac:dyDescent="0.4">
      <c r="A355" s="190">
        <v>46052</v>
      </c>
      <c r="B355" s="110" t="s">
        <v>140</v>
      </c>
      <c r="C355" s="29" t="s">
        <v>473</v>
      </c>
      <c r="D355" s="110" t="s">
        <v>777</v>
      </c>
      <c r="E355" s="110" t="s">
        <v>13</v>
      </c>
      <c r="F355" s="81">
        <v>6</v>
      </c>
      <c r="G355" s="49">
        <v>393500</v>
      </c>
      <c r="H355" s="7">
        <f t="shared" si="14"/>
        <v>2361000</v>
      </c>
      <c r="I355" s="111" t="s">
        <v>834</v>
      </c>
      <c r="J355" s="196"/>
      <c r="K355" s="196"/>
      <c r="L355" s="196"/>
      <c r="M355" s="89"/>
    </row>
    <row r="356" spans="1:13" s="3" customFormat="1" ht="19.5" customHeight="1" x14ac:dyDescent="0.4">
      <c r="A356" s="190">
        <v>46052</v>
      </c>
      <c r="B356" s="110" t="s">
        <v>140</v>
      </c>
      <c r="C356" s="29" t="s">
        <v>553</v>
      </c>
      <c r="D356" s="110" t="s">
        <v>778</v>
      </c>
      <c r="E356" s="110" t="s">
        <v>13</v>
      </c>
      <c r="F356" s="81">
        <v>9</v>
      </c>
      <c r="G356" s="81">
        <v>973200</v>
      </c>
      <c r="H356" s="7">
        <f t="shared" si="14"/>
        <v>8758800</v>
      </c>
      <c r="I356" s="111" t="s">
        <v>834</v>
      </c>
      <c r="J356" s="196"/>
      <c r="K356" s="196"/>
      <c r="L356" s="196"/>
      <c r="M356" s="89"/>
    </row>
    <row r="357" spans="1:13" s="3" customFormat="1" ht="19.5" customHeight="1" x14ac:dyDescent="0.4">
      <c r="A357" s="190">
        <v>46052</v>
      </c>
      <c r="B357" s="110" t="s">
        <v>140</v>
      </c>
      <c r="C357" s="29" t="s">
        <v>554</v>
      </c>
      <c r="D357" s="110" t="s">
        <v>779</v>
      </c>
      <c r="E357" s="110" t="s">
        <v>13</v>
      </c>
      <c r="F357" s="81">
        <v>3</v>
      </c>
      <c r="G357" s="81">
        <v>630500</v>
      </c>
      <c r="H357" s="7">
        <f t="shared" si="14"/>
        <v>1891500</v>
      </c>
      <c r="I357" s="111" t="s">
        <v>834</v>
      </c>
      <c r="J357" s="196"/>
      <c r="K357" s="196"/>
      <c r="L357" s="196"/>
      <c r="M357" s="89"/>
    </row>
    <row r="358" spans="1:13" s="3" customFormat="1" ht="19.5" customHeight="1" x14ac:dyDescent="0.4">
      <c r="A358" s="190">
        <v>46052</v>
      </c>
      <c r="B358" s="110" t="s">
        <v>140</v>
      </c>
      <c r="C358" s="29" t="s">
        <v>580</v>
      </c>
      <c r="D358" s="110" t="s">
        <v>780</v>
      </c>
      <c r="E358" s="110" t="s">
        <v>13</v>
      </c>
      <c r="F358" s="81">
        <v>1</v>
      </c>
      <c r="G358" s="81">
        <v>984000</v>
      </c>
      <c r="H358" s="7">
        <f t="shared" si="14"/>
        <v>984000</v>
      </c>
      <c r="I358" s="111" t="s">
        <v>834</v>
      </c>
      <c r="J358" s="196"/>
      <c r="K358" s="196"/>
      <c r="L358" s="196"/>
      <c r="M358" s="89"/>
    </row>
    <row r="359" spans="1:13" s="3" customFormat="1" ht="19.5" customHeight="1" x14ac:dyDescent="0.4">
      <c r="A359" s="193"/>
      <c r="B359" s="194"/>
      <c r="C359" s="40"/>
      <c r="D359" s="194"/>
      <c r="E359" s="194"/>
      <c r="F359" s="91"/>
      <c r="G359" s="138"/>
      <c r="H359" s="138">
        <f>SUM(H303:H317)</f>
        <v>57132400</v>
      </c>
      <c r="I359" s="138"/>
      <c r="J359" s="145"/>
      <c r="K359" s="145"/>
      <c r="L359" s="145"/>
      <c r="M359" s="89"/>
    </row>
    <row r="360" spans="1:13" s="14" customFormat="1" ht="20.25" customHeight="1" x14ac:dyDescent="0.4">
      <c r="A360" s="4">
        <v>46020</v>
      </c>
      <c r="B360" s="5" t="s">
        <v>141</v>
      </c>
      <c r="C360" s="276" t="s">
        <v>142</v>
      </c>
      <c r="D360" s="1">
        <v>40220976</v>
      </c>
      <c r="E360" s="228" t="s">
        <v>17</v>
      </c>
      <c r="F360" s="253">
        <v>72</v>
      </c>
      <c r="G360" s="254">
        <v>176943</v>
      </c>
      <c r="H360" s="254">
        <f>F360*G360</f>
        <v>12739896</v>
      </c>
      <c r="I360" s="277" t="s">
        <v>682</v>
      </c>
      <c r="J360" s="275"/>
      <c r="K360" s="75"/>
      <c r="L360" s="73"/>
      <c r="M360" s="278"/>
    </row>
    <row r="361" spans="1:13" s="14" customFormat="1" ht="20.25" customHeight="1" x14ac:dyDescent="0.4">
      <c r="A361" s="4">
        <v>46029</v>
      </c>
      <c r="B361" s="5" t="s">
        <v>141</v>
      </c>
      <c r="C361" s="201" t="s">
        <v>142</v>
      </c>
      <c r="D361" s="1">
        <v>40220976</v>
      </c>
      <c r="E361" s="8" t="s">
        <v>17</v>
      </c>
      <c r="F361" s="12">
        <f>36+27</f>
        <v>63</v>
      </c>
      <c r="G361" s="17">
        <v>176943</v>
      </c>
      <c r="H361" s="17">
        <f>F361*G361</f>
        <v>11147409</v>
      </c>
      <c r="I361" s="202"/>
      <c r="J361" s="7"/>
      <c r="K361" s="75"/>
      <c r="L361" s="77"/>
      <c r="M361" s="26"/>
    </row>
    <row r="362" spans="1:13" s="14" customFormat="1" ht="20.25" customHeight="1" x14ac:dyDescent="0.4">
      <c r="A362" s="4">
        <v>46051</v>
      </c>
      <c r="B362" s="5" t="s">
        <v>141</v>
      </c>
      <c r="C362" s="201" t="s">
        <v>142</v>
      </c>
      <c r="D362" s="1">
        <v>40220976</v>
      </c>
      <c r="E362" s="8" t="s">
        <v>17</v>
      </c>
      <c r="F362" s="12">
        <v>72</v>
      </c>
      <c r="G362" s="17">
        <v>176943</v>
      </c>
      <c r="H362" s="17">
        <f>F362*G362</f>
        <v>12739896</v>
      </c>
      <c r="I362" s="202"/>
      <c r="J362" s="7"/>
      <c r="K362" s="75"/>
      <c r="L362" s="77"/>
      <c r="M362" s="26"/>
    </row>
    <row r="363" spans="1:13" s="50" customFormat="1" ht="19.5" customHeight="1" x14ac:dyDescent="0.4">
      <c r="A363" s="377"/>
      <c r="B363" s="123"/>
      <c r="C363" s="138"/>
      <c r="D363" s="97"/>
      <c r="E363" s="123"/>
      <c r="F363" s="138"/>
      <c r="G363" s="138"/>
      <c r="H363" s="138">
        <f>SUM(H360:H362)</f>
        <v>36627201</v>
      </c>
      <c r="I363" s="123"/>
      <c r="J363" s="123"/>
      <c r="K363" s="123"/>
      <c r="L363" s="123"/>
    </row>
    <row r="364" spans="1:13" s="261" customFormat="1" ht="19.5" customHeight="1" x14ac:dyDescent="0.4">
      <c r="A364" s="4">
        <v>46022</v>
      </c>
      <c r="B364" s="257" t="s">
        <v>143</v>
      </c>
      <c r="C364" s="259" t="s">
        <v>833</v>
      </c>
      <c r="D364" s="257" t="s">
        <v>679</v>
      </c>
      <c r="E364" s="257" t="s">
        <v>13</v>
      </c>
      <c r="F364" s="259">
        <v>50</v>
      </c>
      <c r="G364" s="259">
        <v>220770</v>
      </c>
      <c r="H364" s="254">
        <f>F364*G364</f>
        <v>11038500</v>
      </c>
      <c r="I364" s="277" t="s">
        <v>682</v>
      </c>
      <c r="J364" s="258"/>
      <c r="K364" s="258"/>
      <c r="L364" s="258"/>
    </row>
    <row r="365" spans="1:13" s="50" customFormat="1" ht="19.5" customHeight="1" x14ac:dyDescent="0.4">
      <c r="A365" s="195">
        <v>46052</v>
      </c>
      <c r="B365" s="59" t="s">
        <v>143</v>
      </c>
      <c r="C365" s="49" t="s">
        <v>145</v>
      </c>
      <c r="D365" s="59" t="s">
        <v>781</v>
      </c>
      <c r="E365" s="59" t="s">
        <v>13</v>
      </c>
      <c r="F365" s="197">
        <v>20</v>
      </c>
      <c r="G365" s="49">
        <v>578970</v>
      </c>
      <c r="H365" s="17">
        <f>F365*G365</f>
        <v>11579400</v>
      </c>
      <c r="I365" s="67"/>
      <c r="J365" s="67"/>
      <c r="K365" s="67"/>
      <c r="L365" s="67"/>
    </row>
    <row r="366" spans="1:13" s="50" customFormat="1" ht="19.5" customHeight="1" x14ac:dyDescent="0.4">
      <c r="A366" s="377"/>
      <c r="B366" s="123"/>
      <c r="C366" s="138"/>
      <c r="D366" s="97"/>
      <c r="E366" s="123"/>
      <c r="F366" s="138"/>
      <c r="G366" s="138"/>
      <c r="H366" s="138">
        <f>SUM(H364)</f>
        <v>11038500</v>
      </c>
      <c r="I366" s="123"/>
      <c r="J366" s="123"/>
      <c r="K366" s="123"/>
      <c r="L366" s="123"/>
    </row>
    <row r="367" spans="1:13" s="50" customFormat="1" ht="19.5" customHeight="1" x14ac:dyDescent="0.4">
      <c r="A367" s="195">
        <v>46031</v>
      </c>
      <c r="B367" s="59" t="s">
        <v>782</v>
      </c>
      <c r="C367" s="49" t="s">
        <v>152</v>
      </c>
      <c r="D367" s="59" t="s">
        <v>263</v>
      </c>
      <c r="E367" s="67"/>
      <c r="F367" s="49">
        <v>4</v>
      </c>
      <c r="G367" s="49">
        <f>J367*L367</f>
        <v>922688.94299999997</v>
      </c>
      <c r="H367" s="17">
        <f t="shared" ref="H367:H430" si="15">F367*G367</f>
        <v>3690755.7719999999</v>
      </c>
      <c r="I367" s="67" t="s">
        <v>463</v>
      </c>
      <c r="J367" s="68">
        <v>99870</v>
      </c>
      <c r="K367" s="67" t="s">
        <v>857</v>
      </c>
      <c r="L367" s="409">
        <v>9.2388999999999992</v>
      </c>
    </row>
    <row r="368" spans="1:13" s="50" customFormat="1" ht="19.5" customHeight="1" x14ac:dyDescent="0.4">
      <c r="A368" s="195">
        <v>46031</v>
      </c>
      <c r="B368" s="59" t="s">
        <v>782</v>
      </c>
      <c r="C368" s="49" t="s">
        <v>161</v>
      </c>
      <c r="D368" s="59" t="s">
        <v>265</v>
      </c>
      <c r="E368" s="67"/>
      <c r="F368" s="49">
        <v>4</v>
      </c>
      <c r="G368" s="49">
        <f t="shared" ref="G368:G431" si="16">J368*L368</f>
        <v>248895.96599999999</v>
      </c>
      <c r="H368" s="17">
        <f t="shared" si="15"/>
        <v>995583.86399999994</v>
      </c>
      <c r="I368" s="67" t="s">
        <v>461</v>
      </c>
      <c r="J368" s="68">
        <v>26940</v>
      </c>
      <c r="K368" s="67" t="s">
        <v>857</v>
      </c>
      <c r="L368" s="409">
        <v>9.2388999999999992</v>
      </c>
    </row>
    <row r="369" spans="1:12" s="50" customFormat="1" ht="19.5" customHeight="1" x14ac:dyDescent="0.4">
      <c r="A369" s="195">
        <v>46031</v>
      </c>
      <c r="B369" s="59" t="s">
        <v>782</v>
      </c>
      <c r="C369" s="49" t="s">
        <v>156</v>
      </c>
      <c r="D369" s="59" t="s">
        <v>271</v>
      </c>
      <c r="E369" s="67"/>
      <c r="F369" s="49">
        <v>2</v>
      </c>
      <c r="G369" s="49">
        <f t="shared" si="16"/>
        <v>1060440.9419999998</v>
      </c>
      <c r="H369" s="17">
        <f t="shared" si="15"/>
        <v>2120881.8839999996</v>
      </c>
      <c r="I369" s="67" t="s">
        <v>480</v>
      </c>
      <c r="J369" s="68">
        <v>114780</v>
      </c>
      <c r="K369" s="67" t="s">
        <v>857</v>
      </c>
      <c r="L369" s="409">
        <v>9.2388999999999992</v>
      </c>
    </row>
    <row r="370" spans="1:12" s="50" customFormat="1" ht="19.5" customHeight="1" x14ac:dyDescent="0.4">
      <c r="A370" s="195">
        <v>46031</v>
      </c>
      <c r="B370" s="59" t="s">
        <v>782</v>
      </c>
      <c r="C370" s="49" t="s">
        <v>150</v>
      </c>
      <c r="D370" s="59" t="s">
        <v>257</v>
      </c>
      <c r="E370" s="67"/>
      <c r="F370" s="49">
        <v>8</v>
      </c>
      <c r="G370" s="49">
        <f t="shared" si="16"/>
        <v>1143036.7079999999</v>
      </c>
      <c r="H370" s="17">
        <f t="shared" si="15"/>
        <v>9144293.6639999989</v>
      </c>
      <c r="I370" s="67" t="s">
        <v>545</v>
      </c>
      <c r="J370" s="68">
        <v>123720</v>
      </c>
      <c r="K370" s="67" t="s">
        <v>857</v>
      </c>
      <c r="L370" s="409">
        <v>9.2388999999999992</v>
      </c>
    </row>
    <row r="371" spans="1:12" s="50" customFormat="1" ht="19.5" customHeight="1" x14ac:dyDescent="0.4">
      <c r="A371" s="195">
        <v>46031</v>
      </c>
      <c r="B371" s="59" t="s">
        <v>782</v>
      </c>
      <c r="C371" s="49" t="s">
        <v>157</v>
      </c>
      <c r="D371" s="59" t="s">
        <v>273</v>
      </c>
      <c r="E371" s="67"/>
      <c r="F371" s="49">
        <v>4</v>
      </c>
      <c r="G371" s="49">
        <f t="shared" si="16"/>
        <v>314954.10099999997</v>
      </c>
      <c r="H371" s="17">
        <f t="shared" si="15"/>
        <v>1259816.4039999999</v>
      </c>
      <c r="I371" s="67" t="s">
        <v>546</v>
      </c>
      <c r="J371" s="68">
        <v>34090</v>
      </c>
      <c r="K371" s="67" t="s">
        <v>857</v>
      </c>
      <c r="L371" s="409">
        <v>9.2388999999999992</v>
      </c>
    </row>
    <row r="372" spans="1:12" s="50" customFormat="1" ht="19.5" customHeight="1" x14ac:dyDescent="0.4">
      <c r="A372" s="195">
        <v>46031</v>
      </c>
      <c r="B372" s="59" t="s">
        <v>782</v>
      </c>
      <c r="C372" s="49" t="s">
        <v>157</v>
      </c>
      <c r="D372" s="59" t="s">
        <v>338</v>
      </c>
      <c r="E372" s="67"/>
      <c r="F372" s="49">
        <v>4</v>
      </c>
      <c r="G372" s="49">
        <f t="shared" si="16"/>
        <v>314954.10099999997</v>
      </c>
      <c r="H372" s="17">
        <f t="shared" si="15"/>
        <v>1259816.4039999999</v>
      </c>
      <c r="I372" s="67" t="s">
        <v>650</v>
      </c>
      <c r="J372" s="68">
        <v>34090</v>
      </c>
      <c r="K372" s="67" t="s">
        <v>857</v>
      </c>
      <c r="L372" s="409">
        <v>9.2388999999999992</v>
      </c>
    </row>
    <row r="373" spans="1:12" s="50" customFormat="1" ht="19.5" customHeight="1" x14ac:dyDescent="0.4">
      <c r="A373" s="195">
        <v>46031</v>
      </c>
      <c r="B373" s="59" t="s">
        <v>782</v>
      </c>
      <c r="C373" s="49" t="s">
        <v>150</v>
      </c>
      <c r="D373" s="59" t="s">
        <v>256</v>
      </c>
      <c r="E373" s="67"/>
      <c r="F373" s="49">
        <v>8</v>
      </c>
      <c r="G373" s="49">
        <f t="shared" si="16"/>
        <v>1143036.7079999999</v>
      </c>
      <c r="H373" s="17">
        <f t="shared" si="15"/>
        <v>9144293.6639999989</v>
      </c>
      <c r="I373" s="67" t="s">
        <v>647</v>
      </c>
      <c r="J373" s="68">
        <v>123720</v>
      </c>
      <c r="K373" s="67" t="s">
        <v>857</v>
      </c>
      <c r="L373" s="409">
        <v>9.2388999999999992</v>
      </c>
    </row>
    <row r="374" spans="1:12" s="50" customFormat="1" ht="19.5" customHeight="1" x14ac:dyDescent="0.4">
      <c r="A374" s="195">
        <v>46031</v>
      </c>
      <c r="B374" s="59" t="s">
        <v>782</v>
      </c>
      <c r="C374" s="49" t="s">
        <v>157</v>
      </c>
      <c r="D374" s="59" t="s">
        <v>259</v>
      </c>
      <c r="E374" s="67"/>
      <c r="F374" s="49">
        <v>6</v>
      </c>
      <c r="G374" s="49">
        <f t="shared" si="16"/>
        <v>3321199.7719999999</v>
      </c>
      <c r="H374" s="17">
        <f t="shared" si="15"/>
        <v>19927198.631999999</v>
      </c>
      <c r="I374" s="67" t="s">
        <v>647</v>
      </c>
      <c r="J374" s="68">
        <v>359480</v>
      </c>
      <c r="K374" s="67" t="s">
        <v>857</v>
      </c>
      <c r="L374" s="409">
        <v>9.2388999999999992</v>
      </c>
    </row>
    <row r="375" spans="1:12" s="50" customFormat="1" ht="19.5" customHeight="1" x14ac:dyDescent="0.4">
      <c r="A375" s="195">
        <v>46031</v>
      </c>
      <c r="B375" s="59" t="s">
        <v>782</v>
      </c>
      <c r="C375" s="49" t="s">
        <v>157</v>
      </c>
      <c r="D375" s="59" t="s">
        <v>270</v>
      </c>
      <c r="E375" s="67"/>
      <c r="F375" s="49">
        <v>8</v>
      </c>
      <c r="G375" s="49">
        <f t="shared" si="16"/>
        <v>3337737.4029999999</v>
      </c>
      <c r="H375" s="17">
        <f t="shared" si="15"/>
        <v>26701899.223999999</v>
      </c>
      <c r="I375" s="67" t="s">
        <v>662</v>
      </c>
      <c r="J375" s="68">
        <v>361270</v>
      </c>
      <c r="K375" s="67" t="s">
        <v>857</v>
      </c>
      <c r="L375" s="409">
        <v>9.2388999999999992</v>
      </c>
    </row>
    <row r="376" spans="1:12" s="50" customFormat="1" ht="19.5" customHeight="1" x14ac:dyDescent="0.4">
      <c r="A376" s="195">
        <v>46031</v>
      </c>
      <c r="B376" s="59" t="s">
        <v>782</v>
      </c>
      <c r="C376" s="49" t="s">
        <v>154</v>
      </c>
      <c r="D376" s="59" t="s">
        <v>250</v>
      </c>
      <c r="E376" s="67"/>
      <c r="F376" s="49">
        <v>4</v>
      </c>
      <c r="G376" s="49">
        <f t="shared" si="16"/>
        <v>712781.13499999989</v>
      </c>
      <c r="H376" s="17">
        <f t="shared" si="15"/>
        <v>2851124.5399999996</v>
      </c>
      <c r="I376" s="67" t="s">
        <v>783</v>
      </c>
      <c r="J376" s="68">
        <v>77150</v>
      </c>
      <c r="K376" s="67" t="s">
        <v>857</v>
      </c>
      <c r="L376" s="409">
        <v>9.2388999999999992</v>
      </c>
    </row>
    <row r="377" spans="1:12" s="50" customFormat="1" ht="19.5" customHeight="1" x14ac:dyDescent="0.4">
      <c r="A377" s="195">
        <v>46031</v>
      </c>
      <c r="B377" s="59" t="s">
        <v>782</v>
      </c>
      <c r="C377" s="49" t="s">
        <v>155</v>
      </c>
      <c r="D377" s="59" t="s">
        <v>253</v>
      </c>
      <c r="E377" s="67"/>
      <c r="F377" s="49">
        <v>8</v>
      </c>
      <c r="G377" s="49">
        <f t="shared" si="16"/>
        <v>3556976.4999999995</v>
      </c>
      <c r="H377" s="17">
        <f t="shared" si="15"/>
        <v>28455811.999999996</v>
      </c>
      <c r="I377" s="67" t="s">
        <v>784</v>
      </c>
      <c r="J377" s="68">
        <v>385000</v>
      </c>
      <c r="K377" s="67" t="s">
        <v>857</v>
      </c>
      <c r="L377" s="409">
        <v>9.2388999999999992</v>
      </c>
    </row>
    <row r="378" spans="1:12" s="50" customFormat="1" ht="19.5" customHeight="1" x14ac:dyDescent="0.4">
      <c r="A378" s="195">
        <v>46031</v>
      </c>
      <c r="B378" s="59" t="s">
        <v>782</v>
      </c>
      <c r="C378" s="49" t="s">
        <v>158</v>
      </c>
      <c r="D378" s="59" t="s">
        <v>252</v>
      </c>
      <c r="E378" s="67"/>
      <c r="F378" s="49">
        <v>8</v>
      </c>
      <c r="G378" s="49">
        <f t="shared" si="16"/>
        <v>3429479.6799999997</v>
      </c>
      <c r="H378" s="17">
        <f t="shared" si="15"/>
        <v>27435837.439999998</v>
      </c>
      <c r="I378" s="67" t="s">
        <v>784</v>
      </c>
      <c r="J378" s="68">
        <v>371200</v>
      </c>
      <c r="K378" s="67" t="s">
        <v>857</v>
      </c>
      <c r="L378" s="409">
        <v>9.2388999999999992</v>
      </c>
    </row>
    <row r="379" spans="1:12" s="50" customFormat="1" ht="19.5" customHeight="1" x14ac:dyDescent="0.4">
      <c r="A379" s="195">
        <v>46031</v>
      </c>
      <c r="B379" s="59" t="s">
        <v>782</v>
      </c>
      <c r="C379" s="49" t="s">
        <v>150</v>
      </c>
      <c r="D379" s="59" t="s">
        <v>275</v>
      </c>
      <c r="E379" s="67"/>
      <c r="F379" s="49">
        <v>1</v>
      </c>
      <c r="G379" s="49">
        <f t="shared" si="16"/>
        <v>536318.1449999999</v>
      </c>
      <c r="H379" s="17">
        <f t="shared" si="15"/>
        <v>536318.1449999999</v>
      </c>
      <c r="I379" s="67" t="s">
        <v>785</v>
      </c>
      <c r="J379" s="68">
        <v>58050</v>
      </c>
      <c r="K379" s="67" t="s">
        <v>857</v>
      </c>
      <c r="L379" s="409">
        <v>9.2388999999999992</v>
      </c>
    </row>
    <row r="380" spans="1:12" s="50" customFormat="1" ht="19.5" customHeight="1" x14ac:dyDescent="0.4">
      <c r="A380" s="195">
        <v>46031</v>
      </c>
      <c r="B380" s="59" t="s">
        <v>782</v>
      </c>
      <c r="C380" s="49" t="s">
        <v>158</v>
      </c>
      <c r="D380" s="59" t="s">
        <v>339</v>
      </c>
      <c r="E380" s="67"/>
      <c r="F380" s="49">
        <v>5</v>
      </c>
      <c r="G380" s="49">
        <f t="shared" si="16"/>
        <v>3429479.6799999997</v>
      </c>
      <c r="H380" s="17">
        <f t="shared" si="15"/>
        <v>17147398.399999999</v>
      </c>
      <c r="I380" s="67" t="s">
        <v>786</v>
      </c>
      <c r="J380" s="68">
        <v>371200</v>
      </c>
      <c r="K380" s="67" t="s">
        <v>857</v>
      </c>
      <c r="L380" s="409">
        <v>9.2388999999999992</v>
      </c>
    </row>
    <row r="381" spans="1:12" s="50" customFormat="1" ht="19.5" customHeight="1" x14ac:dyDescent="0.4">
      <c r="A381" s="195">
        <v>46031</v>
      </c>
      <c r="B381" s="59" t="s">
        <v>782</v>
      </c>
      <c r="C381" s="49" t="s">
        <v>150</v>
      </c>
      <c r="D381" s="59" t="s">
        <v>151</v>
      </c>
      <c r="E381" s="67"/>
      <c r="F381" s="49">
        <v>1</v>
      </c>
      <c r="G381" s="49">
        <f t="shared" si="16"/>
        <v>536318.1449999999</v>
      </c>
      <c r="H381" s="17">
        <f t="shared" si="15"/>
        <v>536318.1449999999</v>
      </c>
      <c r="I381" s="67" t="s">
        <v>787</v>
      </c>
      <c r="J381" s="68">
        <v>58050</v>
      </c>
      <c r="K381" s="67" t="s">
        <v>857</v>
      </c>
      <c r="L381" s="409">
        <v>9.2388999999999992</v>
      </c>
    </row>
    <row r="382" spans="1:12" s="50" customFormat="1" ht="19.5" customHeight="1" x14ac:dyDescent="0.4">
      <c r="A382" s="195">
        <v>46031</v>
      </c>
      <c r="B382" s="59" t="s">
        <v>782</v>
      </c>
      <c r="C382" s="49" t="s">
        <v>153</v>
      </c>
      <c r="D382" s="59" t="s">
        <v>269</v>
      </c>
      <c r="E382" s="67"/>
      <c r="F382" s="49">
        <v>4</v>
      </c>
      <c r="G382" s="49">
        <f t="shared" si="16"/>
        <v>1883904.0989999999</v>
      </c>
      <c r="H382" s="17">
        <f t="shared" si="15"/>
        <v>7535616.3959999997</v>
      </c>
      <c r="I382" s="67" t="s">
        <v>788</v>
      </c>
      <c r="J382" s="68">
        <v>203910</v>
      </c>
      <c r="K382" s="67" t="s">
        <v>857</v>
      </c>
      <c r="L382" s="409">
        <v>9.2388999999999992</v>
      </c>
    </row>
    <row r="383" spans="1:12" s="50" customFormat="1" ht="19.5" customHeight="1" x14ac:dyDescent="0.4">
      <c r="A383" s="195">
        <v>46031</v>
      </c>
      <c r="B383" s="59" t="s">
        <v>782</v>
      </c>
      <c r="C383" s="49" t="s">
        <v>150</v>
      </c>
      <c r="D383" s="59" t="s">
        <v>257</v>
      </c>
      <c r="E383" s="67"/>
      <c r="F383" s="49">
        <v>2</v>
      </c>
      <c r="G383" s="49">
        <f t="shared" si="16"/>
        <v>126619.12449999999</v>
      </c>
      <c r="H383" s="17">
        <f t="shared" si="15"/>
        <v>253238.24899999998</v>
      </c>
      <c r="I383" s="67" t="s">
        <v>789</v>
      </c>
      <c r="J383" s="68">
        <v>13705</v>
      </c>
      <c r="K383" s="67" t="s">
        <v>857</v>
      </c>
      <c r="L383" s="409">
        <v>9.2388999999999992</v>
      </c>
    </row>
    <row r="384" spans="1:12" s="50" customFormat="1" ht="19.5" customHeight="1" x14ac:dyDescent="0.4">
      <c r="A384" s="195">
        <v>46031</v>
      </c>
      <c r="B384" s="59" t="s">
        <v>782</v>
      </c>
      <c r="C384" s="49" t="s">
        <v>155</v>
      </c>
      <c r="D384" s="59" t="s">
        <v>253</v>
      </c>
      <c r="E384" s="67"/>
      <c r="F384" s="49">
        <v>1</v>
      </c>
      <c r="G384" s="49">
        <f t="shared" si="16"/>
        <v>520556.58159999998</v>
      </c>
      <c r="H384" s="17">
        <f t="shared" si="15"/>
        <v>520556.58159999998</v>
      </c>
      <c r="I384" s="67" t="s">
        <v>790</v>
      </c>
      <c r="J384" s="68">
        <v>56344</v>
      </c>
      <c r="K384" s="67" t="s">
        <v>857</v>
      </c>
      <c r="L384" s="409">
        <v>9.2388999999999992</v>
      </c>
    </row>
    <row r="385" spans="1:12" s="50" customFormat="1" ht="19.5" customHeight="1" x14ac:dyDescent="0.4">
      <c r="A385" s="195">
        <v>46031</v>
      </c>
      <c r="B385" s="59" t="s">
        <v>782</v>
      </c>
      <c r="C385" s="49" t="s">
        <v>155</v>
      </c>
      <c r="D385" s="59" t="s">
        <v>253</v>
      </c>
      <c r="E385" s="67"/>
      <c r="F385" s="49">
        <v>1</v>
      </c>
      <c r="G385" s="49">
        <f t="shared" si="16"/>
        <v>3618507.5739999996</v>
      </c>
      <c r="H385" s="17">
        <f t="shared" si="15"/>
        <v>3618507.5739999996</v>
      </c>
      <c r="I385" s="67" t="s">
        <v>791</v>
      </c>
      <c r="J385" s="49">
        <v>391660</v>
      </c>
      <c r="K385" s="67" t="s">
        <v>857</v>
      </c>
      <c r="L385" s="409">
        <v>9.2388999999999992</v>
      </c>
    </row>
    <row r="386" spans="1:12" s="50" customFormat="1" ht="19.5" customHeight="1" x14ac:dyDescent="0.4">
      <c r="A386" s="195">
        <v>46038</v>
      </c>
      <c r="B386" s="59" t="s">
        <v>782</v>
      </c>
      <c r="C386" s="49" t="s">
        <v>153</v>
      </c>
      <c r="D386" s="59" t="s">
        <v>264</v>
      </c>
      <c r="E386" s="67"/>
      <c r="F386" s="49">
        <v>6</v>
      </c>
      <c r="G386" s="49">
        <f t="shared" si="16"/>
        <v>2752783.5720000002</v>
      </c>
      <c r="H386" s="17">
        <f t="shared" si="15"/>
        <v>16516701.432</v>
      </c>
      <c r="I386" s="67" t="s">
        <v>582</v>
      </c>
      <c r="J386" s="68">
        <v>297110</v>
      </c>
      <c r="K386" s="67" t="s">
        <v>792</v>
      </c>
      <c r="L386" s="67">
        <v>9.2652000000000001</v>
      </c>
    </row>
    <row r="387" spans="1:12" s="50" customFormat="1" ht="19.5" customHeight="1" x14ac:dyDescent="0.4">
      <c r="A387" s="195">
        <v>46038</v>
      </c>
      <c r="B387" s="59" t="s">
        <v>782</v>
      </c>
      <c r="C387" s="49" t="s">
        <v>154</v>
      </c>
      <c r="D387" s="59" t="s">
        <v>267</v>
      </c>
      <c r="E387" s="67"/>
      <c r="F387" s="49">
        <v>2</v>
      </c>
      <c r="G387" s="49">
        <f t="shared" si="16"/>
        <v>3787984.3680000002</v>
      </c>
      <c r="H387" s="17">
        <f t="shared" si="15"/>
        <v>7575968.7360000005</v>
      </c>
      <c r="I387" s="67" t="s">
        <v>647</v>
      </c>
      <c r="J387" s="68">
        <v>408840</v>
      </c>
      <c r="K387" s="67" t="s">
        <v>792</v>
      </c>
      <c r="L387" s="67">
        <v>9.2652000000000001</v>
      </c>
    </row>
    <row r="388" spans="1:12" s="50" customFormat="1" ht="19.5" customHeight="1" x14ac:dyDescent="0.4">
      <c r="A388" s="195">
        <v>46038</v>
      </c>
      <c r="B388" s="59" t="s">
        <v>782</v>
      </c>
      <c r="C388" s="49" t="s">
        <v>154</v>
      </c>
      <c r="D388" s="59" t="s">
        <v>266</v>
      </c>
      <c r="E388" s="67"/>
      <c r="F388" s="49">
        <v>5</v>
      </c>
      <c r="G388" s="49">
        <f t="shared" si="16"/>
        <v>3826898.2080000001</v>
      </c>
      <c r="H388" s="17">
        <f t="shared" si="15"/>
        <v>19134491.039999999</v>
      </c>
      <c r="I388" s="67" t="s">
        <v>662</v>
      </c>
      <c r="J388" s="68">
        <v>413040</v>
      </c>
      <c r="K388" s="67" t="s">
        <v>792</v>
      </c>
      <c r="L388" s="67">
        <v>9.2652000000000001</v>
      </c>
    </row>
    <row r="389" spans="1:12" s="50" customFormat="1" ht="19.5" customHeight="1" x14ac:dyDescent="0.4">
      <c r="A389" s="195">
        <v>46038</v>
      </c>
      <c r="B389" s="59" t="s">
        <v>782</v>
      </c>
      <c r="C389" s="49" t="s">
        <v>157</v>
      </c>
      <c r="D389" s="59" t="s">
        <v>259</v>
      </c>
      <c r="E389" s="67"/>
      <c r="F389" s="49">
        <v>4</v>
      </c>
      <c r="G389" s="49">
        <f t="shared" si="16"/>
        <v>3347238.804</v>
      </c>
      <c r="H389" s="17">
        <f t="shared" si="15"/>
        <v>13388955.216</v>
      </c>
      <c r="I389" s="67" t="s">
        <v>664</v>
      </c>
      <c r="J389" s="68">
        <v>361270</v>
      </c>
      <c r="K389" s="67" t="s">
        <v>792</v>
      </c>
      <c r="L389" s="67">
        <v>9.2652000000000001</v>
      </c>
    </row>
    <row r="390" spans="1:12" s="50" customFormat="1" ht="19.5" customHeight="1" x14ac:dyDescent="0.4">
      <c r="A390" s="195">
        <v>46038</v>
      </c>
      <c r="B390" s="59" t="s">
        <v>782</v>
      </c>
      <c r="C390" s="49" t="s">
        <v>155</v>
      </c>
      <c r="D390" s="59" t="s">
        <v>253</v>
      </c>
      <c r="E390" s="67"/>
      <c r="F390" s="49">
        <v>6</v>
      </c>
      <c r="G390" s="49">
        <f t="shared" si="16"/>
        <v>3567102</v>
      </c>
      <c r="H390" s="17">
        <f t="shared" si="15"/>
        <v>21402612</v>
      </c>
      <c r="I390" s="67" t="s">
        <v>786</v>
      </c>
      <c r="J390" s="68">
        <v>385000</v>
      </c>
      <c r="K390" s="67" t="s">
        <v>792</v>
      </c>
      <c r="L390" s="67">
        <v>9.2652000000000001</v>
      </c>
    </row>
    <row r="391" spans="1:12" s="50" customFormat="1" ht="19.5" customHeight="1" x14ac:dyDescent="0.4">
      <c r="A391" s="195">
        <v>46038</v>
      </c>
      <c r="B391" s="59" t="s">
        <v>782</v>
      </c>
      <c r="C391" s="49" t="s">
        <v>158</v>
      </c>
      <c r="D391" s="59" t="s">
        <v>252</v>
      </c>
      <c r="E391" s="67"/>
      <c r="F391" s="49">
        <v>3</v>
      </c>
      <c r="G391" s="49">
        <f t="shared" si="16"/>
        <v>3439242.24</v>
      </c>
      <c r="H391" s="17">
        <f t="shared" si="15"/>
        <v>10317726.720000001</v>
      </c>
      <c r="I391" s="67" t="s">
        <v>786</v>
      </c>
      <c r="J391" s="68">
        <v>371200</v>
      </c>
      <c r="K391" s="67" t="s">
        <v>792</v>
      </c>
      <c r="L391" s="67">
        <v>9.2652000000000001</v>
      </c>
    </row>
    <row r="392" spans="1:12" s="50" customFormat="1" ht="19.5" customHeight="1" x14ac:dyDescent="0.4">
      <c r="A392" s="195">
        <v>46038</v>
      </c>
      <c r="B392" s="59" t="s">
        <v>782</v>
      </c>
      <c r="C392" s="49" t="s">
        <v>154</v>
      </c>
      <c r="D392" s="59" t="s">
        <v>268</v>
      </c>
      <c r="E392" s="67"/>
      <c r="F392" s="49">
        <v>8</v>
      </c>
      <c r="G392" s="49">
        <f t="shared" si="16"/>
        <v>3807348.6359999999</v>
      </c>
      <c r="H392" s="17">
        <f t="shared" si="15"/>
        <v>30458789.088</v>
      </c>
      <c r="I392" s="67" t="s">
        <v>793</v>
      </c>
      <c r="J392" s="68">
        <v>410930</v>
      </c>
      <c r="K392" s="67" t="s">
        <v>792</v>
      </c>
      <c r="L392" s="67">
        <v>9.2652000000000001</v>
      </c>
    </row>
    <row r="393" spans="1:12" s="50" customFormat="1" ht="19.5" customHeight="1" x14ac:dyDescent="0.4">
      <c r="A393" s="195">
        <v>46038</v>
      </c>
      <c r="B393" s="59" t="s">
        <v>782</v>
      </c>
      <c r="C393" s="49" t="s">
        <v>154</v>
      </c>
      <c r="D393" s="59" t="s">
        <v>268</v>
      </c>
      <c r="E393" s="67"/>
      <c r="F393" s="49">
        <v>8</v>
      </c>
      <c r="G393" s="49">
        <f t="shared" si="16"/>
        <v>3807348.6359999999</v>
      </c>
      <c r="H393" s="17">
        <f t="shared" si="15"/>
        <v>30458789.088</v>
      </c>
      <c r="I393" s="67" t="s">
        <v>788</v>
      </c>
      <c r="J393" s="68">
        <v>410930</v>
      </c>
      <c r="K393" s="67" t="s">
        <v>792</v>
      </c>
      <c r="L393" s="67">
        <v>9.2652000000000001</v>
      </c>
    </row>
    <row r="394" spans="1:12" s="50" customFormat="1" ht="19.5" customHeight="1" x14ac:dyDescent="0.4">
      <c r="A394" s="195">
        <v>46038</v>
      </c>
      <c r="B394" s="59" t="s">
        <v>782</v>
      </c>
      <c r="C394" s="49" t="s">
        <v>153</v>
      </c>
      <c r="D394" s="59" t="s">
        <v>269</v>
      </c>
      <c r="E394" s="67"/>
      <c r="F394" s="49">
        <v>4</v>
      </c>
      <c r="G394" s="49">
        <f t="shared" si="16"/>
        <v>1889266.932</v>
      </c>
      <c r="H394" s="17">
        <f t="shared" si="15"/>
        <v>7557067.7280000001</v>
      </c>
      <c r="I394" s="67" t="s">
        <v>788</v>
      </c>
      <c r="J394" s="68">
        <v>203910</v>
      </c>
      <c r="K394" s="67" t="s">
        <v>792</v>
      </c>
      <c r="L394" s="67">
        <v>9.2652000000000001</v>
      </c>
    </row>
    <row r="395" spans="1:12" s="50" customFormat="1" ht="19.5" customHeight="1" x14ac:dyDescent="0.4">
      <c r="A395" s="195">
        <v>46038</v>
      </c>
      <c r="B395" s="59" t="s">
        <v>782</v>
      </c>
      <c r="C395" s="49" t="s">
        <v>160</v>
      </c>
      <c r="D395" s="59" t="s">
        <v>274</v>
      </c>
      <c r="E395" s="67"/>
      <c r="F395" s="49">
        <v>12</v>
      </c>
      <c r="G395" s="49">
        <f t="shared" si="16"/>
        <v>498745.71600000001</v>
      </c>
      <c r="H395" s="17">
        <f t="shared" si="15"/>
        <v>5984948.5920000002</v>
      </c>
      <c r="I395" s="67" t="s">
        <v>794</v>
      </c>
      <c r="J395" s="68">
        <v>53830</v>
      </c>
      <c r="K395" s="67" t="s">
        <v>792</v>
      </c>
      <c r="L395" s="67">
        <v>9.2652000000000001</v>
      </c>
    </row>
    <row r="396" spans="1:12" s="50" customFormat="1" ht="19.5" customHeight="1" x14ac:dyDescent="0.4">
      <c r="A396" s="195">
        <v>46038</v>
      </c>
      <c r="B396" s="59" t="s">
        <v>782</v>
      </c>
      <c r="C396" s="49" t="s">
        <v>150</v>
      </c>
      <c r="D396" s="59" t="s">
        <v>257</v>
      </c>
      <c r="E396" s="67"/>
      <c r="F396" s="49">
        <v>2</v>
      </c>
      <c r="G396" s="49">
        <f t="shared" si="16"/>
        <v>126979.56600000001</v>
      </c>
      <c r="H396" s="17">
        <f t="shared" si="15"/>
        <v>253959.13200000001</v>
      </c>
      <c r="I396" s="67" t="s">
        <v>795</v>
      </c>
      <c r="J396" s="68">
        <v>13705</v>
      </c>
      <c r="K396" s="67" t="s">
        <v>792</v>
      </c>
      <c r="L396" s="67">
        <v>9.2652000000000001</v>
      </c>
    </row>
    <row r="397" spans="1:12" s="50" customFormat="1" ht="19.5" customHeight="1" x14ac:dyDescent="0.4">
      <c r="A397" s="195">
        <v>46038</v>
      </c>
      <c r="B397" s="59" t="s">
        <v>782</v>
      </c>
      <c r="C397" s="49" t="s">
        <v>150</v>
      </c>
      <c r="D397" s="59" t="s">
        <v>258</v>
      </c>
      <c r="E397" s="67"/>
      <c r="F397" s="49">
        <v>1</v>
      </c>
      <c r="G397" s="49">
        <f t="shared" si="16"/>
        <v>126979.56600000001</v>
      </c>
      <c r="H397" s="17">
        <f t="shared" si="15"/>
        <v>126979.56600000001</v>
      </c>
      <c r="I397" s="67" t="s">
        <v>796</v>
      </c>
      <c r="J397" s="68">
        <v>13705</v>
      </c>
      <c r="K397" s="67" t="s">
        <v>792</v>
      </c>
      <c r="L397" s="67">
        <v>9.2652000000000001</v>
      </c>
    </row>
    <row r="398" spans="1:12" s="50" customFormat="1" ht="19.5" customHeight="1" x14ac:dyDescent="0.4">
      <c r="A398" s="195">
        <v>46038</v>
      </c>
      <c r="B398" s="59" t="s">
        <v>782</v>
      </c>
      <c r="C398" s="49" t="s">
        <v>150</v>
      </c>
      <c r="D398" s="59" t="s">
        <v>256</v>
      </c>
      <c r="E398" s="67"/>
      <c r="F398" s="49">
        <v>1</v>
      </c>
      <c r="G398" s="49">
        <f t="shared" si="16"/>
        <v>126979.56600000001</v>
      </c>
      <c r="H398" s="17">
        <f t="shared" si="15"/>
        <v>126979.56600000001</v>
      </c>
      <c r="I398" s="67" t="s">
        <v>797</v>
      </c>
      <c r="J398" s="68">
        <v>13705</v>
      </c>
      <c r="K398" s="67" t="s">
        <v>792</v>
      </c>
      <c r="L398" s="67">
        <v>9.2652000000000001</v>
      </c>
    </row>
    <row r="399" spans="1:12" s="50" customFormat="1" ht="19.5" customHeight="1" x14ac:dyDescent="0.4">
      <c r="A399" s="195">
        <v>46038</v>
      </c>
      <c r="B399" s="59" t="s">
        <v>782</v>
      </c>
      <c r="C399" s="49" t="s">
        <v>150</v>
      </c>
      <c r="D399" s="59" t="s">
        <v>258</v>
      </c>
      <c r="E399" s="67"/>
      <c r="F399" s="49">
        <v>2</v>
      </c>
      <c r="G399" s="49">
        <f t="shared" si="16"/>
        <v>126979.56600000001</v>
      </c>
      <c r="H399" s="17">
        <f t="shared" si="15"/>
        <v>253959.13200000001</v>
      </c>
      <c r="I399" s="67" t="s">
        <v>798</v>
      </c>
      <c r="J399" s="68">
        <v>13705</v>
      </c>
      <c r="K399" s="67" t="s">
        <v>792</v>
      </c>
      <c r="L399" s="67">
        <v>9.2652000000000001</v>
      </c>
    </row>
    <row r="400" spans="1:12" s="50" customFormat="1" ht="19.5" customHeight="1" x14ac:dyDescent="0.4">
      <c r="A400" s="195">
        <v>46038</v>
      </c>
      <c r="B400" s="59" t="s">
        <v>782</v>
      </c>
      <c r="C400" s="49" t="s">
        <v>150</v>
      </c>
      <c r="D400" s="59" t="s">
        <v>258</v>
      </c>
      <c r="E400" s="67"/>
      <c r="F400" s="49">
        <v>1</v>
      </c>
      <c r="G400" s="49">
        <f t="shared" si="16"/>
        <v>124283.3928</v>
      </c>
      <c r="H400" s="17">
        <f t="shared" si="15"/>
        <v>124283.3928</v>
      </c>
      <c r="I400" s="67" t="s">
        <v>798</v>
      </c>
      <c r="J400" s="68">
        <v>13414</v>
      </c>
      <c r="K400" s="67" t="s">
        <v>792</v>
      </c>
      <c r="L400" s="67">
        <v>9.2652000000000001</v>
      </c>
    </row>
    <row r="401" spans="1:12" s="50" customFormat="1" ht="19.5" customHeight="1" x14ac:dyDescent="0.4">
      <c r="A401" s="195">
        <v>46038</v>
      </c>
      <c r="B401" s="59" t="s">
        <v>782</v>
      </c>
      <c r="C401" s="49" t="s">
        <v>150</v>
      </c>
      <c r="D401" s="59" t="s">
        <v>258</v>
      </c>
      <c r="E401" s="67"/>
      <c r="F401" s="49">
        <v>7</v>
      </c>
      <c r="G401" s="49">
        <f t="shared" si="16"/>
        <v>126979.56600000001</v>
      </c>
      <c r="H401" s="17">
        <f t="shared" si="15"/>
        <v>888856.96200000006</v>
      </c>
      <c r="I401" s="67" t="s">
        <v>799</v>
      </c>
      <c r="J401" s="68">
        <v>13705</v>
      </c>
      <c r="K401" s="67" t="s">
        <v>792</v>
      </c>
      <c r="L401" s="67">
        <v>9.2652000000000001</v>
      </c>
    </row>
    <row r="402" spans="1:12" s="50" customFormat="1" ht="19.5" customHeight="1" x14ac:dyDescent="0.4">
      <c r="A402" s="195">
        <v>46038</v>
      </c>
      <c r="B402" s="59" t="s">
        <v>782</v>
      </c>
      <c r="C402" s="49" t="s">
        <v>150</v>
      </c>
      <c r="D402" s="59" t="s">
        <v>258</v>
      </c>
      <c r="E402" s="67"/>
      <c r="F402" s="49">
        <v>2</v>
      </c>
      <c r="G402" s="49">
        <f t="shared" si="16"/>
        <v>126979.56600000001</v>
      </c>
      <c r="H402" s="17">
        <f t="shared" si="15"/>
        <v>253959.13200000001</v>
      </c>
      <c r="I402" s="67" t="s">
        <v>800</v>
      </c>
      <c r="J402" s="68">
        <v>13705</v>
      </c>
      <c r="K402" s="67" t="s">
        <v>792</v>
      </c>
      <c r="L402" s="67">
        <v>9.2652000000000001</v>
      </c>
    </row>
    <row r="403" spans="1:12" s="50" customFormat="1" ht="19.5" customHeight="1" x14ac:dyDescent="0.4">
      <c r="A403" s="195">
        <v>46045</v>
      </c>
      <c r="B403" s="59" t="s">
        <v>782</v>
      </c>
      <c r="C403" s="49" t="s">
        <v>156</v>
      </c>
      <c r="D403" s="59" t="s">
        <v>271</v>
      </c>
      <c r="E403" s="67"/>
      <c r="F403" s="49">
        <v>4</v>
      </c>
      <c r="G403" s="49">
        <f t="shared" si="16"/>
        <v>1064033.5560000001</v>
      </c>
      <c r="H403" s="17">
        <f t="shared" si="15"/>
        <v>4256134.2240000004</v>
      </c>
      <c r="I403" s="67" t="s">
        <v>461</v>
      </c>
      <c r="J403" s="68">
        <v>114780</v>
      </c>
      <c r="K403" s="67" t="s">
        <v>858</v>
      </c>
      <c r="L403" s="67">
        <v>9.2702000000000009</v>
      </c>
    </row>
    <row r="404" spans="1:12" s="50" customFormat="1" ht="19.5" customHeight="1" x14ac:dyDescent="0.4">
      <c r="A404" s="195">
        <v>46045</v>
      </c>
      <c r="B404" s="59" t="s">
        <v>782</v>
      </c>
      <c r="C404" s="49" t="s">
        <v>156</v>
      </c>
      <c r="D404" s="59" t="s">
        <v>272</v>
      </c>
      <c r="E404" s="67"/>
      <c r="F404" s="49">
        <v>4</v>
      </c>
      <c r="G404" s="49">
        <f t="shared" si="16"/>
        <v>1064033.5560000001</v>
      </c>
      <c r="H404" s="17">
        <f t="shared" si="15"/>
        <v>4256134.2240000004</v>
      </c>
      <c r="I404" s="67" t="s">
        <v>588</v>
      </c>
      <c r="J404" s="68">
        <v>114780</v>
      </c>
      <c r="K404" s="67" t="s">
        <v>858</v>
      </c>
      <c r="L404" s="67">
        <v>9.2702000000000009</v>
      </c>
    </row>
    <row r="405" spans="1:12" s="50" customFormat="1" ht="19.5" customHeight="1" x14ac:dyDescent="0.4">
      <c r="A405" s="195">
        <v>46045</v>
      </c>
      <c r="B405" s="59" t="s">
        <v>782</v>
      </c>
      <c r="C405" s="49" t="s">
        <v>161</v>
      </c>
      <c r="D405" s="59" t="s">
        <v>265</v>
      </c>
      <c r="E405" s="67"/>
      <c r="F405" s="49">
        <v>4</v>
      </c>
      <c r="G405" s="49">
        <f t="shared" si="16"/>
        <v>249739.18800000002</v>
      </c>
      <c r="H405" s="17">
        <f t="shared" si="15"/>
        <v>998956.75200000009</v>
      </c>
      <c r="I405" s="67" t="s">
        <v>588</v>
      </c>
      <c r="J405" s="68">
        <v>26940</v>
      </c>
      <c r="K405" s="67" t="s">
        <v>858</v>
      </c>
      <c r="L405" s="67">
        <v>9.2702000000000009</v>
      </c>
    </row>
    <row r="406" spans="1:12" s="50" customFormat="1" ht="19.5" customHeight="1" x14ac:dyDescent="0.4">
      <c r="A406" s="195">
        <v>46045</v>
      </c>
      <c r="B406" s="59" t="s">
        <v>782</v>
      </c>
      <c r="C406" s="49" t="s">
        <v>156</v>
      </c>
      <c r="D406" s="59" t="s">
        <v>272</v>
      </c>
      <c r="E406" s="67"/>
      <c r="F406" s="49">
        <v>2</v>
      </c>
      <c r="G406" s="49">
        <f t="shared" si="16"/>
        <v>1064033.5560000001</v>
      </c>
      <c r="H406" s="17">
        <f t="shared" si="15"/>
        <v>2128067.1120000002</v>
      </c>
      <c r="I406" s="67" t="s">
        <v>586</v>
      </c>
      <c r="J406" s="68">
        <v>114780</v>
      </c>
      <c r="K406" s="67" t="s">
        <v>858</v>
      </c>
      <c r="L406" s="67">
        <v>9.2702000000000009</v>
      </c>
    </row>
    <row r="407" spans="1:12" s="50" customFormat="1" ht="19.5" customHeight="1" x14ac:dyDescent="0.4">
      <c r="A407" s="195">
        <v>46045</v>
      </c>
      <c r="B407" s="59" t="s">
        <v>782</v>
      </c>
      <c r="C407" s="49" t="s">
        <v>157</v>
      </c>
      <c r="D407" s="59" t="s">
        <v>421</v>
      </c>
      <c r="E407" s="67"/>
      <c r="F407" s="49">
        <v>2</v>
      </c>
      <c r="G407" s="49">
        <f t="shared" si="16"/>
        <v>322510.25800000003</v>
      </c>
      <c r="H407" s="17">
        <f t="shared" si="15"/>
        <v>645020.51600000006</v>
      </c>
      <c r="I407" s="67" t="s">
        <v>586</v>
      </c>
      <c r="J407" s="68">
        <v>34790</v>
      </c>
      <c r="K407" s="67" t="s">
        <v>858</v>
      </c>
      <c r="L407" s="67">
        <v>9.2702000000000009</v>
      </c>
    </row>
    <row r="408" spans="1:12" s="50" customFormat="1" ht="19.5" customHeight="1" x14ac:dyDescent="0.4">
      <c r="A408" s="195">
        <v>46045</v>
      </c>
      <c r="B408" s="59" t="s">
        <v>782</v>
      </c>
      <c r="C408" s="49" t="s">
        <v>154</v>
      </c>
      <c r="D408" s="59" t="s">
        <v>260</v>
      </c>
      <c r="E408" s="67"/>
      <c r="F408" s="49">
        <v>1</v>
      </c>
      <c r="G408" s="49">
        <f t="shared" si="16"/>
        <v>1454587.0820000002</v>
      </c>
      <c r="H408" s="17">
        <f t="shared" si="15"/>
        <v>1454587.0820000002</v>
      </c>
      <c r="I408" s="67" t="s">
        <v>591</v>
      </c>
      <c r="J408" s="68">
        <v>156910</v>
      </c>
      <c r="K408" s="67" t="s">
        <v>858</v>
      </c>
      <c r="L408" s="67">
        <v>9.2702000000000009</v>
      </c>
    </row>
    <row r="409" spans="1:12" s="50" customFormat="1" ht="19.5" customHeight="1" x14ac:dyDescent="0.4">
      <c r="A409" s="195">
        <v>46045</v>
      </c>
      <c r="B409" s="59" t="s">
        <v>782</v>
      </c>
      <c r="C409" s="49" t="s">
        <v>158</v>
      </c>
      <c r="D409" s="59" t="s">
        <v>252</v>
      </c>
      <c r="E409" s="67"/>
      <c r="F409" s="49">
        <v>8</v>
      </c>
      <c r="G409" s="49">
        <f t="shared" si="16"/>
        <v>3422557.8400000003</v>
      </c>
      <c r="H409" s="17">
        <f t="shared" si="15"/>
        <v>27380462.720000003</v>
      </c>
      <c r="I409" s="67" t="s">
        <v>804</v>
      </c>
      <c r="J409" s="68">
        <v>369200</v>
      </c>
      <c r="K409" s="67" t="s">
        <v>858</v>
      </c>
      <c r="L409" s="67">
        <v>9.2702000000000009</v>
      </c>
    </row>
    <row r="410" spans="1:12" s="50" customFormat="1" ht="19.5" customHeight="1" x14ac:dyDescent="0.4">
      <c r="A410" s="195">
        <v>46045</v>
      </c>
      <c r="B410" s="59" t="s">
        <v>782</v>
      </c>
      <c r="C410" s="49" t="s">
        <v>154</v>
      </c>
      <c r="D410" s="59" t="s">
        <v>267</v>
      </c>
      <c r="E410" s="67"/>
      <c r="F410" s="49">
        <v>8</v>
      </c>
      <c r="G410" s="49">
        <f t="shared" si="16"/>
        <v>3790028.5680000004</v>
      </c>
      <c r="H410" s="17">
        <f t="shared" si="15"/>
        <v>30320228.544000003</v>
      </c>
      <c r="I410" s="67" t="s">
        <v>804</v>
      </c>
      <c r="J410" s="68">
        <v>408840</v>
      </c>
      <c r="K410" s="67" t="s">
        <v>858</v>
      </c>
      <c r="L410" s="67">
        <v>9.2702000000000009</v>
      </c>
    </row>
    <row r="411" spans="1:12" s="50" customFormat="1" ht="19.5" customHeight="1" x14ac:dyDescent="0.4">
      <c r="A411" s="195">
        <v>46045</v>
      </c>
      <c r="B411" s="59" t="s">
        <v>782</v>
      </c>
      <c r="C411" s="49" t="s">
        <v>153</v>
      </c>
      <c r="D411" s="59" t="s">
        <v>392</v>
      </c>
      <c r="E411" s="67"/>
      <c r="F411" s="49">
        <v>8</v>
      </c>
      <c r="G411" s="49">
        <f t="shared" si="16"/>
        <v>2764095.5340000005</v>
      </c>
      <c r="H411" s="17">
        <f t="shared" si="15"/>
        <v>22112764.272000004</v>
      </c>
      <c r="I411" s="67" t="s">
        <v>804</v>
      </c>
      <c r="J411" s="68">
        <v>298170</v>
      </c>
      <c r="K411" s="67" t="s">
        <v>858</v>
      </c>
      <c r="L411" s="67">
        <v>9.2702000000000009</v>
      </c>
    </row>
    <row r="412" spans="1:12" s="50" customFormat="1" ht="19.5" customHeight="1" x14ac:dyDescent="0.4">
      <c r="A412" s="195">
        <v>46045</v>
      </c>
      <c r="B412" s="59" t="s">
        <v>782</v>
      </c>
      <c r="C412" s="49" t="s">
        <v>156</v>
      </c>
      <c r="D412" s="59" t="s">
        <v>272</v>
      </c>
      <c r="E412" s="67"/>
      <c r="F412" s="49">
        <v>4</v>
      </c>
      <c r="G412" s="49">
        <f t="shared" si="16"/>
        <v>1064033.5560000001</v>
      </c>
      <c r="H412" s="17">
        <f t="shared" si="15"/>
        <v>4256134.2240000004</v>
      </c>
      <c r="I412" s="67" t="s">
        <v>801</v>
      </c>
      <c r="J412" s="68">
        <v>114780</v>
      </c>
      <c r="K412" s="67" t="s">
        <v>858</v>
      </c>
      <c r="L412" s="67">
        <v>9.2702000000000009</v>
      </c>
    </row>
    <row r="413" spans="1:12" s="50" customFormat="1" ht="19.5" customHeight="1" x14ac:dyDescent="0.4">
      <c r="A413" s="195">
        <v>46045</v>
      </c>
      <c r="B413" s="59" t="s">
        <v>782</v>
      </c>
      <c r="C413" s="49" t="s">
        <v>150</v>
      </c>
      <c r="D413" s="59" t="s">
        <v>275</v>
      </c>
      <c r="E413" s="67"/>
      <c r="F413" s="49">
        <v>1</v>
      </c>
      <c r="G413" s="49">
        <f t="shared" si="16"/>
        <v>536837.28200000001</v>
      </c>
      <c r="H413" s="17">
        <f t="shared" si="15"/>
        <v>536837.28200000001</v>
      </c>
      <c r="I413" s="67" t="s">
        <v>806</v>
      </c>
      <c r="J413" s="68">
        <v>57910</v>
      </c>
      <c r="K413" s="67" t="s">
        <v>858</v>
      </c>
      <c r="L413" s="67">
        <v>9.2702000000000009</v>
      </c>
    </row>
    <row r="414" spans="1:12" s="50" customFormat="1" ht="19.5" customHeight="1" x14ac:dyDescent="0.4">
      <c r="A414" s="195">
        <v>46045</v>
      </c>
      <c r="B414" s="59" t="s">
        <v>782</v>
      </c>
      <c r="C414" s="49" t="s">
        <v>156</v>
      </c>
      <c r="D414" s="59" t="s">
        <v>261</v>
      </c>
      <c r="E414" s="67"/>
      <c r="F414" s="49">
        <v>1</v>
      </c>
      <c r="G414" s="49">
        <f t="shared" si="16"/>
        <v>2043244.7820000001</v>
      </c>
      <c r="H414" s="17">
        <f t="shared" si="15"/>
        <v>2043244.7820000001</v>
      </c>
      <c r="I414" s="67" t="s">
        <v>806</v>
      </c>
      <c r="J414" s="68">
        <v>220410</v>
      </c>
      <c r="K414" s="67" t="s">
        <v>858</v>
      </c>
      <c r="L414" s="67">
        <v>9.2702000000000009</v>
      </c>
    </row>
    <row r="415" spans="1:12" s="50" customFormat="1" ht="19.5" customHeight="1" x14ac:dyDescent="0.4">
      <c r="A415" s="195">
        <v>46045</v>
      </c>
      <c r="B415" s="59" t="s">
        <v>782</v>
      </c>
      <c r="C415" s="49" t="s">
        <v>154</v>
      </c>
      <c r="D415" s="59" t="s">
        <v>652</v>
      </c>
      <c r="E415" s="67"/>
      <c r="F415" s="49">
        <v>1</v>
      </c>
      <c r="G415" s="49">
        <f t="shared" si="16"/>
        <v>1466638.3420000002</v>
      </c>
      <c r="H415" s="17">
        <f t="shared" si="15"/>
        <v>1466638.3420000002</v>
      </c>
      <c r="I415" s="67" t="s">
        <v>806</v>
      </c>
      <c r="J415" s="68">
        <v>158210</v>
      </c>
      <c r="K415" s="67" t="s">
        <v>858</v>
      </c>
      <c r="L415" s="67">
        <v>9.2702000000000009</v>
      </c>
    </row>
    <row r="416" spans="1:12" s="50" customFormat="1" ht="19.5" customHeight="1" x14ac:dyDescent="0.4">
      <c r="A416" s="195">
        <v>46045</v>
      </c>
      <c r="B416" s="59" t="s">
        <v>782</v>
      </c>
      <c r="C416" s="49" t="s">
        <v>156</v>
      </c>
      <c r="D416" s="59" t="s">
        <v>262</v>
      </c>
      <c r="E416" s="67"/>
      <c r="F416" s="49">
        <v>1</v>
      </c>
      <c r="G416" s="49">
        <f t="shared" si="16"/>
        <v>2043244.7820000001</v>
      </c>
      <c r="H416" s="17">
        <f t="shared" si="15"/>
        <v>2043244.7820000001</v>
      </c>
      <c r="I416" s="67" t="s">
        <v>583</v>
      </c>
      <c r="J416" s="68">
        <v>220410</v>
      </c>
      <c r="K416" s="67" t="s">
        <v>858</v>
      </c>
      <c r="L416" s="67">
        <v>9.2702000000000009</v>
      </c>
    </row>
    <row r="417" spans="1:13" s="50" customFormat="1" ht="19.5" customHeight="1" x14ac:dyDescent="0.4">
      <c r="A417" s="195">
        <v>46045</v>
      </c>
      <c r="B417" s="59" t="s">
        <v>782</v>
      </c>
      <c r="C417" s="49" t="s">
        <v>156</v>
      </c>
      <c r="D417" s="59" t="s">
        <v>262</v>
      </c>
      <c r="E417" s="67"/>
      <c r="F417" s="49">
        <v>1</v>
      </c>
      <c r="G417" s="49">
        <f t="shared" si="16"/>
        <v>2043244.7820000001</v>
      </c>
      <c r="H417" s="17">
        <f t="shared" si="15"/>
        <v>2043244.7820000001</v>
      </c>
      <c r="I417" s="67" t="s">
        <v>807</v>
      </c>
      <c r="J417" s="68">
        <v>220410</v>
      </c>
      <c r="K417" s="67" t="s">
        <v>858</v>
      </c>
      <c r="L417" s="67">
        <v>9.2702000000000009</v>
      </c>
    </row>
    <row r="418" spans="1:13" s="50" customFormat="1" ht="19.5" customHeight="1" x14ac:dyDescent="0.4">
      <c r="A418" s="195">
        <v>46045</v>
      </c>
      <c r="B418" s="59" t="s">
        <v>782</v>
      </c>
      <c r="C418" s="49" t="s">
        <v>150</v>
      </c>
      <c r="D418" s="59" t="s">
        <v>151</v>
      </c>
      <c r="E418" s="67"/>
      <c r="F418" s="49">
        <v>1</v>
      </c>
      <c r="G418" s="49">
        <f t="shared" si="16"/>
        <v>536837.28200000001</v>
      </c>
      <c r="H418" s="17">
        <f t="shared" si="15"/>
        <v>536837.28200000001</v>
      </c>
      <c r="I418" s="67" t="s">
        <v>807</v>
      </c>
      <c r="J418" s="68">
        <v>57910</v>
      </c>
      <c r="K418" s="67" t="s">
        <v>858</v>
      </c>
      <c r="L418" s="67">
        <v>9.2702000000000009</v>
      </c>
    </row>
    <row r="419" spans="1:13" s="50" customFormat="1" ht="19.5" customHeight="1" x14ac:dyDescent="0.4">
      <c r="A419" s="195">
        <v>46045</v>
      </c>
      <c r="B419" s="59" t="s">
        <v>782</v>
      </c>
      <c r="C419" s="49" t="s">
        <v>154</v>
      </c>
      <c r="D419" s="59" t="s">
        <v>653</v>
      </c>
      <c r="E419" s="67"/>
      <c r="F419" s="49">
        <v>1</v>
      </c>
      <c r="G419" s="49">
        <f t="shared" si="16"/>
        <v>1466638.3420000002</v>
      </c>
      <c r="H419" s="17">
        <f t="shared" si="15"/>
        <v>1466638.3420000002</v>
      </c>
      <c r="I419" s="67" t="s">
        <v>807</v>
      </c>
      <c r="J419" s="68">
        <v>158210</v>
      </c>
      <c r="K419" s="67" t="s">
        <v>858</v>
      </c>
      <c r="L419" s="67">
        <v>9.2702000000000009</v>
      </c>
    </row>
    <row r="420" spans="1:13" s="50" customFormat="1" ht="19.5" customHeight="1" x14ac:dyDescent="0.4">
      <c r="A420" s="195">
        <v>46045</v>
      </c>
      <c r="B420" s="59" t="s">
        <v>782</v>
      </c>
      <c r="C420" s="49" t="s">
        <v>154</v>
      </c>
      <c r="D420" s="59" t="s">
        <v>266</v>
      </c>
      <c r="E420" s="67"/>
      <c r="F420" s="49">
        <v>3</v>
      </c>
      <c r="G420" s="49">
        <f t="shared" si="16"/>
        <v>3828963.4080000003</v>
      </c>
      <c r="H420" s="17">
        <f t="shared" si="15"/>
        <v>11486890.224000001</v>
      </c>
      <c r="I420" s="67" t="s">
        <v>662</v>
      </c>
      <c r="J420" s="68">
        <v>413040</v>
      </c>
      <c r="K420" s="67" t="s">
        <v>858</v>
      </c>
      <c r="L420" s="67">
        <v>9.2702000000000009</v>
      </c>
    </row>
    <row r="421" spans="1:13" s="50" customFormat="1" ht="19.5" customHeight="1" x14ac:dyDescent="0.4">
      <c r="A421" s="195">
        <v>46045</v>
      </c>
      <c r="B421" s="59" t="s">
        <v>782</v>
      </c>
      <c r="C421" s="49" t="s">
        <v>154</v>
      </c>
      <c r="D421" s="59" t="s">
        <v>653</v>
      </c>
      <c r="E421" s="67"/>
      <c r="F421" s="49">
        <v>1</v>
      </c>
      <c r="G421" s="49">
        <f t="shared" si="16"/>
        <v>1472293.1640000001</v>
      </c>
      <c r="H421" s="17">
        <f t="shared" si="15"/>
        <v>1472293.1640000001</v>
      </c>
      <c r="I421" s="67" t="s">
        <v>663</v>
      </c>
      <c r="J421" s="68">
        <v>158820</v>
      </c>
      <c r="K421" s="67" t="s">
        <v>858</v>
      </c>
      <c r="L421" s="67">
        <v>9.2702000000000009</v>
      </c>
    </row>
    <row r="422" spans="1:13" s="50" customFormat="1" ht="19.5" customHeight="1" x14ac:dyDescent="0.4">
      <c r="A422" s="195">
        <v>46045</v>
      </c>
      <c r="B422" s="59" t="s">
        <v>782</v>
      </c>
      <c r="C422" s="49" t="s">
        <v>154</v>
      </c>
      <c r="D422" s="59" t="s">
        <v>336</v>
      </c>
      <c r="E422" s="67"/>
      <c r="F422" s="49">
        <v>8</v>
      </c>
      <c r="G422" s="49">
        <f t="shared" si="16"/>
        <v>3828963.4080000003</v>
      </c>
      <c r="H422" s="17">
        <f t="shared" si="15"/>
        <v>30631707.264000002</v>
      </c>
      <c r="I422" s="67" t="s">
        <v>664</v>
      </c>
      <c r="J422" s="68">
        <v>413040</v>
      </c>
      <c r="K422" s="67" t="s">
        <v>858</v>
      </c>
      <c r="L422" s="67">
        <v>9.2702000000000009</v>
      </c>
    </row>
    <row r="423" spans="1:13" s="50" customFormat="1" ht="19.5" customHeight="1" x14ac:dyDescent="0.4">
      <c r="A423" s="195">
        <v>46045</v>
      </c>
      <c r="B423" s="59" t="s">
        <v>782</v>
      </c>
      <c r="C423" s="49" t="s">
        <v>154</v>
      </c>
      <c r="D423" s="59" t="s">
        <v>653</v>
      </c>
      <c r="E423" s="67"/>
      <c r="F423" s="49">
        <v>1</v>
      </c>
      <c r="G423" s="49">
        <f t="shared" si="16"/>
        <v>1472293.1640000001</v>
      </c>
      <c r="H423" s="17">
        <f t="shared" si="15"/>
        <v>1472293.1640000001</v>
      </c>
      <c r="I423" s="67" t="s">
        <v>665</v>
      </c>
      <c r="J423" s="68">
        <v>158820</v>
      </c>
      <c r="K423" s="67" t="s">
        <v>858</v>
      </c>
      <c r="L423" s="67">
        <v>9.2702000000000009</v>
      </c>
    </row>
    <row r="424" spans="1:13" s="50" customFormat="1" ht="19.5" customHeight="1" x14ac:dyDescent="0.4">
      <c r="A424" s="195">
        <v>46045</v>
      </c>
      <c r="B424" s="59" t="s">
        <v>782</v>
      </c>
      <c r="C424" s="49" t="s">
        <v>154</v>
      </c>
      <c r="D424" s="59" t="s">
        <v>336</v>
      </c>
      <c r="E424" s="67"/>
      <c r="F424" s="49">
        <v>6</v>
      </c>
      <c r="G424" s="49">
        <f t="shared" si="16"/>
        <v>3828963.4080000003</v>
      </c>
      <c r="H424" s="17">
        <f t="shared" si="15"/>
        <v>22973780.448000003</v>
      </c>
      <c r="I424" s="67" t="s">
        <v>784</v>
      </c>
      <c r="J424" s="68">
        <v>413040</v>
      </c>
      <c r="K424" s="67" t="s">
        <v>858</v>
      </c>
      <c r="L424" s="67">
        <v>9.2702000000000009</v>
      </c>
    </row>
    <row r="425" spans="1:13" s="50" customFormat="1" ht="19.5" customHeight="1" x14ac:dyDescent="0.4">
      <c r="A425" s="195">
        <v>46045</v>
      </c>
      <c r="B425" s="59" t="s">
        <v>782</v>
      </c>
      <c r="C425" s="49" t="s">
        <v>150</v>
      </c>
      <c r="D425" s="59" t="s">
        <v>151</v>
      </c>
      <c r="E425" s="67"/>
      <c r="F425" s="49">
        <v>1</v>
      </c>
      <c r="G425" s="49">
        <f t="shared" si="16"/>
        <v>538135.1100000001</v>
      </c>
      <c r="H425" s="17">
        <f t="shared" si="15"/>
        <v>538135.1100000001</v>
      </c>
      <c r="I425" s="67" t="s">
        <v>808</v>
      </c>
      <c r="J425" s="68">
        <v>58050</v>
      </c>
      <c r="K425" s="67" t="s">
        <v>858</v>
      </c>
      <c r="L425" s="67">
        <v>9.2702000000000009</v>
      </c>
    </row>
    <row r="426" spans="1:13" s="50" customFormat="1" ht="19.5" customHeight="1" x14ac:dyDescent="0.4">
      <c r="A426" s="195">
        <v>46045</v>
      </c>
      <c r="B426" s="59" t="s">
        <v>782</v>
      </c>
      <c r="C426" s="49" t="s">
        <v>156</v>
      </c>
      <c r="D426" s="59" t="s">
        <v>272</v>
      </c>
      <c r="E426" s="67"/>
      <c r="F426" s="49">
        <v>1</v>
      </c>
      <c r="G426" s="49">
        <f t="shared" si="16"/>
        <v>108229.58500000001</v>
      </c>
      <c r="H426" s="17">
        <f t="shared" si="15"/>
        <v>108229.58500000001</v>
      </c>
      <c r="I426" s="67" t="s">
        <v>802</v>
      </c>
      <c r="J426" s="68">
        <v>11675</v>
      </c>
      <c r="K426" s="67" t="s">
        <v>858</v>
      </c>
      <c r="L426" s="67">
        <v>9.2702000000000009</v>
      </c>
    </row>
    <row r="427" spans="1:13" s="50" customFormat="1" ht="19.5" customHeight="1" x14ac:dyDescent="0.4">
      <c r="A427" s="195">
        <v>46045</v>
      </c>
      <c r="B427" s="59" t="s">
        <v>782</v>
      </c>
      <c r="C427" s="49" t="s">
        <v>156</v>
      </c>
      <c r="D427" s="59" t="s">
        <v>272</v>
      </c>
      <c r="E427" s="67"/>
      <c r="F427" s="49">
        <v>1</v>
      </c>
      <c r="G427" s="49">
        <f t="shared" si="16"/>
        <v>108229.58500000001</v>
      </c>
      <c r="H427" s="17">
        <f t="shared" si="15"/>
        <v>108229.58500000001</v>
      </c>
      <c r="I427" s="67" t="s">
        <v>803</v>
      </c>
      <c r="J427" s="68">
        <v>11675</v>
      </c>
      <c r="K427" s="67" t="s">
        <v>858</v>
      </c>
      <c r="L427" s="67">
        <v>9.2702000000000009</v>
      </c>
    </row>
    <row r="428" spans="1:13" s="50" customFormat="1" ht="19.5" customHeight="1" x14ac:dyDescent="0.4">
      <c r="A428" s="195">
        <v>46045</v>
      </c>
      <c r="B428" s="59" t="s">
        <v>782</v>
      </c>
      <c r="C428" s="49" t="s">
        <v>150</v>
      </c>
      <c r="D428" s="59" t="s">
        <v>257</v>
      </c>
      <c r="E428" s="67"/>
      <c r="F428" s="49">
        <v>1</v>
      </c>
      <c r="G428" s="49">
        <f t="shared" si="16"/>
        <v>127048.09100000001</v>
      </c>
      <c r="H428" s="17">
        <f t="shared" si="15"/>
        <v>127048.09100000001</v>
      </c>
      <c r="I428" s="67" t="s">
        <v>805</v>
      </c>
      <c r="J428" s="68">
        <v>13705</v>
      </c>
      <c r="K428" s="67" t="s">
        <v>858</v>
      </c>
      <c r="L428" s="67">
        <v>9.2702000000000009</v>
      </c>
    </row>
    <row r="429" spans="1:13" s="50" customFormat="1" ht="19.5" customHeight="1" x14ac:dyDescent="0.4">
      <c r="A429" s="195">
        <v>46045</v>
      </c>
      <c r="B429" s="59" t="s">
        <v>782</v>
      </c>
      <c r="C429" s="49" t="s">
        <v>150</v>
      </c>
      <c r="D429" s="59" t="s">
        <v>258</v>
      </c>
      <c r="E429" s="67"/>
      <c r="F429" s="49">
        <v>1</v>
      </c>
      <c r="G429" s="49">
        <f t="shared" si="16"/>
        <v>127048.09100000001</v>
      </c>
      <c r="H429" s="17">
        <f t="shared" si="15"/>
        <v>127048.09100000001</v>
      </c>
      <c r="I429" s="67" t="s">
        <v>789</v>
      </c>
      <c r="J429" s="68">
        <v>13705</v>
      </c>
      <c r="K429" s="67" t="s">
        <v>858</v>
      </c>
      <c r="L429" s="67">
        <v>9.2702000000000009</v>
      </c>
    </row>
    <row r="430" spans="1:13" s="50" customFormat="1" ht="19.5" customHeight="1" x14ac:dyDescent="0.4">
      <c r="A430" s="195">
        <v>46052</v>
      </c>
      <c r="B430" s="59" t="s">
        <v>782</v>
      </c>
      <c r="C430" s="49" t="s">
        <v>152</v>
      </c>
      <c r="D430" s="59" t="s">
        <v>263</v>
      </c>
      <c r="E430" s="67"/>
      <c r="F430" s="49">
        <v>4</v>
      </c>
      <c r="G430" s="49">
        <f t="shared" si="16"/>
        <v>941565.87700000009</v>
      </c>
      <c r="H430" s="17">
        <f t="shared" si="15"/>
        <v>3766263.5080000004</v>
      </c>
      <c r="I430" s="67" t="s">
        <v>815</v>
      </c>
      <c r="J430" s="68">
        <v>100930</v>
      </c>
      <c r="K430" s="67" t="s">
        <v>816</v>
      </c>
      <c r="L430" s="67">
        <v>9.3289000000000009</v>
      </c>
      <c r="M430" s="50" t="s">
        <v>847</v>
      </c>
    </row>
    <row r="431" spans="1:13" s="50" customFormat="1" ht="19.5" customHeight="1" x14ac:dyDescent="0.4">
      <c r="A431" s="195">
        <v>46052</v>
      </c>
      <c r="B431" s="59" t="s">
        <v>782</v>
      </c>
      <c r="C431" s="49" t="s">
        <v>160</v>
      </c>
      <c r="D431" s="59" t="s">
        <v>255</v>
      </c>
      <c r="E431" s="67"/>
      <c r="F431" s="49">
        <v>8</v>
      </c>
      <c r="G431" s="49">
        <f t="shared" si="16"/>
        <v>386309.74900000001</v>
      </c>
      <c r="H431" s="17">
        <f t="shared" ref="H431:H460" si="17">F431*G431</f>
        <v>3090477.9920000001</v>
      </c>
      <c r="I431" s="67" t="s">
        <v>589</v>
      </c>
      <c r="J431" s="68">
        <v>41410</v>
      </c>
      <c r="K431" s="67" t="s">
        <v>816</v>
      </c>
      <c r="L431" s="67">
        <v>9.3289000000000009</v>
      </c>
      <c r="M431" s="50" t="s">
        <v>847</v>
      </c>
    </row>
    <row r="432" spans="1:13" s="50" customFormat="1" ht="19.5" customHeight="1" x14ac:dyDescent="0.4">
      <c r="A432" s="195">
        <v>46052</v>
      </c>
      <c r="B432" s="59" t="s">
        <v>782</v>
      </c>
      <c r="C432" s="49" t="s">
        <v>152</v>
      </c>
      <c r="D432" s="59" t="s">
        <v>159</v>
      </c>
      <c r="E432" s="67"/>
      <c r="F432" s="49">
        <v>4</v>
      </c>
      <c r="G432" s="49">
        <f t="shared" ref="G432:G458" si="18">J432*L432</f>
        <v>931677.24300000013</v>
      </c>
      <c r="H432" s="17">
        <f t="shared" si="17"/>
        <v>3726708.9720000005</v>
      </c>
      <c r="I432" s="67" t="s">
        <v>590</v>
      </c>
      <c r="J432" s="68">
        <v>99870</v>
      </c>
      <c r="K432" s="67" t="s">
        <v>816</v>
      </c>
      <c r="L432" s="67">
        <v>9.3289000000000009</v>
      </c>
      <c r="M432" s="50" t="s">
        <v>847</v>
      </c>
    </row>
    <row r="433" spans="1:13" s="50" customFormat="1" ht="19.5" customHeight="1" x14ac:dyDescent="0.4">
      <c r="A433" s="195">
        <v>46052</v>
      </c>
      <c r="B433" s="59" t="s">
        <v>782</v>
      </c>
      <c r="C433" s="49" t="s">
        <v>156</v>
      </c>
      <c r="D433" s="59" t="s">
        <v>271</v>
      </c>
      <c r="E433" s="67"/>
      <c r="F433" s="49">
        <v>4</v>
      </c>
      <c r="G433" s="49">
        <f t="shared" si="18"/>
        <v>1070771.142</v>
      </c>
      <c r="H433" s="17">
        <f t="shared" si="17"/>
        <v>4283084.568</v>
      </c>
      <c r="I433" s="67" t="s">
        <v>482</v>
      </c>
      <c r="J433" s="68">
        <v>114780</v>
      </c>
      <c r="K433" s="67" t="s">
        <v>816</v>
      </c>
      <c r="L433" s="67">
        <v>9.3289000000000009</v>
      </c>
      <c r="M433" s="50" t="s">
        <v>847</v>
      </c>
    </row>
    <row r="434" spans="1:13" s="50" customFormat="1" ht="19.5" customHeight="1" x14ac:dyDescent="0.4">
      <c r="A434" s="195">
        <v>46052</v>
      </c>
      <c r="B434" s="59" t="s">
        <v>782</v>
      </c>
      <c r="C434" s="49" t="s">
        <v>161</v>
      </c>
      <c r="D434" s="59" t="s">
        <v>265</v>
      </c>
      <c r="E434" s="67"/>
      <c r="F434" s="49">
        <v>4</v>
      </c>
      <c r="G434" s="49">
        <f t="shared" si="18"/>
        <v>251320.56600000002</v>
      </c>
      <c r="H434" s="17">
        <f t="shared" si="17"/>
        <v>1005282.2640000001</v>
      </c>
      <c r="I434" s="67" t="s">
        <v>482</v>
      </c>
      <c r="J434" s="68">
        <v>26940</v>
      </c>
      <c r="K434" s="67" t="s">
        <v>816</v>
      </c>
      <c r="L434" s="67">
        <v>9.3289000000000009</v>
      </c>
      <c r="M434" s="50" t="s">
        <v>847</v>
      </c>
    </row>
    <row r="435" spans="1:13" s="50" customFormat="1" ht="19.5" customHeight="1" x14ac:dyDescent="0.4">
      <c r="A435" s="195">
        <v>46052</v>
      </c>
      <c r="B435" s="59" t="s">
        <v>782</v>
      </c>
      <c r="C435" s="49" t="s">
        <v>156</v>
      </c>
      <c r="D435" s="59" t="s">
        <v>272</v>
      </c>
      <c r="E435" s="67"/>
      <c r="F435" s="49">
        <v>4</v>
      </c>
      <c r="G435" s="49">
        <f t="shared" si="18"/>
        <v>1070771.142</v>
      </c>
      <c r="H435" s="17">
        <f t="shared" si="17"/>
        <v>4283084.568</v>
      </c>
      <c r="I435" s="67" t="s">
        <v>481</v>
      </c>
      <c r="J435" s="68">
        <v>114780</v>
      </c>
      <c r="K435" s="67" t="s">
        <v>816</v>
      </c>
      <c r="L435" s="67">
        <v>9.3289000000000009</v>
      </c>
      <c r="M435" s="50" t="s">
        <v>847</v>
      </c>
    </row>
    <row r="436" spans="1:13" s="50" customFormat="1" ht="19.5" customHeight="1" x14ac:dyDescent="0.4">
      <c r="A436" s="195">
        <v>46052</v>
      </c>
      <c r="B436" s="59" t="s">
        <v>782</v>
      </c>
      <c r="C436" s="49" t="s">
        <v>155</v>
      </c>
      <c r="D436" s="59" t="s">
        <v>253</v>
      </c>
      <c r="E436" s="67"/>
      <c r="F436" s="49">
        <v>8</v>
      </c>
      <c r="G436" s="49">
        <f t="shared" si="18"/>
        <v>3570916.3420000002</v>
      </c>
      <c r="H436" s="17">
        <f t="shared" si="17"/>
        <v>28567330.736000001</v>
      </c>
      <c r="I436" s="67" t="s">
        <v>804</v>
      </c>
      <c r="J436" s="68">
        <v>382780</v>
      </c>
      <c r="K436" s="67" t="s">
        <v>816</v>
      </c>
      <c r="L436" s="67">
        <v>9.3289000000000009</v>
      </c>
      <c r="M436" s="50" t="s">
        <v>847</v>
      </c>
    </row>
    <row r="437" spans="1:13" s="50" customFormat="1" ht="19.5" customHeight="1" x14ac:dyDescent="0.4">
      <c r="A437" s="195">
        <v>46052</v>
      </c>
      <c r="B437" s="59" t="s">
        <v>782</v>
      </c>
      <c r="C437" s="49" t="s">
        <v>157</v>
      </c>
      <c r="D437" s="59" t="s">
        <v>259</v>
      </c>
      <c r="E437" s="67"/>
      <c r="F437" s="49">
        <v>8</v>
      </c>
      <c r="G437" s="49">
        <f t="shared" si="18"/>
        <v>3353552.9720000005</v>
      </c>
      <c r="H437" s="17">
        <f t="shared" si="17"/>
        <v>26828423.776000004</v>
      </c>
      <c r="I437" s="67" t="s">
        <v>804</v>
      </c>
      <c r="J437" s="68">
        <v>359480</v>
      </c>
      <c r="K437" s="67" t="s">
        <v>816</v>
      </c>
      <c r="L437" s="67">
        <v>9.3289000000000009</v>
      </c>
      <c r="M437" s="50" t="s">
        <v>847</v>
      </c>
    </row>
    <row r="438" spans="1:13" s="50" customFormat="1" ht="19.5" customHeight="1" x14ac:dyDescent="0.4">
      <c r="A438" s="195">
        <v>46052</v>
      </c>
      <c r="B438" s="59" t="s">
        <v>782</v>
      </c>
      <c r="C438" s="49" t="s">
        <v>150</v>
      </c>
      <c r="D438" s="59" t="s">
        <v>334</v>
      </c>
      <c r="E438" s="67"/>
      <c r="F438" s="49">
        <v>4</v>
      </c>
      <c r="G438" s="49">
        <f t="shared" si="18"/>
        <v>305521.47500000003</v>
      </c>
      <c r="H438" s="17">
        <f t="shared" si="17"/>
        <v>1222085.9000000001</v>
      </c>
      <c r="I438" s="67" t="s">
        <v>801</v>
      </c>
      <c r="J438" s="68">
        <v>32750</v>
      </c>
      <c r="K438" s="67" t="s">
        <v>816</v>
      </c>
      <c r="L438" s="67">
        <v>9.3289000000000009</v>
      </c>
      <c r="M438" s="50" t="s">
        <v>847</v>
      </c>
    </row>
    <row r="439" spans="1:13" s="50" customFormat="1" ht="19.5" customHeight="1" x14ac:dyDescent="0.4">
      <c r="A439" s="195">
        <v>46052</v>
      </c>
      <c r="B439" s="59" t="s">
        <v>782</v>
      </c>
      <c r="C439" s="49" t="s">
        <v>154</v>
      </c>
      <c r="D439" s="59" t="s">
        <v>250</v>
      </c>
      <c r="E439" s="67"/>
      <c r="F439" s="49">
        <v>4</v>
      </c>
      <c r="G439" s="49">
        <f t="shared" si="18"/>
        <v>716925.96500000008</v>
      </c>
      <c r="H439" s="17">
        <f t="shared" si="17"/>
        <v>2867703.8600000003</v>
      </c>
      <c r="I439" s="67" t="s">
        <v>801</v>
      </c>
      <c r="J439" s="68">
        <v>76850</v>
      </c>
      <c r="K439" s="67" t="s">
        <v>816</v>
      </c>
      <c r="L439" s="67">
        <v>9.3289000000000009</v>
      </c>
      <c r="M439" s="50" t="s">
        <v>847</v>
      </c>
    </row>
    <row r="440" spans="1:13" s="50" customFormat="1" ht="19.5" customHeight="1" x14ac:dyDescent="0.4">
      <c r="A440" s="195">
        <v>46052</v>
      </c>
      <c r="B440" s="59" t="s">
        <v>782</v>
      </c>
      <c r="C440" s="49" t="s">
        <v>156</v>
      </c>
      <c r="D440" s="59" t="s">
        <v>271</v>
      </c>
      <c r="E440" s="67"/>
      <c r="F440" s="49">
        <v>4</v>
      </c>
      <c r="G440" s="49">
        <f t="shared" si="18"/>
        <v>1070771.142</v>
      </c>
      <c r="H440" s="17">
        <f t="shared" si="17"/>
        <v>4283084.568</v>
      </c>
      <c r="I440" s="67" t="s">
        <v>546</v>
      </c>
      <c r="J440" s="68">
        <v>114780</v>
      </c>
      <c r="K440" s="67" t="s">
        <v>816</v>
      </c>
      <c r="L440" s="67">
        <v>9.3289000000000009</v>
      </c>
      <c r="M440" s="50" t="s">
        <v>847</v>
      </c>
    </row>
    <row r="441" spans="1:13" s="50" customFormat="1" ht="19.5" customHeight="1" x14ac:dyDescent="0.4">
      <c r="A441" s="195">
        <v>46052</v>
      </c>
      <c r="B441" s="59" t="s">
        <v>782</v>
      </c>
      <c r="C441" s="49" t="s">
        <v>153</v>
      </c>
      <c r="D441" s="59" t="s">
        <v>264</v>
      </c>
      <c r="E441" s="67"/>
      <c r="F441" s="49">
        <v>1</v>
      </c>
      <c r="G441" s="49">
        <f t="shared" si="18"/>
        <v>2771709.4790000003</v>
      </c>
      <c r="H441" s="17">
        <f t="shared" si="17"/>
        <v>2771709.4790000003</v>
      </c>
      <c r="I441" s="67" t="s">
        <v>582</v>
      </c>
      <c r="J441" s="68">
        <v>297110</v>
      </c>
      <c r="K441" s="67" t="s">
        <v>816</v>
      </c>
      <c r="L441" s="67">
        <v>9.3289000000000009</v>
      </c>
      <c r="M441" s="50" t="s">
        <v>847</v>
      </c>
    </row>
    <row r="442" spans="1:13" s="50" customFormat="1" ht="19.5" customHeight="1" x14ac:dyDescent="0.4">
      <c r="A442" s="195">
        <v>46052</v>
      </c>
      <c r="B442" s="59" t="s">
        <v>782</v>
      </c>
      <c r="C442" s="49" t="s">
        <v>154</v>
      </c>
      <c r="D442" s="59" t="s">
        <v>267</v>
      </c>
      <c r="E442" s="67"/>
      <c r="F442" s="49">
        <v>8</v>
      </c>
      <c r="G442" s="49">
        <f t="shared" si="18"/>
        <v>3814027.4760000003</v>
      </c>
      <c r="H442" s="17">
        <f t="shared" si="17"/>
        <v>30512219.808000002</v>
      </c>
      <c r="I442" s="67" t="s">
        <v>814</v>
      </c>
      <c r="J442" s="68">
        <v>408840</v>
      </c>
      <c r="K442" s="67" t="s">
        <v>816</v>
      </c>
      <c r="L442" s="67">
        <v>9.3289000000000009</v>
      </c>
      <c r="M442" s="50" t="s">
        <v>847</v>
      </c>
    </row>
    <row r="443" spans="1:13" s="50" customFormat="1" ht="19.5" customHeight="1" x14ac:dyDescent="0.4">
      <c r="A443" s="195">
        <v>46052</v>
      </c>
      <c r="B443" s="59" t="s">
        <v>782</v>
      </c>
      <c r="C443" s="49" t="s">
        <v>153</v>
      </c>
      <c r="D443" s="59" t="s">
        <v>392</v>
      </c>
      <c r="E443" s="67"/>
      <c r="F443" s="49">
        <v>8</v>
      </c>
      <c r="G443" s="49">
        <f t="shared" si="18"/>
        <v>2781598.1130000004</v>
      </c>
      <c r="H443" s="17">
        <f t="shared" si="17"/>
        <v>22252784.904000003</v>
      </c>
      <c r="I443" s="67" t="s">
        <v>814</v>
      </c>
      <c r="J443" s="68">
        <v>298170</v>
      </c>
      <c r="K443" s="67" t="s">
        <v>816</v>
      </c>
      <c r="L443" s="67">
        <v>9.3289000000000009</v>
      </c>
      <c r="M443" s="50" t="s">
        <v>847</v>
      </c>
    </row>
    <row r="444" spans="1:13" s="50" customFormat="1" ht="19.5" customHeight="1" x14ac:dyDescent="0.4">
      <c r="A444" s="195">
        <v>46052</v>
      </c>
      <c r="B444" s="59" t="s">
        <v>782</v>
      </c>
      <c r="C444" s="49" t="s">
        <v>158</v>
      </c>
      <c r="D444" s="59" t="s">
        <v>252</v>
      </c>
      <c r="E444" s="67"/>
      <c r="F444" s="49">
        <v>8</v>
      </c>
      <c r="G444" s="49">
        <f t="shared" si="18"/>
        <v>3444229.8800000004</v>
      </c>
      <c r="H444" s="17">
        <f t="shared" si="17"/>
        <v>27553839.040000003</v>
      </c>
      <c r="I444" s="67" t="s">
        <v>814</v>
      </c>
      <c r="J444" s="68">
        <v>369200</v>
      </c>
      <c r="K444" s="67" t="s">
        <v>816</v>
      </c>
      <c r="L444" s="67">
        <v>9.3289000000000009</v>
      </c>
      <c r="M444" s="50" t="s">
        <v>847</v>
      </c>
    </row>
    <row r="445" spans="1:13" s="50" customFormat="1" ht="19.5" customHeight="1" x14ac:dyDescent="0.4">
      <c r="A445" s="195">
        <v>46052</v>
      </c>
      <c r="B445" s="59" t="s">
        <v>782</v>
      </c>
      <c r="C445" s="49" t="s">
        <v>154</v>
      </c>
      <c r="D445" s="59" t="s">
        <v>251</v>
      </c>
      <c r="E445" s="67"/>
      <c r="F445" s="49">
        <v>4</v>
      </c>
      <c r="G445" s="49">
        <f t="shared" si="18"/>
        <v>716925.96500000008</v>
      </c>
      <c r="H445" s="17">
        <f t="shared" si="17"/>
        <v>2867703.8600000003</v>
      </c>
      <c r="I445" s="67" t="s">
        <v>809</v>
      </c>
      <c r="J445" s="68">
        <v>76850</v>
      </c>
      <c r="K445" s="67" t="s">
        <v>816</v>
      </c>
      <c r="L445" s="67">
        <v>9.3289000000000009</v>
      </c>
      <c r="M445" s="50" t="s">
        <v>847</v>
      </c>
    </row>
    <row r="446" spans="1:13" s="50" customFormat="1" ht="19.5" customHeight="1" x14ac:dyDescent="0.4">
      <c r="A446" s="195">
        <v>46052</v>
      </c>
      <c r="B446" s="59" t="s">
        <v>782</v>
      </c>
      <c r="C446" s="49" t="s">
        <v>154</v>
      </c>
      <c r="D446" s="59" t="s">
        <v>251</v>
      </c>
      <c r="E446" s="67"/>
      <c r="F446" s="49">
        <v>4</v>
      </c>
      <c r="G446" s="49">
        <f t="shared" si="18"/>
        <v>719724.63500000001</v>
      </c>
      <c r="H446" s="17">
        <f t="shared" si="17"/>
        <v>2878898.54</v>
      </c>
      <c r="I446" s="67" t="s">
        <v>810</v>
      </c>
      <c r="J446" s="68">
        <v>77150</v>
      </c>
      <c r="K446" s="67" t="s">
        <v>816</v>
      </c>
      <c r="L446" s="67">
        <v>9.3289000000000009</v>
      </c>
      <c r="M446" s="50" t="s">
        <v>847</v>
      </c>
    </row>
    <row r="447" spans="1:13" s="50" customFormat="1" ht="19.5" customHeight="1" x14ac:dyDescent="0.4">
      <c r="A447" s="195">
        <v>46052</v>
      </c>
      <c r="B447" s="59" t="s">
        <v>782</v>
      </c>
      <c r="C447" s="49" t="s">
        <v>154</v>
      </c>
      <c r="D447" s="59" t="s">
        <v>266</v>
      </c>
      <c r="E447" s="67"/>
      <c r="F447" s="49">
        <v>2</v>
      </c>
      <c r="G447" s="49">
        <f t="shared" si="18"/>
        <v>3853208.8560000001</v>
      </c>
      <c r="H447" s="17">
        <f t="shared" si="17"/>
        <v>7706417.7120000003</v>
      </c>
      <c r="I447" s="67" t="s">
        <v>784</v>
      </c>
      <c r="J447" s="68">
        <v>413040</v>
      </c>
      <c r="K447" s="67" t="s">
        <v>816</v>
      </c>
      <c r="L447" s="67">
        <v>9.3289000000000009</v>
      </c>
      <c r="M447" s="50" t="s">
        <v>847</v>
      </c>
    </row>
    <row r="448" spans="1:13" s="50" customFormat="1" ht="19.5" customHeight="1" x14ac:dyDescent="0.4">
      <c r="A448" s="195">
        <v>46052</v>
      </c>
      <c r="B448" s="59" t="s">
        <v>782</v>
      </c>
      <c r="C448" s="49" t="s">
        <v>154</v>
      </c>
      <c r="D448" s="59" t="s">
        <v>251</v>
      </c>
      <c r="E448" s="67"/>
      <c r="F448" s="49">
        <v>4</v>
      </c>
      <c r="G448" s="49">
        <f t="shared" si="18"/>
        <v>719724.63500000001</v>
      </c>
      <c r="H448" s="17">
        <f t="shared" si="17"/>
        <v>2878898.54</v>
      </c>
      <c r="I448" s="67" t="s">
        <v>811</v>
      </c>
      <c r="J448" s="68">
        <v>77150</v>
      </c>
      <c r="K448" s="67" t="s">
        <v>816</v>
      </c>
      <c r="L448" s="67">
        <v>9.3289000000000009</v>
      </c>
      <c r="M448" s="50" t="s">
        <v>847</v>
      </c>
    </row>
    <row r="449" spans="1:13" s="50" customFormat="1" ht="19.5" customHeight="1" x14ac:dyDescent="0.4">
      <c r="A449" s="195">
        <v>46052</v>
      </c>
      <c r="B449" s="59" t="s">
        <v>782</v>
      </c>
      <c r="C449" s="49" t="s">
        <v>154</v>
      </c>
      <c r="D449" s="59" t="s">
        <v>251</v>
      </c>
      <c r="E449" s="67"/>
      <c r="F449" s="49">
        <v>4</v>
      </c>
      <c r="G449" s="49">
        <f t="shared" si="18"/>
        <v>719724.63500000001</v>
      </c>
      <c r="H449" s="17">
        <f t="shared" si="17"/>
        <v>2878898.54</v>
      </c>
      <c r="I449" s="67" t="s">
        <v>812</v>
      </c>
      <c r="J449" s="68">
        <v>77150</v>
      </c>
      <c r="K449" s="67" t="s">
        <v>816</v>
      </c>
      <c r="L449" s="67">
        <v>9.3289000000000009</v>
      </c>
      <c r="M449" s="50" t="s">
        <v>847</v>
      </c>
    </row>
    <row r="450" spans="1:13" s="50" customFormat="1" ht="19.5" customHeight="1" x14ac:dyDescent="0.4">
      <c r="A450" s="195">
        <v>46052</v>
      </c>
      <c r="B450" s="59" t="s">
        <v>782</v>
      </c>
      <c r="C450" s="49" t="s">
        <v>154</v>
      </c>
      <c r="D450" s="59" t="s">
        <v>251</v>
      </c>
      <c r="E450" s="67"/>
      <c r="F450" s="49">
        <v>4</v>
      </c>
      <c r="G450" s="49">
        <f t="shared" si="18"/>
        <v>719724.63500000001</v>
      </c>
      <c r="H450" s="17">
        <f t="shared" si="17"/>
        <v>2878898.54</v>
      </c>
      <c r="I450" s="67" t="s">
        <v>813</v>
      </c>
      <c r="J450" s="68">
        <v>77150</v>
      </c>
      <c r="K450" s="67" t="s">
        <v>816</v>
      </c>
      <c r="L450" s="67">
        <v>9.3289000000000009</v>
      </c>
      <c r="M450" s="50" t="s">
        <v>847</v>
      </c>
    </row>
    <row r="451" spans="1:13" s="50" customFormat="1" ht="19.5" customHeight="1" x14ac:dyDescent="0.4">
      <c r="A451" s="195">
        <v>46052</v>
      </c>
      <c r="B451" s="59" t="s">
        <v>782</v>
      </c>
      <c r="C451" s="49" t="s">
        <v>150</v>
      </c>
      <c r="D451" s="59" t="s">
        <v>334</v>
      </c>
      <c r="E451" s="67"/>
      <c r="F451" s="49">
        <v>3</v>
      </c>
      <c r="G451" s="49">
        <f t="shared" si="18"/>
        <v>20598.211200000002</v>
      </c>
      <c r="H451" s="17">
        <f t="shared" si="17"/>
        <v>61794.633600000001</v>
      </c>
      <c r="I451" s="67" t="s">
        <v>817</v>
      </c>
      <c r="J451" s="68">
        <v>2208</v>
      </c>
      <c r="K451" s="67" t="s">
        <v>816</v>
      </c>
      <c r="L451" s="67">
        <v>9.3289000000000009</v>
      </c>
      <c r="M451" s="50" t="s">
        <v>847</v>
      </c>
    </row>
    <row r="452" spans="1:13" s="50" customFormat="1" ht="19.5" customHeight="1" x14ac:dyDescent="0.4">
      <c r="A452" s="195">
        <v>46052</v>
      </c>
      <c r="B452" s="59" t="s">
        <v>782</v>
      </c>
      <c r="C452" s="49" t="s">
        <v>150</v>
      </c>
      <c r="D452" s="59" t="s">
        <v>335</v>
      </c>
      <c r="E452" s="67"/>
      <c r="F452" s="49">
        <v>3</v>
      </c>
      <c r="G452" s="49">
        <f t="shared" si="18"/>
        <v>20598.211200000002</v>
      </c>
      <c r="H452" s="17">
        <f t="shared" si="17"/>
        <v>61794.633600000001</v>
      </c>
      <c r="I452" s="67" t="s">
        <v>818</v>
      </c>
      <c r="J452" s="68">
        <v>2208</v>
      </c>
      <c r="K452" s="67" t="s">
        <v>816</v>
      </c>
      <c r="L452" s="67">
        <v>9.3289000000000009</v>
      </c>
      <c r="M452" s="50" t="s">
        <v>847</v>
      </c>
    </row>
    <row r="453" spans="1:13" s="50" customFormat="1" ht="19.5" customHeight="1" x14ac:dyDescent="0.4">
      <c r="A453" s="195">
        <v>46052</v>
      </c>
      <c r="B453" s="59" t="s">
        <v>782</v>
      </c>
      <c r="C453" s="49" t="s">
        <v>150</v>
      </c>
      <c r="D453" s="59" t="s">
        <v>335</v>
      </c>
      <c r="E453" s="67"/>
      <c r="F453" s="49">
        <v>2</v>
      </c>
      <c r="G453" s="49">
        <f t="shared" si="18"/>
        <v>20598.211200000002</v>
      </c>
      <c r="H453" s="17">
        <f t="shared" si="17"/>
        <v>41196.422400000003</v>
      </c>
      <c r="I453" s="67" t="s">
        <v>819</v>
      </c>
      <c r="J453" s="68">
        <v>2208</v>
      </c>
      <c r="K453" s="67" t="s">
        <v>816</v>
      </c>
      <c r="L453" s="67">
        <v>9.3289000000000009</v>
      </c>
      <c r="M453" s="50" t="s">
        <v>847</v>
      </c>
    </row>
    <row r="454" spans="1:13" s="50" customFormat="1" ht="19.5" customHeight="1" x14ac:dyDescent="0.4">
      <c r="A454" s="195">
        <v>46052</v>
      </c>
      <c r="B454" s="59" t="s">
        <v>782</v>
      </c>
      <c r="C454" s="49" t="s">
        <v>150</v>
      </c>
      <c r="D454" s="59" t="s">
        <v>335</v>
      </c>
      <c r="E454" s="67"/>
      <c r="F454" s="49">
        <v>2</v>
      </c>
      <c r="G454" s="49">
        <f t="shared" si="18"/>
        <v>20598.211200000002</v>
      </c>
      <c r="H454" s="17">
        <f t="shared" si="17"/>
        <v>41196.422400000003</v>
      </c>
      <c r="I454" s="67" t="s">
        <v>803</v>
      </c>
      <c r="J454" s="68">
        <v>2208</v>
      </c>
      <c r="K454" s="67" t="s">
        <v>816</v>
      </c>
      <c r="L454" s="67">
        <v>9.3289000000000009</v>
      </c>
      <c r="M454" s="50" t="s">
        <v>847</v>
      </c>
    </row>
    <row r="455" spans="1:13" s="50" customFormat="1" ht="19.5" customHeight="1" x14ac:dyDescent="0.4">
      <c r="A455" s="195">
        <v>46052</v>
      </c>
      <c r="B455" s="59" t="s">
        <v>782</v>
      </c>
      <c r="C455" s="49" t="s">
        <v>153</v>
      </c>
      <c r="D455" s="59" t="s">
        <v>269</v>
      </c>
      <c r="E455" s="67"/>
      <c r="F455" s="49">
        <v>1</v>
      </c>
      <c r="G455" s="49">
        <f t="shared" si="18"/>
        <v>278075.85120000003</v>
      </c>
      <c r="H455" s="17">
        <f t="shared" si="17"/>
        <v>278075.85120000003</v>
      </c>
      <c r="I455" s="67" t="s">
        <v>543</v>
      </c>
      <c r="J455" s="68">
        <v>29808</v>
      </c>
      <c r="K455" s="67" t="s">
        <v>816</v>
      </c>
      <c r="L455" s="67">
        <v>9.3289000000000009</v>
      </c>
      <c r="M455" s="50" t="s">
        <v>847</v>
      </c>
    </row>
    <row r="456" spans="1:13" s="50" customFormat="1" ht="19.5" customHeight="1" x14ac:dyDescent="0.4">
      <c r="A456" s="195">
        <v>46052</v>
      </c>
      <c r="B456" s="59" t="s">
        <v>782</v>
      </c>
      <c r="C456" s="49" t="s">
        <v>150</v>
      </c>
      <c r="D456" s="59" t="s">
        <v>335</v>
      </c>
      <c r="E456" s="67"/>
      <c r="F456" s="49">
        <v>4</v>
      </c>
      <c r="G456" s="49">
        <f t="shared" si="18"/>
        <v>20159.752900000003</v>
      </c>
      <c r="H456" s="17">
        <f t="shared" si="17"/>
        <v>80639.011600000013</v>
      </c>
      <c r="I456" s="67" t="s">
        <v>820</v>
      </c>
      <c r="J456" s="68">
        <v>2161</v>
      </c>
      <c r="K456" s="67" t="s">
        <v>816</v>
      </c>
      <c r="L456" s="67">
        <v>9.3289000000000009</v>
      </c>
      <c r="M456" s="50" t="s">
        <v>847</v>
      </c>
    </row>
    <row r="457" spans="1:13" s="50" customFormat="1" ht="19.5" customHeight="1" x14ac:dyDescent="0.4">
      <c r="A457" s="195">
        <v>46052</v>
      </c>
      <c r="B457" s="59" t="s">
        <v>782</v>
      </c>
      <c r="C457" s="49" t="s">
        <v>150</v>
      </c>
      <c r="D457" s="59" t="s">
        <v>335</v>
      </c>
      <c r="E457" s="67"/>
      <c r="F457" s="49">
        <v>3</v>
      </c>
      <c r="G457" s="49">
        <f t="shared" si="18"/>
        <v>20159.752900000003</v>
      </c>
      <c r="H457" s="17">
        <f t="shared" si="17"/>
        <v>60479.258700000006</v>
      </c>
      <c r="I457" s="67" t="s">
        <v>821</v>
      </c>
      <c r="J457" s="68">
        <v>2161</v>
      </c>
      <c r="K457" s="67" t="s">
        <v>816</v>
      </c>
      <c r="L457" s="67">
        <v>9.3289000000000009</v>
      </c>
      <c r="M457" s="50" t="s">
        <v>847</v>
      </c>
    </row>
    <row r="458" spans="1:13" s="50" customFormat="1" ht="19.5" customHeight="1" x14ac:dyDescent="0.4">
      <c r="A458" s="195">
        <v>46052</v>
      </c>
      <c r="B458" s="59" t="s">
        <v>782</v>
      </c>
      <c r="C458" s="49" t="s">
        <v>150</v>
      </c>
      <c r="D458" s="59" t="s">
        <v>335</v>
      </c>
      <c r="E458" s="67"/>
      <c r="F458" s="49">
        <v>3</v>
      </c>
      <c r="G458" s="49">
        <f t="shared" si="18"/>
        <v>20159.752900000003</v>
      </c>
      <c r="H458" s="17">
        <f t="shared" si="17"/>
        <v>60479.258700000006</v>
      </c>
      <c r="I458" s="67" t="s">
        <v>544</v>
      </c>
      <c r="J458" s="68">
        <v>2161</v>
      </c>
      <c r="K458" s="67" t="s">
        <v>816</v>
      </c>
      <c r="L458" s="67">
        <v>9.3289000000000009</v>
      </c>
      <c r="M458" s="50" t="s">
        <v>847</v>
      </c>
    </row>
    <row r="459" spans="1:13" s="50" customFormat="1" ht="19.5" customHeight="1" x14ac:dyDescent="0.4">
      <c r="A459" s="377"/>
      <c r="B459" s="123"/>
      <c r="C459" s="138"/>
      <c r="D459" s="97"/>
      <c r="E459" s="123"/>
      <c r="F459" s="138"/>
      <c r="G459" s="138"/>
      <c r="H459" s="138">
        <f>SUM(H367:H429)-2</f>
        <v>504951121.49540001</v>
      </c>
      <c r="I459" s="378"/>
      <c r="J459" s="138"/>
      <c r="K459" s="123"/>
      <c r="L459" s="123"/>
    </row>
    <row r="460" spans="1:13" s="50" customFormat="1" ht="19.5" customHeight="1" x14ac:dyDescent="0.4">
      <c r="A460" s="195">
        <v>46047</v>
      </c>
      <c r="B460" s="59" t="s">
        <v>861</v>
      </c>
      <c r="C460" s="49" t="s">
        <v>859</v>
      </c>
      <c r="D460" s="59" t="s">
        <v>860</v>
      </c>
      <c r="E460" s="67"/>
      <c r="F460" s="49">
        <v>4800</v>
      </c>
      <c r="G460" s="49">
        <v>340</v>
      </c>
      <c r="H460" s="17">
        <f t="shared" si="17"/>
        <v>1632000</v>
      </c>
      <c r="I460" s="411"/>
      <c r="J460" s="49"/>
      <c r="K460" s="67"/>
      <c r="L460" s="67"/>
    </row>
    <row r="461" spans="1:13" s="50" customFormat="1" ht="19.5" customHeight="1" x14ac:dyDescent="0.4">
      <c r="A461" s="377"/>
      <c r="B461" s="123"/>
      <c r="C461" s="138"/>
      <c r="D461" s="97"/>
      <c r="E461" s="123"/>
      <c r="F461" s="138"/>
      <c r="G461" s="138"/>
      <c r="H461" s="138">
        <f>SUM(H460)</f>
        <v>1632000</v>
      </c>
      <c r="I461" s="378"/>
      <c r="J461" s="138"/>
      <c r="K461" s="123"/>
      <c r="L461" s="123"/>
    </row>
    <row r="462" spans="1:13" s="3" customFormat="1" ht="19.5" customHeight="1" x14ac:dyDescent="0.4">
      <c r="A462" s="118">
        <v>46024</v>
      </c>
      <c r="B462" s="103" t="s">
        <v>163</v>
      </c>
      <c r="C462" s="115" t="s">
        <v>602</v>
      </c>
      <c r="D462" s="42"/>
      <c r="E462" s="42" t="s">
        <v>17</v>
      </c>
      <c r="F462" s="117">
        <v>90</v>
      </c>
      <c r="G462" s="8">
        <v>107474</v>
      </c>
      <c r="H462" s="8">
        <f>+G462*F462</f>
        <v>9672660</v>
      </c>
      <c r="I462" s="191"/>
      <c r="J462" s="70"/>
      <c r="K462" s="8"/>
      <c r="L462" s="116"/>
      <c r="M462" s="89"/>
    </row>
    <row r="463" spans="1:13" s="3" customFormat="1" ht="19.5" customHeight="1" x14ac:dyDescent="0.4">
      <c r="A463" s="118">
        <v>46025</v>
      </c>
      <c r="B463" s="103" t="s">
        <v>163</v>
      </c>
      <c r="C463" s="115" t="s">
        <v>602</v>
      </c>
      <c r="D463" s="42"/>
      <c r="E463" s="42" t="s">
        <v>17</v>
      </c>
      <c r="F463" s="117">
        <v>90</v>
      </c>
      <c r="G463" s="8">
        <v>107474</v>
      </c>
      <c r="H463" s="8">
        <f t="shared" ref="H463:H487" si="19">+G463*F463</f>
        <v>9672660</v>
      </c>
      <c r="I463" s="191"/>
      <c r="J463" s="70"/>
      <c r="K463" s="8"/>
      <c r="L463" s="116"/>
      <c r="M463" s="89"/>
    </row>
    <row r="464" spans="1:13" s="3" customFormat="1" ht="19.5" customHeight="1" x14ac:dyDescent="0.4">
      <c r="A464" s="118">
        <v>46027</v>
      </c>
      <c r="B464" s="103" t="s">
        <v>163</v>
      </c>
      <c r="C464" s="115" t="s">
        <v>602</v>
      </c>
      <c r="D464" s="42"/>
      <c r="E464" s="42" t="s">
        <v>17</v>
      </c>
      <c r="F464" s="117">
        <v>86</v>
      </c>
      <c r="G464" s="8">
        <v>107474</v>
      </c>
      <c r="H464" s="8">
        <f t="shared" si="19"/>
        <v>9242764</v>
      </c>
      <c r="I464" s="191"/>
      <c r="J464" s="70"/>
      <c r="K464" s="8"/>
      <c r="L464" s="116"/>
      <c r="M464" s="89"/>
    </row>
    <row r="465" spans="1:13" s="3" customFormat="1" ht="19.5" customHeight="1" x14ac:dyDescent="0.4">
      <c r="A465" s="118">
        <v>46028</v>
      </c>
      <c r="B465" s="103" t="s">
        <v>163</v>
      </c>
      <c r="C465" s="115" t="s">
        <v>602</v>
      </c>
      <c r="D465" s="42"/>
      <c r="E465" s="42" t="s">
        <v>17</v>
      </c>
      <c r="F465" s="117">
        <v>60</v>
      </c>
      <c r="G465" s="8">
        <v>107474</v>
      </c>
      <c r="H465" s="8">
        <f t="shared" si="19"/>
        <v>6448440</v>
      </c>
      <c r="I465" s="191"/>
      <c r="J465" s="70"/>
      <c r="K465" s="8"/>
      <c r="L465" s="116"/>
      <c r="M465" s="89"/>
    </row>
    <row r="466" spans="1:13" s="3" customFormat="1" ht="19.5" customHeight="1" x14ac:dyDescent="0.4">
      <c r="A466" s="118">
        <v>46029</v>
      </c>
      <c r="B466" s="103" t="s">
        <v>163</v>
      </c>
      <c r="C466" s="115" t="s">
        <v>276</v>
      </c>
      <c r="D466" s="42"/>
      <c r="E466" s="42" t="s">
        <v>17</v>
      </c>
      <c r="F466" s="117">
        <v>90</v>
      </c>
      <c r="G466" s="8">
        <v>107474</v>
      </c>
      <c r="H466" s="8">
        <f t="shared" si="19"/>
        <v>9672660</v>
      </c>
      <c r="I466" s="191"/>
      <c r="J466" s="70"/>
      <c r="K466" s="8"/>
      <c r="L466" s="116"/>
      <c r="M466" s="89"/>
    </row>
    <row r="467" spans="1:13" s="3" customFormat="1" ht="19.5" customHeight="1" x14ac:dyDescent="0.4">
      <c r="A467" s="118">
        <v>46030</v>
      </c>
      <c r="B467" s="103" t="s">
        <v>163</v>
      </c>
      <c r="C467" s="115" t="s">
        <v>276</v>
      </c>
      <c r="D467" s="42"/>
      <c r="E467" s="42" t="s">
        <v>17</v>
      </c>
      <c r="F467" s="117">
        <v>60</v>
      </c>
      <c r="G467" s="8">
        <v>107474</v>
      </c>
      <c r="H467" s="8">
        <f t="shared" si="19"/>
        <v>6448440</v>
      </c>
      <c r="I467" s="191"/>
      <c r="J467" s="70"/>
      <c r="K467" s="8"/>
      <c r="L467" s="116"/>
      <c r="M467" s="89"/>
    </row>
    <row r="468" spans="1:13" s="3" customFormat="1" ht="19.5" customHeight="1" x14ac:dyDescent="0.4">
      <c r="A468" s="118">
        <v>46030</v>
      </c>
      <c r="B468" s="103" t="s">
        <v>163</v>
      </c>
      <c r="C468" s="115" t="s">
        <v>602</v>
      </c>
      <c r="D468" s="42"/>
      <c r="E468" s="42" t="s">
        <v>17</v>
      </c>
      <c r="F468" s="117">
        <v>30</v>
      </c>
      <c r="G468" s="8">
        <v>107474</v>
      </c>
      <c r="H468" s="8">
        <f t="shared" si="19"/>
        <v>3224220</v>
      </c>
      <c r="I468" s="191"/>
      <c r="J468" s="70"/>
      <c r="K468" s="8"/>
      <c r="L468" s="116"/>
      <c r="M468" s="89"/>
    </row>
    <row r="469" spans="1:13" s="3" customFormat="1" ht="19.5" customHeight="1" x14ac:dyDescent="0.4">
      <c r="A469" s="118">
        <v>46031</v>
      </c>
      <c r="B469" s="103" t="s">
        <v>163</v>
      </c>
      <c r="C469" s="115" t="s">
        <v>602</v>
      </c>
      <c r="D469" s="42"/>
      <c r="E469" s="42" t="s">
        <v>17</v>
      </c>
      <c r="F469" s="117">
        <v>90</v>
      </c>
      <c r="G469" s="8">
        <v>107474</v>
      </c>
      <c r="H469" s="8">
        <f t="shared" si="19"/>
        <v>9672660</v>
      </c>
      <c r="I469" s="171"/>
      <c r="J469" s="70"/>
      <c r="K469" s="8"/>
      <c r="L469" s="116"/>
      <c r="M469" s="89"/>
    </row>
    <row r="470" spans="1:13" s="3" customFormat="1" ht="19.5" customHeight="1" x14ac:dyDescent="0.4">
      <c r="A470" s="118">
        <v>46032</v>
      </c>
      <c r="B470" s="103" t="s">
        <v>163</v>
      </c>
      <c r="C470" s="115" t="s">
        <v>602</v>
      </c>
      <c r="D470" s="42"/>
      <c r="E470" s="42" t="s">
        <v>17</v>
      </c>
      <c r="F470" s="117">
        <v>60</v>
      </c>
      <c r="G470" s="8">
        <v>107474</v>
      </c>
      <c r="H470" s="8">
        <f t="shared" si="19"/>
        <v>6448440</v>
      </c>
      <c r="I470" s="191"/>
      <c r="J470" s="70"/>
      <c r="K470" s="8"/>
      <c r="L470" s="116"/>
      <c r="M470" s="89"/>
    </row>
    <row r="471" spans="1:13" s="3" customFormat="1" ht="19.5" customHeight="1" x14ac:dyDescent="0.4">
      <c r="A471" s="118">
        <v>46034</v>
      </c>
      <c r="B471" s="103" t="s">
        <v>163</v>
      </c>
      <c r="C471" s="115" t="s">
        <v>602</v>
      </c>
      <c r="D471" s="42"/>
      <c r="E471" s="42" t="s">
        <v>17</v>
      </c>
      <c r="F471" s="117">
        <v>90</v>
      </c>
      <c r="G471" s="8">
        <v>107474</v>
      </c>
      <c r="H471" s="8">
        <f t="shared" si="19"/>
        <v>9672660</v>
      </c>
      <c r="I471" s="191"/>
      <c r="J471" s="70"/>
      <c r="K471" s="8"/>
      <c r="L471" s="116"/>
      <c r="M471" s="89"/>
    </row>
    <row r="472" spans="1:13" s="3" customFormat="1" ht="19.5" customHeight="1" x14ac:dyDescent="0.4">
      <c r="A472" s="118">
        <v>46035</v>
      </c>
      <c r="B472" s="103" t="s">
        <v>163</v>
      </c>
      <c r="C472" s="115" t="s">
        <v>602</v>
      </c>
      <c r="D472" s="42"/>
      <c r="E472" s="42" t="s">
        <v>17</v>
      </c>
      <c r="F472" s="117">
        <v>90</v>
      </c>
      <c r="G472" s="8">
        <v>107474</v>
      </c>
      <c r="H472" s="8">
        <f t="shared" si="19"/>
        <v>9672660</v>
      </c>
      <c r="I472" s="191"/>
      <c r="J472" s="70"/>
      <c r="K472" s="8"/>
      <c r="L472" s="116"/>
      <c r="M472" s="89"/>
    </row>
    <row r="473" spans="1:13" s="3" customFormat="1" ht="19.5" customHeight="1" x14ac:dyDescent="0.4">
      <c r="A473" s="118">
        <v>46036</v>
      </c>
      <c r="B473" s="103" t="s">
        <v>163</v>
      </c>
      <c r="C473" s="115" t="s">
        <v>602</v>
      </c>
      <c r="D473" s="42"/>
      <c r="E473" s="42" t="s">
        <v>17</v>
      </c>
      <c r="F473" s="117">
        <v>90</v>
      </c>
      <c r="G473" s="8">
        <v>107474</v>
      </c>
      <c r="H473" s="8">
        <f t="shared" si="19"/>
        <v>9672660</v>
      </c>
      <c r="I473" s="191"/>
      <c r="J473" s="70"/>
      <c r="K473" s="8"/>
      <c r="L473" s="116"/>
      <c r="M473" s="89"/>
    </row>
    <row r="474" spans="1:13" s="3" customFormat="1" ht="19.5" customHeight="1" x14ac:dyDescent="0.4">
      <c r="A474" s="118">
        <v>46037</v>
      </c>
      <c r="B474" s="103" t="s">
        <v>163</v>
      </c>
      <c r="C474" s="115" t="s">
        <v>602</v>
      </c>
      <c r="D474" s="42"/>
      <c r="E474" s="42" t="s">
        <v>17</v>
      </c>
      <c r="F474" s="117">
        <v>90</v>
      </c>
      <c r="G474" s="8">
        <v>107474</v>
      </c>
      <c r="H474" s="8">
        <f t="shared" si="19"/>
        <v>9672660</v>
      </c>
      <c r="I474" s="191"/>
      <c r="J474" s="70"/>
      <c r="K474" s="8"/>
      <c r="L474" s="116"/>
      <c r="M474" s="89"/>
    </row>
    <row r="475" spans="1:13" s="3" customFormat="1" ht="19.5" customHeight="1" x14ac:dyDescent="0.4">
      <c r="A475" s="118">
        <v>46038</v>
      </c>
      <c r="B475" s="103" t="s">
        <v>163</v>
      </c>
      <c r="C475" s="115" t="s">
        <v>602</v>
      </c>
      <c r="D475" s="42"/>
      <c r="E475" s="42" t="s">
        <v>17</v>
      </c>
      <c r="F475" s="117">
        <v>60</v>
      </c>
      <c r="G475" s="8">
        <v>107474</v>
      </c>
      <c r="H475" s="8">
        <f t="shared" si="19"/>
        <v>6448440</v>
      </c>
      <c r="I475" s="116" t="s">
        <v>822</v>
      </c>
      <c r="J475" s="70"/>
      <c r="K475" s="8"/>
      <c r="L475" s="116"/>
      <c r="M475" s="89"/>
    </row>
    <row r="476" spans="1:13" s="3" customFormat="1" ht="19.5" customHeight="1" x14ac:dyDescent="0.4">
      <c r="A476" s="118">
        <v>46039</v>
      </c>
      <c r="B476" s="103" t="s">
        <v>163</v>
      </c>
      <c r="C476" s="115" t="s">
        <v>602</v>
      </c>
      <c r="D476" s="42"/>
      <c r="E476" s="42" t="s">
        <v>17</v>
      </c>
      <c r="F476" s="117">
        <v>60</v>
      </c>
      <c r="G476" s="8">
        <v>107474</v>
      </c>
      <c r="H476" s="8">
        <f t="shared" si="19"/>
        <v>6448440</v>
      </c>
      <c r="I476" s="116"/>
      <c r="J476" s="70"/>
      <c r="K476" s="8"/>
      <c r="L476" s="116"/>
      <c r="M476" s="89"/>
    </row>
    <row r="477" spans="1:13" s="3" customFormat="1" ht="19.5" customHeight="1" x14ac:dyDescent="0.4">
      <c r="A477" s="118">
        <v>46041</v>
      </c>
      <c r="B477" s="103" t="s">
        <v>163</v>
      </c>
      <c r="C477" s="115" t="s">
        <v>602</v>
      </c>
      <c r="D477" s="42"/>
      <c r="E477" s="42" t="s">
        <v>17</v>
      </c>
      <c r="F477" s="117">
        <v>69</v>
      </c>
      <c r="G477" s="8">
        <v>107474</v>
      </c>
      <c r="H477" s="8">
        <f t="shared" si="19"/>
        <v>7415706</v>
      </c>
      <c r="I477" s="191"/>
      <c r="J477" s="70"/>
      <c r="K477" s="8"/>
      <c r="L477" s="116"/>
      <c r="M477" s="89"/>
    </row>
    <row r="478" spans="1:13" s="3" customFormat="1" ht="19.5" customHeight="1" x14ac:dyDescent="0.4">
      <c r="A478" s="118">
        <v>46042</v>
      </c>
      <c r="B478" s="103" t="s">
        <v>163</v>
      </c>
      <c r="C478" s="115" t="s">
        <v>602</v>
      </c>
      <c r="D478" s="42"/>
      <c r="E478" s="42" t="s">
        <v>17</v>
      </c>
      <c r="F478" s="117">
        <v>92</v>
      </c>
      <c r="G478" s="8">
        <v>107474</v>
      </c>
      <c r="H478" s="8">
        <f t="shared" si="19"/>
        <v>9887608</v>
      </c>
      <c r="I478" s="191"/>
      <c r="J478" s="70"/>
      <c r="K478" s="8"/>
      <c r="L478" s="116"/>
      <c r="M478" s="89"/>
    </row>
    <row r="479" spans="1:13" s="3" customFormat="1" ht="19.5" customHeight="1" x14ac:dyDescent="0.4">
      <c r="A479" s="118">
        <v>46043</v>
      </c>
      <c r="B479" s="103" t="s">
        <v>823</v>
      </c>
      <c r="C479" s="115" t="s">
        <v>602</v>
      </c>
      <c r="D479" s="42"/>
      <c r="E479" s="42" t="s">
        <v>17</v>
      </c>
      <c r="F479" s="117">
        <v>90</v>
      </c>
      <c r="G479" s="8">
        <v>107474</v>
      </c>
      <c r="H479" s="8">
        <f t="shared" si="19"/>
        <v>9672660</v>
      </c>
      <c r="I479" s="191"/>
      <c r="J479" s="70"/>
      <c r="K479" s="8"/>
      <c r="L479" s="116"/>
      <c r="M479" s="89"/>
    </row>
    <row r="480" spans="1:13" s="3" customFormat="1" ht="19.5" customHeight="1" x14ac:dyDescent="0.4">
      <c r="A480" s="118">
        <v>46044</v>
      </c>
      <c r="B480" s="103" t="s">
        <v>823</v>
      </c>
      <c r="C480" s="115" t="s">
        <v>602</v>
      </c>
      <c r="D480" s="42"/>
      <c r="E480" s="42" t="s">
        <v>17</v>
      </c>
      <c r="F480" s="117">
        <v>87</v>
      </c>
      <c r="G480" s="8">
        <v>107474</v>
      </c>
      <c r="H480" s="8">
        <f t="shared" si="19"/>
        <v>9350238</v>
      </c>
      <c r="I480" s="191"/>
      <c r="J480" s="70"/>
      <c r="K480" s="8"/>
      <c r="L480" s="116"/>
      <c r="M480" s="89"/>
    </row>
    <row r="481" spans="1:15" s="3" customFormat="1" ht="19.5" customHeight="1" x14ac:dyDescent="0.4">
      <c r="A481" s="118">
        <v>46045</v>
      </c>
      <c r="B481" s="103" t="s">
        <v>163</v>
      </c>
      <c r="C481" s="115" t="s">
        <v>602</v>
      </c>
      <c r="D481" s="42"/>
      <c r="E481" s="42" t="s">
        <v>17</v>
      </c>
      <c r="F481" s="117">
        <v>51</v>
      </c>
      <c r="G481" s="8">
        <v>107474</v>
      </c>
      <c r="H481" s="8">
        <f t="shared" si="19"/>
        <v>5481174</v>
      </c>
      <c r="I481" s="191"/>
      <c r="J481" s="70"/>
      <c r="K481" s="8"/>
      <c r="L481" s="116"/>
      <c r="M481" s="89"/>
    </row>
    <row r="482" spans="1:15" s="3" customFormat="1" ht="19.5" customHeight="1" x14ac:dyDescent="0.4">
      <c r="A482" s="118">
        <v>46046</v>
      </c>
      <c r="B482" s="103" t="s">
        <v>163</v>
      </c>
      <c r="C482" s="115" t="s">
        <v>602</v>
      </c>
      <c r="D482" s="42"/>
      <c r="E482" s="42" t="s">
        <v>17</v>
      </c>
      <c r="F482" s="117">
        <v>90</v>
      </c>
      <c r="G482" s="8">
        <v>107474</v>
      </c>
      <c r="H482" s="8">
        <f t="shared" si="19"/>
        <v>9672660</v>
      </c>
      <c r="I482" s="191"/>
      <c r="J482" s="70"/>
      <c r="K482" s="8"/>
      <c r="L482" s="116"/>
      <c r="M482" s="89"/>
    </row>
    <row r="483" spans="1:15" s="3" customFormat="1" ht="19.5" customHeight="1" x14ac:dyDescent="0.4">
      <c r="A483" s="118">
        <v>46048</v>
      </c>
      <c r="B483" s="103" t="s">
        <v>163</v>
      </c>
      <c r="C483" s="115" t="s">
        <v>602</v>
      </c>
      <c r="D483" s="42"/>
      <c r="E483" s="42" t="s">
        <v>17</v>
      </c>
      <c r="F483" s="117">
        <v>90</v>
      </c>
      <c r="G483" s="8">
        <v>107474</v>
      </c>
      <c r="H483" s="8">
        <f t="shared" si="19"/>
        <v>9672660</v>
      </c>
      <c r="I483" s="191"/>
      <c r="J483" s="70"/>
      <c r="K483" s="8"/>
      <c r="L483" s="116"/>
      <c r="M483" s="89"/>
    </row>
    <row r="484" spans="1:15" s="3" customFormat="1" ht="19.5" customHeight="1" x14ac:dyDescent="0.4">
      <c r="A484" s="118">
        <v>46049</v>
      </c>
      <c r="B484" s="103" t="s">
        <v>163</v>
      </c>
      <c r="C484" s="115" t="s">
        <v>602</v>
      </c>
      <c r="D484" s="42"/>
      <c r="E484" s="42" t="s">
        <v>17</v>
      </c>
      <c r="F484" s="117">
        <v>60</v>
      </c>
      <c r="G484" s="8">
        <v>107474</v>
      </c>
      <c r="H484" s="8">
        <f t="shared" si="19"/>
        <v>6448440</v>
      </c>
      <c r="I484" s="191"/>
      <c r="J484" s="70"/>
      <c r="K484" s="8"/>
      <c r="L484" s="116"/>
      <c r="M484" s="89"/>
    </row>
    <row r="485" spans="1:15" s="3" customFormat="1" ht="19.5" customHeight="1" x14ac:dyDescent="0.4">
      <c r="A485" s="118">
        <v>46051</v>
      </c>
      <c r="B485" s="103" t="s">
        <v>163</v>
      </c>
      <c r="C485" s="115" t="s">
        <v>602</v>
      </c>
      <c r="D485" s="42"/>
      <c r="E485" s="42" t="s">
        <v>17</v>
      </c>
      <c r="F485" s="117">
        <v>90</v>
      </c>
      <c r="G485" s="8">
        <v>107474</v>
      </c>
      <c r="H485" s="8">
        <f t="shared" si="19"/>
        <v>9672660</v>
      </c>
      <c r="I485" s="191"/>
      <c r="J485" s="70"/>
      <c r="K485" s="8"/>
      <c r="L485" s="116"/>
      <c r="M485" s="89"/>
    </row>
    <row r="486" spans="1:15" s="3" customFormat="1" ht="19.5" customHeight="1" x14ac:dyDescent="0.4">
      <c r="A486" s="118">
        <v>46052</v>
      </c>
      <c r="B486" s="103" t="s">
        <v>163</v>
      </c>
      <c r="C486" s="115" t="s">
        <v>602</v>
      </c>
      <c r="D486" s="42"/>
      <c r="E486" s="42" t="s">
        <v>17</v>
      </c>
      <c r="F486" s="117">
        <v>90</v>
      </c>
      <c r="G486" s="8">
        <v>107474</v>
      </c>
      <c r="H486" s="8">
        <f t="shared" si="19"/>
        <v>9672660</v>
      </c>
      <c r="I486" s="191"/>
      <c r="J486" s="70"/>
      <c r="K486" s="8"/>
      <c r="L486" s="116"/>
      <c r="M486" s="89"/>
    </row>
    <row r="487" spans="1:15" s="3" customFormat="1" ht="19.5" customHeight="1" x14ac:dyDescent="0.4">
      <c r="A487" s="118">
        <v>46053</v>
      </c>
      <c r="B487" s="103" t="s">
        <v>823</v>
      </c>
      <c r="C487" s="115" t="s">
        <v>602</v>
      </c>
      <c r="D487" s="42"/>
      <c r="E487" s="42" t="s">
        <v>17</v>
      </c>
      <c r="F487" s="117">
        <v>90</v>
      </c>
      <c r="G487" s="8">
        <v>107474</v>
      </c>
      <c r="H487" s="8">
        <f t="shared" si="19"/>
        <v>9672660</v>
      </c>
      <c r="I487" s="191"/>
      <c r="J487" s="70"/>
      <c r="K487" s="8"/>
      <c r="L487" s="116"/>
      <c r="M487" s="89"/>
    </row>
    <row r="488" spans="1:15" s="19" customFormat="1" ht="21" customHeight="1" x14ac:dyDescent="0.4">
      <c r="A488" s="204"/>
      <c r="B488" s="205"/>
      <c r="C488" s="206"/>
      <c r="D488" s="207"/>
      <c r="E488" s="208"/>
      <c r="F488" s="64">
        <f>SUM(F462:F487)</f>
        <v>2035</v>
      </c>
      <c r="G488" s="122"/>
      <c r="H488" s="64">
        <f>SUM(H462:H487)</f>
        <v>218709590</v>
      </c>
      <c r="I488" s="122"/>
      <c r="J488" s="208"/>
      <c r="K488" s="292"/>
      <c r="L488" s="122"/>
      <c r="M488" s="32"/>
      <c r="O488" s="20"/>
    </row>
    <row r="489" spans="1:15" s="19" customFormat="1" ht="21" customHeight="1" x14ac:dyDescent="0.4">
      <c r="A489" s="4">
        <v>46030</v>
      </c>
      <c r="B489" s="110" t="s">
        <v>163</v>
      </c>
      <c r="C489" s="6" t="s">
        <v>276</v>
      </c>
      <c r="D489" s="1"/>
      <c r="E489" s="8" t="s">
        <v>17</v>
      </c>
      <c r="F489" s="8">
        <v>47</v>
      </c>
      <c r="G489" s="203">
        <v>107474</v>
      </c>
      <c r="H489" s="36">
        <f>F489*G489</f>
        <v>5051278</v>
      </c>
      <c r="I489" s="139"/>
      <c r="J489" s="8"/>
      <c r="K489" s="30"/>
      <c r="L489" s="82"/>
      <c r="M489" s="32"/>
      <c r="N489" s="3"/>
      <c r="O489" s="20"/>
    </row>
    <row r="490" spans="1:15" s="19" customFormat="1" ht="21" customHeight="1" x14ac:dyDescent="0.4">
      <c r="A490" s="4">
        <v>46050</v>
      </c>
      <c r="B490" s="110" t="s">
        <v>163</v>
      </c>
      <c r="C490" s="6" t="s">
        <v>276</v>
      </c>
      <c r="D490" s="1"/>
      <c r="E490" s="8" t="s">
        <v>17</v>
      </c>
      <c r="F490" s="8">
        <v>60</v>
      </c>
      <c r="G490" s="203">
        <v>107474</v>
      </c>
      <c r="H490" s="36">
        <f>F490*G490</f>
        <v>6448440</v>
      </c>
      <c r="I490" s="139"/>
      <c r="J490" s="8"/>
      <c r="K490" s="30"/>
      <c r="L490" s="82"/>
      <c r="M490" s="32"/>
      <c r="N490" s="3"/>
      <c r="O490" s="20"/>
    </row>
    <row r="491" spans="1:15" s="19" customFormat="1" ht="21" customHeight="1" x14ac:dyDescent="0.4">
      <c r="A491" s="204"/>
      <c r="B491" s="205"/>
      <c r="C491" s="206"/>
      <c r="D491" s="207"/>
      <c r="E491" s="208"/>
      <c r="F491" s="64">
        <f>SUM(F489:F490)</f>
        <v>107</v>
      </c>
      <c r="G491" s="122"/>
      <c r="H491" s="64">
        <f>SUM(H489:H490)</f>
        <v>11499718</v>
      </c>
      <c r="I491" s="209"/>
      <c r="J491" s="208"/>
      <c r="K491" s="85"/>
      <c r="L491" s="210"/>
      <c r="M491" s="32"/>
      <c r="O491" s="20"/>
    </row>
    <row r="492" spans="1:15" s="19" customFormat="1" ht="21" customHeight="1" x14ac:dyDescent="0.4">
      <c r="A492" s="4">
        <v>46024</v>
      </c>
      <c r="B492" s="110" t="s">
        <v>163</v>
      </c>
      <c r="C492" s="6" t="s">
        <v>276</v>
      </c>
      <c r="D492" s="1"/>
      <c r="E492" s="8" t="s">
        <v>17</v>
      </c>
      <c r="F492" s="8">
        <v>-30</v>
      </c>
      <c r="G492" s="203">
        <v>107474</v>
      </c>
      <c r="H492" s="36">
        <f t="shared" ref="H492:H504" si="20">F492*G492</f>
        <v>-3224220</v>
      </c>
      <c r="I492" s="139"/>
      <c r="J492" s="8"/>
      <c r="K492" s="41"/>
      <c r="L492" s="121" t="s">
        <v>394</v>
      </c>
      <c r="M492" s="32"/>
    </row>
    <row r="493" spans="1:15" s="19" customFormat="1" ht="21" customHeight="1" x14ac:dyDescent="0.4">
      <c r="A493" s="4">
        <v>46029</v>
      </c>
      <c r="B493" s="110" t="s">
        <v>163</v>
      </c>
      <c r="C493" s="6" t="s">
        <v>276</v>
      </c>
      <c r="D493" s="1"/>
      <c r="E493" s="8" t="s">
        <v>17</v>
      </c>
      <c r="F493" s="8">
        <v>-49</v>
      </c>
      <c r="G493" s="203">
        <v>107474</v>
      </c>
      <c r="H493" s="36">
        <f t="shared" si="20"/>
        <v>-5266226</v>
      </c>
      <c r="I493" s="139" t="s">
        <v>393</v>
      </c>
      <c r="J493" s="8"/>
      <c r="K493" s="41"/>
      <c r="L493" s="121" t="s">
        <v>393</v>
      </c>
      <c r="M493" s="32"/>
    </row>
    <row r="494" spans="1:15" s="19" customFormat="1" ht="21" customHeight="1" x14ac:dyDescent="0.4">
      <c r="A494" s="4">
        <v>46029</v>
      </c>
      <c r="B494" s="110" t="s">
        <v>163</v>
      </c>
      <c r="C494" s="6" t="s">
        <v>276</v>
      </c>
      <c r="D494" s="1"/>
      <c r="E494" s="8" t="s">
        <v>17</v>
      </c>
      <c r="F494" s="8">
        <v>-56</v>
      </c>
      <c r="G494" s="203">
        <v>107474</v>
      </c>
      <c r="H494" s="36">
        <f t="shared" si="20"/>
        <v>-6018544</v>
      </c>
      <c r="I494" s="139" t="s">
        <v>394</v>
      </c>
      <c r="J494" s="8"/>
      <c r="K494" s="41"/>
      <c r="L494" s="121" t="s">
        <v>394</v>
      </c>
      <c r="M494" s="32"/>
    </row>
    <row r="495" spans="1:15" s="19" customFormat="1" ht="21" customHeight="1" x14ac:dyDescent="0.4">
      <c r="A495" s="4">
        <v>46030</v>
      </c>
      <c r="B495" s="110" t="s">
        <v>163</v>
      </c>
      <c r="C495" s="6" t="s">
        <v>276</v>
      </c>
      <c r="D495" s="1"/>
      <c r="E495" s="8" t="s">
        <v>17</v>
      </c>
      <c r="F495" s="8">
        <v>-30</v>
      </c>
      <c r="G495" s="203">
        <v>107474</v>
      </c>
      <c r="H495" s="36">
        <f t="shared" si="20"/>
        <v>-3224220</v>
      </c>
      <c r="I495" s="139" t="s">
        <v>394</v>
      </c>
      <c r="J495" s="8"/>
      <c r="K495" s="41"/>
      <c r="L495" s="121" t="s">
        <v>394</v>
      </c>
      <c r="M495" s="32"/>
      <c r="N495" s="379"/>
    </row>
    <row r="496" spans="1:15" s="19" customFormat="1" ht="21" customHeight="1" x14ac:dyDescent="0.4">
      <c r="A496" s="4">
        <v>46032</v>
      </c>
      <c r="B496" s="110" t="s">
        <v>163</v>
      </c>
      <c r="C496" s="6" t="s">
        <v>276</v>
      </c>
      <c r="D496" s="1"/>
      <c r="E496" s="8" t="s">
        <v>17</v>
      </c>
      <c r="F496" s="8">
        <v>-30</v>
      </c>
      <c r="G496" s="203">
        <v>107474</v>
      </c>
      <c r="H496" s="36">
        <f t="shared" si="20"/>
        <v>-3224220</v>
      </c>
      <c r="I496" s="139" t="s">
        <v>394</v>
      </c>
      <c r="J496" s="8"/>
      <c r="K496" s="41"/>
      <c r="L496" s="121" t="s">
        <v>394</v>
      </c>
      <c r="M496" s="32"/>
    </row>
    <row r="497" spans="1:14" s="19" customFormat="1" ht="21" customHeight="1" x14ac:dyDescent="0.4">
      <c r="A497" s="4">
        <v>46034</v>
      </c>
      <c r="B497" s="110" t="s">
        <v>163</v>
      </c>
      <c r="C497" s="6" t="s">
        <v>276</v>
      </c>
      <c r="D497" s="1"/>
      <c r="E497" s="8" t="s">
        <v>17</v>
      </c>
      <c r="F497" s="8">
        <v>-30</v>
      </c>
      <c r="G497" s="203">
        <v>107474</v>
      </c>
      <c r="H497" s="36">
        <f t="shared" si="20"/>
        <v>-3224220</v>
      </c>
      <c r="I497" s="139" t="s">
        <v>394</v>
      </c>
      <c r="J497" s="8"/>
      <c r="K497" s="41"/>
      <c r="L497" s="121" t="s">
        <v>394</v>
      </c>
      <c r="M497" s="32"/>
    </row>
    <row r="498" spans="1:14" s="19" customFormat="1" ht="21" customHeight="1" x14ac:dyDescent="0.4">
      <c r="A498" s="4">
        <v>46037</v>
      </c>
      <c r="B498" s="110" t="s">
        <v>163</v>
      </c>
      <c r="C498" s="6" t="s">
        <v>276</v>
      </c>
      <c r="D498" s="1"/>
      <c r="E498" s="8" t="s">
        <v>17</v>
      </c>
      <c r="F498" s="8">
        <v>-87</v>
      </c>
      <c r="G498" s="203">
        <v>107474</v>
      </c>
      <c r="H498" s="36">
        <f t="shared" si="20"/>
        <v>-9350238</v>
      </c>
      <c r="I498" s="139" t="s">
        <v>394</v>
      </c>
      <c r="J498" s="8"/>
      <c r="K498" s="41"/>
      <c r="L498" s="121" t="s">
        <v>394</v>
      </c>
      <c r="M498" s="32"/>
    </row>
    <row r="499" spans="1:14" s="19" customFormat="1" ht="21" customHeight="1" x14ac:dyDescent="0.4">
      <c r="A499" s="4">
        <v>46039</v>
      </c>
      <c r="B499" s="110" t="s">
        <v>163</v>
      </c>
      <c r="C499" s="6" t="s">
        <v>276</v>
      </c>
      <c r="D499" s="1"/>
      <c r="E499" s="8" t="s">
        <v>17</v>
      </c>
      <c r="F499" s="8">
        <v>-30</v>
      </c>
      <c r="G499" s="203">
        <v>107474</v>
      </c>
      <c r="H499" s="36">
        <f t="shared" si="20"/>
        <v>-3224220</v>
      </c>
      <c r="I499" s="139" t="s">
        <v>394</v>
      </c>
      <c r="J499" s="8"/>
      <c r="K499" s="41"/>
      <c r="L499" s="121"/>
      <c r="M499" s="32"/>
    </row>
    <row r="500" spans="1:14" s="19" customFormat="1" ht="21" customHeight="1" x14ac:dyDescent="0.4">
      <c r="A500" s="4">
        <v>46042</v>
      </c>
      <c r="B500" s="110" t="s">
        <v>163</v>
      </c>
      <c r="C500" s="6" t="s">
        <v>276</v>
      </c>
      <c r="D500" s="1"/>
      <c r="E500" s="8" t="s">
        <v>17</v>
      </c>
      <c r="F500" s="8">
        <v>-30</v>
      </c>
      <c r="G500" s="203">
        <v>107474</v>
      </c>
      <c r="H500" s="36">
        <f t="shared" si="20"/>
        <v>-3224220</v>
      </c>
      <c r="I500" s="139" t="s">
        <v>394</v>
      </c>
      <c r="J500" s="8"/>
      <c r="K500" s="41"/>
      <c r="L500" s="121"/>
      <c r="M500" s="32"/>
    </row>
    <row r="501" spans="1:14" s="19" customFormat="1" ht="21" customHeight="1" x14ac:dyDescent="0.4">
      <c r="A501" s="4">
        <v>46043</v>
      </c>
      <c r="B501" s="110" t="s">
        <v>163</v>
      </c>
      <c r="C501" s="6" t="s">
        <v>276</v>
      </c>
      <c r="D501" s="1"/>
      <c r="E501" s="8" t="s">
        <v>17</v>
      </c>
      <c r="F501" s="8">
        <v>-30</v>
      </c>
      <c r="G501" s="203">
        <v>107474</v>
      </c>
      <c r="H501" s="36">
        <f t="shared" si="20"/>
        <v>-3224220</v>
      </c>
      <c r="I501" s="139" t="s">
        <v>394</v>
      </c>
      <c r="J501" s="8"/>
      <c r="K501" s="41"/>
      <c r="L501" s="121" t="s">
        <v>394</v>
      </c>
      <c r="M501" s="32"/>
    </row>
    <row r="502" spans="1:14" s="19" customFormat="1" ht="21" customHeight="1" x14ac:dyDescent="0.4">
      <c r="A502" s="4">
        <v>46049</v>
      </c>
      <c r="B502" s="110" t="s">
        <v>163</v>
      </c>
      <c r="C502" s="6" t="s">
        <v>276</v>
      </c>
      <c r="D502" s="1"/>
      <c r="E502" s="8" t="s">
        <v>17</v>
      </c>
      <c r="F502" s="8">
        <v>-60</v>
      </c>
      <c r="G502" s="203">
        <v>107474</v>
      </c>
      <c r="H502" s="36">
        <f t="shared" si="20"/>
        <v>-6448440</v>
      </c>
      <c r="I502" s="139" t="s">
        <v>394</v>
      </c>
      <c r="J502" s="8"/>
      <c r="K502" s="41"/>
      <c r="L502" s="121"/>
      <c r="M502" s="32"/>
    </row>
    <row r="503" spans="1:14" s="19" customFormat="1" ht="21" customHeight="1" x14ac:dyDescent="0.4">
      <c r="A503" s="4">
        <v>46050</v>
      </c>
      <c r="B503" s="110" t="s">
        <v>163</v>
      </c>
      <c r="C503" s="6" t="s">
        <v>276</v>
      </c>
      <c r="D503" s="1"/>
      <c r="E503" s="8" t="s">
        <v>17</v>
      </c>
      <c r="F503" s="8">
        <v>-30</v>
      </c>
      <c r="G503" s="203">
        <v>107474</v>
      </c>
      <c r="H503" s="36">
        <f t="shared" si="20"/>
        <v>-3224220</v>
      </c>
      <c r="I503" s="139" t="s">
        <v>394</v>
      </c>
      <c r="J503" s="8"/>
      <c r="K503" s="41"/>
      <c r="L503" s="121"/>
      <c r="M503" s="32"/>
    </row>
    <row r="504" spans="1:14" s="19" customFormat="1" ht="21" customHeight="1" x14ac:dyDescent="0.4">
      <c r="A504" s="4">
        <v>46051</v>
      </c>
      <c r="B504" s="110" t="s">
        <v>163</v>
      </c>
      <c r="C504" s="6" t="s">
        <v>276</v>
      </c>
      <c r="D504" s="1"/>
      <c r="E504" s="8" t="s">
        <v>17</v>
      </c>
      <c r="F504" s="8">
        <v>-30</v>
      </c>
      <c r="G504" s="203">
        <v>107474</v>
      </c>
      <c r="H504" s="36">
        <f t="shared" si="20"/>
        <v>-3224220</v>
      </c>
      <c r="I504" s="139" t="s">
        <v>394</v>
      </c>
      <c r="J504" s="8"/>
      <c r="K504" s="41"/>
      <c r="L504" s="121"/>
      <c r="M504" s="32"/>
    </row>
    <row r="505" spans="1:14" s="19" customFormat="1" ht="21" customHeight="1" x14ac:dyDescent="0.4">
      <c r="A505" s="4"/>
      <c r="B505" s="110"/>
      <c r="C505" s="6"/>
      <c r="D505" s="1"/>
      <c r="E505" s="8"/>
      <c r="F505" s="8"/>
      <c r="G505" s="203"/>
      <c r="H505" s="36"/>
      <c r="I505" s="139"/>
      <c r="J505" s="8"/>
      <c r="K505" s="41"/>
      <c r="L505" s="121"/>
      <c r="M505" s="32"/>
      <c r="N505" s="379"/>
    </row>
    <row r="506" spans="1:14" s="19" customFormat="1" ht="21" customHeight="1" x14ac:dyDescent="0.4">
      <c r="A506" s="204"/>
      <c r="B506" s="205"/>
      <c r="C506" s="206"/>
      <c r="D506" s="207"/>
      <c r="E506" s="208"/>
      <c r="F506" s="64">
        <f>SUM(F492:F505)</f>
        <v>-522</v>
      </c>
      <c r="G506" s="63"/>
      <c r="H506" s="64">
        <f>SUM(H492:H505)</f>
        <v>-56101428</v>
      </c>
      <c r="I506" s="65"/>
      <c r="J506" s="62"/>
      <c r="K506" s="62"/>
      <c r="L506" s="146"/>
      <c r="M506" s="32"/>
    </row>
    <row r="507" spans="1:14" s="19" customFormat="1" ht="21" customHeight="1" x14ac:dyDescent="0.4">
      <c r="A507" s="204"/>
      <c r="B507" s="205"/>
      <c r="C507" s="206"/>
      <c r="D507" s="207" t="s">
        <v>864</v>
      </c>
      <c r="E507" s="208"/>
      <c r="F507" s="64">
        <v>1620</v>
      </c>
      <c r="G507" s="63">
        <v>2642</v>
      </c>
      <c r="H507" s="64">
        <f>+F507*G507</f>
        <v>4280040</v>
      </c>
      <c r="I507" s="65"/>
      <c r="J507" s="62"/>
      <c r="K507" s="62"/>
      <c r="L507" s="146"/>
      <c r="M507" s="32"/>
    </row>
    <row r="508" spans="1:14" s="19" customFormat="1" ht="21" customHeight="1" x14ac:dyDescent="0.4">
      <c r="A508" s="37"/>
      <c r="B508" s="194"/>
      <c r="C508" s="88"/>
      <c r="D508" s="38"/>
      <c r="E508" s="39"/>
      <c r="F508" s="98"/>
      <c r="G508" s="98"/>
      <c r="H508" s="98">
        <f>SUM(H488,H491,H506,H507)</f>
        <v>178387920</v>
      </c>
      <c r="I508" s="381"/>
      <c r="J508" s="45"/>
      <c r="K508" s="45"/>
      <c r="L508" s="382"/>
      <c r="M508" s="32"/>
    </row>
    <row r="509" spans="1:14" s="28" customFormat="1" ht="21" customHeight="1" x14ac:dyDescent="0.4">
      <c r="A509" s="4">
        <v>46045</v>
      </c>
      <c r="B509" s="8" t="s">
        <v>395</v>
      </c>
      <c r="C509" s="211" t="s">
        <v>509</v>
      </c>
      <c r="D509" s="11" t="s">
        <v>464</v>
      </c>
      <c r="E509" s="11"/>
      <c r="F509" s="34">
        <v>27</v>
      </c>
      <c r="G509" s="12">
        <f>I509*L509</f>
        <v>2308006.977</v>
      </c>
      <c r="H509" s="36">
        <f>F509*G509</f>
        <v>62316188.379000001</v>
      </c>
      <c r="I509" s="25">
        <v>246661</v>
      </c>
      <c r="J509" s="73" t="s">
        <v>824</v>
      </c>
      <c r="K509" s="73"/>
      <c r="L509" s="410">
        <v>9.3569999999999993</v>
      </c>
      <c r="M509" s="58"/>
    </row>
    <row r="510" spans="1:14" s="19" customFormat="1" ht="21" customHeight="1" x14ac:dyDescent="0.4">
      <c r="A510" s="37"/>
      <c r="B510" s="194"/>
      <c r="C510" s="88"/>
      <c r="D510" s="38"/>
      <c r="E510" s="39"/>
      <c r="F510" s="98"/>
      <c r="G510" s="98"/>
      <c r="H510" s="98">
        <f>SUM(H509:H509)</f>
        <v>62316188.379000001</v>
      </c>
      <c r="I510" s="381"/>
      <c r="J510" s="45"/>
      <c r="K510" s="45"/>
      <c r="L510" s="382"/>
      <c r="M510" s="32"/>
    </row>
    <row r="511" spans="1:14" s="14" customFormat="1" ht="21" customHeight="1" x14ac:dyDescent="0.4">
      <c r="A511" s="15">
        <v>46034</v>
      </c>
      <c r="B511" s="7" t="s">
        <v>164</v>
      </c>
      <c r="C511" s="60" t="s">
        <v>165</v>
      </c>
      <c r="D511" s="71" t="s">
        <v>510</v>
      </c>
      <c r="E511" s="7" t="s">
        <v>13</v>
      </c>
      <c r="F511" s="7">
        <v>2</v>
      </c>
      <c r="G511" s="17">
        <v>3720000</v>
      </c>
      <c r="H511" s="36">
        <f t="shared" ref="H511:H525" si="21">F511*G511</f>
        <v>7440000</v>
      </c>
      <c r="I511" s="142"/>
      <c r="J511" s="72"/>
      <c r="K511" s="72"/>
      <c r="L511" s="116"/>
      <c r="M511" s="19"/>
    </row>
    <row r="512" spans="1:14" s="19" customFormat="1" ht="21" customHeight="1" x14ac:dyDescent="0.4">
      <c r="A512" s="15">
        <v>46034</v>
      </c>
      <c r="B512" s="7" t="s">
        <v>164</v>
      </c>
      <c r="C512" s="6" t="s">
        <v>166</v>
      </c>
      <c r="D512" s="42" t="s">
        <v>167</v>
      </c>
      <c r="E512" s="1" t="s">
        <v>13</v>
      </c>
      <c r="F512" s="92">
        <v>4</v>
      </c>
      <c r="G512" s="8">
        <v>650000</v>
      </c>
      <c r="H512" s="36">
        <f t="shared" si="21"/>
        <v>2600000</v>
      </c>
      <c r="I512" s="137"/>
      <c r="J512" s="43"/>
      <c r="K512" s="81"/>
      <c r="L512" s="73"/>
    </row>
    <row r="513" spans="1:13" s="19" customFormat="1" ht="21.75" customHeight="1" x14ac:dyDescent="0.4">
      <c r="A513" s="15">
        <v>46039</v>
      </c>
      <c r="B513" s="7" t="s">
        <v>164</v>
      </c>
      <c r="C513" s="6" t="s">
        <v>512</v>
      </c>
      <c r="D513" s="42" t="s">
        <v>551</v>
      </c>
      <c r="E513" s="1" t="s">
        <v>13</v>
      </c>
      <c r="F513" s="92">
        <v>4</v>
      </c>
      <c r="G513" s="8">
        <v>1270000</v>
      </c>
      <c r="H513" s="8">
        <f t="shared" si="21"/>
        <v>5080000</v>
      </c>
      <c r="I513" s="137"/>
      <c r="J513" s="43"/>
      <c r="K513" s="81"/>
      <c r="L513" s="73"/>
    </row>
    <row r="514" spans="1:13" s="19" customFormat="1" ht="21" customHeight="1" x14ac:dyDescent="0.4">
      <c r="A514" s="15">
        <v>46039</v>
      </c>
      <c r="B514" s="7" t="s">
        <v>164</v>
      </c>
      <c r="C514" s="6" t="s">
        <v>170</v>
      </c>
      <c r="D514" s="42" t="s">
        <v>511</v>
      </c>
      <c r="E514" s="1" t="s">
        <v>13</v>
      </c>
      <c r="F514" s="92">
        <v>4</v>
      </c>
      <c r="G514" s="8">
        <v>1300000</v>
      </c>
      <c r="H514" s="36">
        <f t="shared" si="21"/>
        <v>5200000</v>
      </c>
      <c r="I514" s="137"/>
      <c r="J514" s="43"/>
      <c r="K514" s="81"/>
      <c r="L514" s="73"/>
      <c r="M514" s="19" t="s">
        <v>494</v>
      </c>
    </row>
    <row r="515" spans="1:13" s="19" customFormat="1" ht="21" customHeight="1" x14ac:dyDescent="0.4">
      <c r="A515" s="15">
        <v>46042</v>
      </c>
      <c r="B515" s="7" t="s">
        <v>164</v>
      </c>
      <c r="C515" s="6" t="s">
        <v>168</v>
      </c>
      <c r="D515" s="42" t="s">
        <v>169</v>
      </c>
      <c r="E515" s="1" t="s">
        <v>13</v>
      </c>
      <c r="F515" s="92">
        <v>8</v>
      </c>
      <c r="G515" s="8">
        <v>420000</v>
      </c>
      <c r="H515" s="17">
        <f t="shared" si="21"/>
        <v>3360000</v>
      </c>
      <c r="I515" s="29"/>
      <c r="J515" s="43"/>
      <c r="K515" s="81"/>
      <c r="L515" s="73"/>
    </row>
    <row r="516" spans="1:13" s="19" customFormat="1" ht="21" customHeight="1" x14ac:dyDescent="0.4">
      <c r="A516" s="15">
        <v>46048</v>
      </c>
      <c r="B516" s="7" t="s">
        <v>164</v>
      </c>
      <c r="C516" s="6" t="s">
        <v>168</v>
      </c>
      <c r="D516" s="42" t="s">
        <v>169</v>
      </c>
      <c r="E516" s="1" t="s">
        <v>13</v>
      </c>
      <c r="F516" s="92">
        <v>1</v>
      </c>
      <c r="G516" s="8">
        <v>420000</v>
      </c>
      <c r="H516" s="17">
        <f t="shared" si="21"/>
        <v>420000</v>
      </c>
      <c r="I516" s="29"/>
      <c r="J516" s="43"/>
      <c r="K516" s="81"/>
      <c r="L516" s="73"/>
    </row>
    <row r="517" spans="1:13" s="19" customFormat="1" ht="21" customHeight="1" x14ac:dyDescent="0.4">
      <c r="A517" s="15">
        <v>46048</v>
      </c>
      <c r="B517" s="7" t="s">
        <v>164</v>
      </c>
      <c r="C517" s="6" t="s">
        <v>277</v>
      </c>
      <c r="D517" s="42" t="s">
        <v>278</v>
      </c>
      <c r="E517" s="1" t="s">
        <v>13</v>
      </c>
      <c r="F517" s="92">
        <v>16</v>
      </c>
      <c r="G517" s="8">
        <v>240000</v>
      </c>
      <c r="H517" s="36">
        <f t="shared" si="21"/>
        <v>3840000</v>
      </c>
      <c r="I517" s="137"/>
      <c r="J517" s="43"/>
      <c r="K517" s="81"/>
      <c r="L517" s="73"/>
    </row>
    <row r="518" spans="1:13" s="14" customFormat="1" ht="21" customHeight="1" x14ac:dyDescent="0.4">
      <c r="A518" s="15">
        <v>46048</v>
      </c>
      <c r="B518" s="7" t="s">
        <v>164</v>
      </c>
      <c r="C518" s="60" t="s">
        <v>165</v>
      </c>
      <c r="D518" s="71" t="s">
        <v>510</v>
      </c>
      <c r="E518" s="7" t="s">
        <v>13</v>
      </c>
      <c r="F518" s="7">
        <v>1</v>
      </c>
      <c r="G518" s="17">
        <v>3720000</v>
      </c>
      <c r="H518" s="36">
        <f t="shared" si="21"/>
        <v>3720000</v>
      </c>
      <c r="I518" s="142"/>
      <c r="J518" s="72"/>
      <c r="K518" s="72"/>
      <c r="L518" s="116"/>
      <c r="M518" s="19"/>
    </row>
    <row r="519" spans="1:13" s="19" customFormat="1" ht="21.75" customHeight="1" x14ac:dyDescent="0.4">
      <c r="A519" s="15">
        <v>46048</v>
      </c>
      <c r="B519" s="7" t="s">
        <v>164</v>
      </c>
      <c r="C519" s="6" t="s">
        <v>512</v>
      </c>
      <c r="D519" s="42" t="s">
        <v>551</v>
      </c>
      <c r="E519" s="1" t="s">
        <v>13</v>
      </c>
      <c r="F519" s="92">
        <v>6</v>
      </c>
      <c r="G519" s="8">
        <v>1270000</v>
      </c>
      <c r="H519" s="8">
        <f t="shared" si="21"/>
        <v>7620000</v>
      </c>
      <c r="I519" s="137"/>
      <c r="J519" s="43"/>
      <c r="K519" s="81"/>
      <c r="L519" s="73"/>
    </row>
    <row r="520" spans="1:13" s="19" customFormat="1" ht="21" customHeight="1" x14ac:dyDescent="0.4">
      <c r="A520" s="15">
        <v>46048</v>
      </c>
      <c r="B520" s="7" t="s">
        <v>164</v>
      </c>
      <c r="C520" s="6" t="s">
        <v>170</v>
      </c>
      <c r="D520" s="42" t="s">
        <v>511</v>
      </c>
      <c r="E520" s="1" t="s">
        <v>13</v>
      </c>
      <c r="F520" s="92">
        <v>2</v>
      </c>
      <c r="G520" s="8">
        <v>1300000</v>
      </c>
      <c r="H520" s="36">
        <f t="shared" si="21"/>
        <v>2600000</v>
      </c>
      <c r="I520" s="137"/>
      <c r="J520" s="43"/>
      <c r="K520" s="81"/>
      <c r="L520" s="73"/>
      <c r="M520" s="19" t="s">
        <v>494</v>
      </c>
    </row>
    <row r="521" spans="1:13" s="19" customFormat="1" ht="21" customHeight="1" x14ac:dyDescent="0.4">
      <c r="A521" s="15">
        <v>46048</v>
      </c>
      <c r="B521" s="7" t="s">
        <v>164</v>
      </c>
      <c r="C521" s="6" t="s">
        <v>170</v>
      </c>
      <c r="D521" s="42" t="s">
        <v>511</v>
      </c>
      <c r="E521" s="1" t="s">
        <v>13</v>
      </c>
      <c r="F521" s="92">
        <v>-1</v>
      </c>
      <c r="G521" s="8">
        <v>1300000</v>
      </c>
      <c r="H521" s="36">
        <f t="shared" si="21"/>
        <v>-1300000</v>
      </c>
      <c r="I521" s="137"/>
      <c r="J521" s="43"/>
      <c r="K521" s="81"/>
      <c r="L521" s="73"/>
      <c r="M521" s="19" t="s">
        <v>494</v>
      </c>
    </row>
    <row r="522" spans="1:13" s="14" customFormat="1" ht="21" customHeight="1" x14ac:dyDescent="0.4">
      <c r="A522" s="15">
        <v>46053</v>
      </c>
      <c r="B522" s="7" t="s">
        <v>164</v>
      </c>
      <c r="C522" s="60" t="s">
        <v>165</v>
      </c>
      <c r="D522" s="71" t="s">
        <v>510</v>
      </c>
      <c r="E522" s="7" t="s">
        <v>13</v>
      </c>
      <c r="F522" s="7">
        <v>2</v>
      </c>
      <c r="G522" s="17">
        <v>3720000</v>
      </c>
      <c r="H522" s="36">
        <f t="shared" si="21"/>
        <v>7440000</v>
      </c>
      <c r="I522" s="142" t="s">
        <v>852</v>
      </c>
      <c r="J522" s="72"/>
      <c r="K522" s="72"/>
      <c r="L522" s="116"/>
      <c r="M522" s="19"/>
    </row>
    <row r="523" spans="1:13" s="19" customFormat="1" ht="21" customHeight="1" x14ac:dyDescent="0.4">
      <c r="A523" s="15">
        <v>46053</v>
      </c>
      <c r="B523" s="7" t="s">
        <v>164</v>
      </c>
      <c r="C523" s="6" t="s">
        <v>170</v>
      </c>
      <c r="D523" s="42" t="s">
        <v>511</v>
      </c>
      <c r="E523" s="1" t="s">
        <v>13</v>
      </c>
      <c r="F523" s="92">
        <v>3</v>
      </c>
      <c r="G523" s="8">
        <v>1300000</v>
      </c>
      <c r="H523" s="36">
        <f t="shared" si="21"/>
        <v>3900000</v>
      </c>
      <c r="I523" s="142" t="s">
        <v>852</v>
      </c>
      <c r="J523" s="43"/>
      <c r="K523" s="81"/>
      <c r="L523" s="73"/>
      <c r="M523" s="19" t="s">
        <v>494</v>
      </c>
    </row>
    <row r="524" spans="1:13" s="19" customFormat="1" ht="21.75" customHeight="1" x14ac:dyDescent="0.4">
      <c r="A524" s="15">
        <v>46053</v>
      </c>
      <c r="B524" s="7" t="s">
        <v>164</v>
      </c>
      <c r="C524" s="6" t="s">
        <v>512</v>
      </c>
      <c r="D524" s="42" t="s">
        <v>551</v>
      </c>
      <c r="E524" s="1" t="s">
        <v>13</v>
      </c>
      <c r="F524" s="92">
        <v>7</v>
      </c>
      <c r="G524" s="8">
        <v>1270000</v>
      </c>
      <c r="H524" s="8">
        <f t="shared" si="21"/>
        <v>8890000</v>
      </c>
      <c r="I524" s="142" t="s">
        <v>852</v>
      </c>
      <c r="J524" s="43"/>
      <c r="K524" s="81"/>
      <c r="L524" s="73"/>
    </row>
    <row r="525" spans="1:13" s="19" customFormat="1" ht="21" customHeight="1" x14ac:dyDescent="0.4">
      <c r="A525" s="15">
        <v>46053</v>
      </c>
      <c r="B525" s="7" t="s">
        <v>164</v>
      </c>
      <c r="C525" s="6" t="s">
        <v>168</v>
      </c>
      <c r="D525" s="42" t="s">
        <v>169</v>
      </c>
      <c r="E525" s="1" t="s">
        <v>13</v>
      </c>
      <c r="F525" s="92">
        <v>1</v>
      </c>
      <c r="G525" s="8">
        <v>420000</v>
      </c>
      <c r="H525" s="17">
        <f t="shared" si="21"/>
        <v>420000</v>
      </c>
      <c r="I525" s="142" t="s">
        <v>852</v>
      </c>
      <c r="J525" s="43"/>
      <c r="K525" s="81"/>
      <c r="L525" s="73"/>
    </row>
    <row r="526" spans="1:13" s="50" customFormat="1" ht="19.5" customHeight="1" x14ac:dyDescent="0.4">
      <c r="A526" s="377"/>
      <c r="B526" s="123"/>
      <c r="C526" s="138"/>
      <c r="D526" s="97"/>
      <c r="E526" s="123"/>
      <c r="F526" s="380"/>
      <c r="G526" s="138"/>
      <c r="H526" s="138">
        <f>SUM(H511:H521)</f>
        <v>40580000</v>
      </c>
      <c r="I526" s="123"/>
      <c r="J526" s="123"/>
      <c r="K526" s="123"/>
      <c r="L526" s="123"/>
    </row>
    <row r="527" spans="1:13" s="50" customFormat="1" ht="19.5" customHeight="1" x14ac:dyDescent="0.4">
      <c r="A527" s="195">
        <v>46030</v>
      </c>
      <c r="B527" s="59" t="s">
        <v>342</v>
      </c>
      <c r="C527" s="49" t="s">
        <v>825</v>
      </c>
      <c r="D527" s="59" t="s">
        <v>826</v>
      </c>
      <c r="E527" s="67"/>
      <c r="F527" s="49">
        <v>1</v>
      </c>
      <c r="G527" s="49"/>
      <c r="H527" s="49"/>
      <c r="I527" s="67" t="s">
        <v>827</v>
      </c>
      <c r="J527" s="67"/>
      <c r="K527" s="67"/>
      <c r="L527" s="67"/>
    </row>
    <row r="528" spans="1:13" s="50" customFormat="1" ht="19.5" customHeight="1" x14ac:dyDescent="0.4">
      <c r="A528" s="377"/>
      <c r="B528" s="123"/>
      <c r="C528" s="138"/>
      <c r="D528" s="97"/>
      <c r="E528" s="123"/>
      <c r="F528" s="380"/>
      <c r="G528" s="138"/>
      <c r="H528" s="138"/>
      <c r="I528" s="123"/>
      <c r="J528" s="123"/>
      <c r="K528" s="123"/>
      <c r="L528" s="123"/>
    </row>
    <row r="529" spans="1:13" s="19" customFormat="1" ht="21" customHeight="1" x14ac:dyDescent="0.4">
      <c r="A529" s="4">
        <v>46030</v>
      </c>
      <c r="B529" s="8" t="s">
        <v>483</v>
      </c>
      <c r="C529" s="6" t="s">
        <v>489</v>
      </c>
      <c r="D529" s="69" t="s">
        <v>490</v>
      </c>
      <c r="E529" s="8" t="s">
        <v>13</v>
      </c>
      <c r="F529" s="8">
        <v>1</v>
      </c>
      <c r="G529" s="36">
        <v>9379400</v>
      </c>
      <c r="H529" s="36">
        <f t="shared" ref="H529:H535" si="22">F529*G529</f>
        <v>9379400</v>
      </c>
      <c r="I529" s="150"/>
      <c r="J529" s="70"/>
      <c r="K529" s="70"/>
      <c r="L529" s="73"/>
      <c r="M529" s="31"/>
    </row>
    <row r="530" spans="1:13" s="19" customFormat="1" ht="21" customHeight="1" x14ac:dyDescent="0.4">
      <c r="A530" s="4">
        <v>46037</v>
      </c>
      <c r="B530" s="8" t="s">
        <v>483</v>
      </c>
      <c r="C530" s="6" t="s">
        <v>489</v>
      </c>
      <c r="D530" s="69" t="s">
        <v>490</v>
      </c>
      <c r="E530" s="8" t="s">
        <v>13</v>
      </c>
      <c r="F530" s="8">
        <v>1</v>
      </c>
      <c r="G530" s="36">
        <v>9379400</v>
      </c>
      <c r="H530" s="36">
        <f t="shared" si="22"/>
        <v>9379400</v>
      </c>
      <c r="I530" s="150"/>
      <c r="J530" s="70"/>
      <c r="K530" s="70"/>
      <c r="L530" s="116"/>
      <c r="M530" s="31"/>
    </row>
    <row r="531" spans="1:13" s="19" customFormat="1" ht="21" customHeight="1" x14ac:dyDescent="0.4">
      <c r="A531" s="4">
        <v>46043</v>
      </c>
      <c r="B531" s="8" t="s">
        <v>483</v>
      </c>
      <c r="C531" s="6" t="s">
        <v>828</v>
      </c>
      <c r="D531" s="69" t="s">
        <v>829</v>
      </c>
      <c r="E531" s="8" t="s">
        <v>13</v>
      </c>
      <c r="F531" s="8">
        <v>1</v>
      </c>
      <c r="G531" s="36">
        <v>39285000</v>
      </c>
      <c r="H531" s="36">
        <f>F531*G531</f>
        <v>39285000</v>
      </c>
      <c r="I531" s="150"/>
      <c r="J531" s="70"/>
      <c r="K531" s="70"/>
      <c r="L531" s="116"/>
      <c r="M531" s="31"/>
    </row>
    <row r="532" spans="1:13" s="19" customFormat="1" ht="21" customHeight="1" x14ac:dyDescent="0.4">
      <c r="A532" s="4">
        <v>46043</v>
      </c>
      <c r="B532" s="8" t="s">
        <v>483</v>
      </c>
      <c r="C532" s="6" t="s">
        <v>830</v>
      </c>
      <c r="D532" s="69" t="s">
        <v>831</v>
      </c>
      <c r="E532" s="8" t="s">
        <v>13</v>
      </c>
      <c r="F532" s="8">
        <v>1</v>
      </c>
      <c r="G532" s="36">
        <v>10976520</v>
      </c>
      <c r="H532" s="36">
        <f>F532*G532</f>
        <v>10976520</v>
      </c>
      <c r="I532" s="150"/>
      <c r="J532" s="70"/>
      <c r="K532" s="70"/>
      <c r="L532" s="116"/>
      <c r="M532" s="31"/>
    </row>
    <row r="533" spans="1:13" s="14" customFormat="1" ht="21" customHeight="1" x14ac:dyDescent="0.4">
      <c r="A533" s="15">
        <v>45960</v>
      </c>
      <c r="B533" s="165" t="s">
        <v>483</v>
      </c>
      <c r="C533" s="173" t="s">
        <v>484</v>
      </c>
      <c r="D533" s="174" t="s">
        <v>485</v>
      </c>
      <c r="E533" s="165" t="s">
        <v>13</v>
      </c>
      <c r="F533" s="165">
        <v>3</v>
      </c>
      <c r="G533" s="156">
        <v>1123200</v>
      </c>
      <c r="H533" s="175">
        <f>F533*G533</f>
        <v>3369600</v>
      </c>
      <c r="I533" s="150" t="s">
        <v>834</v>
      </c>
      <c r="J533" s="177"/>
      <c r="K533" s="177"/>
      <c r="L533" s="73"/>
      <c r="M533" s="19"/>
    </row>
    <row r="534" spans="1:13" s="19" customFormat="1" ht="21" customHeight="1" x14ac:dyDescent="0.4">
      <c r="A534" s="4">
        <v>45967</v>
      </c>
      <c r="B534" s="8" t="s">
        <v>483</v>
      </c>
      <c r="C534" s="6" t="s">
        <v>487</v>
      </c>
      <c r="D534" s="69" t="s">
        <v>488</v>
      </c>
      <c r="E534" s="8" t="s">
        <v>13</v>
      </c>
      <c r="F534" s="8">
        <v>1</v>
      </c>
      <c r="G534" s="36">
        <v>1233600</v>
      </c>
      <c r="H534" s="17">
        <f>F534*G534</f>
        <v>1233600</v>
      </c>
      <c r="I534" s="150" t="s">
        <v>834</v>
      </c>
      <c r="J534" s="70"/>
      <c r="K534" s="70"/>
      <c r="L534" s="121"/>
      <c r="M534" s="31"/>
    </row>
    <row r="535" spans="1:13" s="19" customFormat="1" ht="21" customHeight="1" x14ac:dyDescent="0.4">
      <c r="A535" s="4">
        <v>46043</v>
      </c>
      <c r="B535" s="8" t="s">
        <v>483</v>
      </c>
      <c r="C535" s="6" t="s">
        <v>489</v>
      </c>
      <c r="D535" s="69" t="s">
        <v>490</v>
      </c>
      <c r="E535" s="8" t="s">
        <v>13</v>
      </c>
      <c r="F535" s="8">
        <v>1</v>
      </c>
      <c r="G535" s="36">
        <v>9379400</v>
      </c>
      <c r="H535" s="36">
        <f t="shared" si="22"/>
        <v>9379400</v>
      </c>
      <c r="I535" s="150" t="s">
        <v>834</v>
      </c>
      <c r="J535" s="70"/>
      <c r="K535" s="70"/>
      <c r="L535" s="116"/>
      <c r="M535" s="31"/>
    </row>
    <row r="536" spans="1:13" s="19" customFormat="1" ht="21" customHeight="1" x14ac:dyDescent="0.4">
      <c r="A536" s="4">
        <v>46049</v>
      </c>
      <c r="B536" s="8" t="s">
        <v>483</v>
      </c>
      <c r="C536" s="6" t="s">
        <v>487</v>
      </c>
      <c r="D536" s="69" t="s">
        <v>832</v>
      </c>
      <c r="E536" s="8" t="s">
        <v>343</v>
      </c>
      <c r="F536" s="8">
        <v>2</v>
      </c>
      <c r="G536" s="36">
        <v>1233600</v>
      </c>
      <c r="H536" s="36">
        <f>F536*G536</f>
        <v>2467200</v>
      </c>
      <c r="I536" s="150" t="s">
        <v>834</v>
      </c>
      <c r="J536" s="70"/>
      <c r="K536" s="70"/>
      <c r="L536" s="116"/>
      <c r="M536" s="31"/>
    </row>
    <row r="537" spans="1:13" s="50" customFormat="1" ht="19.5" customHeight="1" x14ac:dyDescent="0.4">
      <c r="A537" s="377"/>
      <c r="B537" s="123"/>
      <c r="C537" s="138"/>
      <c r="D537" s="97"/>
      <c r="E537" s="123"/>
      <c r="F537" s="380"/>
      <c r="G537" s="138"/>
      <c r="H537" s="138">
        <f>SUM(H529:H532)</f>
        <v>69020320</v>
      </c>
      <c r="I537" s="123"/>
      <c r="J537" s="123"/>
      <c r="K537" s="123"/>
      <c r="L537" s="123"/>
    </row>
    <row r="538" spans="1:13" s="50" customFormat="1" ht="19.5" customHeight="1" x14ac:dyDescent="0.4">
      <c r="A538" s="383"/>
      <c r="B538" s="384"/>
      <c r="C538" s="385"/>
      <c r="D538" s="386"/>
      <c r="E538" s="385"/>
      <c r="F538" s="387"/>
      <c r="G538" s="388"/>
      <c r="H538" s="389">
        <f>SUM(H3,H12,H21,H64,H68,H82,H112,H114,H230,H233,H276,H302,H359,H363,H366,H459,H461,H508,H510,H526,H528,H537)-1</f>
        <v>2657548800.8744001</v>
      </c>
      <c r="I538" s="388"/>
      <c r="J538" s="390"/>
      <c r="K538" s="390"/>
      <c r="L538" s="391"/>
    </row>
    <row r="540" spans="1:13" x14ac:dyDescent="0.4">
      <c r="G540" s="393"/>
      <c r="H540" s="393"/>
    </row>
    <row r="541" spans="1:13" x14ac:dyDescent="0.4">
      <c r="H541" s="393"/>
    </row>
    <row r="542" spans="1:13" x14ac:dyDescent="0.4">
      <c r="G542" s="95"/>
      <c r="H542" s="393"/>
    </row>
    <row r="543" spans="1:13" x14ac:dyDescent="0.4">
      <c r="H543" s="394"/>
    </row>
    <row r="546" spans="8:8" x14ac:dyDescent="0.4">
      <c r="H546" s="394"/>
    </row>
  </sheetData>
  <autoFilter ref="A1:O546" xr:uid="{05A11E99-98C0-495E-8C8A-782788D48A5C}"/>
  <sortState ref="A430:O458">
    <sortCondition ref="K430:K458"/>
  </sortState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2B20-B8AC-4F5C-B742-95373340AF18}">
  <dimension ref="A1:M664"/>
  <sheetViews>
    <sheetView workbookViewId="0">
      <pane ySplit="1" topLeftCell="A615" activePane="bottomLeft" state="frozen"/>
      <selection pane="bottomLeft" activeCell="G632" sqref="G618:H632"/>
    </sheetView>
  </sheetViews>
  <sheetFormatPr defaultColWidth="9" defaultRowHeight="13.2" x14ac:dyDescent="0.4"/>
  <cols>
    <col min="1" max="1" width="7.69921875" style="438" customWidth="1"/>
    <col min="2" max="2" width="21.19921875" style="50" customWidth="1"/>
    <col min="3" max="3" width="31.59765625" style="50" customWidth="1"/>
    <col min="4" max="4" width="19.5" style="50" customWidth="1"/>
    <col min="5" max="6" width="7.59765625" style="50" customWidth="1"/>
    <col min="7" max="8" width="15.3984375" style="50" customWidth="1"/>
    <col min="9" max="9" width="31.69921875" style="50" customWidth="1"/>
    <col min="10" max="10" width="14" style="50" customWidth="1"/>
    <col min="11" max="11" width="16.59765625" style="50" customWidth="1"/>
    <col min="12" max="12" width="37.09765625" style="50" customWidth="1"/>
    <col min="13" max="16384" width="9" style="50"/>
  </cols>
  <sheetData>
    <row r="1" spans="1:13" ht="18.75" customHeight="1" x14ac:dyDescent="0.4">
      <c r="A1" s="99" t="s">
        <v>0</v>
      </c>
      <c r="B1" s="100" t="s">
        <v>1</v>
      </c>
      <c r="C1" s="101" t="s">
        <v>2</v>
      </c>
      <c r="D1" s="102" t="s">
        <v>3</v>
      </c>
      <c r="E1" s="102" t="s">
        <v>4</v>
      </c>
      <c r="F1" s="120" t="s">
        <v>5</v>
      </c>
      <c r="G1" s="87" t="s">
        <v>6</v>
      </c>
      <c r="H1" s="87" t="s">
        <v>7</v>
      </c>
      <c r="I1" s="136" t="s">
        <v>8</v>
      </c>
      <c r="J1" s="360"/>
      <c r="K1" s="87"/>
      <c r="L1" s="361" t="s">
        <v>9</v>
      </c>
    </row>
    <row r="2" spans="1:13" s="3" customFormat="1" ht="21" customHeight="1" x14ac:dyDescent="0.4">
      <c r="A2" s="4">
        <v>46052</v>
      </c>
      <c r="B2" s="5" t="s">
        <v>10</v>
      </c>
      <c r="C2" s="6" t="s">
        <v>171</v>
      </c>
      <c r="D2" s="1">
        <v>60623159</v>
      </c>
      <c r="E2" s="1" t="s">
        <v>11</v>
      </c>
      <c r="F2" s="8">
        <v>38</v>
      </c>
      <c r="G2" s="7">
        <v>563000</v>
      </c>
      <c r="H2" s="7">
        <f>F2*G2</f>
        <v>21394000</v>
      </c>
      <c r="I2" s="61"/>
      <c r="J2" s="7" t="s">
        <v>1041</v>
      </c>
      <c r="K2" s="7"/>
      <c r="L2" s="363"/>
      <c r="M2" s="89"/>
    </row>
    <row r="3" spans="1:13" s="3" customFormat="1" ht="21" customHeight="1" x14ac:dyDescent="0.4">
      <c r="A3" s="4">
        <v>46052</v>
      </c>
      <c r="B3" s="5" t="s">
        <v>10</v>
      </c>
      <c r="C3" s="6" t="s">
        <v>171</v>
      </c>
      <c r="D3" s="1">
        <v>60623159</v>
      </c>
      <c r="E3" s="1" t="s">
        <v>11</v>
      </c>
      <c r="F3" s="8">
        <v>40</v>
      </c>
      <c r="G3" s="7">
        <v>563000</v>
      </c>
      <c r="H3" s="7">
        <f>F3*G3</f>
        <v>22520000</v>
      </c>
      <c r="I3" s="61" t="s">
        <v>1042</v>
      </c>
      <c r="J3" s="7"/>
      <c r="K3" s="7"/>
      <c r="L3" s="363"/>
      <c r="M3" s="89"/>
    </row>
    <row r="4" spans="1:13" s="3" customFormat="1" ht="18.75" customHeight="1" x14ac:dyDescent="0.4">
      <c r="A4" s="118">
        <v>46080</v>
      </c>
      <c r="B4" s="103" t="s">
        <v>10</v>
      </c>
      <c r="C4" s="115" t="s">
        <v>14</v>
      </c>
      <c r="D4" s="42">
        <v>60817438</v>
      </c>
      <c r="E4" s="42" t="s">
        <v>13</v>
      </c>
      <c r="F4" s="117">
        <v>21</v>
      </c>
      <c r="G4" s="8">
        <v>620000</v>
      </c>
      <c r="H4" s="8">
        <f>F4*G4</f>
        <v>13020000</v>
      </c>
      <c r="I4" s="61" t="s">
        <v>1042</v>
      </c>
      <c r="J4" s="70"/>
      <c r="K4" s="8"/>
      <c r="L4" s="116"/>
      <c r="M4" s="89"/>
    </row>
    <row r="5" spans="1:13" s="3" customFormat="1" ht="18.75" customHeight="1" x14ac:dyDescent="0.4">
      <c r="A5" s="118">
        <v>46080</v>
      </c>
      <c r="B5" s="103" t="s">
        <v>10</v>
      </c>
      <c r="C5" s="115" t="s">
        <v>15</v>
      </c>
      <c r="D5" s="42">
        <v>60817439</v>
      </c>
      <c r="E5" s="42" t="s">
        <v>13</v>
      </c>
      <c r="F5" s="117">
        <v>37</v>
      </c>
      <c r="G5" s="8">
        <v>500000</v>
      </c>
      <c r="H5" s="8">
        <f>F5*G5</f>
        <v>18500000</v>
      </c>
      <c r="I5" s="61" t="s">
        <v>1042</v>
      </c>
      <c r="J5" s="70"/>
      <c r="K5" s="8"/>
      <c r="L5" s="116"/>
      <c r="M5" s="89"/>
    </row>
    <row r="6" spans="1:13" s="3" customFormat="1" ht="18.75" customHeight="1" x14ac:dyDescent="0.4">
      <c r="A6" s="118">
        <v>46080</v>
      </c>
      <c r="B6" s="103" t="s">
        <v>10</v>
      </c>
      <c r="C6" s="115" t="s">
        <v>12</v>
      </c>
      <c r="D6" s="42">
        <v>60623160</v>
      </c>
      <c r="E6" s="42" t="s">
        <v>13</v>
      </c>
      <c r="F6" s="117">
        <v>30</v>
      </c>
      <c r="G6" s="8">
        <v>595000</v>
      </c>
      <c r="H6" s="8">
        <f>F6*G6</f>
        <v>17850000</v>
      </c>
      <c r="I6" s="61" t="s">
        <v>1042</v>
      </c>
      <c r="J6" s="70"/>
      <c r="K6" s="8"/>
      <c r="L6" s="116"/>
      <c r="M6" s="89"/>
    </row>
    <row r="7" spans="1:13" s="3" customFormat="1" ht="18.75" customHeight="1" x14ac:dyDescent="0.4">
      <c r="A7" s="193"/>
      <c r="B7" s="194"/>
      <c r="C7" s="40"/>
      <c r="D7" s="194"/>
      <c r="E7" s="194"/>
      <c r="F7" s="91"/>
      <c r="G7" s="138"/>
      <c r="H7" s="138">
        <f>SUM(H2)</f>
        <v>21394000</v>
      </c>
      <c r="I7" s="138"/>
      <c r="J7" s="145"/>
      <c r="K7" s="145"/>
      <c r="L7" s="145"/>
      <c r="M7" s="89"/>
    </row>
    <row r="8" spans="1:13" s="3" customFormat="1" ht="21" customHeight="1" x14ac:dyDescent="0.4">
      <c r="A8" s="4">
        <v>46048</v>
      </c>
      <c r="B8" s="5" t="s">
        <v>16</v>
      </c>
      <c r="C8" s="6" t="s">
        <v>492</v>
      </c>
      <c r="D8" s="1" t="s">
        <v>493</v>
      </c>
      <c r="E8" s="1" t="s">
        <v>17</v>
      </c>
      <c r="F8" s="8">
        <v>162</v>
      </c>
      <c r="G8" s="7">
        <v>239867</v>
      </c>
      <c r="H8" s="7">
        <f>F8*G8</f>
        <v>38858454</v>
      </c>
      <c r="I8" s="61"/>
      <c r="J8" s="7"/>
      <c r="K8" s="7"/>
      <c r="L8" s="363"/>
      <c r="M8" s="89"/>
    </row>
    <row r="9" spans="1:13" s="3" customFormat="1" ht="18.75" customHeight="1" x14ac:dyDescent="0.4">
      <c r="A9" s="190">
        <v>46064</v>
      </c>
      <c r="B9" s="110" t="s">
        <v>16</v>
      </c>
      <c r="C9" s="29" t="s">
        <v>18</v>
      </c>
      <c r="D9" s="110" t="s">
        <v>19</v>
      </c>
      <c r="E9" s="110" t="s">
        <v>17</v>
      </c>
      <c r="F9" s="81">
        <v>51</v>
      </c>
      <c r="G9" s="49">
        <v>249509</v>
      </c>
      <c r="H9" s="8">
        <f>+G9*F9</f>
        <v>12724959</v>
      </c>
      <c r="I9" s="49"/>
      <c r="J9" s="144"/>
      <c r="K9" s="144"/>
      <c r="L9" s="144"/>
      <c r="M9" s="89"/>
    </row>
    <row r="10" spans="1:13" s="3" customFormat="1" ht="18.75" customHeight="1" x14ac:dyDescent="0.4">
      <c r="A10" s="190">
        <v>46080</v>
      </c>
      <c r="B10" s="5" t="s">
        <v>16</v>
      </c>
      <c r="C10" s="6" t="s">
        <v>492</v>
      </c>
      <c r="D10" s="1" t="s">
        <v>493</v>
      </c>
      <c r="E10" s="1" t="s">
        <v>17</v>
      </c>
      <c r="F10" s="8">
        <v>-2</v>
      </c>
      <c r="G10" s="7">
        <v>239867</v>
      </c>
      <c r="H10" s="7">
        <f>F10*G10</f>
        <v>-479734</v>
      </c>
      <c r="I10" s="49"/>
      <c r="J10" s="144"/>
      <c r="K10" s="144"/>
      <c r="L10" s="144"/>
      <c r="M10" s="89"/>
    </row>
    <row r="11" spans="1:13" s="3" customFormat="1" ht="18.75" customHeight="1" x14ac:dyDescent="0.4">
      <c r="A11" s="190">
        <v>46080</v>
      </c>
      <c r="B11" s="110" t="s">
        <v>16</v>
      </c>
      <c r="C11" s="29" t="s">
        <v>18</v>
      </c>
      <c r="D11" s="110" t="s">
        <v>19</v>
      </c>
      <c r="E11" s="110" t="s">
        <v>17</v>
      </c>
      <c r="F11" s="81">
        <v>-1</v>
      </c>
      <c r="G11" s="49">
        <v>249509</v>
      </c>
      <c r="H11" s="8">
        <f>+G11*F11</f>
        <v>-249509</v>
      </c>
      <c r="I11" s="49"/>
      <c r="J11" s="144"/>
      <c r="K11" s="144"/>
      <c r="L11" s="144"/>
      <c r="M11" s="89"/>
    </row>
    <row r="12" spans="1:13" s="3" customFormat="1" ht="18.75" customHeight="1" x14ac:dyDescent="0.4">
      <c r="A12" s="190">
        <v>46081</v>
      </c>
      <c r="B12" s="110" t="s">
        <v>16</v>
      </c>
      <c r="C12" s="29" t="s">
        <v>20</v>
      </c>
      <c r="D12" s="110" t="s">
        <v>21</v>
      </c>
      <c r="E12" s="110"/>
      <c r="F12" s="81">
        <v>1148</v>
      </c>
      <c r="G12" s="49">
        <v>2107</v>
      </c>
      <c r="H12" s="8">
        <f>+G12*F12</f>
        <v>2418836</v>
      </c>
      <c r="I12" s="507" t="s">
        <v>1222</v>
      </c>
      <c r="J12" s="144"/>
      <c r="K12" s="144"/>
      <c r="L12" s="144"/>
      <c r="M12" s="89"/>
    </row>
    <row r="13" spans="1:13" s="3" customFormat="1" ht="18.75" customHeight="1" x14ac:dyDescent="0.4">
      <c r="A13" s="190">
        <v>46081</v>
      </c>
      <c r="B13" s="110" t="s">
        <v>16</v>
      </c>
      <c r="C13" s="29" t="s">
        <v>838</v>
      </c>
      <c r="D13" s="110" t="s">
        <v>837</v>
      </c>
      <c r="E13" s="110"/>
      <c r="F13" s="81">
        <v>8</v>
      </c>
      <c r="G13" s="49">
        <v>2882</v>
      </c>
      <c r="H13" s="8">
        <f>+G13*F13</f>
        <v>23056</v>
      </c>
      <c r="I13" s="507" t="s">
        <v>1222</v>
      </c>
      <c r="J13" s="144"/>
      <c r="K13" s="144"/>
      <c r="L13" s="144"/>
      <c r="M13" s="89"/>
    </row>
    <row r="14" spans="1:13" s="3" customFormat="1" ht="18.75" customHeight="1" x14ac:dyDescent="0.4">
      <c r="A14" s="190">
        <v>46081</v>
      </c>
      <c r="B14" s="110" t="s">
        <v>16</v>
      </c>
      <c r="C14" s="29" t="s">
        <v>22</v>
      </c>
      <c r="D14" s="110" t="s">
        <v>23</v>
      </c>
      <c r="E14" s="110"/>
      <c r="F14" s="81">
        <v>59</v>
      </c>
      <c r="G14" s="49">
        <v>3136</v>
      </c>
      <c r="H14" s="8">
        <f>+G14*F14</f>
        <v>185024</v>
      </c>
      <c r="I14" s="507" t="s">
        <v>1222</v>
      </c>
      <c r="J14" s="144"/>
      <c r="K14" s="144"/>
      <c r="L14" s="144"/>
      <c r="M14" s="89"/>
    </row>
    <row r="15" spans="1:13" s="3" customFormat="1" ht="21" customHeight="1" x14ac:dyDescent="0.4">
      <c r="A15" s="4">
        <v>46052</v>
      </c>
      <c r="B15" s="5" t="s">
        <v>16</v>
      </c>
      <c r="C15" s="6" t="s">
        <v>492</v>
      </c>
      <c r="D15" s="1" t="s">
        <v>493</v>
      </c>
      <c r="E15" s="1" t="s">
        <v>17</v>
      </c>
      <c r="F15" s="8">
        <v>135</v>
      </c>
      <c r="G15" s="7">
        <v>237760</v>
      </c>
      <c r="H15" s="7">
        <f>F15*G15</f>
        <v>32097600</v>
      </c>
      <c r="I15" s="457" t="s">
        <v>1040</v>
      </c>
      <c r="J15" s="7"/>
      <c r="K15" s="7"/>
      <c r="L15" s="363"/>
      <c r="M15" s="89"/>
    </row>
    <row r="16" spans="1:13" s="3" customFormat="1" ht="18.75" customHeight="1" x14ac:dyDescent="0.4">
      <c r="A16" s="190">
        <v>46081</v>
      </c>
      <c r="B16" s="110" t="s">
        <v>16</v>
      </c>
      <c r="C16" s="29" t="s">
        <v>18</v>
      </c>
      <c r="D16" s="110" t="s">
        <v>836</v>
      </c>
      <c r="E16" s="110" t="s">
        <v>17</v>
      </c>
      <c r="F16" s="81">
        <f>27*5</f>
        <v>135</v>
      </c>
      <c r="G16" s="49">
        <v>239867</v>
      </c>
      <c r="H16" s="8">
        <f>+G16*F16</f>
        <v>32382045</v>
      </c>
      <c r="I16" s="457" t="s">
        <v>1040</v>
      </c>
      <c r="J16" s="144"/>
      <c r="K16" s="144"/>
      <c r="L16" s="140"/>
      <c r="M16" s="89"/>
    </row>
    <row r="17" spans="1:13" s="3" customFormat="1" ht="18.75" customHeight="1" x14ac:dyDescent="0.4">
      <c r="A17" s="193"/>
      <c r="B17" s="194"/>
      <c r="C17" s="40"/>
      <c r="D17" s="194"/>
      <c r="E17" s="194"/>
      <c r="F17" s="91"/>
      <c r="G17" s="138"/>
      <c r="H17" s="138">
        <f>SUM(H8:H14)</f>
        <v>53481086</v>
      </c>
      <c r="I17" s="138"/>
      <c r="J17" s="145"/>
      <c r="K17" s="145"/>
      <c r="L17" s="145"/>
      <c r="M17" s="89"/>
    </row>
    <row r="18" spans="1:13" s="3" customFormat="1" ht="18.75" customHeight="1" x14ac:dyDescent="0.4">
      <c r="A18" s="190">
        <v>46050</v>
      </c>
      <c r="B18" s="110" t="s">
        <v>24</v>
      </c>
      <c r="C18" s="29" t="s">
        <v>716</v>
      </c>
      <c r="D18" s="110" t="s">
        <v>717</v>
      </c>
      <c r="E18" s="110" t="s">
        <v>17</v>
      </c>
      <c r="F18" s="81">
        <v>33</v>
      </c>
      <c r="G18" s="49">
        <v>122010</v>
      </c>
      <c r="H18" s="49" t="s">
        <v>186</v>
      </c>
      <c r="I18" s="49"/>
      <c r="J18" s="144"/>
      <c r="K18" s="144"/>
      <c r="L18" s="144"/>
      <c r="M18" s="89"/>
    </row>
    <row r="19" spans="1:13" s="3" customFormat="1" ht="18.75" customHeight="1" x14ac:dyDescent="0.4">
      <c r="A19" s="190">
        <v>46051</v>
      </c>
      <c r="B19" s="110" t="s">
        <v>24</v>
      </c>
      <c r="C19" s="29" t="s">
        <v>716</v>
      </c>
      <c r="D19" s="110" t="s">
        <v>717</v>
      </c>
      <c r="E19" s="110" t="s">
        <v>17</v>
      </c>
      <c r="F19" s="81">
        <v>17</v>
      </c>
      <c r="G19" s="49">
        <v>122010</v>
      </c>
      <c r="H19" s="49" t="s">
        <v>186</v>
      </c>
      <c r="I19" s="49"/>
      <c r="J19" s="144"/>
      <c r="K19" s="144"/>
      <c r="L19" s="144"/>
      <c r="M19" s="89"/>
    </row>
    <row r="20" spans="1:13" s="3" customFormat="1" ht="18.75" customHeight="1" x14ac:dyDescent="0.4">
      <c r="A20" s="190">
        <v>46052</v>
      </c>
      <c r="B20" s="110" t="s">
        <v>24</v>
      </c>
      <c r="C20" s="29" t="s">
        <v>716</v>
      </c>
      <c r="D20" s="110" t="s">
        <v>717</v>
      </c>
      <c r="E20" s="110" t="s">
        <v>17</v>
      </c>
      <c r="F20" s="81">
        <v>33</v>
      </c>
      <c r="G20" s="49">
        <v>122010</v>
      </c>
      <c r="H20" s="49" t="s">
        <v>186</v>
      </c>
      <c r="I20" s="49"/>
      <c r="J20" s="144"/>
      <c r="K20" s="144"/>
      <c r="L20" s="144"/>
      <c r="M20" s="89"/>
    </row>
    <row r="21" spans="1:13" s="3" customFormat="1" ht="18.75" customHeight="1" x14ac:dyDescent="0.4">
      <c r="A21" s="190">
        <v>46056</v>
      </c>
      <c r="B21" s="110" t="s">
        <v>24</v>
      </c>
      <c r="C21" s="29" t="s">
        <v>716</v>
      </c>
      <c r="D21" s="110" t="s">
        <v>717</v>
      </c>
      <c r="E21" s="110" t="s">
        <v>17</v>
      </c>
      <c r="F21" s="81">
        <v>25</v>
      </c>
      <c r="G21" s="49">
        <v>122010</v>
      </c>
      <c r="H21" s="49" t="s">
        <v>186</v>
      </c>
      <c r="I21" s="49"/>
      <c r="J21" s="144"/>
      <c r="K21" s="144"/>
      <c r="L21" s="144"/>
      <c r="M21" s="89"/>
    </row>
    <row r="22" spans="1:13" s="3" customFormat="1" ht="18.75" customHeight="1" x14ac:dyDescent="0.4">
      <c r="A22" s="190">
        <v>46078</v>
      </c>
      <c r="B22" s="110" t="s">
        <v>24</v>
      </c>
      <c r="C22" s="29" t="s">
        <v>716</v>
      </c>
      <c r="D22" s="110" t="s">
        <v>865</v>
      </c>
      <c r="E22" s="110" t="s">
        <v>17</v>
      </c>
      <c r="F22" s="81">
        <v>105</v>
      </c>
      <c r="G22" s="49">
        <v>122010</v>
      </c>
      <c r="H22" s="458">
        <f t="shared" ref="H22:H27" si="0">F22*G22</f>
        <v>12811050</v>
      </c>
      <c r="I22" s="49"/>
      <c r="J22" s="144"/>
      <c r="K22" s="144"/>
      <c r="L22" s="144"/>
      <c r="M22" s="89"/>
    </row>
    <row r="23" spans="1:13" s="3" customFormat="1" ht="18.75" customHeight="1" x14ac:dyDescent="0.4">
      <c r="A23" s="190">
        <v>46080</v>
      </c>
      <c r="B23" s="110" t="s">
        <v>24</v>
      </c>
      <c r="C23" s="29" t="s">
        <v>25</v>
      </c>
      <c r="D23" s="110" t="s">
        <v>26</v>
      </c>
      <c r="E23" s="110" t="s">
        <v>17</v>
      </c>
      <c r="F23" s="81">
        <v>-4</v>
      </c>
      <c r="G23" s="49">
        <v>122010</v>
      </c>
      <c r="H23" s="458">
        <f t="shared" si="0"/>
        <v>-488040</v>
      </c>
      <c r="I23" s="49"/>
      <c r="J23" s="144"/>
      <c r="K23" s="144"/>
      <c r="L23" s="144"/>
      <c r="M23" s="89"/>
    </row>
    <row r="24" spans="1:13" s="3" customFormat="1" ht="18.75" customHeight="1" x14ac:dyDescent="0.4">
      <c r="A24" s="190">
        <v>46080</v>
      </c>
      <c r="B24" s="110" t="s">
        <v>24</v>
      </c>
      <c r="C24" s="29" t="s">
        <v>27</v>
      </c>
      <c r="D24" s="110" t="s">
        <v>28</v>
      </c>
      <c r="E24" s="110" t="s">
        <v>11</v>
      </c>
      <c r="F24" s="81">
        <v>-19</v>
      </c>
      <c r="G24" s="49">
        <v>9081</v>
      </c>
      <c r="H24" s="458">
        <f t="shared" si="0"/>
        <v>-172539</v>
      </c>
      <c r="I24" s="49"/>
      <c r="J24" s="144"/>
      <c r="K24" s="144"/>
      <c r="L24" s="144"/>
      <c r="M24" s="89"/>
    </row>
    <row r="25" spans="1:13" s="19" customFormat="1" ht="20.25" customHeight="1" x14ac:dyDescent="0.4">
      <c r="A25" s="15">
        <v>46080</v>
      </c>
      <c r="B25" s="23" t="s">
        <v>24</v>
      </c>
      <c r="C25" s="24" t="s">
        <v>29</v>
      </c>
      <c r="D25" s="11" t="s">
        <v>30</v>
      </c>
      <c r="E25" s="11" t="s">
        <v>17</v>
      </c>
      <c r="F25" s="396">
        <v>-2</v>
      </c>
      <c r="G25" s="396">
        <v>206710</v>
      </c>
      <c r="H25" s="458">
        <f t="shared" si="0"/>
        <v>-413420</v>
      </c>
      <c r="I25" s="397"/>
      <c r="J25" s="398"/>
      <c r="K25" s="398"/>
      <c r="L25" s="104"/>
      <c r="M25" s="399"/>
    </row>
    <row r="26" spans="1:13" s="456" customFormat="1" ht="18.75" customHeight="1" x14ac:dyDescent="0.4">
      <c r="A26" s="450">
        <v>46080</v>
      </c>
      <c r="B26" s="451" t="s">
        <v>24</v>
      </c>
      <c r="C26" s="452" t="s">
        <v>716</v>
      </c>
      <c r="D26" s="451" t="s">
        <v>865</v>
      </c>
      <c r="E26" s="451" t="s">
        <v>17</v>
      </c>
      <c r="F26" s="453">
        <v>-29</v>
      </c>
      <c r="G26" s="453">
        <v>122010</v>
      </c>
      <c r="H26" s="421">
        <f t="shared" si="0"/>
        <v>-3538290</v>
      </c>
      <c r="I26" s="49" t="s">
        <v>1040</v>
      </c>
      <c r="J26" s="454"/>
      <c r="K26" s="454"/>
      <c r="L26" s="454"/>
      <c r="M26" s="455"/>
    </row>
    <row r="27" spans="1:13" s="3" customFormat="1" ht="18.75" customHeight="1" x14ac:dyDescent="0.4">
      <c r="A27" s="190">
        <v>46083</v>
      </c>
      <c r="B27" s="110" t="s">
        <v>24</v>
      </c>
      <c r="C27" s="29" t="s">
        <v>716</v>
      </c>
      <c r="D27" s="110" t="s">
        <v>865</v>
      </c>
      <c r="E27" s="110" t="s">
        <v>17</v>
      </c>
      <c r="F27" s="81">
        <v>-42</v>
      </c>
      <c r="G27" s="49">
        <v>122010</v>
      </c>
      <c r="H27" s="421">
        <f t="shared" si="0"/>
        <v>-5124420</v>
      </c>
      <c r="I27" s="49" t="s">
        <v>1040</v>
      </c>
      <c r="J27" s="144"/>
      <c r="K27" s="144"/>
      <c r="L27" s="144"/>
      <c r="M27" s="89"/>
    </row>
    <row r="28" spans="1:13" s="3" customFormat="1" ht="18.75" customHeight="1" x14ac:dyDescent="0.4">
      <c r="A28" s="190">
        <v>46084</v>
      </c>
      <c r="B28" s="110" t="s">
        <v>24</v>
      </c>
      <c r="C28" s="29" t="s">
        <v>716</v>
      </c>
      <c r="D28" s="110" t="s">
        <v>865</v>
      </c>
      <c r="E28" s="110" t="s">
        <v>17</v>
      </c>
      <c r="F28" s="81">
        <v>10</v>
      </c>
      <c r="G28" s="49">
        <v>122010</v>
      </c>
      <c r="H28" s="8"/>
      <c r="I28" s="49" t="s">
        <v>1037</v>
      </c>
      <c r="J28" s="144"/>
      <c r="K28" s="144"/>
      <c r="L28" s="144"/>
      <c r="M28" s="89"/>
    </row>
    <row r="29" spans="1:13" s="3" customFormat="1" ht="18.75" customHeight="1" x14ac:dyDescent="0.4">
      <c r="A29" s="190">
        <v>46086</v>
      </c>
      <c r="B29" s="110" t="s">
        <v>24</v>
      </c>
      <c r="C29" s="29" t="s">
        <v>716</v>
      </c>
      <c r="D29" s="110" t="s">
        <v>865</v>
      </c>
      <c r="E29" s="110" t="s">
        <v>17</v>
      </c>
      <c r="F29" s="81">
        <v>5</v>
      </c>
      <c r="G29" s="49">
        <v>122010</v>
      </c>
      <c r="H29" s="8"/>
      <c r="I29" s="49" t="s">
        <v>1037</v>
      </c>
      <c r="J29" s="144"/>
      <c r="K29" s="144"/>
      <c r="L29" s="144"/>
      <c r="M29" s="89"/>
    </row>
    <row r="30" spans="1:13" s="3" customFormat="1" ht="18.75" customHeight="1" x14ac:dyDescent="0.4">
      <c r="A30" s="190"/>
      <c r="B30" s="110"/>
      <c r="C30" s="29"/>
      <c r="D30" s="110"/>
      <c r="E30" s="110"/>
      <c r="F30" s="81"/>
      <c r="G30" s="49"/>
      <c r="H30" s="8"/>
      <c r="I30" s="49"/>
      <c r="J30" s="144"/>
      <c r="K30" s="144"/>
      <c r="L30" s="144"/>
      <c r="M30" s="89"/>
    </row>
    <row r="31" spans="1:13" s="3" customFormat="1" ht="18.75" customHeight="1" x14ac:dyDescent="0.4">
      <c r="A31" s="193"/>
      <c r="B31" s="194"/>
      <c r="C31" s="40"/>
      <c r="D31" s="194"/>
      <c r="E31" s="194"/>
      <c r="F31" s="91"/>
      <c r="G31" s="138"/>
      <c r="H31" s="138">
        <f>SUM(H22:H25)</f>
        <v>11737051</v>
      </c>
      <c r="I31" s="138"/>
      <c r="J31" s="145"/>
      <c r="K31" s="145"/>
      <c r="L31" s="145"/>
      <c r="M31" s="89"/>
    </row>
    <row r="32" spans="1:13" s="3" customFormat="1" ht="19.5" customHeight="1" x14ac:dyDescent="0.4">
      <c r="A32" s="4">
        <v>46051</v>
      </c>
      <c r="B32" s="103" t="s">
        <v>516</v>
      </c>
      <c r="C32" s="29" t="s">
        <v>179</v>
      </c>
      <c r="D32" s="110" t="s">
        <v>180</v>
      </c>
      <c r="E32" s="110"/>
      <c r="F32" s="81">
        <v>41</v>
      </c>
      <c r="G32" s="49">
        <v>147800</v>
      </c>
      <c r="H32" s="7">
        <f t="shared" ref="H32:H48" si="1">F32*G32</f>
        <v>6059800</v>
      </c>
      <c r="I32" s="49" t="s">
        <v>834</v>
      </c>
      <c r="J32" s="144"/>
      <c r="K32" s="144"/>
      <c r="L32" s="144"/>
      <c r="M32" s="89"/>
    </row>
    <row r="33" spans="1:13" s="3" customFormat="1" ht="19.5" customHeight="1" x14ac:dyDescent="0.4">
      <c r="A33" s="4">
        <v>46051</v>
      </c>
      <c r="B33" s="103" t="s">
        <v>516</v>
      </c>
      <c r="C33" s="29" t="s">
        <v>179</v>
      </c>
      <c r="D33" s="110" t="s">
        <v>180</v>
      </c>
      <c r="E33" s="110"/>
      <c r="F33" s="81">
        <v>2</v>
      </c>
      <c r="G33" s="49">
        <v>147800</v>
      </c>
      <c r="H33" s="7">
        <f t="shared" si="1"/>
        <v>295600</v>
      </c>
      <c r="I33" s="49" t="s">
        <v>834</v>
      </c>
      <c r="J33" s="144"/>
      <c r="K33" s="144"/>
      <c r="L33" s="144"/>
      <c r="M33" s="89"/>
    </row>
    <row r="34" spans="1:13" s="3" customFormat="1" ht="19.5" customHeight="1" x14ac:dyDescent="0.4">
      <c r="A34" s="4">
        <v>46051</v>
      </c>
      <c r="B34" s="103" t="s">
        <v>516</v>
      </c>
      <c r="C34" s="29" t="s">
        <v>179</v>
      </c>
      <c r="D34" s="110" t="s">
        <v>180</v>
      </c>
      <c r="E34" s="110"/>
      <c r="F34" s="81">
        <v>1</v>
      </c>
      <c r="G34" s="49">
        <v>147800</v>
      </c>
      <c r="H34" s="7">
        <f t="shared" si="1"/>
        <v>147800</v>
      </c>
      <c r="I34" s="49" t="s">
        <v>834</v>
      </c>
      <c r="J34" s="144"/>
      <c r="K34" s="144"/>
      <c r="L34" s="144"/>
      <c r="M34" s="89"/>
    </row>
    <row r="35" spans="1:13" s="3" customFormat="1" ht="19.5" customHeight="1" x14ac:dyDescent="0.4">
      <c r="A35" s="4">
        <v>46051</v>
      </c>
      <c r="B35" s="103" t="s">
        <v>516</v>
      </c>
      <c r="C35" s="29" t="s">
        <v>179</v>
      </c>
      <c r="D35" s="110" t="s">
        <v>180</v>
      </c>
      <c r="E35" s="110"/>
      <c r="F35" s="81">
        <v>7</v>
      </c>
      <c r="G35" s="49">
        <v>147800</v>
      </c>
      <c r="H35" s="7">
        <f t="shared" si="1"/>
        <v>1034600</v>
      </c>
      <c r="I35" s="49" t="s">
        <v>834</v>
      </c>
      <c r="J35" s="144"/>
      <c r="K35" s="144"/>
      <c r="L35" s="144"/>
      <c r="M35" s="89"/>
    </row>
    <row r="36" spans="1:13" s="3" customFormat="1" ht="19.5" customHeight="1" x14ac:dyDescent="0.4">
      <c r="A36" s="4">
        <v>46051</v>
      </c>
      <c r="B36" s="103" t="s">
        <v>516</v>
      </c>
      <c r="C36" s="29" t="s">
        <v>718</v>
      </c>
      <c r="D36" s="110" t="s">
        <v>396</v>
      </c>
      <c r="E36" s="110"/>
      <c r="F36" s="81">
        <v>7</v>
      </c>
      <c r="G36" s="49">
        <v>1259290</v>
      </c>
      <c r="H36" s="7">
        <f t="shared" si="1"/>
        <v>8815030</v>
      </c>
      <c r="I36" s="49" t="s">
        <v>834</v>
      </c>
      <c r="J36" s="144"/>
      <c r="K36" s="144"/>
      <c r="L36" s="144"/>
      <c r="M36" s="89"/>
    </row>
    <row r="37" spans="1:13" s="3" customFormat="1" ht="19.5" customHeight="1" x14ac:dyDescent="0.4">
      <c r="A37" s="4">
        <v>46051</v>
      </c>
      <c r="B37" s="103" t="s">
        <v>516</v>
      </c>
      <c r="C37" s="29" t="s">
        <v>399</v>
      </c>
      <c r="D37" s="110" t="s">
        <v>400</v>
      </c>
      <c r="E37" s="110"/>
      <c r="F37" s="81">
        <v>9</v>
      </c>
      <c r="G37" s="49">
        <v>1278690</v>
      </c>
      <c r="H37" s="7">
        <f t="shared" si="1"/>
        <v>11508210</v>
      </c>
      <c r="I37" s="49" t="s">
        <v>834</v>
      </c>
      <c r="J37" s="144"/>
      <c r="K37" s="144"/>
      <c r="L37" s="144"/>
      <c r="M37" s="89"/>
    </row>
    <row r="38" spans="1:13" s="3" customFormat="1" ht="19.5" customHeight="1" x14ac:dyDescent="0.4">
      <c r="A38" s="4">
        <v>46051</v>
      </c>
      <c r="B38" s="103" t="s">
        <v>516</v>
      </c>
      <c r="C38" s="29" t="s">
        <v>39</v>
      </c>
      <c r="D38" s="110" t="s">
        <v>40</v>
      </c>
      <c r="E38" s="110"/>
      <c r="F38" s="81">
        <v>46</v>
      </c>
      <c r="G38" s="49">
        <v>1380450</v>
      </c>
      <c r="H38" s="7">
        <f t="shared" si="1"/>
        <v>63500700</v>
      </c>
      <c r="I38" s="49" t="s">
        <v>834</v>
      </c>
      <c r="J38" s="144"/>
      <c r="K38" s="144"/>
      <c r="L38" s="144"/>
      <c r="M38" s="89"/>
    </row>
    <row r="39" spans="1:13" s="3" customFormat="1" ht="19.5" customHeight="1" x14ac:dyDescent="0.4">
      <c r="A39" s="4">
        <v>46052</v>
      </c>
      <c r="B39" s="103" t="s">
        <v>516</v>
      </c>
      <c r="C39" s="29" t="s">
        <v>39</v>
      </c>
      <c r="D39" s="110" t="s">
        <v>40</v>
      </c>
      <c r="E39" s="110"/>
      <c r="F39" s="81">
        <v>35</v>
      </c>
      <c r="G39" s="49">
        <v>1380450</v>
      </c>
      <c r="H39" s="7">
        <f t="shared" si="1"/>
        <v>48315750</v>
      </c>
      <c r="I39" s="49" t="s">
        <v>834</v>
      </c>
      <c r="J39" s="144"/>
      <c r="K39" s="144"/>
      <c r="L39" s="144"/>
      <c r="M39" s="89"/>
    </row>
    <row r="40" spans="1:13" s="3" customFormat="1" ht="18.75" customHeight="1" x14ac:dyDescent="0.4">
      <c r="A40" s="4">
        <v>46052</v>
      </c>
      <c r="B40" s="103" t="s">
        <v>516</v>
      </c>
      <c r="C40" s="29" t="s">
        <v>347</v>
      </c>
      <c r="D40" s="110" t="s">
        <v>348</v>
      </c>
      <c r="E40" s="110"/>
      <c r="F40" s="81">
        <v>10</v>
      </c>
      <c r="G40" s="49">
        <v>38000</v>
      </c>
      <c r="H40" s="7">
        <f t="shared" si="1"/>
        <v>380000</v>
      </c>
      <c r="I40" s="49" t="s">
        <v>834</v>
      </c>
      <c r="J40" s="144"/>
      <c r="K40" s="144"/>
      <c r="L40" s="144"/>
      <c r="M40" s="89"/>
    </row>
    <row r="41" spans="1:13" s="3" customFormat="1" ht="18.75" customHeight="1" x14ac:dyDescent="0.4">
      <c r="A41" s="4">
        <v>46052</v>
      </c>
      <c r="B41" s="103" t="s">
        <v>516</v>
      </c>
      <c r="C41" s="29" t="s">
        <v>347</v>
      </c>
      <c r="D41" s="110" t="s">
        <v>349</v>
      </c>
      <c r="E41" s="110"/>
      <c r="F41" s="81">
        <v>10</v>
      </c>
      <c r="G41" s="49">
        <v>43200</v>
      </c>
      <c r="H41" s="7">
        <f t="shared" si="1"/>
        <v>432000</v>
      </c>
      <c r="I41" s="49" t="s">
        <v>834</v>
      </c>
      <c r="J41" s="144"/>
      <c r="K41" s="144"/>
      <c r="L41" s="144"/>
      <c r="M41" s="89"/>
    </row>
    <row r="42" spans="1:13" s="3" customFormat="1" ht="18.75" customHeight="1" x14ac:dyDescent="0.4">
      <c r="A42" s="4">
        <v>46052</v>
      </c>
      <c r="B42" s="103" t="s">
        <v>516</v>
      </c>
      <c r="C42" s="29" t="s">
        <v>347</v>
      </c>
      <c r="D42" s="110" t="s">
        <v>350</v>
      </c>
      <c r="E42" s="110"/>
      <c r="F42" s="81">
        <v>10</v>
      </c>
      <c r="G42" s="49">
        <v>38000</v>
      </c>
      <c r="H42" s="7">
        <f t="shared" si="1"/>
        <v>380000</v>
      </c>
      <c r="I42" s="49" t="s">
        <v>834</v>
      </c>
      <c r="J42" s="144"/>
      <c r="K42" s="144"/>
      <c r="L42" s="144"/>
      <c r="M42" s="89"/>
    </row>
    <row r="43" spans="1:13" s="3" customFormat="1" ht="18.75" customHeight="1" x14ac:dyDescent="0.4">
      <c r="A43" s="4">
        <v>46052</v>
      </c>
      <c r="B43" s="103" t="s">
        <v>516</v>
      </c>
      <c r="C43" s="29" t="s">
        <v>347</v>
      </c>
      <c r="D43" s="110" t="s">
        <v>351</v>
      </c>
      <c r="E43" s="110"/>
      <c r="F43" s="81">
        <v>10</v>
      </c>
      <c r="G43" s="49">
        <v>39400</v>
      </c>
      <c r="H43" s="7">
        <f t="shared" si="1"/>
        <v>394000</v>
      </c>
      <c r="I43" s="49" t="s">
        <v>834</v>
      </c>
      <c r="J43" s="144"/>
      <c r="K43" s="144"/>
      <c r="L43" s="144"/>
      <c r="M43" s="89"/>
    </row>
    <row r="44" spans="1:13" s="3" customFormat="1" ht="18.75" customHeight="1" x14ac:dyDescent="0.4">
      <c r="A44" s="4">
        <v>46052</v>
      </c>
      <c r="B44" s="103" t="s">
        <v>516</v>
      </c>
      <c r="C44" s="29" t="s">
        <v>347</v>
      </c>
      <c r="D44" s="110" t="s">
        <v>352</v>
      </c>
      <c r="E44" s="110"/>
      <c r="F44" s="81">
        <v>10</v>
      </c>
      <c r="G44" s="49">
        <v>35400</v>
      </c>
      <c r="H44" s="7">
        <f t="shared" si="1"/>
        <v>354000</v>
      </c>
      <c r="I44" s="49" t="s">
        <v>834</v>
      </c>
      <c r="J44" s="144"/>
      <c r="K44" s="144"/>
      <c r="L44" s="144"/>
      <c r="M44" s="89"/>
    </row>
    <row r="45" spans="1:13" s="3" customFormat="1" ht="18.75" customHeight="1" x14ac:dyDescent="0.4">
      <c r="A45" s="4">
        <v>46052</v>
      </c>
      <c r="B45" s="103" t="s">
        <v>516</v>
      </c>
      <c r="C45" s="29" t="s">
        <v>347</v>
      </c>
      <c r="D45" s="110" t="s">
        <v>353</v>
      </c>
      <c r="E45" s="110"/>
      <c r="F45" s="81">
        <v>10</v>
      </c>
      <c r="G45" s="49">
        <v>40000</v>
      </c>
      <c r="H45" s="7">
        <f t="shared" si="1"/>
        <v>400000</v>
      </c>
      <c r="I45" s="49" t="s">
        <v>834</v>
      </c>
      <c r="J45" s="144"/>
      <c r="K45" s="144"/>
      <c r="L45" s="144"/>
      <c r="M45" s="89"/>
    </row>
    <row r="46" spans="1:13" s="3" customFormat="1" ht="18.75" customHeight="1" x14ac:dyDescent="0.4">
      <c r="A46" s="4">
        <v>46052</v>
      </c>
      <c r="B46" s="103" t="s">
        <v>516</v>
      </c>
      <c r="C46" s="29" t="s">
        <v>401</v>
      </c>
      <c r="D46" s="110" t="s">
        <v>402</v>
      </c>
      <c r="E46" s="110"/>
      <c r="F46" s="81">
        <v>3</v>
      </c>
      <c r="G46" s="49">
        <v>5972950</v>
      </c>
      <c r="H46" s="7">
        <f>F46*G46</f>
        <v>17918850</v>
      </c>
      <c r="I46" s="49" t="s">
        <v>842</v>
      </c>
      <c r="J46" s="144"/>
      <c r="K46" s="144"/>
      <c r="L46" s="144"/>
      <c r="M46" s="89"/>
    </row>
    <row r="47" spans="1:13" s="3" customFormat="1" ht="18.75" customHeight="1" x14ac:dyDescent="0.4">
      <c r="A47" s="4">
        <v>46052</v>
      </c>
      <c r="B47" s="103" t="s">
        <v>516</v>
      </c>
      <c r="C47" s="29" t="s">
        <v>354</v>
      </c>
      <c r="D47" s="110" t="s">
        <v>355</v>
      </c>
      <c r="E47" s="110"/>
      <c r="F47" s="81">
        <v>10</v>
      </c>
      <c r="G47" s="49">
        <v>1364980</v>
      </c>
      <c r="H47" s="7">
        <f>F47*G47</f>
        <v>13649800</v>
      </c>
      <c r="I47" s="49" t="s">
        <v>834</v>
      </c>
      <c r="J47" s="144"/>
      <c r="K47" s="144"/>
      <c r="L47" s="144" t="s">
        <v>496</v>
      </c>
      <c r="M47" s="89"/>
    </row>
    <row r="48" spans="1:13" s="3" customFormat="1" ht="18.75" customHeight="1" x14ac:dyDescent="0.4">
      <c r="A48" s="4">
        <v>46052</v>
      </c>
      <c r="B48" s="103" t="s">
        <v>516</v>
      </c>
      <c r="C48" s="29" t="s">
        <v>41</v>
      </c>
      <c r="D48" s="110" t="s">
        <v>42</v>
      </c>
      <c r="E48" s="110"/>
      <c r="F48" s="81">
        <v>122</v>
      </c>
      <c r="G48" s="49">
        <v>203030</v>
      </c>
      <c r="H48" s="7">
        <f t="shared" si="1"/>
        <v>24769660</v>
      </c>
      <c r="I48" s="49" t="s">
        <v>834</v>
      </c>
      <c r="J48" s="144"/>
      <c r="K48" s="144"/>
      <c r="L48" s="144" t="s">
        <v>496</v>
      </c>
      <c r="M48" s="89"/>
    </row>
    <row r="49" spans="1:13" s="3" customFormat="1" ht="18.75" customHeight="1" x14ac:dyDescent="0.4">
      <c r="A49" s="4">
        <v>46058</v>
      </c>
      <c r="B49" s="103" t="s">
        <v>516</v>
      </c>
      <c r="C49" s="29" t="s">
        <v>43</v>
      </c>
      <c r="D49" s="110" t="s">
        <v>44</v>
      </c>
      <c r="E49" s="110"/>
      <c r="F49" s="81">
        <v>50</v>
      </c>
      <c r="G49" s="49">
        <v>174080</v>
      </c>
      <c r="H49" s="8">
        <f t="shared" ref="H49:H66" si="2">+G49*F49</f>
        <v>8704000</v>
      </c>
      <c r="I49" s="49"/>
      <c r="J49" s="144"/>
      <c r="K49" s="144"/>
      <c r="L49" s="144"/>
      <c r="M49" s="89"/>
    </row>
    <row r="50" spans="1:13" s="3" customFormat="1" ht="18.75" customHeight="1" x14ac:dyDescent="0.4">
      <c r="A50" s="4">
        <v>46076</v>
      </c>
      <c r="B50" s="103" t="s">
        <v>516</v>
      </c>
      <c r="C50" s="29" t="s">
        <v>35</v>
      </c>
      <c r="D50" s="110" t="s">
        <v>36</v>
      </c>
      <c r="E50" s="110"/>
      <c r="F50" s="81">
        <v>8</v>
      </c>
      <c r="G50" s="49">
        <v>1259290</v>
      </c>
      <c r="H50" s="8">
        <f t="shared" si="2"/>
        <v>10074320</v>
      </c>
      <c r="I50" s="49"/>
      <c r="J50" s="144"/>
      <c r="K50" s="144"/>
      <c r="L50" s="144"/>
      <c r="M50" s="89"/>
    </row>
    <row r="51" spans="1:13" s="3" customFormat="1" ht="18.75" customHeight="1" x14ac:dyDescent="0.4">
      <c r="A51" s="4">
        <v>46076</v>
      </c>
      <c r="B51" s="103" t="s">
        <v>516</v>
      </c>
      <c r="C51" s="29" t="s">
        <v>39</v>
      </c>
      <c r="D51" s="110" t="s">
        <v>40</v>
      </c>
      <c r="E51" s="110"/>
      <c r="F51" s="81">
        <v>31</v>
      </c>
      <c r="G51" s="49">
        <v>1380450</v>
      </c>
      <c r="H51" s="8">
        <f t="shared" si="2"/>
        <v>42793950</v>
      </c>
      <c r="I51" s="49"/>
      <c r="J51" s="144"/>
      <c r="K51" s="144"/>
      <c r="L51" s="144"/>
      <c r="M51" s="89"/>
    </row>
    <row r="52" spans="1:13" s="3" customFormat="1" ht="18.75" customHeight="1" x14ac:dyDescent="0.4">
      <c r="A52" s="4">
        <v>46076</v>
      </c>
      <c r="B52" s="103" t="s">
        <v>516</v>
      </c>
      <c r="C52" s="29" t="s">
        <v>43</v>
      </c>
      <c r="D52" s="110" t="s">
        <v>44</v>
      </c>
      <c r="E52" s="110"/>
      <c r="F52" s="81">
        <v>30</v>
      </c>
      <c r="G52" s="49">
        <v>174080</v>
      </c>
      <c r="H52" s="8">
        <f t="shared" si="2"/>
        <v>5222400</v>
      </c>
      <c r="I52" s="49"/>
      <c r="J52" s="144"/>
      <c r="K52" s="144"/>
      <c r="L52" s="144"/>
      <c r="M52" s="89"/>
    </row>
    <row r="53" spans="1:13" s="3" customFormat="1" ht="18.75" customHeight="1" x14ac:dyDescent="0.4">
      <c r="A53" s="4">
        <v>46076</v>
      </c>
      <c r="B53" s="103" t="s">
        <v>516</v>
      </c>
      <c r="C53" s="29" t="s">
        <v>47</v>
      </c>
      <c r="D53" s="110" t="s">
        <v>48</v>
      </c>
      <c r="E53" s="110"/>
      <c r="F53" s="81">
        <v>96</v>
      </c>
      <c r="G53" s="49">
        <v>231760</v>
      </c>
      <c r="H53" s="8">
        <f t="shared" si="2"/>
        <v>22248960</v>
      </c>
      <c r="I53" s="49"/>
      <c r="J53" s="144"/>
      <c r="K53" s="144"/>
      <c r="L53" s="144"/>
      <c r="M53" s="89"/>
    </row>
    <row r="54" spans="1:13" s="3" customFormat="1" ht="18.75" customHeight="1" x14ac:dyDescent="0.4">
      <c r="A54" s="4">
        <v>46076</v>
      </c>
      <c r="B54" s="103" t="s">
        <v>516</v>
      </c>
      <c r="C54" s="29" t="s">
        <v>444</v>
      </c>
      <c r="D54" s="110">
        <v>7061532839</v>
      </c>
      <c r="E54" s="110" t="s">
        <v>127</v>
      </c>
      <c r="F54" s="81">
        <v>7</v>
      </c>
      <c r="G54" s="49">
        <v>65710</v>
      </c>
      <c r="H54" s="8" t="s">
        <v>186</v>
      </c>
      <c r="I54" s="49"/>
      <c r="J54" s="144"/>
      <c r="K54" s="144"/>
      <c r="L54" s="144"/>
      <c r="M54" s="89"/>
    </row>
    <row r="55" spans="1:13" s="3" customFormat="1" ht="18.75" customHeight="1" x14ac:dyDescent="0.4">
      <c r="A55" s="4">
        <v>46081</v>
      </c>
      <c r="B55" s="103" t="s">
        <v>516</v>
      </c>
      <c r="C55" s="29" t="s">
        <v>1043</v>
      </c>
      <c r="D55" s="110" t="s">
        <v>866</v>
      </c>
      <c r="E55" s="110"/>
      <c r="F55" s="347">
        <v>60</v>
      </c>
      <c r="G55" s="49">
        <v>246640</v>
      </c>
      <c r="H55" s="8">
        <f t="shared" si="2"/>
        <v>14798400</v>
      </c>
      <c r="I55" s="49" t="s">
        <v>1042</v>
      </c>
      <c r="J55" s="144"/>
      <c r="K55" s="144"/>
      <c r="L55" s="144"/>
      <c r="M55" s="89"/>
    </row>
    <row r="56" spans="1:13" s="3" customFormat="1" ht="18.75" customHeight="1" x14ac:dyDescent="0.4">
      <c r="A56" s="4">
        <v>46081</v>
      </c>
      <c r="B56" s="103" t="s">
        <v>516</v>
      </c>
      <c r="C56" s="29" t="s">
        <v>376</v>
      </c>
      <c r="D56" s="110">
        <v>7060740312</v>
      </c>
      <c r="E56" s="110"/>
      <c r="F56" s="347">
        <v>5</v>
      </c>
      <c r="G56" s="49">
        <v>5972950</v>
      </c>
      <c r="H56" s="8">
        <f t="shared" si="2"/>
        <v>29864750</v>
      </c>
      <c r="I56" s="49" t="s">
        <v>1040</v>
      </c>
      <c r="J56" s="144"/>
      <c r="K56" s="144"/>
      <c r="L56" s="144"/>
      <c r="M56" s="89"/>
    </row>
    <row r="57" spans="1:13" s="3" customFormat="1" ht="18.75" customHeight="1" x14ac:dyDescent="0.4">
      <c r="A57" s="4">
        <v>46081</v>
      </c>
      <c r="B57" s="103" t="s">
        <v>516</v>
      </c>
      <c r="C57" s="29" t="s">
        <v>1044</v>
      </c>
      <c r="D57" s="110">
        <v>7060740345</v>
      </c>
      <c r="E57" s="110"/>
      <c r="F57" s="347">
        <v>132</v>
      </c>
      <c r="G57" s="81">
        <v>92270</v>
      </c>
      <c r="H57" s="8">
        <f t="shared" si="2"/>
        <v>12179640</v>
      </c>
      <c r="I57" s="49" t="s">
        <v>1040</v>
      </c>
      <c r="J57" s="196"/>
      <c r="K57" s="196"/>
      <c r="L57" s="196"/>
      <c r="M57" s="89"/>
    </row>
    <row r="58" spans="1:13" s="3" customFormat="1" ht="18.75" customHeight="1" x14ac:dyDescent="0.4">
      <c r="A58" s="4">
        <v>46081</v>
      </c>
      <c r="B58" s="103" t="s">
        <v>516</v>
      </c>
      <c r="C58" s="29" t="s">
        <v>1045</v>
      </c>
      <c r="D58" s="110">
        <v>7060741881</v>
      </c>
      <c r="E58" s="110"/>
      <c r="F58" s="347">
        <v>19</v>
      </c>
      <c r="G58" s="81">
        <v>1364980</v>
      </c>
      <c r="H58" s="8">
        <f>+G58*F58</f>
        <v>25934620</v>
      </c>
      <c r="I58" s="49" t="s">
        <v>1040</v>
      </c>
      <c r="J58" s="196"/>
      <c r="K58" s="196"/>
      <c r="L58" s="196"/>
      <c r="M58" s="89"/>
    </row>
    <row r="59" spans="1:13" s="3" customFormat="1" ht="18.75" customHeight="1" x14ac:dyDescent="0.3">
      <c r="A59" s="4">
        <v>46081</v>
      </c>
      <c r="B59" s="103" t="s">
        <v>516</v>
      </c>
      <c r="C59" s="29" t="s">
        <v>347</v>
      </c>
      <c r="D59" s="59" ph="1">
        <v>7060741675</v>
      </c>
      <c r="E59" s="59" ph="1"/>
      <c r="F59" s="197" ph="1">
        <v>19</v>
      </c>
      <c r="G59" s="49" ph="1">
        <v>38000</v>
      </c>
      <c r="H59" s="7">
        <f t="shared" si="2"/>
        <v>722000</v>
      </c>
      <c r="I59" s="49" t="s">
        <v>1040</v>
      </c>
      <c r="J59" s="412"/>
      <c r="K59" s="412"/>
      <c r="L59" s="412"/>
      <c r="M59" s="89"/>
    </row>
    <row r="60" spans="1:13" s="3" customFormat="1" ht="18.75" customHeight="1" x14ac:dyDescent="0.3">
      <c r="A60" s="4">
        <v>46081</v>
      </c>
      <c r="B60" s="103" t="s">
        <v>516</v>
      </c>
      <c r="C60" s="29" t="s">
        <v>347</v>
      </c>
      <c r="D60" s="59" ph="1">
        <v>7060741676</v>
      </c>
      <c r="E60" s="59" ph="1"/>
      <c r="F60" s="197" ph="1">
        <v>19</v>
      </c>
      <c r="G60" s="49" ph="1">
        <v>43200</v>
      </c>
      <c r="H60" s="7">
        <f t="shared" si="2"/>
        <v>820800</v>
      </c>
      <c r="I60" s="49" t="s">
        <v>1040</v>
      </c>
      <c r="J60" s="412"/>
      <c r="K60" s="412"/>
      <c r="L60" s="412"/>
      <c r="M60" s="89"/>
    </row>
    <row r="61" spans="1:13" s="3" customFormat="1" ht="18.75" customHeight="1" x14ac:dyDescent="0.3">
      <c r="A61" s="4">
        <v>46081</v>
      </c>
      <c r="B61" s="103" t="s">
        <v>516</v>
      </c>
      <c r="C61" s="29" t="s">
        <v>347</v>
      </c>
      <c r="D61" s="59" ph="1">
        <v>7060741677</v>
      </c>
      <c r="E61" s="59" ph="1"/>
      <c r="F61" s="197" ph="1">
        <v>19</v>
      </c>
      <c r="G61" s="49" ph="1">
        <v>38000</v>
      </c>
      <c r="H61" s="7">
        <f t="shared" si="2"/>
        <v>722000</v>
      </c>
      <c r="I61" s="49" t="s">
        <v>1040</v>
      </c>
      <c r="J61" s="412"/>
      <c r="K61" s="412"/>
      <c r="L61" s="412"/>
      <c r="M61" s="89"/>
    </row>
    <row r="62" spans="1:13" s="3" customFormat="1" ht="18.75" customHeight="1" x14ac:dyDescent="0.3">
      <c r="A62" s="4">
        <v>46081</v>
      </c>
      <c r="B62" s="103" t="s">
        <v>516</v>
      </c>
      <c r="C62" s="29" t="s">
        <v>347</v>
      </c>
      <c r="D62" s="59" ph="1">
        <v>7060741678</v>
      </c>
      <c r="E62" s="59" ph="1"/>
      <c r="F62" s="197" ph="1">
        <v>19</v>
      </c>
      <c r="G62" s="49" ph="1">
        <v>39400</v>
      </c>
      <c r="H62" s="7">
        <f t="shared" si="2"/>
        <v>748600</v>
      </c>
      <c r="I62" s="49" t="s">
        <v>1040</v>
      </c>
      <c r="J62" s="412"/>
      <c r="K62" s="412"/>
      <c r="L62" s="412"/>
      <c r="M62" s="89"/>
    </row>
    <row r="63" spans="1:13" s="3" customFormat="1" ht="18.75" customHeight="1" x14ac:dyDescent="0.3">
      <c r="A63" s="4">
        <v>46081</v>
      </c>
      <c r="B63" s="103" t="s">
        <v>516</v>
      </c>
      <c r="C63" s="29" t="s">
        <v>347</v>
      </c>
      <c r="D63" s="59" ph="1">
        <v>7060741679</v>
      </c>
      <c r="E63" s="59" ph="1"/>
      <c r="F63" s="197" ph="1">
        <v>19</v>
      </c>
      <c r="G63" s="49" ph="1">
        <v>35400</v>
      </c>
      <c r="H63" s="7">
        <f t="shared" si="2"/>
        <v>672600</v>
      </c>
      <c r="I63" s="49" t="s">
        <v>1040</v>
      </c>
      <c r="J63" s="412"/>
      <c r="K63" s="412"/>
      <c r="L63" s="412"/>
      <c r="M63" s="89"/>
    </row>
    <row r="64" spans="1:13" s="3" customFormat="1" ht="18.75" customHeight="1" x14ac:dyDescent="0.3">
      <c r="A64" s="4">
        <v>46081</v>
      </c>
      <c r="B64" s="103" t="s">
        <v>516</v>
      </c>
      <c r="C64" s="29" t="s">
        <v>347</v>
      </c>
      <c r="D64" s="59" ph="1">
        <v>7060741680</v>
      </c>
      <c r="E64" s="59" ph="1"/>
      <c r="F64" s="197" ph="1">
        <v>19</v>
      </c>
      <c r="G64" s="49" ph="1">
        <v>40000</v>
      </c>
      <c r="H64" s="7">
        <f t="shared" si="2"/>
        <v>760000</v>
      </c>
      <c r="I64" s="49" t="s">
        <v>1040</v>
      </c>
      <c r="J64" s="412"/>
      <c r="K64" s="412"/>
      <c r="L64" s="412"/>
      <c r="M64" s="89"/>
    </row>
    <row r="65" spans="1:13" s="3" customFormat="1" ht="18.75" customHeight="1" x14ac:dyDescent="0.4">
      <c r="A65" s="4">
        <v>46081</v>
      </c>
      <c r="B65" s="103" t="s">
        <v>516</v>
      </c>
      <c r="C65" s="29" t="s">
        <v>39</v>
      </c>
      <c r="D65" s="110" t="s">
        <v>867</v>
      </c>
      <c r="E65" s="110"/>
      <c r="F65" s="347">
        <v>21</v>
      </c>
      <c r="G65" s="49">
        <v>1380450</v>
      </c>
      <c r="H65" s="8">
        <f t="shared" si="2"/>
        <v>28989450</v>
      </c>
      <c r="I65" s="49" t="s">
        <v>1040</v>
      </c>
      <c r="J65" s="144"/>
      <c r="K65" s="144"/>
      <c r="L65" s="144"/>
      <c r="M65" s="89"/>
    </row>
    <row r="66" spans="1:13" s="3" customFormat="1" ht="18.75" customHeight="1" x14ac:dyDescent="0.4">
      <c r="A66" s="4">
        <v>46081</v>
      </c>
      <c r="B66" s="103" t="s">
        <v>516</v>
      </c>
      <c r="C66" s="29" t="s">
        <v>1046</v>
      </c>
      <c r="D66" s="110" t="s">
        <v>868</v>
      </c>
      <c r="E66" s="110"/>
      <c r="F66" s="347">
        <v>95</v>
      </c>
      <c r="G66" s="49">
        <v>133110</v>
      </c>
      <c r="H66" s="8">
        <f t="shared" si="2"/>
        <v>12645450</v>
      </c>
      <c r="I66" s="49" t="s">
        <v>1040</v>
      </c>
      <c r="J66" s="144"/>
      <c r="K66" s="144"/>
      <c r="L66" s="144"/>
      <c r="M66" s="89"/>
    </row>
    <row r="67" spans="1:13" s="3" customFormat="1" ht="18.75" customHeight="1" x14ac:dyDescent="0.4">
      <c r="A67" s="193"/>
      <c r="B67" s="194"/>
      <c r="C67" s="40"/>
      <c r="D67" s="194"/>
      <c r="E67" s="194"/>
      <c r="F67" s="91"/>
      <c r="G67" s="138"/>
      <c r="H67" s="138">
        <f>SUM(H32:H53)</f>
        <v>287399430</v>
      </c>
      <c r="I67" s="138"/>
      <c r="J67" s="145"/>
      <c r="K67" s="145"/>
      <c r="L67" s="145"/>
      <c r="M67" s="89"/>
    </row>
    <row r="68" spans="1:13" s="3" customFormat="1" ht="19.5" customHeight="1" x14ac:dyDescent="0.4">
      <c r="A68" s="190">
        <v>46041</v>
      </c>
      <c r="B68" s="110" t="s">
        <v>55</v>
      </c>
      <c r="C68" s="29" t="s">
        <v>345</v>
      </c>
      <c r="D68" s="110" t="s">
        <v>675</v>
      </c>
      <c r="E68" s="110" t="s">
        <v>17</v>
      </c>
      <c r="F68" s="81">
        <v>180</v>
      </c>
      <c r="G68" s="49">
        <v>251842</v>
      </c>
      <c r="H68" s="7">
        <f t="shared" ref="H68:H76" si="3">F68*G68</f>
        <v>45331560</v>
      </c>
      <c r="I68" s="49" t="s">
        <v>834</v>
      </c>
      <c r="J68" s="144"/>
      <c r="K68" s="144"/>
      <c r="L68" s="144"/>
      <c r="M68" s="89"/>
    </row>
    <row r="69" spans="1:13" s="3" customFormat="1" ht="19.5" customHeight="1" x14ac:dyDescent="0.4">
      <c r="A69" s="190">
        <v>46041</v>
      </c>
      <c r="B69" s="110" t="s">
        <v>55</v>
      </c>
      <c r="C69" s="29" t="s">
        <v>56</v>
      </c>
      <c r="D69" s="110" t="s">
        <v>346</v>
      </c>
      <c r="E69" s="110" t="s">
        <v>17</v>
      </c>
      <c r="F69" s="81">
        <v>33</v>
      </c>
      <c r="G69" s="49">
        <v>216548</v>
      </c>
      <c r="H69" s="7">
        <f t="shared" si="3"/>
        <v>7146084</v>
      </c>
      <c r="I69" s="49" t="s">
        <v>834</v>
      </c>
      <c r="J69" s="144"/>
      <c r="K69" s="144"/>
      <c r="L69" s="144"/>
      <c r="M69" s="89"/>
    </row>
    <row r="70" spans="1:13" s="3" customFormat="1" ht="18.75" customHeight="1" x14ac:dyDescent="0.4">
      <c r="A70" s="190">
        <v>46074</v>
      </c>
      <c r="B70" s="110" t="s">
        <v>55</v>
      </c>
      <c r="C70" s="29" t="s">
        <v>56</v>
      </c>
      <c r="D70" s="110" t="s">
        <v>57</v>
      </c>
      <c r="E70" s="110" t="s">
        <v>17</v>
      </c>
      <c r="F70" s="81">
        <f>36+20</f>
        <v>56</v>
      </c>
      <c r="G70" s="49">
        <v>251842</v>
      </c>
      <c r="H70" s="7">
        <f t="shared" si="3"/>
        <v>14103152</v>
      </c>
      <c r="I70" s="49"/>
      <c r="J70" s="144"/>
      <c r="K70" s="144"/>
      <c r="L70" s="144"/>
      <c r="M70" s="89"/>
    </row>
    <row r="71" spans="1:13" s="3" customFormat="1" ht="18.75" customHeight="1" x14ac:dyDescent="0.4">
      <c r="A71" s="190">
        <v>46074</v>
      </c>
      <c r="B71" s="110" t="s">
        <v>55</v>
      </c>
      <c r="C71" s="29" t="s">
        <v>345</v>
      </c>
      <c r="D71" s="110" t="s">
        <v>676</v>
      </c>
      <c r="E71" s="110" t="s">
        <v>17</v>
      </c>
      <c r="F71" s="81">
        <v>14</v>
      </c>
      <c r="G71" s="49">
        <v>253250</v>
      </c>
      <c r="H71" s="7">
        <f t="shared" si="3"/>
        <v>3545500</v>
      </c>
      <c r="I71" s="49"/>
      <c r="J71" s="144"/>
      <c r="K71" s="144"/>
      <c r="L71" s="144"/>
      <c r="M71" s="89"/>
    </row>
    <row r="72" spans="1:13" s="3" customFormat="1" ht="19.5" customHeight="1" x14ac:dyDescent="0.4">
      <c r="A72" s="190">
        <v>46081</v>
      </c>
      <c r="B72" s="110" t="s">
        <v>55</v>
      </c>
      <c r="C72" s="29" t="s">
        <v>56</v>
      </c>
      <c r="D72" s="110" t="s">
        <v>57</v>
      </c>
      <c r="E72" s="110" t="s">
        <v>17</v>
      </c>
      <c r="F72" s="81">
        <v>-19</v>
      </c>
      <c r="G72" s="49">
        <v>251842</v>
      </c>
      <c r="H72" s="7">
        <f t="shared" si="3"/>
        <v>-4784998</v>
      </c>
      <c r="I72" s="49"/>
      <c r="J72" s="144"/>
      <c r="K72" s="144"/>
      <c r="L72" s="144"/>
      <c r="M72" s="89"/>
    </row>
    <row r="73" spans="1:13" s="3" customFormat="1" ht="19.5" customHeight="1" x14ac:dyDescent="0.4">
      <c r="A73" s="190">
        <v>46081</v>
      </c>
      <c r="B73" s="110" t="s">
        <v>55</v>
      </c>
      <c r="C73" s="29" t="s">
        <v>56</v>
      </c>
      <c r="D73" s="110" t="s">
        <v>281</v>
      </c>
      <c r="E73" s="110" t="s">
        <v>17</v>
      </c>
      <c r="F73" s="81">
        <v>-4</v>
      </c>
      <c r="G73" s="49">
        <v>216548</v>
      </c>
      <c r="H73" s="7">
        <f t="shared" si="3"/>
        <v>-866192</v>
      </c>
      <c r="I73" s="49"/>
      <c r="J73" s="144"/>
      <c r="K73" s="144"/>
      <c r="L73" s="144"/>
      <c r="M73" s="89"/>
    </row>
    <row r="74" spans="1:13" s="3" customFormat="1" ht="18.75" customHeight="1" x14ac:dyDescent="0.4">
      <c r="A74" s="190">
        <v>46081</v>
      </c>
      <c r="B74" s="110" t="s">
        <v>55</v>
      </c>
      <c r="C74" s="29" t="s">
        <v>56</v>
      </c>
      <c r="D74" s="110" t="s">
        <v>377</v>
      </c>
      <c r="E74" s="110" t="s">
        <v>17</v>
      </c>
      <c r="F74" s="81">
        <v>-7</v>
      </c>
      <c r="G74" s="49">
        <v>253250</v>
      </c>
      <c r="H74" s="7">
        <f t="shared" si="3"/>
        <v>-1772750</v>
      </c>
      <c r="I74" s="49"/>
      <c r="J74" s="144"/>
      <c r="K74" s="144"/>
      <c r="L74" s="144"/>
      <c r="M74" s="89"/>
    </row>
    <row r="75" spans="1:13" s="3" customFormat="1" ht="18.75" customHeight="1" x14ac:dyDescent="0.4">
      <c r="A75" s="190">
        <v>46081</v>
      </c>
      <c r="B75" s="110" t="s">
        <v>55</v>
      </c>
      <c r="C75" s="29" t="s">
        <v>56</v>
      </c>
      <c r="D75" s="110" t="s">
        <v>678</v>
      </c>
      <c r="E75" s="110" t="s">
        <v>17</v>
      </c>
      <c r="F75" s="81">
        <v>-7</v>
      </c>
      <c r="G75" s="49">
        <v>239388</v>
      </c>
      <c r="H75" s="7">
        <f t="shared" si="3"/>
        <v>-1675716</v>
      </c>
      <c r="I75" s="49"/>
      <c r="J75" s="144"/>
      <c r="K75" s="144"/>
      <c r="L75" s="144"/>
      <c r="M75" s="89"/>
    </row>
    <row r="76" spans="1:13" s="3" customFormat="1" ht="18.75" customHeight="1" x14ac:dyDescent="0.4">
      <c r="A76" s="190">
        <v>46081</v>
      </c>
      <c r="B76" s="110" t="s">
        <v>55</v>
      </c>
      <c r="C76" s="29" t="s">
        <v>345</v>
      </c>
      <c r="D76" s="110" t="s">
        <v>677</v>
      </c>
      <c r="E76" s="110" t="s">
        <v>17</v>
      </c>
      <c r="F76" s="81">
        <v>-1</v>
      </c>
      <c r="G76" s="49">
        <v>247275</v>
      </c>
      <c r="H76" s="7">
        <f t="shared" si="3"/>
        <v>-247275</v>
      </c>
      <c r="I76" s="49">
        <v>260099</v>
      </c>
      <c r="J76" s="144"/>
      <c r="K76" s="144"/>
      <c r="L76" s="144"/>
      <c r="M76" s="89"/>
    </row>
    <row r="77" spans="1:13" s="3" customFormat="1" ht="18.75" customHeight="1" x14ac:dyDescent="0.4">
      <c r="A77" s="193"/>
      <c r="B77" s="194"/>
      <c r="C77" s="40"/>
      <c r="D77" s="194"/>
      <c r="E77" s="194"/>
      <c r="F77" s="91"/>
      <c r="G77" s="138"/>
      <c r="H77" s="138">
        <f>SUM(H68:H76)</f>
        <v>60779365</v>
      </c>
      <c r="I77" s="138"/>
      <c r="J77" s="145"/>
      <c r="K77" s="145"/>
      <c r="L77" s="145"/>
      <c r="M77" s="89"/>
    </row>
    <row r="78" spans="1:13" ht="18.75" customHeight="1" x14ac:dyDescent="0.4">
      <c r="A78" s="4">
        <v>46073</v>
      </c>
      <c r="B78" s="413" t="s">
        <v>869</v>
      </c>
      <c r="C78" s="6" t="s">
        <v>181</v>
      </c>
      <c r="D78" s="42">
        <v>61541861</v>
      </c>
      <c r="E78" s="1" t="s">
        <v>13</v>
      </c>
      <c r="F78" s="36">
        <v>1</v>
      </c>
      <c r="G78" s="7">
        <v>2275670</v>
      </c>
      <c r="H78" s="36">
        <f t="shared" ref="H78:H87" si="4">F78*G78</f>
        <v>2275670</v>
      </c>
      <c r="I78" s="67" t="s">
        <v>1042</v>
      </c>
      <c r="J78" s="67"/>
      <c r="K78" s="67"/>
      <c r="L78" s="67"/>
    </row>
    <row r="79" spans="1:13" ht="18.75" customHeight="1" x14ac:dyDescent="0.4">
      <c r="A79" s="4">
        <v>46073</v>
      </c>
      <c r="B79" s="413" t="s">
        <v>869</v>
      </c>
      <c r="C79" s="6" t="s">
        <v>182</v>
      </c>
      <c r="D79" s="42">
        <v>61541862</v>
      </c>
      <c r="E79" s="1" t="s">
        <v>13</v>
      </c>
      <c r="F79" s="36">
        <v>1</v>
      </c>
      <c r="G79" s="7">
        <v>2275670</v>
      </c>
      <c r="H79" s="36">
        <f t="shared" si="4"/>
        <v>2275670</v>
      </c>
      <c r="I79" s="67" t="s">
        <v>1042</v>
      </c>
      <c r="J79" s="67"/>
      <c r="K79" s="67"/>
      <c r="L79" s="67"/>
    </row>
    <row r="80" spans="1:13" ht="18.75" customHeight="1" x14ac:dyDescent="0.4">
      <c r="A80" s="4">
        <v>46073</v>
      </c>
      <c r="B80" s="413" t="s">
        <v>869</v>
      </c>
      <c r="C80" s="67" t="s">
        <v>183</v>
      </c>
      <c r="D80" s="42">
        <v>61541863</v>
      </c>
      <c r="E80" s="1" t="s">
        <v>184</v>
      </c>
      <c r="F80" s="36">
        <v>1</v>
      </c>
      <c r="G80" s="7">
        <v>44000</v>
      </c>
      <c r="H80" s="36">
        <f t="shared" si="4"/>
        <v>44000</v>
      </c>
      <c r="I80" s="67" t="s">
        <v>1042</v>
      </c>
      <c r="J80" s="67"/>
      <c r="K80" s="67"/>
      <c r="L80" s="67"/>
    </row>
    <row r="81" spans="1:13" ht="18.75" customHeight="1" x14ac:dyDescent="0.4">
      <c r="A81" s="4">
        <v>46073</v>
      </c>
      <c r="B81" s="413" t="s">
        <v>869</v>
      </c>
      <c r="C81" s="67" t="s">
        <v>183</v>
      </c>
      <c r="D81" s="42">
        <v>61541864</v>
      </c>
      <c r="E81" s="1" t="s">
        <v>184</v>
      </c>
      <c r="F81" s="36">
        <v>1</v>
      </c>
      <c r="G81" s="7">
        <v>44000</v>
      </c>
      <c r="H81" s="36">
        <f t="shared" si="4"/>
        <v>44000</v>
      </c>
      <c r="I81" s="67" t="s">
        <v>1042</v>
      </c>
      <c r="J81" s="67"/>
      <c r="K81" s="67"/>
      <c r="L81" s="67"/>
    </row>
    <row r="82" spans="1:13" ht="18.75" customHeight="1" x14ac:dyDescent="0.4">
      <c r="A82" s="4">
        <v>46073</v>
      </c>
      <c r="B82" s="413" t="s">
        <v>869</v>
      </c>
      <c r="C82" s="67" t="s">
        <v>185</v>
      </c>
      <c r="D82" s="42">
        <v>61541865</v>
      </c>
      <c r="E82" s="1" t="s">
        <v>184</v>
      </c>
      <c r="F82" s="36">
        <v>2</v>
      </c>
      <c r="G82" s="7">
        <v>14700</v>
      </c>
      <c r="H82" s="36">
        <f t="shared" si="4"/>
        <v>29400</v>
      </c>
      <c r="I82" s="67" t="s">
        <v>1042</v>
      </c>
      <c r="J82" s="67"/>
      <c r="K82" s="67"/>
      <c r="L82" s="67"/>
    </row>
    <row r="83" spans="1:13" ht="18.75" customHeight="1" x14ac:dyDescent="0.4">
      <c r="A83" s="4">
        <v>46073</v>
      </c>
      <c r="B83" s="413" t="s">
        <v>869</v>
      </c>
      <c r="C83" s="6" t="s">
        <v>181</v>
      </c>
      <c r="D83" s="42">
        <v>61541861</v>
      </c>
      <c r="E83" s="1" t="s">
        <v>13</v>
      </c>
      <c r="F83" s="36">
        <v>3</v>
      </c>
      <c r="G83" s="7">
        <v>2275670</v>
      </c>
      <c r="H83" s="36">
        <f t="shared" si="4"/>
        <v>6827010</v>
      </c>
      <c r="I83" s="67" t="s">
        <v>1042</v>
      </c>
      <c r="J83" s="67"/>
      <c r="K83" s="67"/>
      <c r="L83" s="67"/>
    </row>
    <row r="84" spans="1:13" ht="18.75" customHeight="1" x14ac:dyDescent="0.4">
      <c r="A84" s="4">
        <v>46073</v>
      </c>
      <c r="B84" s="413" t="s">
        <v>869</v>
      </c>
      <c r="C84" s="6" t="s">
        <v>182</v>
      </c>
      <c r="D84" s="42">
        <v>61541862</v>
      </c>
      <c r="E84" s="1" t="s">
        <v>13</v>
      </c>
      <c r="F84" s="36">
        <v>3</v>
      </c>
      <c r="G84" s="7">
        <v>2275670</v>
      </c>
      <c r="H84" s="36">
        <f t="shared" si="4"/>
        <v>6827010</v>
      </c>
      <c r="I84" s="67" t="s">
        <v>1042</v>
      </c>
      <c r="J84" s="67"/>
      <c r="K84" s="67"/>
      <c r="L84" s="67"/>
    </row>
    <row r="85" spans="1:13" ht="18.75" customHeight="1" x14ac:dyDescent="0.4">
      <c r="A85" s="4">
        <v>46073</v>
      </c>
      <c r="B85" s="413" t="s">
        <v>869</v>
      </c>
      <c r="C85" s="67" t="s">
        <v>183</v>
      </c>
      <c r="D85" s="42">
        <v>61541863</v>
      </c>
      <c r="E85" s="1" t="s">
        <v>184</v>
      </c>
      <c r="F85" s="36">
        <v>3</v>
      </c>
      <c r="G85" s="7">
        <v>44000</v>
      </c>
      <c r="H85" s="36">
        <f t="shared" si="4"/>
        <v>132000</v>
      </c>
      <c r="I85" s="67" t="s">
        <v>1042</v>
      </c>
      <c r="J85" s="67"/>
      <c r="K85" s="67"/>
      <c r="L85" s="67"/>
    </row>
    <row r="86" spans="1:13" ht="18.75" customHeight="1" x14ac:dyDescent="0.4">
      <c r="A86" s="4">
        <v>46073</v>
      </c>
      <c r="B86" s="413" t="s">
        <v>869</v>
      </c>
      <c r="C86" s="67" t="s">
        <v>183</v>
      </c>
      <c r="D86" s="42">
        <v>61541864</v>
      </c>
      <c r="E86" s="1" t="s">
        <v>184</v>
      </c>
      <c r="F86" s="36">
        <v>3</v>
      </c>
      <c r="G86" s="7">
        <v>44000</v>
      </c>
      <c r="H86" s="36">
        <f t="shared" si="4"/>
        <v>132000</v>
      </c>
      <c r="I86" s="67" t="s">
        <v>1042</v>
      </c>
      <c r="J86" s="67"/>
      <c r="K86" s="67"/>
      <c r="L86" s="67"/>
    </row>
    <row r="87" spans="1:13" ht="18.75" customHeight="1" x14ac:dyDescent="0.4">
      <c r="A87" s="4">
        <v>46073</v>
      </c>
      <c r="B87" s="413" t="s">
        <v>869</v>
      </c>
      <c r="C87" s="67" t="s">
        <v>185</v>
      </c>
      <c r="D87" s="42">
        <v>61541865</v>
      </c>
      <c r="E87" s="1" t="s">
        <v>184</v>
      </c>
      <c r="F87" s="36">
        <v>6</v>
      </c>
      <c r="G87" s="7">
        <v>14700</v>
      </c>
      <c r="H87" s="36">
        <f t="shared" si="4"/>
        <v>88200</v>
      </c>
      <c r="I87" s="67" t="s">
        <v>1042</v>
      </c>
      <c r="J87" s="67"/>
      <c r="K87" s="67"/>
      <c r="L87" s="67"/>
    </row>
    <row r="88" spans="1:13" s="3" customFormat="1" ht="18.75" customHeight="1" x14ac:dyDescent="0.4">
      <c r="A88" s="193"/>
      <c r="B88" s="194"/>
      <c r="C88" s="40"/>
      <c r="D88" s="194"/>
      <c r="E88" s="194"/>
      <c r="F88" s="91"/>
      <c r="G88" s="138"/>
      <c r="H88" s="138"/>
      <c r="I88" s="138"/>
      <c r="J88" s="145"/>
      <c r="K88" s="145"/>
      <c r="L88" s="145"/>
      <c r="M88" s="89"/>
    </row>
    <row r="89" spans="1:13" s="3" customFormat="1" ht="19.5" customHeight="1" x14ac:dyDescent="0.4">
      <c r="A89" s="118">
        <v>46052</v>
      </c>
      <c r="B89" s="110" t="s">
        <v>58</v>
      </c>
      <c r="C89" s="29" t="s">
        <v>720</v>
      </c>
      <c r="D89" s="110" t="s">
        <v>558</v>
      </c>
      <c r="E89" s="110" t="s">
        <v>11</v>
      </c>
      <c r="F89" s="8">
        <v>8</v>
      </c>
      <c r="G89" s="81">
        <v>700000</v>
      </c>
      <c r="H89" s="8">
        <f t="shared" ref="H89:H108" si="5">F89*G89</f>
        <v>5600000</v>
      </c>
      <c r="I89" s="67"/>
      <c r="J89" s="70"/>
      <c r="K89" s="8"/>
      <c r="L89" s="116"/>
      <c r="M89" s="89"/>
    </row>
    <row r="90" spans="1:13" s="3" customFormat="1" ht="19.5" customHeight="1" x14ac:dyDescent="0.4">
      <c r="A90" s="118">
        <v>46052</v>
      </c>
      <c r="B90" s="110" t="s">
        <v>58</v>
      </c>
      <c r="C90" s="29" t="s">
        <v>720</v>
      </c>
      <c r="D90" s="110" t="s">
        <v>559</v>
      </c>
      <c r="E90" s="110" t="s">
        <v>11</v>
      </c>
      <c r="F90" s="8">
        <v>8</v>
      </c>
      <c r="G90" s="81">
        <v>700000</v>
      </c>
      <c r="H90" s="8">
        <f t="shared" si="5"/>
        <v>5600000</v>
      </c>
      <c r="I90" s="67"/>
      <c r="J90" s="70"/>
      <c r="K90" s="8"/>
      <c r="L90" s="116"/>
      <c r="M90" s="89"/>
    </row>
    <row r="91" spans="1:13" s="113" customFormat="1" ht="20.25" customHeight="1" x14ac:dyDescent="0.4">
      <c r="A91" s="190">
        <v>46053</v>
      </c>
      <c r="B91" s="110" t="s">
        <v>58</v>
      </c>
      <c r="C91" s="29" t="s">
        <v>60</v>
      </c>
      <c r="D91" s="110" t="s">
        <v>498</v>
      </c>
      <c r="E91" s="110" t="s">
        <v>13</v>
      </c>
      <c r="F91" s="8">
        <v>47</v>
      </c>
      <c r="G91" s="81">
        <v>673000</v>
      </c>
      <c r="H91" s="8">
        <f t="shared" si="5"/>
        <v>31631000</v>
      </c>
      <c r="I91" s="67"/>
      <c r="J91" s="111"/>
      <c r="K91" s="111"/>
      <c r="L91" s="116"/>
    </row>
    <row r="92" spans="1:13" s="113" customFormat="1" ht="18.75" customHeight="1" x14ac:dyDescent="0.4">
      <c r="A92" s="190">
        <v>46064</v>
      </c>
      <c r="B92" s="110" t="s">
        <v>58</v>
      </c>
      <c r="C92" s="82" t="s">
        <v>60</v>
      </c>
      <c r="D92" s="110" t="s">
        <v>498</v>
      </c>
      <c r="E92" s="110" t="s">
        <v>13</v>
      </c>
      <c r="F92" s="8">
        <v>25</v>
      </c>
      <c r="G92" s="81">
        <v>673000</v>
      </c>
      <c r="H92" s="8">
        <f t="shared" si="5"/>
        <v>16825000</v>
      </c>
      <c r="I92" s="111" t="s">
        <v>871</v>
      </c>
      <c r="J92" s="111"/>
      <c r="K92" s="111"/>
      <c r="L92" s="116"/>
    </row>
    <row r="93" spans="1:13" s="113" customFormat="1" ht="18.75" customHeight="1" x14ac:dyDescent="0.4">
      <c r="A93" s="190">
        <v>46066</v>
      </c>
      <c r="B93" s="110" t="s">
        <v>58</v>
      </c>
      <c r="C93" s="82" t="s">
        <v>720</v>
      </c>
      <c r="D93" s="110" t="s">
        <v>558</v>
      </c>
      <c r="E93" s="110" t="s">
        <v>11</v>
      </c>
      <c r="F93" s="8">
        <v>12</v>
      </c>
      <c r="G93" s="81">
        <v>700000</v>
      </c>
      <c r="H93" s="8">
        <f t="shared" si="5"/>
        <v>8400000</v>
      </c>
      <c r="I93" s="111"/>
      <c r="J93" s="111"/>
      <c r="K93" s="111"/>
      <c r="L93" s="116"/>
    </row>
    <row r="94" spans="1:13" s="113" customFormat="1" ht="18.75" customHeight="1" x14ac:dyDescent="0.4">
      <c r="A94" s="190">
        <v>46066</v>
      </c>
      <c r="B94" s="110" t="s">
        <v>58</v>
      </c>
      <c r="C94" s="82" t="s">
        <v>720</v>
      </c>
      <c r="D94" s="110" t="s">
        <v>559</v>
      </c>
      <c r="E94" s="110" t="s">
        <v>11</v>
      </c>
      <c r="F94" s="8">
        <v>12</v>
      </c>
      <c r="G94" s="81">
        <v>700000</v>
      </c>
      <c r="H94" s="8">
        <f t="shared" si="5"/>
        <v>8400000</v>
      </c>
      <c r="I94" s="111"/>
      <c r="J94" s="111"/>
      <c r="K94" s="111"/>
      <c r="L94" s="116"/>
    </row>
    <row r="95" spans="1:13" s="28" customFormat="1" ht="19.5" customHeight="1" x14ac:dyDescent="0.4">
      <c r="A95" s="5">
        <v>45929</v>
      </c>
      <c r="B95" s="5" t="s">
        <v>58</v>
      </c>
      <c r="C95" s="153" t="s">
        <v>445</v>
      </c>
      <c r="D95" s="11" t="s">
        <v>497</v>
      </c>
      <c r="E95" s="11"/>
      <c r="F95" s="154">
        <v>25</v>
      </c>
      <c r="G95" s="154">
        <v>1671500</v>
      </c>
      <c r="H95" s="152">
        <f t="shared" si="5"/>
        <v>41787500</v>
      </c>
      <c r="I95" s="67"/>
      <c r="J95" s="27" t="s">
        <v>491</v>
      </c>
      <c r="K95" s="27"/>
      <c r="L95" s="126"/>
      <c r="M95" s="155"/>
    </row>
    <row r="96" spans="1:13" s="3" customFormat="1" ht="21" customHeight="1" x14ac:dyDescent="0.4">
      <c r="A96" s="4">
        <v>45989</v>
      </c>
      <c r="B96" s="33" t="s">
        <v>58</v>
      </c>
      <c r="C96" s="192" t="s">
        <v>445</v>
      </c>
      <c r="D96" s="76" t="s">
        <v>446</v>
      </c>
      <c r="E96" s="76" t="s">
        <v>11</v>
      </c>
      <c r="F96" s="7">
        <v>8</v>
      </c>
      <c r="G96" s="7">
        <v>1671500</v>
      </c>
      <c r="H96" s="7">
        <f t="shared" si="5"/>
        <v>13372000</v>
      </c>
      <c r="I96" s="61" t="s">
        <v>1040</v>
      </c>
      <c r="J96" s="27" t="s">
        <v>491</v>
      </c>
      <c r="K96" s="61" t="s">
        <v>1040</v>
      </c>
      <c r="L96" s="116"/>
      <c r="M96" s="89"/>
    </row>
    <row r="97" spans="1:13" s="3" customFormat="1" ht="19.5" customHeight="1" x14ac:dyDescent="0.4">
      <c r="A97" s="190">
        <v>46034</v>
      </c>
      <c r="B97" s="110" t="s">
        <v>58</v>
      </c>
      <c r="C97" s="29" t="s">
        <v>60</v>
      </c>
      <c r="D97" s="110" t="s">
        <v>722</v>
      </c>
      <c r="E97" s="110" t="s">
        <v>13</v>
      </c>
      <c r="F97" s="8">
        <v>1</v>
      </c>
      <c r="G97" s="81">
        <v>673000</v>
      </c>
      <c r="H97" s="8">
        <f t="shared" si="5"/>
        <v>673000</v>
      </c>
      <c r="I97" s="61" t="s">
        <v>1040</v>
      </c>
      <c r="J97" s="70"/>
      <c r="K97" s="61" t="s">
        <v>1040</v>
      </c>
      <c r="L97" s="116"/>
      <c r="M97" s="89"/>
    </row>
    <row r="98" spans="1:13" s="3" customFormat="1" ht="19.5" customHeight="1" x14ac:dyDescent="0.4">
      <c r="A98" s="190">
        <v>46034</v>
      </c>
      <c r="B98" s="110" t="s">
        <v>58</v>
      </c>
      <c r="C98" s="29" t="s">
        <v>60</v>
      </c>
      <c r="D98" s="110" t="s">
        <v>723</v>
      </c>
      <c r="E98" s="110" t="s">
        <v>13</v>
      </c>
      <c r="F98" s="8">
        <v>1</v>
      </c>
      <c r="G98" s="81">
        <v>673000</v>
      </c>
      <c r="H98" s="8">
        <f t="shared" si="5"/>
        <v>673000</v>
      </c>
      <c r="I98" s="61" t="s">
        <v>1040</v>
      </c>
      <c r="J98" s="70"/>
      <c r="K98" s="61" t="s">
        <v>1040</v>
      </c>
      <c r="L98" s="116"/>
      <c r="M98" s="89"/>
    </row>
    <row r="99" spans="1:13" s="3" customFormat="1" ht="19.5" customHeight="1" x14ac:dyDescent="0.4">
      <c r="A99" s="190">
        <v>46034</v>
      </c>
      <c r="B99" s="110" t="s">
        <v>58</v>
      </c>
      <c r="C99" s="29" t="s">
        <v>60</v>
      </c>
      <c r="D99" s="110" t="s">
        <v>724</v>
      </c>
      <c r="E99" s="110" t="s">
        <v>13</v>
      </c>
      <c r="F99" s="8">
        <v>9</v>
      </c>
      <c r="G99" s="81">
        <v>188000</v>
      </c>
      <c r="H99" s="8">
        <f t="shared" si="5"/>
        <v>1692000</v>
      </c>
      <c r="I99" s="61" t="s">
        <v>1040</v>
      </c>
      <c r="J99" s="70"/>
      <c r="K99" s="61" t="s">
        <v>1040</v>
      </c>
      <c r="L99" s="116"/>
      <c r="M99" s="89"/>
    </row>
    <row r="100" spans="1:13" s="3" customFormat="1" ht="19.5" customHeight="1" x14ac:dyDescent="0.4">
      <c r="A100" s="190">
        <v>46034</v>
      </c>
      <c r="B100" s="110" t="s">
        <v>725</v>
      </c>
      <c r="C100" s="29" t="s">
        <v>60</v>
      </c>
      <c r="D100" s="110" t="s">
        <v>726</v>
      </c>
      <c r="E100" s="110" t="s">
        <v>11</v>
      </c>
      <c r="F100" s="8">
        <v>6</v>
      </c>
      <c r="G100" s="81">
        <v>188000</v>
      </c>
      <c r="H100" s="8">
        <f t="shared" si="5"/>
        <v>1128000</v>
      </c>
      <c r="I100" s="61" t="s">
        <v>1040</v>
      </c>
      <c r="J100" s="70"/>
      <c r="K100" s="61" t="s">
        <v>1040</v>
      </c>
      <c r="L100" s="116"/>
      <c r="M100" s="89"/>
    </row>
    <row r="101" spans="1:13" s="28" customFormat="1" ht="19.5" customHeight="1" x14ac:dyDescent="0.4">
      <c r="A101" s="5">
        <v>46042</v>
      </c>
      <c r="B101" s="5" t="s">
        <v>58</v>
      </c>
      <c r="C101" s="24" t="s">
        <v>445</v>
      </c>
      <c r="D101" s="11" t="s">
        <v>497</v>
      </c>
      <c r="E101" s="11"/>
      <c r="F101" s="12">
        <v>8</v>
      </c>
      <c r="G101" s="12">
        <v>1671500</v>
      </c>
      <c r="H101" s="7">
        <f t="shared" si="5"/>
        <v>13372000</v>
      </c>
      <c r="I101" s="61" t="s">
        <v>1040</v>
      </c>
      <c r="J101" s="27" t="s">
        <v>491</v>
      </c>
      <c r="K101" s="61" t="s">
        <v>1040</v>
      </c>
      <c r="L101" s="126"/>
      <c r="M101" s="366"/>
    </row>
    <row r="102" spans="1:13" s="28" customFormat="1" ht="19.5" customHeight="1" x14ac:dyDescent="0.4">
      <c r="A102" s="5">
        <v>46042</v>
      </c>
      <c r="B102" s="5" t="s">
        <v>58</v>
      </c>
      <c r="C102" s="24" t="s">
        <v>447</v>
      </c>
      <c r="D102" s="11"/>
      <c r="E102" s="11"/>
      <c r="F102" s="12">
        <v>8</v>
      </c>
      <c r="G102" s="12"/>
      <c r="H102" s="17"/>
      <c r="I102" s="61" t="s">
        <v>1040</v>
      </c>
      <c r="J102" s="27" t="s">
        <v>491</v>
      </c>
      <c r="K102" s="61" t="s">
        <v>1040</v>
      </c>
      <c r="L102" s="126"/>
      <c r="M102" s="366"/>
    </row>
    <row r="103" spans="1:13" s="28" customFormat="1" ht="19.5" customHeight="1" x14ac:dyDescent="0.4">
      <c r="A103" s="5">
        <v>46052</v>
      </c>
      <c r="B103" s="5" t="s">
        <v>58</v>
      </c>
      <c r="C103" s="24" t="s">
        <v>445</v>
      </c>
      <c r="D103" s="11" t="s">
        <v>497</v>
      </c>
      <c r="E103" s="11"/>
      <c r="F103" s="12">
        <v>12</v>
      </c>
      <c r="G103" s="12">
        <v>1671500</v>
      </c>
      <c r="H103" s="7">
        <f t="shared" si="5"/>
        <v>20058000</v>
      </c>
      <c r="I103" s="61" t="s">
        <v>1040</v>
      </c>
      <c r="J103" s="27"/>
      <c r="K103" s="61" t="s">
        <v>1040</v>
      </c>
      <c r="L103" s="126"/>
      <c r="M103" s="366"/>
    </row>
    <row r="104" spans="1:13" s="113" customFormat="1" ht="18.75" customHeight="1" x14ac:dyDescent="0.4">
      <c r="A104" s="190">
        <v>46059</v>
      </c>
      <c r="B104" s="110" t="s">
        <v>58</v>
      </c>
      <c r="C104" s="29" t="s">
        <v>60</v>
      </c>
      <c r="D104" s="110" t="s">
        <v>498</v>
      </c>
      <c r="E104" s="110" t="s">
        <v>13</v>
      </c>
      <c r="F104" s="8">
        <v>8</v>
      </c>
      <c r="G104" s="81">
        <v>673000</v>
      </c>
      <c r="H104" s="8">
        <f t="shared" si="5"/>
        <v>5384000</v>
      </c>
      <c r="I104" s="111" t="s">
        <v>870</v>
      </c>
      <c r="J104" s="111"/>
      <c r="K104" s="61" t="s">
        <v>1040</v>
      </c>
      <c r="L104" s="116"/>
    </row>
    <row r="105" spans="1:13" s="113" customFormat="1" ht="18.75" customHeight="1" x14ac:dyDescent="0.4">
      <c r="A105" s="190">
        <v>46066</v>
      </c>
      <c r="B105" s="110" t="s">
        <v>58</v>
      </c>
      <c r="C105" s="29" t="s">
        <v>60</v>
      </c>
      <c r="D105" s="110" t="s">
        <v>282</v>
      </c>
      <c r="E105" s="110" t="s">
        <v>11</v>
      </c>
      <c r="F105" s="8">
        <v>8</v>
      </c>
      <c r="G105" s="414">
        <v>246000</v>
      </c>
      <c r="H105" s="8">
        <f t="shared" si="5"/>
        <v>1968000</v>
      </c>
      <c r="I105" s="111" t="s">
        <v>870</v>
      </c>
      <c r="J105" s="111"/>
      <c r="K105" s="61" t="s">
        <v>1040</v>
      </c>
      <c r="L105" s="116"/>
    </row>
    <row r="106" spans="1:13" s="113" customFormat="1" ht="18.75" customHeight="1" x14ac:dyDescent="0.4">
      <c r="A106" s="190">
        <v>46066</v>
      </c>
      <c r="B106" s="110" t="s">
        <v>58</v>
      </c>
      <c r="C106" s="29" t="s">
        <v>60</v>
      </c>
      <c r="D106" s="110" t="s">
        <v>285</v>
      </c>
      <c r="E106" s="110" t="s">
        <v>11</v>
      </c>
      <c r="F106" s="8">
        <v>8</v>
      </c>
      <c r="G106" s="414">
        <v>188000</v>
      </c>
      <c r="H106" s="8">
        <f t="shared" si="5"/>
        <v>1504000</v>
      </c>
      <c r="I106" s="111" t="s">
        <v>870</v>
      </c>
      <c r="J106" s="111"/>
      <c r="K106" s="61" t="s">
        <v>1040</v>
      </c>
      <c r="L106" s="116"/>
    </row>
    <row r="107" spans="1:13" s="19" customFormat="1" ht="18.75" customHeight="1" x14ac:dyDescent="0.4">
      <c r="A107" s="5">
        <v>46066</v>
      </c>
      <c r="B107" s="5" t="s">
        <v>58</v>
      </c>
      <c r="C107" s="415" t="s">
        <v>445</v>
      </c>
      <c r="D107" s="1" t="s">
        <v>497</v>
      </c>
      <c r="E107" s="110" t="s">
        <v>11</v>
      </c>
      <c r="F107" s="8">
        <v>36</v>
      </c>
      <c r="G107" s="8">
        <v>1671500</v>
      </c>
      <c r="H107" s="8">
        <f t="shared" si="5"/>
        <v>60174000</v>
      </c>
      <c r="I107" s="111" t="s">
        <v>872</v>
      </c>
      <c r="J107" s="404"/>
      <c r="K107" s="61" t="s">
        <v>1040</v>
      </c>
      <c r="L107" s="126"/>
      <c r="M107" s="416"/>
    </row>
    <row r="108" spans="1:13" s="19" customFormat="1" ht="18.75" customHeight="1" x14ac:dyDescent="0.4">
      <c r="A108" s="5">
        <v>46072</v>
      </c>
      <c r="B108" s="110" t="s">
        <v>58</v>
      </c>
      <c r="C108" s="29" t="s">
        <v>60</v>
      </c>
      <c r="D108" s="110" t="s">
        <v>498</v>
      </c>
      <c r="E108" s="110" t="s">
        <v>13</v>
      </c>
      <c r="F108" s="8">
        <v>30</v>
      </c>
      <c r="G108" s="81">
        <v>673000</v>
      </c>
      <c r="H108" s="8">
        <f t="shared" si="5"/>
        <v>20190000</v>
      </c>
      <c r="I108" s="111" t="s">
        <v>873</v>
      </c>
      <c r="J108" s="404"/>
      <c r="K108" s="61" t="s">
        <v>1040</v>
      </c>
      <c r="L108" s="126"/>
      <c r="M108" s="416"/>
    </row>
    <row r="109" spans="1:13" s="19" customFormat="1" ht="18.75" customHeight="1" x14ac:dyDescent="0.4">
      <c r="A109" s="5">
        <v>46072</v>
      </c>
      <c r="B109" s="5" t="s">
        <v>58</v>
      </c>
      <c r="C109" s="415" t="s">
        <v>60</v>
      </c>
      <c r="D109" s="1" t="s">
        <v>522</v>
      </c>
      <c r="E109" s="1" t="s">
        <v>13</v>
      </c>
      <c r="F109" s="8">
        <v>5</v>
      </c>
      <c r="G109" s="8">
        <v>673000</v>
      </c>
      <c r="H109" s="17" t="s">
        <v>186</v>
      </c>
      <c r="I109" s="417" t="s">
        <v>612</v>
      </c>
      <c r="J109" s="404"/>
      <c r="K109" s="61" t="s">
        <v>1040</v>
      </c>
      <c r="L109" s="126"/>
      <c r="M109" s="416"/>
    </row>
    <row r="110" spans="1:13" s="19" customFormat="1" ht="18.75" customHeight="1" x14ac:dyDescent="0.4">
      <c r="A110" s="5">
        <v>46072</v>
      </c>
      <c r="B110" s="110" t="s">
        <v>58</v>
      </c>
      <c r="C110" s="29" t="s">
        <v>60</v>
      </c>
      <c r="D110" s="110" t="s">
        <v>723</v>
      </c>
      <c r="E110" s="110" t="s">
        <v>13</v>
      </c>
      <c r="F110" s="8">
        <v>1</v>
      </c>
      <c r="G110" s="81">
        <v>673000</v>
      </c>
      <c r="H110" s="17" t="s">
        <v>186</v>
      </c>
      <c r="I110" s="417" t="s">
        <v>612</v>
      </c>
      <c r="J110" s="404"/>
      <c r="K110" s="61" t="s">
        <v>1040</v>
      </c>
      <c r="L110" s="126"/>
      <c r="M110" s="416"/>
    </row>
    <row r="111" spans="1:13" s="113" customFormat="1" ht="18.75" customHeight="1" x14ac:dyDescent="0.4">
      <c r="A111" s="190">
        <v>46077</v>
      </c>
      <c r="B111" s="110" t="s">
        <v>58</v>
      </c>
      <c r="C111" s="29" t="s">
        <v>60</v>
      </c>
      <c r="D111" s="110" t="s">
        <v>498</v>
      </c>
      <c r="E111" s="110" t="s">
        <v>13</v>
      </c>
      <c r="F111" s="8">
        <v>9</v>
      </c>
      <c r="G111" s="81">
        <v>673000</v>
      </c>
      <c r="H111" s="8">
        <f>F111*G111</f>
        <v>6057000</v>
      </c>
      <c r="I111" s="111" t="s">
        <v>874</v>
      </c>
      <c r="J111" s="111"/>
      <c r="K111" s="61" t="s">
        <v>1040</v>
      </c>
      <c r="L111" s="116"/>
    </row>
    <row r="112" spans="1:13" s="113" customFormat="1" ht="18.75" customHeight="1" x14ac:dyDescent="0.4">
      <c r="A112" s="190">
        <v>46077</v>
      </c>
      <c r="B112" s="110" t="s">
        <v>58</v>
      </c>
      <c r="C112" s="29" t="s">
        <v>60</v>
      </c>
      <c r="D112" s="110" t="s">
        <v>726</v>
      </c>
      <c r="E112" s="110" t="s">
        <v>13</v>
      </c>
      <c r="F112" s="8">
        <v>2</v>
      </c>
      <c r="G112" s="81">
        <v>188000</v>
      </c>
      <c r="H112" s="17" t="s">
        <v>186</v>
      </c>
      <c r="I112" s="417" t="s">
        <v>612</v>
      </c>
      <c r="J112" s="111"/>
      <c r="K112" s="61" t="s">
        <v>1040</v>
      </c>
      <c r="L112" s="116"/>
    </row>
    <row r="113" spans="1:13" s="113" customFormat="1" ht="18.75" customHeight="1" x14ac:dyDescent="0.4">
      <c r="A113" s="190">
        <v>46078</v>
      </c>
      <c r="B113" s="110" t="s">
        <v>58</v>
      </c>
      <c r="C113" s="29" t="s">
        <v>60</v>
      </c>
      <c r="D113" s="110" t="s">
        <v>282</v>
      </c>
      <c r="E113" s="110" t="s">
        <v>11</v>
      </c>
      <c r="F113" s="8">
        <v>178</v>
      </c>
      <c r="G113" s="414">
        <v>246000</v>
      </c>
      <c r="H113" s="8">
        <f t="shared" ref="H113:H118" si="6">F113*G113</f>
        <v>43788000</v>
      </c>
      <c r="I113" s="111" t="s">
        <v>870</v>
      </c>
      <c r="J113" s="111"/>
      <c r="K113" s="61" t="s">
        <v>1040</v>
      </c>
      <c r="L113" s="116"/>
    </row>
    <row r="114" spans="1:13" s="113" customFormat="1" ht="18.75" customHeight="1" x14ac:dyDescent="0.4">
      <c r="A114" s="190">
        <v>46080</v>
      </c>
      <c r="B114" s="110" t="s">
        <v>58</v>
      </c>
      <c r="C114" s="418" t="s">
        <v>875</v>
      </c>
      <c r="D114" s="110" t="s">
        <v>500</v>
      </c>
      <c r="E114" s="110" t="s">
        <v>11</v>
      </c>
      <c r="F114" s="362">
        <v>40</v>
      </c>
      <c r="G114" s="81">
        <v>566800</v>
      </c>
      <c r="H114" s="8">
        <f t="shared" si="6"/>
        <v>22672000</v>
      </c>
      <c r="I114" s="111" t="s">
        <v>876</v>
      </c>
      <c r="J114" s="111"/>
      <c r="K114" s="61" t="s">
        <v>1040</v>
      </c>
      <c r="L114" s="116"/>
    </row>
    <row r="115" spans="1:13" s="113" customFormat="1" ht="18.75" customHeight="1" x14ac:dyDescent="0.4">
      <c r="A115" s="190">
        <v>46080</v>
      </c>
      <c r="B115" s="110" t="s">
        <v>58</v>
      </c>
      <c r="C115" s="418" t="s">
        <v>875</v>
      </c>
      <c r="D115" s="110" t="s">
        <v>502</v>
      </c>
      <c r="E115" s="110" t="s">
        <v>11</v>
      </c>
      <c r="F115" s="362">
        <v>40</v>
      </c>
      <c r="G115" s="81">
        <v>566800</v>
      </c>
      <c r="H115" s="8">
        <f t="shared" si="6"/>
        <v>22672000</v>
      </c>
      <c r="I115" s="111" t="s">
        <v>876</v>
      </c>
      <c r="J115" s="111"/>
      <c r="K115" s="61" t="s">
        <v>1040</v>
      </c>
      <c r="L115" s="116"/>
    </row>
    <row r="116" spans="1:13" s="19" customFormat="1" ht="18.75" customHeight="1" x14ac:dyDescent="0.4">
      <c r="A116" s="190">
        <v>46080</v>
      </c>
      <c r="B116" s="5" t="s">
        <v>58</v>
      </c>
      <c r="C116" s="415" t="s">
        <v>445</v>
      </c>
      <c r="D116" s="1" t="s">
        <v>497</v>
      </c>
      <c r="E116" s="110" t="s">
        <v>11</v>
      </c>
      <c r="F116" s="362">
        <v>24</v>
      </c>
      <c r="G116" s="8">
        <v>1671500</v>
      </c>
      <c r="H116" s="8">
        <f t="shared" si="6"/>
        <v>40116000</v>
      </c>
      <c r="I116" s="111" t="s">
        <v>877</v>
      </c>
      <c r="J116" s="404"/>
      <c r="K116" s="61" t="s">
        <v>1040</v>
      </c>
      <c r="L116" s="126"/>
      <c r="M116" s="416"/>
    </row>
    <row r="117" spans="1:13" s="19" customFormat="1" ht="18.75" customHeight="1" x14ac:dyDescent="0.4">
      <c r="A117" s="190">
        <v>46081</v>
      </c>
      <c r="B117" s="110" t="s">
        <v>58</v>
      </c>
      <c r="C117" s="29" t="s">
        <v>60</v>
      </c>
      <c r="D117" s="110" t="s">
        <v>498</v>
      </c>
      <c r="E117" s="110" t="s">
        <v>13</v>
      </c>
      <c r="F117" s="362">
        <v>50</v>
      </c>
      <c r="G117" s="81">
        <v>673000</v>
      </c>
      <c r="H117" s="8">
        <f t="shared" si="6"/>
        <v>33650000</v>
      </c>
      <c r="I117" s="111" t="s">
        <v>878</v>
      </c>
      <c r="J117" s="404"/>
      <c r="K117" s="61" t="s">
        <v>1040</v>
      </c>
      <c r="L117" s="126"/>
      <c r="M117" s="416"/>
    </row>
    <row r="118" spans="1:13" s="113" customFormat="1" ht="20.25" customHeight="1" x14ac:dyDescent="0.4">
      <c r="A118" s="190">
        <v>46081</v>
      </c>
      <c r="B118" s="33" t="s">
        <v>58</v>
      </c>
      <c r="C118" s="192" t="s">
        <v>189</v>
      </c>
      <c r="D118" s="76" t="s">
        <v>729</v>
      </c>
      <c r="E118" s="76"/>
      <c r="F118" s="480">
        <v>30</v>
      </c>
      <c r="G118" s="7">
        <v>489000</v>
      </c>
      <c r="H118" s="8">
        <f t="shared" si="6"/>
        <v>14670000</v>
      </c>
      <c r="I118" s="111" t="s">
        <v>879</v>
      </c>
      <c r="J118" s="111"/>
      <c r="K118" s="61" t="s">
        <v>1040</v>
      </c>
      <c r="L118" s="116" t="s">
        <v>1036</v>
      </c>
    </row>
    <row r="119" spans="1:13" s="3" customFormat="1" ht="18.75" customHeight="1" x14ac:dyDescent="0.4">
      <c r="A119" s="193"/>
      <c r="B119" s="194"/>
      <c r="C119" s="40"/>
      <c r="D119" s="194"/>
      <c r="E119" s="194"/>
      <c r="F119" s="91"/>
      <c r="G119" s="138"/>
      <c r="H119" s="138">
        <f>SUM(H89:H95)</f>
        <v>118243500</v>
      </c>
      <c r="I119" s="138"/>
      <c r="J119" s="145"/>
      <c r="K119" s="145"/>
      <c r="L119" s="145"/>
      <c r="M119" s="89"/>
    </row>
    <row r="120" spans="1:13" s="28" customFormat="1" ht="21" customHeight="1" x14ac:dyDescent="0.4">
      <c r="A120" s="10">
        <v>46052</v>
      </c>
      <c r="B120" s="23" t="s">
        <v>356</v>
      </c>
      <c r="C120" s="24" t="s">
        <v>1039</v>
      </c>
      <c r="D120" s="11" t="s">
        <v>503</v>
      </c>
      <c r="E120" s="11" t="s">
        <v>13</v>
      </c>
      <c r="F120" s="12">
        <v>20</v>
      </c>
      <c r="G120" s="12">
        <v>536960</v>
      </c>
      <c r="H120" s="8">
        <f>F120*G120</f>
        <v>10739200</v>
      </c>
      <c r="I120" s="139">
        <v>46058</v>
      </c>
      <c r="J120" s="12"/>
      <c r="K120" s="35"/>
      <c r="L120" s="104" t="s">
        <v>495</v>
      </c>
      <c r="M120" s="90"/>
    </row>
    <row r="121" spans="1:13" s="19" customFormat="1" ht="18.75" customHeight="1" x14ac:dyDescent="0.4">
      <c r="A121" s="4">
        <v>46080</v>
      </c>
      <c r="B121" s="5" t="s">
        <v>356</v>
      </c>
      <c r="C121" s="415" t="s">
        <v>56</v>
      </c>
      <c r="D121" s="1" t="s">
        <v>503</v>
      </c>
      <c r="E121" s="1" t="s">
        <v>13</v>
      </c>
      <c r="F121" s="362">
        <v>10</v>
      </c>
      <c r="G121" s="8">
        <v>536960</v>
      </c>
      <c r="H121" s="8">
        <f>F121*G121</f>
        <v>5369600</v>
      </c>
      <c r="I121" s="139">
        <v>46085</v>
      </c>
      <c r="J121" s="8"/>
      <c r="K121" s="398"/>
      <c r="L121" s="140"/>
      <c r="M121" s="31"/>
    </row>
    <row r="122" spans="1:13" s="113" customFormat="1" ht="18.75" customHeight="1" x14ac:dyDescent="0.4">
      <c r="A122" s="193"/>
      <c r="B122" s="194"/>
      <c r="C122" s="40"/>
      <c r="D122" s="194"/>
      <c r="E122" s="194"/>
      <c r="F122" s="91"/>
      <c r="G122" s="91"/>
      <c r="H122" s="91">
        <f>SUM(H120)</f>
        <v>10739200</v>
      </c>
      <c r="I122" s="124"/>
      <c r="J122" s="124"/>
      <c r="K122" s="124"/>
      <c r="L122" s="124"/>
    </row>
    <row r="123" spans="1:13" s="3" customFormat="1" ht="19.5" customHeight="1" x14ac:dyDescent="0.4">
      <c r="A123" s="118">
        <v>46055</v>
      </c>
      <c r="B123" s="103" t="s">
        <v>61</v>
      </c>
      <c r="C123" s="115" t="s">
        <v>403</v>
      </c>
      <c r="D123" s="459" t="s">
        <v>404</v>
      </c>
      <c r="E123" s="42"/>
      <c r="F123" s="117">
        <v>1</v>
      </c>
      <c r="G123" s="8">
        <v>407000</v>
      </c>
      <c r="H123" s="8">
        <v>407000</v>
      </c>
      <c r="I123" s="191" t="s">
        <v>1051</v>
      </c>
      <c r="J123" s="72"/>
      <c r="K123" s="7"/>
      <c r="L123" s="368"/>
      <c r="M123" s="50"/>
    </row>
    <row r="124" spans="1:13" s="3" customFormat="1" ht="19.5" customHeight="1" x14ac:dyDescent="0.4">
      <c r="A124" s="118">
        <v>46055</v>
      </c>
      <c r="B124" s="103" t="s">
        <v>61</v>
      </c>
      <c r="C124" s="115" t="s">
        <v>405</v>
      </c>
      <c r="D124" s="459" t="s">
        <v>406</v>
      </c>
      <c r="E124" s="42"/>
      <c r="F124" s="117">
        <v>1</v>
      </c>
      <c r="G124" s="8">
        <v>353000</v>
      </c>
      <c r="H124" s="8">
        <v>353000</v>
      </c>
      <c r="I124" s="191" t="s">
        <v>1051</v>
      </c>
      <c r="J124" s="72"/>
      <c r="K124" s="7"/>
      <c r="L124" s="368"/>
      <c r="M124" s="50"/>
    </row>
    <row r="125" spans="1:13" s="3" customFormat="1" ht="19.5" customHeight="1" x14ac:dyDescent="0.4">
      <c r="A125" s="118">
        <v>46055</v>
      </c>
      <c r="B125" s="103" t="s">
        <v>61</v>
      </c>
      <c r="C125" s="115" t="s">
        <v>425</v>
      </c>
      <c r="D125" s="459" t="s">
        <v>426</v>
      </c>
      <c r="E125" s="42"/>
      <c r="F125" s="117">
        <v>1</v>
      </c>
      <c r="G125" s="8">
        <v>1315000</v>
      </c>
      <c r="H125" s="8">
        <v>1315000</v>
      </c>
      <c r="I125" s="191" t="s">
        <v>1051</v>
      </c>
      <c r="J125" s="72"/>
      <c r="K125" s="7"/>
      <c r="L125" s="368"/>
      <c r="M125" s="50"/>
    </row>
    <row r="126" spans="1:13" s="3" customFormat="1" ht="19.5" customHeight="1" x14ac:dyDescent="0.4">
      <c r="A126" s="118">
        <v>46055</v>
      </c>
      <c r="B126" s="103" t="s">
        <v>61</v>
      </c>
      <c r="C126" s="115" t="s">
        <v>407</v>
      </c>
      <c r="D126" s="459" t="s">
        <v>408</v>
      </c>
      <c r="E126" s="42"/>
      <c r="F126" s="117">
        <v>1</v>
      </c>
      <c r="G126" s="8">
        <v>239000</v>
      </c>
      <c r="H126" s="8">
        <v>239000</v>
      </c>
      <c r="I126" s="191" t="s">
        <v>1051</v>
      </c>
      <c r="J126" s="72"/>
      <c r="K126" s="7"/>
      <c r="L126" s="368"/>
      <c r="M126" s="50"/>
    </row>
    <row r="127" spans="1:13" s="3" customFormat="1" ht="19.5" customHeight="1" x14ac:dyDescent="0.4">
      <c r="A127" s="118">
        <v>46055</v>
      </c>
      <c r="B127" s="103" t="s">
        <v>61</v>
      </c>
      <c r="C127" s="115" t="s">
        <v>412</v>
      </c>
      <c r="D127" s="459" t="s">
        <v>413</v>
      </c>
      <c r="E127" s="42"/>
      <c r="F127" s="117">
        <v>1</v>
      </c>
      <c r="G127" s="8">
        <v>1388900</v>
      </c>
      <c r="H127" s="8">
        <v>1388900</v>
      </c>
      <c r="I127" s="191" t="s">
        <v>1051</v>
      </c>
      <c r="J127" s="72"/>
      <c r="K127" s="7"/>
      <c r="L127" s="368"/>
      <c r="M127" s="50"/>
    </row>
    <row r="128" spans="1:13" s="3" customFormat="1" ht="19.5" customHeight="1" x14ac:dyDescent="0.4">
      <c r="A128" s="118">
        <v>46055</v>
      </c>
      <c r="B128" s="103" t="s">
        <v>61</v>
      </c>
      <c r="C128" s="115" t="s">
        <v>427</v>
      </c>
      <c r="D128" s="459" t="s">
        <v>443</v>
      </c>
      <c r="E128" s="42"/>
      <c r="F128" s="117">
        <v>1</v>
      </c>
      <c r="G128" s="8">
        <v>230000</v>
      </c>
      <c r="H128" s="8">
        <v>230000</v>
      </c>
      <c r="I128" s="191" t="s">
        <v>1051</v>
      </c>
      <c r="J128" s="72"/>
      <c r="K128" s="7"/>
      <c r="L128" s="368"/>
      <c r="M128" s="50"/>
    </row>
    <row r="129" spans="1:13" s="3" customFormat="1" ht="19.5" customHeight="1" x14ac:dyDescent="0.4">
      <c r="A129" s="118">
        <v>46055</v>
      </c>
      <c r="B129" s="103" t="s">
        <v>61</v>
      </c>
      <c r="C129" s="115" t="s">
        <v>409</v>
      </c>
      <c r="D129" s="459" t="s">
        <v>410</v>
      </c>
      <c r="E129" s="42"/>
      <c r="F129" s="117">
        <v>1</v>
      </c>
      <c r="G129" s="8">
        <v>187000</v>
      </c>
      <c r="H129" s="8">
        <v>187000</v>
      </c>
      <c r="I129" s="191" t="s">
        <v>1051</v>
      </c>
      <c r="J129" s="72"/>
      <c r="K129" s="7"/>
      <c r="L129" s="368"/>
      <c r="M129" s="50"/>
    </row>
    <row r="130" spans="1:13" s="3" customFormat="1" ht="19.5" customHeight="1" x14ac:dyDescent="0.4">
      <c r="A130" s="118">
        <v>46055</v>
      </c>
      <c r="B130" s="103" t="s">
        <v>61</v>
      </c>
      <c r="C130" s="115" t="s">
        <v>411</v>
      </c>
      <c r="D130" s="459" t="s">
        <v>423</v>
      </c>
      <c r="E130" s="42"/>
      <c r="F130" s="117">
        <v>1</v>
      </c>
      <c r="G130" s="8">
        <v>226000</v>
      </c>
      <c r="H130" s="8">
        <v>226000</v>
      </c>
      <c r="I130" s="191" t="s">
        <v>1051</v>
      </c>
      <c r="J130" s="72"/>
      <c r="K130" s="7"/>
      <c r="L130" s="368"/>
      <c r="M130" s="50"/>
    </row>
    <row r="131" spans="1:13" ht="18.75" customHeight="1" x14ac:dyDescent="0.4">
      <c r="A131" s="118">
        <v>46055</v>
      </c>
      <c r="B131" s="103" t="s">
        <v>61</v>
      </c>
      <c r="C131" s="115" t="s">
        <v>571</v>
      </c>
      <c r="D131" s="459" t="s">
        <v>572</v>
      </c>
      <c r="E131" s="42"/>
      <c r="F131" s="117">
        <v>1</v>
      </c>
      <c r="G131" s="8">
        <v>384730</v>
      </c>
      <c r="H131" s="8">
        <v>384730</v>
      </c>
      <c r="I131" s="191" t="s">
        <v>880</v>
      </c>
      <c r="J131" s="72"/>
      <c r="K131" s="7"/>
      <c r="L131" s="368"/>
    </row>
    <row r="132" spans="1:13" ht="18.75" customHeight="1" x14ac:dyDescent="0.4">
      <c r="A132" s="118">
        <v>46055</v>
      </c>
      <c r="B132" s="103" t="s">
        <v>61</v>
      </c>
      <c r="C132" s="115" t="s">
        <v>571</v>
      </c>
      <c r="D132" s="459" t="s">
        <v>572</v>
      </c>
      <c r="E132" s="42"/>
      <c r="F132" s="117">
        <v>1</v>
      </c>
      <c r="G132" s="8">
        <v>384730</v>
      </c>
      <c r="H132" s="8">
        <v>384730</v>
      </c>
      <c r="I132" s="191" t="s">
        <v>881</v>
      </c>
      <c r="J132" s="72"/>
      <c r="K132" s="7"/>
      <c r="L132" s="368"/>
    </row>
    <row r="133" spans="1:13" ht="18.75" customHeight="1" x14ac:dyDescent="0.4">
      <c r="A133" s="118">
        <v>46055</v>
      </c>
      <c r="B133" s="103" t="s">
        <v>61</v>
      </c>
      <c r="C133" s="115" t="s">
        <v>571</v>
      </c>
      <c r="D133" s="459" t="s">
        <v>572</v>
      </c>
      <c r="E133" s="42"/>
      <c r="F133" s="117">
        <v>1</v>
      </c>
      <c r="G133" s="8">
        <v>384730</v>
      </c>
      <c r="H133" s="8">
        <v>384730</v>
      </c>
      <c r="I133" s="191" t="s">
        <v>882</v>
      </c>
      <c r="J133" s="72"/>
      <c r="K133" s="7"/>
      <c r="L133" s="368"/>
    </row>
    <row r="134" spans="1:13" ht="18.75" customHeight="1" x14ac:dyDescent="0.4">
      <c r="A134" s="118">
        <v>46055</v>
      </c>
      <c r="B134" s="103" t="s">
        <v>61</v>
      </c>
      <c r="C134" s="115" t="s">
        <v>99</v>
      </c>
      <c r="D134" s="459" t="s">
        <v>100</v>
      </c>
      <c r="E134" s="42"/>
      <c r="F134" s="117">
        <v>1</v>
      </c>
      <c r="G134" s="8">
        <v>543000</v>
      </c>
      <c r="H134" s="8">
        <v>543000</v>
      </c>
      <c r="I134" s="191" t="s">
        <v>70</v>
      </c>
      <c r="J134" s="72"/>
      <c r="K134" s="7"/>
      <c r="L134" s="368"/>
    </row>
    <row r="135" spans="1:13" ht="18.75" customHeight="1" x14ac:dyDescent="0.4">
      <c r="A135" s="118">
        <v>46055</v>
      </c>
      <c r="B135" s="103" t="s">
        <v>61</v>
      </c>
      <c r="C135" s="115" t="s">
        <v>99</v>
      </c>
      <c r="D135" s="459" t="s">
        <v>100</v>
      </c>
      <c r="E135" s="42"/>
      <c r="F135" s="117">
        <v>5</v>
      </c>
      <c r="G135" s="8">
        <v>543000</v>
      </c>
      <c r="H135" s="8">
        <v>2715000</v>
      </c>
      <c r="I135" s="191" t="s">
        <v>70</v>
      </c>
      <c r="J135" s="72"/>
      <c r="K135" s="7"/>
      <c r="L135" s="368"/>
    </row>
    <row r="136" spans="1:13" ht="18.75" customHeight="1" x14ac:dyDescent="0.4">
      <c r="A136" s="118">
        <v>46058</v>
      </c>
      <c r="B136" s="103" t="s">
        <v>61</v>
      </c>
      <c r="C136" s="115" t="s">
        <v>425</v>
      </c>
      <c r="D136" s="459" t="s">
        <v>426</v>
      </c>
      <c r="E136" s="42"/>
      <c r="F136" s="117">
        <v>1</v>
      </c>
      <c r="G136" s="8">
        <v>1315000</v>
      </c>
      <c r="H136" s="8">
        <v>1315000</v>
      </c>
      <c r="I136" s="191" t="s">
        <v>883</v>
      </c>
      <c r="J136" s="72"/>
      <c r="K136" s="7"/>
      <c r="L136" s="368"/>
    </row>
    <row r="137" spans="1:13" ht="18.75" customHeight="1" x14ac:dyDescent="0.4">
      <c r="A137" s="118">
        <v>46058</v>
      </c>
      <c r="B137" s="103" t="s">
        <v>61</v>
      </c>
      <c r="C137" s="115" t="s">
        <v>407</v>
      </c>
      <c r="D137" s="459" t="s">
        <v>408</v>
      </c>
      <c r="E137" s="42"/>
      <c r="F137" s="117">
        <v>1</v>
      </c>
      <c r="G137" s="8">
        <v>239000</v>
      </c>
      <c r="H137" s="8">
        <v>239000</v>
      </c>
      <c r="I137" s="191" t="s">
        <v>883</v>
      </c>
      <c r="J137" s="72"/>
      <c r="K137" s="7"/>
      <c r="L137" s="368"/>
    </row>
    <row r="138" spans="1:13" ht="18.75" customHeight="1" x14ac:dyDescent="0.4">
      <c r="A138" s="118">
        <v>46058</v>
      </c>
      <c r="B138" s="103" t="s">
        <v>61</v>
      </c>
      <c r="C138" s="115" t="s">
        <v>412</v>
      </c>
      <c r="D138" s="459" t="s">
        <v>413</v>
      </c>
      <c r="E138" s="42"/>
      <c r="F138" s="117">
        <v>1</v>
      </c>
      <c r="G138" s="8">
        <v>1388900</v>
      </c>
      <c r="H138" s="8">
        <v>1388900</v>
      </c>
      <c r="I138" s="191" t="s">
        <v>883</v>
      </c>
      <c r="J138" s="72"/>
      <c r="K138" s="7"/>
      <c r="L138" s="368"/>
    </row>
    <row r="139" spans="1:13" ht="18.75" customHeight="1" x14ac:dyDescent="0.4">
      <c r="A139" s="118">
        <v>46058</v>
      </c>
      <c r="B139" s="103" t="s">
        <v>61</v>
      </c>
      <c r="C139" s="115" t="s">
        <v>427</v>
      </c>
      <c r="D139" s="459" t="s">
        <v>443</v>
      </c>
      <c r="E139" s="42"/>
      <c r="F139" s="117">
        <v>1</v>
      </c>
      <c r="G139" s="8">
        <v>230000</v>
      </c>
      <c r="H139" s="8">
        <v>230000</v>
      </c>
      <c r="I139" s="191" t="s">
        <v>883</v>
      </c>
      <c r="J139" s="72"/>
      <c r="K139" s="7"/>
      <c r="L139" s="368"/>
    </row>
    <row r="140" spans="1:13" ht="18.75" customHeight="1" x14ac:dyDescent="0.4">
      <c r="A140" s="118">
        <v>46058</v>
      </c>
      <c r="B140" s="103" t="s">
        <v>61</v>
      </c>
      <c r="C140" s="115" t="s">
        <v>885</v>
      </c>
      <c r="D140" s="459" t="s">
        <v>1050</v>
      </c>
      <c r="E140" s="42"/>
      <c r="F140" s="117">
        <v>1</v>
      </c>
      <c r="G140" s="8">
        <v>950000</v>
      </c>
      <c r="H140" s="8">
        <v>950000</v>
      </c>
      <c r="I140" s="191" t="s">
        <v>883</v>
      </c>
      <c r="J140" s="72"/>
      <c r="K140" s="7"/>
      <c r="L140" s="368"/>
    </row>
    <row r="141" spans="1:13" ht="18.75" customHeight="1" x14ac:dyDescent="0.4">
      <c r="A141" s="118">
        <v>46059</v>
      </c>
      <c r="B141" s="103" t="s">
        <v>61</v>
      </c>
      <c r="C141" s="115" t="s">
        <v>425</v>
      </c>
      <c r="D141" s="459" t="s">
        <v>426</v>
      </c>
      <c r="E141" s="42"/>
      <c r="F141" s="117">
        <v>1</v>
      </c>
      <c r="G141" s="8">
        <v>1315000</v>
      </c>
      <c r="H141" s="8">
        <v>1315000</v>
      </c>
      <c r="I141" s="191" t="s">
        <v>884</v>
      </c>
      <c r="J141" s="72"/>
      <c r="K141" s="7"/>
      <c r="L141" s="368"/>
    </row>
    <row r="142" spans="1:13" ht="18.75" customHeight="1" x14ac:dyDescent="0.4">
      <c r="A142" s="118">
        <v>46059</v>
      </c>
      <c r="B142" s="103" t="s">
        <v>61</v>
      </c>
      <c r="C142" s="115" t="s">
        <v>407</v>
      </c>
      <c r="D142" s="459" t="s">
        <v>408</v>
      </c>
      <c r="E142" s="42"/>
      <c r="F142" s="117">
        <v>1</v>
      </c>
      <c r="G142" s="8">
        <v>239000</v>
      </c>
      <c r="H142" s="8">
        <v>239000</v>
      </c>
      <c r="I142" s="191" t="s">
        <v>884</v>
      </c>
      <c r="J142" s="72"/>
      <c r="K142" s="7"/>
      <c r="L142" s="368"/>
    </row>
    <row r="143" spans="1:13" ht="18.75" customHeight="1" x14ac:dyDescent="0.4">
      <c r="A143" s="118">
        <v>46059</v>
      </c>
      <c r="B143" s="103" t="s">
        <v>61</v>
      </c>
      <c r="C143" s="115" t="s">
        <v>412</v>
      </c>
      <c r="D143" s="459" t="s">
        <v>413</v>
      </c>
      <c r="E143" s="42"/>
      <c r="F143" s="117">
        <v>1</v>
      </c>
      <c r="G143" s="8">
        <v>1388900</v>
      </c>
      <c r="H143" s="8">
        <v>1388900</v>
      </c>
      <c r="I143" s="191" t="s">
        <v>884</v>
      </c>
      <c r="J143" s="72"/>
      <c r="K143" s="7"/>
      <c r="L143" s="368"/>
    </row>
    <row r="144" spans="1:13" ht="18.75" customHeight="1" x14ac:dyDescent="0.4">
      <c r="A144" s="118">
        <v>46059</v>
      </c>
      <c r="B144" s="103" t="s">
        <v>61</v>
      </c>
      <c r="C144" s="115" t="s">
        <v>427</v>
      </c>
      <c r="D144" s="459" t="s">
        <v>443</v>
      </c>
      <c r="E144" s="42"/>
      <c r="F144" s="117">
        <v>1</v>
      </c>
      <c r="G144" s="8">
        <v>230000</v>
      </c>
      <c r="H144" s="8">
        <v>230000</v>
      </c>
      <c r="I144" s="191" t="s">
        <v>884</v>
      </c>
      <c r="J144" s="72"/>
      <c r="K144" s="7"/>
      <c r="L144" s="368"/>
    </row>
    <row r="145" spans="1:13" ht="18.75" customHeight="1" x14ac:dyDescent="0.4">
      <c r="A145" s="118">
        <v>46059</v>
      </c>
      <c r="B145" s="103" t="s">
        <v>61</v>
      </c>
      <c r="C145" s="115" t="s">
        <v>885</v>
      </c>
      <c r="D145" s="459" t="s">
        <v>1050</v>
      </c>
      <c r="E145" s="42"/>
      <c r="F145" s="117">
        <v>1</v>
      </c>
      <c r="G145" s="8">
        <v>950000</v>
      </c>
      <c r="H145" s="8">
        <v>950000</v>
      </c>
      <c r="I145" s="191" t="s">
        <v>884</v>
      </c>
      <c r="J145" s="72"/>
      <c r="K145" s="7"/>
      <c r="L145" s="368"/>
    </row>
    <row r="146" spans="1:13" s="78" customFormat="1" ht="18.75" customHeight="1" x14ac:dyDescent="0.4">
      <c r="A146" s="118">
        <v>46063</v>
      </c>
      <c r="B146" s="103" t="s">
        <v>61</v>
      </c>
      <c r="C146" s="115" t="s">
        <v>71</v>
      </c>
      <c r="D146" s="459" t="s">
        <v>287</v>
      </c>
      <c r="E146" s="42"/>
      <c r="F146" s="117">
        <v>8</v>
      </c>
      <c r="G146" s="8">
        <v>520600</v>
      </c>
      <c r="H146" s="8">
        <v>4164800</v>
      </c>
      <c r="I146" s="191" t="s">
        <v>737</v>
      </c>
      <c r="J146" s="72"/>
      <c r="K146" s="7"/>
      <c r="L146" s="368"/>
      <c r="M146" s="50"/>
    </row>
    <row r="147" spans="1:13" s="78" customFormat="1" ht="18.75" customHeight="1" x14ac:dyDescent="0.4">
      <c r="A147" s="118">
        <v>46063</v>
      </c>
      <c r="B147" s="103" t="s">
        <v>61</v>
      </c>
      <c r="C147" s="115" t="s">
        <v>71</v>
      </c>
      <c r="D147" s="459" t="s">
        <v>287</v>
      </c>
      <c r="E147" s="42"/>
      <c r="F147" s="117">
        <v>12</v>
      </c>
      <c r="G147" s="8">
        <v>520600</v>
      </c>
      <c r="H147" s="8">
        <v>6247200</v>
      </c>
      <c r="I147" s="191" t="s">
        <v>738</v>
      </c>
      <c r="J147" s="72"/>
      <c r="K147" s="7"/>
      <c r="L147" s="368"/>
      <c r="M147" s="50"/>
    </row>
    <row r="148" spans="1:13" s="78" customFormat="1" ht="18.75" customHeight="1" x14ac:dyDescent="0.4">
      <c r="A148" s="118">
        <v>46063</v>
      </c>
      <c r="B148" s="103" t="s">
        <v>61</v>
      </c>
      <c r="C148" s="115" t="s">
        <v>71</v>
      </c>
      <c r="D148" s="459" t="s">
        <v>287</v>
      </c>
      <c r="E148" s="42"/>
      <c r="F148" s="117">
        <v>1</v>
      </c>
      <c r="G148" s="8">
        <v>520600</v>
      </c>
      <c r="H148" s="8">
        <v>520600</v>
      </c>
      <c r="I148" s="191" t="s">
        <v>739</v>
      </c>
      <c r="J148" s="72"/>
      <c r="K148" s="7"/>
      <c r="L148" s="368"/>
      <c r="M148" s="50"/>
    </row>
    <row r="149" spans="1:13" s="78" customFormat="1" ht="18.75" customHeight="1" x14ac:dyDescent="0.4">
      <c r="A149" s="118">
        <v>46063</v>
      </c>
      <c r="B149" s="103" t="s">
        <v>61</v>
      </c>
      <c r="C149" s="115" t="s">
        <v>73</v>
      </c>
      <c r="D149" s="459" t="s">
        <v>288</v>
      </c>
      <c r="E149" s="42"/>
      <c r="F149" s="117">
        <v>1</v>
      </c>
      <c r="G149" s="8">
        <v>390000</v>
      </c>
      <c r="H149" s="8">
        <v>390000</v>
      </c>
      <c r="I149" s="191" t="s">
        <v>739</v>
      </c>
      <c r="J149" s="72"/>
      <c r="K149" s="7"/>
      <c r="L149" s="368"/>
      <c r="M149" s="50"/>
    </row>
    <row r="150" spans="1:13" s="78" customFormat="1" ht="18.75" customHeight="1" x14ac:dyDescent="0.4">
      <c r="A150" s="118">
        <v>46063</v>
      </c>
      <c r="B150" s="103" t="s">
        <v>61</v>
      </c>
      <c r="C150" s="115" t="s">
        <v>202</v>
      </c>
      <c r="D150" s="459" t="s">
        <v>203</v>
      </c>
      <c r="E150" s="42"/>
      <c r="F150" s="117">
        <v>6</v>
      </c>
      <c r="G150" s="8">
        <v>384000</v>
      </c>
      <c r="H150" s="8">
        <v>2304000</v>
      </c>
      <c r="I150" s="191" t="s">
        <v>732</v>
      </c>
      <c r="J150" s="72"/>
      <c r="K150" s="7"/>
      <c r="L150" s="368"/>
      <c r="M150" s="50"/>
    </row>
    <row r="151" spans="1:13" s="78" customFormat="1" ht="18.75" customHeight="1" x14ac:dyDescent="0.4">
      <c r="A151" s="118">
        <v>46063</v>
      </c>
      <c r="B151" s="103" t="s">
        <v>61</v>
      </c>
      <c r="C151" s="115" t="s">
        <v>67</v>
      </c>
      <c r="D151" s="459" t="s">
        <v>80</v>
      </c>
      <c r="E151" s="42"/>
      <c r="F151" s="117">
        <v>3</v>
      </c>
      <c r="G151" s="8">
        <v>384000</v>
      </c>
      <c r="H151" s="8">
        <v>1152000</v>
      </c>
      <c r="I151" s="191" t="s">
        <v>887</v>
      </c>
      <c r="J151" s="72"/>
      <c r="K151" s="7"/>
      <c r="L151" s="368"/>
      <c r="M151" s="50"/>
    </row>
    <row r="152" spans="1:13" s="78" customFormat="1" ht="18.75" customHeight="1" x14ac:dyDescent="0.4">
      <c r="A152" s="118">
        <v>46063</v>
      </c>
      <c r="B152" s="103" t="s">
        <v>61</v>
      </c>
      <c r="C152" s="115" t="s">
        <v>81</v>
      </c>
      <c r="D152" s="459" t="s">
        <v>82</v>
      </c>
      <c r="E152" s="42"/>
      <c r="F152" s="117">
        <v>3</v>
      </c>
      <c r="G152" s="8">
        <v>86300</v>
      </c>
      <c r="H152" s="8">
        <v>258900</v>
      </c>
      <c r="I152" s="191" t="s">
        <v>740</v>
      </c>
      <c r="J152" s="72"/>
      <c r="K152" s="7"/>
      <c r="L152" s="368"/>
      <c r="M152" s="50"/>
    </row>
    <row r="153" spans="1:13" s="78" customFormat="1" ht="18.75" customHeight="1" x14ac:dyDescent="0.4">
      <c r="A153" s="118">
        <v>46063</v>
      </c>
      <c r="B153" s="103" t="s">
        <v>61</v>
      </c>
      <c r="C153" s="115" t="s">
        <v>81</v>
      </c>
      <c r="D153" s="459" t="s">
        <v>82</v>
      </c>
      <c r="E153" s="42"/>
      <c r="F153" s="117">
        <v>3</v>
      </c>
      <c r="G153" s="8">
        <v>86300</v>
      </c>
      <c r="H153" s="8">
        <v>258900</v>
      </c>
      <c r="I153" s="191" t="s">
        <v>887</v>
      </c>
      <c r="J153" s="72"/>
      <c r="K153" s="7"/>
      <c r="L153" s="368"/>
      <c r="M153" s="50"/>
    </row>
    <row r="154" spans="1:13" s="78" customFormat="1" ht="18.75" customHeight="1" x14ac:dyDescent="0.4">
      <c r="A154" s="118">
        <v>46063</v>
      </c>
      <c r="B154" s="103" t="s">
        <v>61</v>
      </c>
      <c r="C154" s="115" t="s">
        <v>67</v>
      </c>
      <c r="D154" s="459" t="s">
        <v>80</v>
      </c>
      <c r="E154" s="42"/>
      <c r="F154" s="117">
        <v>5</v>
      </c>
      <c r="G154" s="8">
        <v>384000</v>
      </c>
      <c r="H154" s="8">
        <v>1920000</v>
      </c>
      <c r="I154" s="191" t="s">
        <v>886</v>
      </c>
      <c r="J154" s="72"/>
      <c r="K154" s="7"/>
      <c r="L154" s="368"/>
      <c r="M154" s="50"/>
    </row>
    <row r="155" spans="1:13" s="78" customFormat="1" ht="18.75" customHeight="1" x14ac:dyDescent="0.4">
      <c r="A155" s="118">
        <v>46063</v>
      </c>
      <c r="B155" s="103" t="s">
        <v>61</v>
      </c>
      <c r="C155" s="115" t="s">
        <v>64</v>
      </c>
      <c r="D155" s="459" t="s">
        <v>65</v>
      </c>
      <c r="E155" s="42"/>
      <c r="F155" s="117">
        <v>6</v>
      </c>
      <c r="G155" s="8">
        <v>1568700</v>
      </c>
      <c r="H155" s="8">
        <v>9412200</v>
      </c>
      <c r="I155" s="191" t="s">
        <v>732</v>
      </c>
      <c r="J155" s="72"/>
      <c r="K155" s="7"/>
      <c r="L155" s="368"/>
      <c r="M155" s="50"/>
    </row>
    <row r="156" spans="1:13" s="78" customFormat="1" ht="18.75" customHeight="1" x14ac:dyDescent="0.4">
      <c r="A156" s="118">
        <v>46063</v>
      </c>
      <c r="B156" s="103" t="s">
        <v>61</v>
      </c>
      <c r="C156" s="115" t="s">
        <v>64</v>
      </c>
      <c r="D156" s="459" t="s">
        <v>65</v>
      </c>
      <c r="E156" s="42"/>
      <c r="F156" s="117">
        <v>3</v>
      </c>
      <c r="G156" s="8">
        <v>1568700</v>
      </c>
      <c r="H156" s="8">
        <v>4706100</v>
      </c>
      <c r="I156" s="191" t="s">
        <v>740</v>
      </c>
      <c r="J156" s="72"/>
      <c r="K156" s="7"/>
      <c r="L156" s="368"/>
      <c r="M156" s="50"/>
    </row>
    <row r="157" spans="1:13" s="78" customFormat="1" ht="18.75" customHeight="1" x14ac:dyDescent="0.4">
      <c r="A157" s="118">
        <v>46063</v>
      </c>
      <c r="B157" s="103" t="s">
        <v>61</v>
      </c>
      <c r="C157" s="115" t="s">
        <v>92</v>
      </c>
      <c r="D157" s="459" t="s">
        <v>200</v>
      </c>
      <c r="E157" s="42"/>
      <c r="F157" s="117">
        <v>6</v>
      </c>
      <c r="G157" s="8">
        <v>348500</v>
      </c>
      <c r="H157" s="8">
        <v>2091000</v>
      </c>
      <c r="I157" s="191" t="s">
        <v>70</v>
      </c>
      <c r="J157" s="72"/>
      <c r="K157" s="7"/>
      <c r="L157" s="368"/>
      <c r="M157" s="50"/>
    </row>
    <row r="158" spans="1:13" s="78" customFormat="1" ht="18.75" customHeight="1" x14ac:dyDescent="0.4">
      <c r="A158" s="118">
        <v>46063</v>
      </c>
      <c r="B158" s="103" t="s">
        <v>61</v>
      </c>
      <c r="C158" s="115" t="s">
        <v>115</v>
      </c>
      <c r="D158" s="459" t="s">
        <v>116</v>
      </c>
      <c r="E158" s="42"/>
      <c r="F158" s="117">
        <v>5</v>
      </c>
      <c r="G158" s="8">
        <v>187000</v>
      </c>
      <c r="H158" s="8">
        <v>935000</v>
      </c>
      <c r="I158" s="191" t="s">
        <v>70</v>
      </c>
      <c r="J158" s="72"/>
      <c r="K158" s="7"/>
      <c r="L158" s="368"/>
      <c r="M158" s="50"/>
    </row>
    <row r="159" spans="1:13" s="78" customFormat="1" ht="18.75" customHeight="1" x14ac:dyDescent="0.4">
      <c r="A159" s="118">
        <v>46063</v>
      </c>
      <c r="B159" s="103" t="s">
        <v>61</v>
      </c>
      <c r="C159" s="115" t="s">
        <v>93</v>
      </c>
      <c r="D159" s="459" t="s">
        <v>94</v>
      </c>
      <c r="E159" s="42"/>
      <c r="F159" s="117">
        <v>5</v>
      </c>
      <c r="G159" s="8">
        <v>235000</v>
      </c>
      <c r="H159" s="8">
        <v>1175000</v>
      </c>
      <c r="I159" s="191" t="s">
        <v>70</v>
      </c>
      <c r="J159" s="72"/>
      <c r="K159" s="7"/>
      <c r="L159" s="368"/>
      <c r="M159" s="50"/>
    </row>
    <row r="160" spans="1:13" s="78" customFormat="1" ht="18.75" customHeight="1" x14ac:dyDescent="0.4">
      <c r="A160" s="118">
        <v>46063</v>
      </c>
      <c r="B160" s="103" t="s">
        <v>61</v>
      </c>
      <c r="C160" s="115" t="s">
        <v>300</v>
      </c>
      <c r="D160" s="459" t="s">
        <v>1048</v>
      </c>
      <c r="E160" s="42"/>
      <c r="F160" s="117">
        <v>5</v>
      </c>
      <c r="G160" s="8">
        <v>232000</v>
      </c>
      <c r="H160" s="8">
        <v>1160000</v>
      </c>
      <c r="I160" s="191" t="s">
        <v>70</v>
      </c>
      <c r="J160" s="72"/>
      <c r="K160" s="7"/>
      <c r="L160" s="368"/>
      <c r="M160" s="50"/>
    </row>
    <row r="161" spans="1:13" s="78" customFormat="1" ht="18.75" customHeight="1" x14ac:dyDescent="0.4">
      <c r="A161" s="118">
        <v>46063</v>
      </c>
      <c r="B161" s="103" t="s">
        <v>61</v>
      </c>
      <c r="C161" s="115" t="s">
        <v>290</v>
      </c>
      <c r="D161" s="459" t="s">
        <v>291</v>
      </c>
      <c r="E161" s="42"/>
      <c r="F161" s="117">
        <v>3</v>
      </c>
      <c r="G161" s="8">
        <v>129000</v>
      </c>
      <c r="H161" s="8">
        <v>387000</v>
      </c>
      <c r="I161" s="191" t="s">
        <v>215</v>
      </c>
      <c r="J161" s="72"/>
      <c r="K161" s="7"/>
      <c r="L161" s="368"/>
      <c r="M161" s="50"/>
    </row>
    <row r="162" spans="1:13" s="78" customFormat="1" ht="18.75" customHeight="1" x14ac:dyDescent="0.4">
      <c r="A162" s="118">
        <v>46063</v>
      </c>
      <c r="B162" s="103" t="s">
        <v>61</v>
      </c>
      <c r="C162" s="115" t="s">
        <v>448</v>
      </c>
      <c r="D162" s="459" t="s">
        <v>563</v>
      </c>
      <c r="E162" s="42"/>
      <c r="F162" s="117">
        <v>3</v>
      </c>
      <c r="G162" s="8">
        <v>110500</v>
      </c>
      <c r="H162" s="8">
        <v>331500</v>
      </c>
      <c r="I162" s="191" t="s">
        <v>70</v>
      </c>
      <c r="J162" s="72"/>
      <c r="K162" s="7"/>
      <c r="L162" s="368"/>
      <c r="M162" s="50"/>
    </row>
    <row r="163" spans="1:13" s="78" customFormat="1" ht="18.75" customHeight="1" x14ac:dyDescent="0.4">
      <c r="A163" s="118">
        <v>46063</v>
      </c>
      <c r="B163" s="103" t="s">
        <v>61</v>
      </c>
      <c r="C163" s="115" t="s">
        <v>448</v>
      </c>
      <c r="D163" s="459" t="s">
        <v>1049</v>
      </c>
      <c r="E163" s="42"/>
      <c r="F163" s="117">
        <v>2</v>
      </c>
      <c r="G163" s="8">
        <v>46000</v>
      </c>
      <c r="H163" s="8">
        <v>92000</v>
      </c>
      <c r="I163" s="191" t="s">
        <v>70</v>
      </c>
      <c r="J163" s="72"/>
      <c r="K163" s="7"/>
      <c r="L163" s="368"/>
      <c r="M163" s="50"/>
    </row>
    <row r="164" spans="1:13" s="78" customFormat="1" ht="18.75" customHeight="1" x14ac:dyDescent="0.4">
      <c r="A164" s="118">
        <v>46063</v>
      </c>
      <c r="B164" s="103" t="s">
        <v>61</v>
      </c>
      <c r="C164" s="115" t="s">
        <v>448</v>
      </c>
      <c r="D164" s="459" t="s">
        <v>563</v>
      </c>
      <c r="E164" s="42"/>
      <c r="F164" s="117">
        <v>1</v>
      </c>
      <c r="G164" s="8">
        <v>110500</v>
      </c>
      <c r="H164" s="8">
        <v>110500</v>
      </c>
      <c r="I164" s="191" t="s">
        <v>70</v>
      </c>
      <c r="J164" s="72"/>
      <c r="K164" s="7"/>
      <c r="L164" s="368"/>
      <c r="M164" s="50"/>
    </row>
    <row r="165" spans="1:13" s="78" customFormat="1" ht="18.75" customHeight="1" x14ac:dyDescent="0.4">
      <c r="A165" s="118">
        <v>46063</v>
      </c>
      <c r="B165" s="103" t="s">
        <v>61</v>
      </c>
      <c r="C165" s="115" t="s">
        <v>290</v>
      </c>
      <c r="D165" s="459" t="s">
        <v>291</v>
      </c>
      <c r="E165" s="42"/>
      <c r="F165" s="117">
        <v>2</v>
      </c>
      <c r="G165" s="8">
        <v>129000</v>
      </c>
      <c r="H165" s="8">
        <v>258000</v>
      </c>
      <c r="I165" s="191" t="s">
        <v>215</v>
      </c>
      <c r="J165" s="72"/>
      <c r="K165" s="7"/>
      <c r="L165" s="368"/>
      <c r="M165" s="50"/>
    </row>
    <row r="166" spans="1:13" s="78" customFormat="1" ht="18.75" customHeight="1" x14ac:dyDescent="0.4">
      <c r="A166" s="118">
        <v>46063</v>
      </c>
      <c r="B166" s="103" t="s">
        <v>61</v>
      </c>
      <c r="C166" s="115" t="s">
        <v>290</v>
      </c>
      <c r="D166" s="459" t="s">
        <v>291</v>
      </c>
      <c r="E166" s="42"/>
      <c r="F166" s="117">
        <v>2</v>
      </c>
      <c r="G166" s="8">
        <v>129000</v>
      </c>
      <c r="H166" s="8">
        <v>258000</v>
      </c>
      <c r="I166" s="191" t="s">
        <v>70</v>
      </c>
      <c r="J166" s="72"/>
      <c r="K166" s="7"/>
      <c r="L166" s="368"/>
      <c r="M166" s="50"/>
    </row>
    <row r="167" spans="1:13" s="78" customFormat="1" ht="18.75" customHeight="1" x14ac:dyDescent="0.4">
      <c r="A167" s="118">
        <v>46063</v>
      </c>
      <c r="B167" s="103" t="s">
        <v>61</v>
      </c>
      <c r="C167" s="115" t="s">
        <v>290</v>
      </c>
      <c r="D167" s="459" t="s">
        <v>291</v>
      </c>
      <c r="E167" s="42"/>
      <c r="F167" s="117">
        <v>2</v>
      </c>
      <c r="G167" s="8">
        <v>129000</v>
      </c>
      <c r="H167" s="8">
        <v>258000</v>
      </c>
      <c r="I167" s="191" t="s">
        <v>70</v>
      </c>
      <c r="J167" s="72"/>
      <c r="K167" s="7"/>
      <c r="L167" s="368"/>
      <c r="M167" s="50"/>
    </row>
    <row r="168" spans="1:13" s="78" customFormat="1" ht="18.75" customHeight="1" x14ac:dyDescent="0.4">
      <c r="A168" s="118">
        <v>46063</v>
      </c>
      <c r="B168" s="103" t="s">
        <v>61</v>
      </c>
      <c r="C168" s="115" t="s">
        <v>115</v>
      </c>
      <c r="D168" s="459" t="s">
        <v>116</v>
      </c>
      <c r="E168" s="42"/>
      <c r="F168" s="117">
        <v>2</v>
      </c>
      <c r="G168" s="8">
        <v>187000</v>
      </c>
      <c r="H168" s="8">
        <v>374000</v>
      </c>
      <c r="I168" s="191" t="s">
        <v>70</v>
      </c>
      <c r="J168" s="72"/>
      <c r="K168" s="7"/>
      <c r="L168" s="368"/>
      <c r="M168" s="50"/>
    </row>
    <row r="169" spans="1:13" s="78" customFormat="1" ht="18.75" customHeight="1" x14ac:dyDescent="0.4">
      <c r="A169" s="118">
        <v>46065</v>
      </c>
      <c r="B169" s="103" t="s">
        <v>61</v>
      </c>
      <c r="C169" s="115" t="s">
        <v>896</v>
      </c>
      <c r="D169" s="459" t="s">
        <v>897</v>
      </c>
      <c r="E169" s="42"/>
      <c r="F169" s="117">
        <v>1</v>
      </c>
      <c r="G169" s="8">
        <v>60500</v>
      </c>
      <c r="H169" s="8">
        <v>60500</v>
      </c>
      <c r="I169" s="191" t="s">
        <v>212</v>
      </c>
      <c r="J169" s="72"/>
      <c r="K169" s="7"/>
      <c r="L169" s="368"/>
      <c r="M169" s="50"/>
    </row>
    <row r="170" spans="1:13" s="78" customFormat="1" ht="18.75" customHeight="1" x14ac:dyDescent="0.4">
      <c r="A170" s="118">
        <v>46065</v>
      </c>
      <c r="B170" s="103" t="s">
        <v>61</v>
      </c>
      <c r="C170" s="115" t="s">
        <v>190</v>
      </c>
      <c r="D170" s="459" t="s">
        <v>214</v>
      </c>
      <c r="E170" s="42"/>
      <c r="F170" s="117">
        <v>2</v>
      </c>
      <c r="G170" s="8">
        <v>181000</v>
      </c>
      <c r="H170" s="8">
        <v>362000</v>
      </c>
      <c r="I170" s="191" t="s">
        <v>212</v>
      </c>
      <c r="J170" s="72"/>
      <c r="K170" s="7"/>
      <c r="L170" s="368"/>
      <c r="M170" s="50"/>
    </row>
    <row r="171" spans="1:13" s="78" customFormat="1" ht="18.75" customHeight="1" x14ac:dyDescent="0.4">
      <c r="A171" s="118">
        <v>46065</v>
      </c>
      <c r="B171" s="103" t="s">
        <v>61</v>
      </c>
      <c r="C171" s="115" t="s">
        <v>106</v>
      </c>
      <c r="D171" s="459" t="s">
        <v>912</v>
      </c>
      <c r="E171" s="42"/>
      <c r="F171" s="117">
        <v>2</v>
      </c>
      <c r="G171" s="8">
        <v>335000</v>
      </c>
      <c r="H171" s="8">
        <v>670000</v>
      </c>
      <c r="I171" s="191" t="s">
        <v>212</v>
      </c>
      <c r="J171" s="72"/>
      <c r="K171" s="7"/>
      <c r="L171" s="368"/>
      <c r="M171" s="50"/>
    </row>
    <row r="172" spans="1:13" s="78" customFormat="1" ht="18.75" customHeight="1" x14ac:dyDescent="0.4">
      <c r="A172" s="118">
        <v>46065</v>
      </c>
      <c r="B172" s="103" t="s">
        <v>61</v>
      </c>
      <c r="C172" s="115" t="s">
        <v>108</v>
      </c>
      <c r="D172" s="459" t="s">
        <v>109</v>
      </c>
      <c r="E172" s="42"/>
      <c r="F172" s="117">
        <v>2</v>
      </c>
      <c r="G172" s="8">
        <v>150000</v>
      </c>
      <c r="H172" s="8">
        <v>300000</v>
      </c>
      <c r="I172" s="191" t="s">
        <v>212</v>
      </c>
      <c r="J172" s="72"/>
      <c r="K172" s="7"/>
      <c r="L172" s="368"/>
      <c r="M172" s="50"/>
    </row>
    <row r="173" spans="1:13" s="78" customFormat="1" ht="18.75" customHeight="1" x14ac:dyDescent="0.4">
      <c r="A173" s="118">
        <v>46065</v>
      </c>
      <c r="B173" s="103" t="s">
        <v>61</v>
      </c>
      <c r="C173" s="115" t="s">
        <v>898</v>
      </c>
      <c r="D173" s="459" t="s">
        <v>899</v>
      </c>
      <c r="E173" s="42"/>
      <c r="F173" s="117">
        <v>4</v>
      </c>
      <c r="G173" s="8">
        <v>350000</v>
      </c>
      <c r="H173" s="8">
        <v>1400000</v>
      </c>
      <c r="I173" s="191" t="s">
        <v>213</v>
      </c>
      <c r="J173" s="72"/>
      <c r="K173" s="7"/>
      <c r="L173" s="368"/>
      <c r="M173" s="50"/>
    </row>
    <row r="174" spans="1:13" s="78" customFormat="1" ht="18.75" customHeight="1" x14ac:dyDescent="0.4">
      <c r="A174" s="118">
        <v>46065</v>
      </c>
      <c r="B174" s="103" t="s">
        <v>61</v>
      </c>
      <c r="C174" s="115" t="s">
        <v>190</v>
      </c>
      <c r="D174" s="459" t="s">
        <v>214</v>
      </c>
      <c r="E174" s="42"/>
      <c r="F174" s="117">
        <v>2</v>
      </c>
      <c r="G174" s="8">
        <v>181000</v>
      </c>
      <c r="H174" s="8">
        <v>362000</v>
      </c>
      <c r="I174" s="191" t="s">
        <v>213</v>
      </c>
      <c r="J174" s="72"/>
      <c r="K174" s="7"/>
      <c r="L174" s="368"/>
      <c r="M174" s="50"/>
    </row>
    <row r="175" spans="1:13" s="78" customFormat="1" ht="18.75" customHeight="1" x14ac:dyDescent="0.4">
      <c r="A175" s="118">
        <v>46065</v>
      </c>
      <c r="B175" s="103" t="s">
        <v>61</v>
      </c>
      <c r="C175" s="115" t="s">
        <v>103</v>
      </c>
      <c r="D175" s="459" t="s">
        <v>414</v>
      </c>
      <c r="E175" s="42"/>
      <c r="F175" s="117">
        <v>1</v>
      </c>
      <c r="G175" s="8">
        <v>235000</v>
      </c>
      <c r="H175" s="8">
        <v>235000</v>
      </c>
      <c r="I175" s="191" t="s">
        <v>213</v>
      </c>
      <c r="J175" s="72"/>
      <c r="K175" s="7"/>
      <c r="L175" s="368"/>
      <c r="M175" s="50"/>
    </row>
    <row r="176" spans="1:13" s="78" customFormat="1" ht="18.75" customHeight="1" x14ac:dyDescent="0.4">
      <c r="A176" s="118">
        <v>46065</v>
      </c>
      <c r="B176" s="103" t="s">
        <v>61</v>
      </c>
      <c r="C176" s="115" t="s">
        <v>103</v>
      </c>
      <c r="D176" s="459" t="s">
        <v>415</v>
      </c>
      <c r="E176" s="42"/>
      <c r="F176" s="117">
        <v>1</v>
      </c>
      <c r="G176" s="8">
        <v>225000</v>
      </c>
      <c r="H176" s="8">
        <v>225000</v>
      </c>
      <c r="I176" s="191" t="s">
        <v>213</v>
      </c>
      <c r="J176" s="72"/>
      <c r="K176" s="7"/>
      <c r="L176" s="368"/>
      <c r="M176" s="50"/>
    </row>
    <row r="177" spans="1:13" s="78" customFormat="1" ht="18.75" customHeight="1" x14ac:dyDescent="0.4">
      <c r="A177" s="118">
        <v>46065</v>
      </c>
      <c r="B177" s="103" t="s">
        <v>61</v>
      </c>
      <c r="C177" s="115" t="s">
        <v>106</v>
      </c>
      <c r="D177" s="459" t="s">
        <v>107</v>
      </c>
      <c r="E177" s="42"/>
      <c r="F177" s="117">
        <v>2</v>
      </c>
      <c r="G177" s="8">
        <v>333000</v>
      </c>
      <c r="H177" s="8">
        <v>666000</v>
      </c>
      <c r="I177" s="191" t="s">
        <v>213</v>
      </c>
      <c r="J177" s="72"/>
      <c r="K177" s="7"/>
      <c r="L177" s="368"/>
      <c r="M177" s="50"/>
    </row>
    <row r="178" spans="1:13" s="78" customFormat="1" ht="18.75" customHeight="1" x14ac:dyDescent="0.4">
      <c r="A178" s="118">
        <v>46065</v>
      </c>
      <c r="B178" s="103" t="s">
        <v>61</v>
      </c>
      <c r="C178" s="115" t="s">
        <v>103</v>
      </c>
      <c r="D178" s="459" t="s">
        <v>913</v>
      </c>
      <c r="E178" s="42"/>
      <c r="F178" s="117">
        <v>1</v>
      </c>
      <c r="G178" s="8">
        <v>350000</v>
      </c>
      <c r="H178" s="8">
        <v>350000</v>
      </c>
      <c r="I178" s="191" t="s">
        <v>213</v>
      </c>
      <c r="J178" s="72"/>
      <c r="K178" s="7"/>
      <c r="L178" s="368"/>
      <c r="M178" s="50"/>
    </row>
    <row r="179" spans="1:13" s="78" customFormat="1" ht="18.75" customHeight="1" x14ac:dyDescent="0.4">
      <c r="A179" s="118">
        <v>46065</v>
      </c>
      <c r="B179" s="103" t="s">
        <v>61</v>
      </c>
      <c r="C179" s="115" t="s">
        <v>110</v>
      </c>
      <c r="D179" s="459" t="s">
        <v>111</v>
      </c>
      <c r="E179" s="42"/>
      <c r="F179" s="117">
        <v>1</v>
      </c>
      <c r="G179" s="8">
        <v>102070</v>
      </c>
      <c r="H179" s="8">
        <v>102070</v>
      </c>
      <c r="I179" s="191" t="s">
        <v>213</v>
      </c>
      <c r="J179" s="72"/>
      <c r="K179" s="7"/>
      <c r="L179" s="368"/>
      <c r="M179" s="50"/>
    </row>
    <row r="180" spans="1:13" s="78" customFormat="1" ht="18.75" customHeight="1" x14ac:dyDescent="0.4">
      <c r="A180" s="118">
        <v>46066</v>
      </c>
      <c r="B180" s="103" t="s">
        <v>61</v>
      </c>
      <c r="C180" s="115" t="s">
        <v>68</v>
      </c>
      <c r="D180" s="459" t="s">
        <v>191</v>
      </c>
      <c r="E180" s="42"/>
      <c r="F180" s="117">
        <v>5</v>
      </c>
      <c r="G180" s="8">
        <v>352000</v>
      </c>
      <c r="H180" s="8">
        <v>1760000</v>
      </c>
      <c r="I180" s="191" t="s">
        <v>70</v>
      </c>
      <c r="J180" s="72"/>
      <c r="K180" s="7"/>
      <c r="L180" s="368"/>
      <c r="M180" s="365"/>
    </row>
    <row r="181" spans="1:13" s="78" customFormat="1" ht="18.75" customHeight="1" x14ac:dyDescent="0.4">
      <c r="A181" s="118">
        <v>46066</v>
      </c>
      <c r="B181" s="103" t="s">
        <v>61</v>
      </c>
      <c r="C181" s="115" t="s">
        <v>88</v>
      </c>
      <c r="D181" s="459" t="s">
        <v>89</v>
      </c>
      <c r="E181" s="42"/>
      <c r="F181" s="117">
        <v>8</v>
      </c>
      <c r="G181" s="8">
        <v>64000</v>
      </c>
      <c r="H181" s="8">
        <v>512000</v>
      </c>
      <c r="I181" s="191" t="s">
        <v>70</v>
      </c>
      <c r="J181" s="72"/>
      <c r="K181" s="7"/>
      <c r="L181" s="368"/>
      <c r="M181" s="365"/>
    </row>
    <row r="182" spans="1:13" s="78" customFormat="1" ht="18.75" customHeight="1" x14ac:dyDescent="0.4">
      <c r="A182" s="118">
        <v>46066</v>
      </c>
      <c r="B182" s="103" t="s">
        <v>61</v>
      </c>
      <c r="C182" s="115" t="s">
        <v>88</v>
      </c>
      <c r="D182" s="459" t="s">
        <v>89</v>
      </c>
      <c r="E182" s="42"/>
      <c r="F182" s="117">
        <v>6</v>
      </c>
      <c r="G182" s="8">
        <v>64000</v>
      </c>
      <c r="H182" s="8">
        <v>384000</v>
      </c>
      <c r="I182" s="191" t="s">
        <v>215</v>
      </c>
      <c r="J182" s="72"/>
      <c r="K182" s="7"/>
      <c r="L182" s="368"/>
      <c r="M182" s="365"/>
    </row>
    <row r="183" spans="1:13" s="78" customFormat="1" ht="18.75" customHeight="1" x14ac:dyDescent="0.4">
      <c r="A183" s="118">
        <v>46066</v>
      </c>
      <c r="B183" s="103" t="s">
        <v>61</v>
      </c>
      <c r="C183" s="115" t="s">
        <v>88</v>
      </c>
      <c r="D183" s="459" t="s">
        <v>89</v>
      </c>
      <c r="E183" s="42"/>
      <c r="F183" s="117">
        <v>3</v>
      </c>
      <c r="G183" s="8">
        <v>64000</v>
      </c>
      <c r="H183" s="8">
        <v>192000</v>
      </c>
      <c r="I183" s="191" t="s">
        <v>70</v>
      </c>
      <c r="J183" s="72"/>
      <c r="K183" s="7"/>
      <c r="L183" s="368"/>
      <c r="M183" s="365"/>
    </row>
    <row r="184" spans="1:13" s="78" customFormat="1" ht="18.75" customHeight="1" x14ac:dyDescent="0.4">
      <c r="A184" s="118">
        <v>46066</v>
      </c>
      <c r="B184" s="103" t="s">
        <v>61</v>
      </c>
      <c r="C184" s="115" t="s">
        <v>83</v>
      </c>
      <c r="D184" s="459" t="s">
        <v>84</v>
      </c>
      <c r="E184" s="42"/>
      <c r="F184" s="117">
        <v>2</v>
      </c>
      <c r="G184" s="8">
        <v>76500</v>
      </c>
      <c r="H184" s="8">
        <v>153000</v>
      </c>
      <c r="I184" s="191" t="s">
        <v>215</v>
      </c>
      <c r="J184" s="72"/>
      <c r="K184" s="7"/>
      <c r="L184" s="368"/>
      <c r="M184" s="365"/>
    </row>
    <row r="185" spans="1:13" s="78" customFormat="1" ht="18.75" customHeight="1" x14ac:dyDescent="0.4">
      <c r="A185" s="118">
        <v>46066</v>
      </c>
      <c r="B185" s="103" t="s">
        <v>61</v>
      </c>
      <c r="C185" s="115" t="s">
        <v>83</v>
      </c>
      <c r="D185" s="459" t="s">
        <v>87</v>
      </c>
      <c r="E185" s="42"/>
      <c r="F185" s="117">
        <v>1</v>
      </c>
      <c r="G185" s="8">
        <v>75300</v>
      </c>
      <c r="H185" s="8">
        <v>75300</v>
      </c>
      <c r="I185" s="191" t="s">
        <v>215</v>
      </c>
      <c r="J185" s="72"/>
      <c r="K185" s="7"/>
      <c r="L185" s="368"/>
      <c r="M185" s="365"/>
    </row>
    <row r="186" spans="1:13" s="78" customFormat="1" ht="18.75" customHeight="1" x14ac:dyDescent="0.4">
      <c r="A186" s="118">
        <v>46066</v>
      </c>
      <c r="B186" s="103" t="s">
        <v>61</v>
      </c>
      <c r="C186" s="115" t="s">
        <v>88</v>
      </c>
      <c r="D186" s="459" t="s">
        <v>89</v>
      </c>
      <c r="E186" s="42"/>
      <c r="F186" s="117">
        <v>4</v>
      </c>
      <c r="G186" s="8">
        <v>64000</v>
      </c>
      <c r="H186" s="8">
        <v>256000</v>
      </c>
      <c r="I186" s="191" t="s">
        <v>215</v>
      </c>
      <c r="J186" s="72"/>
      <c r="K186" s="7"/>
      <c r="L186" s="368"/>
      <c r="M186" s="365"/>
    </row>
    <row r="187" spans="1:13" s="78" customFormat="1" ht="18.75" customHeight="1" x14ac:dyDescent="0.4">
      <c r="A187" s="118">
        <v>46066</v>
      </c>
      <c r="B187" s="103" t="s">
        <v>61</v>
      </c>
      <c r="C187" s="115" t="s">
        <v>380</v>
      </c>
      <c r="D187" s="459" t="s">
        <v>504</v>
      </c>
      <c r="E187" s="42"/>
      <c r="F187" s="117">
        <v>3</v>
      </c>
      <c r="G187" s="8">
        <v>37700</v>
      </c>
      <c r="H187" s="8">
        <v>113100</v>
      </c>
      <c r="I187" s="191" t="s">
        <v>70</v>
      </c>
      <c r="J187" s="72"/>
      <c r="K187" s="7"/>
      <c r="L187" s="368"/>
      <c r="M187" s="365"/>
    </row>
    <row r="188" spans="1:13" s="78" customFormat="1" ht="18.75" customHeight="1" x14ac:dyDescent="0.4">
      <c r="A188" s="118">
        <v>46066</v>
      </c>
      <c r="B188" s="103" t="s">
        <v>61</v>
      </c>
      <c r="C188" s="115" t="s">
        <v>113</v>
      </c>
      <c r="D188" s="459" t="s">
        <v>114</v>
      </c>
      <c r="E188" s="42"/>
      <c r="F188" s="117">
        <v>3</v>
      </c>
      <c r="G188" s="8">
        <v>36500</v>
      </c>
      <c r="H188" s="8">
        <v>109500</v>
      </c>
      <c r="I188" s="191" t="s">
        <v>70</v>
      </c>
      <c r="J188" s="72"/>
      <c r="K188" s="7"/>
      <c r="L188" s="368"/>
      <c r="M188" s="365"/>
    </row>
    <row r="189" spans="1:13" s="78" customFormat="1" ht="18.75" customHeight="1" x14ac:dyDescent="0.4">
      <c r="A189" s="118">
        <v>46066</v>
      </c>
      <c r="B189" s="103" t="s">
        <v>61</v>
      </c>
      <c r="C189" s="115" t="s">
        <v>614</v>
      </c>
      <c r="D189" s="459" t="s">
        <v>615</v>
      </c>
      <c r="E189" s="42"/>
      <c r="F189" s="117">
        <v>3</v>
      </c>
      <c r="G189" s="8">
        <v>95000</v>
      </c>
      <c r="H189" s="8">
        <v>285000</v>
      </c>
      <c r="I189" s="191" t="s">
        <v>70</v>
      </c>
      <c r="J189" s="72"/>
      <c r="K189" s="7"/>
      <c r="L189" s="368"/>
      <c r="M189" s="365"/>
    </row>
    <row r="190" spans="1:13" s="78" customFormat="1" ht="18.75" customHeight="1" x14ac:dyDescent="0.4">
      <c r="A190" s="118">
        <v>46066</v>
      </c>
      <c r="B190" s="103" t="s">
        <v>61</v>
      </c>
      <c r="C190" s="115" t="s">
        <v>88</v>
      </c>
      <c r="D190" s="459" t="s">
        <v>89</v>
      </c>
      <c r="E190" s="42"/>
      <c r="F190" s="117">
        <v>1</v>
      </c>
      <c r="G190" s="8">
        <v>64000</v>
      </c>
      <c r="H190" s="8">
        <v>64000</v>
      </c>
      <c r="I190" s="191" t="s">
        <v>70</v>
      </c>
      <c r="J190" s="72"/>
      <c r="K190" s="7"/>
      <c r="L190" s="368"/>
      <c r="M190" s="365"/>
    </row>
    <row r="191" spans="1:13" s="78" customFormat="1" ht="18.75" customHeight="1" x14ac:dyDescent="0.4">
      <c r="A191" s="118">
        <v>46066</v>
      </c>
      <c r="B191" s="103" t="s">
        <v>61</v>
      </c>
      <c r="C191" s="115" t="s">
        <v>95</v>
      </c>
      <c r="D191" s="459" t="s">
        <v>96</v>
      </c>
      <c r="E191" s="42"/>
      <c r="F191" s="117">
        <v>2</v>
      </c>
      <c r="G191" s="8">
        <v>12000</v>
      </c>
      <c r="H191" s="8">
        <v>24000</v>
      </c>
      <c r="I191" s="191" t="s">
        <v>215</v>
      </c>
      <c r="J191" s="72"/>
      <c r="K191" s="7"/>
      <c r="L191" s="368"/>
      <c r="M191" s="365"/>
    </row>
    <row r="192" spans="1:13" s="78" customFormat="1" ht="18.75" customHeight="1" x14ac:dyDescent="0.4">
      <c r="A192" s="118">
        <v>46066</v>
      </c>
      <c r="B192" s="103" t="s">
        <v>61</v>
      </c>
      <c r="C192" s="115" t="s">
        <v>380</v>
      </c>
      <c r="D192" s="459" t="s">
        <v>504</v>
      </c>
      <c r="E192" s="42"/>
      <c r="F192" s="117">
        <v>10</v>
      </c>
      <c r="G192" s="8">
        <v>37700</v>
      </c>
      <c r="H192" s="8">
        <v>377000</v>
      </c>
      <c r="I192" s="191" t="s">
        <v>70</v>
      </c>
      <c r="J192" s="72"/>
      <c r="K192" s="7"/>
      <c r="L192" s="368"/>
      <c r="M192" s="365"/>
    </row>
    <row r="193" spans="1:13" s="78" customFormat="1" ht="18.75" customHeight="1" x14ac:dyDescent="0.4">
      <c r="A193" s="118">
        <v>46066</v>
      </c>
      <c r="B193" s="103" t="s">
        <v>61</v>
      </c>
      <c r="C193" s="115" t="s">
        <v>115</v>
      </c>
      <c r="D193" s="459" t="s">
        <v>194</v>
      </c>
      <c r="E193" s="42"/>
      <c r="F193" s="117">
        <v>2</v>
      </c>
      <c r="G193" s="8">
        <v>158000</v>
      </c>
      <c r="H193" s="8">
        <v>316000</v>
      </c>
      <c r="I193" s="191" t="s">
        <v>70</v>
      </c>
      <c r="J193" s="72"/>
      <c r="K193" s="7"/>
      <c r="L193" s="368"/>
      <c r="M193" s="365"/>
    </row>
    <row r="194" spans="1:13" s="78" customFormat="1" ht="18.75" customHeight="1" x14ac:dyDescent="0.4">
      <c r="A194" s="118">
        <v>46066</v>
      </c>
      <c r="B194" s="103" t="s">
        <v>61</v>
      </c>
      <c r="C194" s="115" t="s">
        <v>83</v>
      </c>
      <c r="D194" s="459" t="s">
        <v>87</v>
      </c>
      <c r="E194" s="42"/>
      <c r="F194" s="117">
        <v>2</v>
      </c>
      <c r="G194" s="8">
        <v>75300</v>
      </c>
      <c r="H194" s="8">
        <v>150600</v>
      </c>
      <c r="I194" s="191" t="s">
        <v>215</v>
      </c>
      <c r="J194" s="72"/>
      <c r="K194" s="7"/>
      <c r="L194" s="368"/>
      <c r="M194" s="365"/>
    </row>
    <row r="195" spans="1:13" s="78" customFormat="1" ht="18.75" customHeight="1" x14ac:dyDescent="0.4">
      <c r="A195" s="118">
        <v>46066</v>
      </c>
      <c r="B195" s="103" t="s">
        <v>61</v>
      </c>
      <c r="C195" s="115" t="s">
        <v>88</v>
      </c>
      <c r="D195" s="459" t="s">
        <v>89</v>
      </c>
      <c r="E195" s="42"/>
      <c r="F195" s="117">
        <v>4</v>
      </c>
      <c r="G195" s="8">
        <v>64000</v>
      </c>
      <c r="H195" s="8">
        <v>256000</v>
      </c>
      <c r="I195" s="191" t="s">
        <v>215</v>
      </c>
      <c r="J195" s="72"/>
      <c r="K195" s="7"/>
      <c r="L195" s="368"/>
      <c r="M195" s="365"/>
    </row>
    <row r="196" spans="1:13" s="78" customFormat="1" ht="18.75" customHeight="1" x14ac:dyDescent="0.4">
      <c r="A196" s="118">
        <v>46066</v>
      </c>
      <c r="B196" s="103" t="s">
        <v>61</v>
      </c>
      <c r="C196" s="115" t="s">
        <v>83</v>
      </c>
      <c r="D196" s="459" t="s">
        <v>84</v>
      </c>
      <c r="E196" s="42"/>
      <c r="F196" s="117">
        <v>2</v>
      </c>
      <c r="G196" s="8">
        <v>76500</v>
      </c>
      <c r="H196" s="8">
        <v>153000</v>
      </c>
      <c r="I196" s="191" t="s">
        <v>70</v>
      </c>
      <c r="J196" s="72"/>
      <c r="K196" s="7"/>
      <c r="L196" s="368"/>
      <c r="M196" s="365"/>
    </row>
    <row r="197" spans="1:13" s="78" customFormat="1" ht="18.75" customHeight="1" x14ac:dyDescent="0.4">
      <c r="A197" s="118">
        <v>46066</v>
      </c>
      <c r="B197" s="103" t="s">
        <v>61</v>
      </c>
      <c r="C197" s="115" t="s">
        <v>83</v>
      </c>
      <c r="D197" s="459" t="s">
        <v>84</v>
      </c>
      <c r="E197" s="42"/>
      <c r="F197" s="117">
        <v>2</v>
      </c>
      <c r="G197" s="8">
        <v>76500</v>
      </c>
      <c r="H197" s="8">
        <v>153000</v>
      </c>
      <c r="I197" s="191" t="s">
        <v>70</v>
      </c>
      <c r="J197" s="72"/>
      <c r="K197" s="7"/>
      <c r="L197" s="368"/>
      <c r="M197" s="365"/>
    </row>
    <row r="198" spans="1:13" s="78" customFormat="1" ht="18.75" customHeight="1" x14ac:dyDescent="0.4">
      <c r="A198" s="118">
        <v>46066</v>
      </c>
      <c r="B198" s="103" t="s">
        <v>61</v>
      </c>
      <c r="C198" s="115" t="s">
        <v>85</v>
      </c>
      <c r="D198" s="459" t="s">
        <v>86</v>
      </c>
      <c r="E198" s="42"/>
      <c r="F198" s="117">
        <v>2</v>
      </c>
      <c r="G198" s="8">
        <v>37700</v>
      </c>
      <c r="H198" s="8">
        <v>75400</v>
      </c>
      <c r="I198" s="191" t="s">
        <v>70</v>
      </c>
      <c r="J198" s="72"/>
      <c r="K198" s="7"/>
      <c r="L198" s="368"/>
      <c r="M198" s="365"/>
    </row>
    <row r="199" spans="1:13" s="78" customFormat="1" ht="18.75" customHeight="1" x14ac:dyDescent="0.4">
      <c r="A199" s="118">
        <v>46066</v>
      </c>
      <c r="B199" s="103" t="s">
        <v>61</v>
      </c>
      <c r="C199" s="115" t="s">
        <v>85</v>
      </c>
      <c r="D199" s="459" t="s">
        <v>86</v>
      </c>
      <c r="E199" s="42"/>
      <c r="F199" s="117">
        <v>2</v>
      </c>
      <c r="G199" s="8">
        <v>37700</v>
      </c>
      <c r="H199" s="8">
        <v>75400</v>
      </c>
      <c r="I199" s="191" t="s">
        <v>70</v>
      </c>
      <c r="J199" s="72"/>
      <c r="K199" s="7"/>
      <c r="L199" s="368"/>
      <c r="M199" s="365"/>
    </row>
    <row r="200" spans="1:13" s="78" customFormat="1" ht="18.75" customHeight="1" x14ac:dyDescent="0.4">
      <c r="A200" s="118">
        <v>46066</v>
      </c>
      <c r="B200" s="103" t="s">
        <v>61</v>
      </c>
      <c r="C200" s="115" t="s">
        <v>83</v>
      </c>
      <c r="D200" s="459" t="s">
        <v>87</v>
      </c>
      <c r="E200" s="42"/>
      <c r="F200" s="117">
        <v>2</v>
      </c>
      <c r="G200" s="8">
        <v>75300</v>
      </c>
      <c r="H200" s="8">
        <v>150600</v>
      </c>
      <c r="I200" s="191" t="s">
        <v>70</v>
      </c>
      <c r="J200" s="72"/>
      <c r="K200" s="7"/>
      <c r="L200" s="368"/>
      <c r="M200" s="365"/>
    </row>
    <row r="201" spans="1:13" s="78" customFormat="1" ht="18.75" customHeight="1" x14ac:dyDescent="0.4">
      <c r="A201" s="118">
        <v>46066</v>
      </c>
      <c r="B201" s="103" t="s">
        <v>61</v>
      </c>
      <c r="C201" s="115" t="s">
        <v>83</v>
      </c>
      <c r="D201" s="459" t="s">
        <v>87</v>
      </c>
      <c r="E201" s="42"/>
      <c r="F201" s="117">
        <v>2</v>
      </c>
      <c r="G201" s="8">
        <v>75300</v>
      </c>
      <c r="H201" s="8">
        <v>150600</v>
      </c>
      <c r="I201" s="191" t="s">
        <v>70</v>
      </c>
      <c r="J201" s="72"/>
      <c r="K201" s="7"/>
      <c r="L201" s="368"/>
      <c r="M201" s="365"/>
    </row>
    <row r="202" spans="1:13" s="78" customFormat="1" ht="18.75" customHeight="1" x14ac:dyDescent="0.4">
      <c r="A202" s="118">
        <v>46066</v>
      </c>
      <c r="B202" s="103" t="s">
        <v>61</v>
      </c>
      <c r="C202" s="115" t="s">
        <v>88</v>
      </c>
      <c r="D202" s="459" t="s">
        <v>89</v>
      </c>
      <c r="E202" s="42"/>
      <c r="F202" s="117">
        <v>3</v>
      </c>
      <c r="G202" s="8">
        <v>64000</v>
      </c>
      <c r="H202" s="8">
        <v>192000</v>
      </c>
      <c r="I202" s="191" t="s">
        <v>70</v>
      </c>
      <c r="J202" s="72"/>
      <c r="K202" s="7"/>
      <c r="L202" s="368"/>
      <c r="M202" s="365"/>
    </row>
    <row r="203" spans="1:13" s="78" customFormat="1" ht="18.75" customHeight="1" x14ac:dyDescent="0.4">
      <c r="A203" s="118">
        <v>46066</v>
      </c>
      <c r="B203" s="103" t="s">
        <v>61</v>
      </c>
      <c r="C203" s="115" t="s">
        <v>88</v>
      </c>
      <c r="D203" s="459" t="s">
        <v>89</v>
      </c>
      <c r="E203" s="42"/>
      <c r="F203" s="117">
        <v>4</v>
      </c>
      <c r="G203" s="8">
        <v>64000</v>
      </c>
      <c r="H203" s="8">
        <v>256000</v>
      </c>
      <c r="I203" s="191" t="s">
        <v>70</v>
      </c>
      <c r="J203" s="72"/>
      <c r="K203" s="7"/>
      <c r="L203" s="368"/>
      <c r="M203" s="365"/>
    </row>
    <row r="204" spans="1:13" s="78" customFormat="1" ht="18.75" customHeight="1" x14ac:dyDescent="0.4">
      <c r="A204" s="118">
        <v>46066</v>
      </c>
      <c r="B204" s="103" t="s">
        <v>61</v>
      </c>
      <c r="C204" s="115" t="s">
        <v>88</v>
      </c>
      <c r="D204" s="459" t="s">
        <v>89</v>
      </c>
      <c r="E204" s="42"/>
      <c r="F204" s="117">
        <v>4</v>
      </c>
      <c r="G204" s="8">
        <v>64000</v>
      </c>
      <c r="H204" s="8">
        <v>256000</v>
      </c>
      <c r="I204" s="191" t="s">
        <v>70</v>
      </c>
      <c r="J204" s="72"/>
      <c r="K204" s="7"/>
      <c r="L204" s="368"/>
      <c r="M204" s="365"/>
    </row>
    <row r="205" spans="1:13" s="78" customFormat="1" ht="18.75" customHeight="1" x14ac:dyDescent="0.4">
      <c r="A205" s="118">
        <v>46066</v>
      </c>
      <c r="B205" s="103" t="s">
        <v>61</v>
      </c>
      <c r="C205" s="115" t="s">
        <v>88</v>
      </c>
      <c r="D205" s="459" t="s">
        <v>89</v>
      </c>
      <c r="E205" s="42"/>
      <c r="F205" s="117">
        <v>4</v>
      </c>
      <c r="G205" s="8">
        <v>64000</v>
      </c>
      <c r="H205" s="8">
        <v>256000</v>
      </c>
      <c r="I205" s="191" t="s">
        <v>70</v>
      </c>
      <c r="J205" s="72"/>
      <c r="K205" s="7"/>
      <c r="L205" s="368"/>
      <c r="M205" s="365"/>
    </row>
    <row r="206" spans="1:13" s="78" customFormat="1" ht="18.75" customHeight="1" x14ac:dyDescent="0.4">
      <c r="A206" s="118">
        <v>46066</v>
      </c>
      <c r="B206" s="103" t="s">
        <v>61</v>
      </c>
      <c r="C206" s="115" t="s">
        <v>88</v>
      </c>
      <c r="D206" s="459" t="s">
        <v>89</v>
      </c>
      <c r="E206" s="42"/>
      <c r="F206" s="117">
        <v>4</v>
      </c>
      <c r="G206" s="8">
        <v>64000</v>
      </c>
      <c r="H206" s="8">
        <v>256000</v>
      </c>
      <c r="I206" s="191" t="s">
        <v>70</v>
      </c>
      <c r="J206" s="72"/>
      <c r="K206" s="7"/>
      <c r="L206" s="368"/>
      <c r="M206" s="50"/>
    </row>
    <row r="207" spans="1:13" s="78" customFormat="1" ht="18.75" customHeight="1" x14ac:dyDescent="0.4">
      <c r="A207" s="118">
        <v>46066</v>
      </c>
      <c r="B207" s="103" t="s">
        <v>61</v>
      </c>
      <c r="C207" s="115" t="s">
        <v>95</v>
      </c>
      <c r="D207" s="459" t="s">
        <v>96</v>
      </c>
      <c r="E207" s="42"/>
      <c r="F207" s="117">
        <v>12</v>
      </c>
      <c r="G207" s="8">
        <v>12000</v>
      </c>
      <c r="H207" s="8">
        <v>144000</v>
      </c>
      <c r="I207" s="191" t="s">
        <v>70</v>
      </c>
      <c r="J207" s="72"/>
      <c r="K207" s="7"/>
      <c r="L207" s="368"/>
      <c r="M207" s="50"/>
    </row>
    <row r="208" spans="1:13" s="78" customFormat="1" ht="18.75" customHeight="1" x14ac:dyDescent="0.4">
      <c r="A208" s="118">
        <v>46066</v>
      </c>
      <c r="B208" s="103" t="s">
        <v>61</v>
      </c>
      <c r="C208" s="115" t="s">
        <v>95</v>
      </c>
      <c r="D208" s="459" t="s">
        <v>96</v>
      </c>
      <c r="E208" s="42"/>
      <c r="F208" s="117">
        <v>12</v>
      </c>
      <c r="G208" s="8">
        <v>12000</v>
      </c>
      <c r="H208" s="8">
        <v>144000</v>
      </c>
      <c r="I208" s="191" t="s">
        <v>70</v>
      </c>
      <c r="J208" s="72"/>
      <c r="K208" s="7"/>
      <c r="L208" s="368"/>
      <c r="M208" s="50"/>
    </row>
    <row r="209" spans="1:13" s="78" customFormat="1" ht="18.75" customHeight="1" x14ac:dyDescent="0.4">
      <c r="A209" s="118">
        <v>46073</v>
      </c>
      <c r="B209" s="103" t="s">
        <v>61</v>
      </c>
      <c r="C209" s="115" t="s">
        <v>67</v>
      </c>
      <c r="D209" s="459" t="s">
        <v>197</v>
      </c>
      <c r="E209" s="42"/>
      <c r="F209" s="117">
        <v>2</v>
      </c>
      <c r="G209" s="8">
        <v>364800</v>
      </c>
      <c r="H209" s="8">
        <v>729600</v>
      </c>
      <c r="I209" s="191" t="s">
        <v>738</v>
      </c>
      <c r="J209" s="72"/>
      <c r="K209" s="7"/>
      <c r="L209" s="364"/>
      <c r="M209" s="365"/>
    </row>
    <row r="210" spans="1:13" s="78" customFormat="1" ht="18.75" customHeight="1" x14ac:dyDescent="0.4">
      <c r="A210" s="118">
        <v>46073</v>
      </c>
      <c r="B210" s="103" t="s">
        <v>61</v>
      </c>
      <c r="C210" s="115" t="s">
        <v>73</v>
      </c>
      <c r="D210" s="459" t="s">
        <v>288</v>
      </c>
      <c r="E210" s="42"/>
      <c r="F210" s="117">
        <v>12</v>
      </c>
      <c r="G210" s="8">
        <v>390000</v>
      </c>
      <c r="H210" s="8">
        <v>4680000</v>
      </c>
      <c r="I210" s="191" t="s">
        <v>738</v>
      </c>
      <c r="J210" s="72"/>
      <c r="K210" s="7"/>
      <c r="L210" s="364"/>
      <c r="M210" s="365"/>
    </row>
    <row r="211" spans="1:13" s="78" customFormat="1" ht="18.75" customHeight="1" x14ac:dyDescent="0.4">
      <c r="A211" s="118">
        <v>46073</v>
      </c>
      <c r="B211" s="103" t="s">
        <v>61</v>
      </c>
      <c r="C211" s="115" t="s">
        <v>78</v>
      </c>
      <c r="D211" s="459" t="s">
        <v>1047</v>
      </c>
      <c r="E211" s="42"/>
      <c r="F211" s="117">
        <v>1</v>
      </c>
      <c r="G211" s="8">
        <v>82650</v>
      </c>
      <c r="H211" s="8">
        <v>82650</v>
      </c>
      <c r="I211" s="191" t="s">
        <v>739</v>
      </c>
      <c r="J211" s="72"/>
      <c r="K211" s="7"/>
      <c r="L211" s="364"/>
      <c r="M211" s="365"/>
    </row>
    <row r="212" spans="1:13" s="78" customFormat="1" ht="18.75" customHeight="1" x14ac:dyDescent="0.4">
      <c r="A212" s="118">
        <v>46073</v>
      </c>
      <c r="B212" s="103" t="s">
        <v>61</v>
      </c>
      <c r="C212" s="115" t="s">
        <v>105</v>
      </c>
      <c r="D212" s="459" t="s">
        <v>364</v>
      </c>
      <c r="E212" s="42"/>
      <c r="F212" s="117">
        <v>1</v>
      </c>
      <c r="G212" s="8">
        <v>227050</v>
      </c>
      <c r="H212" s="8">
        <v>227050</v>
      </c>
      <c r="I212" s="191" t="s">
        <v>739</v>
      </c>
      <c r="J212" s="72"/>
      <c r="K212" s="7"/>
      <c r="L212" s="364"/>
      <c r="M212" s="365"/>
    </row>
    <row r="213" spans="1:13" s="78" customFormat="1" ht="18.75" customHeight="1" x14ac:dyDescent="0.4">
      <c r="A213" s="118">
        <v>46073</v>
      </c>
      <c r="B213" s="103" t="s">
        <v>61</v>
      </c>
      <c r="C213" s="115" t="s">
        <v>81</v>
      </c>
      <c r="D213" s="459" t="s">
        <v>196</v>
      </c>
      <c r="E213" s="42"/>
      <c r="F213" s="117">
        <v>1</v>
      </c>
      <c r="G213" s="8">
        <v>78850</v>
      </c>
      <c r="H213" s="8">
        <v>78850</v>
      </c>
      <c r="I213" s="191" t="s">
        <v>739</v>
      </c>
      <c r="J213" s="72"/>
      <c r="K213" s="7"/>
      <c r="L213" s="364"/>
      <c r="M213" s="365"/>
    </row>
    <row r="214" spans="1:13" s="78" customFormat="1" ht="18.75" customHeight="1" x14ac:dyDescent="0.4">
      <c r="A214" s="118">
        <v>46073</v>
      </c>
      <c r="B214" s="103" t="s">
        <v>61</v>
      </c>
      <c r="C214" s="115" t="s">
        <v>67</v>
      </c>
      <c r="D214" s="459" t="s">
        <v>197</v>
      </c>
      <c r="E214" s="42"/>
      <c r="F214" s="117">
        <v>1</v>
      </c>
      <c r="G214" s="8">
        <v>364800</v>
      </c>
      <c r="H214" s="8">
        <v>364800</v>
      </c>
      <c r="I214" s="191" t="s">
        <v>739</v>
      </c>
      <c r="J214" s="72"/>
      <c r="K214" s="7"/>
      <c r="L214" s="368"/>
      <c r="M214" s="365"/>
    </row>
    <row r="215" spans="1:13" s="78" customFormat="1" ht="18.75" customHeight="1" x14ac:dyDescent="0.4">
      <c r="A215" s="118">
        <v>46073</v>
      </c>
      <c r="B215" s="103" t="s">
        <v>61</v>
      </c>
      <c r="C215" s="115" t="s">
        <v>121</v>
      </c>
      <c r="D215" s="459" t="s">
        <v>122</v>
      </c>
      <c r="E215" s="42"/>
      <c r="F215" s="117">
        <v>10</v>
      </c>
      <c r="G215" s="8">
        <v>7010050</v>
      </c>
      <c r="H215" s="8">
        <v>70100500</v>
      </c>
      <c r="I215" s="191" t="s">
        <v>120</v>
      </c>
      <c r="J215" s="72"/>
      <c r="K215" s="7"/>
      <c r="L215" s="368"/>
      <c r="M215" s="365"/>
    </row>
    <row r="216" spans="1:13" s="78" customFormat="1" ht="18.75" customHeight="1" x14ac:dyDescent="0.4">
      <c r="A216" s="118">
        <v>46073</v>
      </c>
      <c r="B216" s="103" t="s">
        <v>61</v>
      </c>
      <c r="C216" s="115" t="s">
        <v>62</v>
      </c>
      <c r="D216" s="459" t="s">
        <v>75</v>
      </c>
      <c r="E216" s="42"/>
      <c r="F216" s="117">
        <v>6</v>
      </c>
      <c r="G216" s="8">
        <v>442000</v>
      </c>
      <c r="H216" s="8">
        <v>2652000</v>
      </c>
      <c r="I216" s="191" t="s">
        <v>732</v>
      </c>
      <c r="J216" s="72"/>
      <c r="K216" s="7"/>
      <c r="L216" s="368"/>
      <c r="M216" s="365"/>
    </row>
    <row r="217" spans="1:13" s="78" customFormat="1" ht="18.75" customHeight="1" x14ac:dyDescent="0.4">
      <c r="A217" s="118">
        <v>46073</v>
      </c>
      <c r="B217" s="103" t="s">
        <v>61</v>
      </c>
      <c r="C217" s="115" t="s">
        <v>105</v>
      </c>
      <c r="D217" s="459" t="s">
        <v>117</v>
      </c>
      <c r="E217" s="42"/>
      <c r="F217" s="117">
        <v>6</v>
      </c>
      <c r="G217" s="8">
        <v>248000</v>
      </c>
      <c r="H217" s="8">
        <v>1488000</v>
      </c>
      <c r="I217" s="191" t="s">
        <v>732</v>
      </c>
      <c r="J217" s="72"/>
      <c r="K217" s="7"/>
      <c r="L217" s="368"/>
      <c r="M217" s="365"/>
    </row>
    <row r="218" spans="1:13" s="78" customFormat="1" ht="18.75" customHeight="1" x14ac:dyDescent="0.4">
      <c r="A218" s="118">
        <v>46073</v>
      </c>
      <c r="B218" s="103" t="s">
        <v>61</v>
      </c>
      <c r="C218" s="115" t="s">
        <v>118</v>
      </c>
      <c r="D218" s="459" t="s">
        <v>119</v>
      </c>
      <c r="E218" s="42"/>
      <c r="F218" s="117">
        <v>10</v>
      </c>
      <c r="G218" s="8">
        <v>7790000</v>
      </c>
      <c r="H218" s="8">
        <v>77900000</v>
      </c>
      <c r="I218" s="191" t="s">
        <v>120</v>
      </c>
      <c r="J218" s="72"/>
      <c r="K218" s="7"/>
      <c r="L218" s="368"/>
      <c r="M218" s="365"/>
    </row>
    <row r="219" spans="1:13" s="78" customFormat="1" ht="18.75" customHeight="1" x14ac:dyDescent="0.4">
      <c r="A219" s="118">
        <v>46073</v>
      </c>
      <c r="B219" s="103" t="s">
        <v>61</v>
      </c>
      <c r="C219" s="115" t="s">
        <v>62</v>
      </c>
      <c r="D219" s="459" t="s">
        <v>75</v>
      </c>
      <c r="E219" s="42"/>
      <c r="F219" s="117">
        <v>9</v>
      </c>
      <c r="G219" s="8">
        <v>442000</v>
      </c>
      <c r="H219" s="8">
        <v>3978000</v>
      </c>
      <c r="I219" s="191" t="s">
        <v>568</v>
      </c>
      <c r="J219" s="72"/>
      <c r="K219" s="7"/>
      <c r="L219" s="368"/>
      <c r="M219" s="365"/>
    </row>
    <row r="220" spans="1:13" s="78" customFormat="1" ht="18.75" customHeight="1" x14ac:dyDescent="0.4">
      <c r="A220" s="118">
        <v>46073</v>
      </c>
      <c r="B220" s="103" t="s">
        <v>61</v>
      </c>
      <c r="C220" s="115" t="s">
        <v>66</v>
      </c>
      <c r="D220" s="459" t="s">
        <v>195</v>
      </c>
      <c r="E220" s="42"/>
      <c r="F220" s="117">
        <v>8</v>
      </c>
      <c r="G220" s="8">
        <v>1917500</v>
      </c>
      <c r="H220" s="8">
        <v>15340000</v>
      </c>
      <c r="I220" s="191" t="s">
        <v>568</v>
      </c>
      <c r="J220" s="72"/>
      <c r="K220" s="7"/>
      <c r="L220" s="368"/>
      <c r="M220" s="365"/>
    </row>
    <row r="221" spans="1:13" s="78" customFormat="1" ht="18.75" customHeight="1" x14ac:dyDescent="0.4">
      <c r="A221" s="118">
        <v>46073</v>
      </c>
      <c r="B221" s="103" t="s">
        <v>61</v>
      </c>
      <c r="C221" s="115" t="s">
        <v>64</v>
      </c>
      <c r="D221" s="459" t="s">
        <v>65</v>
      </c>
      <c r="E221" s="42"/>
      <c r="F221" s="117">
        <v>1</v>
      </c>
      <c r="G221" s="8">
        <v>1568700</v>
      </c>
      <c r="H221" s="8">
        <v>1568700</v>
      </c>
      <c r="I221" s="191" t="s">
        <v>568</v>
      </c>
      <c r="J221" s="72"/>
      <c r="K221" s="7"/>
      <c r="L221" s="368"/>
      <c r="M221" s="365"/>
    </row>
    <row r="222" spans="1:13" s="78" customFormat="1" ht="18.75" customHeight="1" x14ac:dyDescent="0.4">
      <c r="A222" s="118">
        <v>46073</v>
      </c>
      <c r="B222" s="103" t="s">
        <v>61</v>
      </c>
      <c r="C222" s="115" t="s">
        <v>66</v>
      </c>
      <c r="D222" s="459" t="s">
        <v>195</v>
      </c>
      <c r="E222" s="42"/>
      <c r="F222" s="117">
        <v>6</v>
      </c>
      <c r="G222" s="8">
        <v>1917500</v>
      </c>
      <c r="H222" s="8">
        <v>11505000</v>
      </c>
      <c r="I222" s="191" t="s">
        <v>732</v>
      </c>
      <c r="J222" s="72"/>
      <c r="K222" s="7"/>
      <c r="L222" s="368"/>
      <c r="M222" s="365"/>
    </row>
    <row r="223" spans="1:13" s="78" customFormat="1" ht="18.75" customHeight="1" x14ac:dyDescent="0.4">
      <c r="A223" s="118">
        <v>46073</v>
      </c>
      <c r="B223" s="103" t="s">
        <v>61</v>
      </c>
      <c r="C223" s="115" t="s">
        <v>204</v>
      </c>
      <c r="D223" s="459" t="s">
        <v>205</v>
      </c>
      <c r="E223" s="42"/>
      <c r="F223" s="117">
        <v>6</v>
      </c>
      <c r="G223" s="8">
        <v>1295000</v>
      </c>
      <c r="H223" s="8">
        <v>7770000</v>
      </c>
      <c r="I223" s="191" t="s">
        <v>732</v>
      </c>
      <c r="J223" s="72"/>
      <c r="K223" s="7"/>
      <c r="L223" s="368"/>
      <c r="M223" s="365"/>
    </row>
    <row r="224" spans="1:13" s="78" customFormat="1" ht="18.75" customHeight="1" x14ac:dyDescent="0.4">
      <c r="A224" s="118">
        <v>46073</v>
      </c>
      <c r="B224" s="103" t="s">
        <v>61</v>
      </c>
      <c r="C224" s="115" t="s">
        <v>416</v>
      </c>
      <c r="D224" s="459" t="s">
        <v>417</v>
      </c>
      <c r="E224" s="42"/>
      <c r="F224" s="117">
        <v>4</v>
      </c>
      <c r="G224" s="8">
        <v>251000</v>
      </c>
      <c r="H224" s="8">
        <v>1004000</v>
      </c>
      <c r="I224" s="191" t="s">
        <v>70</v>
      </c>
      <c r="J224" s="72"/>
      <c r="K224" s="7"/>
      <c r="L224" s="368"/>
      <c r="M224" s="365"/>
    </row>
    <row r="225" spans="1:13" s="78" customFormat="1" ht="18.75" customHeight="1" x14ac:dyDescent="0.4">
      <c r="A225" s="118">
        <v>46073</v>
      </c>
      <c r="B225" s="103" t="s">
        <v>61</v>
      </c>
      <c r="C225" s="115" t="s">
        <v>416</v>
      </c>
      <c r="D225" s="459" t="s">
        <v>417</v>
      </c>
      <c r="E225" s="42"/>
      <c r="F225" s="117">
        <v>3</v>
      </c>
      <c r="G225" s="8">
        <v>251000</v>
      </c>
      <c r="H225" s="8">
        <v>753000</v>
      </c>
      <c r="I225" s="191" t="s">
        <v>70</v>
      </c>
      <c r="J225" s="72"/>
      <c r="K225" s="7"/>
      <c r="L225" s="368"/>
      <c r="M225" s="365"/>
    </row>
    <row r="226" spans="1:13" s="78" customFormat="1" ht="18.75" customHeight="1" x14ac:dyDescent="0.4">
      <c r="A226" s="118">
        <v>46073</v>
      </c>
      <c r="B226" s="103" t="s">
        <v>61</v>
      </c>
      <c r="C226" s="115" t="s">
        <v>416</v>
      </c>
      <c r="D226" s="459" t="s">
        <v>417</v>
      </c>
      <c r="E226" s="42"/>
      <c r="F226" s="117">
        <v>2</v>
      </c>
      <c r="G226" s="8">
        <v>251000</v>
      </c>
      <c r="H226" s="8">
        <v>502000</v>
      </c>
      <c r="I226" s="191" t="s">
        <v>215</v>
      </c>
      <c r="J226" s="72"/>
      <c r="K226" s="7"/>
      <c r="L226" s="368"/>
      <c r="M226" s="365"/>
    </row>
    <row r="227" spans="1:13" s="78" customFormat="1" ht="18.75" customHeight="1" x14ac:dyDescent="0.4">
      <c r="A227" s="118">
        <v>46073</v>
      </c>
      <c r="B227" s="103" t="s">
        <v>61</v>
      </c>
      <c r="C227" s="115" t="s">
        <v>90</v>
      </c>
      <c r="D227" s="459" t="s">
        <v>91</v>
      </c>
      <c r="E227" s="42"/>
      <c r="F227" s="117">
        <v>1</v>
      </c>
      <c r="G227" s="8">
        <v>259000</v>
      </c>
      <c r="H227" s="8">
        <v>259000</v>
      </c>
      <c r="I227" s="191" t="s">
        <v>70</v>
      </c>
      <c r="J227" s="72"/>
      <c r="K227" s="7"/>
      <c r="L227" s="368"/>
      <c r="M227" s="365"/>
    </row>
    <row r="228" spans="1:13" s="78" customFormat="1" ht="18.75" customHeight="1" x14ac:dyDescent="0.4">
      <c r="A228" s="118">
        <v>46079</v>
      </c>
      <c r="B228" s="103" t="s">
        <v>61</v>
      </c>
      <c r="C228" s="115" t="s">
        <v>105</v>
      </c>
      <c r="D228" s="459" t="s">
        <v>364</v>
      </c>
      <c r="E228" s="42"/>
      <c r="F228" s="117">
        <v>11</v>
      </c>
      <c r="G228" s="8">
        <v>227050</v>
      </c>
      <c r="H228" s="8">
        <v>2497550</v>
      </c>
      <c r="I228" s="191" t="s">
        <v>737</v>
      </c>
      <c r="J228" s="72"/>
      <c r="K228" s="7"/>
      <c r="L228" s="368"/>
      <c r="M228" s="50"/>
    </row>
    <row r="229" spans="1:13" s="78" customFormat="1" ht="18.75" customHeight="1" x14ac:dyDescent="0.4">
      <c r="A229" s="118">
        <v>46079</v>
      </c>
      <c r="B229" s="103" t="s">
        <v>61</v>
      </c>
      <c r="C229" s="115" t="s">
        <v>63</v>
      </c>
      <c r="D229" s="459" t="s">
        <v>922</v>
      </c>
      <c r="E229" s="42"/>
      <c r="F229" s="117">
        <v>12</v>
      </c>
      <c r="G229" s="8">
        <v>125400</v>
      </c>
      <c r="H229" s="8">
        <v>1504800</v>
      </c>
      <c r="I229" s="191" t="s">
        <v>737</v>
      </c>
      <c r="J229" s="72"/>
      <c r="K229" s="7"/>
      <c r="L229" s="368"/>
      <c r="M229" s="365"/>
    </row>
    <row r="230" spans="1:13" s="78" customFormat="1" ht="18.75" customHeight="1" x14ac:dyDescent="0.4">
      <c r="A230" s="118">
        <v>46079</v>
      </c>
      <c r="B230" s="103" t="s">
        <v>61</v>
      </c>
      <c r="C230" s="115" t="s">
        <v>202</v>
      </c>
      <c r="D230" s="459" t="s">
        <v>921</v>
      </c>
      <c r="E230" s="42"/>
      <c r="F230" s="117">
        <v>12</v>
      </c>
      <c r="G230" s="8">
        <v>351500</v>
      </c>
      <c r="H230" s="8">
        <v>4218000</v>
      </c>
      <c r="I230" s="191" t="s">
        <v>738</v>
      </c>
      <c r="J230" s="72"/>
      <c r="K230" s="7"/>
      <c r="L230" s="368"/>
      <c r="M230" s="365"/>
    </row>
    <row r="231" spans="1:13" s="78" customFormat="1" ht="18.75" customHeight="1" x14ac:dyDescent="0.4">
      <c r="A231" s="118">
        <v>46079</v>
      </c>
      <c r="B231" s="103" t="s">
        <v>61</v>
      </c>
      <c r="C231" s="115" t="s">
        <v>67</v>
      </c>
      <c r="D231" s="459" t="s">
        <v>197</v>
      </c>
      <c r="E231" s="42"/>
      <c r="F231" s="117">
        <v>2</v>
      </c>
      <c r="G231" s="8">
        <v>364800</v>
      </c>
      <c r="H231" s="8">
        <v>729600</v>
      </c>
      <c r="I231" s="191" t="s">
        <v>918</v>
      </c>
      <c r="J231" s="72"/>
      <c r="K231" s="7"/>
      <c r="L231" s="368"/>
      <c r="M231" s="365"/>
    </row>
    <row r="232" spans="1:13" s="78" customFormat="1" ht="18.75" customHeight="1" x14ac:dyDescent="0.4">
      <c r="A232" s="118">
        <v>46079</v>
      </c>
      <c r="B232" s="103" t="s">
        <v>61</v>
      </c>
      <c r="C232" s="115" t="s">
        <v>73</v>
      </c>
      <c r="D232" s="459" t="s">
        <v>288</v>
      </c>
      <c r="E232" s="42"/>
      <c r="F232" s="117">
        <v>12</v>
      </c>
      <c r="G232" s="8">
        <v>390000</v>
      </c>
      <c r="H232" s="8">
        <v>4680000</v>
      </c>
      <c r="I232" s="191" t="s">
        <v>918</v>
      </c>
      <c r="J232" s="72"/>
      <c r="K232" s="7"/>
      <c r="L232" s="368"/>
      <c r="M232" s="365"/>
    </row>
    <row r="233" spans="1:13" s="78" customFormat="1" ht="18.75" customHeight="1" x14ac:dyDescent="0.4">
      <c r="A233" s="118">
        <v>46079</v>
      </c>
      <c r="B233" s="103" t="s">
        <v>61</v>
      </c>
      <c r="C233" s="115" t="s">
        <v>63</v>
      </c>
      <c r="D233" s="459" t="s">
        <v>922</v>
      </c>
      <c r="E233" s="42"/>
      <c r="F233" s="117">
        <v>12</v>
      </c>
      <c r="G233" s="8">
        <v>125400</v>
      </c>
      <c r="H233" s="8">
        <v>1504800</v>
      </c>
      <c r="I233" s="191" t="s">
        <v>738</v>
      </c>
      <c r="J233" s="72"/>
      <c r="K233" s="7"/>
      <c r="L233" s="368"/>
      <c r="M233" s="365"/>
    </row>
    <row r="234" spans="1:13" s="78" customFormat="1" ht="18.75" customHeight="1" x14ac:dyDescent="0.4">
      <c r="A234" s="118">
        <v>46079</v>
      </c>
      <c r="B234" s="103" t="s">
        <v>61</v>
      </c>
      <c r="C234" s="115" t="s">
        <v>202</v>
      </c>
      <c r="D234" s="459" t="s">
        <v>921</v>
      </c>
      <c r="E234" s="42"/>
      <c r="F234" s="117">
        <v>1</v>
      </c>
      <c r="G234" s="8">
        <v>351500</v>
      </c>
      <c r="H234" s="8">
        <v>351500</v>
      </c>
      <c r="I234" s="191" t="s">
        <v>739</v>
      </c>
      <c r="J234" s="72"/>
      <c r="K234" s="7"/>
      <c r="L234" s="368"/>
      <c r="M234" s="365"/>
    </row>
    <row r="235" spans="1:13" s="78" customFormat="1" ht="18.75" customHeight="1" x14ac:dyDescent="0.4">
      <c r="A235" s="118">
        <v>46079</v>
      </c>
      <c r="B235" s="103" t="s">
        <v>61</v>
      </c>
      <c r="C235" s="115" t="s">
        <v>63</v>
      </c>
      <c r="D235" s="459" t="s">
        <v>922</v>
      </c>
      <c r="E235" s="42"/>
      <c r="F235" s="117">
        <v>1</v>
      </c>
      <c r="G235" s="8">
        <v>125400</v>
      </c>
      <c r="H235" s="8">
        <v>125400</v>
      </c>
      <c r="I235" s="191" t="s">
        <v>739</v>
      </c>
      <c r="J235" s="72"/>
      <c r="K235" s="7"/>
      <c r="L235" s="368"/>
      <c r="M235" s="365"/>
    </row>
    <row r="236" spans="1:13" s="78" customFormat="1" ht="18.75" customHeight="1" x14ac:dyDescent="0.4">
      <c r="A236" s="118">
        <v>46079</v>
      </c>
      <c r="B236" s="103" t="s">
        <v>61</v>
      </c>
      <c r="C236" s="115" t="s">
        <v>63</v>
      </c>
      <c r="D236" s="459" t="s">
        <v>97</v>
      </c>
      <c r="E236" s="42"/>
      <c r="F236" s="117">
        <v>3</v>
      </c>
      <c r="G236" s="8">
        <v>137000</v>
      </c>
      <c r="H236" s="8">
        <v>411000</v>
      </c>
      <c r="I236" s="191" t="s">
        <v>740</v>
      </c>
      <c r="J236" s="72"/>
      <c r="K236" s="7"/>
      <c r="L236" s="368"/>
      <c r="M236" s="365"/>
    </row>
    <row r="237" spans="1:13" s="78" customFormat="1" ht="18.75" customHeight="1" x14ac:dyDescent="0.4">
      <c r="A237" s="118">
        <v>46079</v>
      </c>
      <c r="B237" s="103" t="s">
        <v>61</v>
      </c>
      <c r="C237" s="115" t="s">
        <v>63</v>
      </c>
      <c r="D237" s="459" t="s">
        <v>97</v>
      </c>
      <c r="E237" s="42"/>
      <c r="F237" s="117">
        <v>3</v>
      </c>
      <c r="G237" s="8">
        <v>137000</v>
      </c>
      <c r="H237" s="8">
        <v>411000</v>
      </c>
      <c r="I237" s="191" t="s">
        <v>887</v>
      </c>
      <c r="J237" s="72"/>
      <c r="K237" s="7"/>
      <c r="L237" s="368"/>
      <c r="M237" s="365"/>
    </row>
    <row r="238" spans="1:13" s="78" customFormat="1" ht="18.75" customHeight="1" x14ac:dyDescent="0.4">
      <c r="A238" s="118">
        <v>46079</v>
      </c>
      <c r="B238" s="103" t="s">
        <v>61</v>
      </c>
      <c r="C238" s="115" t="s">
        <v>202</v>
      </c>
      <c r="D238" s="459" t="s">
        <v>203</v>
      </c>
      <c r="E238" s="42"/>
      <c r="F238" s="117">
        <v>3</v>
      </c>
      <c r="G238" s="8">
        <v>384000</v>
      </c>
      <c r="H238" s="8">
        <v>1152000</v>
      </c>
      <c r="I238" s="191" t="s">
        <v>740</v>
      </c>
      <c r="J238" s="72"/>
      <c r="K238" s="7"/>
      <c r="L238" s="368"/>
      <c r="M238" s="365"/>
    </row>
    <row r="239" spans="1:13" s="78" customFormat="1" ht="18.75" customHeight="1" x14ac:dyDescent="0.4">
      <c r="A239" s="118">
        <v>46079</v>
      </c>
      <c r="B239" s="103" t="s">
        <v>61</v>
      </c>
      <c r="C239" s="115" t="s">
        <v>202</v>
      </c>
      <c r="D239" s="459" t="s">
        <v>203</v>
      </c>
      <c r="E239" s="42"/>
      <c r="F239" s="117">
        <v>3</v>
      </c>
      <c r="G239" s="8">
        <v>384000</v>
      </c>
      <c r="H239" s="8">
        <v>1152000</v>
      </c>
      <c r="I239" s="191" t="s">
        <v>887</v>
      </c>
      <c r="J239" s="72"/>
      <c r="K239" s="7"/>
      <c r="L239" s="368"/>
      <c r="M239" s="365"/>
    </row>
    <row r="240" spans="1:13" s="78" customFormat="1" ht="18.75" customHeight="1" x14ac:dyDescent="0.4">
      <c r="A240" s="118">
        <v>46079</v>
      </c>
      <c r="B240" s="103" t="s">
        <v>61</v>
      </c>
      <c r="C240" s="115" t="s">
        <v>63</v>
      </c>
      <c r="D240" s="459" t="s">
        <v>97</v>
      </c>
      <c r="E240" s="42"/>
      <c r="F240" s="117">
        <v>4</v>
      </c>
      <c r="G240" s="8">
        <v>137000</v>
      </c>
      <c r="H240" s="8">
        <v>548000</v>
      </c>
      <c r="I240" s="191" t="s">
        <v>919</v>
      </c>
      <c r="J240" s="72"/>
      <c r="K240" s="7"/>
      <c r="L240" s="368"/>
      <c r="M240" s="365"/>
    </row>
    <row r="241" spans="1:13" s="78" customFormat="1" ht="18.75" customHeight="1" x14ac:dyDescent="0.4">
      <c r="A241" s="118">
        <v>46079</v>
      </c>
      <c r="B241" s="103" t="s">
        <v>61</v>
      </c>
      <c r="C241" s="115" t="s">
        <v>63</v>
      </c>
      <c r="D241" s="459" t="s">
        <v>97</v>
      </c>
      <c r="E241" s="42"/>
      <c r="F241" s="117">
        <v>6</v>
      </c>
      <c r="G241" s="8">
        <v>137000</v>
      </c>
      <c r="H241" s="8">
        <v>822000</v>
      </c>
      <c r="I241" s="191" t="s">
        <v>920</v>
      </c>
      <c r="J241" s="72"/>
      <c r="K241" s="7"/>
      <c r="L241" s="368"/>
      <c r="M241" s="365"/>
    </row>
    <row r="242" spans="1:13" s="78" customFormat="1" ht="18.75" customHeight="1" x14ac:dyDescent="0.4">
      <c r="A242" s="118">
        <v>46079</v>
      </c>
      <c r="B242" s="103" t="s">
        <v>61</v>
      </c>
      <c r="C242" s="115" t="s">
        <v>202</v>
      </c>
      <c r="D242" s="459" t="s">
        <v>203</v>
      </c>
      <c r="E242" s="42"/>
      <c r="F242" s="117">
        <v>4</v>
      </c>
      <c r="G242" s="8">
        <v>384000</v>
      </c>
      <c r="H242" s="8">
        <v>1536000</v>
      </c>
      <c r="I242" s="191" t="s">
        <v>919</v>
      </c>
      <c r="J242" s="72"/>
      <c r="K242" s="7"/>
      <c r="L242" s="368"/>
      <c r="M242" s="365"/>
    </row>
    <row r="243" spans="1:13" s="78" customFormat="1" ht="18.75" customHeight="1" x14ac:dyDescent="0.4">
      <c r="A243" s="118">
        <v>46079</v>
      </c>
      <c r="B243" s="103" t="s">
        <v>61</v>
      </c>
      <c r="C243" s="115" t="s">
        <v>202</v>
      </c>
      <c r="D243" s="459" t="s">
        <v>203</v>
      </c>
      <c r="E243" s="42"/>
      <c r="F243" s="117">
        <v>6</v>
      </c>
      <c r="G243" s="8">
        <v>384000</v>
      </c>
      <c r="H243" s="8">
        <v>2304000</v>
      </c>
      <c r="I243" s="191" t="s">
        <v>920</v>
      </c>
      <c r="J243" s="72"/>
      <c r="K243" s="7"/>
      <c r="L243" s="368"/>
      <c r="M243" s="365"/>
    </row>
    <row r="244" spans="1:13" s="78" customFormat="1" ht="18.75" customHeight="1" x14ac:dyDescent="0.4">
      <c r="A244" s="118">
        <v>46079</v>
      </c>
      <c r="B244" s="103" t="s">
        <v>61</v>
      </c>
      <c r="C244" s="115" t="s">
        <v>63</v>
      </c>
      <c r="D244" s="459" t="s">
        <v>97</v>
      </c>
      <c r="E244" s="42"/>
      <c r="F244" s="117">
        <v>10</v>
      </c>
      <c r="G244" s="8">
        <v>137000</v>
      </c>
      <c r="H244" s="8">
        <v>1370000</v>
      </c>
      <c r="I244" s="191" t="s">
        <v>886</v>
      </c>
      <c r="J244" s="72"/>
      <c r="K244" s="7"/>
      <c r="L244" s="368"/>
      <c r="M244" s="365"/>
    </row>
    <row r="245" spans="1:13" s="78" customFormat="1" ht="18.75" customHeight="1" x14ac:dyDescent="0.4">
      <c r="A245" s="118">
        <v>46079</v>
      </c>
      <c r="B245" s="103" t="s">
        <v>61</v>
      </c>
      <c r="C245" s="115" t="s">
        <v>202</v>
      </c>
      <c r="D245" s="459" t="s">
        <v>203</v>
      </c>
      <c r="E245" s="42"/>
      <c r="F245" s="117">
        <v>13</v>
      </c>
      <c r="G245" s="8">
        <v>384000</v>
      </c>
      <c r="H245" s="8">
        <v>4992000</v>
      </c>
      <c r="I245" s="191" t="s">
        <v>568</v>
      </c>
      <c r="J245" s="72"/>
      <c r="K245" s="7"/>
      <c r="L245" s="368"/>
      <c r="M245" s="365"/>
    </row>
    <row r="246" spans="1:13" s="78" customFormat="1" ht="18.75" customHeight="1" x14ac:dyDescent="0.4">
      <c r="A246" s="118">
        <v>46079</v>
      </c>
      <c r="B246" s="103" t="s">
        <v>61</v>
      </c>
      <c r="C246" s="115" t="s">
        <v>202</v>
      </c>
      <c r="D246" s="459" t="s">
        <v>203</v>
      </c>
      <c r="E246" s="42"/>
      <c r="F246" s="117">
        <v>10</v>
      </c>
      <c r="G246" s="8">
        <v>384000</v>
      </c>
      <c r="H246" s="8">
        <v>3840000</v>
      </c>
      <c r="I246" s="191" t="s">
        <v>886</v>
      </c>
      <c r="J246" s="72"/>
      <c r="K246" s="7"/>
      <c r="L246" s="368"/>
      <c r="M246" s="365"/>
    </row>
    <row r="247" spans="1:13" s="78" customFormat="1" ht="18.75" customHeight="1" x14ac:dyDescent="0.4">
      <c r="A247" s="118">
        <v>46079</v>
      </c>
      <c r="B247" s="103" t="s">
        <v>61</v>
      </c>
      <c r="C247" s="115" t="s">
        <v>66</v>
      </c>
      <c r="D247" s="459" t="s">
        <v>195</v>
      </c>
      <c r="E247" s="42"/>
      <c r="F247" s="117">
        <v>5</v>
      </c>
      <c r="G247" s="8">
        <v>1917500</v>
      </c>
      <c r="H247" s="8">
        <v>9587500</v>
      </c>
      <c r="I247" s="191" t="s">
        <v>568</v>
      </c>
      <c r="J247" s="72"/>
      <c r="K247" s="7"/>
      <c r="L247" s="368"/>
      <c r="M247" s="365"/>
    </row>
    <row r="248" spans="1:13" s="78" customFormat="1" ht="18.75" customHeight="1" x14ac:dyDescent="0.4">
      <c r="A248" s="118">
        <v>46079</v>
      </c>
      <c r="B248" s="103" t="s">
        <v>61</v>
      </c>
      <c r="C248" s="115" t="s">
        <v>66</v>
      </c>
      <c r="D248" s="459" t="s">
        <v>195</v>
      </c>
      <c r="E248" s="42"/>
      <c r="F248" s="117">
        <v>6</v>
      </c>
      <c r="G248" s="8">
        <v>1917500</v>
      </c>
      <c r="H248" s="8">
        <v>11505000</v>
      </c>
      <c r="I248" s="191" t="s">
        <v>886</v>
      </c>
      <c r="J248" s="72"/>
      <c r="K248" s="7"/>
      <c r="L248" s="368"/>
      <c r="M248" s="365"/>
    </row>
    <row r="249" spans="1:13" s="78" customFormat="1" ht="18.75" customHeight="1" x14ac:dyDescent="0.4">
      <c r="A249" s="118">
        <v>46079</v>
      </c>
      <c r="B249" s="103" t="s">
        <v>61</v>
      </c>
      <c r="C249" s="115" t="s">
        <v>64</v>
      </c>
      <c r="D249" s="459" t="s">
        <v>65</v>
      </c>
      <c r="E249" s="42"/>
      <c r="F249" s="117">
        <v>4</v>
      </c>
      <c r="G249" s="8">
        <v>1568700</v>
      </c>
      <c r="H249" s="8">
        <v>6274800</v>
      </c>
      <c r="I249" s="191" t="s">
        <v>568</v>
      </c>
      <c r="J249" s="72"/>
      <c r="K249" s="7"/>
      <c r="L249" s="368"/>
      <c r="M249" s="365"/>
    </row>
    <row r="250" spans="1:13" s="78" customFormat="1" ht="18.75" customHeight="1" x14ac:dyDescent="0.4">
      <c r="A250" s="118">
        <v>46079</v>
      </c>
      <c r="B250" s="103" t="s">
        <v>61</v>
      </c>
      <c r="C250" s="115" t="s">
        <v>66</v>
      </c>
      <c r="D250" s="459" t="s">
        <v>195</v>
      </c>
      <c r="E250" s="42"/>
      <c r="F250" s="117">
        <v>3</v>
      </c>
      <c r="G250" s="8">
        <v>1917500</v>
      </c>
      <c r="H250" s="8">
        <v>5752500</v>
      </c>
      <c r="I250" s="191" t="s">
        <v>740</v>
      </c>
      <c r="J250" s="72"/>
      <c r="K250" s="7"/>
      <c r="L250" s="368"/>
      <c r="M250" s="365"/>
    </row>
    <row r="251" spans="1:13" s="78" customFormat="1" ht="18.75" customHeight="1" x14ac:dyDescent="0.4">
      <c r="A251" s="118">
        <v>46079</v>
      </c>
      <c r="B251" s="103" t="s">
        <v>61</v>
      </c>
      <c r="C251" s="115" t="s">
        <v>429</v>
      </c>
      <c r="D251" s="459" t="s">
        <v>430</v>
      </c>
      <c r="E251" s="42"/>
      <c r="F251" s="117">
        <v>3</v>
      </c>
      <c r="G251" s="8">
        <v>368000</v>
      </c>
      <c r="H251" s="8">
        <v>1104000</v>
      </c>
      <c r="I251" s="191" t="s">
        <v>70</v>
      </c>
      <c r="J251" s="72"/>
      <c r="K251" s="7"/>
      <c r="L251" s="368"/>
      <c r="M251" s="365"/>
    </row>
    <row r="252" spans="1:13" s="78" customFormat="1" ht="18.75" customHeight="1" x14ac:dyDescent="0.4">
      <c r="A252" s="118">
        <v>46079</v>
      </c>
      <c r="B252" s="103" t="s">
        <v>61</v>
      </c>
      <c r="C252" s="115" t="s">
        <v>429</v>
      </c>
      <c r="D252" s="459" t="s">
        <v>430</v>
      </c>
      <c r="E252" s="42"/>
      <c r="F252" s="117">
        <v>1</v>
      </c>
      <c r="G252" s="8">
        <v>368000</v>
      </c>
      <c r="H252" s="8">
        <v>368000</v>
      </c>
      <c r="I252" s="191" t="s">
        <v>70</v>
      </c>
      <c r="J252" s="72"/>
      <c r="K252" s="7"/>
      <c r="L252" s="368"/>
      <c r="M252" s="365"/>
    </row>
    <row r="253" spans="1:13" s="78" customFormat="1" ht="18.75" customHeight="1" x14ac:dyDescent="0.4">
      <c r="A253" s="118">
        <v>46079</v>
      </c>
      <c r="B253" s="103" t="s">
        <v>61</v>
      </c>
      <c r="C253" s="115" t="s">
        <v>429</v>
      </c>
      <c r="D253" s="459" t="s">
        <v>430</v>
      </c>
      <c r="E253" s="42"/>
      <c r="F253" s="117">
        <v>2</v>
      </c>
      <c r="G253" s="8">
        <v>368000</v>
      </c>
      <c r="H253" s="8">
        <v>736000</v>
      </c>
      <c r="I253" s="191" t="s">
        <v>70</v>
      </c>
      <c r="J253" s="72"/>
      <c r="K253" s="7"/>
      <c r="L253" s="368"/>
      <c r="M253" s="365"/>
    </row>
    <row r="254" spans="1:13" s="78" customFormat="1" ht="18.75" customHeight="1" x14ac:dyDescent="0.4">
      <c r="A254" s="118">
        <v>46079</v>
      </c>
      <c r="B254" s="103" t="s">
        <v>61</v>
      </c>
      <c r="C254" s="115" t="s">
        <v>429</v>
      </c>
      <c r="D254" s="459" t="s">
        <v>430</v>
      </c>
      <c r="E254" s="42"/>
      <c r="F254" s="117">
        <v>3</v>
      </c>
      <c r="G254" s="8">
        <v>368000</v>
      </c>
      <c r="H254" s="8">
        <v>1104000</v>
      </c>
      <c r="I254" s="191" t="s">
        <v>70</v>
      </c>
      <c r="J254" s="72"/>
      <c r="K254" s="7"/>
      <c r="L254" s="368"/>
      <c r="M254" s="365"/>
    </row>
    <row r="255" spans="1:13" s="78" customFormat="1" ht="18.75" customHeight="1" x14ac:dyDescent="0.4">
      <c r="A255" s="118">
        <v>46079</v>
      </c>
      <c r="B255" s="103" t="s">
        <v>61</v>
      </c>
      <c r="C255" s="115" t="s">
        <v>429</v>
      </c>
      <c r="D255" s="459" t="s">
        <v>430</v>
      </c>
      <c r="E255" s="42"/>
      <c r="F255" s="117">
        <v>1</v>
      </c>
      <c r="G255" s="8">
        <v>368000</v>
      </c>
      <c r="H255" s="8">
        <v>368000</v>
      </c>
      <c r="I255" s="191" t="s">
        <v>70</v>
      </c>
      <c r="J255" s="72"/>
      <c r="K255" s="7"/>
      <c r="L255" s="368"/>
      <c r="M255" s="365"/>
    </row>
    <row r="256" spans="1:13" s="78" customFormat="1" ht="18.75" customHeight="1" x14ac:dyDescent="0.4">
      <c r="A256" s="118">
        <v>46079</v>
      </c>
      <c r="B256" s="103" t="s">
        <v>61</v>
      </c>
      <c r="C256" s="115" t="s">
        <v>429</v>
      </c>
      <c r="D256" s="459" t="s">
        <v>430</v>
      </c>
      <c r="E256" s="42"/>
      <c r="F256" s="117">
        <v>4</v>
      </c>
      <c r="G256" s="8">
        <v>368000</v>
      </c>
      <c r="H256" s="8">
        <v>1472000</v>
      </c>
      <c r="I256" s="191" t="s">
        <v>70</v>
      </c>
      <c r="J256" s="72"/>
      <c r="K256" s="7"/>
      <c r="L256" s="368"/>
      <c r="M256" s="365"/>
    </row>
    <row r="257" spans="1:13" s="78" customFormat="1" ht="18.75" customHeight="1" x14ac:dyDescent="0.4">
      <c r="A257" s="118">
        <v>46079</v>
      </c>
      <c r="B257" s="103" t="s">
        <v>61</v>
      </c>
      <c r="C257" s="115" t="s">
        <v>429</v>
      </c>
      <c r="D257" s="459" t="s">
        <v>430</v>
      </c>
      <c r="E257" s="42"/>
      <c r="F257" s="117">
        <v>2</v>
      </c>
      <c r="G257" s="8">
        <v>368000</v>
      </c>
      <c r="H257" s="8">
        <v>736000</v>
      </c>
      <c r="I257" s="191" t="s">
        <v>70</v>
      </c>
      <c r="J257" s="72"/>
      <c r="K257" s="7"/>
      <c r="L257" s="368"/>
      <c r="M257" s="365"/>
    </row>
    <row r="258" spans="1:13" s="78" customFormat="1" ht="18.75" customHeight="1" x14ac:dyDescent="0.4">
      <c r="A258" s="118">
        <v>46079</v>
      </c>
      <c r="B258" s="103" t="s">
        <v>61</v>
      </c>
      <c r="C258" s="115" t="s">
        <v>429</v>
      </c>
      <c r="D258" s="459" t="s">
        <v>430</v>
      </c>
      <c r="E258" s="42"/>
      <c r="F258" s="117">
        <v>1</v>
      </c>
      <c r="G258" s="8">
        <v>368000</v>
      </c>
      <c r="H258" s="8">
        <v>368000</v>
      </c>
      <c r="I258" s="191" t="s">
        <v>70</v>
      </c>
      <c r="J258" s="72"/>
      <c r="K258" s="7"/>
      <c r="L258" s="368"/>
      <c r="M258" s="365"/>
    </row>
    <row r="259" spans="1:13" s="78" customFormat="1" ht="18.75" customHeight="1" x14ac:dyDescent="0.4">
      <c r="A259" s="118">
        <v>46079</v>
      </c>
      <c r="B259" s="103" t="s">
        <v>61</v>
      </c>
      <c r="C259" s="115" t="s">
        <v>103</v>
      </c>
      <c r="D259" s="459" t="s">
        <v>454</v>
      </c>
      <c r="E259" s="42"/>
      <c r="F259" s="117">
        <v>2</v>
      </c>
      <c r="G259" s="8">
        <v>127000</v>
      </c>
      <c r="H259" s="8">
        <v>254000</v>
      </c>
      <c r="I259" s="191" t="s">
        <v>70</v>
      </c>
      <c r="J259" s="72"/>
      <c r="K259" s="7"/>
      <c r="L259" s="368"/>
      <c r="M259" s="365"/>
    </row>
    <row r="260" spans="1:13" s="78" customFormat="1" ht="18.75" customHeight="1" x14ac:dyDescent="0.4">
      <c r="A260" s="118">
        <v>46079</v>
      </c>
      <c r="B260" s="103" t="s">
        <v>61</v>
      </c>
      <c r="C260" s="115" t="s">
        <v>429</v>
      </c>
      <c r="D260" s="459" t="s">
        <v>430</v>
      </c>
      <c r="E260" s="42"/>
      <c r="F260" s="117">
        <v>4</v>
      </c>
      <c r="G260" s="8">
        <v>368000</v>
      </c>
      <c r="H260" s="8">
        <v>1472000</v>
      </c>
      <c r="I260" s="191" t="s">
        <v>70</v>
      </c>
      <c r="J260" s="72"/>
      <c r="K260" s="7"/>
      <c r="L260" s="368"/>
      <c r="M260" s="365"/>
    </row>
    <row r="261" spans="1:13" s="78" customFormat="1" ht="18.75" customHeight="1" x14ac:dyDescent="0.4">
      <c r="A261" s="118">
        <v>46079</v>
      </c>
      <c r="B261" s="103" t="s">
        <v>61</v>
      </c>
      <c r="C261" s="115" t="s">
        <v>103</v>
      </c>
      <c r="D261" s="459" t="s">
        <v>454</v>
      </c>
      <c r="E261" s="42"/>
      <c r="F261" s="117">
        <v>3</v>
      </c>
      <c r="G261" s="8">
        <v>127000</v>
      </c>
      <c r="H261" s="8">
        <v>381000</v>
      </c>
      <c r="I261" s="191" t="s">
        <v>70</v>
      </c>
      <c r="J261" s="72"/>
      <c r="K261" s="7"/>
      <c r="L261" s="368"/>
      <c r="M261" s="365"/>
    </row>
    <row r="262" spans="1:13" s="78" customFormat="1" ht="18.75" customHeight="1" x14ac:dyDescent="0.4">
      <c r="A262" s="118">
        <v>46079</v>
      </c>
      <c r="B262" s="103" t="s">
        <v>61</v>
      </c>
      <c r="C262" s="115" t="s">
        <v>380</v>
      </c>
      <c r="D262" s="459" t="s">
        <v>504</v>
      </c>
      <c r="E262" s="42"/>
      <c r="F262" s="117">
        <v>2</v>
      </c>
      <c r="G262" s="8">
        <v>37700</v>
      </c>
      <c r="H262" s="8">
        <v>75400</v>
      </c>
      <c r="I262" s="191" t="s">
        <v>70</v>
      </c>
      <c r="J262" s="72"/>
      <c r="K262" s="7"/>
      <c r="L262" s="368"/>
      <c r="M262" s="365"/>
    </row>
    <row r="263" spans="1:13" s="78" customFormat="1" ht="18.75" customHeight="1" x14ac:dyDescent="0.4">
      <c r="A263" s="118">
        <v>46079</v>
      </c>
      <c r="B263" s="103" t="s">
        <v>61</v>
      </c>
      <c r="C263" s="115" t="s">
        <v>614</v>
      </c>
      <c r="D263" s="459" t="s">
        <v>615</v>
      </c>
      <c r="E263" s="42"/>
      <c r="F263" s="117">
        <v>1</v>
      </c>
      <c r="G263" s="8">
        <v>95000</v>
      </c>
      <c r="H263" s="8">
        <v>95000</v>
      </c>
      <c r="I263" s="191" t="s">
        <v>70</v>
      </c>
      <c r="J263" s="72"/>
      <c r="K263" s="7"/>
      <c r="L263" s="368"/>
      <c r="M263" s="365"/>
    </row>
    <row r="264" spans="1:13" s="78" customFormat="1" ht="18.75" customHeight="1" x14ac:dyDescent="0.4">
      <c r="A264" s="118">
        <v>46079</v>
      </c>
      <c r="B264" s="103" t="s">
        <v>61</v>
      </c>
      <c r="C264" s="115" t="s">
        <v>429</v>
      </c>
      <c r="D264" s="459" t="s">
        <v>430</v>
      </c>
      <c r="E264" s="42"/>
      <c r="F264" s="117">
        <v>1</v>
      </c>
      <c r="G264" s="8">
        <v>368000</v>
      </c>
      <c r="H264" s="8">
        <v>368000</v>
      </c>
      <c r="I264" s="191" t="s">
        <v>70</v>
      </c>
      <c r="J264" s="72"/>
      <c r="K264" s="7"/>
      <c r="L264" s="368"/>
      <c r="M264" s="365"/>
    </row>
    <row r="265" spans="1:13" s="78" customFormat="1" ht="18.75" customHeight="1" x14ac:dyDescent="0.4">
      <c r="A265" s="118">
        <v>46079</v>
      </c>
      <c r="B265" s="103" t="s">
        <v>61</v>
      </c>
      <c r="C265" s="115" t="s">
        <v>103</v>
      </c>
      <c r="D265" s="459" t="s">
        <v>454</v>
      </c>
      <c r="E265" s="42"/>
      <c r="F265" s="117">
        <v>4</v>
      </c>
      <c r="G265" s="8">
        <v>127000</v>
      </c>
      <c r="H265" s="8">
        <v>508000</v>
      </c>
      <c r="I265" s="191" t="s">
        <v>70</v>
      </c>
      <c r="J265" s="72"/>
      <c r="K265" s="7"/>
      <c r="L265" s="368"/>
      <c r="M265" s="365"/>
    </row>
    <row r="266" spans="1:13" s="78" customFormat="1" ht="18.75" customHeight="1" x14ac:dyDescent="0.4">
      <c r="A266" s="118">
        <v>46079</v>
      </c>
      <c r="B266" s="103" t="s">
        <v>61</v>
      </c>
      <c r="C266" s="115" t="s">
        <v>115</v>
      </c>
      <c r="D266" s="459" t="s">
        <v>194</v>
      </c>
      <c r="E266" s="42"/>
      <c r="F266" s="117">
        <v>1</v>
      </c>
      <c r="G266" s="8">
        <v>158000</v>
      </c>
      <c r="H266" s="8">
        <v>158000</v>
      </c>
      <c r="I266" s="191" t="s">
        <v>70</v>
      </c>
      <c r="J266" s="72"/>
      <c r="K266" s="7"/>
      <c r="L266" s="368"/>
      <c r="M266" s="365"/>
    </row>
    <row r="267" spans="1:13" s="78" customFormat="1" ht="18.75" customHeight="1" x14ac:dyDescent="0.4">
      <c r="A267" s="118">
        <v>46079</v>
      </c>
      <c r="B267" s="103" t="s">
        <v>61</v>
      </c>
      <c r="C267" s="115" t="s">
        <v>83</v>
      </c>
      <c r="D267" s="459" t="s">
        <v>84</v>
      </c>
      <c r="E267" s="42"/>
      <c r="F267" s="117">
        <v>2</v>
      </c>
      <c r="G267" s="8">
        <v>76500</v>
      </c>
      <c r="H267" s="8">
        <v>153000</v>
      </c>
      <c r="I267" s="191" t="s">
        <v>70</v>
      </c>
      <c r="J267" s="72"/>
      <c r="K267" s="7"/>
      <c r="L267" s="368"/>
      <c r="M267" s="365"/>
    </row>
    <row r="268" spans="1:13" s="78" customFormat="1" ht="18.75" customHeight="1" x14ac:dyDescent="0.4">
      <c r="A268" s="118">
        <v>46079</v>
      </c>
      <c r="B268" s="103" t="s">
        <v>61</v>
      </c>
      <c r="C268" s="115" t="s">
        <v>83</v>
      </c>
      <c r="D268" s="459" t="s">
        <v>84</v>
      </c>
      <c r="E268" s="42"/>
      <c r="F268" s="117">
        <v>2</v>
      </c>
      <c r="G268" s="8">
        <v>76500</v>
      </c>
      <c r="H268" s="8">
        <v>153000</v>
      </c>
      <c r="I268" s="191" t="s">
        <v>70</v>
      </c>
      <c r="J268" s="72"/>
      <c r="K268" s="7"/>
      <c r="L268" s="368"/>
      <c r="M268" s="365"/>
    </row>
    <row r="269" spans="1:13" s="78" customFormat="1" ht="18.75" customHeight="1" x14ac:dyDescent="0.4">
      <c r="A269" s="118">
        <v>46079</v>
      </c>
      <c r="B269" s="103" t="s">
        <v>61</v>
      </c>
      <c r="C269" s="115" t="s">
        <v>85</v>
      </c>
      <c r="D269" s="459" t="s">
        <v>86</v>
      </c>
      <c r="E269" s="42"/>
      <c r="F269" s="117">
        <v>2</v>
      </c>
      <c r="G269" s="8">
        <v>37700</v>
      </c>
      <c r="H269" s="8">
        <v>75400</v>
      </c>
      <c r="I269" s="191" t="s">
        <v>70</v>
      </c>
      <c r="J269" s="72"/>
      <c r="K269" s="7"/>
      <c r="L269" s="368"/>
      <c r="M269" s="365"/>
    </row>
    <row r="270" spans="1:13" s="78" customFormat="1" ht="18.75" customHeight="1" x14ac:dyDescent="0.4">
      <c r="A270" s="118">
        <v>46079</v>
      </c>
      <c r="B270" s="103" t="s">
        <v>61</v>
      </c>
      <c r="C270" s="115" t="s">
        <v>85</v>
      </c>
      <c r="D270" s="459" t="s">
        <v>86</v>
      </c>
      <c r="E270" s="42"/>
      <c r="F270" s="117">
        <v>2</v>
      </c>
      <c r="G270" s="8">
        <v>37700</v>
      </c>
      <c r="H270" s="8">
        <v>75400</v>
      </c>
      <c r="I270" s="191" t="s">
        <v>70</v>
      </c>
      <c r="J270" s="72"/>
      <c r="K270" s="7"/>
      <c r="L270" s="368"/>
      <c r="M270" s="365"/>
    </row>
    <row r="271" spans="1:13" s="78" customFormat="1" ht="18.75" customHeight="1" x14ac:dyDescent="0.4">
      <c r="A271" s="118">
        <v>46079</v>
      </c>
      <c r="B271" s="103" t="s">
        <v>61</v>
      </c>
      <c r="C271" s="115" t="s">
        <v>83</v>
      </c>
      <c r="D271" s="459" t="s">
        <v>87</v>
      </c>
      <c r="E271" s="42"/>
      <c r="F271" s="117">
        <v>2</v>
      </c>
      <c r="G271" s="8">
        <v>75300</v>
      </c>
      <c r="H271" s="8">
        <v>150600</v>
      </c>
      <c r="I271" s="191" t="s">
        <v>70</v>
      </c>
      <c r="J271" s="72"/>
      <c r="K271" s="7"/>
      <c r="L271" s="368"/>
      <c r="M271" s="365"/>
    </row>
    <row r="272" spans="1:13" s="78" customFormat="1" ht="18.75" customHeight="1" x14ac:dyDescent="0.4">
      <c r="A272" s="118">
        <v>46079</v>
      </c>
      <c r="B272" s="103" t="s">
        <v>61</v>
      </c>
      <c r="C272" s="115" t="s">
        <v>83</v>
      </c>
      <c r="D272" s="459" t="s">
        <v>87</v>
      </c>
      <c r="E272" s="42"/>
      <c r="F272" s="117">
        <v>2</v>
      </c>
      <c r="G272" s="8">
        <v>75300</v>
      </c>
      <c r="H272" s="8">
        <v>150600</v>
      </c>
      <c r="I272" s="191" t="s">
        <v>70</v>
      </c>
      <c r="J272" s="72"/>
      <c r="K272" s="7"/>
      <c r="L272" s="368"/>
      <c r="M272" s="365"/>
    </row>
    <row r="273" spans="1:13" s="78" customFormat="1" ht="18.75" customHeight="1" x14ac:dyDescent="0.4">
      <c r="A273" s="118">
        <v>46079</v>
      </c>
      <c r="B273" s="103" t="s">
        <v>61</v>
      </c>
      <c r="C273" s="115" t="s">
        <v>88</v>
      </c>
      <c r="D273" s="459" t="s">
        <v>89</v>
      </c>
      <c r="E273" s="42"/>
      <c r="F273" s="117">
        <v>4</v>
      </c>
      <c r="G273" s="8">
        <v>64000</v>
      </c>
      <c r="H273" s="8">
        <v>256000</v>
      </c>
      <c r="I273" s="191" t="s">
        <v>70</v>
      </c>
      <c r="J273" s="72"/>
      <c r="K273" s="7"/>
      <c r="L273" s="368"/>
      <c r="M273" s="365"/>
    </row>
    <row r="274" spans="1:13" s="78" customFormat="1" ht="18.75" customHeight="1" x14ac:dyDescent="0.4">
      <c r="A274" s="118">
        <v>46079</v>
      </c>
      <c r="B274" s="103" t="s">
        <v>61</v>
      </c>
      <c r="C274" s="115" t="s">
        <v>88</v>
      </c>
      <c r="D274" s="459" t="s">
        <v>89</v>
      </c>
      <c r="E274" s="42"/>
      <c r="F274" s="117">
        <v>4</v>
      </c>
      <c r="G274" s="8">
        <v>64000</v>
      </c>
      <c r="H274" s="8">
        <v>256000</v>
      </c>
      <c r="I274" s="191" t="s">
        <v>70</v>
      </c>
      <c r="J274" s="72"/>
      <c r="K274" s="7"/>
      <c r="L274" s="368"/>
      <c r="M274" s="365"/>
    </row>
    <row r="275" spans="1:13" s="78" customFormat="1" ht="18.75" customHeight="1" x14ac:dyDescent="0.4">
      <c r="A275" s="118">
        <v>46079</v>
      </c>
      <c r="B275" s="103" t="s">
        <v>61</v>
      </c>
      <c r="C275" s="115" t="s">
        <v>290</v>
      </c>
      <c r="D275" s="459" t="s">
        <v>291</v>
      </c>
      <c r="E275" s="42"/>
      <c r="F275" s="117">
        <v>2</v>
      </c>
      <c r="G275" s="8">
        <v>129000</v>
      </c>
      <c r="H275" s="8">
        <v>258000</v>
      </c>
      <c r="I275" s="191" t="s">
        <v>70</v>
      </c>
      <c r="J275" s="72"/>
      <c r="K275" s="7"/>
      <c r="L275" s="368"/>
      <c r="M275" s="365"/>
    </row>
    <row r="276" spans="1:13" s="78" customFormat="1" ht="18.75" customHeight="1" x14ac:dyDescent="0.4">
      <c r="A276" s="118">
        <v>46079</v>
      </c>
      <c r="B276" s="103" t="s">
        <v>61</v>
      </c>
      <c r="C276" s="115" t="s">
        <v>290</v>
      </c>
      <c r="D276" s="459" t="s">
        <v>291</v>
      </c>
      <c r="E276" s="42"/>
      <c r="F276" s="117">
        <v>2</v>
      </c>
      <c r="G276" s="8">
        <v>129000</v>
      </c>
      <c r="H276" s="8">
        <v>258000</v>
      </c>
      <c r="I276" s="191" t="s">
        <v>70</v>
      </c>
      <c r="J276" s="72"/>
      <c r="K276" s="7"/>
      <c r="L276" s="368"/>
      <c r="M276" s="365"/>
    </row>
    <row r="277" spans="1:13" s="78" customFormat="1" ht="18.75" customHeight="1" x14ac:dyDescent="0.4">
      <c r="A277" s="118">
        <v>46079</v>
      </c>
      <c r="B277" s="103" t="s">
        <v>61</v>
      </c>
      <c r="C277" s="115" t="s">
        <v>95</v>
      </c>
      <c r="D277" s="459" t="s">
        <v>96</v>
      </c>
      <c r="E277" s="42"/>
      <c r="F277" s="117">
        <v>12</v>
      </c>
      <c r="G277" s="8">
        <v>12000</v>
      </c>
      <c r="H277" s="8">
        <v>144000</v>
      </c>
      <c r="I277" s="191" t="s">
        <v>70</v>
      </c>
      <c r="J277" s="72"/>
      <c r="K277" s="7"/>
      <c r="L277" s="364"/>
      <c r="M277" s="365"/>
    </row>
    <row r="278" spans="1:13" s="78" customFormat="1" ht="18.75" customHeight="1" x14ac:dyDescent="0.4">
      <c r="A278" s="118">
        <v>46079</v>
      </c>
      <c r="B278" s="103" t="s">
        <v>61</v>
      </c>
      <c r="C278" s="115" t="s">
        <v>95</v>
      </c>
      <c r="D278" s="459" t="s">
        <v>96</v>
      </c>
      <c r="E278" s="42"/>
      <c r="F278" s="117">
        <v>12</v>
      </c>
      <c r="G278" s="8">
        <v>12000</v>
      </c>
      <c r="H278" s="8">
        <v>144000</v>
      </c>
      <c r="I278" s="191" t="s">
        <v>70</v>
      </c>
      <c r="J278" s="72"/>
      <c r="K278" s="7"/>
      <c r="L278" s="364"/>
      <c r="M278" s="365"/>
    </row>
    <row r="279" spans="1:13" s="78" customFormat="1" ht="18.75" customHeight="1" x14ac:dyDescent="0.4">
      <c r="A279" s="118">
        <v>46080</v>
      </c>
      <c r="B279" s="103" t="s">
        <v>61</v>
      </c>
      <c r="C279" s="115" t="s">
        <v>118</v>
      </c>
      <c r="D279" s="42" t="s">
        <v>119</v>
      </c>
      <c r="E279" s="42"/>
      <c r="F279" s="117">
        <v>10</v>
      </c>
      <c r="G279" s="8">
        <v>7790000</v>
      </c>
      <c r="H279" s="8">
        <v>77900000</v>
      </c>
      <c r="I279" s="191" t="s">
        <v>120</v>
      </c>
      <c r="J279" s="72"/>
      <c r="K279" s="7"/>
      <c r="L279" s="364"/>
      <c r="M279" s="89"/>
    </row>
    <row r="280" spans="1:13" s="78" customFormat="1" ht="18.75" customHeight="1" x14ac:dyDescent="0.4">
      <c r="A280" s="118">
        <v>46080</v>
      </c>
      <c r="B280" s="103" t="s">
        <v>61</v>
      </c>
      <c r="C280" s="115" t="s">
        <v>118</v>
      </c>
      <c r="D280" s="42" t="s">
        <v>119</v>
      </c>
      <c r="E280" s="42"/>
      <c r="F280" s="117">
        <v>10</v>
      </c>
      <c r="G280" s="8">
        <v>7790000</v>
      </c>
      <c r="H280" s="8">
        <v>77900000</v>
      </c>
      <c r="I280" s="191" t="s">
        <v>120</v>
      </c>
      <c r="J280" s="72"/>
      <c r="K280" s="7"/>
      <c r="L280" s="364"/>
      <c r="M280" s="89"/>
    </row>
    <row r="281" spans="1:13" s="78" customFormat="1" ht="18.75" customHeight="1" x14ac:dyDescent="0.4">
      <c r="A281" s="118">
        <v>46080</v>
      </c>
      <c r="B281" s="103" t="s">
        <v>61</v>
      </c>
      <c r="C281" s="115" t="s">
        <v>889</v>
      </c>
      <c r="D281" s="42" t="s">
        <v>890</v>
      </c>
      <c r="E281" s="42"/>
      <c r="F281" s="117">
        <v>1</v>
      </c>
      <c r="G281" s="8">
        <v>323420</v>
      </c>
      <c r="H281" s="8">
        <v>323420</v>
      </c>
      <c r="I281" s="191" t="s">
        <v>891</v>
      </c>
      <c r="J281" s="72"/>
      <c r="K281" s="7"/>
      <c r="L281" s="364"/>
      <c r="M281" s="89"/>
    </row>
    <row r="282" spans="1:13" s="78" customFormat="1" ht="18.75" customHeight="1" x14ac:dyDescent="0.4">
      <c r="A282" s="118">
        <v>46080</v>
      </c>
      <c r="B282" s="103" t="s">
        <v>61</v>
      </c>
      <c r="C282" s="115" t="s">
        <v>892</v>
      </c>
      <c r="D282" s="42" t="s">
        <v>893</v>
      </c>
      <c r="E282" s="42"/>
      <c r="F282" s="117">
        <v>2</v>
      </c>
      <c r="G282" s="8">
        <v>155530</v>
      </c>
      <c r="H282" s="8">
        <v>311060</v>
      </c>
      <c r="I282" s="191" t="s">
        <v>891</v>
      </c>
      <c r="J282" s="72"/>
      <c r="K282" s="7"/>
      <c r="L282" s="364"/>
      <c r="M282" s="89"/>
    </row>
    <row r="283" spans="1:13" s="78" customFormat="1" ht="18.75" customHeight="1" x14ac:dyDescent="0.4">
      <c r="A283" s="118">
        <v>46080</v>
      </c>
      <c r="B283" s="103" t="s">
        <v>61</v>
      </c>
      <c r="C283" s="115" t="s">
        <v>894</v>
      </c>
      <c r="D283" s="42" t="s">
        <v>895</v>
      </c>
      <c r="E283" s="42"/>
      <c r="F283" s="117">
        <v>2</v>
      </c>
      <c r="G283" s="8">
        <v>222480</v>
      </c>
      <c r="H283" s="8">
        <v>444960</v>
      </c>
      <c r="I283" s="191" t="s">
        <v>891</v>
      </c>
      <c r="J283" s="72"/>
      <c r="K283" s="7"/>
      <c r="L283" s="364"/>
      <c r="M283" s="89"/>
    </row>
    <row r="284" spans="1:13" s="78" customFormat="1" ht="18.75" customHeight="1" x14ac:dyDescent="0.4">
      <c r="A284" s="118">
        <v>46080</v>
      </c>
      <c r="B284" s="103" t="s">
        <v>61</v>
      </c>
      <c r="C284" s="115" t="s">
        <v>900</v>
      </c>
      <c r="D284" s="42" t="s">
        <v>901</v>
      </c>
      <c r="E284" s="42"/>
      <c r="F284" s="117">
        <v>4</v>
      </c>
      <c r="G284" s="8">
        <v>52100</v>
      </c>
      <c r="H284" s="8">
        <v>208400</v>
      </c>
      <c r="I284" s="191" t="s">
        <v>891</v>
      </c>
      <c r="J284" s="72"/>
      <c r="K284" s="7"/>
      <c r="L284" s="364"/>
      <c r="M284" s="89"/>
    </row>
    <row r="285" spans="1:13" s="78" customFormat="1" ht="18.75" customHeight="1" x14ac:dyDescent="0.4">
      <c r="A285" s="118">
        <v>46080</v>
      </c>
      <c r="B285" s="103" t="s">
        <v>61</v>
      </c>
      <c r="C285" s="115" t="s">
        <v>900</v>
      </c>
      <c r="D285" s="42" t="s">
        <v>902</v>
      </c>
      <c r="E285" s="42"/>
      <c r="F285" s="117">
        <v>16</v>
      </c>
      <c r="G285" s="8">
        <v>68340</v>
      </c>
      <c r="H285" s="8">
        <v>1093440</v>
      </c>
      <c r="I285" s="191" t="s">
        <v>891</v>
      </c>
      <c r="J285" s="72"/>
      <c r="K285" s="7"/>
      <c r="L285" s="364"/>
      <c r="M285" s="89"/>
    </row>
    <row r="286" spans="1:13" s="78" customFormat="1" ht="18.75" customHeight="1" x14ac:dyDescent="0.4">
      <c r="A286" s="118">
        <v>46080</v>
      </c>
      <c r="B286" s="103" t="s">
        <v>61</v>
      </c>
      <c r="C286" s="115" t="s">
        <v>900</v>
      </c>
      <c r="D286" s="42" t="s">
        <v>903</v>
      </c>
      <c r="E286" s="42"/>
      <c r="F286" s="117">
        <v>4</v>
      </c>
      <c r="G286" s="8">
        <v>55350</v>
      </c>
      <c r="H286" s="8">
        <v>221400</v>
      </c>
      <c r="I286" s="191" t="s">
        <v>891</v>
      </c>
      <c r="J286" s="72"/>
      <c r="K286" s="7"/>
      <c r="L286" s="364"/>
      <c r="M286" s="89"/>
    </row>
    <row r="287" spans="1:13" s="78" customFormat="1" ht="18.75" customHeight="1" x14ac:dyDescent="0.4">
      <c r="A287" s="118">
        <v>46080</v>
      </c>
      <c r="B287" s="103" t="s">
        <v>61</v>
      </c>
      <c r="C287" s="115" t="s">
        <v>904</v>
      </c>
      <c r="D287" s="459" t="s">
        <v>905</v>
      </c>
      <c r="E287" s="42"/>
      <c r="F287" s="117">
        <v>2</v>
      </c>
      <c r="G287" s="8">
        <v>719280</v>
      </c>
      <c r="H287" s="8">
        <v>1438560</v>
      </c>
      <c r="I287" s="191" t="s">
        <v>891</v>
      </c>
      <c r="J287" s="72"/>
      <c r="K287" s="7"/>
      <c r="L287" s="368"/>
      <c r="M287" s="50"/>
    </row>
    <row r="288" spans="1:13" s="78" customFormat="1" ht="18.75" customHeight="1" x14ac:dyDescent="0.4">
      <c r="A288" s="118">
        <v>46080</v>
      </c>
      <c r="B288" s="103" t="s">
        <v>61</v>
      </c>
      <c r="C288" s="115" t="s">
        <v>904</v>
      </c>
      <c r="D288" s="459" t="s">
        <v>906</v>
      </c>
      <c r="E288" s="42"/>
      <c r="F288" s="117">
        <v>2</v>
      </c>
      <c r="G288" s="8">
        <v>1103490</v>
      </c>
      <c r="H288" s="8">
        <v>2206980</v>
      </c>
      <c r="I288" s="191" t="s">
        <v>891</v>
      </c>
      <c r="J288" s="72"/>
      <c r="K288" s="7"/>
      <c r="L288" s="368"/>
      <c r="M288" s="50"/>
    </row>
    <row r="289" spans="1:13" s="78" customFormat="1" ht="18.75" customHeight="1" x14ac:dyDescent="0.4">
      <c r="A289" s="118">
        <v>46080</v>
      </c>
      <c r="B289" s="103" t="s">
        <v>61</v>
      </c>
      <c r="C289" s="115" t="s">
        <v>103</v>
      </c>
      <c r="D289" s="459" t="s">
        <v>907</v>
      </c>
      <c r="E289" s="42"/>
      <c r="F289" s="117">
        <v>2</v>
      </c>
      <c r="G289" s="8">
        <v>399350</v>
      </c>
      <c r="H289" s="8">
        <v>798700</v>
      </c>
      <c r="I289" s="191" t="s">
        <v>891</v>
      </c>
      <c r="J289" s="72"/>
      <c r="K289" s="7"/>
      <c r="L289" s="368"/>
      <c r="M289" s="50"/>
    </row>
    <row r="290" spans="1:13" s="78" customFormat="1" ht="18.75" customHeight="1" x14ac:dyDescent="0.4">
      <c r="A290" s="118">
        <v>46080</v>
      </c>
      <c r="B290" s="103" t="s">
        <v>61</v>
      </c>
      <c r="C290" s="115" t="s">
        <v>103</v>
      </c>
      <c r="D290" s="459" t="s">
        <v>913</v>
      </c>
      <c r="E290" s="42"/>
      <c r="F290" s="117">
        <v>2</v>
      </c>
      <c r="G290" s="8">
        <v>320310</v>
      </c>
      <c r="H290" s="8">
        <v>640620</v>
      </c>
      <c r="I290" s="191" t="s">
        <v>891</v>
      </c>
      <c r="J290" s="72"/>
      <c r="K290" s="7"/>
      <c r="L290" s="368"/>
      <c r="M290" s="50"/>
    </row>
    <row r="291" spans="1:13" s="78" customFormat="1" ht="18.75" customHeight="1" x14ac:dyDescent="0.4">
      <c r="A291" s="118">
        <v>46080</v>
      </c>
      <c r="B291" s="103" t="s">
        <v>61</v>
      </c>
      <c r="C291" s="115" t="s">
        <v>110</v>
      </c>
      <c r="D291" s="459" t="s">
        <v>111</v>
      </c>
      <c r="E291" s="42"/>
      <c r="F291" s="117">
        <v>2</v>
      </c>
      <c r="G291" s="8">
        <v>102070</v>
      </c>
      <c r="H291" s="8">
        <v>204140</v>
      </c>
      <c r="I291" s="191" t="s">
        <v>891</v>
      </c>
      <c r="J291" s="72"/>
      <c r="K291" s="7"/>
      <c r="L291" s="368"/>
      <c r="M291" s="50"/>
    </row>
    <row r="292" spans="1:13" s="78" customFormat="1" ht="18.75" customHeight="1" x14ac:dyDescent="0.4">
      <c r="A292" s="118">
        <v>46080</v>
      </c>
      <c r="B292" s="103" t="s">
        <v>61</v>
      </c>
      <c r="C292" s="115" t="s">
        <v>916</v>
      </c>
      <c r="D292" s="459" t="s">
        <v>917</v>
      </c>
      <c r="E292" s="42"/>
      <c r="F292" s="117">
        <v>1</v>
      </c>
      <c r="G292" s="8">
        <v>811200</v>
      </c>
      <c r="H292" s="8">
        <v>811200</v>
      </c>
      <c r="I292" s="191" t="s">
        <v>891</v>
      </c>
      <c r="J292" s="72"/>
      <c r="K292" s="7"/>
      <c r="L292" s="368"/>
      <c r="M292" s="50"/>
    </row>
    <row r="293" spans="1:13" s="78" customFormat="1" ht="18.75" customHeight="1" x14ac:dyDescent="0.4">
      <c r="A293" s="118">
        <v>46080</v>
      </c>
      <c r="B293" s="103" t="s">
        <v>61</v>
      </c>
      <c r="C293" s="115" t="s">
        <v>898</v>
      </c>
      <c r="D293" s="459" t="s">
        <v>899</v>
      </c>
      <c r="E293" s="42"/>
      <c r="F293" s="117">
        <v>1</v>
      </c>
      <c r="G293" s="8">
        <v>350000</v>
      </c>
      <c r="H293" s="8">
        <v>350000</v>
      </c>
      <c r="I293" s="191" t="s">
        <v>891</v>
      </c>
      <c r="J293" s="72"/>
      <c r="K293" s="7"/>
      <c r="L293" s="368"/>
      <c r="M293" s="50"/>
    </row>
    <row r="294" spans="1:13" s="78" customFormat="1" ht="18.75" customHeight="1" x14ac:dyDescent="0.4">
      <c r="A294" s="118">
        <v>46080</v>
      </c>
      <c r="B294" s="103" t="s">
        <v>61</v>
      </c>
      <c r="C294" s="115" t="s">
        <v>190</v>
      </c>
      <c r="D294" s="459" t="s">
        <v>214</v>
      </c>
      <c r="E294" s="42"/>
      <c r="F294" s="117">
        <v>4</v>
      </c>
      <c r="G294" s="8">
        <v>181000</v>
      </c>
      <c r="H294" s="8">
        <v>724000</v>
      </c>
      <c r="I294" s="191" t="s">
        <v>891</v>
      </c>
      <c r="J294" s="72"/>
      <c r="K294" s="7"/>
      <c r="L294" s="368"/>
      <c r="M294" s="50"/>
    </row>
    <row r="295" spans="1:13" s="78" customFormat="1" ht="18.75" customHeight="1" x14ac:dyDescent="0.4">
      <c r="A295" s="118">
        <v>46080</v>
      </c>
      <c r="B295" s="103" t="s">
        <v>61</v>
      </c>
      <c r="C295" s="115" t="s">
        <v>103</v>
      </c>
      <c r="D295" s="459" t="s">
        <v>414</v>
      </c>
      <c r="E295" s="42"/>
      <c r="F295" s="117">
        <v>2</v>
      </c>
      <c r="G295" s="8">
        <v>235000</v>
      </c>
      <c r="H295" s="8">
        <v>470000</v>
      </c>
      <c r="I295" s="191" t="s">
        <v>891</v>
      </c>
      <c r="J295" s="72"/>
      <c r="K295" s="7"/>
      <c r="L295" s="368"/>
      <c r="M295" s="50"/>
    </row>
    <row r="296" spans="1:13" s="78" customFormat="1" ht="18.75" customHeight="1" x14ac:dyDescent="0.4">
      <c r="A296" s="118">
        <v>46080</v>
      </c>
      <c r="B296" s="103" t="s">
        <v>61</v>
      </c>
      <c r="C296" s="115" t="s">
        <v>103</v>
      </c>
      <c r="D296" s="459" t="s">
        <v>415</v>
      </c>
      <c r="E296" s="42"/>
      <c r="F296" s="117">
        <v>2</v>
      </c>
      <c r="G296" s="8">
        <v>225000</v>
      </c>
      <c r="H296" s="8">
        <v>450000</v>
      </c>
      <c r="I296" s="191" t="s">
        <v>891</v>
      </c>
      <c r="J296" s="72"/>
      <c r="K296" s="7"/>
      <c r="L296" s="368"/>
      <c r="M296" s="50"/>
    </row>
    <row r="297" spans="1:13" s="78" customFormat="1" ht="18.75" customHeight="1" x14ac:dyDescent="0.4">
      <c r="A297" s="118">
        <v>46080</v>
      </c>
      <c r="B297" s="103" t="s">
        <v>61</v>
      </c>
      <c r="C297" s="115" t="s">
        <v>908</v>
      </c>
      <c r="D297" s="459" t="s">
        <v>909</v>
      </c>
      <c r="E297" s="42"/>
      <c r="F297" s="117">
        <v>2</v>
      </c>
      <c r="G297" s="8">
        <v>2566000</v>
      </c>
      <c r="H297" s="8">
        <v>5132000</v>
      </c>
      <c r="I297" s="191" t="s">
        <v>891</v>
      </c>
      <c r="J297" s="72"/>
      <c r="K297" s="7"/>
      <c r="L297" s="368"/>
      <c r="M297" s="50"/>
    </row>
    <row r="298" spans="1:13" s="78" customFormat="1" ht="18.75" customHeight="1" x14ac:dyDescent="0.4">
      <c r="A298" s="118">
        <v>46080</v>
      </c>
      <c r="B298" s="103" t="s">
        <v>61</v>
      </c>
      <c r="C298" s="115" t="s">
        <v>910</v>
      </c>
      <c r="D298" s="459" t="s">
        <v>911</v>
      </c>
      <c r="E298" s="42"/>
      <c r="F298" s="117">
        <v>1</v>
      </c>
      <c r="G298" s="8">
        <v>2566000</v>
      </c>
      <c r="H298" s="8">
        <v>2566000</v>
      </c>
      <c r="I298" s="191" t="s">
        <v>891</v>
      </c>
      <c r="J298" s="72"/>
      <c r="K298" s="7"/>
      <c r="L298" s="368"/>
      <c r="M298" s="50"/>
    </row>
    <row r="299" spans="1:13" s="78" customFormat="1" ht="18.75" customHeight="1" x14ac:dyDescent="0.4">
      <c r="A299" s="118">
        <v>46080</v>
      </c>
      <c r="B299" s="103" t="s">
        <v>61</v>
      </c>
      <c r="C299" s="115" t="s">
        <v>106</v>
      </c>
      <c r="D299" s="459" t="s">
        <v>107</v>
      </c>
      <c r="E299" s="42"/>
      <c r="F299" s="117">
        <v>4</v>
      </c>
      <c r="G299" s="8">
        <v>333000</v>
      </c>
      <c r="H299" s="8">
        <v>1332000</v>
      </c>
      <c r="I299" s="191" t="s">
        <v>891</v>
      </c>
      <c r="J299" s="72"/>
      <c r="K299" s="7"/>
      <c r="L299" s="368"/>
      <c r="M299" s="50"/>
    </row>
    <row r="300" spans="1:13" s="78" customFormat="1" ht="18.75" customHeight="1" x14ac:dyDescent="0.4">
      <c r="A300" s="118">
        <v>46080</v>
      </c>
      <c r="B300" s="103" t="s">
        <v>61</v>
      </c>
      <c r="C300" s="115" t="s">
        <v>103</v>
      </c>
      <c r="D300" s="459" t="s">
        <v>914</v>
      </c>
      <c r="E300" s="42"/>
      <c r="F300" s="117">
        <v>2</v>
      </c>
      <c r="G300" s="8">
        <v>155000</v>
      </c>
      <c r="H300" s="8">
        <v>310000</v>
      </c>
      <c r="I300" s="191" t="s">
        <v>891</v>
      </c>
      <c r="J300" s="72"/>
      <c r="K300" s="7"/>
      <c r="L300" s="368"/>
      <c r="M300" s="50"/>
    </row>
    <row r="301" spans="1:13" s="78" customFormat="1" ht="18.75" customHeight="1" x14ac:dyDescent="0.4">
      <c r="A301" s="118">
        <v>46080</v>
      </c>
      <c r="B301" s="103" t="s">
        <v>61</v>
      </c>
      <c r="C301" s="115" t="s">
        <v>103</v>
      </c>
      <c r="D301" s="459" t="s">
        <v>915</v>
      </c>
      <c r="E301" s="42"/>
      <c r="F301" s="117">
        <v>2</v>
      </c>
      <c r="G301" s="8">
        <v>170000</v>
      </c>
      <c r="H301" s="8">
        <v>340000</v>
      </c>
      <c r="I301" s="191" t="s">
        <v>891</v>
      </c>
      <c r="J301" s="72"/>
      <c r="K301" s="7"/>
      <c r="L301" s="368"/>
      <c r="M301" s="50"/>
    </row>
    <row r="302" spans="1:13" s="261" customFormat="1" ht="19.5" customHeight="1" x14ac:dyDescent="0.4">
      <c r="A302" s="248">
        <v>46022</v>
      </c>
      <c r="B302" s="240" t="s">
        <v>218</v>
      </c>
      <c r="C302" s="259" t="s">
        <v>32</v>
      </c>
      <c r="D302" s="257" t="s">
        <v>624</v>
      </c>
      <c r="E302" s="257" t="s">
        <v>13</v>
      </c>
      <c r="F302" s="259">
        <v>2</v>
      </c>
      <c r="G302" s="259">
        <v>440000</v>
      </c>
      <c r="H302" s="259">
        <f>F302*G302</f>
        <v>880000</v>
      </c>
      <c r="I302" s="263" t="s">
        <v>834</v>
      </c>
      <c r="J302" s="260"/>
      <c r="K302" s="258" t="s">
        <v>706</v>
      </c>
      <c r="L302" s="258"/>
    </row>
    <row r="303" spans="1:13" s="261" customFormat="1" ht="19.5" customHeight="1" x14ac:dyDescent="0.4">
      <c r="A303" s="248">
        <v>46022</v>
      </c>
      <c r="B303" s="240" t="s">
        <v>218</v>
      </c>
      <c r="C303" s="259" t="s">
        <v>105</v>
      </c>
      <c r="D303" s="257" t="s">
        <v>625</v>
      </c>
      <c r="E303" s="257" t="s">
        <v>13</v>
      </c>
      <c r="F303" s="259">
        <v>3</v>
      </c>
      <c r="G303" s="259">
        <v>1168000</v>
      </c>
      <c r="H303" s="259">
        <f>F303*G303</f>
        <v>3504000</v>
      </c>
      <c r="I303" s="263" t="s">
        <v>834</v>
      </c>
      <c r="J303" s="260"/>
      <c r="K303" s="258" t="s">
        <v>706</v>
      </c>
      <c r="L303" s="258"/>
    </row>
    <row r="304" spans="1:13" s="78" customFormat="1" ht="18.75" customHeight="1" x14ac:dyDescent="0.4">
      <c r="A304" s="105">
        <v>46080</v>
      </c>
      <c r="B304" s="106" t="s">
        <v>61</v>
      </c>
      <c r="C304" s="192" t="s">
        <v>99</v>
      </c>
      <c r="D304" s="367" t="s">
        <v>100</v>
      </c>
      <c r="E304" s="76"/>
      <c r="F304" s="422">
        <v>1</v>
      </c>
      <c r="G304" s="7">
        <v>543000</v>
      </c>
      <c r="H304" s="8">
        <f t="shared" ref="H304:H319" si="7">+G304*F304</f>
        <v>543000</v>
      </c>
      <c r="I304" s="141" t="s">
        <v>70</v>
      </c>
      <c r="J304" s="72" t="s">
        <v>923</v>
      </c>
      <c r="K304" s="7"/>
      <c r="L304" s="368"/>
      <c r="M304" s="50"/>
    </row>
    <row r="305" spans="1:13" s="78" customFormat="1" ht="18.75" customHeight="1" x14ac:dyDescent="0.4">
      <c r="A305" s="105">
        <v>46080</v>
      </c>
      <c r="B305" s="106" t="s">
        <v>61</v>
      </c>
      <c r="C305" s="192" t="s">
        <v>99</v>
      </c>
      <c r="D305" s="367" t="s">
        <v>100</v>
      </c>
      <c r="E305" s="76"/>
      <c r="F305" s="422">
        <v>2</v>
      </c>
      <c r="G305" s="7">
        <v>543000</v>
      </c>
      <c r="H305" s="8">
        <f t="shared" si="7"/>
        <v>1086000</v>
      </c>
      <c r="I305" s="141" t="s">
        <v>70</v>
      </c>
      <c r="J305" s="72" t="s">
        <v>924</v>
      </c>
      <c r="K305" s="7"/>
      <c r="L305" s="368"/>
      <c r="M305" s="50"/>
    </row>
    <row r="306" spans="1:13" s="78" customFormat="1" ht="18.75" customHeight="1" x14ac:dyDescent="0.4">
      <c r="A306" s="105">
        <v>46080</v>
      </c>
      <c r="B306" s="106" t="s">
        <v>61</v>
      </c>
      <c r="C306" s="192" t="s">
        <v>68</v>
      </c>
      <c r="D306" s="367" t="s">
        <v>69</v>
      </c>
      <c r="E306" s="76"/>
      <c r="F306" s="422">
        <v>6</v>
      </c>
      <c r="G306" s="7">
        <v>359000</v>
      </c>
      <c r="H306" s="8">
        <f t="shared" si="7"/>
        <v>2154000</v>
      </c>
      <c r="I306" s="141" t="s">
        <v>70</v>
      </c>
      <c r="J306" s="72" t="s">
        <v>925</v>
      </c>
      <c r="K306" s="7"/>
      <c r="L306" s="368"/>
      <c r="M306" s="50"/>
    </row>
    <row r="307" spans="1:13" s="78" customFormat="1" ht="18.75" customHeight="1" x14ac:dyDescent="0.4">
      <c r="A307" s="105">
        <v>46080</v>
      </c>
      <c r="B307" s="106" t="s">
        <v>61</v>
      </c>
      <c r="C307" s="192" t="s">
        <v>68</v>
      </c>
      <c r="D307" s="367" t="s">
        <v>69</v>
      </c>
      <c r="E307" s="76"/>
      <c r="F307" s="422">
        <v>6</v>
      </c>
      <c r="G307" s="7">
        <v>359000</v>
      </c>
      <c r="H307" s="8">
        <f t="shared" si="7"/>
        <v>2154000</v>
      </c>
      <c r="I307" s="141" t="s">
        <v>70</v>
      </c>
      <c r="J307" s="72" t="s">
        <v>926</v>
      </c>
      <c r="K307" s="7"/>
      <c r="L307" s="368"/>
      <c r="M307" s="50"/>
    </row>
    <row r="308" spans="1:13" s="78" customFormat="1" ht="18.75" customHeight="1" x14ac:dyDescent="0.4">
      <c r="A308" s="105">
        <v>46080</v>
      </c>
      <c r="B308" s="106" t="s">
        <v>61</v>
      </c>
      <c r="C308" s="192" t="s">
        <v>68</v>
      </c>
      <c r="D308" s="367" t="s">
        <v>69</v>
      </c>
      <c r="E308" s="76"/>
      <c r="F308" s="422">
        <v>6</v>
      </c>
      <c r="G308" s="7">
        <v>359000</v>
      </c>
      <c r="H308" s="8">
        <f t="shared" si="7"/>
        <v>2154000</v>
      </c>
      <c r="I308" s="141" t="s">
        <v>70</v>
      </c>
      <c r="J308" s="72" t="s">
        <v>927</v>
      </c>
      <c r="K308" s="7"/>
      <c r="L308" s="368"/>
      <c r="M308" s="50"/>
    </row>
    <row r="309" spans="1:13" s="78" customFormat="1" ht="18.75" customHeight="1" x14ac:dyDescent="0.4">
      <c r="A309" s="105">
        <v>46080</v>
      </c>
      <c r="B309" s="106" t="s">
        <v>61</v>
      </c>
      <c r="C309" s="192" t="s">
        <v>202</v>
      </c>
      <c r="D309" s="367" t="s">
        <v>928</v>
      </c>
      <c r="E309" s="76"/>
      <c r="F309" s="422">
        <v>1</v>
      </c>
      <c r="G309" s="7">
        <v>384000</v>
      </c>
      <c r="H309" s="8">
        <f t="shared" si="7"/>
        <v>384000</v>
      </c>
      <c r="I309" s="141" t="s">
        <v>929</v>
      </c>
      <c r="J309" s="72" t="s">
        <v>930</v>
      </c>
      <c r="K309" s="7"/>
      <c r="L309" s="368"/>
      <c r="M309" s="50"/>
    </row>
    <row r="310" spans="1:13" s="78" customFormat="1" ht="18.75" customHeight="1" x14ac:dyDescent="0.4">
      <c r="A310" s="105">
        <v>46080</v>
      </c>
      <c r="B310" s="106" t="s">
        <v>61</v>
      </c>
      <c r="C310" s="192" t="s">
        <v>62</v>
      </c>
      <c r="D310" s="367" t="s">
        <v>75</v>
      </c>
      <c r="E310" s="76"/>
      <c r="F310" s="422">
        <v>3</v>
      </c>
      <c r="G310" s="7">
        <v>442000</v>
      </c>
      <c r="H310" s="8">
        <f t="shared" si="7"/>
        <v>1326000</v>
      </c>
      <c r="I310" s="141" t="s">
        <v>740</v>
      </c>
      <c r="J310" s="72" t="s">
        <v>931</v>
      </c>
      <c r="K310" s="7"/>
      <c r="L310" s="368"/>
      <c r="M310" s="50"/>
    </row>
    <row r="311" spans="1:13" s="78" customFormat="1" ht="18.75" customHeight="1" x14ac:dyDescent="0.4">
      <c r="A311" s="105">
        <v>46080</v>
      </c>
      <c r="B311" s="106" t="s">
        <v>61</v>
      </c>
      <c r="C311" s="192" t="s">
        <v>62</v>
      </c>
      <c r="D311" s="367" t="s">
        <v>75</v>
      </c>
      <c r="E311" s="76"/>
      <c r="F311" s="422">
        <v>6</v>
      </c>
      <c r="G311" s="7">
        <v>442000</v>
      </c>
      <c r="H311" s="8">
        <f t="shared" si="7"/>
        <v>2652000</v>
      </c>
      <c r="I311" s="141" t="s">
        <v>886</v>
      </c>
      <c r="J311" s="72" t="s">
        <v>932</v>
      </c>
      <c r="K311" s="7"/>
      <c r="L311" s="368"/>
      <c r="M311" s="50"/>
    </row>
    <row r="312" spans="1:13" s="78" customFormat="1" ht="18.75" customHeight="1" x14ac:dyDescent="0.4">
      <c r="A312" s="105">
        <v>46080</v>
      </c>
      <c r="B312" s="106" t="s">
        <v>61</v>
      </c>
      <c r="C312" s="192" t="s">
        <v>81</v>
      </c>
      <c r="D312" s="367" t="s">
        <v>82</v>
      </c>
      <c r="E312" s="76"/>
      <c r="F312" s="422">
        <v>10</v>
      </c>
      <c r="G312" s="7">
        <v>86300</v>
      </c>
      <c r="H312" s="8">
        <f t="shared" si="7"/>
        <v>863000</v>
      </c>
      <c r="I312" s="141" t="s">
        <v>886</v>
      </c>
      <c r="J312" s="72" t="s">
        <v>932</v>
      </c>
      <c r="K312" s="7"/>
      <c r="L312" s="368"/>
      <c r="M312" s="50"/>
    </row>
    <row r="313" spans="1:13" s="78" customFormat="1" ht="18.75" customHeight="1" x14ac:dyDescent="0.4">
      <c r="A313" s="105">
        <v>46080</v>
      </c>
      <c r="B313" s="106" t="s">
        <v>61</v>
      </c>
      <c r="C313" s="192" t="s">
        <v>64</v>
      </c>
      <c r="D313" s="367" t="s">
        <v>888</v>
      </c>
      <c r="E313" s="76"/>
      <c r="F313" s="422">
        <v>2</v>
      </c>
      <c r="G313" s="7">
        <v>1568700</v>
      </c>
      <c r="H313" s="8">
        <f t="shared" si="7"/>
        <v>3137400</v>
      </c>
      <c r="I313" s="141" t="s">
        <v>568</v>
      </c>
      <c r="J313" s="72" t="s">
        <v>930</v>
      </c>
      <c r="K313" s="7"/>
      <c r="L313" s="368"/>
      <c r="M313" s="50"/>
    </row>
    <row r="314" spans="1:13" s="78" customFormat="1" ht="18.75" customHeight="1" x14ac:dyDescent="0.4">
      <c r="A314" s="105">
        <v>46080</v>
      </c>
      <c r="B314" s="106" t="s">
        <v>61</v>
      </c>
      <c r="C314" s="192" t="s">
        <v>204</v>
      </c>
      <c r="D314" s="367" t="s">
        <v>205</v>
      </c>
      <c r="E314" s="76"/>
      <c r="F314" s="422">
        <v>3</v>
      </c>
      <c r="G314" s="7">
        <v>1295000</v>
      </c>
      <c r="H314" s="8">
        <f t="shared" si="7"/>
        <v>3885000</v>
      </c>
      <c r="I314" s="141" t="s">
        <v>740</v>
      </c>
      <c r="J314" s="72" t="s">
        <v>931</v>
      </c>
      <c r="K314" s="7"/>
      <c r="L314" s="368"/>
      <c r="M314" s="50"/>
    </row>
    <row r="315" spans="1:13" s="78" customFormat="1" ht="18.75" customHeight="1" x14ac:dyDescent="0.4">
      <c r="A315" s="105">
        <v>46080</v>
      </c>
      <c r="B315" s="106" t="s">
        <v>61</v>
      </c>
      <c r="C315" s="192" t="s">
        <v>204</v>
      </c>
      <c r="D315" s="367" t="s">
        <v>205</v>
      </c>
      <c r="E315" s="76"/>
      <c r="F315" s="422">
        <v>10</v>
      </c>
      <c r="G315" s="7">
        <v>1295000</v>
      </c>
      <c r="H315" s="8">
        <f t="shared" si="7"/>
        <v>12950000</v>
      </c>
      <c r="I315" s="141" t="s">
        <v>886</v>
      </c>
      <c r="J315" s="72" t="s">
        <v>932</v>
      </c>
      <c r="K315" s="7"/>
      <c r="L315" s="368"/>
      <c r="M315" s="50"/>
    </row>
    <row r="316" spans="1:13" s="78" customFormat="1" ht="18.75" customHeight="1" x14ac:dyDescent="0.4">
      <c r="A316" s="105">
        <v>46080</v>
      </c>
      <c r="B316" s="106" t="s">
        <v>61</v>
      </c>
      <c r="C316" s="192" t="s">
        <v>204</v>
      </c>
      <c r="D316" s="367" t="s">
        <v>205</v>
      </c>
      <c r="E316" s="76"/>
      <c r="F316" s="422">
        <v>3</v>
      </c>
      <c r="G316" s="7">
        <v>1295000</v>
      </c>
      <c r="H316" s="8">
        <f t="shared" si="7"/>
        <v>3885000</v>
      </c>
      <c r="I316" s="141" t="s">
        <v>887</v>
      </c>
      <c r="J316" s="72" t="s">
        <v>933</v>
      </c>
      <c r="K316" s="7"/>
      <c r="L316" s="368"/>
      <c r="M316" s="50"/>
    </row>
    <row r="317" spans="1:13" s="78" customFormat="1" ht="18.75" customHeight="1" x14ac:dyDescent="0.4">
      <c r="A317" s="105">
        <v>46080</v>
      </c>
      <c r="B317" s="106" t="s">
        <v>61</v>
      </c>
      <c r="C317" s="192" t="s">
        <v>81</v>
      </c>
      <c r="D317" s="367" t="s">
        <v>219</v>
      </c>
      <c r="E317" s="76"/>
      <c r="F317" s="422">
        <v>12</v>
      </c>
      <c r="G317" s="7">
        <v>78850</v>
      </c>
      <c r="H317" s="8">
        <f t="shared" si="7"/>
        <v>946200</v>
      </c>
      <c r="I317" s="141" t="s">
        <v>738</v>
      </c>
      <c r="J317" s="72" t="s">
        <v>934</v>
      </c>
      <c r="K317" s="7"/>
      <c r="L317" s="368"/>
      <c r="M317" s="50"/>
    </row>
    <row r="318" spans="1:13" s="78" customFormat="1" ht="18.75" customHeight="1" x14ac:dyDescent="0.4">
      <c r="A318" s="105">
        <v>46080</v>
      </c>
      <c r="B318" s="106" t="s">
        <v>61</v>
      </c>
      <c r="C318" s="192" t="s">
        <v>62</v>
      </c>
      <c r="D318" s="367" t="s">
        <v>209</v>
      </c>
      <c r="E318" s="76"/>
      <c r="F318" s="422">
        <v>12</v>
      </c>
      <c r="G318" s="7">
        <v>390000</v>
      </c>
      <c r="H318" s="8">
        <f t="shared" si="7"/>
        <v>4680000</v>
      </c>
      <c r="I318" s="141" t="s">
        <v>935</v>
      </c>
      <c r="J318" s="72" t="s">
        <v>936</v>
      </c>
      <c r="K318" s="7" t="s">
        <v>937</v>
      </c>
      <c r="L318" s="368"/>
      <c r="M318" s="50"/>
    </row>
    <row r="319" spans="1:13" s="78" customFormat="1" ht="18.75" customHeight="1" x14ac:dyDescent="0.4">
      <c r="A319" s="105">
        <v>46080</v>
      </c>
      <c r="B319" s="423" t="s">
        <v>61</v>
      </c>
      <c r="C319" s="424" t="s">
        <v>428</v>
      </c>
      <c r="D319" s="419" t="s">
        <v>289</v>
      </c>
      <c r="E319" s="420"/>
      <c r="F319" s="425">
        <v>6</v>
      </c>
      <c r="G319" s="421">
        <v>390000</v>
      </c>
      <c r="H319" s="421">
        <f t="shared" si="7"/>
        <v>2340000</v>
      </c>
      <c r="I319" s="426" t="s">
        <v>938</v>
      </c>
      <c r="J319" s="427" t="s">
        <v>934</v>
      </c>
      <c r="K319" s="421" t="s">
        <v>939</v>
      </c>
      <c r="L319" s="368"/>
      <c r="M319" s="50"/>
    </row>
    <row r="320" spans="1:13" ht="18.75" customHeight="1" x14ac:dyDescent="0.4">
      <c r="A320" s="193"/>
      <c r="B320" s="194"/>
      <c r="C320" s="40"/>
      <c r="D320" s="194"/>
      <c r="E320" s="194"/>
      <c r="F320" s="138">
        <f>SUM(F131:F319)</f>
        <v>734</v>
      </c>
      <c r="G320" s="138"/>
      <c r="H320" s="138">
        <f>SUM(H123:H301)</f>
        <v>523861540</v>
      </c>
      <c r="I320" s="138">
        <v>560543110</v>
      </c>
      <c r="J320" s="145">
        <f>H320-I320</f>
        <v>-36681570</v>
      </c>
      <c r="K320" s="145">
        <f>J320/5</f>
        <v>-7336314</v>
      </c>
      <c r="L320" s="370"/>
    </row>
    <row r="321" spans="1:13" s="19" customFormat="1" ht="19.5" customHeight="1" x14ac:dyDescent="0.4">
      <c r="A321" s="4">
        <v>46045</v>
      </c>
      <c r="B321" s="5" t="s">
        <v>134</v>
      </c>
      <c r="C321" s="6" t="s">
        <v>385</v>
      </c>
      <c r="D321" s="1" t="s">
        <v>386</v>
      </c>
      <c r="E321" s="1" t="s">
        <v>17</v>
      </c>
      <c r="F321" s="36">
        <v>66</v>
      </c>
      <c r="G321" s="7">
        <v>185800</v>
      </c>
      <c r="H321" s="7">
        <f t="shared" ref="H321:H350" si="8">F321*G321</f>
        <v>12262800</v>
      </c>
      <c r="I321" s="142" t="s">
        <v>1057</v>
      </c>
      <c r="J321" s="66"/>
      <c r="K321" s="66"/>
      <c r="L321" s="408"/>
      <c r="M321" s="200"/>
    </row>
    <row r="322" spans="1:13" s="19" customFormat="1" ht="19.5" customHeight="1" x14ac:dyDescent="0.4">
      <c r="A322" s="4">
        <v>46051</v>
      </c>
      <c r="B322" s="5" t="s">
        <v>134</v>
      </c>
      <c r="C322" s="6" t="s">
        <v>135</v>
      </c>
      <c r="D322" s="1" t="s">
        <v>325</v>
      </c>
      <c r="E322" s="1" t="s">
        <v>17</v>
      </c>
      <c r="F322" s="36">
        <v>100</v>
      </c>
      <c r="G322" s="7">
        <v>115150</v>
      </c>
      <c r="H322" s="7">
        <f t="shared" si="8"/>
        <v>11515000</v>
      </c>
      <c r="I322" s="142" t="s">
        <v>1057</v>
      </c>
      <c r="J322" s="66"/>
      <c r="K322" s="66"/>
      <c r="L322" s="408"/>
      <c r="M322" s="200"/>
    </row>
    <row r="323" spans="1:13" s="19" customFormat="1" ht="19.5" customHeight="1" x14ac:dyDescent="0.4">
      <c r="A323" s="4">
        <v>46051</v>
      </c>
      <c r="B323" s="5" t="s">
        <v>134</v>
      </c>
      <c r="C323" s="6" t="s">
        <v>369</v>
      </c>
      <c r="D323" s="42" t="s">
        <v>470</v>
      </c>
      <c r="E323" s="1" t="s">
        <v>17</v>
      </c>
      <c r="F323" s="36">
        <v>100</v>
      </c>
      <c r="G323" s="7">
        <v>99220</v>
      </c>
      <c r="H323" s="7">
        <f t="shared" si="8"/>
        <v>9922000</v>
      </c>
      <c r="I323" s="142" t="s">
        <v>1057</v>
      </c>
      <c r="J323" s="66"/>
      <c r="K323" s="66"/>
      <c r="L323" s="408"/>
      <c r="M323" s="200"/>
    </row>
    <row r="324" spans="1:13" s="19" customFormat="1" ht="19.5" customHeight="1" x14ac:dyDescent="0.4">
      <c r="A324" s="4">
        <v>46051</v>
      </c>
      <c r="B324" s="5" t="s">
        <v>134</v>
      </c>
      <c r="C324" s="6" t="s">
        <v>320</v>
      </c>
      <c r="D324" s="1" t="s">
        <v>324</v>
      </c>
      <c r="E324" s="1" t="s">
        <v>127</v>
      </c>
      <c r="F324" s="36">
        <v>12</v>
      </c>
      <c r="G324" s="7">
        <v>20000</v>
      </c>
      <c r="H324" s="7">
        <f t="shared" si="8"/>
        <v>240000</v>
      </c>
      <c r="I324" s="142" t="s">
        <v>1057</v>
      </c>
      <c r="J324" s="66"/>
      <c r="K324" s="66"/>
      <c r="L324" s="408"/>
      <c r="M324" s="200"/>
    </row>
    <row r="325" spans="1:13" s="19" customFormat="1" ht="19.5" customHeight="1" x14ac:dyDescent="0.4">
      <c r="A325" s="4">
        <v>46051</v>
      </c>
      <c r="B325" s="5" t="s">
        <v>134</v>
      </c>
      <c r="C325" s="6" t="s">
        <v>314</v>
      </c>
      <c r="D325" s="1" t="s">
        <v>434</v>
      </c>
      <c r="E325" s="1" t="s">
        <v>13</v>
      </c>
      <c r="F325" s="36">
        <v>6</v>
      </c>
      <c r="G325" s="7">
        <v>108000</v>
      </c>
      <c r="H325" s="7">
        <f t="shared" si="8"/>
        <v>648000</v>
      </c>
      <c r="I325" s="142" t="s">
        <v>1057</v>
      </c>
      <c r="J325" s="66"/>
      <c r="K325" s="66"/>
      <c r="L325" s="408"/>
      <c r="M325" s="200"/>
    </row>
    <row r="326" spans="1:13" s="19" customFormat="1" ht="19.5" customHeight="1" x14ac:dyDescent="0.4">
      <c r="A326" s="4">
        <v>46045</v>
      </c>
      <c r="B326" s="5" t="s">
        <v>134</v>
      </c>
      <c r="C326" s="6" t="s">
        <v>314</v>
      </c>
      <c r="D326" s="1" t="s">
        <v>387</v>
      </c>
      <c r="E326" s="1" t="s">
        <v>13</v>
      </c>
      <c r="F326" s="36">
        <v>15</v>
      </c>
      <c r="G326" s="7">
        <v>200000</v>
      </c>
      <c r="H326" s="7">
        <f t="shared" si="8"/>
        <v>3000000</v>
      </c>
      <c r="I326" s="142" t="s">
        <v>1057</v>
      </c>
      <c r="J326" s="66"/>
      <c r="K326" s="66"/>
      <c r="L326" s="408"/>
      <c r="M326" s="200"/>
    </row>
    <row r="327" spans="1:13" s="19" customFormat="1" ht="19.5" customHeight="1" x14ac:dyDescent="0.4">
      <c r="A327" s="4">
        <v>46045</v>
      </c>
      <c r="B327" s="5" t="s">
        <v>134</v>
      </c>
      <c r="C327" s="6" t="s">
        <v>310</v>
      </c>
      <c r="D327" s="1" t="s">
        <v>315</v>
      </c>
      <c r="E327" s="1" t="s">
        <v>13</v>
      </c>
      <c r="F327" s="36">
        <v>24</v>
      </c>
      <c r="G327" s="7">
        <v>84000</v>
      </c>
      <c r="H327" s="7">
        <f t="shared" si="8"/>
        <v>2016000</v>
      </c>
      <c r="I327" s="142" t="s">
        <v>1057</v>
      </c>
      <c r="J327" s="66"/>
      <c r="K327" s="66"/>
      <c r="L327" s="408"/>
      <c r="M327" s="200"/>
    </row>
    <row r="328" spans="1:13" s="19" customFormat="1" ht="19.5" customHeight="1" x14ac:dyDescent="0.4">
      <c r="A328" s="4">
        <v>46045</v>
      </c>
      <c r="B328" s="5" t="s">
        <v>134</v>
      </c>
      <c r="C328" s="6" t="s">
        <v>319</v>
      </c>
      <c r="D328" s="1" t="s">
        <v>322</v>
      </c>
      <c r="E328" s="1" t="s">
        <v>127</v>
      </c>
      <c r="F328" s="36">
        <v>28</v>
      </c>
      <c r="G328" s="7">
        <v>30790</v>
      </c>
      <c r="H328" s="7">
        <f>F328*G328</f>
        <v>862120</v>
      </c>
      <c r="I328" s="142" t="s">
        <v>1057</v>
      </c>
      <c r="J328" s="66"/>
      <c r="K328" s="66"/>
      <c r="L328" s="408"/>
      <c r="M328" s="200"/>
    </row>
    <row r="329" spans="1:13" s="19" customFormat="1" ht="25.95" customHeight="1" x14ac:dyDescent="0.4">
      <c r="A329" s="4">
        <v>46045</v>
      </c>
      <c r="B329" s="5" t="s">
        <v>134</v>
      </c>
      <c r="C329" s="67" t="s">
        <v>508</v>
      </c>
      <c r="D329" s="42" t="s">
        <v>327</v>
      </c>
      <c r="E329" s="1" t="s">
        <v>13</v>
      </c>
      <c r="F329" s="36">
        <v>2</v>
      </c>
      <c r="G329" s="7">
        <v>1364000</v>
      </c>
      <c r="H329" s="7">
        <f t="shared" si="8"/>
        <v>2728000</v>
      </c>
      <c r="I329" s="142" t="s">
        <v>1057</v>
      </c>
      <c r="J329" s="66"/>
      <c r="K329" s="67"/>
      <c r="L329" s="42"/>
      <c r="M329" s="200"/>
    </row>
    <row r="330" spans="1:13" s="19" customFormat="1" ht="19.5" customHeight="1" x14ac:dyDescent="0.4">
      <c r="A330" s="4">
        <v>46051</v>
      </c>
      <c r="B330" s="5" t="s">
        <v>134</v>
      </c>
      <c r="C330" s="6" t="s">
        <v>508</v>
      </c>
      <c r="D330" s="1" t="s">
        <v>329</v>
      </c>
      <c r="E330" s="1" t="s">
        <v>13</v>
      </c>
      <c r="F330" s="36">
        <v>2</v>
      </c>
      <c r="G330" s="7">
        <v>1364000</v>
      </c>
      <c r="H330" s="7">
        <f t="shared" si="8"/>
        <v>2728000</v>
      </c>
      <c r="I330" s="142" t="s">
        <v>1057</v>
      </c>
      <c r="J330" s="66"/>
      <c r="K330" s="66"/>
      <c r="L330" s="408"/>
      <c r="M330" s="200"/>
    </row>
    <row r="331" spans="1:13" s="19" customFormat="1" ht="19.5" customHeight="1" x14ac:dyDescent="0.4">
      <c r="A331" s="4">
        <v>46051</v>
      </c>
      <c r="B331" s="5" t="s">
        <v>134</v>
      </c>
      <c r="C331" s="6" t="s">
        <v>317</v>
      </c>
      <c r="D331" s="1" t="s">
        <v>318</v>
      </c>
      <c r="E331" s="1" t="s">
        <v>13</v>
      </c>
      <c r="F331" s="36">
        <v>9</v>
      </c>
      <c r="G331" s="7">
        <v>236000</v>
      </c>
      <c r="H331" s="7">
        <f t="shared" si="8"/>
        <v>2124000</v>
      </c>
      <c r="I331" s="142" t="s">
        <v>1057</v>
      </c>
      <c r="J331" s="66"/>
      <c r="K331" s="66"/>
      <c r="L331" s="408"/>
      <c r="M331" s="200"/>
    </row>
    <row r="332" spans="1:13" s="19" customFormat="1" ht="19.5" customHeight="1" x14ac:dyDescent="0.4">
      <c r="A332" s="4">
        <v>46051</v>
      </c>
      <c r="B332" s="5" t="s">
        <v>134</v>
      </c>
      <c r="C332" s="6" t="s">
        <v>319</v>
      </c>
      <c r="D332" s="1" t="s">
        <v>457</v>
      </c>
      <c r="E332" s="1" t="s">
        <v>127</v>
      </c>
      <c r="F332" s="36">
        <v>51</v>
      </c>
      <c r="G332" s="7">
        <v>19400</v>
      </c>
      <c r="H332" s="7">
        <f t="shared" si="8"/>
        <v>989400</v>
      </c>
      <c r="I332" s="142" t="s">
        <v>1057</v>
      </c>
      <c r="J332" s="66"/>
      <c r="K332" s="66"/>
      <c r="L332" s="408"/>
      <c r="M332" s="200"/>
    </row>
    <row r="333" spans="1:13" s="19" customFormat="1" ht="19.5" customHeight="1" x14ac:dyDescent="0.4">
      <c r="A333" s="4">
        <v>46051</v>
      </c>
      <c r="B333" s="5" t="s">
        <v>134</v>
      </c>
      <c r="C333" s="6" t="s">
        <v>507</v>
      </c>
      <c r="D333" s="1" t="s">
        <v>328</v>
      </c>
      <c r="E333" s="1" t="s">
        <v>13</v>
      </c>
      <c r="F333" s="36">
        <v>2</v>
      </c>
      <c r="G333" s="7">
        <v>1364000</v>
      </c>
      <c r="H333" s="7">
        <f t="shared" si="8"/>
        <v>2728000</v>
      </c>
      <c r="I333" s="142" t="s">
        <v>1057</v>
      </c>
      <c r="J333" s="66"/>
      <c r="K333" s="66"/>
      <c r="L333" s="408"/>
      <c r="M333" s="200"/>
    </row>
    <row r="334" spans="1:13" ht="18.75" customHeight="1" x14ac:dyDescent="0.4">
      <c r="A334" s="4">
        <v>46066</v>
      </c>
      <c r="B334" s="5" t="s">
        <v>134</v>
      </c>
      <c r="C334" s="67" t="s">
        <v>954</v>
      </c>
      <c r="D334" s="59" t="s">
        <v>955</v>
      </c>
      <c r="E334" s="59" t="s">
        <v>127</v>
      </c>
      <c r="F334" s="67">
        <v>150</v>
      </c>
      <c r="G334" s="7">
        <v>31680</v>
      </c>
      <c r="H334" s="7">
        <f t="shared" si="8"/>
        <v>4752000</v>
      </c>
      <c r="I334" s="67" t="s">
        <v>1058</v>
      </c>
      <c r="J334" s="67"/>
      <c r="K334" s="67"/>
      <c r="L334" s="67"/>
    </row>
    <row r="335" spans="1:13" ht="18.75" customHeight="1" x14ac:dyDescent="0.4">
      <c r="A335" s="4">
        <v>46066</v>
      </c>
      <c r="B335" s="5" t="s">
        <v>134</v>
      </c>
      <c r="C335" s="67" t="s">
        <v>952</v>
      </c>
      <c r="D335" s="59" t="s">
        <v>953</v>
      </c>
      <c r="E335" s="59" t="s">
        <v>127</v>
      </c>
      <c r="F335" s="67">
        <v>60</v>
      </c>
      <c r="G335" s="7">
        <v>113000</v>
      </c>
      <c r="H335" s="7">
        <f t="shared" si="8"/>
        <v>6780000</v>
      </c>
      <c r="I335" s="67" t="s">
        <v>1058</v>
      </c>
      <c r="J335" s="67"/>
      <c r="K335" s="67"/>
      <c r="L335" s="67"/>
    </row>
    <row r="336" spans="1:13" ht="30" customHeight="1" x14ac:dyDescent="0.4">
      <c r="A336" s="4">
        <v>46066</v>
      </c>
      <c r="B336" s="5" t="s">
        <v>134</v>
      </c>
      <c r="C336" s="67" t="s">
        <v>132</v>
      </c>
      <c r="D336" s="468" t="s">
        <v>948</v>
      </c>
      <c r="E336" s="59" t="s">
        <v>13</v>
      </c>
      <c r="F336" s="67">
        <v>10</v>
      </c>
      <c r="G336" s="7">
        <v>3225880</v>
      </c>
      <c r="H336" s="7">
        <f t="shared" si="8"/>
        <v>32258800</v>
      </c>
      <c r="I336" s="67" t="s">
        <v>1058</v>
      </c>
      <c r="J336" s="67"/>
      <c r="K336" s="67"/>
      <c r="L336" s="67"/>
    </row>
    <row r="337" spans="1:13" s="113" customFormat="1" ht="33.6" customHeight="1" x14ac:dyDescent="0.4">
      <c r="A337" s="4">
        <v>46062</v>
      </c>
      <c r="B337" s="5" t="s">
        <v>134</v>
      </c>
      <c r="C337" s="111" t="s">
        <v>135</v>
      </c>
      <c r="D337" s="42" t="s">
        <v>940</v>
      </c>
      <c r="E337" s="1" t="s">
        <v>17</v>
      </c>
      <c r="F337" s="36">
        <v>100</v>
      </c>
      <c r="G337" s="8">
        <v>115150</v>
      </c>
      <c r="H337" s="8">
        <f t="shared" si="8"/>
        <v>11515000</v>
      </c>
      <c r="I337" s="67" t="s">
        <v>1058</v>
      </c>
      <c r="J337" s="111"/>
      <c r="K337" s="111"/>
      <c r="L337" s="111"/>
    </row>
    <row r="338" spans="1:13" ht="18.75" customHeight="1" x14ac:dyDescent="0.4">
      <c r="A338" s="4">
        <v>46066</v>
      </c>
      <c r="B338" s="5" t="s">
        <v>134</v>
      </c>
      <c r="C338" s="67" t="s">
        <v>135</v>
      </c>
      <c r="D338" s="59" t="s">
        <v>951</v>
      </c>
      <c r="E338" s="59" t="s">
        <v>17</v>
      </c>
      <c r="F338" s="67">
        <v>60</v>
      </c>
      <c r="G338" s="7">
        <v>115150</v>
      </c>
      <c r="H338" s="7">
        <f t="shared" si="8"/>
        <v>6909000</v>
      </c>
      <c r="I338" s="67" t="s">
        <v>1058</v>
      </c>
      <c r="J338" s="67"/>
      <c r="K338" s="67"/>
      <c r="L338" s="67"/>
    </row>
    <row r="339" spans="1:13" s="113" customFormat="1" ht="29.4" customHeight="1" x14ac:dyDescent="0.4">
      <c r="A339" s="4">
        <v>46062</v>
      </c>
      <c r="B339" s="5" t="s">
        <v>134</v>
      </c>
      <c r="C339" s="6" t="s">
        <v>418</v>
      </c>
      <c r="D339" s="42" t="s">
        <v>750</v>
      </c>
      <c r="E339" s="1" t="s">
        <v>17</v>
      </c>
      <c r="F339" s="36">
        <v>20</v>
      </c>
      <c r="G339" s="8">
        <v>336730</v>
      </c>
      <c r="H339" s="8">
        <f t="shared" si="8"/>
        <v>6734600</v>
      </c>
      <c r="I339" s="67" t="s">
        <v>1058</v>
      </c>
      <c r="J339" s="111"/>
      <c r="K339" s="111"/>
      <c r="L339" s="111"/>
    </row>
    <row r="340" spans="1:13" s="19" customFormat="1" ht="31.95" customHeight="1" x14ac:dyDescent="0.4">
      <c r="A340" s="4">
        <v>46052</v>
      </c>
      <c r="B340" s="5" t="s">
        <v>134</v>
      </c>
      <c r="C340" s="6" t="s">
        <v>418</v>
      </c>
      <c r="D340" s="42" t="s">
        <v>750</v>
      </c>
      <c r="E340" s="1" t="s">
        <v>17</v>
      </c>
      <c r="F340" s="36">
        <v>100</v>
      </c>
      <c r="G340" s="7">
        <v>336730</v>
      </c>
      <c r="H340" s="7">
        <f t="shared" si="8"/>
        <v>33673000</v>
      </c>
      <c r="I340" s="142" t="s">
        <v>1057</v>
      </c>
      <c r="J340" s="66"/>
      <c r="K340" s="66"/>
      <c r="L340" s="408"/>
      <c r="M340" s="200"/>
    </row>
    <row r="341" spans="1:13" ht="18.75" customHeight="1" x14ac:dyDescent="0.4">
      <c r="A341" s="4">
        <v>46066</v>
      </c>
      <c r="B341" s="5" t="s">
        <v>134</v>
      </c>
      <c r="C341" s="67" t="s">
        <v>949</v>
      </c>
      <c r="D341" s="59" t="s">
        <v>950</v>
      </c>
      <c r="E341" s="59" t="s">
        <v>127</v>
      </c>
      <c r="F341" s="67">
        <v>86</v>
      </c>
      <c r="G341" s="7">
        <v>80570</v>
      </c>
      <c r="H341" s="7">
        <f t="shared" si="8"/>
        <v>6929020</v>
      </c>
      <c r="I341" s="67" t="s">
        <v>1058</v>
      </c>
      <c r="J341" s="67"/>
      <c r="K341" s="67"/>
      <c r="L341" s="67"/>
    </row>
    <row r="342" spans="1:13" ht="25.2" customHeight="1" x14ac:dyDescent="0.4">
      <c r="A342" s="4">
        <v>46065</v>
      </c>
      <c r="B342" s="5" t="s">
        <v>134</v>
      </c>
      <c r="C342" s="67" t="s">
        <v>136</v>
      </c>
      <c r="D342" s="42" t="s">
        <v>947</v>
      </c>
      <c r="E342" s="1" t="s">
        <v>13</v>
      </c>
      <c r="F342" s="36">
        <v>5</v>
      </c>
      <c r="G342" s="7">
        <v>597880</v>
      </c>
      <c r="H342" s="7">
        <f t="shared" si="8"/>
        <v>2989400</v>
      </c>
      <c r="I342" s="67" t="s">
        <v>1058</v>
      </c>
      <c r="J342" s="67"/>
      <c r="K342" s="67"/>
      <c r="L342" s="67"/>
    </row>
    <row r="343" spans="1:13" ht="18.75" customHeight="1" x14ac:dyDescent="0.4">
      <c r="A343" s="4">
        <v>46066</v>
      </c>
      <c r="B343" s="5" t="s">
        <v>134</v>
      </c>
      <c r="C343" s="67" t="s">
        <v>314</v>
      </c>
      <c r="D343" s="59" t="s">
        <v>956</v>
      </c>
      <c r="E343" s="59" t="s">
        <v>13</v>
      </c>
      <c r="F343" s="67">
        <v>19</v>
      </c>
      <c r="G343" s="7">
        <v>79000</v>
      </c>
      <c r="H343" s="7">
        <f t="shared" si="8"/>
        <v>1501000</v>
      </c>
      <c r="I343" s="67" t="s">
        <v>1058</v>
      </c>
      <c r="J343" s="67"/>
      <c r="K343" s="67"/>
      <c r="L343" s="67"/>
    </row>
    <row r="344" spans="1:13" ht="18.75" customHeight="1" x14ac:dyDescent="0.4">
      <c r="A344" s="4">
        <v>46062</v>
      </c>
      <c r="B344" s="5" t="s">
        <v>134</v>
      </c>
      <c r="C344" s="67" t="s">
        <v>941</v>
      </c>
      <c r="D344" s="42" t="s">
        <v>942</v>
      </c>
      <c r="E344" s="1" t="s">
        <v>13</v>
      </c>
      <c r="F344" s="36">
        <v>21</v>
      </c>
      <c r="G344" s="7">
        <v>290000</v>
      </c>
      <c r="H344" s="7">
        <f t="shared" si="8"/>
        <v>6090000</v>
      </c>
      <c r="I344" s="67" t="s">
        <v>1058</v>
      </c>
      <c r="J344" s="67"/>
      <c r="K344" s="67"/>
      <c r="L344" s="67"/>
    </row>
    <row r="345" spans="1:13" ht="18.75" customHeight="1" x14ac:dyDescent="0.4">
      <c r="A345" s="4">
        <v>46062</v>
      </c>
      <c r="B345" s="5" t="s">
        <v>134</v>
      </c>
      <c r="C345" s="67" t="s">
        <v>943</v>
      </c>
      <c r="D345" s="42" t="s">
        <v>944</v>
      </c>
      <c r="E345" s="1" t="s">
        <v>13</v>
      </c>
      <c r="F345" s="36">
        <v>27</v>
      </c>
      <c r="G345" s="7">
        <v>108000</v>
      </c>
      <c r="H345" s="7">
        <f t="shared" si="8"/>
        <v>2916000</v>
      </c>
      <c r="I345" s="67" t="s">
        <v>1058</v>
      </c>
      <c r="J345" s="67"/>
      <c r="K345" s="67"/>
      <c r="L345" s="67"/>
    </row>
    <row r="346" spans="1:13" ht="18.75" customHeight="1" x14ac:dyDescent="0.4">
      <c r="A346" s="4">
        <v>46062</v>
      </c>
      <c r="B346" s="5" t="s">
        <v>134</v>
      </c>
      <c r="C346" s="67" t="s">
        <v>945</v>
      </c>
      <c r="D346" s="42" t="s">
        <v>946</v>
      </c>
      <c r="E346" s="1" t="s">
        <v>13</v>
      </c>
      <c r="F346" s="36">
        <v>24</v>
      </c>
      <c r="G346" s="7">
        <v>225000</v>
      </c>
      <c r="H346" s="7">
        <f t="shared" si="8"/>
        <v>5400000</v>
      </c>
      <c r="I346" s="67" t="s">
        <v>1058</v>
      </c>
      <c r="J346" s="67"/>
      <c r="K346" s="67"/>
      <c r="L346" s="67"/>
    </row>
    <row r="347" spans="1:13" ht="23.4" customHeight="1" x14ac:dyDescent="0.4">
      <c r="A347" s="4">
        <v>46066</v>
      </c>
      <c r="B347" s="5" t="s">
        <v>134</v>
      </c>
      <c r="C347" s="67" t="s">
        <v>136</v>
      </c>
      <c r="D347" s="42" t="s">
        <v>947</v>
      </c>
      <c r="E347" s="1" t="s">
        <v>13</v>
      </c>
      <c r="F347" s="36">
        <v>6</v>
      </c>
      <c r="G347" s="7">
        <v>597880</v>
      </c>
      <c r="H347" s="7">
        <f t="shared" si="8"/>
        <v>3587280</v>
      </c>
      <c r="I347" s="67" t="s">
        <v>1058</v>
      </c>
      <c r="J347" s="67"/>
      <c r="K347" s="67"/>
      <c r="L347" s="67"/>
    </row>
    <row r="348" spans="1:13" ht="18.75" customHeight="1" x14ac:dyDescent="0.4">
      <c r="A348" s="4">
        <v>46066</v>
      </c>
      <c r="B348" s="5" t="s">
        <v>128</v>
      </c>
      <c r="C348" s="6" t="s">
        <v>129</v>
      </c>
      <c r="D348" s="1" t="s">
        <v>130</v>
      </c>
      <c r="E348" s="1" t="s">
        <v>131</v>
      </c>
      <c r="F348" s="36">
        <v>10</v>
      </c>
      <c r="G348" s="7">
        <v>52326</v>
      </c>
      <c r="H348" s="7">
        <f t="shared" si="8"/>
        <v>523260</v>
      </c>
      <c r="I348" s="67" t="s">
        <v>1058</v>
      </c>
      <c r="J348" s="67"/>
      <c r="K348" s="67"/>
      <c r="L348" s="67"/>
    </row>
    <row r="349" spans="1:13" s="19" customFormat="1" ht="20.25" customHeight="1" x14ac:dyDescent="0.4">
      <c r="A349" s="4">
        <v>46052</v>
      </c>
      <c r="B349" s="5" t="s">
        <v>128</v>
      </c>
      <c r="C349" s="6" t="s">
        <v>129</v>
      </c>
      <c r="D349" s="1" t="s">
        <v>130</v>
      </c>
      <c r="E349" s="1" t="s">
        <v>131</v>
      </c>
      <c r="F349" s="36">
        <v>12</v>
      </c>
      <c r="G349" s="7">
        <v>52326</v>
      </c>
      <c r="H349" s="7">
        <f t="shared" si="8"/>
        <v>627912</v>
      </c>
      <c r="I349" s="142" t="s">
        <v>1057</v>
      </c>
      <c r="J349" s="66"/>
      <c r="K349" s="66"/>
      <c r="L349" s="408"/>
      <c r="M349" s="200"/>
    </row>
    <row r="350" spans="1:13" s="19" customFormat="1" ht="20.25" customHeight="1" x14ac:dyDescent="0.4">
      <c r="A350" s="4">
        <v>46052</v>
      </c>
      <c r="B350" s="5" t="s">
        <v>128</v>
      </c>
      <c r="C350" s="6" t="s">
        <v>129</v>
      </c>
      <c r="D350" s="1" t="s">
        <v>130</v>
      </c>
      <c r="E350" s="1" t="s">
        <v>131</v>
      </c>
      <c r="F350" s="36">
        <v>11</v>
      </c>
      <c r="G350" s="7">
        <v>52326</v>
      </c>
      <c r="H350" s="7">
        <f t="shared" si="8"/>
        <v>575586</v>
      </c>
      <c r="I350" s="142" t="s">
        <v>1057</v>
      </c>
      <c r="J350" s="66"/>
      <c r="K350" s="66"/>
      <c r="L350" s="408"/>
      <c r="M350" s="200"/>
    </row>
    <row r="351" spans="1:13" ht="18.75" customHeight="1" x14ac:dyDescent="0.4">
      <c r="A351" s="4">
        <v>46062</v>
      </c>
      <c r="B351" s="5" t="s">
        <v>134</v>
      </c>
      <c r="C351" s="67" t="s">
        <v>508</v>
      </c>
      <c r="D351" s="42" t="s">
        <v>327</v>
      </c>
      <c r="E351" s="1" t="s">
        <v>13</v>
      </c>
      <c r="F351" s="36">
        <v>2</v>
      </c>
      <c r="G351" s="7">
        <v>1364000</v>
      </c>
      <c r="H351" s="7">
        <f>F351*G351</f>
        <v>2728000</v>
      </c>
      <c r="I351" s="67" t="s">
        <v>1059</v>
      </c>
      <c r="J351" s="67"/>
      <c r="K351" s="67"/>
      <c r="L351" s="67"/>
    </row>
    <row r="352" spans="1:13" ht="18.75" customHeight="1" x14ac:dyDescent="0.4">
      <c r="A352" s="4">
        <v>46066</v>
      </c>
      <c r="B352" s="5" t="s">
        <v>128</v>
      </c>
      <c r="C352" s="6" t="s">
        <v>129</v>
      </c>
      <c r="D352" s="1" t="s">
        <v>130</v>
      </c>
      <c r="E352" s="1" t="s">
        <v>131</v>
      </c>
      <c r="F352" s="36">
        <v>11</v>
      </c>
      <c r="G352" s="7">
        <v>52326</v>
      </c>
      <c r="H352" s="7">
        <f>F352*G352</f>
        <v>575586</v>
      </c>
      <c r="I352" s="67" t="s">
        <v>1059</v>
      </c>
      <c r="J352" s="67"/>
      <c r="K352" s="67"/>
      <c r="L352" s="67"/>
    </row>
    <row r="353" spans="1:13" s="19" customFormat="1" ht="19.5" customHeight="1" x14ac:dyDescent="0.4">
      <c r="A353" s="4">
        <v>46051</v>
      </c>
      <c r="B353" s="5" t="s">
        <v>134</v>
      </c>
      <c r="C353" s="6" t="s">
        <v>132</v>
      </c>
      <c r="D353" s="1" t="s">
        <v>133</v>
      </c>
      <c r="E353" s="1" t="s">
        <v>13</v>
      </c>
      <c r="F353" s="36">
        <v>22</v>
      </c>
      <c r="G353" s="7">
        <v>3225880</v>
      </c>
      <c r="H353" s="7">
        <f>F353*G353</f>
        <v>70969360</v>
      </c>
      <c r="I353" s="142" t="s">
        <v>1059</v>
      </c>
      <c r="J353" s="66"/>
      <c r="K353" s="66"/>
      <c r="L353" s="408"/>
      <c r="M353" s="200"/>
    </row>
    <row r="354" spans="1:13" ht="18.75" customHeight="1" x14ac:dyDescent="0.4">
      <c r="A354" s="4">
        <v>46079</v>
      </c>
      <c r="B354" s="5" t="s">
        <v>134</v>
      </c>
      <c r="C354" s="67" t="s">
        <v>957</v>
      </c>
      <c r="D354" s="42">
        <v>61540923</v>
      </c>
      <c r="E354" s="1" t="s">
        <v>13</v>
      </c>
      <c r="F354" s="36">
        <v>6</v>
      </c>
      <c r="G354" s="7">
        <v>1108700</v>
      </c>
      <c r="H354" s="7">
        <f t="shared" ref="H354:H372" si="9">F354*G354</f>
        <v>6652200</v>
      </c>
      <c r="I354" s="142" t="s">
        <v>1059</v>
      </c>
      <c r="J354" s="67"/>
      <c r="K354" s="67"/>
      <c r="L354" s="67"/>
    </row>
    <row r="355" spans="1:13" ht="18.75" customHeight="1" x14ac:dyDescent="0.4">
      <c r="A355" s="4">
        <v>46079</v>
      </c>
      <c r="B355" s="5" t="s">
        <v>134</v>
      </c>
      <c r="C355" s="67" t="s">
        <v>319</v>
      </c>
      <c r="D355" s="42" t="s">
        <v>958</v>
      </c>
      <c r="E355" s="1" t="s">
        <v>13</v>
      </c>
      <c r="F355" s="36">
        <v>9</v>
      </c>
      <c r="G355" s="7">
        <v>94000</v>
      </c>
      <c r="H355" s="7">
        <f t="shared" si="9"/>
        <v>846000</v>
      </c>
      <c r="I355" s="142" t="s">
        <v>1059</v>
      </c>
      <c r="J355" s="67"/>
      <c r="K355" s="67"/>
      <c r="L355" s="67"/>
    </row>
    <row r="356" spans="1:13" ht="18.75" customHeight="1" x14ac:dyDescent="0.4">
      <c r="A356" s="4">
        <v>46079</v>
      </c>
      <c r="B356" s="5" t="s">
        <v>134</v>
      </c>
      <c r="C356" s="67" t="s">
        <v>383</v>
      </c>
      <c r="D356" s="42" t="s">
        <v>959</v>
      </c>
      <c r="E356" s="1" t="s">
        <v>127</v>
      </c>
      <c r="F356" s="36">
        <v>18</v>
      </c>
      <c r="G356" s="7">
        <v>85440</v>
      </c>
      <c r="H356" s="7">
        <f t="shared" si="9"/>
        <v>1537920</v>
      </c>
      <c r="I356" s="142" t="s">
        <v>1059</v>
      </c>
      <c r="J356" s="67"/>
      <c r="K356" s="67"/>
      <c r="L356" s="67"/>
    </row>
    <row r="357" spans="1:13" ht="18.75" customHeight="1" x14ac:dyDescent="0.4">
      <c r="A357" s="4">
        <v>46079</v>
      </c>
      <c r="B357" s="5" t="s">
        <v>134</v>
      </c>
      <c r="C357" s="67" t="s">
        <v>314</v>
      </c>
      <c r="D357" s="42" t="s">
        <v>434</v>
      </c>
      <c r="E357" s="1" t="s">
        <v>13</v>
      </c>
      <c r="F357" s="36">
        <v>18</v>
      </c>
      <c r="G357" s="7">
        <v>108000</v>
      </c>
      <c r="H357" s="7">
        <f t="shared" si="9"/>
        <v>1944000</v>
      </c>
      <c r="I357" s="142" t="s">
        <v>1059</v>
      </c>
      <c r="J357" s="67"/>
      <c r="K357" s="67"/>
      <c r="L357" s="67"/>
    </row>
    <row r="358" spans="1:13" ht="18.75" customHeight="1" x14ac:dyDescent="0.4">
      <c r="A358" s="4">
        <v>46079</v>
      </c>
      <c r="B358" s="5" t="s">
        <v>134</v>
      </c>
      <c r="C358" s="67" t="s">
        <v>319</v>
      </c>
      <c r="D358" s="42" t="s">
        <v>960</v>
      </c>
      <c r="E358" s="1" t="s">
        <v>13</v>
      </c>
      <c r="F358" s="36">
        <v>19</v>
      </c>
      <c r="G358" s="7">
        <v>142700</v>
      </c>
      <c r="H358" s="7">
        <f t="shared" si="9"/>
        <v>2711300</v>
      </c>
      <c r="I358" s="142" t="s">
        <v>1059</v>
      </c>
      <c r="J358" s="67"/>
      <c r="K358" s="67"/>
      <c r="L358" s="67"/>
    </row>
    <row r="359" spans="1:13" ht="18.75" customHeight="1" x14ac:dyDescent="0.4">
      <c r="A359" s="4">
        <v>46079</v>
      </c>
      <c r="B359" s="5" t="s">
        <v>134</v>
      </c>
      <c r="C359" s="67" t="s">
        <v>132</v>
      </c>
      <c r="D359" s="42" t="s">
        <v>948</v>
      </c>
      <c r="E359" s="1" t="s">
        <v>13</v>
      </c>
      <c r="F359" s="36">
        <v>27</v>
      </c>
      <c r="G359" s="7">
        <v>3225880</v>
      </c>
      <c r="H359" s="7">
        <f t="shared" si="9"/>
        <v>87098760</v>
      </c>
      <c r="I359" s="142" t="s">
        <v>1059</v>
      </c>
      <c r="J359" s="67"/>
      <c r="K359" s="67"/>
      <c r="L359" s="67"/>
    </row>
    <row r="360" spans="1:13" ht="18.75" customHeight="1" x14ac:dyDescent="0.4">
      <c r="A360" s="4">
        <v>46079</v>
      </c>
      <c r="B360" s="5" t="s">
        <v>134</v>
      </c>
      <c r="C360" s="67" t="s">
        <v>312</v>
      </c>
      <c r="D360" s="42" t="s">
        <v>316</v>
      </c>
      <c r="E360" s="1" t="s">
        <v>13</v>
      </c>
      <c r="F360" s="36">
        <v>28</v>
      </c>
      <c r="G360" s="7">
        <v>96000</v>
      </c>
      <c r="H360" s="7">
        <f t="shared" si="9"/>
        <v>2688000</v>
      </c>
      <c r="I360" s="142" t="s">
        <v>1059</v>
      </c>
      <c r="J360" s="67"/>
      <c r="K360" s="67"/>
      <c r="L360" s="67"/>
    </row>
    <row r="361" spans="1:13" ht="18.75" customHeight="1" x14ac:dyDescent="0.4">
      <c r="A361" s="4">
        <v>46079</v>
      </c>
      <c r="B361" s="5" t="s">
        <v>134</v>
      </c>
      <c r="C361" s="67" t="s">
        <v>312</v>
      </c>
      <c r="D361" s="42" t="s">
        <v>961</v>
      </c>
      <c r="E361" s="1" t="s">
        <v>13</v>
      </c>
      <c r="F361" s="36">
        <v>30</v>
      </c>
      <c r="G361" s="7">
        <v>67900</v>
      </c>
      <c r="H361" s="7">
        <f t="shared" si="9"/>
        <v>2037000</v>
      </c>
      <c r="I361" s="142" t="s">
        <v>1059</v>
      </c>
      <c r="J361" s="67"/>
      <c r="K361" s="67"/>
      <c r="L361" s="67"/>
    </row>
    <row r="362" spans="1:13" ht="18.75" customHeight="1" x14ac:dyDescent="0.4">
      <c r="A362" s="4">
        <v>46079</v>
      </c>
      <c r="B362" s="5" t="s">
        <v>134</v>
      </c>
      <c r="C362" s="67" t="s">
        <v>310</v>
      </c>
      <c r="D362" s="42" t="s">
        <v>962</v>
      </c>
      <c r="E362" s="1" t="s">
        <v>127</v>
      </c>
      <c r="F362" s="36">
        <v>30</v>
      </c>
      <c r="G362" s="7">
        <v>38000</v>
      </c>
      <c r="H362" s="7">
        <f t="shared" si="9"/>
        <v>1140000</v>
      </c>
      <c r="I362" s="142" t="s">
        <v>1059</v>
      </c>
      <c r="J362" s="67"/>
      <c r="K362" s="67"/>
      <c r="L362" s="67"/>
    </row>
    <row r="363" spans="1:13" ht="18.75" customHeight="1" x14ac:dyDescent="0.4">
      <c r="A363" s="4">
        <v>46079</v>
      </c>
      <c r="B363" s="5" t="s">
        <v>134</v>
      </c>
      <c r="C363" s="67" t="s">
        <v>963</v>
      </c>
      <c r="D363" s="42" t="s">
        <v>964</v>
      </c>
      <c r="E363" s="1" t="s">
        <v>127</v>
      </c>
      <c r="F363" s="36">
        <v>50</v>
      </c>
      <c r="G363" s="7">
        <v>16100</v>
      </c>
      <c r="H363" s="7">
        <f t="shared" si="9"/>
        <v>805000</v>
      </c>
      <c r="I363" s="142" t="s">
        <v>1059</v>
      </c>
      <c r="J363" s="67"/>
      <c r="K363" s="67"/>
      <c r="L363" s="67"/>
    </row>
    <row r="364" spans="1:13" ht="18.75" customHeight="1" x14ac:dyDescent="0.4">
      <c r="A364" s="4">
        <v>46079</v>
      </c>
      <c r="B364" s="5" t="s">
        <v>134</v>
      </c>
      <c r="C364" s="67" t="s">
        <v>965</v>
      </c>
      <c r="D364" s="42" t="s">
        <v>966</v>
      </c>
      <c r="E364" s="1" t="s">
        <v>17</v>
      </c>
      <c r="F364" s="36">
        <v>60</v>
      </c>
      <c r="G364" s="7">
        <v>124180</v>
      </c>
      <c r="H364" s="7">
        <f t="shared" si="9"/>
        <v>7450800</v>
      </c>
      <c r="I364" s="142" t="s">
        <v>1059</v>
      </c>
      <c r="J364" s="67"/>
      <c r="K364" s="67"/>
      <c r="L364" s="67"/>
    </row>
    <row r="365" spans="1:13" ht="18.75" customHeight="1" x14ac:dyDescent="0.4">
      <c r="A365" s="4">
        <v>46079</v>
      </c>
      <c r="B365" s="5" t="s">
        <v>134</v>
      </c>
      <c r="C365" s="67" t="s">
        <v>967</v>
      </c>
      <c r="D365" s="42" t="s">
        <v>968</v>
      </c>
      <c r="E365" s="1" t="s">
        <v>127</v>
      </c>
      <c r="F365" s="36">
        <v>70</v>
      </c>
      <c r="G365" s="7">
        <v>60140</v>
      </c>
      <c r="H365" s="7">
        <f t="shared" si="9"/>
        <v>4209800</v>
      </c>
      <c r="I365" s="142" t="s">
        <v>1059</v>
      </c>
      <c r="J365" s="67"/>
      <c r="K365" s="67"/>
      <c r="L365" s="67"/>
    </row>
    <row r="366" spans="1:13" ht="18.75" customHeight="1" x14ac:dyDescent="0.4">
      <c r="A366" s="4">
        <v>46079</v>
      </c>
      <c r="B366" s="5" t="s">
        <v>134</v>
      </c>
      <c r="C366" s="67" t="s">
        <v>369</v>
      </c>
      <c r="D366" s="468" t="s">
        <v>470</v>
      </c>
      <c r="E366" s="59" t="s">
        <v>17</v>
      </c>
      <c r="F366" s="67">
        <v>91</v>
      </c>
      <c r="G366" s="7">
        <v>99220</v>
      </c>
      <c r="H366" s="7">
        <f t="shared" si="9"/>
        <v>9029020</v>
      </c>
      <c r="I366" s="142" t="s">
        <v>1059</v>
      </c>
      <c r="J366" s="67"/>
      <c r="K366" s="67"/>
      <c r="L366" s="67"/>
    </row>
    <row r="367" spans="1:13" ht="18.75" customHeight="1" x14ac:dyDescent="0.4">
      <c r="A367" s="4">
        <v>46079</v>
      </c>
      <c r="B367" s="5" t="s">
        <v>134</v>
      </c>
      <c r="C367" s="67" t="s">
        <v>969</v>
      </c>
      <c r="D367" s="468" t="s">
        <v>970</v>
      </c>
      <c r="E367" s="59" t="s">
        <v>127</v>
      </c>
      <c r="F367" s="67">
        <v>110</v>
      </c>
      <c r="G367" s="7">
        <v>46270</v>
      </c>
      <c r="H367" s="7">
        <f t="shared" si="9"/>
        <v>5089700</v>
      </c>
      <c r="I367" s="142" t="s">
        <v>1059</v>
      </c>
      <c r="J367" s="67"/>
      <c r="K367" s="67"/>
      <c r="L367" s="67"/>
    </row>
    <row r="368" spans="1:13" ht="18.75" customHeight="1" x14ac:dyDescent="0.4">
      <c r="A368" s="4">
        <v>46079</v>
      </c>
      <c r="B368" s="5" t="s">
        <v>134</v>
      </c>
      <c r="C368" s="67" t="s">
        <v>223</v>
      </c>
      <c r="D368" s="468" t="s">
        <v>224</v>
      </c>
      <c r="E368" s="59" t="s">
        <v>127</v>
      </c>
      <c r="F368" s="67">
        <v>133</v>
      </c>
      <c r="G368" s="7">
        <v>115200</v>
      </c>
      <c r="H368" s="7">
        <f t="shared" si="9"/>
        <v>15321600</v>
      </c>
      <c r="I368" s="142" t="s">
        <v>1059</v>
      </c>
      <c r="J368" s="67"/>
      <c r="K368" s="67"/>
      <c r="L368" s="67"/>
    </row>
    <row r="369" spans="1:13" ht="18.75" customHeight="1" x14ac:dyDescent="0.4">
      <c r="A369" s="4">
        <v>46079</v>
      </c>
      <c r="B369" s="5" t="s">
        <v>134</v>
      </c>
      <c r="C369" s="67" t="s">
        <v>228</v>
      </c>
      <c r="D369" s="468" t="s">
        <v>971</v>
      </c>
      <c r="E369" s="59" t="s">
        <v>17</v>
      </c>
      <c r="F369" s="67">
        <v>191</v>
      </c>
      <c r="G369" s="7">
        <v>399640</v>
      </c>
      <c r="H369" s="7">
        <f t="shared" si="9"/>
        <v>76331240</v>
      </c>
      <c r="I369" s="142" t="s">
        <v>1059</v>
      </c>
      <c r="J369" s="67"/>
      <c r="K369" s="67"/>
      <c r="L369" s="67"/>
    </row>
    <row r="370" spans="1:13" ht="18.75" customHeight="1" x14ac:dyDescent="0.4">
      <c r="A370" s="4">
        <v>46079</v>
      </c>
      <c r="B370" s="5" t="s">
        <v>134</v>
      </c>
      <c r="C370" s="67" t="s">
        <v>181</v>
      </c>
      <c r="D370" s="468" t="s">
        <v>371</v>
      </c>
      <c r="E370" s="59" t="s">
        <v>13</v>
      </c>
      <c r="F370" s="67">
        <v>4</v>
      </c>
      <c r="G370" s="7">
        <v>2163000</v>
      </c>
      <c r="H370" s="7">
        <f t="shared" si="9"/>
        <v>8652000</v>
      </c>
      <c r="I370" s="142" t="s">
        <v>1059</v>
      </c>
      <c r="J370" s="67"/>
      <c r="K370" s="67"/>
      <c r="L370" s="67"/>
    </row>
    <row r="371" spans="1:13" ht="18.75" customHeight="1" x14ac:dyDescent="0.4">
      <c r="A371" s="4">
        <v>46079</v>
      </c>
      <c r="B371" s="5" t="s">
        <v>134</v>
      </c>
      <c r="C371" s="67" t="s">
        <v>182</v>
      </c>
      <c r="D371" s="468" t="s">
        <v>372</v>
      </c>
      <c r="E371" s="59" t="s">
        <v>13</v>
      </c>
      <c r="F371" s="67">
        <v>4</v>
      </c>
      <c r="G371" s="7">
        <v>2163000</v>
      </c>
      <c r="H371" s="7">
        <f t="shared" si="9"/>
        <v>8652000</v>
      </c>
      <c r="I371" s="142" t="s">
        <v>1059</v>
      </c>
      <c r="J371" s="67"/>
      <c r="K371" s="67"/>
      <c r="L371" s="67"/>
    </row>
    <row r="372" spans="1:13" ht="18.75" customHeight="1" x14ac:dyDescent="0.4">
      <c r="A372" s="4">
        <v>46079</v>
      </c>
      <c r="B372" s="5" t="s">
        <v>134</v>
      </c>
      <c r="C372" s="67" t="s">
        <v>136</v>
      </c>
      <c r="D372" s="468" t="s">
        <v>947</v>
      </c>
      <c r="E372" s="59" t="s">
        <v>13</v>
      </c>
      <c r="F372" s="67">
        <v>20</v>
      </c>
      <c r="G372" s="7">
        <v>597880</v>
      </c>
      <c r="H372" s="7">
        <f t="shared" si="9"/>
        <v>11957600</v>
      </c>
      <c r="I372" s="142" t="s">
        <v>1059</v>
      </c>
      <c r="J372" s="67"/>
      <c r="K372" s="67"/>
      <c r="L372" s="67"/>
    </row>
    <row r="373" spans="1:13" ht="18.75" customHeight="1" x14ac:dyDescent="0.4">
      <c r="A373" s="193"/>
      <c r="B373" s="194"/>
      <c r="C373" s="40"/>
      <c r="D373" s="194"/>
      <c r="E373" s="194"/>
      <c r="F373" s="91"/>
      <c r="G373" s="138"/>
      <c r="H373" s="138">
        <f>SUM(H321:H350)</f>
        <v>185525178</v>
      </c>
      <c r="I373" s="138"/>
      <c r="J373" s="145"/>
      <c r="K373" s="145"/>
      <c r="L373" s="370"/>
    </row>
    <row r="374" spans="1:13" s="3" customFormat="1" ht="19.5" customHeight="1" x14ac:dyDescent="0.4">
      <c r="A374" s="190">
        <v>46052</v>
      </c>
      <c r="B374" s="5" t="s">
        <v>137</v>
      </c>
      <c r="C374" s="29" t="s">
        <v>241</v>
      </c>
      <c r="D374" s="110" t="s">
        <v>419</v>
      </c>
      <c r="E374" s="110"/>
      <c r="F374" s="81">
        <v>1</v>
      </c>
      <c r="G374" s="49">
        <v>171300</v>
      </c>
      <c r="H374" s="49">
        <f t="shared" ref="H374:H381" si="10">F374*G374</f>
        <v>171300</v>
      </c>
      <c r="I374" s="49" t="s">
        <v>854</v>
      </c>
      <c r="J374" s="144" t="s">
        <v>834</v>
      </c>
      <c r="K374" s="144"/>
      <c r="L374" s="144"/>
      <c r="M374" s="89"/>
    </row>
    <row r="375" spans="1:13" s="3" customFormat="1" ht="19.5" customHeight="1" x14ac:dyDescent="0.4">
      <c r="A375" s="190">
        <v>46052</v>
      </c>
      <c r="B375" s="5" t="s">
        <v>137</v>
      </c>
      <c r="C375" s="29" t="s">
        <v>241</v>
      </c>
      <c r="D375" s="110" t="s">
        <v>419</v>
      </c>
      <c r="E375" s="110"/>
      <c r="F375" s="81">
        <v>47</v>
      </c>
      <c r="G375" s="49">
        <v>171300</v>
      </c>
      <c r="H375" s="49">
        <f t="shared" si="10"/>
        <v>8051100</v>
      </c>
      <c r="I375" s="49" t="s">
        <v>853</v>
      </c>
      <c r="J375" s="144" t="s">
        <v>834</v>
      </c>
      <c r="K375" s="144"/>
      <c r="L375" s="144"/>
      <c r="M375" s="89"/>
    </row>
    <row r="376" spans="1:13" s="3" customFormat="1" ht="19.5" customHeight="1" x14ac:dyDescent="0.4">
      <c r="A376" s="190">
        <v>46052</v>
      </c>
      <c r="B376" s="5" t="s">
        <v>137</v>
      </c>
      <c r="C376" s="29" t="s">
        <v>233</v>
      </c>
      <c r="D376" s="110" t="s">
        <v>472</v>
      </c>
      <c r="E376" s="110"/>
      <c r="F376" s="81">
        <v>5</v>
      </c>
      <c r="G376" s="49">
        <v>133300</v>
      </c>
      <c r="H376" s="49">
        <f t="shared" si="10"/>
        <v>666500</v>
      </c>
      <c r="I376" s="49" t="s">
        <v>575</v>
      </c>
      <c r="J376" s="144" t="s">
        <v>834</v>
      </c>
      <c r="K376" s="144"/>
      <c r="L376" s="144"/>
      <c r="M376" s="89"/>
    </row>
    <row r="377" spans="1:13" s="3" customFormat="1" ht="19.5" customHeight="1" x14ac:dyDescent="0.4">
      <c r="A377" s="190">
        <v>46052</v>
      </c>
      <c r="B377" s="5" t="s">
        <v>137</v>
      </c>
      <c r="C377" s="29" t="s">
        <v>233</v>
      </c>
      <c r="D377" s="110" t="s">
        <v>472</v>
      </c>
      <c r="E377" s="110"/>
      <c r="F377" s="81">
        <v>60</v>
      </c>
      <c r="G377" s="49">
        <v>133300</v>
      </c>
      <c r="H377" s="49">
        <f t="shared" si="10"/>
        <v>7998000</v>
      </c>
      <c r="I377" s="49" t="s">
        <v>768</v>
      </c>
      <c r="J377" s="144" t="s">
        <v>834</v>
      </c>
      <c r="K377" s="144"/>
      <c r="L377" s="144"/>
      <c r="M377" s="89"/>
    </row>
    <row r="378" spans="1:13" s="3" customFormat="1" ht="19.5" customHeight="1" x14ac:dyDescent="0.4">
      <c r="A378" s="190">
        <v>46052</v>
      </c>
      <c r="B378" s="5" t="s">
        <v>137</v>
      </c>
      <c r="C378" s="29" t="s">
        <v>233</v>
      </c>
      <c r="D378" s="110" t="s">
        <v>472</v>
      </c>
      <c r="E378" s="110"/>
      <c r="F378" s="81">
        <v>70</v>
      </c>
      <c r="G378" s="49">
        <v>133300</v>
      </c>
      <c r="H378" s="49">
        <f t="shared" si="10"/>
        <v>9331000</v>
      </c>
      <c r="I378" s="49" t="s">
        <v>769</v>
      </c>
      <c r="J378" s="144" t="s">
        <v>834</v>
      </c>
      <c r="K378" s="144"/>
      <c r="L378" s="144"/>
      <c r="M378" s="89"/>
    </row>
    <row r="379" spans="1:13" s="3" customFormat="1" ht="19.5" customHeight="1" x14ac:dyDescent="0.4">
      <c r="A379" s="190">
        <v>46052</v>
      </c>
      <c r="B379" s="5" t="s">
        <v>137</v>
      </c>
      <c r="C379" s="29" t="s">
        <v>234</v>
      </c>
      <c r="D379" s="110" t="s">
        <v>333</v>
      </c>
      <c r="E379" s="110"/>
      <c r="F379" s="81">
        <v>88</v>
      </c>
      <c r="G379" s="49">
        <v>69400</v>
      </c>
      <c r="H379" s="49">
        <f t="shared" si="10"/>
        <v>6107200</v>
      </c>
      <c r="I379" s="49" t="s">
        <v>766</v>
      </c>
      <c r="J379" s="144" t="s">
        <v>834</v>
      </c>
      <c r="K379" s="144"/>
      <c r="L379" s="144"/>
      <c r="M379" s="89"/>
    </row>
    <row r="380" spans="1:13" s="3" customFormat="1" ht="19.5" customHeight="1" x14ac:dyDescent="0.4">
      <c r="A380" s="190">
        <v>46052</v>
      </c>
      <c r="B380" s="5" t="s">
        <v>137</v>
      </c>
      <c r="C380" s="29" t="s">
        <v>234</v>
      </c>
      <c r="D380" s="110" t="s">
        <v>333</v>
      </c>
      <c r="E380" s="110"/>
      <c r="F380" s="81">
        <v>100</v>
      </c>
      <c r="G380" s="49">
        <v>69400</v>
      </c>
      <c r="H380" s="49">
        <f t="shared" si="10"/>
        <v>6940000</v>
      </c>
      <c r="I380" s="49" t="s">
        <v>759</v>
      </c>
      <c r="J380" s="144" t="s">
        <v>834</v>
      </c>
      <c r="K380" s="144"/>
      <c r="L380" s="144"/>
      <c r="M380" s="89"/>
    </row>
    <row r="381" spans="1:13" s="3" customFormat="1" ht="19.5" customHeight="1" x14ac:dyDescent="0.4">
      <c r="A381" s="190">
        <v>46052</v>
      </c>
      <c r="B381" s="5" t="s">
        <v>137</v>
      </c>
      <c r="C381" s="29" t="s">
        <v>234</v>
      </c>
      <c r="D381" s="110" t="s">
        <v>333</v>
      </c>
      <c r="E381" s="110"/>
      <c r="F381" s="81">
        <v>9</v>
      </c>
      <c r="G381" s="49">
        <v>69400</v>
      </c>
      <c r="H381" s="49">
        <f t="shared" si="10"/>
        <v>624600</v>
      </c>
      <c r="I381" s="49" t="s">
        <v>770</v>
      </c>
      <c r="J381" s="144" t="s">
        <v>834</v>
      </c>
      <c r="K381" s="144"/>
      <c r="L381" s="144"/>
      <c r="M381" s="89"/>
    </row>
    <row r="382" spans="1:13" ht="18.75" customHeight="1" x14ac:dyDescent="0.4">
      <c r="A382" s="190">
        <v>46058</v>
      </c>
      <c r="B382" s="5" t="s">
        <v>137</v>
      </c>
      <c r="C382" s="29" t="s">
        <v>241</v>
      </c>
      <c r="D382" s="110" t="s">
        <v>972</v>
      </c>
      <c r="E382" s="110"/>
      <c r="F382" s="81">
        <v>10</v>
      </c>
      <c r="G382" s="49">
        <v>181500</v>
      </c>
      <c r="H382" s="7">
        <f t="shared" ref="H382:H394" si="11">F382*G382</f>
        <v>1815000</v>
      </c>
      <c r="I382" s="49" t="s">
        <v>973</v>
      </c>
      <c r="J382" s="144"/>
      <c r="K382" s="144"/>
      <c r="L382" s="428"/>
    </row>
    <row r="383" spans="1:13" ht="18.75" customHeight="1" x14ac:dyDescent="0.4">
      <c r="A383" s="190">
        <v>46076</v>
      </c>
      <c r="B383" s="5" t="s">
        <v>137</v>
      </c>
      <c r="C383" s="29" t="s">
        <v>234</v>
      </c>
      <c r="D383" s="110" t="s">
        <v>333</v>
      </c>
      <c r="E383" s="110"/>
      <c r="F383" s="81">
        <v>231</v>
      </c>
      <c r="G383" s="49">
        <v>69400</v>
      </c>
      <c r="H383" s="7">
        <f t="shared" si="11"/>
        <v>16031400</v>
      </c>
      <c r="I383" s="49" t="s">
        <v>770</v>
      </c>
      <c r="J383" s="144"/>
      <c r="K383" s="144"/>
      <c r="L383" s="428"/>
    </row>
    <row r="384" spans="1:13" ht="18.75" customHeight="1" x14ac:dyDescent="0.4">
      <c r="A384" s="190">
        <v>46076</v>
      </c>
      <c r="B384" s="5" t="s">
        <v>137</v>
      </c>
      <c r="C384" s="29" t="s">
        <v>234</v>
      </c>
      <c r="D384" s="110" t="s">
        <v>333</v>
      </c>
      <c r="E384" s="110"/>
      <c r="F384" s="81">
        <v>1</v>
      </c>
      <c r="G384" s="49">
        <v>69400</v>
      </c>
      <c r="H384" s="7">
        <f t="shared" si="11"/>
        <v>69400</v>
      </c>
      <c r="I384" s="49" t="s">
        <v>974</v>
      </c>
      <c r="J384" s="144"/>
      <c r="K384" s="144"/>
      <c r="L384" s="428"/>
    </row>
    <row r="385" spans="1:13" ht="18.75" customHeight="1" x14ac:dyDescent="0.4">
      <c r="A385" s="190">
        <v>46076</v>
      </c>
      <c r="B385" s="5" t="s">
        <v>137</v>
      </c>
      <c r="C385" s="29" t="s">
        <v>332</v>
      </c>
      <c r="D385" s="110" t="s">
        <v>420</v>
      </c>
      <c r="E385" s="110"/>
      <c r="F385" s="81">
        <v>100</v>
      </c>
      <c r="G385" s="49">
        <v>137000</v>
      </c>
      <c r="H385" s="7">
        <f t="shared" si="11"/>
        <v>13700000</v>
      </c>
      <c r="I385" s="49" t="s">
        <v>975</v>
      </c>
      <c r="J385" s="144"/>
      <c r="K385" s="144"/>
      <c r="L385" s="428"/>
    </row>
    <row r="386" spans="1:13" ht="18.75" customHeight="1" x14ac:dyDescent="0.4">
      <c r="A386" s="190">
        <v>46076</v>
      </c>
      <c r="B386" s="5" t="s">
        <v>137</v>
      </c>
      <c r="C386" s="29" t="s">
        <v>332</v>
      </c>
      <c r="D386" s="110" t="s">
        <v>420</v>
      </c>
      <c r="E386" s="110"/>
      <c r="F386" s="81">
        <v>20</v>
      </c>
      <c r="G386" s="49">
        <v>137000</v>
      </c>
      <c r="H386" s="7">
        <f t="shared" si="11"/>
        <v>2740000</v>
      </c>
      <c r="I386" s="49" t="s">
        <v>767</v>
      </c>
      <c r="J386" s="144"/>
      <c r="K386" s="144"/>
      <c r="L386" s="428"/>
    </row>
    <row r="387" spans="1:13" ht="18.75" customHeight="1" x14ac:dyDescent="0.4">
      <c r="A387" s="190">
        <v>46076</v>
      </c>
      <c r="B387" s="5" t="s">
        <v>137</v>
      </c>
      <c r="C387" s="29" t="s">
        <v>138</v>
      </c>
      <c r="D387" s="110" t="s">
        <v>236</v>
      </c>
      <c r="E387" s="110"/>
      <c r="F387" s="81">
        <v>31</v>
      </c>
      <c r="G387" s="49">
        <v>180900</v>
      </c>
      <c r="H387" s="7">
        <f t="shared" si="11"/>
        <v>5607900</v>
      </c>
      <c r="I387" s="49" t="s">
        <v>763</v>
      </c>
      <c r="J387" s="144"/>
      <c r="K387" s="144"/>
      <c r="L387" s="428"/>
    </row>
    <row r="388" spans="1:13" ht="18.75" customHeight="1" x14ac:dyDescent="0.4">
      <c r="A388" s="190">
        <v>46076</v>
      </c>
      <c r="B388" s="5" t="s">
        <v>137</v>
      </c>
      <c r="C388" s="29" t="s">
        <v>138</v>
      </c>
      <c r="D388" s="110" t="s">
        <v>236</v>
      </c>
      <c r="E388" s="110"/>
      <c r="F388" s="81">
        <v>79</v>
      </c>
      <c r="G388" s="49">
        <v>180900</v>
      </c>
      <c r="H388" s="7">
        <f t="shared" si="11"/>
        <v>14291100</v>
      </c>
      <c r="I388" s="49" t="s">
        <v>976</v>
      </c>
      <c r="J388" s="144"/>
      <c r="K388" s="144"/>
      <c r="L388" s="428"/>
    </row>
    <row r="389" spans="1:13" ht="18.75" customHeight="1" x14ac:dyDescent="0.4">
      <c r="A389" s="190">
        <v>46076</v>
      </c>
      <c r="B389" s="5" t="s">
        <v>137</v>
      </c>
      <c r="C389" s="29" t="s">
        <v>233</v>
      </c>
      <c r="D389" s="110" t="s">
        <v>977</v>
      </c>
      <c r="E389" s="110"/>
      <c r="F389" s="81">
        <v>50</v>
      </c>
      <c r="G389" s="49">
        <v>133300</v>
      </c>
      <c r="H389" s="7">
        <f t="shared" si="11"/>
        <v>6665000</v>
      </c>
      <c r="I389" s="49" t="s">
        <v>769</v>
      </c>
      <c r="J389" s="144"/>
      <c r="K389" s="144"/>
      <c r="L389" s="49">
        <v>39889700</v>
      </c>
    </row>
    <row r="390" spans="1:13" ht="18.75" customHeight="1" x14ac:dyDescent="0.4">
      <c r="A390" s="190">
        <v>46076</v>
      </c>
      <c r="B390" s="5" t="s">
        <v>137</v>
      </c>
      <c r="C390" s="29" t="s">
        <v>233</v>
      </c>
      <c r="D390" s="110" t="s">
        <v>472</v>
      </c>
      <c r="E390" s="110"/>
      <c r="F390" s="81">
        <v>10</v>
      </c>
      <c r="G390" s="49">
        <v>133300</v>
      </c>
      <c r="H390" s="7">
        <f t="shared" si="11"/>
        <v>1333000</v>
      </c>
      <c r="I390" s="49" t="s">
        <v>978</v>
      </c>
      <c r="J390" s="144"/>
      <c r="K390" s="144"/>
      <c r="L390" s="49">
        <v>1815000</v>
      </c>
    </row>
    <row r="391" spans="1:13" ht="18.75" customHeight="1" x14ac:dyDescent="0.4">
      <c r="A391" s="190">
        <v>46076</v>
      </c>
      <c r="B391" s="5" t="s">
        <v>137</v>
      </c>
      <c r="C391" s="29" t="s">
        <v>241</v>
      </c>
      <c r="D391" s="110" t="s">
        <v>240</v>
      </c>
      <c r="E391" s="110"/>
      <c r="F391" s="81">
        <v>71</v>
      </c>
      <c r="G391" s="49">
        <v>256600</v>
      </c>
      <c r="H391" s="7">
        <f t="shared" si="11"/>
        <v>18218600</v>
      </c>
      <c r="I391" s="49" t="s">
        <v>634</v>
      </c>
      <c r="J391" s="144"/>
      <c r="K391" s="144"/>
      <c r="L391" s="49">
        <v>3729000</v>
      </c>
    </row>
    <row r="392" spans="1:13" ht="18.75" customHeight="1" x14ac:dyDescent="0.4">
      <c r="A392" s="190">
        <v>46076</v>
      </c>
      <c r="B392" s="5" t="s">
        <v>137</v>
      </c>
      <c r="C392" s="29" t="s">
        <v>241</v>
      </c>
      <c r="D392" s="110" t="s">
        <v>471</v>
      </c>
      <c r="E392" s="110"/>
      <c r="F392" s="81">
        <v>61</v>
      </c>
      <c r="G392" s="49">
        <v>256600</v>
      </c>
      <c r="H392" s="7">
        <f t="shared" si="11"/>
        <v>15652600</v>
      </c>
      <c r="I392" s="49" t="s">
        <v>979</v>
      </c>
      <c r="J392" s="144"/>
      <c r="K392" s="144"/>
      <c r="L392" s="49">
        <v>94309000</v>
      </c>
    </row>
    <row r="393" spans="1:13" ht="18.75" customHeight="1" x14ac:dyDescent="0.4">
      <c r="A393" s="190">
        <v>46076</v>
      </c>
      <c r="B393" s="5" t="s">
        <v>137</v>
      </c>
      <c r="C393" s="29" t="s">
        <v>241</v>
      </c>
      <c r="D393" s="110" t="s">
        <v>980</v>
      </c>
      <c r="E393" s="110"/>
      <c r="F393" s="81">
        <v>2</v>
      </c>
      <c r="G393" s="49">
        <v>339000</v>
      </c>
      <c r="H393" s="7">
        <f t="shared" si="11"/>
        <v>678000</v>
      </c>
      <c r="I393" s="49" t="s">
        <v>981</v>
      </c>
      <c r="J393" s="144" t="s">
        <v>982</v>
      </c>
      <c r="K393" s="144"/>
      <c r="L393" s="49">
        <f>SUM(L389:L392)</f>
        <v>139742700</v>
      </c>
    </row>
    <row r="394" spans="1:13" ht="18.75" customHeight="1" x14ac:dyDescent="0.4">
      <c r="A394" s="190">
        <v>46076</v>
      </c>
      <c r="B394" s="5" t="s">
        <v>137</v>
      </c>
      <c r="C394" s="29" t="s">
        <v>241</v>
      </c>
      <c r="D394" s="110" t="s">
        <v>980</v>
      </c>
      <c r="E394" s="110"/>
      <c r="F394" s="81">
        <v>9</v>
      </c>
      <c r="G394" s="49">
        <v>339000</v>
      </c>
      <c r="H394" s="7">
        <f t="shared" si="11"/>
        <v>3051000</v>
      </c>
      <c r="I394" s="49" t="s">
        <v>983</v>
      </c>
      <c r="J394" s="144" t="s">
        <v>982</v>
      </c>
      <c r="K394" s="144"/>
      <c r="L394" s="428"/>
    </row>
    <row r="395" spans="1:13" ht="18.75" customHeight="1" x14ac:dyDescent="0.4">
      <c r="A395" s="193"/>
      <c r="B395" s="194"/>
      <c r="C395" s="40"/>
      <c r="D395" s="194"/>
      <c r="E395" s="194"/>
      <c r="F395" s="91"/>
      <c r="G395" s="138"/>
      <c r="H395" s="138">
        <f>SUM(H374:H394)</f>
        <v>139742700</v>
      </c>
      <c r="I395" s="138"/>
      <c r="J395" s="145"/>
      <c r="K395" s="145"/>
      <c r="L395" s="370"/>
    </row>
    <row r="396" spans="1:13" s="113" customFormat="1" ht="20.25" customHeight="1" x14ac:dyDescent="0.4">
      <c r="A396" s="469"/>
      <c r="B396" s="466" t="s">
        <v>140</v>
      </c>
      <c r="C396" s="470" t="s">
        <v>473</v>
      </c>
      <c r="D396" s="471" t="s">
        <v>246</v>
      </c>
      <c r="E396" s="471" t="s">
        <v>13</v>
      </c>
      <c r="F396" s="472">
        <v>3</v>
      </c>
      <c r="G396" s="472">
        <v>393500</v>
      </c>
      <c r="H396" s="473">
        <f t="shared" ref="H396:H459" si="12">F396*G396</f>
        <v>1180500</v>
      </c>
      <c r="I396" s="474" t="s">
        <v>1060</v>
      </c>
      <c r="J396" s="111"/>
      <c r="K396" s="111"/>
      <c r="L396" s="25"/>
    </row>
    <row r="397" spans="1:13" s="261" customFormat="1" ht="19.5" customHeight="1" x14ac:dyDescent="0.4">
      <c r="A397" s="469">
        <v>46022</v>
      </c>
      <c r="B397" s="475" t="s">
        <v>140</v>
      </c>
      <c r="C397" s="476" t="s">
        <v>641</v>
      </c>
      <c r="D397" s="477" t="s">
        <v>244</v>
      </c>
      <c r="E397" s="477" t="s">
        <v>13</v>
      </c>
      <c r="F397" s="476">
        <v>2</v>
      </c>
      <c r="G397" s="476">
        <v>973200</v>
      </c>
      <c r="H397" s="476">
        <f t="shared" si="12"/>
        <v>1946400</v>
      </c>
      <c r="I397" s="474" t="s">
        <v>1060</v>
      </c>
      <c r="J397" s="258"/>
      <c r="K397" s="258"/>
      <c r="L397" s="258"/>
    </row>
    <row r="398" spans="1:13" s="3" customFormat="1" ht="19.5" customHeight="1" x14ac:dyDescent="0.4">
      <c r="A398" s="478">
        <v>46027</v>
      </c>
      <c r="B398" s="471" t="s">
        <v>140</v>
      </c>
      <c r="C398" s="470" t="s">
        <v>553</v>
      </c>
      <c r="D398" s="471" t="s">
        <v>244</v>
      </c>
      <c r="E398" s="471" t="s">
        <v>13</v>
      </c>
      <c r="F398" s="472">
        <v>2</v>
      </c>
      <c r="G398" s="473">
        <v>973200</v>
      </c>
      <c r="H398" s="466">
        <f t="shared" si="12"/>
        <v>1946400</v>
      </c>
      <c r="I398" s="474" t="s">
        <v>1060</v>
      </c>
      <c r="J398" s="144"/>
      <c r="K398" s="144"/>
      <c r="L398" s="144"/>
      <c r="M398" s="89"/>
    </row>
    <row r="399" spans="1:13" s="113" customFormat="1" ht="20.25" customHeight="1" x14ac:dyDescent="0.4">
      <c r="A399" s="469"/>
      <c r="B399" s="466" t="s">
        <v>140</v>
      </c>
      <c r="C399" s="470" t="s">
        <v>553</v>
      </c>
      <c r="D399" s="471" t="s">
        <v>244</v>
      </c>
      <c r="E399" s="471" t="s">
        <v>13</v>
      </c>
      <c r="F399" s="472">
        <v>5</v>
      </c>
      <c r="G399" s="472">
        <v>973200</v>
      </c>
      <c r="H399" s="473">
        <f t="shared" si="12"/>
        <v>4866000</v>
      </c>
      <c r="I399" s="474" t="s">
        <v>1060</v>
      </c>
      <c r="J399" s="111"/>
      <c r="K399" s="111"/>
      <c r="L399" s="25"/>
    </row>
    <row r="400" spans="1:13" s="261" customFormat="1" ht="19.5" customHeight="1" x14ac:dyDescent="0.4">
      <c r="A400" s="469">
        <v>45993</v>
      </c>
      <c r="B400" s="475" t="s">
        <v>140</v>
      </c>
      <c r="C400" s="476" t="s">
        <v>580</v>
      </c>
      <c r="D400" s="477" t="s">
        <v>581</v>
      </c>
      <c r="E400" s="477" t="s">
        <v>13</v>
      </c>
      <c r="F400" s="476">
        <v>4</v>
      </c>
      <c r="G400" s="476">
        <v>984000</v>
      </c>
      <c r="H400" s="476">
        <f t="shared" si="12"/>
        <v>3936000</v>
      </c>
      <c r="I400" s="474" t="s">
        <v>1060</v>
      </c>
      <c r="J400" s="258"/>
      <c r="K400" s="258"/>
      <c r="L400" s="258"/>
    </row>
    <row r="401" spans="1:13" s="261" customFormat="1" ht="19.2" customHeight="1" x14ac:dyDescent="0.4">
      <c r="A401" s="469">
        <v>45999</v>
      </c>
      <c r="B401" s="475" t="s">
        <v>140</v>
      </c>
      <c r="C401" s="476" t="s">
        <v>580</v>
      </c>
      <c r="D401" s="477" t="s">
        <v>581</v>
      </c>
      <c r="E401" s="477" t="s">
        <v>13</v>
      </c>
      <c r="F401" s="476">
        <v>2</v>
      </c>
      <c r="G401" s="476">
        <v>984000</v>
      </c>
      <c r="H401" s="476">
        <f t="shared" si="12"/>
        <v>1968000</v>
      </c>
      <c r="I401" s="474" t="s">
        <v>1060</v>
      </c>
      <c r="J401" s="258"/>
      <c r="K401" s="258"/>
      <c r="L401" s="258"/>
    </row>
    <row r="402" spans="1:13" s="3" customFormat="1" ht="19.5" customHeight="1" x14ac:dyDescent="0.4">
      <c r="A402" s="478">
        <v>46027</v>
      </c>
      <c r="B402" s="471" t="s">
        <v>140</v>
      </c>
      <c r="C402" s="470" t="s">
        <v>580</v>
      </c>
      <c r="D402" s="471" t="s">
        <v>581</v>
      </c>
      <c r="E402" s="471" t="s">
        <v>13</v>
      </c>
      <c r="F402" s="472">
        <v>2</v>
      </c>
      <c r="G402" s="473">
        <v>984000</v>
      </c>
      <c r="H402" s="466">
        <f t="shared" si="12"/>
        <v>1968000</v>
      </c>
      <c r="I402" s="474" t="s">
        <v>1060</v>
      </c>
      <c r="J402" s="144"/>
      <c r="K402" s="144"/>
      <c r="L402" s="144"/>
      <c r="M402" s="89"/>
    </row>
    <row r="403" spans="1:13" s="3" customFormat="1" ht="19.5" customHeight="1" x14ac:dyDescent="0.4">
      <c r="A403" s="478">
        <v>46052</v>
      </c>
      <c r="B403" s="471" t="s">
        <v>140</v>
      </c>
      <c r="C403" s="470" t="s">
        <v>580</v>
      </c>
      <c r="D403" s="471" t="s">
        <v>780</v>
      </c>
      <c r="E403" s="471" t="s">
        <v>13</v>
      </c>
      <c r="F403" s="472">
        <v>1</v>
      </c>
      <c r="G403" s="472">
        <v>984000</v>
      </c>
      <c r="H403" s="466">
        <f t="shared" si="12"/>
        <v>984000</v>
      </c>
      <c r="I403" s="474" t="s">
        <v>1060</v>
      </c>
      <c r="J403" s="196"/>
      <c r="K403" s="196"/>
      <c r="L403" s="196"/>
      <c r="M403" s="89"/>
    </row>
    <row r="404" spans="1:13" s="261" customFormat="1" ht="19.5" customHeight="1" x14ac:dyDescent="0.4">
      <c r="A404" s="469">
        <v>45999</v>
      </c>
      <c r="B404" s="475" t="s">
        <v>140</v>
      </c>
      <c r="C404" s="476" t="s">
        <v>539</v>
      </c>
      <c r="D404" s="477" t="s">
        <v>242</v>
      </c>
      <c r="E404" s="477" t="s">
        <v>13</v>
      </c>
      <c r="F404" s="476">
        <v>4</v>
      </c>
      <c r="G404" s="476">
        <v>175300</v>
      </c>
      <c r="H404" s="476">
        <f t="shared" si="12"/>
        <v>701200</v>
      </c>
      <c r="I404" s="474" t="s">
        <v>1060</v>
      </c>
      <c r="J404" s="258"/>
      <c r="K404" s="258"/>
      <c r="L404" s="258"/>
    </row>
    <row r="405" spans="1:13" s="261" customFormat="1" ht="19.5" customHeight="1" x14ac:dyDescent="0.4">
      <c r="A405" s="469">
        <v>46001</v>
      </c>
      <c r="B405" s="475" t="s">
        <v>140</v>
      </c>
      <c r="C405" s="476" t="s">
        <v>539</v>
      </c>
      <c r="D405" s="477" t="s">
        <v>242</v>
      </c>
      <c r="E405" s="477" t="s">
        <v>13</v>
      </c>
      <c r="F405" s="476">
        <v>10</v>
      </c>
      <c r="G405" s="476">
        <v>175300</v>
      </c>
      <c r="H405" s="476">
        <f t="shared" si="12"/>
        <v>1753000</v>
      </c>
      <c r="I405" s="474" t="s">
        <v>1060</v>
      </c>
      <c r="J405" s="258"/>
      <c r="K405" s="258"/>
      <c r="L405" s="258"/>
    </row>
    <row r="406" spans="1:13" s="3" customFormat="1" ht="19.5" customHeight="1" x14ac:dyDescent="0.4">
      <c r="A406" s="478">
        <v>46045</v>
      </c>
      <c r="B406" s="471" t="s">
        <v>140</v>
      </c>
      <c r="C406" s="470" t="s">
        <v>771</v>
      </c>
      <c r="D406" s="471" t="s">
        <v>772</v>
      </c>
      <c r="E406" s="471" t="s">
        <v>13</v>
      </c>
      <c r="F406" s="472">
        <v>5</v>
      </c>
      <c r="G406" s="473">
        <v>633000</v>
      </c>
      <c r="H406" s="466">
        <f t="shared" si="12"/>
        <v>3165000</v>
      </c>
      <c r="I406" s="474" t="s">
        <v>1060</v>
      </c>
      <c r="J406" s="196"/>
      <c r="K406" s="196"/>
      <c r="L406" s="196"/>
      <c r="M406" s="89"/>
    </row>
    <row r="407" spans="1:13" ht="18.75" customHeight="1" x14ac:dyDescent="0.4">
      <c r="A407" s="479">
        <v>46056</v>
      </c>
      <c r="B407" s="471" t="s">
        <v>140</v>
      </c>
      <c r="C407" s="470" t="s">
        <v>771</v>
      </c>
      <c r="D407" s="471" t="s">
        <v>772</v>
      </c>
      <c r="E407" s="471" t="s">
        <v>13</v>
      </c>
      <c r="F407" s="472">
        <v>5</v>
      </c>
      <c r="G407" s="473">
        <v>633000</v>
      </c>
      <c r="H407" s="466">
        <f t="shared" si="12"/>
        <v>3165000</v>
      </c>
      <c r="I407" s="467" t="s">
        <v>1058</v>
      </c>
      <c r="J407" s="67"/>
      <c r="K407" s="67"/>
      <c r="L407" s="67"/>
    </row>
    <row r="408" spans="1:13" ht="18.75" customHeight="1" x14ac:dyDescent="0.4">
      <c r="A408" s="479">
        <v>46060</v>
      </c>
      <c r="B408" s="471" t="s">
        <v>140</v>
      </c>
      <c r="C408" s="470" t="s">
        <v>771</v>
      </c>
      <c r="D408" s="471" t="s">
        <v>772</v>
      </c>
      <c r="E408" s="471" t="s">
        <v>13</v>
      </c>
      <c r="F408" s="472">
        <v>2</v>
      </c>
      <c r="G408" s="473">
        <v>633000</v>
      </c>
      <c r="H408" s="466">
        <f t="shared" si="12"/>
        <v>1266000</v>
      </c>
      <c r="I408" s="467" t="s">
        <v>1058</v>
      </c>
      <c r="J408" s="67"/>
      <c r="K408" s="67"/>
      <c r="L408" s="67"/>
    </row>
    <row r="409" spans="1:13" s="3" customFormat="1" ht="19.5" customHeight="1" x14ac:dyDescent="0.4">
      <c r="A409" s="478">
        <v>46052</v>
      </c>
      <c r="B409" s="471" t="s">
        <v>140</v>
      </c>
      <c r="C409" s="470" t="s">
        <v>773</v>
      </c>
      <c r="D409" s="471" t="s">
        <v>774</v>
      </c>
      <c r="E409" s="471" t="s">
        <v>775</v>
      </c>
      <c r="F409" s="472">
        <v>10</v>
      </c>
      <c r="G409" s="473">
        <v>69700</v>
      </c>
      <c r="H409" s="466">
        <f>F409*G409</f>
        <v>697000</v>
      </c>
      <c r="I409" s="474" t="s">
        <v>1060</v>
      </c>
      <c r="J409" s="196"/>
      <c r="K409" s="196"/>
      <c r="L409" s="196"/>
      <c r="M409" s="89"/>
    </row>
    <row r="410" spans="1:13" s="3" customFormat="1" ht="19.5" customHeight="1" x14ac:dyDescent="0.4">
      <c r="A410" s="478">
        <v>46038</v>
      </c>
      <c r="B410" s="471" t="s">
        <v>140</v>
      </c>
      <c r="C410" s="470" t="s">
        <v>643</v>
      </c>
      <c r="D410" s="471" t="s">
        <v>644</v>
      </c>
      <c r="E410" s="471" t="s">
        <v>13</v>
      </c>
      <c r="F410" s="472">
        <v>27</v>
      </c>
      <c r="G410" s="473">
        <v>202000</v>
      </c>
      <c r="H410" s="466">
        <f>F410*G410</f>
        <v>5454000</v>
      </c>
      <c r="I410" s="474" t="s">
        <v>1060</v>
      </c>
      <c r="J410" s="144"/>
      <c r="K410" s="144"/>
      <c r="L410" s="144"/>
      <c r="M410" s="89"/>
    </row>
    <row r="411" spans="1:13" s="113" customFormat="1" ht="20.25" customHeight="1" x14ac:dyDescent="0.4">
      <c r="A411" s="15"/>
      <c r="B411" s="7" t="s">
        <v>140</v>
      </c>
      <c r="C411" s="29" t="s">
        <v>555</v>
      </c>
      <c r="D411" s="110" t="s">
        <v>248</v>
      </c>
      <c r="E411" s="110" t="s">
        <v>13</v>
      </c>
      <c r="F411" s="81">
        <v>3</v>
      </c>
      <c r="G411" s="81">
        <v>227500</v>
      </c>
      <c r="H411" s="49">
        <f>F411*G411</f>
        <v>682500</v>
      </c>
      <c r="I411" s="111" t="s">
        <v>1040</v>
      </c>
      <c r="J411" s="111"/>
      <c r="K411" s="111"/>
      <c r="L411" s="25"/>
    </row>
    <row r="412" spans="1:13" s="113" customFormat="1" ht="20.25" customHeight="1" x14ac:dyDescent="0.4">
      <c r="A412" s="15"/>
      <c r="B412" s="7" t="s">
        <v>140</v>
      </c>
      <c r="C412" s="29" t="s">
        <v>595</v>
      </c>
      <c r="D412" s="110" t="s">
        <v>247</v>
      </c>
      <c r="E412" s="110" t="s">
        <v>13</v>
      </c>
      <c r="F412" s="81">
        <v>3</v>
      </c>
      <c r="G412" s="81">
        <v>56100</v>
      </c>
      <c r="H412" s="49">
        <f>F412*G412</f>
        <v>168300</v>
      </c>
      <c r="I412" s="111" t="s">
        <v>1040</v>
      </c>
      <c r="J412" s="111" t="s">
        <v>598</v>
      </c>
      <c r="K412" s="111"/>
      <c r="L412" s="25"/>
    </row>
    <row r="413" spans="1:13" s="113" customFormat="1" ht="20.25" customHeight="1" x14ac:dyDescent="0.4">
      <c r="A413" s="15"/>
      <c r="B413" s="7" t="s">
        <v>140</v>
      </c>
      <c r="C413" s="29" t="s">
        <v>596</v>
      </c>
      <c r="D413" s="110" t="s">
        <v>597</v>
      </c>
      <c r="E413" s="110" t="s">
        <v>13</v>
      </c>
      <c r="F413" s="81">
        <v>2</v>
      </c>
      <c r="G413" s="81">
        <v>423620</v>
      </c>
      <c r="H413" s="49">
        <f t="shared" si="12"/>
        <v>847240</v>
      </c>
      <c r="I413" s="111" t="s">
        <v>1040</v>
      </c>
      <c r="J413" s="111"/>
      <c r="K413" s="111"/>
      <c r="L413" s="25"/>
    </row>
    <row r="414" spans="1:13" s="113" customFormat="1" ht="20.25" customHeight="1" x14ac:dyDescent="0.4">
      <c r="A414" s="15"/>
      <c r="B414" s="7" t="s">
        <v>140</v>
      </c>
      <c r="C414" s="29" t="s">
        <v>474</v>
      </c>
      <c r="D414" s="110" t="s">
        <v>475</v>
      </c>
      <c r="E414" s="110" t="s">
        <v>11</v>
      </c>
      <c r="F414" s="81">
        <v>10</v>
      </c>
      <c r="G414" s="81">
        <v>652000</v>
      </c>
      <c r="H414" s="49">
        <f t="shared" si="12"/>
        <v>6520000</v>
      </c>
      <c r="I414" s="111" t="s">
        <v>1040</v>
      </c>
      <c r="J414" s="111"/>
      <c r="K414" s="111"/>
      <c r="L414" s="25"/>
    </row>
    <row r="415" spans="1:13" s="113" customFormat="1" ht="20.25" customHeight="1" x14ac:dyDescent="0.4">
      <c r="A415" s="15"/>
      <c r="B415" s="7" t="s">
        <v>140</v>
      </c>
      <c r="C415" s="29" t="s">
        <v>540</v>
      </c>
      <c r="D415" s="110" t="s">
        <v>541</v>
      </c>
      <c r="E415" s="110" t="s">
        <v>13</v>
      </c>
      <c r="F415" s="81">
        <v>13</v>
      </c>
      <c r="G415" s="81">
        <v>102000</v>
      </c>
      <c r="H415" s="49">
        <f t="shared" si="12"/>
        <v>1326000</v>
      </c>
      <c r="I415" s="111" t="s">
        <v>1040</v>
      </c>
      <c r="J415" s="111"/>
      <c r="K415" s="111"/>
      <c r="L415" s="25"/>
    </row>
    <row r="416" spans="1:13" s="261" customFormat="1" ht="19.5" customHeight="1" x14ac:dyDescent="0.4">
      <c r="A416" s="15">
        <v>45993</v>
      </c>
      <c r="B416" s="275" t="s">
        <v>140</v>
      </c>
      <c r="C416" s="259" t="s">
        <v>473</v>
      </c>
      <c r="D416" s="257" t="s">
        <v>246</v>
      </c>
      <c r="E416" s="257" t="s">
        <v>13</v>
      </c>
      <c r="F416" s="259">
        <v>7</v>
      </c>
      <c r="G416" s="259">
        <v>393500</v>
      </c>
      <c r="H416" s="259">
        <f t="shared" si="12"/>
        <v>2754500</v>
      </c>
      <c r="I416" s="111" t="s">
        <v>1040</v>
      </c>
      <c r="J416" s="258"/>
      <c r="K416" s="258"/>
      <c r="L416" s="258"/>
    </row>
    <row r="417" spans="1:13" s="261" customFormat="1" ht="19.5" customHeight="1" x14ac:dyDescent="0.4">
      <c r="A417" s="15">
        <v>45993</v>
      </c>
      <c r="B417" s="275" t="s">
        <v>140</v>
      </c>
      <c r="C417" s="259" t="s">
        <v>553</v>
      </c>
      <c r="D417" s="257" t="s">
        <v>244</v>
      </c>
      <c r="E417" s="257" t="s">
        <v>13</v>
      </c>
      <c r="F417" s="259">
        <v>3</v>
      </c>
      <c r="G417" s="259">
        <v>973200</v>
      </c>
      <c r="H417" s="259">
        <f t="shared" si="12"/>
        <v>2919600</v>
      </c>
      <c r="I417" s="111" t="s">
        <v>1040</v>
      </c>
      <c r="J417" s="258"/>
      <c r="K417" s="258"/>
      <c r="L417" s="258"/>
    </row>
    <row r="418" spans="1:13" s="261" customFormat="1" ht="19.5" customHeight="1" x14ac:dyDescent="0.4">
      <c r="A418" s="15">
        <v>45993</v>
      </c>
      <c r="B418" s="275" t="s">
        <v>140</v>
      </c>
      <c r="C418" s="259" t="s">
        <v>641</v>
      </c>
      <c r="D418" s="257" t="s">
        <v>244</v>
      </c>
      <c r="E418" s="257" t="s">
        <v>13</v>
      </c>
      <c r="F418" s="259">
        <v>3</v>
      </c>
      <c r="G418" s="259">
        <v>973200</v>
      </c>
      <c r="H418" s="259">
        <f t="shared" si="12"/>
        <v>2919600</v>
      </c>
      <c r="I418" s="111" t="s">
        <v>1040</v>
      </c>
      <c r="J418" s="258"/>
      <c r="K418" s="258"/>
      <c r="L418" s="258"/>
    </row>
    <row r="419" spans="1:13" s="261" customFormat="1" ht="19.5" customHeight="1" x14ac:dyDescent="0.4">
      <c r="A419" s="15">
        <v>45993</v>
      </c>
      <c r="B419" s="275" t="s">
        <v>140</v>
      </c>
      <c r="C419" s="259" t="s">
        <v>554</v>
      </c>
      <c r="D419" s="257" t="s">
        <v>245</v>
      </c>
      <c r="E419" s="257" t="s">
        <v>13</v>
      </c>
      <c r="F419" s="259">
        <v>2</v>
      </c>
      <c r="G419" s="259">
        <v>630500</v>
      </c>
      <c r="H419" s="259">
        <f t="shared" si="12"/>
        <v>1261000</v>
      </c>
      <c r="I419" s="111" t="s">
        <v>1040</v>
      </c>
      <c r="J419" s="258"/>
      <c r="K419" s="258"/>
      <c r="L419" s="258"/>
    </row>
    <row r="420" spans="1:13" s="261" customFormat="1" ht="19.5" customHeight="1" x14ac:dyDescent="0.4">
      <c r="A420" s="15">
        <v>45993</v>
      </c>
      <c r="B420" s="275" t="s">
        <v>140</v>
      </c>
      <c r="C420" s="259" t="s">
        <v>474</v>
      </c>
      <c r="D420" s="257" t="s">
        <v>475</v>
      </c>
      <c r="E420" s="257" t="s">
        <v>11</v>
      </c>
      <c r="F420" s="259">
        <v>12</v>
      </c>
      <c r="G420" s="259">
        <v>652000</v>
      </c>
      <c r="H420" s="259">
        <f t="shared" si="12"/>
        <v>7824000</v>
      </c>
      <c r="I420" s="111" t="s">
        <v>1040</v>
      </c>
      <c r="J420" s="258"/>
      <c r="K420" s="258"/>
      <c r="L420" s="258"/>
    </row>
    <row r="421" spans="1:13" s="261" customFormat="1" ht="19.5" customHeight="1" x14ac:dyDescent="0.4">
      <c r="A421" s="15">
        <v>46001</v>
      </c>
      <c r="B421" s="275" t="s">
        <v>140</v>
      </c>
      <c r="C421" s="259" t="s">
        <v>554</v>
      </c>
      <c r="D421" s="257" t="s">
        <v>245</v>
      </c>
      <c r="E421" s="257" t="s">
        <v>13</v>
      </c>
      <c r="F421" s="259">
        <v>5</v>
      </c>
      <c r="G421" s="256">
        <v>630500</v>
      </c>
      <c r="H421" s="256">
        <f t="shared" si="12"/>
        <v>3152500</v>
      </c>
      <c r="I421" s="111" t="s">
        <v>1040</v>
      </c>
      <c r="J421" s="258"/>
      <c r="K421" s="258"/>
      <c r="L421" s="258"/>
    </row>
    <row r="422" spans="1:13" s="261" customFormat="1" ht="19.5" customHeight="1" x14ac:dyDescent="0.4">
      <c r="A422" s="15">
        <v>46003</v>
      </c>
      <c r="B422" s="275" t="s">
        <v>140</v>
      </c>
      <c r="C422" s="259" t="s">
        <v>476</v>
      </c>
      <c r="D422" s="257" t="s">
        <v>477</v>
      </c>
      <c r="E422" s="257" t="s">
        <v>11</v>
      </c>
      <c r="F422" s="259">
        <v>2</v>
      </c>
      <c r="G422" s="256">
        <v>271000</v>
      </c>
      <c r="H422" s="256">
        <f t="shared" si="12"/>
        <v>542000</v>
      </c>
      <c r="I422" s="111" t="s">
        <v>1040</v>
      </c>
      <c r="J422" s="258"/>
      <c r="K422" s="258"/>
      <c r="L422" s="258"/>
    </row>
    <row r="423" spans="1:13" s="261" customFormat="1" ht="19.5" customHeight="1" x14ac:dyDescent="0.4">
      <c r="A423" s="15">
        <v>46009</v>
      </c>
      <c r="B423" s="275" t="s">
        <v>140</v>
      </c>
      <c r="C423" s="259" t="s">
        <v>580</v>
      </c>
      <c r="D423" s="257" t="s">
        <v>581</v>
      </c>
      <c r="E423" s="257" t="s">
        <v>13</v>
      </c>
      <c r="F423" s="259">
        <v>8</v>
      </c>
      <c r="G423" s="259">
        <v>984000</v>
      </c>
      <c r="H423" s="256">
        <f t="shared" si="12"/>
        <v>7872000</v>
      </c>
      <c r="I423" s="111" t="s">
        <v>1040</v>
      </c>
      <c r="J423" s="258"/>
      <c r="K423" s="258"/>
      <c r="L423" s="258"/>
    </row>
    <row r="424" spans="1:13" s="261" customFormat="1" ht="19.5" customHeight="1" x14ac:dyDescent="0.4">
      <c r="A424" s="15">
        <v>46017</v>
      </c>
      <c r="B424" s="275" t="s">
        <v>140</v>
      </c>
      <c r="C424" s="259" t="s">
        <v>554</v>
      </c>
      <c r="D424" s="257" t="s">
        <v>642</v>
      </c>
      <c r="E424" s="257" t="s">
        <v>13</v>
      </c>
      <c r="F424" s="259">
        <v>3</v>
      </c>
      <c r="G424" s="256">
        <v>630500</v>
      </c>
      <c r="H424" s="256">
        <f t="shared" si="12"/>
        <v>1891500</v>
      </c>
      <c r="I424" s="111" t="s">
        <v>1040</v>
      </c>
      <c r="J424" s="258"/>
      <c r="K424" s="258"/>
      <c r="L424" s="258"/>
    </row>
    <row r="425" spans="1:13" s="3" customFormat="1" ht="19.5" customHeight="1" x14ac:dyDescent="0.4">
      <c r="A425" s="190">
        <v>46030</v>
      </c>
      <c r="B425" s="110" t="s">
        <v>140</v>
      </c>
      <c r="C425" s="29" t="s">
        <v>553</v>
      </c>
      <c r="D425" s="110" t="s">
        <v>244</v>
      </c>
      <c r="E425" s="110" t="s">
        <v>13</v>
      </c>
      <c r="F425" s="81">
        <v>2</v>
      </c>
      <c r="G425" s="49">
        <v>973200</v>
      </c>
      <c r="H425" s="7">
        <f t="shared" si="12"/>
        <v>1946400</v>
      </c>
      <c r="I425" s="111" t="s">
        <v>1040</v>
      </c>
      <c r="J425" s="144"/>
      <c r="K425" s="144"/>
      <c r="L425" s="144"/>
      <c r="M425" s="89"/>
    </row>
    <row r="426" spans="1:13" s="3" customFormat="1" ht="19.5" customHeight="1" x14ac:dyDescent="0.4">
      <c r="A426" s="190">
        <v>46030</v>
      </c>
      <c r="B426" s="110" t="s">
        <v>140</v>
      </c>
      <c r="C426" s="29" t="s">
        <v>643</v>
      </c>
      <c r="D426" s="110" t="s">
        <v>644</v>
      </c>
      <c r="E426" s="110" t="s">
        <v>13</v>
      </c>
      <c r="F426" s="81">
        <v>1</v>
      </c>
      <c r="G426" s="49">
        <v>202000</v>
      </c>
      <c r="H426" s="7">
        <f t="shared" si="12"/>
        <v>202000</v>
      </c>
      <c r="I426" s="111" t="s">
        <v>1040</v>
      </c>
      <c r="J426" s="144"/>
      <c r="K426" s="144"/>
      <c r="L426" s="144"/>
      <c r="M426" s="89"/>
    </row>
    <row r="427" spans="1:13" s="3" customFormat="1" ht="19.5" customHeight="1" x14ac:dyDescent="0.4">
      <c r="A427" s="190">
        <v>46038</v>
      </c>
      <c r="B427" s="110" t="s">
        <v>140</v>
      </c>
      <c r="C427" s="29" t="s">
        <v>553</v>
      </c>
      <c r="D427" s="110" t="s">
        <v>244</v>
      </c>
      <c r="E427" s="110" t="s">
        <v>13</v>
      </c>
      <c r="F427" s="81">
        <v>2</v>
      </c>
      <c r="G427" s="81">
        <v>973200</v>
      </c>
      <c r="H427" s="8">
        <f t="shared" si="12"/>
        <v>1946400</v>
      </c>
      <c r="I427" s="111" t="s">
        <v>1040</v>
      </c>
      <c r="J427" s="196"/>
      <c r="K427" s="196"/>
      <c r="L427" s="196"/>
      <c r="M427" s="89"/>
    </row>
    <row r="428" spans="1:13" s="3" customFormat="1" ht="19.5" customHeight="1" x14ac:dyDescent="0.4">
      <c r="A428" s="190">
        <v>46038</v>
      </c>
      <c r="B428" s="110" t="s">
        <v>140</v>
      </c>
      <c r="C428" s="29" t="s">
        <v>580</v>
      </c>
      <c r="D428" s="110" t="s">
        <v>581</v>
      </c>
      <c r="E428" s="110" t="s">
        <v>13</v>
      </c>
      <c r="F428" s="81">
        <v>2</v>
      </c>
      <c r="G428" s="81">
        <v>984000</v>
      </c>
      <c r="H428" s="8">
        <f t="shared" si="12"/>
        <v>1968000</v>
      </c>
      <c r="I428" s="111" t="s">
        <v>1040</v>
      </c>
      <c r="J428" s="196"/>
      <c r="K428" s="196"/>
      <c r="L428" s="196"/>
      <c r="M428" s="89"/>
    </row>
    <row r="429" spans="1:13" s="3" customFormat="1" ht="19.5" customHeight="1" x14ac:dyDescent="0.4">
      <c r="A429" s="190">
        <v>46043</v>
      </c>
      <c r="B429" s="110" t="s">
        <v>140</v>
      </c>
      <c r="C429" s="29" t="s">
        <v>553</v>
      </c>
      <c r="D429" s="110" t="s">
        <v>244</v>
      </c>
      <c r="E429" s="110" t="s">
        <v>13</v>
      </c>
      <c r="F429" s="81">
        <v>2</v>
      </c>
      <c r="G429" s="49">
        <v>973200</v>
      </c>
      <c r="H429" s="7">
        <f t="shared" si="12"/>
        <v>1946400</v>
      </c>
      <c r="I429" s="111" t="s">
        <v>1040</v>
      </c>
      <c r="J429" s="196"/>
      <c r="K429" s="196"/>
      <c r="L429" s="196"/>
      <c r="M429" s="89"/>
    </row>
    <row r="430" spans="1:13" s="3" customFormat="1" ht="19.5" customHeight="1" x14ac:dyDescent="0.4">
      <c r="A430" s="190">
        <v>46045</v>
      </c>
      <c r="B430" s="110" t="s">
        <v>140</v>
      </c>
      <c r="C430" s="29" t="s">
        <v>553</v>
      </c>
      <c r="D430" s="110" t="s">
        <v>244</v>
      </c>
      <c r="E430" s="110" t="s">
        <v>13</v>
      </c>
      <c r="F430" s="81">
        <v>3</v>
      </c>
      <c r="G430" s="49">
        <v>973200</v>
      </c>
      <c r="H430" s="7">
        <f t="shared" si="12"/>
        <v>2919600</v>
      </c>
      <c r="I430" s="111" t="s">
        <v>1040</v>
      </c>
      <c r="J430" s="196"/>
      <c r="K430" s="196"/>
      <c r="L430" s="196"/>
      <c r="M430" s="89"/>
    </row>
    <row r="431" spans="1:13" s="3" customFormat="1" ht="19.5" customHeight="1" x14ac:dyDescent="0.4">
      <c r="A431" s="190">
        <v>46045</v>
      </c>
      <c r="B431" s="110" t="s">
        <v>140</v>
      </c>
      <c r="C431" s="395" t="s">
        <v>473</v>
      </c>
      <c r="D431" s="46" t="s">
        <v>246</v>
      </c>
      <c r="E431" s="46" t="s">
        <v>13</v>
      </c>
      <c r="F431" s="81">
        <v>2</v>
      </c>
      <c r="G431" s="81">
        <v>393500</v>
      </c>
      <c r="H431" s="7">
        <f t="shared" si="12"/>
        <v>787000</v>
      </c>
      <c r="I431" s="111" t="s">
        <v>1040</v>
      </c>
      <c r="J431" s="196"/>
      <c r="K431" s="196"/>
      <c r="L431" s="196"/>
      <c r="M431" s="89"/>
    </row>
    <row r="432" spans="1:13" s="3" customFormat="1" ht="19.5" customHeight="1" x14ac:dyDescent="0.4">
      <c r="A432" s="190">
        <v>46052</v>
      </c>
      <c r="B432" s="110" t="s">
        <v>140</v>
      </c>
      <c r="C432" s="29" t="s">
        <v>552</v>
      </c>
      <c r="D432" s="110" t="s">
        <v>776</v>
      </c>
      <c r="E432" s="110" t="s">
        <v>13</v>
      </c>
      <c r="F432" s="81">
        <v>1</v>
      </c>
      <c r="G432" s="49">
        <v>202000</v>
      </c>
      <c r="H432" s="7">
        <f t="shared" si="12"/>
        <v>202000</v>
      </c>
      <c r="I432" s="111" t="s">
        <v>1040</v>
      </c>
      <c r="J432" s="196"/>
      <c r="K432" s="196"/>
      <c r="L432" s="196"/>
      <c r="M432" s="89"/>
    </row>
    <row r="433" spans="1:13" s="3" customFormat="1" ht="19.5" customHeight="1" x14ac:dyDescent="0.4">
      <c r="A433" s="190">
        <v>46052</v>
      </c>
      <c r="B433" s="110" t="s">
        <v>140</v>
      </c>
      <c r="C433" s="29" t="s">
        <v>473</v>
      </c>
      <c r="D433" s="110" t="s">
        <v>777</v>
      </c>
      <c r="E433" s="110" t="s">
        <v>13</v>
      </c>
      <c r="F433" s="81">
        <v>6</v>
      </c>
      <c r="G433" s="49">
        <v>393500</v>
      </c>
      <c r="H433" s="7">
        <f t="shared" si="12"/>
        <v>2361000</v>
      </c>
      <c r="I433" s="111" t="s">
        <v>1040</v>
      </c>
      <c r="J433" s="196"/>
      <c r="K433" s="196"/>
      <c r="L433" s="196"/>
      <c r="M433" s="89"/>
    </row>
    <row r="434" spans="1:13" s="3" customFormat="1" ht="19.5" customHeight="1" x14ac:dyDescent="0.4">
      <c r="A434" s="190">
        <v>46052</v>
      </c>
      <c r="B434" s="110" t="s">
        <v>140</v>
      </c>
      <c r="C434" s="29" t="s">
        <v>553</v>
      </c>
      <c r="D434" s="110" t="s">
        <v>778</v>
      </c>
      <c r="E434" s="110" t="s">
        <v>13</v>
      </c>
      <c r="F434" s="81">
        <v>9</v>
      </c>
      <c r="G434" s="81">
        <v>973200</v>
      </c>
      <c r="H434" s="7">
        <f t="shared" si="12"/>
        <v>8758800</v>
      </c>
      <c r="I434" s="111" t="s">
        <v>1040</v>
      </c>
      <c r="J434" s="196"/>
      <c r="K434" s="196"/>
      <c r="L434" s="196"/>
      <c r="M434" s="89"/>
    </row>
    <row r="435" spans="1:13" s="3" customFormat="1" ht="19.5" customHeight="1" x14ac:dyDescent="0.4">
      <c r="A435" s="190">
        <v>46052</v>
      </c>
      <c r="B435" s="110" t="s">
        <v>140</v>
      </c>
      <c r="C435" s="29" t="s">
        <v>554</v>
      </c>
      <c r="D435" s="110" t="s">
        <v>779</v>
      </c>
      <c r="E435" s="110" t="s">
        <v>13</v>
      </c>
      <c r="F435" s="81">
        <v>3</v>
      </c>
      <c r="G435" s="81">
        <v>630500</v>
      </c>
      <c r="H435" s="7">
        <f t="shared" si="12"/>
        <v>1891500</v>
      </c>
      <c r="I435" s="111" t="s">
        <v>1040</v>
      </c>
      <c r="J435" s="196"/>
      <c r="K435" s="196"/>
      <c r="L435" s="196"/>
      <c r="M435" s="89"/>
    </row>
    <row r="436" spans="1:13" ht="18.75" customHeight="1" x14ac:dyDescent="0.4">
      <c r="A436" s="4">
        <v>46057</v>
      </c>
      <c r="B436" s="110" t="s">
        <v>140</v>
      </c>
      <c r="C436" s="29" t="s">
        <v>580</v>
      </c>
      <c r="D436" s="110" t="s">
        <v>780</v>
      </c>
      <c r="E436" s="110" t="s">
        <v>13</v>
      </c>
      <c r="F436" s="81">
        <v>2</v>
      </c>
      <c r="G436" s="81">
        <v>984000</v>
      </c>
      <c r="H436" s="7">
        <f t="shared" si="12"/>
        <v>1968000</v>
      </c>
      <c r="I436" s="111" t="s">
        <v>1040</v>
      </c>
      <c r="J436" s="67"/>
      <c r="K436" s="67"/>
      <c r="L436" s="67"/>
    </row>
    <row r="437" spans="1:13" ht="18.75" customHeight="1" x14ac:dyDescent="0.4">
      <c r="A437" s="4">
        <v>46057</v>
      </c>
      <c r="B437" s="110" t="s">
        <v>140</v>
      </c>
      <c r="C437" s="29" t="s">
        <v>552</v>
      </c>
      <c r="D437" s="110" t="s">
        <v>776</v>
      </c>
      <c r="E437" s="110" t="s">
        <v>13</v>
      </c>
      <c r="F437" s="81">
        <v>11</v>
      </c>
      <c r="G437" s="49">
        <v>202000</v>
      </c>
      <c r="H437" s="7">
        <f t="shared" si="12"/>
        <v>2222000</v>
      </c>
      <c r="I437" s="111" t="s">
        <v>1040</v>
      </c>
      <c r="J437" s="67"/>
      <c r="K437" s="67"/>
      <c r="L437" s="67"/>
    </row>
    <row r="438" spans="1:13" ht="18.75" customHeight="1" x14ac:dyDescent="0.4">
      <c r="A438" s="4">
        <v>46057</v>
      </c>
      <c r="B438" s="110" t="s">
        <v>140</v>
      </c>
      <c r="C438" s="29" t="s">
        <v>773</v>
      </c>
      <c r="D438" s="110" t="s">
        <v>774</v>
      </c>
      <c r="E438" s="110" t="s">
        <v>775</v>
      </c>
      <c r="F438" s="81">
        <v>10</v>
      </c>
      <c r="G438" s="49">
        <v>69700</v>
      </c>
      <c r="H438" s="7">
        <f t="shared" si="12"/>
        <v>697000</v>
      </c>
      <c r="I438" s="111" t="s">
        <v>1040</v>
      </c>
      <c r="J438" s="67"/>
      <c r="K438" s="67"/>
      <c r="L438" s="67"/>
    </row>
    <row r="439" spans="1:13" ht="18.75" customHeight="1" x14ac:dyDescent="0.4">
      <c r="A439" s="4">
        <v>46058</v>
      </c>
      <c r="B439" s="110" t="s">
        <v>140</v>
      </c>
      <c r="C439" s="29" t="s">
        <v>580</v>
      </c>
      <c r="D439" s="110" t="s">
        <v>780</v>
      </c>
      <c r="E439" s="110" t="s">
        <v>13</v>
      </c>
      <c r="F439" s="81">
        <v>4</v>
      </c>
      <c r="G439" s="81">
        <v>984000</v>
      </c>
      <c r="H439" s="7">
        <f t="shared" si="12"/>
        <v>3936000</v>
      </c>
      <c r="I439" s="111" t="s">
        <v>1040</v>
      </c>
      <c r="J439" s="67"/>
      <c r="K439" s="67"/>
      <c r="L439" s="67"/>
    </row>
    <row r="440" spans="1:13" ht="18.75" customHeight="1" x14ac:dyDescent="0.4">
      <c r="A440" s="4">
        <v>46058</v>
      </c>
      <c r="B440" s="110" t="s">
        <v>140</v>
      </c>
      <c r="C440" s="29" t="s">
        <v>473</v>
      </c>
      <c r="D440" s="110" t="s">
        <v>777</v>
      </c>
      <c r="E440" s="110" t="s">
        <v>13</v>
      </c>
      <c r="F440" s="81">
        <v>1</v>
      </c>
      <c r="G440" s="49">
        <v>393500</v>
      </c>
      <c r="H440" s="7">
        <f t="shared" si="12"/>
        <v>393500</v>
      </c>
      <c r="I440" s="111" t="s">
        <v>1040</v>
      </c>
      <c r="J440" s="67"/>
      <c r="K440" s="67"/>
      <c r="L440" s="67"/>
    </row>
    <row r="441" spans="1:13" ht="18.75" customHeight="1" x14ac:dyDescent="0.4">
      <c r="A441" s="4">
        <v>46060</v>
      </c>
      <c r="B441" s="110" t="s">
        <v>140</v>
      </c>
      <c r="C441" s="29" t="s">
        <v>771</v>
      </c>
      <c r="D441" s="110" t="s">
        <v>772</v>
      </c>
      <c r="E441" s="110" t="s">
        <v>13</v>
      </c>
      <c r="F441" s="81">
        <v>2</v>
      </c>
      <c r="G441" s="49">
        <v>633000</v>
      </c>
      <c r="H441" s="7">
        <f t="shared" si="12"/>
        <v>1266000</v>
      </c>
      <c r="I441" s="111" t="s">
        <v>1040</v>
      </c>
      <c r="J441" s="67"/>
      <c r="K441" s="67"/>
      <c r="L441" s="67"/>
    </row>
    <row r="442" spans="1:13" ht="18.75" customHeight="1" x14ac:dyDescent="0.4">
      <c r="A442" s="4">
        <v>46063</v>
      </c>
      <c r="B442" s="5" t="s">
        <v>140</v>
      </c>
      <c r="C442" s="6" t="s">
        <v>553</v>
      </c>
      <c r="D442" s="1" t="s">
        <v>244</v>
      </c>
      <c r="E442" s="1" t="s">
        <v>13</v>
      </c>
      <c r="F442" s="36">
        <v>4</v>
      </c>
      <c r="G442" s="7">
        <v>973200</v>
      </c>
      <c r="H442" s="7">
        <f t="shared" si="12"/>
        <v>3892800</v>
      </c>
      <c r="I442" s="111" t="s">
        <v>1040</v>
      </c>
      <c r="J442" s="67"/>
      <c r="K442" s="67"/>
      <c r="L442" s="67"/>
    </row>
    <row r="443" spans="1:13" ht="18.75" customHeight="1" x14ac:dyDescent="0.4">
      <c r="A443" s="4">
        <v>46063</v>
      </c>
      <c r="B443" s="5" t="s">
        <v>140</v>
      </c>
      <c r="C443" s="6" t="s">
        <v>554</v>
      </c>
      <c r="D443" s="1" t="s">
        <v>245</v>
      </c>
      <c r="E443" s="1" t="s">
        <v>13</v>
      </c>
      <c r="F443" s="36">
        <v>2</v>
      </c>
      <c r="G443" s="7">
        <v>630500</v>
      </c>
      <c r="H443" s="7">
        <f t="shared" si="12"/>
        <v>1261000</v>
      </c>
      <c r="I443" s="111" t="s">
        <v>1040</v>
      </c>
      <c r="J443" s="67"/>
      <c r="K443" s="67"/>
      <c r="L443" s="67"/>
    </row>
    <row r="444" spans="1:13" ht="18.75" customHeight="1" x14ac:dyDescent="0.4">
      <c r="A444" s="4">
        <v>46064</v>
      </c>
      <c r="B444" s="5" t="s">
        <v>140</v>
      </c>
      <c r="C444" s="6" t="s">
        <v>553</v>
      </c>
      <c r="D444" s="1" t="s">
        <v>244</v>
      </c>
      <c r="E444" s="1" t="s">
        <v>13</v>
      </c>
      <c r="F444" s="36">
        <v>3</v>
      </c>
      <c r="G444" s="7">
        <v>973200</v>
      </c>
      <c r="H444" s="7">
        <f t="shared" si="12"/>
        <v>2919600</v>
      </c>
      <c r="I444" s="111" t="s">
        <v>1040</v>
      </c>
      <c r="J444" s="67"/>
      <c r="K444" s="67"/>
      <c r="L444" s="67"/>
    </row>
    <row r="445" spans="1:13" ht="18.75" customHeight="1" x14ac:dyDescent="0.4">
      <c r="A445" s="4">
        <v>46064</v>
      </c>
      <c r="B445" s="110" t="s">
        <v>140</v>
      </c>
      <c r="C445" s="29" t="s">
        <v>580</v>
      </c>
      <c r="D445" s="110" t="s">
        <v>780</v>
      </c>
      <c r="E445" s="110" t="s">
        <v>13</v>
      </c>
      <c r="F445" s="81">
        <v>2</v>
      </c>
      <c r="G445" s="81">
        <v>984000</v>
      </c>
      <c r="H445" s="7">
        <f t="shared" si="12"/>
        <v>1968000</v>
      </c>
      <c r="I445" s="111" t="s">
        <v>1040</v>
      </c>
      <c r="J445" s="67"/>
      <c r="K445" s="67"/>
      <c r="L445" s="67"/>
    </row>
    <row r="446" spans="1:13" ht="18.75" customHeight="1" x14ac:dyDescent="0.4">
      <c r="A446" s="4">
        <v>46065</v>
      </c>
      <c r="B446" s="5" t="s">
        <v>140</v>
      </c>
      <c r="C446" s="6" t="s">
        <v>554</v>
      </c>
      <c r="D446" s="1" t="s">
        <v>245</v>
      </c>
      <c r="E446" s="1" t="s">
        <v>13</v>
      </c>
      <c r="F446" s="36">
        <v>6</v>
      </c>
      <c r="G446" s="7">
        <v>630500</v>
      </c>
      <c r="H446" s="7">
        <f t="shared" si="12"/>
        <v>3783000</v>
      </c>
      <c r="I446" s="111" t="s">
        <v>1040</v>
      </c>
      <c r="J446" s="67"/>
      <c r="K446" s="67"/>
      <c r="L446" s="67"/>
    </row>
    <row r="447" spans="1:13" ht="18.75" customHeight="1" x14ac:dyDescent="0.4">
      <c r="A447" s="4">
        <v>46065</v>
      </c>
      <c r="B447" s="110" t="s">
        <v>140</v>
      </c>
      <c r="C447" s="29" t="s">
        <v>771</v>
      </c>
      <c r="D447" s="110" t="s">
        <v>772</v>
      </c>
      <c r="E447" s="110" t="s">
        <v>13</v>
      </c>
      <c r="F447" s="81">
        <v>1</v>
      </c>
      <c r="G447" s="49">
        <v>633000</v>
      </c>
      <c r="H447" s="7">
        <f t="shared" si="12"/>
        <v>633000</v>
      </c>
      <c r="I447" s="111" t="s">
        <v>1040</v>
      </c>
      <c r="J447" s="67"/>
      <c r="K447" s="67"/>
      <c r="L447" s="67"/>
    </row>
    <row r="448" spans="1:13" ht="18.75" customHeight="1" x14ac:dyDescent="0.4">
      <c r="A448" s="4">
        <v>46073</v>
      </c>
      <c r="B448" s="110" t="s">
        <v>140</v>
      </c>
      <c r="C448" s="6" t="s">
        <v>553</v>
      </c>
      <c r="D448" s="1" t="s">
        <v>244</v>
      </c>
      <c r="E448" s="1" t="s">
        <v>13</v>
      </c>
      <c r="F448" s="36">
        <v>2</v>
      </c>
      <c r="G448" s="7">
        <v>973200</v>
      </c>
      <c r="H448" s="7">
        <f t="shared" si="12"/>
        <v>1946400</v>
      </c>
      <c r="I448" s="111" t="s">
        <v>1040</v>
      </c>
      <c r="J448" s="67"/>
      <c r="K448" s="67"/>
      <c r="L448" s="67"/>
    </row>
    <row r="449" spans="1:12" ht="18.75" customHeight="1" x14ac:dyDescent="0.4">
      <c r="A449" s="4">
        <v>46073</v>
      </c>
      <c r="B449" s="110" t="s">
        <v>140</v>
      </c>
      <c r="C449" s="6" t="s">
        <v>554</v>
      </c>
      <c r="D449" s="1" t="s">
        <v>245</v>
      </c>
      <c r="E449" s="1" t="s">
        <v>13</v>
      </c>
      <c r="F449" s="36">
        <v>4</v>
      </c>
      <c r="G449" s="7">
        <v>630500</v>
      </c>
      <c r="H449" s="7">
        <f t="shared" si="12"/>
        <v>2522000</v>
      </c>
      <c r="I449" s="111" t="s">
        <v>1040</v>
      </c>
      <c r="J449" s="67"/>
      <c r="K449" s="67"/>
      <c r="L449" s="67"/>
    </row>
    <row r="450" spans="1:12" ht="18.75" customHeight="1" x14ac:dyDescent="0.4">
      <c r="A450" s="4">
        <v>46073</v>
      </c>
      <c r="B450" s="110" t="s">
        <v>140</v>
      </c>
      <c r="C450" s="29" t="s">
        <v>771</v>
      </c>
      <c r="D450" s="110" t="s">
        <v>772</v>
      </c>
      <c r="E450" s="110" t="s">
        <v>13</v>
      </c>
      <c r="F450" s="81">
        <v>3</v>
      </c>
      <c r="G450" s="49">
        <v>633000</v>
      </c>
      <c r="H450" s="7">
        <f t="shared" si="12"/>
        <v>1899000</v>
      </c>
      <c r="I450" s="111" t="s">
        <v>1040</v>
      </c>
      <c r="J450" s="67"/>
      <c r="K450" s="67"/>
      <c r="L450" s="67"/>
    </row>
    <row r="451" spans="1:12" ht="18.75" customHeight="1" x14ac:dyDescent="0.4">
      <c r="A451" s="4">
        <v>46076</v>
      </c>
      <c r="B451" s="110" t="s">
        <v>140</v>
      </c>
      <c r="C451" s="6" t="s">
        <v>553</v>
      </c>
      <c r="D451" s="1" t="s">
        <v>244</v>
      </c>
      <c r="E451" s="1" t="s">
        <v>13</v>
      </c>
      <c r="F451" s="36">
        <v>6</v>
      </c>
      <c r="G451" s="7">
        <v>973200</v>
      </c>
      <c r="H451" s="7">
        <f t="shared" si="12"/>
        <v>5839200</v>
      </c>
      <c r="I451" s="111" t="s">
        <v>1040</v>
      </c>
      <c r="J451" s="67"/>
      <c r="K451" s="67"/>
      <c r="L451" s="67"/>
    </row>
    <row r="452" spans="1:12" ht="18.75" customHeight="1" x14ac:dyDescent="0.4">
      <c r="A452" s="4">
        <v>46076</v>
      </c>
      <c r="B452" s="110" t="s">
        <v>140</v>
      </c>
      <c r="C452" s="29" t="s">
        <v>540</v>
      </c>
      <c r="D452" s="110" t="s">
        <v>541</v>
      </c>
      <c r="E452" s="110" t="s">
        <v>343</v>
      </c>
      <c r="F452" s="81">
        <v>10</v>
      </c>
      <c r="G452" s="49">
        <v>102000</v>
      </c>
      <c r="H452" s="7">
        <f t="shared" si="12"/>
        <v>1020000</v>
      </c>
      <c r="I452" s="111" t="s">
        <v>1040</v>
      </c>
      <c r="J452" s="67"/>
      <c r="K452" s="67"/>
      <c r="L452" s="67"/>
    </row>
    <row r="453" spans="1:12" ht="18.75" customHeight="1" x14ac:dyDescent="0.4">
      <c r="A453" s="4">
        <v>46076</v>
      </c>
      <c r="B453" s="110" t="s">
        <v>140</v>
      </c>
      <c r="C453" s="29" t="s">
        <v>474</v>
      </c>
      <c r="D453" s="110" t="s">
        <v>475</v>
      </c>
      <c r="E453" s="110" t="s">
        <v>11</v>
      </c>
      <c r="F453" s="81">
        <v>6</v>
      </c>
      <c r="G453" s="49">
        <v>652000</v>
      </c>
      <c r="H453" s="7">
        <f t="shared" si="12"/>
        <v>3912000</v>
      </c>
      <c r="I453" s="111" t="s">
        <v>1040</v>
      </c>
      <c r="J453" s="67"/>
      <c r="K453" s="67"/>
      <c r="L453" s="67"/>
    </row>
    <row r="454" spans="1:12" ht="18.75" customHeight="1" x14ac:dyDescent="0.4">
      <c r="A454" s="4">
        <v>46076</v>
      </c>
      <c r="B454" s="110" t="s">
        <v>140</v>
      </c>
      <c r="C454" s="29" t="s">
        <v>476</v>
      </c>
      <c r="D454" s="110" t="s">
        <v>477</v>
      </c>
      <c r="E454" s="110" t="s">
        <v>11</v>
      </c>
      <c r="F454" s="81">
        <v>6</v>
      </c>
      <c r="G454" s="49">
        <v>271000</v>
      </c>
      <c r="H454" s="7">
        <f t="shared" si="12"/>
        <v>1626000</v>
      </c>
      <c r="I454" s="111" t="s">
        <v>1040</v>
      </c>
      <c r="J454" s="67"/>
      <c r="K454" s="67"/>
      <c r="L454" s="67"/>
    </row>
    <row r="455" spans="1:12" ht="18.75" customHeight="1" x14ac:dyDescent="0.4">
      <c r="A455" s="4">
        <v>46077</v>
      </c>
      <c r="B455" s="110" t="s">
        <v>140</v>
      </c>
      <c r="C455" s="6" t="s">
        <v>554</v>
      </c>
      <c r="D455" s="1" t="s">
        <v>245</v>
      </c>
      <c r="E455" s="1" t="s">
        <v>13</v>
      </c>
      <c r="F455" s="36">
        <v>5</v>
      </c>
      <c r="G455" s="7">
        <v>630500</v>
      </c>
      <c r="H455" s="7">
        <f t="shared" si="12"/>
        <v>3152500</v>
      </c>
      <c r="I455" s="111" t="s">
        <v>1040</v>
      </c>
      <c r="J455" s="67"/>
      <c r="K455" s="67"/>
      <c r="L455" s="67"/>
    </row>
    <row r="456" spans="1:12" ht="18.75" customHeight="1" x14ac:dyDescent="0.4">
      <c r="A456" s="4">
        <v>46077</v>
      </c>
      <c r="B456" s="110" t="s">
        <v>140</v>
      </c>
      <c r="C456" s="29" t="s">
        <v>771</v>
      </c>
      <c r="D456" s="110" t="s">
        <v>772</v>
      </c>
      <c r="E456" s="110" t="s">
        <v>13</v>
      </c>
      <c r="F456" s="81">
        <v>3</v>
      </c>
      <c r="G456" s="49">
        <v>633000</v>
      </c>
      <c r="H456" s="7">
        <f t="shared" si="12"/>
        <v>1899000</v>
      </c>
      <c r="I456" s="111" t="s">
        <v>1040</v>
      </c>
      <c r="J456" s="67"/>
      <c r="K456" s="67"/>
      <c r="L456" s="67"/>
    </row>
    <row r="457" spans="1:12" ht="18.75" customHeight="1" x14ac:dyDescent="0.4">
      <c r="A457" s="4">
        <v>46077</v>
      </c>
      <c r="B457" s="110" t="s">
        <v>140</v>
      </c>
      <c r="C457" s="29" t="s">
        <v>552</v>
      </c>
      <c r="D457" s="110" t="s">
        <v>776</v>
      </c>
      <c r="E457" s="110" t="s">
        <v>13</v>
      </c>
      <c r="F457" s="81">
        <v>10</v>
      </c>
      <c r="G457" s="49">
        <v>202000</v>
      </c>
      <c r="H457" s="7">
        <f t="shared" si="12"/>
        <v>2020000</v>
      </c>
      <c r="I457" s="111" t="s">
        <v>1040</v>
      </c>
      <c r="J457" s="67"/>
      <c r="K457" s="67"/>
      <c r="L457" s="67"/>
    </row>
    <row r="458" spans="1:12" ht="18.75" customHeight="1" x14ac:dyDescent="0.4">
      <c r="A458" s="4">
        <v>46077</v>
      </c>
      <c r="B458" s="110" t="s">
        <v>140</v>
      </c>
      <c r="C458" s="29" t="s">
        <v>773</v>
      </c>
      <c r="D458" s="110" t="s">
        <v>774</v>
      </c>
      <c r="E458" s="110" t="s">
        <v>775</v>
      </c>
      <c r="F458" s="81">
        <v>10</v>
      </c>
      <c r="G458" s="49">
        <v>69700</v>
      </c>
      <c r="H458" s="7">
        <f t="shared" si="12"/>
        <v>697000</v>
      </c>
      <c r="I458" s="111" t="s">
        <v>1040</v>
      </c>
      <c r="J458" s="67"/>
      <c r="K458" s="67"/>
      <c r="L458" s="67"/>
    </row>
    <row r="459" spans="1:12" ht="18.75" customHeight="1" x14ac:dyDescent="0.4">
      <c r="A459" s="4">
        <v>46079</v>
      </c>
      <c r="B459" s="110" t="s">
        <v>140</v>
      </c>
      <c r="C459" s="6" t="s">
        <v>553</v>
      </c>
      <c r="D459" s="1" t="s">
        <v>244</v>
      </c>
      <c r="E459" s="1" t="s">
        <v>13</v>
      </c>
      <c r="F459" s="36">
        <v>5</v>
      </c>
      <c r="G459" s="7">
        <v>973200</v>
      </c>
      <c r="H459" s="7">
        <f t="shared" si="12"/>
        <v>4866000</v>
      </c>
      <c r="I459" s="111" t="s">
        <v>1040</v>
      </c>
      <c r="J459" s="67"/>
      <c r="K459" s="67"/>
      <c r="L459" s="67"/>
    </row>
    <row r="460" spans="1:12" ht="18.75" customHeight="1" x14ac:dyDescent="0.4">
      <c r="A460" s="4">
        <v>46080</v>
      </c>
      <c r="B460" s="110" t="s">
        <v>140</v>
      </c>
      <c r="C460" s="29" t="s">
        <v>771</v>
      </c>
      <c r="D460" s="110" t="s">
        <v>772</v>
      </c>
      <c r="E460" s="110" t="s">
        <v>13</v>
      </c>
      <c r="F460" s="81">
        <v>3</v>
      </c>
      <c r="G460" s="49">
        <v>633000</v>
      </c>
      <c r="H460" s="7">
        <f>F460*G460</f>
        <v>1899000</v>
      </c>
      <c r="I460" s="111" t="s">
        <v>1040</v>
      </c>
      <c r="J460" s="67"/>
      <c r="K460" s="67"/>
      <c r="L460" s="67"/>
    </row>
    <row r="461" spans="1:12" ht="18.75" customHeight="1" x14ac:dyDescent="0.4">
      <c r="A461" s="193"/>
      <c r="B461" s="194"/>
      <c r="C461" s="40"/>
      <c r="D461" s="194"/>
      <c r="E461" s="194"/>
      <c r="F461" s="91"/>
      <c r="G461" s="138"/>
      <c r="H461" s="138">
        <f>SUM(H396:H410)</f>
        <v>34996500</v>
      </c>
      <c r="I461" s="138"/>
      <c r="J461" s="145"/>
      <c r="K461" s="145"/>
      <c r="L461" s="370"/>
    </row>
    <row r="462" spans="1:12" ht="18.75" customHeight="1" x14ac:dyDescent="0.4">
      <c r="A462" s="195">
        <v>46065</v>
      </c>
      <c r="B462" s="59" t="s">
        <v>141</v>
      </c>
      <c r="C462" s="49" t="s">
        <v>142</v>
      </c>
      <c r="D462" s="59">
        <v>40220976</v>
      </c>
      <c r="E462" s="59" t="s">
        <v>17</v>
      </c>
      <c r="F462" s="7">
        <v>72</v>
      </c>
      <c r="G462" s="49">
        <v>176943</v>
      </c>
      <c r="H462" s="36">
        <f>F462*G462</f>
        <v>12739896</v>
      </c>
      <c r="I462" s="67"/>
      <c r="J462" s="67"/>
      <c r="K462" s="67"/>
      <c r="L462" s="67"/>
    </row>
    <row r="463" spans="1:12" ht="18.75" customHeight="1" x14ac:dyDescent="0.4">
      <c r="A463" s="195">
        <v>46076</v>
      </c>
      <c r="B463" s="59" t="s">
        <v>141</v>
      </c>
      <c r="C463" s="49" t="s">
        <v>984</v>
      </c>
      <c r="D463" s="59">
        <v>40220977</v>
      </c>
      <c r="E463" s="59" t="s">
        <v>17</v>
      </c>
      <c r="F463" s="7">
        <f>78+128</f>
        <v>206</v>
      </c>
      <c r="G463" s="49">
        <v>46089</v>
      </c>
      <c r="H463" s="36">
        <f>F463*G463</f>
        <v>9494334</v>
      </c>
      <c r="I463" s="67"/>
      <c r="J463" s="67"/>
      <c r="K463" s="67"/>
      <c r="L463" s="67"/>
    </row>
    <row r="464" spans="1:12" ht="18.75" customHeight="1" x14ac:dyDescent="0.4">
      <c r="A464" s="377"/>
      <c r="B464" s="123"/>
      <c r="C464" s="138"/>
      <c r="D464" s="97"/>
      <c r="E464" s="123"/>
      <c r="F464" s="138"/>
      <c r="G464" s="138"/>
      <c r="H464" s="138">
        <f>SUM(H462:H463)</f>
        <v>22234230</v>
      </c>
      <c r="I464" s="123"/>
      <c r="J464" s="123"/>
      <c r="K464" s="123"/>
      <c r="L464" s="138"/>
    </row>
    <row r="465" spans="1:13" ht="19.5" customHeight="1" x14ac:dyDescent="0.4">
      <c r="A465" s="195">
        <v>46052</v>
      </c>
      <c r="B465" s="59" t="s">
        <v>143</v>
      </c>
      <c r="C465" s="49" t="s">
        <v>1038</v>
      </c>
      <c r="D465" s="59" t="s">
        <v>781</v>
      </c>
      <c r="E465" s="59" t="s">
        <v>13</v>
      </c>
      <c r="F465" s="197">
        <v>17</v>
      </c>
      <c r="G465" s="49">
        <v>578970</v>
      </c>
      <c r="H465" s="17">
        <f>F465*G465</f>
        <v>9842490</v>
      </c>
      <c r="I465" s="67" t="s">
        <v>1035</v>
      </c>
      <c r="J465" s="67"/>
      <c r="K465" s="67"/>
      <c r="L465" s="67"/>
    </row>
    <row r="466" spans="1:13" ht="19.5" customHeight="1" x14ac:dyDescent="0.4">
      <c r="A466" s="195">
        <v>46052</v>
      </c>
      <c r="B466" s="59" t="s">
        <v>143</v>
      </c>
      <c r="C466" s="49" t="s">
        <v>145</v>
      </c>
      <c r="D466" s="59" t="s">
        <v>781</v>
      </c>
      <c r="E466" s="59" t="s">
        <v>13</v>
      </c>
      <c r="F466" s="197">
        <v>3</v>
      </c>
      <c r="G466" s="49">
        <v>578970</v>
      </c>
      <c r="H466" s="17">
        <f>F466*G466</f>
        <v>1736910</v>
      </c>
      <c r="I466" s="67" t="s">
        <v>1042</v>
      </c>
      <c r="J466" s="67"/>
      <c r="K466" s="67"/>
      <c r="L466" s="67"/>
    </row>
    <row r="467" spans="1:13" ht="19.5" customHeight="1" x14ac:dyDescent="0.4">
      <c r="A467" s="195">
        <v>46081</v>
      </c>
      <c r="B467" s="59" t="s">
        <v>143</v>
      </c>
      <c r="C467" s="49" t="s">
        <v>145</v>
      </c>
      <c r="D467" s="59" t="s">
        <v>781</v>
      </c>
      <c r="E467" s="59" t="s">
        <v>13</v>
      </c>
      <c r="F467" s="49">
        <v>10</v>
      </c>
      <c r="G467" s="49">
        <v>578970</v>
      </c>
      <c r="H467" s="17">
        <f>F467*G467</f>
        <v>5789700</v>
      </c>
      <c r="I467" s="67" t="s">
        <v>1042</v>
      </c>
      <c r="J467" s="67"/>
      <c r="K467" s="67"/>
      <c r="L467" s="68"/>
    </row>
    <row r="468" spans="1:13" ht="19.5" customHeight="1" x14ac:dyDescent="0.4">
      <c r="A468" s="195">
        <v>46081</v>
      </c>
      <c r="B468" s="59" t="s">
        <v>143</v>
      </c>
      <c r="C468" s="49" t="s">
        <v>985</v>
      </c>
      <c r="D468" s="59" t="s">
        <v>986</v>
      </c>
      <c r="E468" s="59" t="s">
        <v>13</v>
      </c>
      <c r="F468" s="49">
        <v>20</v>
      </c>
      <c r="G468" s="49">
        <v>224220</v>
      </c>
      <c r="H468" s="17">
        <f>F468*G468</f>
        <v>4484400</v>
      </c>
      <c r="I468" s="67" t="s">
        <v>1042</v>
      </c>
      <c r="J468" s="67"/>
      <c r="K468" s="67"/>
      <c r="L468" s="68"/>
    </row>
    <row r="469" spans="1:13" ht="19.5" customHeight="1" x14ac:dyDescent="0.4">
      <c r="A469" s="377"/>
      <c r="B469" s="123"/>
      <c r="C469" s="138"/>
      <c r="D469" s="97"/>
      <c r="E469" s="123"/>
      <c r="F469" s="138"/>
      <c r="G469" s="138"/>
      <c r="H469" s="138">
        <f>SUM(H465)</f>
        <v>9842490</v>
      </c>
      <c r="I469" s="123"/>
      <c r="J469" s="123"/>
      <c r="K469" s="123"/>
      <c r="L469" s="123"/>
    </row>
    <row r="470" spans="1:13" ht="19.5" customHeight="1" x14ac:dyDescent="0.4">
      <c r="A470" s="195">
        <v>46052</v>
      </c>
      <c r="B470" s="59" t="s">
        <v>782</v>
      </c>
      <c r="C470" s="49" t="s">
        <v>152</v>
      </c>
      <c r="D470" s="59" t="s">
        <v>263</v>
      </c>
      <c r="E470" s="67"/>
      <c r="F470" s="49">
        <v>4</v>
      </c>
      <c r="G470" s="49">
        <f>J470*L470</f>
        <v>941565.87700000009</v>
      </c>
      <c r="H470" s="17">
        <f t="shared" ref="H470:H498" si="13">F470*G470</f>
        <v>3766263.5080000004</v>
      </c>
      <c r="I470" s="67" t="s">
        <v>815</v>
      </c>
      <c r="J470" s="68">
        <v>100930</v>
      </c>
      <c r="K470" s="67" t="s">
        <v>816</v>
      </c>
      <c r="L470" s="67">
        <v>9.3289000000000009</v>
      </c>
      <c r="M470" s="50" t="s">
        <v>834</v>
      </c>
    </row>
    <row r="471" spans="1:13" ht="19.5" customHeight="1" x14ac:dyDescent="0.4">
      <c r="A471" s="195">
        <v>46052</v>
      </c>
      <c r="B471" s="59" t="s">
        <v>782</v>
      </c>
      <c r="C471" s="49" t="s">
        <v>160</v>
      </c>
      <c r="D471" s="59" t="s">
        <v>255</v>
      </c>
      <c r="E471" s="67"/>
      <c r="F471" s="49">
        <v>8</v>
      </c>
      <c r="G471" s="49">
        <f t="shared" ref="G471:G534" si="14">J471*L471</f>
        <v>386309.74900000001</v>
      </c>
      <c r="H471" s="17">
        <f t="shared" si="13"/>
        <v>3090477.9920000001</v>
      </c>
      <c r="I471" s="67" t="s">
        <v>589</v>
      </c>
      <c r="J471" s="68">
        <v>41410</v>
      </c>
      <c r="K471" s="67" t="s">
        <v>816</v>
      </c>
      <c r="L471" s="67">
        <v>9.3289000000000009</v>
      </c>
      <c r="M471" s="50" t="s">
        <v>834</v>
      </c>
    </row>
    <row r="472" spans="1:13" ht="19.5" customHeight="1" x14ac:dyDescent="0.4">
      <c r="A472" s="195">
        <v>46052</v>
      </c>
      <c r="B472" s="59" t="s">
        <v>782</v>
      </c>
      <c r="C472" s="49" t="s">
        <v>152</v>
      </c>
      <c r="D472" s="59" t="s">
        <v>159</v>
      </c>
      <c r="E472" s="67"/>
      <c r="F472" s="49">
        <v>4</v>
      </c>
      <c r="G472" s="49">
        <f t="shared" si="14"/>
        <v>931677.24300000013</v>
      </c>
      <c r="H472" s="17">
        <f t="shared" si="13"/>
        <v>3726708.9720000005</v>
      </c>
      <c r="I472" s="67" t="s">
        <v>590</v>
      </c>
      <c r="J472" s="68">
        <v>99870</v>
      </c>
      <c r="K472" s="67" t="s">
        <v>816</v>
      </c>
      <c r="L472" s="67">
        <v>9.3289000000000009</v>
      </c>
      <c r="M472" s="50" t="s">
        <v>834</v>
      </c>
    </row>
    <row r="473" spans="1:13" ht="19.5" customHeight="1" x14ac:dyDescent="0.4">
      <c r="A473" s="195">
        <v>46052</v>
      </c>
      <c r="B473" s="59" t="s">
        <v>782</v>
      </c>
      <c r="C473" s="49" t="s">
        <v>156</v>
      </c>
      <c r="D473" s="59" t="s">
        <v>271</v>
      </c>
      <c r="E473" s="67"/>
      <c r="F473" s="49">
        <v>4</v>
      </c>
      <c r="G473" s="49">
        <f t="shared" si="14"/>
        <v>1070771.142</v>
      </c>
      <c r="H473" s="17">
        <f t="shared" si="13"/>
        <v>4283084.568</v>
      </c>
      <c r="I473" s="67" t="s">
        <v>482</v>
      </c>
      <c r="J473" s="68">
        <v>114780</v>
      </c>
      <c r="K473" s="67" t="s">
        <v>816</v>
      </c>
      <c r="L473" s="67">
        <v>9.3289000000000009</v>
      </c>
      <c r="M473" s="50" t="s">
        <v>834</v>
      </c>
    </row>
    <row r="474" spans="1:13" ht="19.5" customHeight="1" x14ac:dyDescent="0.4">
      <c r="A474" s="195">
        <v>46052</v>
      </c>
      <c r="B474" s="59" t="s">
        <v>782</v>
      </c>
      <c r="C474" s="49" t="s">
        <v>161</v>
      </c>
      <c r="D474" s="59" t="s">
        <v>265</v>
      </c>
      <c r="E474" s="67"/>
      <c r="F474" s="49">
        <v>4</v>
      </c>
      <c r="G474" s="49">
        <f t="shared" si="14"/>
        <v>251320.56600000002</v>
      </c>
      <c r="H474" s="17">
        <f t="shared" si="13"/>
        <v>1005282.2640000001</v>
      </c>
      <c r="I474" s="67" t="s">
        <v>482</v>
      </c>
      <c r="J474" s="68">
        <v>26940</v>
      </c>
      <c r="K474" s="67" t="s">
        <v>816</v>
      </c>
      <c r="L474" s="67">
        <v>9.3289000000000009</v>
      </c>
      <c r="M474" s="50" t="s">
        <v>834</v>
      </c>
    </row>
    <row r="475" spans="1:13" ht="19.5" customHeight="1" x14ac:dyDescent="0.4">
      <c r="A475" s="195">
        <v>46052</v>
      </c>
      <c r="B475" s="59" t="s">
        <v>782</v>
      </c>
      <c r="C475" s="49" t="s">
        <v>156</v>
      </c>
      <c r="D475" s="59" t="s">
        <v>272</v>
      </c>
      <c r="E475" s="67"/>
      <c r="F475" s="49">
        <v>4</v>
      </c>
      <c r="G475" s="49">
        <f t="shared" si="14"/>
        <v>1070771.142</v>
      </c>
      <c r="H475" s="17">
        <f t="shared" si="13"/>
        <v>4283084.568</v>
      </c>
      <c r="I475" s="67" t="s">
        <v>481</v>
      </c>
      <c r="J475" s="68">
        <v>114780</v>
      </c>
      <c r="K475" s="67" t="s">
        <v>816</v>
      </c>
      <c r="L475" s="67">
        <v>9.3289000000000009</v>
      </c>
      <c r="M475" s="50" t="s">
        <v>834</v>
      </c>
    </row>
    <row r="476" spans="1:13" ht="19.5" customHeight="1" x14ac:dyDescent="0.4">
      <c r="A476" s="195">
        <v>46052</v>
      </c>
      <c r="B476" s="59" t="s">
        <v>782</v>
      </c>
      <c r="C476" s="49" t="s">
        <v>155</v>
      </c>
      <c r="D476" s="59" t="s">
        <v>253</v>
      </c>
      <c r="E476" s="67"/>
      <c r="F476" s="49">
        <v>8</v>
      </c>
      <c r="G476" s="49">
        <f t="shared" si="14"/>
        <v>3570916.3420000002</v>
      </c>
      <c r="H476" s="17">
        <f t="shared" si="13"/>
        <v>28567330.736000001</v>
      </c>
      <c r="I476" s="67" t="s">
        <v>804</v>
      </c>
      <c r="J476" s="68">
        <v>382780</v>
      </c>
      <c r="K476" s="67" t="s">
        <v>816</v>
      </c>
      <c r="L476" s="67">
        <v>9.3289000000000009</v>
      </c>
      <c r="M476" s="50" t="s">
        <v>834</v>
      </c>
    </row>
    <row r="477" spans="1:13" ht="19.5" customHeight="1" x14ac:dyDescent="0.4">
      <c r="A477" s="195">
        <v>46052</v>
      </c>
      <c r="B477" s="59" t="s">
        <v>782</v>
      </c>
      <c r="C477" s="49" t="s">
        <v>157</v>
      </c>
      <c r="D477" s="59" t="s">
        <v>259</v>
      </c>
      <c r="E477" s="67"/>
      <c r="F477" s="49">
        <v>8</v>
      </c>
      <c r="G477" s="49">
        <f t="shared" si="14"/>
        <v>3353552.9720000005</v>
      </c>
      <c r="H477" s="17">
        <f t="shared" si="13"/>
        <v>26828423.776000004</v>
      </c>
      <c r="I477" s="67" t="s">
        <v>804</v>
      </c>
      <c r="J477" s="68">
        <v>359480</v>
      </c>
      <c r="K477" s="67" t="s">
        <v>816</v>
      </c>
      <c r="L477" s="67">
        <v>9.3289000000000009</v>
      </c>
      <c r="M477" s="50" t="s">
        <v>834</v>
      </c>
    </row>
    <row r="478" spans="1:13" ht="19.5" customHeight="1" x14ac:dyDescent="0.4">
      <c r="A478" s="195">
        <v>46052</v>
      </c>
      <c r="B478" s="59" t="s">
        <v>782</v>
      </c>
      <c r="C478" s="49" t="s">
        <v>150</v>
      </c>
      <c r="D478" s="59" t="s">
        <v>334</v>
      </c>
      <c r="E478" s="67"/>
      <c r="F478" s="49">
        <v>4</v>
      </c>
      <c r="G478" s="49">
        <f t="shared" si="14"/>
        <v>305521.47500000003</v>
      </c>
      <c r="H478" s="17">
        <f t="shared" si="13"/>
        <v>1222085.9000000001</v>
      </c>
      <c r="I478" s="67" t="s">
        <v>801</v>
      </c>
      <c r="J478" s="68">
        <v>32750</v>
      </c>
      <c r="K478" s="67" t="s">
        <v>816</v>
      </c>
      <c r="L478" s="67">
        <v>9.3289000000000009</v>
      </c>
      <c r="M478" s="50" t="s">
        <v>834</v>
      </c>
    </row>
    <row r="479" spans="1:13" ht="19.5" customHeight="1" x14ac:dyDescent="0.4">
      <c r="A479" s="195">
        <v>46052</v>
      </c>
      <c r="B479" s="59" t="s">
        <v>782</v>
      </c>
      <c r="C479" s="49" t="s">
        <v>154</v>
      </c>
      <c r="D479" s="59" t="s">
        <v>250</v>
      </c>
      <c r="E479" s="67"/>
      <c r="F479" s="49">
        <v>4</v>
      </c>
      <c r="G479" s="49">
        <f t="shared" si="14"/>
        <v>716925.96500000008</v>
      </c>
      <c r="H479" s="17">
        <f t="shared" si="13"/>
        <v>2867703.8600000003</v>
      </c>
      <c r="I479" s="67" t="s">
        <v>801</v>
      </c>
      <c r="J479" s="68">
        <v>76850</v>
      </c>
      <c r="K479" s="67" t="s">
        <v>816</v>
      </c>
      <c r="L479" s="67">
        <v>9.3289000000000009</v>
      </c>
      <c r="M479" s="50" t="s">
        <v>834</v>
      </c>
    </row>
    <row r="480" spans="1:13" ht="19.5" customHeight="1" x14ac:dyDescent="0.4">
      <c r="A480" s="195">
        <v>46052</v>
      </c>
      <c r="B480" s="59" t="s">
        <v>782</v>
      </c>
      <c r="C480" s="49" t="s">
        <v>156</v>
      </c>
      <c r="D480" s="59" t="s">
        <v>271</v>
      </c>
      <c r="E480" s="67"/>
      <c r="F480" s="49">
        <v>4</v>
      </c>
      <c r="G480" s="49">
        <f t="shared" si="14"/>
        <v>1070771.142</v>
      </c>
      <c r="H480" s="17">
        <f t="shared" si="13"/>
        <v>4283084.568</v>
      </c>
      <c r="I480" s="67" t="s">
        <v>546</v>
      </c>
      <c r="J480" s="68">
        <v>114780</v>
      </c>
      <c r="K480" s="67" t="s">
        <v>816</v>
      </c>
      <c r="L480" s="67">
        <v>9.3289000000000009</v>
      </c>
      <c r="M480" s="50" t="s">
        <v>834</v>
      </c>
    </row>
    <row r="481" spans="1:13" ht="19.5" customHeight="1" x14ac:dyDescent="0.4">
      <c r="A481" s="195">
        <v>46052</v>
      </c>
      <c r="B481" s="59" t="s">
        <v>782</v>
      </c>
      <c r="C481" s="49" t="s">
        <v>153</v>
      </c>
      <c r="D481" s="59" t="s">
        <v>264</v>
      </c>
      <c r="E481" s="67"/>
      <c r="F481" s="49">
        <v>1</v>
      </c>
      <c r="G481" s="49">
        <f t="shared" si="14"/>
        <v>2771709.4790000003</v>
      </c>
      <c r="H481" s="17">
        <f t="shared" si="13"/>
        <v>2771709.4790000003</v>
      </c>
      <c r="I481" s="67" t="s">
        <v>582</v>
      </c>
      <c r="J481" s="68">
        <v>297110</v>
      </c>
      <c r="K481" s="67" t="s">
        <v>816</v>
      </c>
      <c r="L481" s="67">
        <v>9.3289000000000009</v>
      </c>
      <c r="M481" s="50" t="s">
        <v>834</v>
      </c>
    </row>
    <row r="482" spans="1:13" ht="19.5" customHeight="1" x14ac:dyDescent="0.4">
      <c r="A482" s="195">
        <v>46052</v>
      </c>
      <c r="B482" s="59" t="s">
        <v>782</v>
      </c>
      <c r="C482" s="49" t="s">
        <v>154</v>
      </c>
      <c r="D482" s="59" t="s">
        <v>267</v>
      </c>
      <c r="E482" s="67"/>
      <c r="F482" s="49">
        <v>8</v>
      </c>
      <c r="G482" s="49">
        <f t="shared" si="14"/>
        <v>3814027.4760000003</v>
      </c>
      <c r="H482" s="17">
        <f t="shared" si="13"/>
        <v>30512219.808000002</v>
      </c>
      <c r="I482" s="67" t="s">
        <v>814</v>
      </c>
      <c r="J482" s="68">
        <v>408840</v>
      </c>
      <c r="K482" s="67" t="s">
        <v>816</v>
      </c>
      <c r="L482" s="67">
        <v>9.3289000000000009</v>
      </c>
      <c r="M482" s="50" t="s">
        <v>834</v>
      </c>
    </row>
    <row r="483" spans="1:13" ht="19.5" customHeight="1" x14ac:dyDescent="0.4">
      <c r="A483" s="195">
        <v>46052</v>
      </c>
      <c r="B483" s="59" t="s">
        <v>782</v>
      </c>
      <c r="C483" s="49" t="s">
        <v>153</v>
      </c>
      <c r="D483" s="59" t="s">
        <v>392</v>
      </c>
      <c r="E483" s="67"/>
      <c r="F483" s="49">
        <v>8</v>
      </c>
      <c r="G483" s="49">
        <f t="shared" si="14"/>
        <v>2781598.1130000004</v>
      </c>
      <c r="H483" s="17">
        <f t="shared" si="13"/>
        <v>22252784.904000003</v>
      </c>
      <c r="I483" s="67" t="s">
        <v>814</v>
      </c>
      <c r="J483" s="68">
        <v>298170</v>
      </c>
      <c r="K483" s="67" t="s">
        <v>816</v>
      </c>
      <c r="L483" s="67">
        <v>9.3289000000000009</v>
      </c>
      <c r="M483" s="50" t="s">
        <v>834</v>
      </c>
    </row>
    <row r="484" spans="1:13" ht="19.5" customHeight="1" x14ac:dyDescent="0.4">
      <c r="A484" s="195">
        <v>46052</v>
      </c>
      <c r="B484" s="59" t="s">
        <v>782</v>
      </c>
      <c r="C484" s="49" t="s">
        <v>158</v>
      </c>
      <c r="D484" s="59" t="s">
        <v>252</v>
      </c>
      <c r="E484" s="67"/>
      <c r="F484" s="49">
        <v>8</v>
      </c>
      <c r="G484" s="49">
        <f t="shared" si="14"/>
        <v>3444229.8800000004</v>
      </c>
      <c r="H484" s="17">
        <f t="shared" si="13"/>
        <v>27553839.040000003</v>
      </c>
      <c r="I484" s="67" t="s">
        <v>814</v>
      </c>
      <c r="J484" s="68">
        <v>369200</v>
      </c>
      <c r="K484" s="67" t="s">
        <v>816</v>
      </c>
      <c r="L484" s="67">
        <v>9.3289000000000009</v>
      </c>
      <c r="M484" s="50" t="s">
        <v>834</v>
      </c>
    </row>
    <row r="485" spans="1:13" ht="19.5" customHeight="1" x14ac:dyDescent="0.4">
      <c r="A485" s="195">
        <v>46052</v>
      </c>
      <c r="B485" s="59" t="s">
        <v>782</v>
      </c>
      <c r="C485" s="49" t="s">
        <v>154</v>
      </c>
      <c r="D485" s="59" t="s">
        <v>251</v>
      </c>
      <c r="E485" s="67"/>
      <c r="F485" s="49">
        <v>4</v>
      </c>
      <c r="G485" s="49">
        <f t="shared" si="14"/>
        <v>716925.96500000008</v>
      </c>
      <c r="H485" s="17">
        <f t="shared" si="13"/>
        <v>2867703.8600000003</v>
      </c>
      <c r="I485" s="67" t="s">
        <v>809</v>
      </c>
      <c r="J485" s="68">
        <v>76850</v>
      </c>
      <c r="K485" s="67" t="s">
        <v>816</v>
      </c>
      <c r="L485" s="67">
        <v>9.3289000000000009</v>
      </c>
      <c r="M485" s="50" t="s">
        <v>834</v>
      </c>
    </row>
    <row r="486" spans="1:13" ht="19.5" customHeight="1" x14ac:dyDescent="0.4">
      <c r="A486" s="195">
        <v>46052</v>
      </c>
      <c r="B486" s="59" t="s">
        <v>782</v>
      </c>
      <c r="C486" s="49" t="s">
        <v>154</v>
      </c>
      <c r="D486" s="59" t="s">
        <v>251</v>
      </c>
      <c r="E486" s="67"/>
      <c r="F486" s="49">
        <v>4</v>
      </c>
      <c r="G486" s="49">
        <f t="shared" si="14"/>
        <v>719724.63500000001</v>
      </c>
      <c r="H486" s="17">
        <f t="shared" si="13"/>
        <v>2878898.54</v>
      </c>
      <c r="I486" s="67" t="s">
        <v>810</v>
      </c>
      <c r="J486" s="68">
        <v>77150</v>
      </c>
      <c r="K486" s="67" t="s">
        <v>816</v>
      </c>
      <c r="L486" s="67">
        <v>9.3289000000000009</v>
      </c>
      <c r="M486" s="50" t="s">
        <v>834</v>
      </c>
    </row>
    <row r="487" spans="1:13" ht="19.5" customHeight="1" x14ac:dyDescent="0.4">
      <c r="A487" s="195">
        <v>46052</v>
      </c>
      <c r="B487" s="59" t="s">
        <v>782</v>
      </c>
      <c r="C487" s="49" t="s">
        <v>154</v>
      </c>
      <c r="D487" s="59" t="s">
        <v>266</v>
      </c>
      <c r="E487" s="67"/>
      <c r="F487" s="49">
        <v>2</v>
      </c>
      <c r="G487" s="49">
        <f t="shared" si="14"/>
        <v>3853208.8560000001</v>
      </c>
      <c r="H487" s="17">
        <f t="shared" si="13"/>
        <v>7706417.7120000003</v>
      </c>
      <c r="I487" s="67" t="s">
        <v>784</v>
      </c>
      <c r="J487" s="68">
        <v>413040</v>
      </c>
      <c r="K487" s="67" t="s">
        <v>816</v>
      </c>
      <c r="L487" s="67">
        <v>9.3289000000000009</v>
      </c>
      <c r="M487" s="50" t="s">
        <v>834</v>
      </c>
    </row>
    <row r="488" spans="1:13" ht="19.5" customHeight="1" x14ac:dyDescent="0.4">
      <c r="A488" s="195">
        <v>46052</v>
      </c>
      <c r="B488" s="59" t="s">
        <v>782</v>
      </c>
      <c r="C488" s="49" t="s">
        <v>154</v>
      </c>
      <c r="D488" s="59" t="s">
        <v>251</v>
      </c>
      <c r="E488" s="67"/>
      <c r="F488" s="49">
        <v>4</v>
      </c>
      <c r="G488" s="49">
        <f t="shared" si="14"/>
        <v>719724.63500000001</v>
      </c>
      <c r="H488" s="17">
        <f t="shared" si="13"/>
        <v>2878898.54</v>
      </c>
      <c r="I488" s="67" t="s">
        <v>811</v>
      </c>
      <c r="J488" s="68">
        <v>77150</v>
      </c>
      <c r="K488" s="67" t="s">
        <v>816</v>
      </c>
      <c r="L488" s="67">
        <v>9.3289000000000009</v>
      </c>
      <c r="M488" s="50" t="s">
        <v>834</v>
      </c>
    </row>
    <row r="489" spans="1:13" ht="19.5" customHeight="1" x14ac:dyDescent="0.4">
      <c r="A489" s="195">
        <v>46052</v>
      </c>
      <c r="B489" s="59" t="s">
        <v>782</v>
      </c>
      <c r="C489" s="49" t="s">
        <v>154</v>
      </c>
      <c r="D489" s="59" t="s">
        <v>251</v>
      </c>
      <c r="E489" s="67"/>
      <c r="F489" s="49">
        <v>4</v>
      </c>
      <c r="G489" s="49">
        <f t="shared" si="14"/>
        <v>719724.63500000001</v>
      </c>
      <c r="H489" s="17">
        <f t="shared" si="13"/>
        <v>2878898.54</v>
      </c>
      <c r="I489" s="67" t="s">
        <v>812</v>
      </c>
      <c r="J489" s="68">
        <v>77150</v>
      </c>
      <c r="K489" s="67" t="s">
        <v>816</v>
      </c>
      <c r="L489" s="67">
        <v>9.3289000000000009</v>
      </c>
      <c r="M489" s="50" t="s">
        <v>834</v>
      </c>
    </row>
    <row r="490" spans="1:13" ht="19.5" customHeight="1" x14ac:dyDescent="0.4">
      <c r="A490" s="195">
        <v>46052</v>
      </c>
      <c r="B490" s="59" t="s">
        <v>782</v>
      </c>
      <c r="C490" s="49" t="s">
        <v>154</v>
      </c>
      <c r="D490" s="59" t="s">
        <v>251</v>
      </c>
      <c r="E490" s="67"/>
      <c r="F490" s="49">
        <v>4</v>
      </c>
      <c r="G490" s="49">
        <f t="shared" si="14"/>
        <v>719724.63500000001</v>
      </c>
      <c r="H490" s="17">
        <f t="shared" si="13"/>
        <v>2878898.54</v>
      </c>
      <c r="I490" s="67" t="s">
        <v>813</v>
      </c>
      <c r="J490" s="68">
        <v>77150</v>
      </c>
      <c r="K490" s="67" t="s">
        <v>816</v>
      </c>
      <c r="L490" s="67">
        <v>9.3289000000000009</v>
      </c>
      <c r="M490" s="50" t="s">
        <v>834</v>
      </c>
    </row>
    <row r="491" spans="1:13" ht="19.5" customHeight="1" x14ac:dyDescent="0.4">
      <c r="A491" s="195">
        <v>46052</v>
      </c>
      <c r="B491" s="59" t="s">
        <v>782</v>
      </c>
      <c r="C491" s="49" t="s">
        <v>150</v>
      </c>
      <c r="D491" s="59" t="s">
        <v>334</v>
      </c>
      <c r="E491" s="67"/>
      <c r="F491" s="49">
        <v>3</v>
      </c>
      <c r="G491" s="49">
        <f t="shared" si="14"/>
        <v>20598.211200000002</v>
      </c>
      <c r="H491" s="17">
        <f t="shared" si="13"/>
        <v>61794.633600000001</v>
      </c>
      <c r="I491" s="67" t="s">
        <v>817</v>
      </c>
      <c r="J491" s="68">
        <v>2208</v>
      </c>
      <c r="K491" s="67" t="s">
        <v>816</v>
      </c>
      <c r="L491" s="67">
        <v>9.3289000000000009</v>
      </c>
      <c r="M491" s="50" t="s">
        <v>834</v>
      </c>
    </row>
    <row r="492" spans="1:13" ht="19.5" customHeight="1" x14ac:dyDescent="0.4">
      <c r="A492" s="195">
        <v>46052</v>
      </c>
      <c r="B492" s="59" t="s">
        <v>782</v>
      </c>
      <c r="C492" s="49" t="s">
        <v>150</v>
      </c>
      <c r="D492" s="59" t="s">
        <v>335</v>
      </c>
      <c r="E492" s="67"/>
      <c r="F492" s="49">
        <v>3</v>
      </c>
      <c r="G492" s="49">
        <f t="shared" si="14"/>
        <v>20598.211200000002</v>
      </c>
      <c r="H492" s="17">
        <f t="shared" si="13"/>
        <v>61794.633600000001</v>
      </c>
      <c r="I492" s="67" t="s">
        <v>818</v>
      </c>
      <c r="J492" s="68">
        <v>2208</v>
      </c>
      <c r="K492" s="67" t="s">
        <v>816</v>
      </c>
      <c r="L492" s="67">
        <v>9.3289000000000009</v>
      </c>
      <c r="M492" s="50" t="s">
        <v>834</v>
      </c>
    </row>
    <row r="493" spans="1:13" ht="19.5" customHeight="1" x14ac:dyDescent="0.4">
      <c r="A493" s="195">
        <v>46052</v>
      </c>
      <c r="B493" s="59" t="s">
        <v>782</v>
      </c>
      <c r="C493" s="49" t="s">
        <v>150</v>
      </c>
      <c r="D493" s="59" t="s">
        <v>335</v>
      </c>
      <c r="E493" s="67"/>
      <c r="F493" s="49">
        <v>2</v>
      </c>
      <c r="G493" s="49">
        <f t="shared" si="14"/>
        <v>20598.211200000002</v>
      </c>
      <c r="H493" s="17">
        <f t="shared" si="13"/>
        <v>41196.422400000003</v>
      </c>
      <c r="I493" s="67" t="s">
        <v>819</v>
      </c>
      <c r="J493" s="68">
        <v>2208</v>
      </c>
      <c r="K493" s="67" t="s">
        <v>816</v>
      </c>
      <c r="L493" s="67">
        <v>9.3289000000000009</v>
      </c>
      <c r="M493" s="50" t="s">
        <v>834</v>
      </c>
    </row>
    <row r="494" spans="1:13" ht="19.5" customHeight="1" x14ac:dyDescent="0.4">
      <c r="A494" s="195">
        <v>46052</v>
      </c>
      <c r="B494" s="59" t="s">
        <v>782</v>
      </c>
      <c r="C494" s="49" t="s">
        <v>150</v>
      </c>
      <c r="D494" s="59" t="s">
        <v>335</v>
      </c>
      <c r="E494" s="67"/>
      <c r="F494" s="49">
        <v>2</v>
      </c>
      <c r="G494" s="49">
        <f t="shared" si="14"/>
        <v>20598.211200000002</v>
      </c>
      <c r="H494" s="17">
        <f t="shared" si="13"/>
        <v>41196.422400000003</v>
      </c>
      <c r="I494" s="67" t="s">
        <v>803</v>
      </c>
      <c r="J494" s="68">
        <v>2208</v>
      </c>
      <c r="K494" s="67" t="s">
        <v>816</v>
      </c>
      <c r="L494" s="67">
        <v>9.3289000000000009</v>
      </c>
      <c r="M494" s="50" t="s">
        <v>834</v>
      </c>
    </row>
    <row r="495" spans="1:13" ht="19.5" customHeight="1" x14ac:dyDescent="0.4">
      <c r="A495" s="195">
        <v>46052</v>
      </c>
      <c r="B495" s="59" t="s">
        <v>782</v>
      </c>
      <c r="C495" s="49" t="s">
        <v>153</v>
      </c>
      <c r="D495" s="59" t="s">
        <v>269</v>
      </c>
      <c r="E495" s="67"/>
      <c r="F495" s="49">
        <v>1</v>
      </c>
      <c r="G495" s="49">
        <f t="shared" si="14"/>
        <v>278075.85120000003</v>
      </c>
      <c r="H495" s="17">
        <f t="shared" si="13"/>
        <v>278075.85120000003</v>
      </c>
      <c r="I495" s="67" t="s">
        <v>543</v>
      </c>
      <c r="J495" s="68">
        <v>29808</v>
      </c>
      <c r="K495" s="67" t="s">
        <v>816</v>
      </c>
      <c r="L495" s="67">
        <v>9.3289000000000009</v>
      </c>
      <c r="M495" s="50" t="s">
        <v>834</v>
      </c>
    </row>
    <row r="496" spans="1:13" ht="19.5" customHeight="1" x14ac:dyDescent="0.4">
      <c r="A496" s="195">
        <v>46052</v>
      </c>
      <c r="B496" s="59" t="s">
        <v>782</v>
      </c>
      <c r="C496" s="49" t="s">
        <v>150</v>
      </c>
      <c r="D496" s="59" t="s">
        <v>335</v>
      </c>
      <c r="E496" s="67"/>
      <c r="F496" s="49">
        <v>4</v>
      </c>
      <c r="G496" s="49">
        <f t="shared" si="14"/>
        <v>20159.752900000003</v>
      </c>
      <c r="H496" s="17">
        <f t="shared" si="13"/>
        <v>80639.011600000013</v>
      </c>
      <c r="I496" s="67" t="s">
        <v>820</v>
      </c>
      <c r="J496" s="68">
        <v>2161</v>
      </c>
      <c r="K496" s="67" t="s">
        <v>816</v>
      </c>
      <c r="L496" s="67">
        <v>9.3289000000000009</v>
      </c>
      <c r="M496" s="50" t="s">
        <v>834</v>
      </c>
    </row>
    <row r="497" spans="1:13" ht="19.5" customHeight="1" x14ac:dyDescent="0.4">
      <c r="A497" s="195">
        <v>46052</v>
      </c>
      <c r="B497" s="59" t="s">
        <v>782</v>
      </c>
      <c r="C497" s="49" t="s">
        <v>150</v>
      </c>
      <c r="D497" s="59" t="s">
        <v>335</v>
      </c>
      <c r="E497" s="67"/>
      <c r="F497" s="49">
        <v>3</v>
      </c>
      <c r="G497" s="49">
        <f t="shared" si="14"/>
        <v>20159.752900000003</v>
      </c>
      <c r="H497" s="17">
        <f t="shared" si="13"/>
        <v>60479.258700000006</v>
      </c>
      <c r="I497" s="67" t="s">
        <v>821</v>
      </c>
      <c r="J497" s="68">
        <v>2161</v>
      </c>
      <c r="K497" s="67" t="s">
        <v>816</v>
      </c>
      <c r="L497" s="67">
        <v>9.3289000000000009</v>
      </c>
      <c r="M497" s="50" t="s">
        <v>834</v>
      </c>
    </row>
    <row r="498" spans="1:13" ht="19.5" customHeight="1" x14ac:dyDescent="0.4">
      <c r="A498" s="195">
        <v>46052</v>
      </c>
      <c r="B498" s="59" t="s">
        <v>782</v>
      </c>
      <c r="C498" s="49" t="s">
        <v>150</v>
      </c>
      <c r="D498" s="59" t="s">
        <v>335</v>
      </c>
      <c r="E498" s="67"/>
      <c r="F498" s="49">
        <v>3</v>
      </c>
      <c r="G498" s="49">
        <f t="shared" si="14"/>
        <v>20159.752900000003</v>
      </c>
      <c r="H498" s="17">
        <f t="shared" si="13"/>
        <v>60479.258700000006</v>
      </c>
      <c r="I498" s="67" t="s">
        <v>544</v>
      </c>
      <c r="J498" s="68">
        <v>2161</v>
      </c>
      <c r="K498" s="67" t="s">
        <v>816</v>
      </c>
      <c r="L498" s="67">
        <v>9.3289000000000009</v>
      </c>
      <c r="M498" s="50" t="s">
        <v>834</v>
      </c>
    </row>
    <row r="499" spans="1:13" ht="18.75" customHeight="1" x14ac:dyDescent="0.4">
      <c r="A499" s="105">
        <v>46059</v>
      </c>
      <c r="B499" s="106" t="s">
        <v>987</v>
      </c>
      <c r="C499" s="49" t="s">
        <v>152</v>
      </c>
      <c r="D499" s="59" t="s">
        <v>263</v>
      </c>
      <c r="E499" s="67"/>
      <c r="F499" s="49">
        <v>4</v>
      </c>
      <c r="G499" s="49">
        <f t="shared" si="14"/>
        <v>931247.80200000003</v>
      </c>
      <c r="H499" s="36">
        <f t="shared" ref="H499:H551" si="15">F499*G499</f>
        <v>3724991.2080000001</v>
      </c>
      <c r="I499" s="67" t="s">
        <v>988</v>
      </c>
      <c r="J499" s="49">
        <v>99870</v>
      </c>
      <c r="K499" s="67" t="s">
        <v>989</v>
      </c>
      <c r="L499" s="67">
        <v>9.3246000000000002</v>
      </c>
    </row>
    <row r="500" spans="1:13" ht="18.75" customHeight="1" x14ac:dyDescent="0.4">
      <c r="A500" s="105">
        <v>46059</v>
      </c>
      <c r="B500" s="106" t="s">
        <v>987</v>
      </c>
      <c r="C500" s="49" t="s">
        <v>161</v>
      </c>
      <c r="D500" s="59" t="s">
        <v>265</v>
      </c>
      <c r="E500" s="67"/>
      <c r="F500" s="49">
        <v>4</v>
      </c>
      <c r="G500" s="49">
        <f t="shared" si="14"/>
        <v>251204.72400000002</v>
      </c>
      <c r="H500" s="36">
        <f t="shared" si="15"/>
        <v>1004818.8960000001</v>
      </c>
      <c r="I500" s="67" t="s">
        <v>481</v>
      </c>
      <c r="J500" s="49">
        <v>26940</v>
      </c>
      <c r="K500" s="67" t="s">
        <v>989</v>
      </c>
      <c r="L500" s="67">
        <v>9.3246000000000002</v>
      </c>
    </row>
    <row r="501" spans="1:13" ht="18.75" customHeight="1" x14ac:dyDescent="0.4">
      <c r="A501" s="105">
        <v>46059</v>
      </c>
      <c r="B501" s="106" t="s">
        <v>987</v>
      </c>
      <c r="C501" s="49" t="s">
        <v>161</v>
      </c>
      <c r="D501" s="59" t="s">
        <v>990</v>
      </c>
      <c r="E501" s="67"/>
      <c r="F501" s="49">
        <v>4</v>
      </c>
      <c r="G501" s="49">
        <f t="shared" si="14"/>
        <v>251204.72400000002</v>
      </c>
      <c r="H501" s="36">
        <f t="shared" si="15"/>
        <v>1004818.8960000001</v>
      </c>
      <c r="I501" s="67" t="s">
        <v>546</v>
      </c>
      <c r="J501" s="49">
        <v>26940</v>
      </c>
      <c r="K501" s="67" t="s">
        <v>989</v>
      </c>
      <c r="L501" s="67">
        <v>9.3246000000000002</v>
      </c>
    </row>
    <row r="502" spans="1:13" ht="18.75" customHeight="1" x14ac:dyDescent="0.4">
      <c r="A502" s="105">
        <v>46059</v>
      </c>
      <c r="B502" s="106" t="s">
        <v>987</v>
      </c>
      <c r="C502" s="49" t="s">
        <v>156</v>
      </c>
      <c r="D502" s="59" t="s">
        <v>271</v>
      </c>
      <c r="E502" s="67"/>
      <c r="F502" s="49">
        <v>4</v>
      </c>
      <c r="G502" s="49">
        <f t="shared" si="14"/>
        <v>1070277.588</v>
      </c>
      <c r="H502" s="36">
        <f t="shared" si="15"/>
        <v>4281110.352</v>
      </c>
      <c r="I502" s="67" t="s">
        <v>650</v>
      </c>
      <c r="J502" s="49">
        <v>114780</v>
      </c>
      <c r="K502" s="67" t="s">
        <v>989</v>
      </c>
      <c r="L502" s="67">
        <v>9.3246000000000002</v>
      </c>
    </row>
    <row r="503" spans="1:13" ht="18.75" customHeight="1" x14ac:dyDescent="0.4">
      <c r="A503" s="105">
        <v>46059</v>
      </c>
      <c r="B503" s="106" t="s">
        <v>987</v>
      </c>
      <c r="C503" s="49" t="s">
        <v>161</v>
      </c>
      <c r="D503" s="59" t="s">
        <v>990</v>
      </c>
      <c r="E503" s="67"/>
      <c r="F503" s="49">
        <v>4</v>
      </c>
      <c r="G503" s="49">
        <f t="shared" si="14"/>
        <v>251204.72400000002</v>
      </c>
      <c r="H503" s="36">
        <f t="shared" si="15"/>
        <v>1004818.8960000001</v>
      </c>
      <c r="I503" s="67" t="s">
        <v>650</v>
      </c>
      <c r="J503" s="49">
        <v>26940</v>
      </c>
      <c r="K503" s="67" t="s">
        <v>989</v>
      </c>
      <c r="L503" s="67">
        <v>9.3246000000000002</v>
      </c>
    </row>
    <row r="504" spans="1:13" ht="18.75" customHeight="1" x14ac:dyDescent="0.4">
      <c r="A504" s="105">
        <v>46059</v>
      </c>
      <c r="B504" s="106" t="s">
        <v>987</v>
      </c>
      <c r="C504" s="49" t="s">
        <v>157</v>
      </c>
      <c r="D504" s="59" t="s">
        <v>259</v>
      </c>
      <c r="E504" s="67"/>
      <c r="F504" s="49">
        <v>4</v>
      </c>
      <c r="G504" s="49">
        <f t="shared" si="14"/>
        <v>3368698.2420000001</v>
      </c>
      <c r="H504" s="36">
        <f t="shared" si="15"/>
        <v>13474792.968</v>
      </c>
      <c r="I504" s="67" t="s">
        <v>664</v>
      </c>
      <c r="J504" s="49">
        <v>361270</v>
      </c>
      <c r="K504" s="67" t="s">
        <v>989</v>
      </c>
      <c r="L504" s="67">
        <v>9.3246000000000002</v>
      </c>
    </row>
    <row r="505" spans="1:13" ht="18.75" customHeight="1" x14ac:dyDescent="0.4">
      <c r="A505" s="105">
        <v>46059</v>
      </c>
      <c r="B505" s="106" t="s">
        <v>987</v>
      </c>
      <c r="C505" s="49" t="s">
        <v>155</v>
      </c>
      <c r="D505" s="59" t="s">
        <v>253</v>
      </c>
      <c r="E505" s="67"/>
      <c r="F505" s="49">
        <v>2</v>
      </c>
      <c r="G505" s="49">
        <f t="shared" si="14"/>
        <v>3589971</v>
      </c>
      <c r="H505" s="36">
        <f t="shared" si="15"/>
        <v>7179942</v>
      </c>
      <c r="I505" s="67" t="s">
        <v>786</v>
      </c>
      <c r="J505" s="49">
        <v>385000</v>
      </c>
      <c r="K505" s="67" t="s">
        <v>989</v>
      </c>
      <c r="L505" s="67">
        <v>9.3246000000000002</v>
      </c>
    </row>
    <row r="506" spans="1:13" ht="18.75" customHeight="1" x14ac:dyDescent="0.4">
      <c r="A506" s="105">
        <v>46059</v>
      </c>
      <c r="B506" s="106" t="s">
        <v>987</v>
      </c>
      <c r="C506" s="49" t="s">
        <v>154</v>
      </c>
      <c r="D506" s="59" t="s">
        <v>266</v>
      </c>
      <c r="E506" s="67"/>
      <c r="F506" s="49">
        <v>8</v>
      </c>
      <c r="G506" s="49">
        <f t="shared" si="14"/>
        <v>3851432.784</v>
      </c>
      <c r="H506" s="36">
        <f t="shared" si="15"/>
        <v>30811462.272</v>
      </c>
      <c r="I506" s="67" t="s">
        <v>786</v>
      </c>
      <c r="J506" s="49">
        <v>413040</v>
      </c>
      <c r="K506" s="67" t="s">
        <v>989</v>
      </c>
      <c r="L506" s="67">
        <v>9.3246000000000002</v>
      </c>
    </row>
    <row r="507" spans="1:13" ht="18.75" customHeight="1" x14ac:dyDescent="0.4">
      <c r="A507" s="105">
        <v>46059</v>
      </c>
      <c r="B507" s="106" t="s">
        <v>987</v>
      </c>
      <c r="C507" s="49" t="s">
        <v>154</v>
      </c>
      <c r="D507" s="59" t="s">
        <v>336</v>
      </c>
      <c r="E507" s="67"/>
      <c r="F507" s="49">
        <v>8</v>
      </c>
      <c r="G507" s="49">
        <f t="shared" si="14"/>
        <v>3909898.0260000001</v>
      </c>
      <c r="H507" s="36">
        <f t="shared" si="15"/>
        <v>31279184.208000001</v>
      </c>
      <c r="I507" s="67" t="s">
        <v>991</v>
      </c>
      <c r="J507" s="49">
        <v>419310</v>
      </c>
      <c r="K507" s="67" t="s">
        <v>989</v>
      </c>
      <c r="L507" s="67">
        <v>9.3246000000000002</v>
      </c>
    </row>
    <row r="508" spans="1:13" ht="18.75" customHeight="1" x14ac:dyDescent="0.4">
      <c r="A508" s="105">
        <v>46059</v>
      </c>
      <c r="B508" s="106" t="s">
        <v>987</v>
      </c>
      <c r="C508" s="49" t="s">
        <v>158</v>
      </c>
      <c r="D508" s="59" t="s">
        <v>252</v>
      </c>
      <c r="E508" s="67"/>
      <c r="F508" s="49">
        <v>8</v>
      </c>
      <c r="G508" s="49">
        <f t="shared" si="14"/>
        <v>3517239.12</v>
      </c>
      <c r="H508" s="36">
        <f t="shared" si="15"/>
        <v>28137912.960000001</v>
      </c>
      <c r="I508" s="67" t="s">
        <v>991</v>
      </c>
      <c r="J508" s="49">
        <v>377200</v>
      </c>
      <c r="K508" s="67" t="s">
        <v>989</v>
      </c>
      <c r="L508" s="67">
        <v>9.3246000000000002</v>
      </c>
    </row>
    <row r="509" spans="1:13" ht="18.75" customHeight="1" x14ac:dyDescent="0.4">
      <c r="A509" s="105">
        <v>46059</v>
      </c>
      <c r="B509" s="106" t="s">
        <v>987</v>
      </c>
      <c r="C509" s="49" t="s">
        <v>160</v>
      </c>
      <c r="D509" s="59" t="s">
        <v>274</v>
      </c>
      <c r="E509" s="67"/>
      <c r="F509" s="49">
        <v>8</v>
      </c>
      <c r="G509" s="49">
        <f t="shared" si="14"/>
        <v>548727.53358000005</v>
      </c>
      <c r="H509" s="36">
        <f t="shared" si="15"/>
        <v>4389820.2686400004</v>
      </c>
      <c r="I509" s="67" t="s">
        <v>992</v>
      </c>
      <c r="J509" s="49">
        <v>58847.3</v>
      </c>
      <c r="K509" s="67" t="s">
        <v>989</v>
      </c>
      <c r="L509" s="67">
        <v>9.3246000000000002</v>
      </c>
    </row>
    <row r="510" spans="1:13" ht="18.75" customHeight="1" x14ac:dyDescent="0.4">
      <c r="A510" s="105">
        <v>46059</v>
      </c>
      <c r="B510" s="106" t="s">
        <v>987</v>
      </c>
      <c r="C510" s="49" t="s">
        <v>150</v>
      </c>
      <c r="D510" s="59" t="s">
        <v>334</v>
      </c>
      <c r="E510" s="67"/>
      <c r="F510" s="49">
        <v>4</v>
      </c>
      <c r="G510" s="49">
        <f t="shared" si="14"/>
        <v>20150.460600000002</v>
      </c>
      <c r="H510" s="36">
        <f t="shared" si="15"/>
        <v>80601.842400000009</v>
      </c>
      <c r="I510" s="67" t="s">
        <v>802</v>
      </c>
      <c r="J510" s="49">
        <v>2161</v>
      </c>
      <c r="K510" s="67" t="s">
        <v>989</v>
      </c>
      <c r="L510" s="67">
        <v>9.3246000000000002</v>
      </c>
    </row>
    <row r="511" spans="1:13" ht="18.75" customHeight="1" x14ac:dyDescent="0.4">
      <c r="A511" s="105">
        <v>46059</v>
      </c>
      <c r="B511" s="106" t="s">
        <v>987</v>
      </c>
      <c r="C511" s="49" t="s">
        <v>150</v>
      </c>
      <c r="D511" s="59" t="s">
        <v>335</v>
      </c>
      <c r="E511" s="67"/>
      <c r="F511" s="49">
        <v>4</v>
      </c>
      <c r="G511" s="49">
        <f t="shared" si="14"/>
        <v>20150.460600000002</v>
      </c>
      <c r="H511" s="36">
        <f t="shared" si="15"/>
        <v>80601.842400000009</v>
      </c>
      <c r="I511" s="67" t="s">
        <v>993</v>
      </c>
      <c r="J511" s="49">
        <v>2161</v>
      </c>
      <c r="K511" s="67" t="s">
        <v>989</v>
      </c>
      <c r="L511" s="67">
        <v>9.3246000000000002</v>
      </c>
    </row>
    <row r="512" spans="1:13" ht="18.75" customHeight="1" x14ac:dyDescent="0.4">
      <c r="A512" s="105">
        <v>46059</v>
      </c>
      <c r="B512" s="106" t="s">
        <v>987</v>
      </c>
      <c r="C512" s="49" t="s">
        <v>150</v>
      </c>
      <c r="D512" s="59" t="s">
        <v>335</v>
      </c>
      <c r="E512" s="67"/>
      <c r="F512" s="49">
        <v>2</v>
      </c>
      <c r="G512" s="49">
        <f t="shared" si="14"/>
        <v>20150.460600000002</v>
      </c>
      <c r="H512" s="36">
        <f t="shared" si="15"/>
        <v>40300.921200000004</v>
      </c>
      <c r="I512" s="67" t="s">
        <v>994</v>
      </c>
      <c r="J512" s="49">
        <v>2161</v>
      </c>
      <c r="K512" s="67" t="s">
        <v>989</v>
      </c>
      <c r="L512" s="67">
        <v>9.3246000000000002</v>
      </c>
    </row>
    <row r="513" spans="1:12" ht="18.75" customHeight="1" x14ac:dyDescent="0.4">
      <c r="A513" s="105">
        <v>46064</v>
      </c>
      <c r="B513" s="106" t="s">
        <v>987</v>
      </c>
      <c r="C513" s="49" t="s">
        <v>152</v>
      </c>
      <c r="D513" s="59" t="s">
        <v>263</v>
      </c>
      <c r="E513" s="67"/>
      <c r="F513" s="49">
        <v>4</v>
      </c>
      <c r="G513" s="49">
        <f t="shared" si="14"/>
        <v>943501.85100000002</v>
      </c>
      <c r="H513" s="36">
        <f t="shared" si="15"/>
        <v>3774007.4040000001</v>
      </c>
      <c r="I513" s="67" t="s">
        <v>995</v>
      </c>
      <c r="J513" s="49">
        <v>99870</v>
      </c>
      <c r="K513" s="67" t="s">
        <v>996</v>
      </c>
      <c r="L513" s="67">
        <v>9.4473000000000003</v>
      </c>
    </row>
    <row r="514" spans="1:12" ht="18.75" customHeight="1" x14ac:dyDescent="0.4">
      <c r="A514" s="105">
        <v>46064</v>
      </c>
      <c r="B514" s="106" t="s">
        <v>987</v>
      </c>
      <c r="C514" s="49" t="s">
        <v>156</v>
      </c>
      <c r="D514" s="59" t="s">
        <v>271</v>
      </c>
      <c r="E514" s="67"/>
      <c r="F514" s="49">
        <v>4</v>
      </c>
      <c r="G514" s="49">
        <f t="shared" si="14"/>
        <v>1084361.094</v>
      </c>
      <c r="H514" s="36">
        <f t="shared" si="15"/>
        <v>4337444.3760000002</v>
      </c>
      <c r="I514" s="67" t="s">
        <v>997</v>
      </c>
      <c r="J514" s="49">
        <v>114780</v>
      </c>
      <c r="K514" s="67" t="s">
        <v>996</v>
      </c>
      <c r="L514" s="67">
        <v>9.4473000000000003</v>
      </c>
    </row>
    <row r="515" spans="1:12" ht="18.75" customHeight="1" x14ac:dyDescent="0.4">
      <c r="A515" s="105">
        <v>46064</v>
      </c>
      <c r="B515" s="106" t="s">
        <v>987</v>
      </c>
      <c r="C515" s="49" t="s">
        <v>156</v>
      </c>
      <c r="D515" s="59" t="s">
        <v>271</v>
      </c>
      <c r="E515" s="67"/>
      <c r="F515" s="49">
        <v>4</v>
      </c>
      <c r="G515" s="49">
        <f t="shared" si="14"/>
        <v>1084361.094</v>
      </c>
      <c r="H515" s="36">
        <f t="shared" si="15"/>
        <v>4337444.3760000002</v>
      </c>
      <c r="I515" s="67" t="s">
        <v>998</v>
      </c>
      <c r="J515" s="49">
        <v>114780</v>
      </c>
      <c r="K515" s="67" t="s">
        <v>996</v>
      </c>
      <c r="L515" s="67">
        <v>9.4473000000000003</v>
      </c>
    </row>
    <row r="516" spans="1:12" ht="18.75" customHeight="1" x14ac:dyDescent="0.4">
      <c r="A516" s="105">
        <v>46064</v>
      </c>
      <c r="B516" s="106" t="s">
        <v>987</v>
      </c>
      <c r="C516" s="49" t="s">
        <v>156</v>
      </c>
      <c r="D516" s="59" t="s">
        <v>261</v>
      </c>
      <c r="E516" s="67"/>
      <c r="F516" s="49">
        <v>1</v>
      </c>
      <c r="G516" s="49">
        <f t="shared" si="14"/>
        <v>2082279.3930000002</v>
      </c>
      <c r="H516" s="36">
        <f t="shared" si="15"/>
        <v>2082279.3930000002</v>
      </c>
      <c r="I516" s="67" t="s">
        <v>648</v>
      </c>
      <c r="J516" s="49">
        <v>220410</v>
      </c>
      <c r="K516" s="67" t="s">
        <v>996</v>
      </c>
      <c r="L516" s="67">
        <v>9.4473000000000003</v>
      </c>
    </row>
    <row r="517" spans="1:12" ht="18.75" customHeight="1" x14ac:dyDescent="0.4">
      <c r="A517" s="105">
        <v>46064</v>
      </c>
      <c r="B517" s="106" t="s">
        <v>987</v>
      </c>
      <c r="C517" s="49" t="s">
        <v>156</v>
      </c>
      <c r="D517" s="59" t="s">
        <v>272</v>
      </c>
      <c r="E517" s="67"/>
      <c r="F517" s="49">
        <v>4</v>
      </c>
      <c r="G517" s="49">
        <f t="shared" si="14"/>
        <v>1088706.852</v>
      </c>
      <c r="H517" s="36">
        <f t="shared" si="15"/>
        <v>4354827.4079999998</v>
      </c>
      <c r="I517" s="67" t="s">
        <v>783</v>
      </c>
      <c r="J517" s="49">
        <v>115240</v>
      </c>
      <c r="K517" s="67" t="s">
        <v>996</v>
      </c>
      <c r="L517" s="67">
        <v>9.4473000000000003</v>
      </c>
    </row>
    <row r="518" spans="1:12" ht="18.75" customHeight="1" x14ac:dyDescent="0.4">
      <c r="A518" s="105">
        <v>46064</v>
      </c>
      <c r="B518" s="106" t="s">
        <v>987</v>
      </c>
      <c r="C518" s="49" t="s">
        <v>157</v>
      </c>
      <c r="D518" s="59" t="s">
        <v>259</v>
      </c>
      <c r="E518" s="67"/>
      <c r="F518" s="49">
        <v>8</v>
      </c>
      <c r="G518" s="49">
        <f t="shared" si="14"/>
        <v>3413026.071</v>
      </c>
      <c r="H518" s="36">
        <f t="shared" si="15"/>
        <v>27304208.568</v>
      </c>
      <c r="I518" s="67" t="s">
        <v>784</v>
      </c>
      <c r="J518" s="49">
        <v>361270</v>
      </c>
      <c r="K518" s="67" t="s">
        <v>996</v>
      </c>
      <c r="L518" s="67">
        <v>9.4473000000000003</v>
      </c>
    </row>
    <row r="519" spans="1:12" ht="18.75" customHeight="1" x14ac:dyDescent="0.4">
      <c r="A519" s="105">
        <v>46064</v>
      </c>
      <c r="B519" s="106" t="s">
        <v>987</v>
      </c>
      <c r="C519" s="49" t="s">
        <v>154</v>
      </c>
      <c r="D519" s="59" t="s">
        <v>266</v>
      </c>
      <c r="E519" s="67"/>
      <c r="F519" s="49">
        <v>4</v>
      </c>
      <c r="G519" s="49">
        <f t="shared" si="14"/>
        <v>3961347.3629999999</v>
      </c>
      <c r="H519" s="36">
        <f t="shared" si="15"/>
        <v>15845389.452</v>
      </c>
      <c r="I519" s="67" t="s">
        <v>999</v>
      </c>
      <c r="J519" s="49">
        <v>419310</v>
      </c>
      <c r="K519" s="67" t="s">
        <v>996</v>
      </c>
      <c r="L519" s="67">
        <v>9.4473000000000003</v>
      </c>
    </row>
    <row r="520" spans="1:12" ht="18.75" customHeight="1" x14ac:dyDescent="0.4">
      <c r="A520" s="105">
        <v>46064</v>
      </c>
      <c r="B520" s="106" t="s">
        <v>987</v>
      </c>
      <c r="C520" s="49" t="s">
        <v>158</v>
      </c>
      <c r="D520" s="59" t="s">
        <v>252</v>
      </c>
      <c r="E520" s="67"/>
      <c r="F520" s="49">
        <v>8</v>
      </c>
      <c r="G520" s="49">
        <f t="shared" si="14"/>
        <v>3563521.56</v>
      </c>
      <c r="H520" s="36">
        <f t="shared" si="15"/>
        <v>28508172.48</v>
      </c>
      <c r="I520" s="67" t="s">
        <v>999</v>
      </c>
      <c r="J520" s="49">
        <v>377200</v>
      </c>
      <c r="K520" s="67" t="s">
        <v>996</v>
      </c>
      <c r="L520" s="67">
        <v>9.4473000000000003</v>
      </c>
    </row>
    <row r="521" spans="1:12" ht="18.75" customHeight="1" x14ac:dyDescent="0.4">
      <c r="A521" s="105">
        <v>46064</v>
      </c>
      <c r="B521" s="106" t="s">
        <v>987</v>
      </c>
      <c r="C521" s="49" t="s">
        <v>160</v>
      </c>
      <c r="D521" s="59" t="s">
        <v>274</v>
      </c>
      <c r="E521" s="67"/>
      <c r="F521" s="49">
        <v>8</v>
      </c>
      <c r="G521" s="49">
        <f t="shared" si="14"/>
        <v>514594.43100000004</v>
      </c>
      <c r="H521" s="36">
        <f t="shared" si="15"/>
        <v>4116755.4480000003</v>
      </c>
      <c r="I521" s="67" t="s">
        <v>992</v>
      </c>
      <c r="J521" s="49">
        <v>54470</v>
      </c>
      <c r="K521" s="67" t="s">
        <v>996</v>
      </c>
      <c r="L521" s="67">
        <v>9.4473000000000003</v>
      </c>
    </row>
    <row r="522" spans="1:12" ht="18.75" customHeight="1" x14ac:dyDescent="0.4">
      <c r="A522" s="105">
        <v>46064</v>
      </c>
      <c r="B522" s="106" t="s">
        <v>987</v>
      </c>
      <c r="C522" s="49" t="s">
        <v>158</v>
      </c>
      <c r="D522" s="59" t="s">
        <v>339</v>
      </c>
      <c r="E522" s="67"/>
      <c r="F522" s="49">
        <v>1</v>
      </c>
      <c r="G522" s="49">
        <f t="shared" si="14"/>
        <v>479544.94800000003</v>
      </c>
      <c r="H522" s="36">
        <f t="shared" si="15"/>
        <v>479544.94800000003</v>
      </c>
      <c r="I522" s="67" t="s">
        <v>1000</v>
      </c>
      <c r="J522" s="49">
        <v>50760</v>
      </c>
      <c r="K522" s="67" t="s">
        <v>996</v>
      </c>
      <c r="L522" s="67">
        <v>9.4473000000000003</v>
      </c>
    </row>
    <row r="523" spans="1:12" ht="18.75" customHeight="1" x14ac:dyDescent="0.4">
      <c r="A523" s="105">
        <v>46064</v>
      </c>
      <c r="B523" s="106" t="s">
        <v>987</v>
      </c>
      <c r="C523" s="49" t="s">
        <v>155</v>
      </c>
      <c r="D523" s="59" t="s">
        <v>253</v>
      </c>
      <c r="E523" s="67"/>
      <c r="F523" s="49">
        <v>1</v>
      </c>
      <c r="G523" s="49">
        <f t="shared" si="14"/>
        <v>532298.67119999998</v>
      </c>
      <c r="H523" s="36">
        <f t="shared" si="15"/>
        <v>532298.67119999998</v>
      </c>
      <c r="I523" s="67" t="s">
        <v>1001</v>
      </c>
      <c r="J523" s="49">
        <v>56344</v>
      </c>
      <c r="K523" s="67" t="s">
        <v>996</v>
      </c>
      <c r="L523" s="67">
        <v>9.4473000000000003</v>
      </c>
    </row>
    <row r="524" spans="1:12" ht="18.75" customHeight="1" x14ac:dyDescent="0.4">
      <c r="A524" s="105">
        <v>46064</v>
      </c>
      <c r="B524" s="106" t="s">
        <v>987</v>
      </c>
      <c r="C524" s="49" t="s">
        <v>155</v>
      </c>
      <c r="D524" s="59" t="s">
        <v>253</v>
      </c>
      <c r="E524" s="67"/>
      <c r="F524" s="49">
        <v>1</v>
      </c>
      <c r="G524" s="49">
        <f t="shared" si="14"/>
        <v>532298.67119999998</v>
      </c>
      <c r="H524" s="36">
        <f t="shared" si="15"/>
        <v>532298.67119999998</v>
      </c>
      <c r="I524" s="67" t="s">
        <v>1002</v>
      </c>
      <c r="J524" s="49">
        <v>56344</v>
      </c>
      <c r="K524" s="67" t="s">
        <v>996</v>
      </c>
      <c r="L524" s="67">
        <v>9.4473000000000003</v>
      </c>
    </row>
    <row r="525" spans="1:12" ht="18.75" customHeight="1" x14ac:dyDescent="0.4">
      <c r="A525" s="105">
        <v>46073</v>
      </c>
      <c r="B525" s="106" t="s">
        <v>987</v>
      </c>
      <c r="C525" s="49" t="s">
        <v>160</v>
      </c>
      <c r="D525" s="59" t="s">
        <v>255</v>
      </c>
      <c r="E525" s="67"/>
      <c r="F525" s="49">
        <v>8</v>
      </c>
      <c r="G525" s="49">
        <f t="shared" si="14"/>
        <v>387411.25499999995</v>
      </c>
      <c r="H525" s="36">
        <f t="shared" si="15"/>
        <v>3099290.0399999996</v>
      </c>
      <c r="I525" s="67" t="s">
        <v>592</v>
      </c>
      <c r="J525" s="49">
        <v>41410</v>
      </c>
      <c r="K525" s="67" t="s">
        <v>1004</v>
      </c>
      <c r="L525" s="67">
        <v>9.3554999999999993</v>
      </c>
    </row>
    <row r="526" spans="1:12" ht="18.75" customHeight="1" x14ac:dyDescent="0.4">
      <c r="A526" s="105">
        <v>46073</v>
      </c>
      <c r="B526" s="106" t="s">
        <v>987</v>
      </c>
      <c r="C526" s="49" t="s">
        <v>150</v>
      </c>
      <c r="D526" s="59" t="s">
        <v>256</v>
      </c>
      <c r="E526" s="67"/>
      <c r="F526" s="49">
        <v>8</v>
      </c>
      <c r="G526" s="49">
        <f t="shared" si="14"/>
        <v>1157462.46</v>
      </c>
      <c r="H526" s="36">
        <f t="shared" si="15"/>
        <v>9259699.6799999997</v>
      </c>
      <c r="I526" s="67" t="s">
        <v>804</v>
      </c>
      <c r="J526" s="49">
        <v>123720</v>
      </c>
      <c r="K526" s="67" t="s">
        <v>1004</v>
      </c>
      <c r="L526" s="67">
        <v>9.3554999999999993</v>
      </c>
    </row>
    <row r="527" spans="1:12" ht="18.75" customHeight="1" x14ac:dyDescent="0.4">
      <c r="A527" s="105">
        <v>46073</v>
      </c>
      <c r="B527" s="106" t="s">
        <v>987</v>
      </c>
      <c r="C527" s="49" t="s">
        <v>160</v>
      </c>
      <c r="D527" s="59" t="s">
        <v>340</v>
      </c>
      <c r="E527" s="67"/>
      <c r="F527" s="49">
        <v>8</v>
      </c>
      <c r="G527" s="49">
        <f t="shared" si="14"/>
        <v>387411.25499999995</v>
      </c>
      <c r="H527" s="36">
        <f t="shared" si="15"/>
        <v>3099290.0399999996</v>
      </c>
      <c r="I527" s="67" t="s">
        <v>804</v>
      </c>
      <c r="J527" s="49">
        <v>41410</v>
      </c>
      <c r="K527" s="67" t="s">
        <v>1004</v>
      </c>
      <c r="L527" s="67">
        <v>9.3554999999999993</v>
      </c>
    </row>
    <row r="528" spans="1:12" ht="18.75" customHeight="1" x14ac:dyDescent="0.4">
      <c r="A528" s="105">
        <v>46073</v>
      </c>
      <c r="B528" s="106" t="s">
        <v>987</v>
      </c>
      <c r="C528" s="49" t="s">
        <v>161</v>
      </c>
      <c r="D528" s="59" t="s">
        <v>1005</v>
      </c>
      <c r="E528" s="67"/>
      <c r="F528" s="49">
        <v>4</v>
      </c>
      <c r="G528" s="49">
        <f t="shared" si="14"/>
        <v>252037.16999999998</v>
      </c>
      <c r="H528" s="36">
        <f t="shared" si="15"/>
        <v>1008148.6799999999</v>
      </c>
      <c r="I528" s="67" t="s">
        <v>801</v>
      </c>
      <c r="J528" s="49">
        <v>26940</v>
      </c>
      <c r="K528" s="67" t="s">
        <v>1004</v>
      </c>
      <c r="L528" s="67">
        <v>9.3554999999999993</v>
      </c>
    </row>
    <row r="529" spans="1:12" ht="18.75" customHeight="1" x14ac:dyDescent="0.4">
      <c r="A529" s="105">
        <v>46073</v>
      </c>
      <c r="B529" s="106" t="s">
        <v>987</v>
      </c>
      <c r="C529" s="49" t="s">
        <v>150</v>
      </c>
      <c r="D529" s="59" t="s">
        <v>391</v>
      </c>
      <c r="E529" s="67"/>
      <c r="F529" s="49">
        <v>10</v>
      </c>
      <c r="G529" s="49">
        <f t="shared" si="14"/>
        <v>1157462.46</v>
      </c>
      <c r="H529" s="36">
        <f t="shared" si="15"/>
        <v>11574624.6</v>
      </c>
      <c r="I529" s="67" t="s">
        <v>584</v>
      </c>
      <c r="J529" s="49">
        <v>123720</v>
      </c>
      <c r="K529" s="67" t="s">
        <v>1004</v>
      </c>
      <c r="L529" s="67">
        <v>9.3554999999999993</v>
      </c>
    </row>
    <row r="530" spans="1:12" ht="18.75" customHeight="1" x14ac:dyDescent="0.4">
      <c r="A530" s="105">
        <v>46073</v>
      </c>
      <c r="B530" s="106" t="s">
        <v>987</v>
      </c>
      <c r="C530" s="49" t="s">
        <v>150</v>
      </c>
      <c r="D530" s="59" t="s">
        <v>257</v>
      </c>
      <c r="E530" s="67"/>
      <c r="F530" s="49">
        <v>8</v>
      </c>
      <c r="G530" s="49">
        <f t="shared" si="14"/>
        <v>1157462.46</v>
      </c>
      <c r="H530" s="36">
        <f t="shared" si="15"/>
        <v>9259699.6799999997</v>
      </c>
      <c r="I530" s="67" t="s">
        <v>582</v>
      </c>
      <c r="J530" s="49">
        <v>123720</v>
      </c>
      <c r="K530" s="67" t="s">
        <v>1004</v>
      </c>
      <c r="L530" s="67">
        <v>9.3554999999999993</v>
      </c>
    </row>
    <row r="531" spans="1:12" ht="18.75" customHeight="1" x14ac:dyDescent="0.4">
      <c r="A531" s="105">
        <v>46073</v>
      </c>
      <c r="B531" s="106" t="s">
        <v>987</v>
      </c>
      <c r="C531" s="49" t="s">
        <v>150</v>
      </c>
      <c r="D531" s="59" t="s">
        <v>391</v>
      </c>
      <c r="E531" s="67"/>
      <c r="F531" s="49">
        <v>8</v>
      </c>
      <c r="G531" s="49">
        <f t="shared" si="14"/>
        <v>1157462.46</v>
      </c>
      <c r="H531" s="36">
        <f t="shared" si="15"/>
        <v>9259699.6799999997</v>
      </c>
      <c r="I531" s="67" t="s">
        <v>1006</v>
      </c>
      <c r="J531" s="49">
        <v>123720</v>
      </c>
      <c r="K531" s="67" t="s">
        <v>1004</v>
      </c>
      <c r="L531" s="67">
        <v>9.3554999999999993</v>
      </c>
    </row>
    <row r="532" spans="1:12" ht="18.75" customHeight="1" x14ac:dyDescent="0.4">
      <c r="A532" s="105">
        <v>46073</v>
      </c>
      <c r="B532" s="106" t="s">
        <v>987</v>
      </c>
      <c r="C532" s="49" t="s">
        <v>158</v>
      </c>
      <c r="D532" s="59" t="s">
        <v>252</v>
      </c>
      <c r="E532" s="67"/>
      <c r="F532" s="49">
        <v>4</v>
      </c>
      <c r="G532" s="49">
        <f t="shared" si="14"/>
        <v>3454050.5999999996</v>
      </c>
      <c r="H532" s="36">
        <f t="shared" si="15"/>
        <v>13816202.399999999</v>
      </c>
      <c r="I532" s="67" t="s">
        <v>1006</v>
      </c>
      <c r="J532" s="49">
        <v>369200</v>
      </c>
      <c r="K532" s="67" t="s">
        <v>1004</v>
      </c>
      <c r="L532" s="67">
        <v>9.3554999999999993</v>
      </c>
    </row>
    <row r="533" spans="1:12" ht="18.75" customHeight="1" x14ac:dyDescent="0.4">
      <c r="A533" s="105">
        <v>46073</v>
      </c>
      <c r="B533" s="106" t="s">
        <v>987</v>
      </c>
      <c r="C533" s="49" t="s">
        <v>153</v>
      </c>
      <c r="D533" s="59" t="s">
        <v>269</v>
      </c>
      <c r="E533" s="67"/>
      <c r="F533" s="49">
        <v>8</v>
      </c>
      <c r="G533" s="49">
        <f t="shared" si="14"/>
        <v>1896453.4049999998</v>
      </c>
      <c r="H533" s="36">
        <f t="shared" si="15"/>
        <v>15171627.239999998</v>
      </c>
      <c r="I533" s="67" t="s">
        <v>1006</v>
      </c>
      <c r="J533" s="49">
        <v>202710</v>
      </c>
      <c r="K533" s="67" t="s">
        <v>1004</v>
      </c>
      <c r="L533" s="67">
        <v>9.3554999999999993</v>
      </c>
    </row>
    <row r="534" spans="1:12" ht="18.75" customHeight="1" x14ac:dyDescent="0.4">
      <c r="A534" s="105">
        <v>46073</v>
      </c>
      <c r="B534" s="106" t="s">
        <v>987</v>
      </c>
      <c r="C534" s="49" t="s">
        <v>157</v>
      </c>
      <c r="D534" s="59" t="s">
        <v>259</v>
      </c>
      <c r="E534" s="67"/>
      <c r="F534" s="49">
        <v>8</v>
      </c>
      <c r="G534" s="49">
        <f t="shared" si="14"/>
        <v>3363115.1399999997</v>
      </c>
      <c r="H534" s="36">
        <f t="shared" si="15"/>
        <v>26904921.119999997</v>
      </c>
      <c r="I534" s="67" t="s">
        <v>1006</v>
      </c>
      <c r="J534" s="49">
        <v>359480</v>
      </c>
      <c r="K534" s="67" t="s">
        <v>1004</v>
      </c>
      <c r="L534" s="67">
        <v>9.3554999999999993</v>
      </c>
    </row>
    <row r="535" spans="1:12" ht="18.75" customHeight="1" x14ac:dyDescent="0.4">
      <c r="A535" s="105">
        <v>46073</v>
      </c>
      <c r="B535" s="106" t="s">
        <v>987</v>
      </c>
      <c r="C535" s="49" t="s">
        <v>154</v>
      </c>
      <c r="D535" s="59" t="s">
        <v>267</v>
      </c>
      <c r="E535" s="67"/>
      <c r="F535" s="49">
        <v>8</v>
      </c>
      <c r="G535" s="49">
        <f t="shared" ref="G535:G586" si="16">J535*L535</f>
        <v>3824902.6199999996</v>
      </c>
      <c r="H535" s="36">
        <f t="shared" si="15"/>
        <v>30599220.959999997</v>
      </c>
      <c r="I535" s="67" t="s">
        <v>1006</v>
      </c>
      <c r="J535" s="49">
        <v>408840</v>
      </c>
      <c r="K535" s="67" t="s">
        <v>1004</v>
      </c>
      <c r="L535" s="67">
        <v>9.3554999999999993</v>
      </c>
    </row>
    <row r="536" spans="1:12" ht="18.75" customHeight="1" x14ac:dyDescent="0.4">
      <c r="A536" s="105">
        <v>46073</v>
      </c>
      <c r="B536" s="106" t="s">
        <v>987</v>
      </c>
      <c r="C536" s="49" t="s">
        <v>156</v>
      </c>
      <c r="D536" s="59" t="s">
        <v>271</v>
      </c>
      <c r="E536" s="67"/>
      <c r="F536" s="49">
        <v>4</v>
      </c>
      <c r="G536" s="49">
        <f t="shared" si="16"/>
        <v>1073824.2899999998</v>
      </c>
      <c r="H536" s="36">
        <f t="shared" si="15"/>
        <v>4295297.1599999992</v>
      </c>
      <c r="I536" s="67" t="s">
        <v>1003</v>
      </c>
      <c r="J536" s="49">
        <v>114780</v>
      </c>
      <c r="K536" s="67" t="s">
        <v>1004</v>
      </c>
      <c r="L536" s="67">
        <v>9.3554999999999993</v>
      </c>
    </row>
    <row r="537" spans="1:12" ht="18.75" customHeight="1" x14ac:dyDescent="0.4">
      <c r="A537" s="105">
        <v>46073</v>
      </c>
      <c r="B537" s="106" t="s">
        <v>987</v>
      </c>
      <c r="C537" s="49" t="s">
        <v>161</v>
      </c>
      <c r="D537" s="59" t="s">
        <v>1005</v>
      </c>
      <c r="E537" s="67"/>
      <c r="F537" s="49">
        <v>4</v>
      </c>
      <c r="G537" s="49">
        <f t="shared" si="16"/>
        <v>252037.16999999998</v>
      </c>
      <c r="H537" s="36">
        <f t="shared" si="15"/>
        <v>1008148.6799999999</v>
      </c>
      <c r="I537" s="67" t="s">
        <v>1003</v>
      </c>
      <c r="J537" s="49">
        <v>26940</v>
      </c>
      <c r="K537" s="67" t="s">
        <v>1004</v>
      </c>
      <c r="L537" s="67">
        <v>9.3554999999999993</v>
      </c>
    </row>
    <row r="538" spans="1:12" ht="18.75" customHeight="1" x14ac:dyDescent="0.4">
      <c r="A538" s="105">
        <v>46073</v>
      </c>
      <c r="B538" s="106" t="s">
        <v>987</v>
      </c>
      <c r="C538" s="49" t="s">
        <v>157</v>
      </c>
      <c r="D538" s="59" t="s">
        <v>273</v>
      </c>
      <c r="E538" s="67"/>
      <c r="F538" s="49">
        <v>4</v>
      </c>
      <c r="G538" s="49">
        <f t="shared" si="16"/>
        <v>318928.995</v>
      </c>
      <c r="H538" s="36">
        <f t="shared" si="15"/>
        <v>1275715.98</v>
      </c>
      <c r="I538" s="67" t="s">
        <v>1003</v>
      </c>
      <c r="J538" s="49">
        <v>34090</v>
      </c>
      <c r="K538" s="67" t="s">
        <v>1004</v>
      </c>
      <c r="L538" s="67">
        <v>9.3554999999999993</v>
      </c>
    </row>
    <row r="539" spans="1:12" ht="18.75" customHeight="1" x14ac:dyDescent="0.4">
      <c r="A539" s="105">
        <v>46073</v>
      </c>
      <c r="B539" s="106" t="s">
        <v>987</v>
      </c>
      <c r="C539" s="49" t="s">
        <v>154</v>
      </c>
      <c r="D539" s="59" t="s">
        <v>250</v>
      </c>
      <c r="E539" s="67"/>
      <c r="F539" s="49">
        <v>4</v>
      </c>
      <c r="G539" s="49">
        <f t="shared" si="16"/>
        <v>718970.17499999993</v>
      </c>
      <c r="H539" s="36">
        <f t="shared" si="15"/>
        <v>2875880.6999999997</v>
      </c>
      <c r="I539" s="67" t="s">
        <v>1003</v>
      </c>
      <c r="J539" s="49">
        <v>76850</v>
      </c>
      <c r="K539" s="67" t="s">
        <v>1004</v>
      </c>
      <c r="L539" s="67">
        <v>9.3554999999999993</v>
      </c>
    </row>
    <row r="540" spans="1:12" ht="18.75" customHeight="1" x14ac:dyDescent="0.4">
      <c r="A540" s="105">
        <v>46073</v>
      </c>
      <c r="B540" s="106" t="s">
        <v>987</v>
      </c>
      <c r="C540" s="49" t="s">
        <v>150</v>
      </c>
      <c r="D540" s="59" t="s">
        <v>275</v>
      </c>
      <c r="E540" s="67"/>
      <c r="F540" s="49">
        <v>1</v>
      </c>
      <c r="G540" s="49">
        <f t="shared" si="16"/>
        <v>541777.005</v>
      </c>
      <c r="H540" s="36">
        <f t="shared" si="15"/>
        <v>541777.005</v>
      </c>
      <c r="I540" s="67" t="s">
        <v>1008</v>
      </c>
      <c r="J540" s="49">
        <v>57910</v>
      </c>
      <c r="K540" s="67" t="s">
        <v>1004</v>
      </c>
      <c r="L540" s="67">
        <v>9.3554999999999993</v>
      </c>
    </row>
    <row r="541" spans="1:12" ht="18.75" customHeight="1" x14ac:dyDescent="0.4">
      <c r="A541" s="105">
        <v>46073</v>
      </c>
      <c r="B541" s="106" t="s">
        <v>987</v>
      </c>
      <c r="C541" s="49" t="s">
        <v>156</v>
      </c>
      <c r="D541" s="59" t="s">
        <v>261</v>
      </c>
      <c r="E541" s="67"/>
      <c r="F541" s="49">
        <v>1</v>
      </c>
      <c r="G541" s="49">
        <f t="shared" si="16"/>
        <v>2062045.7549999999</v>
      </c>
      <c r="H541" s="36">
        <f t="shared" si="15"/>
        <v>2062045.7549999999</v>
      </c>
      <c r="I541" s="67" t="s">
        <v>1008</v>
      </c>
      <c r="J541" s="49">
        <v>220410</v>
      </c>
      <c r="K541" s="67" t="s">
        <v>1004</v>
      </c>
      <c r="L541" s="67">
        <v>9.3554999999999993</v>
      </c>
    </row>
    <row r="542" spans="1:12" ht="18.75" customHeight="1" x14ac:dyDescent="0.4">
      <c r="A542" s="105">
        <v>46073</v>
      </c>
      <c r="B542" s="106" t="s">
        <v>987</v>
      </c>
      <c r="C542" s="49" t="s">
        <v>150</v>
      </c>
      <c r="D542" s="59" t="s">
        <v>391</v>
      </c>
      <c r="E542" s="67"/>
      <c r="F542" s="49">
        <v>8</v>
      </c>
      <c r="G542" s="49">
        <f t="shared" si="16"/>
        <v>1157462.46</v>
      </c>
      <c r="H542" s="36">
        <f t="shared" si="15"/>
        <v>9259699.6799999997</v>
      </c>
      <c r="I542" s="67" t="s">
        <v>814</v>
      </c>
      <c r="J542" s="49">
        <v>123720</v>
      </c>
      <c r="K542" s="67" t="s">
        <v>1004</v>
      </c>
      <c r="L542" s="67">
        <v>9.3554999999999993</v>
      </c>
    </row>
    <row r="543" spans="1:12" ht="18.75" customHeight="1" x14ac:dyDescent="0.4">
      <c r="A543" s="105">
        <v>46073</v>
      </c>
      <c r="B543" s="106" t="s">
        <v>987</v>
      </c>
      <c r="C543" s="49" t="s">
        <v>156</v>
      </c>
      <c r="D543" s="59" t="s">
        <v>272</v>
      </c>
      <c r="E543" s="67"/>
      <c r="F543" s="49">
        <v>4</v>
      </c>
      <c r="G543" s="49">
        <f t="shared" si="16"/>
        <v>1073824.2899999998</v>
      </c>
      <c r="H543" s="36">
        <f t="shared" si="15"/>
        <v>4295297.1599999992</v>
      </c>
      <c r="I543" s="67" t="s">
        <v>809</v>
      </c>
      <c r="J543" s="49">
        <v>114780</v>
      </c>
      <c r="K543" s="67" t="s">
        <v>1004</v>
      </c>
      <c r="L543" s="67">
        <v>9.3554999999999993</v>
      </c>
    </row>
    <row r="544" spans="1:12" ht="18.75" customHeight="1" x14ac:dyDescent="0.4">
      <c r="A544" s="105">
        <v>46073</v>
      </c>
      <c r="B544" s="106" t="s">
        <v>987</v>
      </c>
      <c r="C544" s="49" t="s">
        <v>161</v>
      </c>
      <c r="D544" s="59" t="s">
        <v>1005</v>
      </c>
      <c r="E544" s="67"/>
      <c r="F544" s="49">
        <v>4</v>
      </c>
      <c r="G544" s="49">
        <f t="shared" si="16"/>
        <v>252037.16999999998</v>
      </c>
      <c r="H544" s="36">
        <f t="shared" si="15"/>
        <v>1008148.6799999999</v>
      </c>
      <c r="I544" s="67" t="s">
        <v>809</v>
      </c>
      <c r="J544" s="49">
        <v>26940</v>
      </c>
      <c r="K544" s="67" t="s">
        <v>1004</v>
      </c>
      <c r="L544" s="67">
        <v>9.3554999999999993</v>
      </c>
    </row>
    <row r="545" spans="1:12" ht="18.75" customHeight="1" x14ac:dyDescent="0.4">
      <c r="A545" s="105">
        <v>46073</v>
      </c>
      <c r="B545" s="106" t="s">
        <v>987</v>
      </c>
      <c r="C545" s="49" t="s">
        <v>153</v>
      </c>
      <c r="D545" s="59" t="s">
        <v>337</v>
      </c>
      <c r="E545" s="67"/>
      <c r="F545" s="49">
        <v>6</v>
      </c>
      <c r="G545" s="49">
        <f t="shared" si="16"/>
        <v>2036224.575</v>
      </c>
      <c r="H545" s="36">
        <f t="shared" si="15"/>
        <v>12217347.449999999</v>
      </c>
      <c r="I545" s="67" t="s">
        <v>664</v>
      </c>
      <c r="J545" s="49">
        <v>217650</v>
      </c>
      <c r="K545" s="67" t="s">
        <v>1004</v>
      </c>
      <c r="L545" s="67">
        <v>9.3554999999999993</v>
      </c>
    </row>
    <row r="546" spans="1:12" ht="18.75" customHeight="1" x14ac:dyDescent="0.4">
      <c r="A546" s="105">
        <v>46073</v>
      </c>
      <c r="B546" s="106" t="s">
        <v>987</v>
      </c>
      <c r="C546" s="49" t="s">
        <v>156</v>
      </c>
      <c r="D546" s="59" t="s">
        <v>272</v>
      </c>
      <c r="E546" s="67"/>
      <c r="F546" s="49">
        <v>4</v>
      </c>
      <c r="G546" s="49">
        <f t="shared" si="16"/>
        <v>1078127.8199999998</v>
      </c>
      <c r="H546" s="36">
        <f t="shared" si="15"/>
        <v>4312511.2799999993</v>
      </c>
      <c r="I546" s="67" t="s">
        <v>810</v>
      </c>
      <c r="J546" s="49">
        <v>115240</v>
      </c>
      <c r="K546" s="67" t="s">
        <v>1004</v>
      </c>
      <c r="L546" s="67">
        <v>9.3554999999999993</v>
      </c>
    </row>
    <row r="547" spans="1:12" ht="18.75" customHeight="1" x14ac:dyDescent="0.4">
      <c r="A547" s="105">
        <v>46073</v>
      </c>
      <c r="B547" s="106" t="s">
        <v>987</v>
      </c>
      <c r="C547" s="49" t="s">
        <v>150</v>
      </c>
      <c r="D547" s="59" t="s">
        <v>151</v>
      </c>
      <c r="E547" s="67"/>
      <c r="F547" s="49">
        <v>1</v>
      </c>
      <c r="G547" s="49">
        <f t="shared" si="16"/>
        <v>32538.428999999996</v>
      </c>
      <c r="H547" s="36">
        <f t="shared" si="15"/>
        <v>32538.428999999996</v>
      </c>
      <c r="I547" s="429" t="s">
        <v>1009</v>
      </c>
      <c r="J547" s="49">
        <v>3478</v>
      </c>
      <c r="K547" s="67" t="s">
        <v>1004</v>
      </c>
      <c r="L547" s="67">
        <v>9.3554999999999993</v>
      </c>
    </row>
    <row r="548" spans="1:12" ht="18.75" customHeight="1" x14ac:dyDescent="0.4">
      <c r="A548" s="105">
        <v>46073</v>
      </c>
      <c r="B548" s="106" t="s">
        <v>987</v>
      </c>
      <c r="C548" s="49" t="s">
        <v>150</v>
      </c>
      <c r="D548" s="59" t="s">
        <v>151</v>
      </c>
      <c r="E548" s="67"/>
      <c r="F548" s="49">
        <v>1</v>
      </c>
      <c r="G548" s="49">
        <f t="shared" si="16"/>
        <v>32538.428999999996</v>
      </c>
      <c r="H548" s="36">
        <f t="shared" si="15"/>
        <v>32538.428999999996</v>
      </c>
      <c r="I548" s="429" t="s">
        <v>1010</v>
      </c>
      <c r="J548" s="49">
        <v>3478</v>
      </c>
      <c r="K548" s="67" t="s">
        <v>1004</v>
      </c>
      <c r="L548" s="67">
        <v>9.3554999999999993</v>
      </c>
    </row>
    <row r="549" spans="1:12" ht="18.75" customHeight="1" x14ac:dyDescent="0.4">
      <c r="A549" s="105">
        <v>46073</v>
      </c>
      <c r="B549" s="106" t="s">
        <v>987</v>
      </c>
      <c r="C549" s="49" t="s">
        <v>155</v>
      </c>
      <c r="D549" s="59" t="s">
        <v>253</v>
      </c>
      <c r="E549" s="67"/>
      <c r="F549" s="49">
        <v>8</v>
      </c>
      <c r="G549" s="49">
        <f t="shared" si="16"/>
        <v>3581098.2899999996</v>
      </c>
      <c r="H549" s="36">
        <f t="shared" si="15"/>
        <v>28648786.319999997</v>
      </c>
      <c r="I549" s="67" t="s">
        <v>1006</v>
      </c>
      <c r="J549" s="49">
        <v>382780</v>
      </c>
      <c r="K549" s="67" t="s">
        <v>1007</v>
      </c>
      <c r="L549" s="67">
        <v>9.3554999999999993</v>
      </c>
    </row>
    <row r="550" spans="1:12" ht="18.75" customHeight="1" x14ac:dyDescent="0.4">
      <c r="A550" s="105">
        <v>46073</v>
      </c>
      <c r="B550" s="106" t="s">
        <v>987</v>
      </c>
      <c r="C550" s="49" t="s">
        <v>158</v>
      </c>
      <c r="D550" s="59" t="s">
        <v>339</v>
      </c>
      <c r="E550" s="67"/>
      <c r="F550" s="49">
        <v>4</v>
      </c>
      <c r="G550" s="49">
        <f t="shared" si="16"/>
        <v>3454050.5999999996</v>
      </c>
      <c r="H550" s="36">
        <f t="shared" si="15"/>
        <v>13816202.399999999</v>
      </c>
      <c r="I550" s="67" t="s">
        <v>1006</v>
      </c>
      <c r="J550" s="49">
        <v>369200</v>
      </c>
      <c r="K550" s="67" t="s">
        <v>1007</v>
      </c>
      <c r="L550" s="67">
        <v>9.3554999999999993</v>
      </c>
    </row>
    <row r="551" spans="1:12" ht="18.75" customHeight="1" x14ac:dyDescent="0.4">
      <c r="A551" s="105">
        <v>46077</v>
      </c>
      <c r="B551" s="106" t="s">
        <v>987</v>
      </c>
      <c r="C551" s="49" t="s">
        <v>1054</v>
      </c>
      <c r="D551" s="49" t="s">
        <v>1053</v>
      </c>
      <c r="E551" s="67"/>
      <c r="F551" s="49">
        <v>1</v>
      </c>
      <c r="G551" s="49">
        <f>J551*L551</f>
        <v>4001969.3307000003</v>
      </c>
      <c r="H551" s="36">
        <f t="shared" si="15"/>
        <v>4001969.3307000003</v>
      </c>
      <c r="I551" s="67"/>
      <c r="J551" s="49">
        <v>428977</v>
      </c>
      <c r="K551" s="67" t="s">
        <v>1052</v>
      </c>
      <c r="L551" s="67">
        <v>9.3291000000000004</v>
      </c>
    </row>
    <row r="552" spans="1:12" ht="18.75" customHeight="1" x14ac:dyDescent="0.4">
      <c r="A552" s="105">
        <v>46080</v>
      </c>
      <c r="B552" s="106" t="s">
        <v>987</v>
      </c>
      <c r="C552" s="49" t="s">
        <v>152</v>
      </c>
      <c r="D552" s="59" t="s">
        <v>263</v>
      </c>
      <c r="E552" s="67"/>
      <c r="F552" s="49">
        <v>4</v>
      </c>
      <c r="G552" s="49">
        <f t="shared" si="16"/>
        <v>912192.60600000003</v>
      </c>
      <c r="H552" s="36">
        <f t="shared" ref="H552:H575" si="17">F552*G552</f>
        <v>3648770.4240000001</v>
      </c>
      <c r="I552" s="67" t="s">
        <v>479</v>
      </c>
      <c r="J552" s="49">
        <v>99870</v>
      </c>
      <c r="K552" s="67" t="s">
        <v>1012</v>
      </c>
      <c r="L552" s="67">
        <v>9.1338000000000008</v>
      </c>
    </row>
    <row r="553" spans="1:12" ht="18.75" customHeight="1" x14ac:dyDescent="0.4">
      <c r="A553" s="105">
        <v>46080</v>
      </c>
      <c r="B553" s="106" t="s">
        <v>987</v>
      </c>
      <c r="C553" s="49" t="s">
        <v>157</v>
      </c>
      <c r="D553" s="59" t="s">
        <v>273</v>
      </c>
      <c r="E553" s="67"/>
      <c r="F553" s="49">
        <v>4</v>
      </c>
      <c r="G553" s="49">
        <f t="shared" si="16"/>
        <v>311371.24200000003</v>
      </c>
      <c r="H553" s="36">
        <f t="shared" si="17"/>
        <v>1245484.9680000001</v>
      </c>
      <c r="I553" s="67" t="s">
        <v>801</v>
      </c>
      <c r="J553" s="49">
        <v>34090</v>
      </c>
      <c r="K553" s="67" t="s">
        <v>1012</v>
      </c>
      <c r="L553" s="67">
        <v>9.1338000000000008</v>
      </c>
    </row>
    <row r="554" spans="1:12" ht="18.75" customHeight="1" x14ac:dyDescent="0.4">
      <c r="A554" s="105">
        <v>46080</v>
      </c>
      <c r="B554" s="106" t="s">
        <v>987</v>
      </c>
      <c r="C554" s="49" t="s">
        <v>152</v>
      </c>
      <c r="D554" s="59" t="s">
        <v>159</v>
      </c>
      <c r="E554" s="67"/>
      <c r="F554" s="49">
        <v>4</v>
      </c>
      <c r="G554" s="49">
        <f t="shared" si="16"/>
        <v>912192.60600000003</v>
      </c>
      <c r="H554" s="36">
        <f t="shared" si="17"/>
        <v>3648770.4240000001</v>
      </c>
      <c r="I554" s="67" t="s">
        <v>806</v>
      </c>
      <c r="J554" s="49">
        <v>99870</v>
      </c>
      <c r="K554" s="67" t="s">
        <v>1012</v>
      </c>
      <c r="L554" s="67">
        <v>9.1338000000000008</v>
      </c>
    </row>
    <row r="555" spans="1:12" ht="18.75" customHeight="1" x14ac:dyDescent="0.4">
      <c r="A555" s="105">
        <v>46080</v>
      </c>
      <c r="B555" s="106" t="s">
        <v>987</v>
      </c>
      <c r="C555" s="49" t="s">
        <v>161</v>
      </c>
      <c r="D555" s="59" t="s">
        <v>265</v>
      </c>
      <c r="E555" s="67"/>
      <c r="F555" s="49">
        <v>4</v>
      </c>
      <c r="G555" s="49">
        <f t="shared" si="16"/>
        <v>246064.57200000001</v>
      </c>
      <c r="H555" s="36">
        <f t="shared" si="17"/>
        <v>984258.28800000006</v>
      </c>
      <c r="I555" s="67" t="s">
        <v>997</v>
      </c>
      <c r="J555" s="49">
        <v>26940</v>
      </c>
      <c r="K555" s="67" t="s">
        <v>1012</v>
      </c>
      <c r="L555" s="67">
        <v>9.1338000000000008</v>
      </c>
    </row>
    <row r="556" spans="1:12" ht="18.75" customHeight="1" x14ac:dyDescent="0.4">
      <c r="A556" s="105">
        <v>46080</v>
      </c>
      <c r="B556" s="106" t="s">
        <v>987</v>
      </c>
      <c r="C556" s="49" t="s">
        <v>157</v>
      </c>
      <c r="D556" s="59" t="s">
        <v>338</v>
      </c>
      <c r="E556" s="67"/>
      <c r="F556" s="49">
        <v>4</v>
      </c>
      <c r="G556" s="49">
        <f t="shared" si="16"/>
        <v>311371.24200000003</v>
      </c>
      <c r="H556" s="36">
        <f t="shared" si="17"/>
        <v>1245484.9680000001</v>
      </c>
      <c r="I556" s="67" t="s">
        <v>997</v>
      </c>
      <c r="J556" s="49">
        <v>34090</v>
      </c>
      <c r="K556" s="67" t="s">
        <v>1012</v>
      </c>
      <c r="L556" s="67">
        <v>9.1338000000000008</v>
      </c>
    </row>
    <row r="557" spans="1:12" ht="18.75" customHeight="1" x14ac:dyDescent="0.4">
      <c r="A557" s="105">
        <v>46080</v>
      </c>
      <c r="B557" s="106" t="s">
        <v>987</v>
      </c>
      <c r="C557" s="49" t="s">
        <v>150</v>
      </c>
      <c r="D557" s="59" t="s">
        <v>257</v>
      </c>
      <c r="E557" s="67"/>
      <c r="F557" s="49">
        <v>8</v>
      </c>
      <c r="G557" s="49">
        <f t="shared" si="16"/>
        <v>1134965.9880000001</v>
      </c>
      <c r="H557" s="36">
        <f t="shared" si="17"/>
        <v>9079727.904000001</v>
      </c>
      <c r="I557" s="67" t="s">
        <v>662</v>
      </c>
      <c r="J557" s="49">
        <v>124260</v>
      </c>
      <c r="K557" s="67" t="s">
        <v>1012</v>
      </c>
      <c r="L557" s="67">
        <v>9.1338000000000008</v>
      </c>
    </row>
    <row r="558" spans="1:12" ht="18.75" customHeight="1" x14ac:dyDescent="0.4">
      <c r="A558" s="105">
        <v>46080</v>
      </c>
      <c r="B558" s="106" t="s">
        <v>987</v>
      </c>
      <c r="C558" s="49" t="s">
        <v>153</v>
      </c>
      <c r="D558" s="59" t="s">
        <v>264</v>
      </c>
      <c r="E558" s="67"/>
      <c r="F558" s="49">
        <v>8</v>
      </c>
      <c r="G558" s="49">
        <f t="shared" si="16"/>
        <v>2728448.736</v>
      </c>
      <c r="H558" s="36">
        <f t="shared" si="17"/>
        <v>21827589.888</v>
      </c>
      <c r="I558" s="67" t="s">
        <v>662</v>
      </c>
      <c r="J558" s="49">
        <v>298720</v>
      </c>
      <c r="K558" s="67" t="s">
        <v>1012</v>
      </c>
      <c r="L558" s="67">
        <v>9.1338000000000008</v>
      </c>
    </row>
    <row r="559" spans="1:12" ht="18.75" customHeight="1" x14ac:dyDescent="0.4">
      <c r="A559" s="105">
        <v>46080</v>
      </c>
      <c r="B559" s="106" t="s">
        <v>987</v>
      </c>
      <c r="C559" s="49" t="s">
        <v>156</v>
      </c>
      <c r="D559" s="59" t="s">
        <v>261</v>
      </c>
      <c r="E559" s="67"/>
      <c r="F559" s="49">
        <v>1</v>
      </c>
      <c r="G559" s="49">
        <f t="shared" si="16"/>
        <v>2022131.9820000001</v>
      </c>
      <c r="H559" s="36">
        <f t="shared" si="17"/>
        <v>2022131.9820000001</v>
      </c>
      <c r="I559" s="67" t="s">
        <v>663</v>
      </c>
      <c r="J559" s="49">
        <v>221390</v>
      </c>
      <c r="K559" s="67" t="s">
        <v>1012</v>
      </c>
      <c r="L559" s="67">
        <v>9.1338000000000008</v>
      </c>
    </row>
    <row r="560" spans="1:12" ht="18.75" customHeight="1" x14ac:dyDescent="0.4">
      <c r="A560" s="105">
        <v>46080</v>
      </c>
      <c r="B560" s="106" t="s">
        <v>987</v>
      </c>
      <c r="C560" s="49" t="s">
        <v>156</v>
      </c>
      <c r="D560" s="59" t="s">
        <v>271</v>
      </c>
      <c r="E560" s="67"/>
      <c r="F560" s="49">
        <v>4</v>
      </c>
      <c r="G560" s="49">
        <f t="shared" si="16"/>
        <v>1052579.1120000002</v>
      </c>
      <c r="H560" s="36">
        <f t="shared" si="17"/>
        <v>4210316.4480000008</v>
      </c>
      <c r="I560" s="67" t="s">
        <v>811</v>
      </c>
      <c r="J560" s="49">
        <v>115240</v>
      </c>
      <c r="K560" s="67" t="s">
        <v>1012</v>
      </c>
      <c r="L560" s="67">
        <v>9.1338000000000008</v>
      </c>
    </row>
    <row r="561" spans="1:12" ht="18.75" customHeight="1" x14ac:dyDescent="0.4">
      <c r="A561" s="105">
        <v>46080</v>
      </c>
      <c r="B561" s="106" t="s">
        <v>987</v>
      </c>
      <c r="C561" s="49" t="s">
        <v>157</v>
      </c>
      <c r="D561" s="59" t="s">
        <v>259</v>
      </c>
      <c r="E561" s="67"/>
      <c r="F561" s="49">
        <v>7</v>
      </c>
      <c r="G561" s="49">
        <f t="shared" si="16"/>
        <v>3299767.9260000004</v>
      </c>
      <c r="H561" s="36">
        <f t="shared" si="17"/>
        <v>23098375.482000005</v>
      </c>
      <c r="I561" s="67" t="s">
        <v>786</v>
      </c>
      <c r="J561" s="49">
        <v>361270</v>
      </c>
      <c r="K561" s="67" t="s">
        <v>1012</v>
      </c>
      <c r="L561" s="67">
        <v>9.1338000000000008</v>
      </c>
    </row>
    <row r="562" spans="1:12" ht="18.75" customHeight="1" x14ac:dyDescent="0.4">
      <c r="A562" s="105">
        <v>46080</v>
      </c>
      <c r="B562" s="106" t="s">
        <v>987</v>
      </c>
      <c r="C562" s="49" t="s">
        <v>154</v>
      </c>
      <c r="D562" s="59" t="s">
        <v>266</v>
      </c>
      <c r="E562" s="67"/>
      <c r="F562" s="49">
        <v>8</v>
      </c>
      <c r="G562" s="49">
        <f t="shared" si="16"/>
        <v>3772624.7520000003</v>
      </c>
      <c r="H562" s="36">
        <f t="shared" si="17"/>
        <v>30180998.016000003</v>
      </c>
      <c r="I562" s="67" t="s">
        <v>1013</v>
      </c>
      <c r="J562" s="49">
        <v>413040</v>
      </c>
      <c r="K562" s="67" t="s">
        <v>1012</v>
      </c>
      <c r="L562" s="67">
        <v>9.1338000000000008</v>
      </c>
    </row>
    <row r="563" spans="1:12" ht="18.75" customHeight="1" x14ac:dyDescent="0.4">
      <c r="A563" s="105">
        <v>46080</v>
      </c>
      <c r="B563" s="106" t="s">
        <v>987</v>
      </c>
      <c r="C563" s="49" t="s">
        <v>156</v>
      </c>
      <c r="D563" s="59" t="s">
        <v>272</v>
      </c>
      <c r="E563" s="67"/>
      <c r="F563" s="49">
        <v>4</v>
      </c>
      <c r="G563" s="49">
        <f t="shared" si="16"/>
        <v>1052579.1120000002</v>
      </c>
      <c r="H563" s="36">
        <f t="shared" si="17"/>
        <v>4210316.4480000008</v>
      </c>
      <c r="I563" s="67" t="s">
        <v>1011</v>
      </c>
      <c r="J563" s="49">
        <v>115240</v>
      </c>
      <c r="K563" s="67" t="s">
        <v>1012</v>
      </c>
      <c r="L563" s="67">
        <v>9.1338000000000008</v>
      </c>
    </row>
    <row r="564" spans="1:12" ht="18.75" customHeight="1" x14ac:dyDescent="0.4">
      <c r="A564" s="105">
        <v>46080</v>
      </c>
      <c r="B564" s="106" t="s">
        <v>987</v>
      </c>
      <c r="C564" s="49" t="s">
        <v>157</v>
      </c>
      <c r="D564" s="59" t="s">
        <v>338</v>
      </c>
      <c r="E564" s="67"/>
      <c r="F564" s="49">
        <v>4</v>
      </c>
      <c r="G564" s="49">
        <f t="shared" si="16"/>
        <v>312558.636</v>
      </c>
      <c r="H564" s="36">
        <f t="shared" si="17"/>
        <v>1250234.544</v>
      </c>
      <c r="I564" s="67" t="s">
        <v>1011</v>
      </c>
      <c r="J564" s="49">
        <v>34220</v>
      </c>
      <c r="K564" s="67" t="s">
        <v>1012</v>
      </c>
      <c r="L564" s="67">
        <v>9.1338000000000008</v>
      </c>
    </row>
    <row r="565" spans="1:12" ht="18.75" customHeight="1" x14ac:dyDescent="0.4">
      <c r="A565" s="105">
        <v>46080</v>
      </c>
      <c r="B565" s="106" t="s">
        <v>987</v>
      </c>
      <c r="C565" s="49" t="s">
        <v>154</v>
      </c>
      <c r="D565" s="59" t="s">
        <v>250</v>
      </c>
      <c r="E565" s="67"/>
      <c r="F565" s="49">
        <v>4</v>
      </c>
      <c r="G565" s="49">
        <f t="shared" si="16"/>
        <v>704672.67</v>
      </c>
      <c r="H565" s="36">
        <f t="shared" si="17"/>
        <v>2818690.68</v>
      </c>
      <c r="I565" s="67" t="s">
        <v>1011</v>
      </c>
      <c r="J565" s="49">
        <v>77150</v>
      </c>
      <c r="K565" s="67" t="s">
        <v>1012</v>
      </c>
      <c r="L565" s="67">
        <v>9.1338000000000008</v>
      </c>
    </row>
    <row r="566" spans="1:12" ht="18.75" customHeight="1" x14ac:dyDescent="0.4">
      <c r="A566" s="105">
        <v>46080</v>
      </c>
      <c r="B566" s="106" t="s">
        <v>987</v>
      </c>
      <c r="C566" s="49" t="s">
        <v>161</v>
      </c>
      <c r="D566" s="59" t="s">
        <v>990</v>
      </c>
      <c r="E566" s="67"/>
      <c r="F566" s="49">
        <v>4</v>
      </c>
      <c r="G566" s="49">
        <f t="shared" si="16"/>
        <v>246886.61400000003</v>
      </c>
      <c r="H566" s="36">
        <f t="shared" si="17"/>
        <v>987546.45600000012</v>
      </c>
      <c r="I566" s="67" t="s">
        <v>1011</v>
      </c>
      <c r="J566" s="49">
        <v>27030</v>
      </c>
      <c r="K566" s="67" t="s">
        <v>1012</v>
      </c>
      <c r="L566" s="67">
        <v>9.1338000000000008</v>
      </c>
    </row>
    <row r="567" spans="1:12" ht="18.75" customHeight="1" x14ac:dyDescent="0.4">
      <c r="A567" s="105">
        <v>46080</v>
      </c>
      <c r="B567" s="106" t="s">
        <v>987</v>
      </c>
      <c r="C567" s="49" t="s">
        <v>156</v>
      </c>
      <c r="D567" s="59" t="s">
        <v>262</v>
      </c>
      <c r="E567" s="67"/>
      <c r="F567" s="49">
        <v>1</v>
      </c>
      <c r="G567" s="49">
        <f t="shared" si="16"/>
        <v>2022131.9820000001</v>
      </c>
      <c r="H567" s="36">
        <f t="shared" si="17"/>
        <v>2022131.9820000001</v>
      </c>
      <c r="I567" s="67" t="s">
        <v>1022</v>
      </c>
      <c r="J567" s="49">
        <v>221390</v>
      </c>
      <c r="K567" s="67" t="s">
        <v>1012</v>
      </c>
      <c r="L567" s="67">
        <v>9.1338000000000008</v>
      </c>
    </row>
    <row r="568" spans="1:12" ht="18.75" customHeight="1" x14ac:dyDescent="0.4">
      <c r="A568" s="105">
        <v>46080</v>
      </c>
      <c r="B568" s="106" t="s">
        <v>987</v>
      </c>
      <c r="C568" s="49" t="s">
        <v>150</v>
      </c>
      <c r="D568" s="59" t="s">
        <v>275</v>
      </c>
      <c r="E568" s="67"/>
      <c r="F568" s="49">
        <v>1</v>
      </c>
      <c r="G568" s="49">
        <f t="shared" si="16"/>
        <v>530217.09000000008</v>
      </c>
      <c r="H568" s="36">
        <f t="shared" si="17"/>
        <v>530217.09000000008</v>
      </c>
      <c r="I568" s="67" t="s">
        <v>1022</v>
      </c>
      <c r="J568" s="49">
        <v>58050</v>
      </c>
      <c r="K568" s="67" t="s">
        <v>1012</v>
      </c>
      <c r="L568" s="67">
        <v>9.1338000000000008</v>
      </c>
    </row>
    <row r="569" spans="1:12" ht="18.75" customHeight="1" x14ac:dyDescent="0.4">
      <c r="A569" s="105">
        <v>46080</v>
      </c>
      <c r="B569" s="106" t="s">
        <v>987</v>
      </c>
      <c r="C569" s="49" t="s">
        <v>150</v>
      </c>
      <c r="D569" s="59" t="s">
        <v>151</v>
      </c>
      <c r="E569" s="67"/>
      <c r="F569" s="49">
        <v>1</v>
      </c>
      <c r="G569" s="49">
        <f t="shared" si="16"/>
        <v>534053.28600000008</v>
      </c>
      <c r="H569" s="36">
        <f t="shared" si="17"/>
        <v>534053.28600000008</v>
      </c>
      <c r="I569" s="67" t="s">
        <v>1023</v>
      </c>
      <c r="J569" s="49">
        <v>58470</v>
      </c>
      <c r="K569" s="67" t="s">
        <v>1012</v>
      </c>
      <c r="L569" s="67">
        <v>9.1338000000000008</v>
      </c>
    </row>
    <row r="570" spans="1:12" ht="18.75" customHeight="1" x14ac:dyDescent="0.4">
      <c r="A570" s="105">
        <v>46080</v>
      </c>
      <c r="B570" s="106" t="s">
        <v>987</v>
      </c>
      <c r="C570" s="49" t="s">
        <v>154</v>
      </c>
      <c r="D570" s="59" t="s">
        <v>336</v>
      </c>
      <c r="E570" s="67"/>
      <c r="F570" s="49">
        <v>4</v>
      </c>
      <c r="G570" s="49">
        <f t="shared" si="16"/>
        <v>3829893.6780000003</v>
      </c>
      <c r="H570" s="36">
        <f t="shared" si="17"/>
        <v>15319574.712000001</v>
      </c>
      <c r="I570" s="67" t="s">
        <v>999</v>
      </c>
      <c r="J570" s="49">
        <v>419310</v>
      </c>
      <c r="K570" s="67" t="s">
        <v>1012</v>
      </c>
      <c r="L570" s="67">
        <v>9.1338000000000008</v>
      </c>
    </row>
    <row r="571" spans="1:12" ht="18.75" customHeight="1" x14ac:dyDescent="0.4">
      <c r="A571" s="105">
        <v>46080</v>
      </c>
      <c r="B571" s="106" t="s">
        <v>987</v>
      </c>
      <c r="C571" s="49" t="s">
        <v>150</v>
      </c>
      <c r="D571" s="59" t="s">
        <v>151</v>
      </c>
      <c r="E571" s="67"/>
      <c r="F571" s="49">
        <v>1</v>
      </c>
      <c r="G571" s="49">
        <f t="shared" si="16"/>
        <v>534053.28600000008</v>
      </c>
      <c r="H571" s="36">
        <f t="shared" si="17"/>
        <v>534053.28600000008</v>
      </c>
      <c r="I571" s="67" t="s">
        <v>1024</v>
      </c>
      <c r="J571" s="49">
        <v>58470</v>
      </c>
      <c r="K571" s="67" t="s">
        <v>1012</v>
      </c>
      <c r="L571" s="67">
        <v>9.1338000000000008</v>
      </c>
    </row>
    <row r="572" spans="1:12" ht="18.75" customHeight="1" x14ac:dyDescent="0.4">
      <c r="A572" s="105">
        <v>46080</v>
      </c>
      <c r="B572" s="106" t="s">
        <v>987</v>
      </c>
      <c r="C572" s="49" t="s">
        <v>154</v>
      </c>
      <c r="D572" s="59" t="s">
        <v>336</v>
      </c>
      <c r="E572" s="67"/>
      <c r="F572" s="49">
        <v>3</v>
      </c>
      <c r="G572" s="49">
        <f t="shared" si="16"/>
        <v>3829893.6780000003</v>
      </c>
      <c r="H572" s="36">
        <f t="shared" si="17"/>
        <v>11489681.034000002</v>
      </c>
      <c r="I572" s="67" t="s">
        <v>1014</v>
      </c>
      <c r="J572" s="49">
        <v>419310</v>
      </c>
      <c r="K572" s="67" t="s">
        <v>1012</v>
      </c>
      <c r="L572" s="67">
        <v>9.1338000000000008</v>
      </c>
    </row>
    <row r="573" spans="1:12" ht="18.75" customHeight="1" x14ac:dyDescent="0.4">
      <c r="A573" s="105">
        <v>46080</v>
      </c>
      <c r="B573" s="106" t="s">
        <v>987</v>
      </c>
      <c r="C573" s="49" t="s">
        <v>150</v>
      </c>
      <c r="D573" s="59" t="s">
        <v>151</v>
      </c>
      <c r="E573" s="67"/>
      <c r="F573" s="49">
        <v>1</v>
      </c>
      <c r="G573" s="49">
        <f t="shared" si="16"/>
        <v>534053.28600000008</v>
      </c>
      <c r="H573" s="36">
        <f t="shared" si="17"/>
        <v>534053.28600000008</v>
      </c>
      <c r="I573" s="67" t="s">
        <v>1025</v>
      </c>
      <c r="J573" s="49">
        <v>58470</v>
      </c>
      <c r="K573" s="67" t="s">
        <v>1012</v>
      </c>
      <c r="L573" s="67">
        <v>9.1338000000000008</v>
      </c>
    </row>
    <row r="574" spans="1:12" ht="18.75" customHeight="1" x14ac:dyDescent="0.4">
      <c r="A574" s="105">
        <v>46080</v>
      </c>
      <c r="B574" s="106" t="s">
        <v>987</v>
      </c>
      <c r="C574" s="49" t="s">
        <v>158</v>
      </c>
      <c r="D574" s="59" t="s">
        <v>252</v>
      </c>
      <c r="E574" s="67"/>
      <c r="F574" s="49">
        <v>1</v>
      </c>
      <c r="G574" s="49">
        <f t="shared" si="16"/>
        <v>3445269.3600000003</v>
      </c>
      <c r="H574" s="36">
        <f t="shared" si="17"/>
        <v>3445269.3600000003</v>
      </c>
      <c r="I574" s="67" t="s">
        <v>1016</v>
      </c>
      <c r="J574" s="49">
        <v>377200</v>
      </c>
      <c r="K574" s="67" t="s">
        <v>1012</v>
      </c>
      <c r="L574" s="67">
        <v>9.1338000000000008</v>
      </c>
    </row>
    <row r="575" spans="1:12" ht="18.75" customHeight="1" x14ac:dyDescent="0.4">
      <c r="A575" s="105">
        <v>46080</v>
      </c>
      <c r="B575" s="106" t="s">
        <v>987</v>
      </c>
      <c r="C575" s="49" t="s">
        <v>150</v>
      </c>
      <c r="D575" s="59" t="s">
        <v>151</v>
      </c>
      <c r="E575" s="67"/>
      <c r="F575" s="49">
        <v>1</v>
      </c>
      <c r="G575" s="49">
        <f t="shared" si="16"/>
        <v>534053.28600000008</v>
      </c>
      <c r="H575" s="36">
        <f t="shared" si="17"/>
        <v>534053.28600000008</v>
      </c>
      <c r="I575" s="67" t="s">
        <v>1026</v>
      </c>
      <c r="J575" s="49">
        <v>58470</v>
      </c>
      <c r="K575" s="67" t="s">
        <v>1012</v>
      </c>
      <c r="L575" s="67">
        <v>9.1338000000000008</v>
      </c>
    </row>
    <row r="576" spans="1:12" ht="18.75" customHeight="1" x14ac:dyDescent="0.4">
      <c r="A576" s="105">
        <v>46080</v>
      </c>
      <c r="B576" s="106" t="s">
        <v>987</v>
      </c>
      <c r="C576" s="49" t="s">
        <v>160</v>
      </c>
      <c r="D576" s="59" t="s">
        <v>255</v>
      </c>
      <c r="E576" s="67"/>
      <c r="F576" s="49">
        <v>7</v>
      </c>
      <c r="G576" s="49">
        <f t="shared" si="16"/>
        <v>48217.330200000004</v>
      </c>
      <c r="H576" s="36"/>
      <c r="I576" s="429" t="s">
        <v>1018</v>
      </c>
      <c r="J576" s="49">
        <v>5279</v>
      </c>
      <c r="K576" s="67" t="s">
        <v>1012</v>
      </c>
      <c r="L576" s="67">
        <v>9.1338000000000008</v>
      </c>
    </row>
    <row r="577" spans="1:13" ht="18.75" customHeight="1" x14ac:dyDescent="0.4">
      <c r="A577" s="105">
        <v>46080</v>
      </c>
      <c r="B577" s="106" t="s">
        <v>987</v>
      </c>
      <c r="C577" s="49" t="s">
        <v>160</v>
      </c>
      <c r="D577" s="59" t="s">
        <v>340</v>
      </c>
      <c r="E577" s="67"/>
      <c r="F577" s="49">
        <v>1</v>
      </c>
      <c r="G577" s="49">
        <f t="shared" si="16"/>
        <v>48217.330200000004</v>
      </c>
      <c r="H577" s="36"/>
      <c r="I577" s="429" t="s">
        <v>543</v>
      </c>
      <c r="J577" s="49">
        <v>5279</v>
      </c>
      <c r="K577" s="67" t="s">
        <v>1012</v>
      </c>
      <c r="L577" s="67">
        <v>9.1338000000000008</v>
      </c>
    </row>
    <row r="578" spans="1:13" ht="18.75" customHeight="1" x14ac:dyDescent="0.4">
      <c r="A578" s="105">
        <v>46080</v>
      </c>
      <c r="B578" s="106" t="s">
        <v>987</v>
      </c>
      <c r="C578" s="49" t="s">
        <v>160</v>
      </c>
      <c r="D578" s="59" t="s">
        <v>340</v>
      </c>
      <c r="E578" s="67"/>
      <c r="F578" s="49">
        <v>4</v>
      </c>
      <c r="G578" s="49">
        <f t="shared" si="16"/>
        <v>48217.330200000004</v>
      </c>
      <c r="H578" s="36"/>
      <c r="I578" s="429" t="s">
        <v>543</v>
      </c>
      <c r="J578" s="49">
        <v>5279</v>
      </c>
      <c r="K578" s="67" t="s">
        <v>1012</v>
      </c>
      <c r="L578" s="67">
        <v>9.1338000000000008</v>
      </c>
    </row>
    <row r="579" spans="1:13" ht="18.75" customHeight="1" x14ac:dyDescent="0.4">
      <c r="A579" s="105">
        <v>46080</v>
      </c>
      <c r="B579" s="106" t="s">
        <v>987</v>
      </c>
      <c r="C579" s="49" t="s">
        <v>160</v>
      </c>
      <c r="D579" s="59" t="s">
        <v>340</v>
      </c>
      <c r="E579" s="67"/>
      <c r="F579" s="49">
        <v>3</v>
      </c>
      <c r="G579" s="49">
        <f t="shared" si="16"/>
        <v>48217.330200000004</v>
      </c>
      <c r="H579" s="36"/>
      <c r="I579" s="429" t="s">
        <v>1015</v>
      </c>
      <c r="J579" s="49">
        <v>5279</v>
      </c>
      <c r="K579" s="67" t="s">
        <v>1012</v>
      </c>
      <c r="L579" s="67">
        <v>9.1338000000000008</v>
      </c>
    </row>
    <row r="580" spans="1:13" ht="18.75" customHeight="1" x14ac:dyDescent="0.4">
      <c r="A580" s="105">
        <v>46080</v>
      </c>
      <c r="B580" s="106" t="s">
        <v>987</v>
      </c>
      <c r="C580" s="49" t="s">
        <v>160</v>
      </c>
      <c r="D580" s="59" t="s">
        <v>274</v>
      </c>
      <c r="E580" s="67"/>
      <c r="F580" s="49">
        <v>1</v>
      </c>
      <c r="G580" s="49">
        <f t="shared" si="16"/>
        <v>50071.491600000001</v>
      </c>
      <c r="H580" s="36"/>
      <c r="I580" s="429" t="s">
        <v>1019</v>
      </c>
      <c r="J580" s="49">
        <v>5482</v>
      </c>
      <c r="K580" s="67" t="s">
        <v>1012</v>
      </c>
      <c r="L580" s="67">
        <v>9.1338000000000008</v>
      </c>
    </row>
    <row r="581" spans="1:13" ht="18.75" customHeight="1" x14ac:dyDescent="0.4">
      <c r="A581" s="105">
        <v>46080</v>
      </c>
      <c r="B581" s="106" t="s">
        <v>987</v>
      </c>
      <c r="C581" s="49" t="s">
        <v>153</v>
      </c>
      <c r="D581" s="59" t="s">
        <v>269</v>
      </c>
      <c r="E581" s="67"/>
      <c r="F581" s="49">
        <v>1</v>
      </c>
      <c r="G581" s="49">
        <f t="shared" si="16"/>
        <v>295935.12000000005</v>
      </c>
      <c r="H581" s="36"/>
      <c r="I581" s="429" t="s">
        <v>1015</v>
      </c>
      <c r="J581" s="49">
        <v>32400</v>
      </c>
      <c r="K581" s="67" t="s">
        <v>1012</v>
      </c>
      <c r="L581" s="67">
        <v>9.1338000000000008</v>
      </c>
    </row>
    <row r="582" spans="1:13" ht="18.75" customHeight="1" x14ac:dyDescent="0.4">
      <c r="A582" s="105">
        <v>46080</v>
      </c>
      <c r="B582" s="106" t="s">
        <v>987</v>
      </c>
      <c r="C582" s="49" t="s">
        <v>150</v>
      </c>
      <c r="D582" s="59" t="s">
        <v>258</v>
      </c>
      <c r="E582" s="67"/>
      <c r="F582" s="49">
        <v>2</v>
      </c>
      <c r="G582" s="49">
        <f t="shared" si="16"/>
        <v>133170.804</v>
      </c>
      <c r="H582" s="36"/>
      <c r="I582" s="429" t="s">
        <v>1020</v>
      </c>
      <c r="J582" s="49">
        <v>14580</v>
      </c>
      <c r="K582" s="67" t="s">
        <v>1012</v>
      </c>
      <c r="L582" s="67">
        <v>9.1338000000000008</v>
      </c>
    </row>
    <row r="583" spans="1:13" ht="18.75" customHeight="1" x14ac:dyDescent="0.4">
      <c r="A583" s="105">
        <v>46080</v>
      </c>
      <c r="B583" s="106" t="s">
        <v>987</v>
      </c>
      <c r="C583" s="49" t="s">
        <v>150</v>
      </c>
      <c r="D583" s="59" t="s">
        <v>258</v>
      </c>
      <c r="E583" s="67"/>
      <c r="F583" s="49">
        <v>2</v>
      </c>
      <c r="G583" s="49">
        <f t="shared" si="16"/>
        <v>133170.804</v>
      </c>
      <c r="H583" s="36"/>
      <c r="I583" s="429" t="s">
        <v>1021</v>
      </c>
      <c r="J583" s="49">
        <v>14580</v>
      </c>
      <c r="K583" s="67" t="s">
        <v>1012</v>
      </c>
      <c r="L583" s="67">
        <v>9.1338000000000008</v>
      </c>
    </row>
    <row r="584" spans="1:13" ht="18.75" customHeight="1" x14ac:dyDescent="0.4">
      <c r="A584" s="105">
        <v>46080</v>
      </c>
      <c r="B584" s="106" t="s">
        <v>987</v>
      </c>
      <c r="C584" s="49" t="s">
        <v>158</v>
      </c>
      <c r="D584" s="59" t="s">
        <v>339</v>
      </c>
      <c r="E584" s="67"/>
      <c r="F584" s="49">
        <v>8</v>
      </c>
      <c r="G584" s="49">
        <f t="shared" si="16"/>
        <v>3390466.5600000005</v>
      </c>
      <c r="H584" s="36">
        <f>F584*G584</f>
        <v>27123732.480000004</v>
      </c>
      <c r="I584" s="67" t="s">
        <v>1013</v>
      </c>
      <c r="J584" s="49">
        <v>371200</v>
      </c>
      <c r="K584" s="67" t="s">
        <v>1017</v>
      </c>
      <c r="L584" s="67">
        <v>9.1338000000000008</v>
      </c>
    </row>
    <row r="585" spans="1:13" ht="18.75" customHeight="1" x14ac:dyDescent="0.4">
      <c r="A585" s="105">
        <v>46080</v>
      </c>
      <c r="B585" s="106" t="s">
        <v>987</v>
      </c>
      <c r="C585" s="49" t="s">
        <v>155</v>
      </c>
      <c r="D585" s="59" t="s">
        <v>253</v>
      </c>
      <c r="E585" s="67"/>
      <c r="F585" s="49">
        <v>3</v>
      </c>
      <c r="G585" s="49">
        <f t="shared" si="16"/>
        <v>3516513.0000000005</v>
      </c>
      <c r="H585" s="36">
        <f>F585*G585</f>
        <v>10549539.000000002</v>
      </c>
      <c r="I585" s="67" t="s">
        <v>788</v>
      </c>
      <c r="J585" s="49">
        <v>385000</v>
      </c>
      <c r="K585" s="67" t="s">
        <v>1017</v>
      </c>
      <c r="L585" s="67">
        <v>9.1338000000000008</v>
      </c>
    </row>
    <row r="586" spans="1:13" ht="18.75" customHeight="1" x14ac:dyDescent="0.4">
      <c r="A586" s="105">
        <v>46080</v>
      </c>
      <c r="B586" s="106" t="s">
        <v>987</v>
      </c>
      <c r="C586" s="49" t="s">
        <v>158</v>
      </c>
      <c r="D586" s="59" t="s">
        <v>339</v>
      </c>
      <c r="E586" s="67"/>
      <c r="F586" s="49">
        <v>1</v>
      </c>
      <c r="G586" s="49">
        <f t="shared" si="16"/>
        <v>3445269.3600000003</v>
      </c>
      <c r="H586" s="36">
        <f>F586*G586</f>
        <v>3445269.3600000003</v>
      </c>
      <c r="I586" s="67" t="s">
        <v>1016</v>
      </c>
      <c r="J586" s="49">
        <v>377200</v>
      </c>
      <c r="K586" s="67" t="s">
        <v>1017</v>
      </c>
      <c r="L586" s="67">
        <v>9.1338000000000008</v>
      </c>
    </row>
    <row r="587" spans="1:13" ht="18.75" customHeight="1" x14ac:dyDescent="0.4">
      <c r="A587" s="377"/>
      <c r="B587" s="123"/>
      <c r="C587" s="138"/>
      <c r="D587" s="97"/>
      <c r="E587" s="123"/>
      <c r="F587" s="380"/>
      <c r="G587" s="138"/>
      <c r="H587" s="138">
        <f>SUM(H470:H551)-6</f>
        <v>635225626.45194006</v>
      </c>
      <c r="I587" s="430">
        <f>H587/162000000</f>
        <v>3.9211458422959264</v>
      </c>
      <c r="J587" s="138">
        <v>631772303</v>
      </c>
      <c r="K587" s="145">
        <f>H587-J587</f>
        <v>3453323.4519400597</v>
      </c>
      <c r="L587" s="123"/>
    </row>
    <row r="588" spans="1:13" s="19" customFormat="1" ht="18.75" customHeight="1" x14ac:dyDescent="0.4">
      <c r="A588" s="4">
        <v>46076</v>
      </c>
      <c r="B588" s="110" t="s">
        <v>162</v>
      </c>
      <c r="C588" s="6" t="s">
        <v>667</v>
      </c>
      <c r="D588" s="1" t="s">
        <v>1027</v>
      </c>
      <c r="E588" s="8" t="s">
        <v>11</v>
      </c>
      <c r="F588" s="36">
        <v>114</v>
      </c>
      <c r="G588" s="36">
        <v>300273</v>
      </c>
      <c r="H588" s="36">
        <f>F588*G588</f>
        <v>34231122</v>
      </c>
      <c r="I588" s="29"/>
      <c r="J588" s="8"/>
      <c r="K588" s="43"/>
      <c r="L588" s="431"/>
      <c r="M588" s="31"/>
    </row>
    <row r="589" spans="1:13" s="19" customFormat="1" ht="18.75" customHeight="1" x14ac:dyDescent="0.4">
      <c r="A589" s="37"/>
      <c r="B589" s="194"/>
      <c r="C589" s="88"/>
      <c r="D589" s="38"/>
      <c r="E589" s="39"/>
      <c r="F589" s="98"/>
      <c r="G589" s="98"/>
      <c r="H589" s="98">
        <f>SUM(H588)</f>
        <v>34231122</v>
      </c>
      <c r="I589" s="40"/>
      <c r="J589" s="39"/>
      <c r="K589" s="57"/>
      <c r="L589" s="432"/>
      <c r="M589" s="32"/>
    </row>
    <row r="590" spans="1:13" s="14" customFormat="1" ht="18.75" customHeight="1" x14ac:dyDescent="0.4">
      <c r="A590" s="15">
        <v>46058</v>
      </c>
      <c r="B590" s="7" t="s">
        <v>1028</v>
      </c>
      <c r="C590" s="60" t="s">
        <v>1029</v>
      </c>
      <c r="D590" s="71" t="s">
        <v>1030</v>
      </c>
      <c r="E590" s="7" t="s">
        <v>424</v>
      </c>
      <c r="F590" s="7">
        <v>131</v>
      </c>
      <c r="G590" s="17">
        <v>130647</v>
      </c>
      <c r="H590" s="36">
        <f>F590*G590</f>
        <v>17114757</v>
      </c>
      <c r="I590" s="142"/>
      <c r="J590" s="72"/>
      <c r="K590" s="72"/>
      <c r="L590" s="116"/>
      <c r="M590" s="19"/>
    </row>
    <row r="591" spans="1:13" s="14" customFormat="1" ht="18.75" customHeight="1" x14ac:dyDescent="0.4">
      <c r="A591" s="15">
        <v>46080</v>
      </c>
      <c r="B591" s="7" t="s">
        <v>1028</v>
      </c>
      <c r="C591" s="60" t="s">
        <v>1029</v>
      </c>
      <c r="D591" s="71" t="s">
        <v>1030</v>
      </c>
      <c r="E591" s="7" t="s">
        <v>424</v>
      </c>
      <c r="F591" s="7">
        <v>-2</v>
      </c>
      <c r="G591" s="17">
        <v>130647</v>
      </c>
      <c r="H591" s="36">
        <f>F591*G591</f>
        <v>-261294</v>
      </c>
      <c r="I591" s="142"/>
      <c r="J591" s="72"/>
      <c r="K591" s="72"/>
      <c r="L591" s="116"/>
      <c r="M591" s="19"/>
    </row>
    <row r="592" spans="1:13" ht="18.75" customHeight="1" x14ac:dyDescent="0.4">
      <c r="A592" s="377"/>
      <c r="B592" s="123"/>
      <c r="C592" s="138"/>
      <c r="D592" s="97"/>
      <c r="E592" s="123"/>
      <c r="F592" s="380"/>
      <c r="G592" s="138"/>
      <c r="H592" s="138">
        <f>SUM(H590:H591)</f>
        <v>16853463</v>
      </c>
      <c r="I592" s="123"/>
      <c r="J592" s="138"/>
      <c r="K592" s="123"/>
      <c r="L592" s="123"/>
    </row>
    <row r="593" spans="1:12" ht="18.75" customHeight="1" x14ac:dyDescent="0.4">
      <c r="A593" s="118">
        <v>46055</v>
      </c>
      <c r="B593" s="103" t="s">
        <v>823</v>
      </c>
      <c r="C593" s="115" t="s">
        <v>602</v>
      </c>
      <c r="D593" s="42"/>
      <c r="E593" s="42" t="s">
        <v>17</v>
      </c>
      <c r="F593" s="117">
        <v>60</v>
      </c>
      <c r="G593" s="8">
        <v>110116</v>
      </c>
      <c r="H593" s="8">
        <f t="shared" ref="H593:H612" si="18">+G593*F593</f>
        <v>6606960</v>
      </c>
      <c r="I593" s="191"/>
      <c r="J593" s="70"/>
      <c r="K593" s="8"/>
      <c r="L593" s="116"/>
    </row>
    <row r="594" spans="1:12" ht="18.75" customHeight="1" x14ac:dyDescent="0.4">
      <c r="A594" s="118">
        <v>46056</v>
      </c>
      <c r="B594" s="103" t="s">
        <v>823</v>
      </c>
      <c r="C594" s="115" t="s">
        <v>602</v>
      </c>
      <c r="D594" s="42"/>
      <c r="E594" s="42" t="s">
        <v>17</v>
      </c>
      <c r="F594" s="117">
        <v>86</v>
      </c>
      <c r="G594" s="8">
        <v>110116</v>
      </c>
      <c r="H594" s="8">
        <f t="shared" si="18"/>
        <v>9469976</v>
      </c>
      <c r="I594" s="191"/>
      <c r="J594" s="70"/>
      <c r="K594" s="8"/>
      <c r="L594" s="116"/>
    </row>
    <row r="595" spans="1:12" ht="18.75" customHeight="1" x14ac:dyDescent="0.4">
      <c r="A595" s="118">
        <v>46057</v>
      </c>
      <c r="B595" s="103" t="s">
        <v>823</v>
      </c>
      <c r="C595" s="115" t="s">
        <v>602</v>
      </c>
      <c r="D595" s="42"/>
      <c r="E595" s="42" t="s">
        <v>17</v>
      </c>
      <c r="F595" s="117">
        <v>60</v>
      </c>
      <c r="G595" s="8">
        <v>110116</v>
      </c>
      <c r="H595" s="8">
        <f t="shared" si="18"/>
        <v>6606960</v>
      </c>
      <c r="I595" s="191"/>
      <c r="J595" s="70"/>
      <c r="K595" s="8"/>
      <c r="L595" s="116"/>
    </row>
    <row r="596" spans="1:12" ht="18.75" customHeight="1" x14ac:dyDescent="0.4">
      <c r="A596" s="118">
        <v>46058</v>
      </c>
      <c r="B596" s="103" t="s">
        <v>823</v>
      </c>
      <c r="C596" s="115" t="s">
        <v>602</v>
      </c>
      <c r="D596" s="42"/>
      <c r="E596" s="42" t="s">
        <v>17</v>
      </c>
      <c r="F596" s="117">
        <v>60</v>
      </c>
      <c r="G596" s="8">
        <v>110116</v>
      </c>
      <c r="H596" s="8">
        <f t="shared" si="18"/>
        <v>6606960</v>
      </c>
      <c r="I596" s="191"/>
      <c r="J596" s="70"/>
      <c r="K596" s="8"/>
      <c r="L596" s="116"/>
    </row>
    <row r="597" spans="1:12" ht="18.75" customHeight="1" x14ac:dyDescent="0.4">
      <c r="A597" s="118">
        <v>46059</v>
      </c>
      <c r="B597" s="103" t="s">
        <v>823</v>
      </c>
      <c r="C597" s="115" t="s">
        <v>602</v>
      </c>
      <c r="D597" s="42"/>
      <c r="E597" s="42" t="s">
        <v>17</v>
      </c>
      <c r="F597" s="117">
        <v>60</v>
      </c>
      <c r="G597" s="8">
        <v>110116</v>
      </c>
      <c r="H597" s="8">
        <f t="shared" si="18"/>
        <v>6606960</v>
      </c>
      <c r="I597" s="191"/>
      <c r="J597" s="70"/>
      <c r="K597" s="8"/>
      <c r="L597" s="116"/>
    </row>
    <row r="598" spans="1:12" ht="18.75" customHeight="1" x14ac:dyDescent="0.4">
      <c r="A598" s="118">
        <v>46060</v>
      </c>
      <c r="B598" s="103" t="s">
        <v>823</v>
      </c>
      <c r="C598" s="115" t="s">
        <v>602</v>
      </c>
      <c r="D598" s="42"/>
      <c r="E598" s="42" t="s">
        <v>17</v>
      </c>
      <c r="F598" s="117">
        <v>55</v>
      </c>
      <c r="G598" s="8">
        <v>110116</v>
      </c>
      <c r="H598" s="8">
        <f t="shared" si="18"/>
        <v>6056380</v>
      </c>
      <c r="I598" s="191"/>
      <c r="J598" s="70"/>
      <c r="K598" s="8"/>
      <c r="L598" s="116"/>
    </row>
    <row r="599" spans="1:12" ht="18.75" customHeight="1" x14ac:dyDescent="0.4">
      <c r="A599" s="118">
        <v>46062</v>
      </c>
      <c r="B599" s="103" t="s">
        <v>823</v>
      </c>
      <c r="C599" s="115" t="s">
        <v>602</v>
      </c>
      <c r="D599" s="42"/>
      <c r="E599" s="42" t="s">
        <v>17</v>
      </c>
      <c r="F599" s="117">
        <v>60</v>
      </c>
      <c r="G599" s="8">
        <v>110116</v>
      </c>
      <c r="H599" s="8">
        <f t="shared" si="18"/>
        <v>6606960</v>
      </c>
      <c r="I599" s="191"/>
      <c r="J599" s="70"/>
      <c r="K599" s="8"/>
      <c r="L599" s="116"/>
    </row>
    <row r="600" spans="1:12" ht="18.75" customHeight="1" x14ac:dyDescent="0.4">
      <c r="A600" s="118">
        <v>46063</v>
      </c>
      <c r="B600" s="103" t="s">
        <v>823</v>
      </c>
      <c r="C600" s="115" t="s">
        <v>602</v>
      </c>
      <c r="D600" s="42"/>
      <c r="E600" s="42" t="s">
        <v>17</v>
      </c>
      <c r="F600" s="117">
        <v>30</v>
      </c>
      <c r="G600" s="8">
        <v>110116</v>
      </c>
      <c r="H600" s="8">
        <f t="shared" si="18"/>
        <v>3303480</v>
      </c>
      <c r="I600" s="191"/>
      <c r="J600" s="70"/>
      <c r="K600" s="8"/>
      <c r="L600" s="116"/>
    </row>
    <row r="601" spans="1:12" ht="18.75" customHeight="1" x14ac:dyDescent="0.4">
      <c r="A601" s="118">
        <v>46064</v>
      </c>
      <c r="B601" s="103" t="s">
        <v>823</v>
      </c>
      <c r="C601" s="115" t="s">
        <v>602</v>
      </c>
      <c r="D601" s="42"/>
      <c r="E601" s="42" t="s">
        <v>17</v>
      </c>
      <c r="F601" s="117">
        <v>57</v>
      </c>
      <c r="G601" s="8">
        <v>110116</v>
      </c>
      <c r="H601" s="8">
        <f t="shared" si="18"/>
        <v>6276612</v>
      </c>
      <c r="I601" s="191"/>
      <c r="J601" s="70"/>
      <c r="K601" s="8"/>
      <c r="L601" s="116"/>
    </row>
    <row r="602" spans="1:12" ht="18.75" customHeight="1" x14ac:dyDescent="0.4">
      <c r="A602" s="118">
        <v>46065</v>
      </c>
      <c r="B602" s="103" t="s">
        <v>823</v>
      </c>
      <c r="C602" s="115" t="s">
        <v>602</v>
      </c>
      <c r="D602" s="42"/>
      <c r="E602" s="42" t="s">
        <v>17</v>
      </c>
      <c r="F602" s="117">
        <v>75</v>
      </c>
      <c r="G602" s="8">
        <v>110116</v>
      </c>
      <c r="H602" s="8">
        <f t="shared" si="18"/>
        <v>8258700</v>
      </c>
      <c r="I602" s="191"/>
      <c r="J602" s="70"/>
      <c r="K602" s="8"/>
      <c r="L602" s="116"/>
    </row>
    <row r="603" spans="1:12" ht="18.75" customHeight="1" x14ac:dyDescent="0.4">
      <c r="A603" s="118">
        <v>46066</v>
      </c>
      <c r="B603" s="103" t="s">
        <v>823</v>
      </c>
      <c r="C603" s="115" t="s">
        <v>602</v>
      </c>
      <c r="D603" s="42"/>
      <c r="E603" s="42" t="s">
        <v>17</v>
      </c>
      <c r="F603" s="117">
        <v>90</v>
      </c>
      <c r="G603" s="8">
        <v>110116</v>
      </c>
      <c r="H603" s="8">
        <f t="shared" si="18"/>
        <v>9910440</v>
      </c>
      <c r="I603" s="191"/>
      <c r="J603" s="70"/>
      <c r="K603" s="8"/>
      <c r="L603" s="116"/>
    </row>
    <row r="604" spans="1:12" ht="18.75" customHeight="1" x14ac:dyDescent="0.4">
      <c r="A604" s="118">
        <v>46067</v>
      </c>
      <c r="B604" s="103" t="s">
        <v>823</v>
      </c>
      <c r="C604" s="115" t="s">
        <v>602</v>
      </c>
      <c r="D604" s="42"/>
      <c r="E604" s="42" t="s">
        <v>17</v>
      </c>
      <c r="F604" s="117">
        <v>60</v>
      </c>
      <c r="G604" s="8">
        <v>110116</v>
      </c>
      <c r="H604" s="8">
        <f t="shared" si="18"/>
        <v>6606960</v>
      </c>
      <c r="I604" s="191"/>
      <c r="J604" s="70"/>
      <c r="K604" s="8"/>
      <c r="L604" s="116"/>
    </row>
    <row r="605" spans="1:12" ht="18.75" customHeight="1" x14ac:dyDescent="0.4">
      <c r="A605" s="118">
        <v>46072</v>
      </c>
      <c r="B605" s="103" t="s">
        <v>823</v>
      </c>
      <c r="C605" s="115" t="s">
        <v>602</v>
      </c>
      <c r="D605" s="42"/>
      <c r="E605" s="42" t="s">
        <v>17</v>
      </c>
      <c r="F605" s="117">
        <v>90</v>
      </c>
      <c r="G605" s="8">
        <v>110116</v>
      </c>
      <c r="H605" s="8">
        <f t="shared" si="18"/>
        <v>9910440</v>
      </c>
      <c r="I605" s="191"/>
      <c r="J605" s="70"/>
      <c r="K605" s="8"/>
      <c r="L605" s="116"/>
    </row>
    <row r="606" spans="1:12" ht="18.75" customHeight="1" x14ac:dyDescent="0.4">
      <c r="A606" s="118">
        <v>46073</v>
      </c>
      <c r="B606" s="103" t="s">
        <v>823</v>
      </c>
      <c r="C606" s="115" t="s">
        <v>602</v>
      </c>
      <c r="D606" s="42"/>
      <c r="E606" s="42" t="s">
        <v>17</v>
      </c>
      <c r="F606" s="117">
        <v>90</v>
      </c>
      <c r="G606" s="8">
        <v>110116</v>
      </c>
      <c r="H606" s="8">
        <f t="shared" si="18"/>
        <v>9910440</v>
      </c>
      <c r="I606" s="191"/>
      <c r="J606" s="70"/>
      <c r="K606" s="8"/>
      <c r="L606" s="116"/>
    </row>
    <row r="607" spans="1:12" ht="18.75" customHeight="1" x14ac:dyDescent="0.4">
      <c r="A607" s="118">
        <v>46074</v>
      </c>
      <c r="B607" s="103" t="s">
        <v>823</v>
      </c>
      <c r="C607" s="115" t="s">
        <v>602</v>
      </c>
      <c r="D607" s="42"/>
      <c r="E607" s="42" t="s">
        <v>17</v>
      </c>
      <c r="F607" s="117">
        <v>47</v>
      </c>
      <c r="G607" s="8">
        <v>110116</v>
      </c>
      <c r="H607" s="8">
        <f t="shared" si="18"/>
        <v>5175452</v>
      </c>
      <c r="I607" s="191"/>
      <c r="J607" s="70"/>
      <c r="K607" s="8"/>
      <c r="L607" s="116"/>
    </row>
    <row r="608" spans="1:12" ht="18.75" customHeight="1" x14ac:dyDescent="0.4">
      <c r="A608" s="118">
        <v>46076</v>
      </c>
      <c r="B608" s="103" t="s">
        <v>823</v>
      </c>
      <c r="C608" s="115" t="s">
        <v>602</v>
      </c>
      <c r="D608" s="42"/>
      <c r="E608" s="42" t="s">
        <v>17</v>
      </c>
      <c r="F608" s="117">
        <v>60</v>
      </c>
      <c r="G608" s="8">
        <v>110116</v>
      </c>
      <c r="H608" s="8">
        <f t="shared" si="18"/>
        <v>6606960</v>
      </c>
      <c r="I608" s="191"/>
      <c r="J608" s="70"/>
      <c r="K608" s="8"/>
      <c r="L608" s="116"/>
    </row>
    <row r="609" spans="1:13" ht="18.75" customHeight="1" x14ac:dyDescent="0.4">
      <c r="A609" s="118">
        <v>46077</v>
      </c>
      <c r="B609" s="103" t="s">
        <v>823</v>
      </c>
      <c r="C609" s="115" t="s">
        <v>602</v>
      </c>
      <c r="D609" s="42"/>
      <c r="E609" s="42" t="s">
        <v>17</v>
      </c>
      <c r="F609" s="117">
        <v>90</v>
      </c>
      <c r="G609" s="8">
        <v>110116</v>
      </c>
      <c r="H609" s="8">
        <f t="shared" si="18"/>
        <v>9910440</v>
      </c>
      <c r="I609" s="191"/>
      <c r="J609" s="70"/>
      <c r="K609" s="8"/>
      <c r="L609" s="116"/>
    </row>
    <row r="610" spans="1:13" ht="18.75" customHeight="1" x14ac:dyDescent="0.4">
      <c r="A610" s="118">
        <v>46078</v>
      </c>
      <c r="B610" s="103" t="s">
        <v>823</v>
      </c>
      <c r="C610" s="115" t="s">
        <v>602</v>
      </c>
      <c r="D610" s="42"/>
      <c r="E610" s="42" t="s">
        <v>17</v>
      </c>
      <c r="F610" s="117">
        <v>60</v>
      </c>
      <c r="G610" s="8">
        <v>110116</v>
      </c>
      <c r="H610" s="8">
        <f t="shared" si="18"/>
        <v>6606960</v>
      </c>
      <c r="I610" s="191"/>
      <c r="J610" s="70"/>
      <c r="K610" s="8"/>
      <c r="L610" s="116"/>
    </row>
    <row r="611" spans="1:13" ht="18.75" customHeight="1" x14ac:dyDescent="0.4">
      <c r="A611" s="118">
        <v>46079</v>
      </c>
      <c r="B611" s="103" t="s">
        <v>823</v>
      </c>
      <c r="C611" s="115" t="s">
        <v>602</v>
      </c>
      <c r="D611" s="42"/>
      <c r="E611" s="42" t="s">
        <v>17</v>
      </c>
      <c r="F611" s="117">
        <v>120</v>
      </c>
      <c r="G611" s="8">
        <v>110116</v>
      </c>
      <c r="H611" s="8">
        <f t="shared" si="18"/>
        <v>13213920</v>
      </c>
      <c r="I611" s="191"/>
      <c r="J611" s="70"/>
      <c r="K611" s="8"/>
      <c r="L611" s="116"/>
    </row>
    <row r="612" spans="1:13" ht="18.75" customHeight="1" x14ac:dyDescent="0.4">
      <c r="A612" s="118">
        <v>46080</v>
      </c>
      <c r="B612" s="103" t="s">
        <v>823</v>
      </c>
      <c r="C612" s="115" t="s">
        <v>602</v>
      </c>
      <c r="D612" s="42"/>
      <c r="E612" s="42" t="s">
        <v>17</v>
      </c>
      <c r="F612" s="117">
        <v>90</v>
      </c>
      <c r="G612" s="8">
        <v>110116</v>
      </c>
      <c r="H612" s="8">
        <f t="shared" si="18"/>
        <v>9910440</v>
      </c>
      <c r="I612" s="191"/>
      <c r="J612" s="70"/>
      <c r="K612" s="8"/>
      <c r="L612" s="116"/>
    </row>
    <row r="613" spans="1:13" ht="18.75" customHeight="1" x14ac:dyDescent="0.4">
      <c r="A613" s="118">
        <v>46081</v>
      </c>
      <c r="B613" s="103" t="s">
        <v>823</v>
      </c>
      <c r="C613" s="115" t="s">
        <v>602</v>
      </c>
      <c r="D613" s="42"/>
      <c r="E613" s="42" t="s">
        <v>17</v>
      </c>
      <c r="F613" s="117">
        <v>90</v>
      </c>
      <c r="G613" s="8">
        <v>110116</v>
      </c>
      <c r="H613" s="8">
        <f>+G613*F613</f>
        <v>9910440</v>
      </c>
      <c r="I613" s="191"/>
      <c r="J613" s="70"/>
      <c r="K613" s="8"/>
      <c r="L613" s="116"/>
    </row>
    <row r="614" spans="1:13" ht="18.75" customHeight="1" x14ac:dyDescent="0.4">
      <c r="A614" s="148">
        <v>46066</v>
      </c>
      <c r="B614" s="149" t="s">
        <v>823</v>
      </c>
      <c r="C614" s="460" t="s">
        <v>602</v>
      </c>
      <c r="D614" s="461"/>
      <c r="E614" s="461" t="s">
        <v>17</v>
      </c>
      <c r="F614" s="462">
        <v>30</v>
      </c>
      <c r="G614" s="8">
        <v>110116</v>
      </c>
      <c r="H614" s="463">
        <f>+G614*F614</f>
        <v>3303480</v>
      </c>
      <c r="I614" s="464" t="s">
        <v>1040</v>
      </c>
      <c r="J614" s="70"/>
      <c r="K614" s="8"/>
      <c r="L614" s="116"/>
    </row>
    <row r="615" spans="1:13" ht="18.75" customHeight="1" x14ac:dyDescent="0.4">
      <c r="A615" s="204"/>
      <c r="B615" s="205"/>
      <c r="C615" s="206"/>
      <c r="D615" s="207"/>
      <c r="E615" s="208"/>
      <c r="F615" s="64">
        <f>SUM(F593:F614)-F614</f>
        <v>1490</v>
      </c>
      <c r="G615" s="122"/>
      <c r="H615" s="64">
        <f>SUM(H593:H613)</f>
        <v>164072840</v>
      </c>
      <c r="I615" s="122"/>
      <c r="J615" s="208"/>
      <c r="K615" s="292"/>
      <c r="L615" s="122"/>
    </row>
    <row r="616" spans="1:13" ht="18.75" customHeight="1" x14ac:dyDescent="0.4">
      <c r="A616" s="4"/>
      <c r="B616" s="110" t="s">
        <v>163</v>
      </c>
      <c r="C616" s="6" t="s">
        <v>276</v>
      </c>
      <c r="D616" s="1"/>
      <c r="E616" s="8" t="s">
        <v>17</v>
      </c>
      <c r="F616" s="8"/>
      <c r="G616" s="8">
        <v>111422</v>
      </c>
      <c r="H616" s="36">
        <f t="shared" ref="H616:H622" si="19">F616*G616</f>
        <v>0</v>
      </c>
      <c r="I616" s="139"/>
      <c r="J616" s="8"/>
      <c r="K616" s="30"/>
      <c r="L616" s="82"/>
    </row>
    <row r="617" spans="1:13" ht="18.75" customHeight="1" x14ac:dyDescent="0.4">
      <c r="A617" s="204"/>
      <c r="B617" s="205"/>
      <c r="C617" s="206"/>
      <c r="D617" s="207"/>
      <c r="E617" s="208"/>
      <c r="F617" s="64"/>
      <c r="G617" s="122"/>
      <c r="H617" s="64">
        <f>SUM(H616)</f>
        <v>0</v>
      </c>
      <c r="I617" s="209"/>
      <c r="J617" s="208"/>
      <c r="K617" s="85"/>
      <c r="L617" s="210"/>
    </row>
    <row r="618" spans="1:13" ht="18.75" customHeight="1" x14ac:dyDescent="0.4">
      <c r="A618" s="4">
        <v>46055</v>
      </c>
      <c r="B618" s="110" t="s">
        <v>163</v>
      </c>
      <c r="C618" s="6" t="s">
        <v>276</v>
      </c>
      <c r="D618" s="1"/>
      <c r="E618" s="8" t="s">
        <v>17</v>
      </c>
      <c r="F618" s="8">
        <v>-27</v>
      </c>
      <c r="G618" s="8">
        <v>110116</v>
      </c>
      <c r="H618" s="36">
        <f>F618*G618</f>
        <v>-2973132</v>
      </c>
      <c r="I618" s="139" t="s">
        <v>1031</v>
      </c>
      <c r="J618" s="8"/>
      <c r="K618" s="41"/>
      <c r="L618" s="121"/>
    </row>
    <row r="619" spans="1:13" ht="18.75" customHeight="1" x14ac:dyDescent="0.4">
      <c r="A619" s="4">
        <v>46058</v>
      </c>
      <c r="B619" s="110" t="s">
        <v>163</v>
      </c>
      <c r="C619" s="6" t="s">
        <v>276</v>
      </c>
      <c r="D619" s="1"/>
      <c r="E619" s="8" t="s">
        <v>17</v>
      </c>
      <c r="F619" s="8">
        <v>-60</v>
      </c>
      <c r="G619" s="8">
        <v>110116</v>
      </c>
      <c r="H619" s="36">
        <f>F619*G619</f>
        <v>-6606960</v>
      </c>
      <c r="I619" s="139" t="s">
        <v>1031</v>
      </c>
      <c r="J619" s="8"/>
      <c r="K619" s="41"/>
      <c r="L619" s="121"/>
    </row>
    <row r="620" spans="1:13" ht="18.75" customHeight="1" x14ac:dyDescent="0.4">
      <c r="A620" s="4">
        <v>46064</v>
      </c>
      <c r="B620" s="110" t="s">
        <v>163</v>
      </c>
      <c r="C620" s="6" t="s">
        <v>276</v>
      </c>
      <c r="D620" s="1"/>
      <c r="E620" s="8" t="s">
        <v>17</v>
      </c>
      <c r="F620" s="8">
        <v>-59</v>
      </c>
      <c r="G620" s="8">
        <v>110116</v>
      </c>
      <c r="H620" s="36">
        <f>F620*G620</f>
        <v>-6496844</v>
      </c>
      <c r="I620" s="139" t="s">
        <v>1031</v>
      </c>
      <c r="J620" s="8"/>
      <c r="K620" s="41"/>
      <c r="L620" s="121"/>
    </row>
    <row r="621" spans="1:13" ht="18.75" customHeight="1" x14ac:dyDescent="0.4">
      <c r="A621" s="4">
        <v>46074</v>
      </c>
      <c r="B621" s="110" t="s">
        <v>163</v>
      </c>
      <c r="C621" s="6" t="s">
        <v>276</v>
      </c>
      <c r="D621" s="1"/>
      <c r="E621" s="8" t="s">
        <v>17</v>
      </c>
      <c r="F621" s="8">
        <v>-30</v>
      </c>
      <c r="G621" s="8">
        <v>110116</v>
      </c>
      <c r="H621" s="36">
        <f t="shared" si="19"/>
        <v>-3303480</v>
      </c>
      <c r="I621" s="139"/>
      <c r="J621" s="8"/>
      <c r="K621" s="41"/>
      <c r="L621" s="121"/>
    </row>
    <row r="622" spans="1:13" ht="18.75" customHeight="1" x14ac:dyDescent="0.4">
      <c r="A622" s="4">
        <v>46081</v>
      </c>
      <c r="B622" s="110" t="s">
        <v>823</v>
      </c>
      <c r="C622" s="6" t="s">
        <v>276</v>
      </c>
      <c r="D622" s="8"/>
      <c r="E622" s="8" t="s">
        <v>17</v>
      </c>
      <c r="F622" s="8">
        <v>-56</v>
      </c>
      <c r="G622" s="8">
        <v>110116</v>
      </c>
      <c r="H622" s="465">
        <f t="shared" si="19"/>
        <v>-6166496</v>
      </c>
      <c r="I622" s="139" t="s">
        <v>394</v>
      </c>
      <c r="J622" s="8"/>
      <c r="K622" s="41"/>
      <c r="L622" s="121"/>
    </row>
    <row r="623" spans="1:13" ht="18.75" customHeight="1" x14ac:dyDescent="0.4">
      <c r="A623" s="204"/>
      <c r="B623" s="205"/>
      <c r="C623" s="206"/>
      <c r="D623" s="207"/>
      <c r="E623" s="208"/>
      <c r="F623" s="64">
        <f>SUM(F618:F622)</f>
        <v>-232</v>
      </c>
      <c r="G623" s="63"/>
      <c r="H623" s="64">
        <f>SUM(H618:H622)</f>
        <v>-25546912</v>
      </c>
      <c r="I623" s="65"/>
      <c r="J623" s="62"/>
      <c r="K623" s="62"/>
      <c r="L623" s="146"/>
    </row>
    <row r="624" spans="1:13" s="19" customFormat="1" ht="21" customHeight="1" x14ac:dyDescent="0.4">
      <c r="A624" s="204"/>
      <c r="B624" s="205"/>
      <c r="C624" s="206"/>
      <c r="D624" s="207" t="s">
        <v>864</v>
      </c>
      <c r="E624" s="208"/>
      <c r="F624" s="64">
        <v>1306</v>
      </c>
      <c r="G624" s="63">
        <v>1258</v>
      </c>
      <c r="H624" s="64">
        <f>+F624*G624</f>
        <v>1642948</v>
      </c>
      <c r="I624" s="65"/>
      <c r="J624" s="62"/>
      <c r="K624" s="62"/>
      <c r="L624" s="146"/>
      <c r="M624" s="32"/>
    </row>
    <row r="625" spans="1:13" ht="18.75" customHeight="1" x14ac:dyDescent="0.4">
      <c r="A625" s="377"/>
      <c r="B625" s="123" t="s">
        <v>163</v>
      </c>
      <c r="C625" s="138"/>
      <c r="D625" s="97"/>
      <c r="E625" s="123"/>
      <c r="F625" s="138"/>
      <c r="G625" s="138"/>
      <c r="H625" s="138">
        <f>SUM(H615,H623,H624)</f>
        <v>140168876</v>
      </c>
      <c r="I625" s="123"/>
      <c r="J625" s="123"/>
      <c r="K625" s="123"/>
      <c r="L625" s="123"/>
    </row>
    <row r="626" spans="1:13" ht="18.75" customHeight="1" x14ac:dyDescent="0.4">
      <c r="A626" s="4">
        <v>46058</v>
      </c>
      <c r="B626" s="8" t="s">
        <v>395</v>
      </c>
      <c r="C626" s="49" t="s">
        <v>1032</v>
      </c>
      <c r="D626" s="59" t="s">
        <v>1033</v>
      </c>
      <c r="E626" s="67"/>
      <c r="F626" s="81">
        <v>27</v>
      </c>
      <c r="G626" s="49">
        <f>J626*L626</f>
        <v>2300878.4740999998</v>
      </c>
      <c r="H626" s="36">
        <f>F626*G626</f>
        <v>62123718.800699994</v>
      </c>
      <c r="I626" s="67" t="s">
        <v>1055</v>
      </c>
      <c r="J626" s="67">
        <v>246661</v>
      </c>
      <c r="K626" s="67" t="s">
        <v>1055</v>
      </c>
      <c r="L626" s="67">
        <v>9.3280999999999992</v>
      </c>
    </row>
    <row r="627" spans="1:13" ht="18.75" customHeight="1" x14ac:dyDescent="0.4">
      <c r="A627" s="4">
        <v>46077</v>
      </c>
      <c r="B627" s="8" t="s">
        <v>395</v>
      </c>
      <c r="C627" s="49" t="s">
        <v>1032</v>
      </c>
      <c r="D627" s="59" t="s">
        <v>1033</v>
      </c>
      <c r="E627" s="67"/>
      <c r="F627" s="81">
        <v>27</v>
      </c>
      <c r="G627" s="49">
        <f>J627*L627</f>
        <v>2288175.4325999999</v>
      </c>
      <c r="H627" s="36">
        <f>F627*G627</f>
        <v>61780736.680199996</v>
      </c>
      <c r="I627" s="67" t="s">
        <v>1056</v>
      </c>
      <c r="J627" s="67">
        <v>246661</v>
      </c>
      <c r="K627" s="67" t="s">
        <v>1056</v>
      </c>
      <c r="L627" s="67">
        <v>9.2766000000000002</v>
      </c>
    </row>
    <row r="628" spans="1:13" ht="18.75" customHeight="1" x14ac:dyDescent="0.4">
      <c r="A628" s="377"/>
      <c r="B628" s="123"/>
      <c r="C628" s="138"/>
      <c r="D628" s="97"/>
      <c r="E628" s="123"/>
      <c r="F628" s="380"/>
      <c r="G628" s="138"/>
      <c r="H628" s="138">
        <f>SUM(H626:H627)-1</f>
        <v>123904454.48089999</v>
      </c>
      <c r="I628" s="123"/>
      <c r="J628" s="123"/>
      <c r="K628" s="123"/>
      <c r="L628" s="123"/>
    </row>
    <row r="629" spans="1:13" s="14" customFormat="1" ht="21" customHeight="1" x14ac:dyDescent="0.4">
      <c r="A629" s="15">
        <v>46053</v>
      </c>
      <c r="B629" s="7" t="s">
        <v>164</v>
      </c>
      <c r="C629" s="60" t="s">
        <v>165</v>
      </c>
      <c r="D629" s="71" t="s">
        <v>510</v>
      </c>
      <c r="E629" s="7" t="s">
        <v>13</v>
      </c>
      <c r="F629" s="7">
        <v>2</v>
      </c>
      <c r="G629" s="17">
        <v>3720000</v>
      </c>
      <c r="H629" s="36">
        <f>F629*G629</f>
        <v>7440000</v>
      </c>
      <c r="I629" s="142"/>
      <c r="J629" s="72"/>
      <c r="K629" s="72"/>
      <c r="L629" s="116"/>
      <c r="M629" s="19"/>
    </row>
    <row r="630" spans="1:13" s="19" customFormat="1" ht="21" customHeight="1" x14ac:dyDescent="0.4">
      <c r="A630" s="15">
        <v>46053</v>
      </c>
      <c r="B630" s="7" t="s">
        <v>164</v>
      </c>
      <c r="C630" s="6" t="s">
        <v>170</v>
      </c>
      <c r="D630" s="42" t="s">
        <v>511</v>
      </c>
      <c r="E630" s="1" t="s">
        <v>13</v>
      </c>
      <c r="F630" s="92">
        <v>3</v>
      </c>
      <c r="G630" s="8">
        <v>1300000</v>
      </c>
      <c r="H630" s="36">
        <f>F630*G630</f>
        <v>3900000</v>
      </c>
      <c r="I630" s="142"/>
      <c r="J630" s="43"/>
      <c r="K630" s="81"/>
      <c r="L630" s="73"/>
      <c r="M630" s="19" t="s">
        <v>494</v>
      </c>
    </row>
    <row r="631" spans="1:13" s="19" customFormat="1" ht="21.75" customHeight="1" x14ac:dyDescent="0.4">
      <c r="A631" s="15">
        <v>46053</v>
      </c>
      <c r="B631" s="7" t="s">
        <v>164</v>
      </c>
      <c r="C631" s="6" t="s">
        <v>512</v>
      </c>
      <c r="D631" s="42" t="s">
        <v>551</v>
      </c>
      <c r="E631" s="1" t="s">
        <v>13</v>
      </c>
      <c r="F631" s="92">
        <v>7</v>
      </c>
      <c r="G631" s="8">
        <v>1270000</v>
      </c>
      <c r="H631" s="8">
        <f>F631*G631</f>
        <v>8890000</v>
      </c>
      <c r="I631" s="142"/>
      <c r="J631" s="43"/>
      <c r="K631" s="81"/>
      <c r="L631" s="73"/>
    </row>
    <row r="632" spans="1:13" s="19" customFormat="1" ht="21" customHeight="1" x14ac:dyDescent="0.4">
      <c r="A632" s="15">
        <v>46053</v>
      </c>
      <c r="B632" s="7" t="s">
        <v>164</v>
      </c>
      <c r="C632" s="6" t="s">
        <v>168</v>
      </c>
      <c r="D632" s="42" t="s">
        <v>169</v>
      </c>
      <c r="E632" s="1" t="s">
        <v>13</v>
      </c>
      <c r="F632" s="92">
        <v>1</v>
      </c>
      <c r="G632" s="8">
        <v>420000</v>
      </c>
      <c r="H632" s="17">
        <f>F632*G632</f>
        <v>420000</v>
      </c>
      <c r="I632" s="142"/>
      <c r="J632" s="43"/>
      <c r="K632" s="81"/>
      <c r="L632" s="73"/>
    </row>
    <row r="633" spans="1:13" s="14" customFormat="1" ht="18.75" customHeight="1" x14ac:dyDescent="0.4">
      <c r="A633" s="15">
        <v>46059</v>
      </c>
      <c r="B633" s="7" t="s">
        <v>164</v>
      </c>
      <c r="C633" s="60" t="s">
        <v>165</v>
      </c>
      <c r="D633" s="71" t="s">
        <v>510</v>
      </c>
      <c r="E633" s="7" t="s">
        <v>13</v>
      </c>
      <c r="F633" s="7">
        <v>3</v>
      </c>
      <c r="G633" s="17">
        <v>3720000</v>
      </c>
      <c r="H633" s="36">
        <f t="shared" ref="H633:H638" si="20">F633*G633</f>
        <v>11160000</v>
      </c>
      <c r="I633" s="142"/>
      <c r="J633" s="72"/>
      <c r="K633" s="72"/>
      <c r="L633" s="116"/>
      <c r="M633" s="19"/>
    </row>
    <row r="634" spans="1:13" s="19" customFormat="1" ht="18.75" customHeight="1" x14ac:dyDescent="0.4">
      <c r="A634" s="15">
        <v>46059</v>
      </c>
      <c r="B634" s="7" t="s">
        <v>164</v>
      </c>
      <c r="C634" s="6" t="s">
        <v>170</v>
      </c>
      <c r="D634" s="42" t="s">
        <v>511</v>
      </c>
      <c r="E634" s="1" t="s">
        <v>13</v>
      </c>
      <c r="F634" s="36">
        <v>2</v>
      </c>
      <c r="G634" s="8">
        <v>1300000</v>
      </c>
      <c r="H634" s="36">
        <f t="shared" si="20"/>
        <v>2600000</v>
      </c>
      <c r="I634" s="137"/>
      <c r="J634" s="43"/>
      <c r="K634" s="81"/>
      <c r="L634" s="405"/>
      <c r="M634" s="19" t="s">
        <v>494</v>
      </c>
    </row>
    <row r="635" spans="1:13" s="19" customFormat="1" ht="18.75" customHeight="1" x14ac:dyDescent="0.4">
      <c r="A635" s="15">
        <v>46059</v>
      </c>
      <c r="B635" s="7" t="s">
        <v>164</v>
      </c>
      <c r="C635" s="6" t="s">
        <v>277</v>
      </c>
      <c r="D635" s="42" t="s">
        <v>278</v>
      </c>
      <c r="E635" s="1" t="s">
        <v>13</v>
      </c>
      <c r="F635" s="36">
        <v>9</v>
      </c>
      <c r="G635" s="8">
        <v>240000</v>
      </c>
      <c r="H635" s="36">
        <f t="shared" si="20"/>
        <v>2160000</v>
      </c>
      <c r="I635" s="137"/>
      <c r="J635" s="43"/>
      <c r="K635" s="81"/>
      <c r="L635" s="405"/>
    </row>
    <row r="636" spans="1:13" s="14" customFormat="1" ht="18.75" customHeight="1" x14ac:dyDescent="0.4">
      <c r="A636" s="15">
        <v>46076</v>
      </c>
      <c r="B636" s="7" t="s">
        <v>164</v>
      </c>
      <c r="C636" s="60" t="s">
        <v>165</v>
      </c>
      <c r="D636" s="71" t="s">
        <v>510</v>
      </c>
      <c r="E636" s="7" t="s">
        <v>13</v>
      </c>
      <c r="F636" s="7">
        <v>2</v>
      </c>
      <c r="G636" s="17">
        <v>3720000</v>
      </c>
      <c r="H636" s="36">
        <f t="shared" si="20"/>
        <v>7440000</v>
      </c>
      <c r="I636" s="142"/>
      <c r="J636" s="72"/>
      <c r="K636" s="72"/>
      <c r="L636" s="116"/>
      <c r="M636" s="19"/>
    </row>
    <row r="637" spans="1:13" s="19" customFormat="1" ht="18.75" customHeight="1" x14ac:dyDescent="0.4">
      <c r="A637" s="15">
        <v>46076</v>
      </c>
      <c r="B637" s="7" t="s">
        <v>164</v>
      </c>
      <c r="C637" s="6" t="s">
        <v>170</v>
      </c>
      <c r="D637" s="42" t="s">
        <v>511</v>
      </c>
      <c r="E637" s="1" t="s">
        <v>13</v>
      </c>
      <c r="F637" s="36">
        <v>4</v>
      </c>
      <c r="G637" s="8">
        <v>1300000</v>
      </c>
      <c r="H637" s="36">
        <f t="shared" si="20"/>
        <v>5200000</v>
      </c>
      <c r="I637" s="137"/>
      <c r="J637" s="43"/>
      <c r="K637" s="81"/>
      <c r="L637" s="405"/>
      <c r="M637" s="19" t="s">
        <v>494</v>
      </c>
    </row>
    <row r="638" spans="1:13" s="19" customFormat="1" ht="21" customHeight="1" x14ac:dyDescent="0.4">
      <c r="A638" s="15">
        <v>46080</v>
      </c>
      <c r="B638" s="7" t="s">
        <v>164</v>
      </c>
      <c r="C638" s="6" t="s">
        <v>170</v>
      </c>
      <c r="D638" s="42" t="s">
        <v>511</v>
      </c>
      <c r="E638" s="1" t="s">
        <v>13</v>
      </c>
      <c r="F638" s="92">
        <v>-1</v>
      </c>
      <c r="G638" s="8">
        <v>1300000</v>
      </c>
      <c r="H638" s="36">
        <f t="shared" si="20"/>
        <v>-1300000</v>
      </c>
      <c r="I638" s="137"/>
      <c r="J638" s="43"/>
      <c r="K638" s="81"/>
      <c r="L638" s="73"/>
      <c r="M638" s="19" t="s">
        <v>494</v>
      </c>
    </row>
    <row r="639" spans="1:13" s="19" customFormat="1" ht="18" customHeight="1" x14ac:dyDescent="0.4">
      <c r="A639" s="15">
        <v>46081</v>
      </c>
      <c r="B639" s="7" t="s">
        <v>164</v>
      </c>
      <c r="C639" s="6" t="s">
        <v>170</v>
      </c>
      <c r="D639" s="42" t="s">
        <v>511</v>
      </c>
      <c r="E639" s="1" t="s">
        <v>13</v>
      </c>
      <c r="F639" s="36">
        <v>4</v>
      </c>
      <c r="G639" s="8">
        <v>1300000</v>
      </c>
      <c r="H639" s="36">
        <f>F639*G639</f>
        <v>5200000</v>
      </c>
      <c r="I639" s="137" t="s">
        <v>1042</v>
      </c>
      <c r="J639" s="43"/>
      <c r="K639" s="81"/>
      <c r="L639" s="73"/>
      <c r="M639" s="19" t="s">
        <v>494</v>
      </c>
    </row>
    <row r="640" spans="1:13" s="14" customFormat="1" ht="18" customHeight="1" x14ac:dyDescent="0.4">
      <c r="A640" s="15">
        <v>46081</v>
      </c>
      <c r="B640" s="7" t="s">
        <v>164</v>
      </c>
      <c r="C640" s="60" t="s">
        <v>165</v>
      </c>
      <c r="D640" s="71" t="s">
        <v>510</v>
      </c>
      <c r="E640" s="7" t="s">
        <v>13</v>
      </c>
      <c r="F640" s="7">
        <v>3</v>
      </c>
      <c r="G640" s="17">
        <v>3720000</v>
      </c>
      <c r="H640" s="36">
        <f>F640*G640</f>
        <v>11160000</v>
      </c>
      <c r="I640" s="137" t="s">
        <v>1042</v>
      </c>
      <c r="J640" s="72"/>
      <c r="K640" s="72"/>
      <c r="L640" s="116"/>
      <c r="M640" s="19"/>
    </row>
    <row r="641" spans="1:13" s="19" customFormat="1" ht="21" customHeight="1" x14ac:dyDescent="0.4">
      <c r="A641" s="15">
        <v>46081</v>
      </c>
      <c r="B641" s="7" t="s">
        <v>164</v>
      </c>
      <c r="C641" s="6" t="s">
        <v>166</v>
      </c>
      <c r="D641" s="42" t="s">
        <v>167</v>
      </c>
      <c r="E641" s="1" t="s">
        <v>13</v>
      </c>
      <c r="F641" s="92">
        <v>5</v>
      </c>
      <c r="G641" s="8">
        <v>650000</v>
      </c>
      <c r="H641" s="36">
        <f>F641*G641</f>
        <v>3250000</v>
      </c>
      <c r="I641" s="137" t="s">
        <v>1042</v>
      </c>
      <c r="J641" s="43"/>
      <c r="K641" s="81"/>
      <c r="L641" s="73"/>
    </row>
    <row r="642" spans="1:13" s="19" customFormat="1" ht="21" customHeight="1" x14ac:dyDescent="0.4">
      <c r="A642" s="15">
        <v>46081</v>
      </c>
      <c r="B642" s="7" t="s">
        <v>164</v>
      </c>
      <c r="C642" s="6" t="s">
        <v>168</v>
      </c>
      <c r="D642" s="42" t="s">
        <v>169</v>
      </c>
      <c r="E642" s="1" t="s">
        <v>13</v>
      </c>
      <c r="F642" s="92">
        <v>3</v>
      </c>
      <c r="G642" s="8">
        <v>420000</v>
      </c>
      <c r="H642" s="17">
        <f>F642*G642</f>
        <v>1260000</v>
      </c>
      <c r="I642" s="137" t="s">
        <v>1042</v>
      </c>
      <c r="J642" s="43"/>
      <c r="K642" s="81"/>
      <c r="L642" s="73"/>
    </row>
    <row r="643" spans="1:13" ht="18.75" customHeight="1" x14ac:dyDescent="0.4">
      <c r="A643" s="377"/>
      <c r="B643" s="123"/>
      <c r="C643" s="138"/>
      <c r="D643" s="97"/>
      <c r="E643" s="123"/>
      <c r="F643" s="380"/>
      <c r="G643" s="138"/>
      <c r="H643" s="138">
        <f>SUM(H629:H638)</f>
        <v>47910000</v>
      </c>
      <c r="I643" s="123"/>
      <c r="J643" s="123"/>
      <c r="K643" s="123"/>
      <c r="L643" s="123"/>
    </row>
    <row r="644" spans="1:13" s="19" customFormat="1" ht="21" customHeight="1" x14ac:dyDescent="0.4">
      <c r="A644" s="4">
        <v>46043</v>
      </c>
      <c r="B644" s="8" t="s">
        <v>483</v>
      </c>
      <c r="C644" s="6" t="s">
        <v>489</v>
      </c>
      <c r="D644" s="69" t="s">
        <v>490</v>
      </c>
      <c r="E644" s="8" t="s">
        <v>13</v>
      </c>
      <c r="F644" s="8">
        <v>1</v>
      </c>
      <c r="G644" s="36">
        <v>9379400</v>
      </c>
      <c r="H644" s="36">
        <f t="shared" ref="H644:H651" si="21">F644*G644</f>
        <v>9379400</v>
      </c>
      <c r="I644" s="150" t="s">
        <v>1060</v>
      </c>
      <c r="J644" s="70"/>
      <c r="K644" s="70"/>
      <c r="L644" s="116"/>
      <c r="M644" s="31"/>
    </row>
    <row r="645" spans="1:13" s="19" customFormat="1" ht="21" customHeight="1" x14ac:dyDescent="0.4">
      <c r="A645" s="4">
        <v>46049</v>
      </c>
      <c r="B645" s="8" t="s">
        <v>483</v>
      </c>
      <c r="C645" s="6" t="s">
        <v>487</v>
      </c>
      <c r="D645" s="69" t="s">
        <v>832</v>
      </c>
      <c r="E645" s="8" t="s">
        <v>343</v>
      </c>
      <c r="F645" s="8">
        <v>2</v>
      </c>
      <c r="G645" s="36">
        <v>1233600</v>
      </c>
      <c r="H645" s="36">
        <f t="shared" si="21"/>
        <v>2467200</v>
      </c>
      <c r="I645" s="150" t="s">
        <v>1060</v>
      </c>
      <c r="J645" s="70"/>
      <c r="K645" s="70"/>
      <c r="L645" s="116"/>
      <c r="M645" s="31"/>
    </row>
    <row r="646" spans="1:13" s="19" customFormat="1" ht="18.75" customHeight="1" x14ac:dyDescent="0.4">
      <c r="A646" s="4">
        <v>46063</v>
      </c>
      <c r="B646" s="7" t="s">
        <v>483</v>
      </c>
      <c r="C646" s="60" t="s">
        <v>486</v>
      </c>
      <c r="D646" s="71" t="s">
        <v>513</v>
      </c>
      <c r="E646" s="7"/>
      <c r="F646" s="7">
        <v>1</v>
      </c>
      <c r="G646" s="17">
        <v>9741800</v>
      </c>
      <c r="H646" s="17">
        <f t="shared" si="21"/>
        <v>9741800</v>
      </c>
      <c r="I646" s="150" t="s">
        <v>1058</v>
      </c>
      <c r="J646" s="70"/>
      <c r="K646" s="29"/>
      <c r="L646" s="433"/>
    </row>
    <row r="647" spans="1:13" s="19" customFormat="1" ht="18.75" customHeight="1" x14ac:dyDescent="0.4">
      <c r="A647" s="4">
        <v>46081</v>
      </c>
      <c r="B647" s="7" t="s">
        <v>483</v>
      </c>
      <c r="C647" s="6" t="s">
        <v>489</v>
      </c>
      <c r="D647" s="69" t="s">
        <v>490</v>
      </c>
      <c r="E647" s="8" t="s">
        <v>13</v>
      </c>
      <c r="F647" s="8">
        <v>1</v>
      </c>
      <c r="G647" s="17">
        <v>-9679540</v>
      </c>
      <c r="H647" s="17">
        <f t="shared" si="21"/>
        <v>-9679540</v>
      </c>
      <c r="I647" s="150" t="s">
        <v>1061</v>
      </c>
      <c r="J647" s="70"/>
      <c r="K647" s="29"/>
      <c r="L647" s="433"/>
    </row>
    <row r="648" spans="1:13" s="14" customFormat="1" ht="21" customHeight="1" x14ac:dyDescent="0.4">
      <c r="A648" s="15">
        <v>45960</v>
      </c>
      <c r="B648" s="165" t="s">
        <v>483</v>
      </c>
      <c r="C648" s="173" t="s">
        <v>484</v>
      </c>
      <c r="D648" s="174" t="s">
        <v>485</v>
      </c>
      <c r="E648" s="165" t="s">
        <v>13</v>
      </c>
      <c r="F648" s="165">
        <v>3</v>
      </c>
      <c r="G648" s="156">
        <v>1123200</v>
      </c>
      <c r="H648" s="175">
        <f t="shared" si="21"/>
        <v>3369600</v>
      </c>
      <c r="I648" s="150" t="s">
        <v>1040</v>
      </c>
      <c r="J648" s="177"/>
      <c r="K648" s="177"/>
      <c r="L648" s="73"/>
      <c r="M648" s="19"/>
    </row>
    <row r="649" spans="1:13" s="19" customFormat="1" ht="21" customHeight="1" x14ac:dyDescent="0.4">
      <c r="A649" s="4">
        <v>45967</v>
      </c>
      <c r="B649" s="8" t="s">
        <v>483</v>
      </c>
      <c r="C649" s="6" t="s">
        <v>487</v>
      </c>
      <c r="D649" s="69" t="s">
        <v>488</v>
      </c>
      <c r="E649" s="8" t="s">
        <v>13</v>
      </c>
      <c r="F649" s="8">
        <v>1</v>
      </c>
      <c r="G649" s="36">
        <v>1233600</v>
      </c>
      <c r="H649" s="17">
        <f t="shared" si="21"/>
        <v>1233600</v>
      </c>
      <c r="I649" s="150" t="s">
        <v>1040</v>
      </c>
      <c r="J649" s="70"/>
      <c r="K649" s="70"/>
      <c r="L649" s="121"/>
      <c r="M649" s="31"/>
    </row>
    <row r="650" spans="1:13" s="19" customFormat="1" ht="18.75" customHeight="1" x14ac:dyDescent="0.4">
      <c r="A650" s="4">
        <v>46064</v>
      </c>
      <c r="B650" s="8" t="s">
        <v>483</v>
      </c>
      <c r="C650" s="6" t="s">
        <v>489</v>
      </c>
      <c r="D650" s="69" t="s">
        <v>1034</v>
      </c>
      <c r="E650" s="8" t="s">
        <v>13</v>
      </c>
      <c r="F650" s="8">
        <v>1</v>
      </c>
      <c r="G650" s="36">
        <v>9379400</v>
      </c>
      <c r="H650" s="36">
        <f t="shared" si="21"/>
        <v>9379400</v>
      </c>
      <c r="I650" s="150" t="s">
        <v>1040</v>
      </c>
      <c r="J650" s="70"/>
      <c r="K650" s="29"/>
      <c r="L650" s="433"/>
    </row>
    <row r="651" spans="1:13" s="19" customFormat="1" ht="18.75" customHeight="1" x14ac:dyDescent="0.4">
      <c r="A651" s="4">
        <v>46081</v>
      </c>
      <c r="B651" s="7" t="s">
        <v>483</v>
      </c>
      <c r="C651" s="60" t="s">
        <v>486</v>
      </c>
      <c r="D651" s="71" t="s">
        <v>513</v>
      </c>
      <c r="E651" s="7"/>
      <c r="F651" s="7">
        <v>1</v>
      </c>
      <c r="G651" s="17">
        <v>9741800</v>
      </c>
      <c r="H651" s="17">
        <f t="shared" si="21"/>
        <v>9741800</v>
      </c>
      <c r="I651" s="150" t="s">
        <v>1040</v>
      </c>
      <c r="J651" s="70"/>
      <c r="K651" s="29"/>
      <c r="L651" s="433"/>
    </row>
    <row r="652" spans="1:13" s="19" customFormat="1" ht="18.75" customHeight="1" x14ac:dyDescent="0.4">
      <c r="A652" s="37"/>
      <c r="B652" s="39"/>
      <c r="C652" s="88"/>
      <c r="D652" s="434"/>
      <c r="E652" s="39"/>
      <c r="F652" s="39"/>
      <c r="G652" s="98"/>
      <c r="H652" s="98">
        <f>SUM(H644:H647)</f>
        <v>11908860</v>
      </c>
      <c r="I652" s="435"/>
      <c r="J652" s="436"/>
      <c r="K652" s="40"/>
      <c r="L652" s="437"/>
    </row>
    <row r="653" spans="1:13" ht="18.75" customHeight="1" x14ac:dyDescent="0.4">
      <c r="A653" s="383"/>
      <c r="B653" s="384"/>
      <c r="C653" s="385"/>
      <c r="D653" s="386"/>
      <c r="E653" s="385"/>
      <c r="F653" s="387"/>
      <c r="G653" s="388"/>
      <c r="H653" s="389">
        <f>SUM(H7,H17,H31,H67,H77,H88,H119,H122,H320,H373,H395,H461,H464,H469,H587,H589,H592,H625,H628,H643,H652)-1</f>
        <v>2490178670.9328399</v>
      </c>
      <c r="I653" s="388"/>
      <c r="J653" s="390"/>
      <c r="K653" s="390"/>
      <c r="L653" s="391"/>
    </row>
    <row r="654" spans="1:13" ht="18.75" customHeight="1" x14ac:dyDescent="0.4">
      <c r="G654" s="439"/>
      <c r="H654" s="439"/>
    </row>
    <row r="655" spans="1:13" ht="18.75" customHeight="1" x14ac:dyDescent="0.4">
      <c r="G655" s="440"/>
      <c r="H655" s="439"/>
    </row>
    <row r="656" spans="1:13" ht="18.75" customHeight="1" x14ac:dyDescent="0.4">
      <c r="G656" s="440"/>
      <c r="H656" s="439"/>
    </row>
    <row r="657" spans="4:8" ht="18.75" customHeight="1" x14ac:dyDescent="0.4">
      <c r="G657" s="440"/>
      <c r="H657" s="439"/>
    </row>
    <row r="658" spans="4:8" ht="18.75" customHeight="1" x14ac:dyDescent="0.4">
      <c r="D658" s="439"/>
      <c r="G658" s="440"/>
      <c r="H658" s="439"/>
    </row>
    <row r="659" spans="4:8" ht="18.75" customHeight="1" x14ac:dyDescent="0.4">
      <c r="D659" s="439"/>
      <c r="G659" s="440"/>
      <c r="H659" s="439"/>
    </row>
    <row r="660" spans="4:8" ht="18.75" customHeight="1" x14ac:dyDescent="0.4">
      <c r="D660" s="439"/>
      <c r="G660" s="440"/>
      <c r="H660" s="439"/>
    </row>
    <row r="661" spans="4:8" ht="18.75" customHeight="1" x14ac:dyDescent="0.4">
      <c r="G661" s="440"/>
      <c r="H661" s="439"/>
    </row>
    <row r="662" spans="4:8" ht="18.75" customHeight="1" x14ac:dyDescent="0.4">
      <c r="G662" s="440"/>
      <c r="H662" s="439"/>
    </row>
    <row r="663" spans="4:8" ht="18.75" customHeight="1" x14ac:dyDescent="0.4">
      <c r="G663" s="440"/>
      <c r="H663" s="439"/>
    </row>
    <row r="664" spans="4:8" ht="18.75" customHeight="1" x14ac:dyDescent="0.4">
      <c r="G664" s="440"/>
      <c r="H664" s="439"/>
    </row>
  </sheetData>
  <autoFilter ref="A1:M664" xr:uid="{023E2B20-B8AC-4F5C-B742-95373340AF18}"/>
  <sortState ref="A552:M586">
    <sortCondition ref="K552:K586"/>
  </sortState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DDD1-3B51-41B4-A544-924CE618D2AC}">
  <dimension ref="A1:O1058"/>
  <sheetViews>
    <sheetView workbookViewId="0">
      <pane ySplit="1" topLeftCell="A2" activePane="bottomLeft" state="frozen"/>
      <selection pane="bottomLeft" activeCell="F15" activeCellId="1" sqref="F7:F11 F15"/>
    </sheetView>
  </sheetViews>
  <sheetFormatPr defaultColWidth="9" defaultRowHeight="13.2" x14ac:dyDescent="0.4"/>
  <cols>
    <col min="1" max="1" width="9.69921875" style="505" bestFit="1" customWidth="1"/>
    <col min="2" max="2" width="16.8984375" style="50" customWidth="1"/>
    <col min="3" max="3" width="40" style="439" bestFit="1" customWidth="1"/>
    <col min="4" max="4" width="26.59765625" style="50" customWidth="1"/>
    <col min="5" max="5" width="8.09765625" style="50" customWidth="1"/>
    <col min="6" max="6" width="8.09765625" style="439" customWidth="1"/>
    <col min="7" max="7" width="15.3984375" style="439" customWidth="1"/>
    <col min="8" max="8" width="19" style="50" customWidth="1"/>
    <col min="9" max="9" width="39.3984375" style="50" customWidth="1"/>
    <col min="10" max="10" width="11.5" style="50" bestFit="1" customWidth="1"/>
    <col min="11" max="11" width="11.69921875" style="50" customWidth="1"/>
    <col min="12" max="12" width="19.8984375" style="50" customWidth="1"/>
    <col min="13" max="13" width="10.5" style="50" bestFit="1" customWidth="1"/>
    <col min="14" max="14" width="11.5" style="50" bestFit="1" customWidth="1"/>
    <col min="15" max="16384" width="9" style="50"/>
  </cols>
  <sheetData>
    <row r="1" spans="1:13" ht="20.25" customHeight="1" x14ac:dyDescent="0.4">
      <c r="A1" s="481" t="s">
        <v>0</v>
      </c>
      <c r="B1" s="100" t="s">
        <v>1</v>
      </c>
      <c r="C1" s="101" t="s">
        <v>2</v>
      </c>
      <c r="D1" s="102" t="s">
        <v>3</v>
      </c>
      <c r="E1" s="102" t="s">
        <v>4</v>
      </c>
      <c r="F1" s="120" t="s">
        <v>5</v>
      </c>
      <c r="G1" s="87" t="s">
        <v>6</v>
      </c>
      <c r="H1" s="87" t="s">
        <v>7</v>
      </c>
      <c r="I1" s="136" t="s">
        <v>8</v>
      </c>
      <c r="J1" s="360"/>
      <c r="K1" s="87"/>
      <c r="L1" s="361" t="s">
        <v>9</v>
      </c>
    </row>
    <row r="2" spans="1:13" s="3" customFormat="1" ht="18.75" customHeight="1" x14ac:dyDescent="0.4">
      <c r="A2" s="118">
        <v>46080</v>
      </c>
      <c r="B2" s="103" t="s">
        <v>10</v>
      </c>
      <c r="C2" s="115" t="s">
        <v>14</v>
      </c>
      <c r="D2" s="42">
        <v>60817438</v>
      </c>
      <c r="E2" s="42" t="s">
        <v>13</v>
      </c>
      <c r="F2" s="117">
        <v>21</v>
      </c>
      <c r="G2" s="8">
        <v>620000</v>
      </c>
      <c r="H2" s="8">
        <f>F2*G2</f>
        <v>13020000</v>
      </c>
      <c r="I2" s="61"/>
      <c r="J2" s="70"/>
      <c r="K2" s="8"/>
      <c r="L2" s="116"/>
      <c r="M2" s="89"/>
    </row>
    <row r="3" spans="1:13" s="3" customFormat="1" ht="18.75" customHeight="1" x14ac:dyDescent="0.4">
      <c r="A3" s="118">
        <v>46080</v>
      </c>
      <c r="B3" s="103" t="s">
        <v>10</v>
      </c>
      <c r="C3" s="115" t="s">
        <v>15</v>
      </c>
      <c r="D3" s="42">
        <v>60817439</v>
      </c>
      <c r="E3" s="42" t="s">
        <v>13</v>
      </c>
      <c r="F3" s="117">
        <v>37</v>
      </c>
      <c r="G3" s="8">
        <v>500000</v>
      </c>
      <c r="H3" s="8">
        <f>F3*G3</f>
        <v>18500000</v>
      </c>
      <c r="I3" s="61"/>
      <c r="J3" s="70"/>
      <c r="K3" s="8"/>
      <c r="L3" s="116"/>
      <c r="M3" s="89"/>
    </row>
    <row r="4" spans="1:13" s="3" customFormat="1" ht="21" customHeight="1" x14ac:dyDescent="0.4">
      <c r="A4" s="4">
        <v>46052</v>
      </c>
      <c r="B4" s="5" t="s">
        <v>10</v>
      </c>
      <c r="C4" s="6" t="s">
        <v>171</v>
      </c>
      <c r="D4" s="1">
        <v>60623159</v>
      </c>
      <c r="E4" s="1" t="s">
        <v>11</v>
      </c>
      <c r="F4" s="8">
        <v>40</v>
      </c>
      <c r="G4" s="7">
        <v>563000</v>
      </c>
      <c r="H4" s="7">
        <f>F4*G4</f>
        <v>22520000</v>
      </c>
      <c r="I4" s="61" t="s">
        <v>1224</v>
      </c>
      <c r="J4" s="7"/>
      <c r="K4" s="7"/>
      <c r="L4" s="364"/>
      <c r="M4" s="89"/>
    </row>
    <row r="5" spans="1:13" s="3" customFormat="1" ht="18.75" customHeight="1" x14ac:dyDescent="0.4">
      <c r="A5" s="118">
        <v>46080</v>
      </c>
      <c r="B5" s="103" t="s">
        <v>10</v>
      </c>
      <c r="C5" s="115" t="s">
        <v>12</v>
      </c>
      <c r="D5" s="42">
        <v>60623160</v>
      </c>
      <c r="E5" s="42" t="s">
        <v>13</v>
      </c>
      <c r="F5" s="117">
        <v>30</v>
      </c>
      <c r="G5" s="8">
        <v>595000</v>
      </c>
      <c r="H5" s="8">
        <f>F5*G5</f>
        <v>17850000</v>
      </c>
      <c r="I5" s="61" t="s">
        <v>1224</v>
      </c>
      <c r="J5" s="70"/>
      <c r="K5" s="8"/>
      <c r="L5" s="116"/>
      <c r="M5" s="89"/>
    </row>
    <row r="6" spans="1:13" s="3" customFormat="1" ht="18.75" customHeight="1" x14ac:dyDescent="0.4">
      <c r="A6" s="193"/>
      <c r="B6" s="194"/>
      <c r="C6" s="40"/>
      <c r="D6" s="194"/>
      <c r="E6" s="194"/>
      <c r="F6" s="91"/>
      <c r="G6" s="138"/>
      <c r="H6" s="138">
        <f>SUM(H2:H3)</f>
        <v>31520000</v>
      </c>
      <c r="I6" s="138"/>
      <c r="J6" s="145"/>
      <c r="K6" s="145"/>
      <c r="L6" s="145"/>
      <c r="M6" s="89"/>
    </row>
    <row r="7" spans="1:13" s="3" customFormat="1" ht="21" customHeight="1" x14ac:dyDescent="0.4">
      <c r="A7" s="4">
        <v>46052</v>
      </c>
      <c r="B7" s="5" t="s">
        <v>16</v>
      </c>
      <c r="C7" s="6" t="s">
        <v>492</v>
      </c>
      <c r="D7" s="1" t="s">
        <v>493</v>
      </c>
      <c r="E7" s="1" t="s">
        <v>17</v>
      </c>
      <c r="F7" s="8">
        <v>135</v>
      </c>
      <c r="G7" s="7">
        <v>247392</v>
      </c>
      <c r="H7" s="7">
        <f>F7*G7</f>
        <v>33397920</v>
      </c>
      <c r="I7" s="457"/>
      <c r="J7" s="7"/>
      <c r="K7" s="7"/>
      <c r="L7" s="363"/>
      <c r="M7" s="89"/>
    </row>
    <row r="8" spans="1:13" s="3" customFormat="1" ht="18.75" customHeight="1" x14ac:dyDescent="0.4">
      <c r="A8" s="190">
        <v>46081</v>
      </c>
      <c r="B8" s="110" t="s">
        <v>16</v>
      </c>
      <c r="C8" s="29" t="s">
        <v>18</v>
      </c>
      <c r="D8" s="110" t="s">
        <v>836</v>
      </c>
      <c r="E8" s="110" t="s">
        <v>17</v>
      </c>
      <c r="F8" s="81">
        <f>27*5</f>
        <v>135</v>
      </c>
      <c r="G8" s="7">
        <v>247392</v>
      </c>
      <c r="H8" s="8">
        <f t="shared" ref="H8:H17" si="0">+G8*F8</f>
        <v>33397920</v>
      </c>
      <c r="I8" s="457"/>
      <c r="J8" s="144"/>
      <c r="K8" s="144"/>
      <c r="L8" s="140"/>
      <c r="M8" s="89"/>
    </row>
    <row r="9" spans="1:13" s="3" customFormat="1" ht="20.25" customHeight="1" x14ac:dyDescent="0.4">
      <c r="A9" s="482">
        <v>46090</v>
      </c>
      <c r="B9" s="110" t="s">
        <v>16</v>
      </c>
      <c r="C9" s="29" t="s">
        <v>18</v>
      </c>
      <c r="D9" s="110" t="s">
        <v>836</v>
      </c>
      <c r="E9" s="110" t="s">
        <v>17</v>
      </c>
      <c r="F9" s="81">
        <v>27</v>
      </c>
      <c r="G9" s="7">
        <v>247392</v>
      </c>
      <c r="H9" s="8">
        <f t="shared" si="0"/>
        <v>6679584</v>
      </c>
      <c r="I9" s="49"/>
      <c r="J9" s="144"/>
      <c r="K9" s="144"/>
      <c r="L9" s="140"/>
      <c r="M9" s="89"/>
    </row>
    <row r="10" spans="1:13" s="3" customFormat="1" ht="20.25" customHeight="1" x14ac:dyDescent="0.4">
      <c r="A10" s="482">
        <v>46101</v>
      </c>
      <c r="B10" s="110" t="s">
        <v>16</v>
      </c>
      <c r="C10" s="29" t="s">
        <v>18</v>
      </c>
      <c r="D10" s="110" t="s">
        <v>836</v>
      </c>
      <c r="E10" s="110" t="s">
        <v>17</v>
      </c>
      <c r="F10" s="81">
        <v>81</v>
      </c>
      <c r="G10" s="7">
        <v>247392</v>
      </c>
      <c r="H10" s="8">
        <f t="shared" si="0"/>
        <v>20038752</v>
      </c>
      <c r="I10" s="49"/>
      <c r="J10" s="144"/>
      <c r="K10" s="144"/>
      <c r="L10" s="140"/>
      <c r="M10" s="89"/>
    </row>
    <row r="11" spans="1:13" s="3" customFormat="1" ht="20.25" customHeight="1" x14ac:dyDescent="0.4">
      <c r="A11" s="482">
        <v>46101</v>
      </c>
      <c r="B11" s="110" t="s">
        <v>16</v>
      </c>
      <c r="C11" s="29" t="s">
        <v>18</v>
      </c>
      <c r="D11" s="110" t="s">
        <v>836</v>
      </c>
      <c r="E11" s="110" t="s">
        <v>17</v>
      </c>
      <c r="F11" s="81">
        <v>81</v>
      </c>
      <c r="G11" s="7">
        <v>247392</v>
      </c>
      <c r="H11" s="8">
        <f t="shared" si="0"/>
        <v>20038752</v>
      </c>
      <c r="I11" s="49"/>
      <c r="J11" s="144"/>
      <c r="K11" s="144"/>
      <c r="L11" s="140"/>
      <c r="M11" s="89"/>
    </row>
    <row r="12" spans="1:13" s="3" customFormat="1" ht="20.25" customHeight="1" x14ac:dyDescent="0.4">
      <c r="A12" s="482">
        <v>46112</v>
      </c>
      <c r="B12" s="110" t="s">
        <v>16</v>
      </c>
      <c r="C12" s="29" t="s">
        <v>20</v>
      </c>
      <c r="D12" s="110" t="s">
        <v>21</v>
      </c>
      <c r="E12" s="110"/>
      <c r="F12" s="81">
        <v>457</v>
      </c>
      <c r="G12" s="7">
        <v>7525</v>
      </c>
      <c r="H12" s="8">
        <f t="shared" si="0"/>
        <v>3438925</v>
      </c>
      <c r="I12" s="507" t="s">
        <v>1223</v>
      </c>
      <c r="J12" s="144"/>
      <c r="K12" s="144"/>
      <c r="L12" s="140"/>
      <c r="M12" s="89"/>
    </row>
    <row r="13" spans="1:13" s="3" customFormat="1" ht="20.25" customHeight="1" x14ac:dyDescent="0.4">
      <c r="A13" s="482">
        <v>46112</v>
      </c>
      <c r="B13" s="110" t="s">
        <v>16</v>
      </c>
      <c r="C13" s="29" t="s">
        <v>838</v>
      </c>
      <c r="D13" s="110" t="s">
        <v>837</v>
      </c>
      <c r="E13" s="110"/>
      <c r="F13" s="81">
        <v>8</v>
      </c>
      <c r="G13" s="7">
        <v>10294</v>
      </c>
      <c r="H13" s="8">
        <f t="shared" si="0"/>
        <v>82352</v>
      </c>
      <c r="I13" s="507" t="s">
        <v>1223</v>
      </c>
      <c r="J13" s="144"/>
      <c r="K13" s="144"/>
      <c r="L13" s="140"/>
      <c r="M13" s="89"/>
    </row>
    <row r="14" spans="1:13" s="3" customFormat="1" ht="20.25" customHeight="1" x14ac:dyDescent="0.4">
      <c r="A14" s="482">
        <v>46112</v>
      </c>
      <c r="B14" s="110" t="s">
        <v>16</v>
      </c>
      <c r="C14" s="29" t="s">
        <v>22</v>
      </c>
      <c r="D14" s="110" t="s">
        <v>23</v>
      </c>
      <c r="E14" s="110"/>
      <c r="F14" s="81">
        <v>50</v>
      </c>
      <c r="G14" s="7">
        <v>11200</v>
      </c>
      <c r="H14" s="8">
        <f t="shared" si="0"/>
        <v>560000</v>
      </c>
      <c r="I14" s="507" t="s">
        <v>1223</v>
      </c>
      <c r="J14" s="144"/>
      <c r="K14" s="144"/>
      <c r="L14" s="140"/>
      <c r="M14" s="89"/>
    </row>
    <row r="15" spans="1:13" s="3" customFormat="1" ht="20.25" customHeight="1" x14ac:dyDescent="0.4">
      <c r="A15" s="482">
        <v>46112</v>
      </c>
      <c r="B15" s="110" t="s">
        <v>16</v>
      </c>
      <c r="C15" s="29" t="s">
        <v>20</v>
      </c>
      <c r="D15" s="110" t="s">
        <v>21</v>
      </c>
      <c r="E15" s="110"/>
      <c r="F15" s="81">
        <v>-19</v>
      </c>
      <c r="G15" s="7">
        <v>247392</v>
      </c>
      <c r="H15" s="8">
        <f t="shared" si="0"/>
        <v>-4700448</v>
      </c>
      <c r="I15" s="507"/>
      <c r="J15" s="144"/>
      <c r="K15" s="144"/>
      <c r="L15" s="140"/>
      <c r="M15" s="89"/>
    </row>
    <row r="16" spans="1:13" s="3" customFormat="1" ht="20.25" customHeight="1" x14ac:dyDescent="0.4">
      <c r="A16" s="482">
        <v>46112</v>
      </c>
      <c r="B16" s="110" t="s">
        <v>16</v>
      </c>
      <c r="C16" s="29" t="s">
        <v>22</v>
      </c>
      <c r="D16" s="110" t="s">
        <v>23</v>
      </c>
      <c r="E16" s="110"/>
      <c r="F16" s="81">
        <v>-2</v>
      </c>
      <c r="G16" s="7">
        <v>260709</v>
      </c>
      <c r="H16" s="8">
        <f t="shared" si="0"/>
        <v>-521418</v>
      </c>
      <c r="I16" s="507"/>
      <c r="J16" s="144"/>
      <c r="K16" s="144"/>
      <c r="L16" s="140"/>
      <c r="M16" s="89"/>
    </row>
    <row r="17" spans="1:13" s="3" customFormat="1" ht="20.25" customHeight="1" x14ac:dyDescent="0.4">
      <c r="A17" s="482">
        <v>46112</v>
      </c>
      <c r="B17" s="110" t="s">
        <v>16</v>
      </c>
      <c r="C17" s="29" t="s">
        <v>18</v>
      </c>
      <c r="D17" s="110" t="s">
        <v>836</v>
      </c>
      <c r="E17" s="110" t="s">
        <v>17</v>
      </c>
      <c r="F17" s="81">
        <v>135</v>
      </c>
      <c r="G17" s="7">
        <v>247392</v>
      </c>
      <c r="H17" s="8">
        <f t="shared" si="0"/>
        <v>33397920</v>
      </c>
      <c r="I17" s="49" t="s">
        <v>1224</v>
      </c>
      <c r="J17" s="144"/>
      <c r="K17" s="144"/>
      <c r="L17" s="140"/>
      <c r="M17" s="89"/>
    </row>
    <row r="18" spans="1:13" s="3" customFormat="1" ht="20.25" customHeight="1" x14ac:dyDescent="0.4">
      <c r="A18" s="483"/>
      <c r="B18" s="194"/>
      <c r="C18" s="40"/>
      <c r="D18" s="194"/>
      <c r="E18" s="194"/>
      <c r="F18" s="91"/>
      <c r="G18" s="138"/>
      <c r="H18" s="138">
        <f>SUM(H7:H16)</f>
        <v>112412339</v>
      </c>
      <c r="I18" s="138"/>
      <c r="J18" s="145"/>
      <c r="K18" s="145"/>
      <c r="L18" s="145"/>
      <c r="M18" s="89"/>
    </row>
    <row r="19" spans="1:13" s="3" customFormat="1" ht="18.75" customHeight="1" x14ac:dyDescent="0.4">
      <c r="A19" s="482">
        <v>46083</v>
      </c>
      <c r="B19" s="110" t="s">
        <v>24</v>
      </c>
      <c r="C19" s="29" t="s">
        <v>716</v>
      </c>
      <c r="D19" s="110" t="s">
        <v>865</v>
      </c>
      <c r="E19" s="110" t="s">
        <v>17</v>
      </c>
      <c r="F19" s="81">
        <v>-42</v>
      </c>
      <c r="G19" s="49">
        <v>122010</v>
      </c>
      <c r="H19" s="421">
        <f>F19*G19</f>
        <v>-5124420</v>
      </c>
      <c r="I19" s="49" t="s">
        <v>1040</v>
      </c>
      <c r="J19" s="144"/>
      <c r="K19" s="144"/>
      <c r="L19" s="144"/>
      <c r="M19" s="89"/>
    </row>
    <row r="20" spans="1:13" s="3" customFormat="1" ht="18.75" customHeight="1" x14ac:dyDescent="0.4">
      <c r="A20" s="482">
        <v>46084</v>
      </c>
      <c r="B20" s="110" t="s">
        <v>24</v>
      </c>
      <c r="C20" s="29" t="s">
        <v>716</v>
      </c>
      <c r="D20" s="110" t="s">
        <v>865</v>
      </c>
      <c r="E20" s="110" t="s">
        <v>17</v>
      </c>
      <c r="F20" s="81">
        <v>10</v>
      </c>
      <c r="G20" s="49">
        <v>122010</v>
      </c>
      <c r="H20" s="8"/>
      <c r="I20" s="49" t="s">
        <v>1037</v>
      </c>
      <c r="J20" s="144"/>
      <c r="K20" s="144"/>
      <c r="L20" s="144"/>
      <c r="M20" s="89"/>
    </row>
    <row r="21" spans="1:13" s="3" customFormat="1" ht="18.75" customHeight="1" x14ac:dyDescent="0.4">
      <c r="A21" s="482">
        <v>46086</v>
      </c>
      <c r="B21" s="110" t="s">
        <v>24</v>
      </c>
      <c r="C21" s="29" t="s">
        <v>716</v>
      </c>
      <c r="D21" s="110" t="s">
        <v>865</v>
      </c>
      <c r="E21" s="110" t="s">
        <v>17</v>
      </c>
      <c r="F21" s="81">
        <v>5</v>
      </c>
      <c r="G21" s="49">
        <v>122010</v>
      </c>
      <c r="H21" s="8"/>
      <c r="I21" s="49" t="s">
        <v>1037</v>
      </c>
      <c r="J21" s="144"/>
      <c r="K21" s="144"/>
      <c r="L21" s="144"/>
      <c r="M21" s="89"/>
    </row>
    <row r="22" spans="1:13" s="3" customFormat="1" ht="18.75" customHeight="1" x14ac:dyDescent="0.4">
      <c r="A22" s="482">
        <v>46094</v>
      </c>
      <c r="B22" s="110" t="s">
        <v>24</v>
      </c>
      <c r="C22" s="29" t="s">
        <v>716</v>
      </c>
      <c r="D22" s="110" t="s">
        <v>865</v>
      </c>
      <c r="E22" s="110" t="s">
        <v>17</v>
      </c>
      <c r="F22" s="81">
        <v>27</v>
      </c>
      <c r="G22" s="49">
        <v>122010</v>
      </c>
      <c r="H22" s="8"/>
      <c r="I22" s="49" t="s">
        <v>1062</v>
      </c>
      <c r="J22" s="144"/>
      <c r="K22" s="144"/>
      <c r="L22" s="144"/>
      <c r="M22" s="89"/>
    </row>
    <row r="23" spans="1:13" s="3" customFormat="1" ht="18.75" customHeight="1" x14ac:dyDescent="0.4">
      <c r="A23" s="482">
        <v>46104</v>
      </c>
      <c r="B23" s="110" t="s">
        <v>24</v>
      </c>
      <c r="C23" s="29" t="s">
        <v>716</v>
      </c>
      <c r="D23" s="110" t="s">
        <v>865</v>
      </c>
      <c r="E23" s="110" t="s">
        <v>17</v>
      </c>
      <c r="F23" s="81">
        <v>54</v>
      </c>
      <c r="G23" s="49">
        <v>122010</v>
      </c>
      <c r="H23" s="8">
        <f>+G23*F23</f>
        <v>6588540</v>
      </c>
      <c r="I23" s="49"/>
      <c r="J23" s="144"/>
      <c r="K23" s="144"/>
      <c r="L23" s="144"/>
      <c r="M23" s="89"/>
    </row>
    <row r="24" spans="1:13" s="3" customFormat="1" ht="18.75" customHeight="1" x14ac:dyDescent="0.4">
      <c r="A24" s="482">
        <v>46104</v>
      </c>
      <c r="B24" s="110" t="s">
        <v>24</v>
      </c>
      <c r="C24" s="29" t="s">
        <v>27</v>
      </c>
      <c r="D24" s="110" t="s">
        <v>28</v>
      </c>
      <c r="E24" s="110" t="s">
        <v>11</v>
      </c>
      <c r="F24" s="81">
        <v>-15</v>
      </c>
      <c r="G24" s="49">
        <v>9081</v>
      </c>
      <c r="H24" s="8">
        <f>+G24*F24</f>
        <v>-136215</v>
      </c>
      <c r="I24" s="49"/>
      <c r="J24" s="144"/>
      <c r="K24" s="144"/>
      <c r="L24" s="144"/>
      <c r="M24" s="89"/>
    </row>
    <row r="25" spans="1:13" s="456" customFormat="1" ht="18.75" customHeight="1" x14ac:dyDescent="0.4">
      <c r="A25" s="482">
        <v>46104</v>
      </c>
      <c r="B25" s="110" t="s">
        <v>24</v>
      </c>
      <c r="C25" s="29" t="s">
        <v>716</v>
      </c>
      <c r="D25" s="110" t="s">
        <v>865</v>
      </c>
      <c r="E25" s="110" t="s">
        <v>17</v>
      </c>
      <c r="F25" s="81">
        <v>-18</v>
      </c>
      <c r="G25" s="81">
        <v>122010</v>
      </c>
      <c r="H25" s="8">
        <f>+G25*F25</f>
        <v>-2196180</v>
      </c>
      <c r="I25" s="49"/>
      <c r="J25" s="454"/>
      <c r="K25" s="454"/>
      <c r="L25" s="454"/>
      <c r="M25" s="455"/>
    </row>
    <row r="26" spans="1:13" s="3" customFormat="1" ht="18.75" customHeight="1" x14ac:dyDescent="0.4">
      <c r="A26" s="482">
        <v>46104</v>
      </c>
      <c r="B26" s="110" t="s">
        <v>24</v>
      </c>
      <c r="C26" s="29" t="s">
        <v>25</v>
      </c>
      <c r="D26" s="110" t="s">
        <v>26</v>
      </c>
      <c r="E26" s="110" t="s">
        <v>17</v>
      </c>
      <c r="F26" s="81">
        <v>-3</v>
      </c>
      <c r="G26" s="49">
        <v>122010</v>
      </c>
      <c r="H26" s="8">
        <f>+G26*F26</f>
        <v>-366030</v>
      </c>
      <c r="I26" s="49"/>
      <c r="J26" s="144"/>
      <c r="K26" s="144"/>
      <c r="L26" s="144"/>
      <c r="M26" s="89"/>
    </row>
    <row r="27" spans="1:13" s="3" customFormat="1" ht="18.75" customHeight="1" x14ac:dyDescent="0.4">
      <c r="A27" s="482">
        <v>46104</v>
      </c>
      <c r="B27" s="110" t="s">
        <v>24</v>
      </c>
      <c r="C27" s="29" t="s">
        <v>25</v>
      </c>
      <c r="D27" s="110" t="s">
        <v>26</v>
      </c>
      <c r="E27" s="110" t="s">
        <v>17</v>
      </c>
      <c r="F27" s="81">
        <v>-13</v>
      </c>
      <c r="G27" s="49">
        <v>122010</v>
      </c>
      <c r="H27" s="8">
        <f>+G27*F27</f>
        <v>-1586130</v>
      </c>
      <c r="I27" s="49"/>
      <c r="J27" s="144"/>
      <c r="K27" s="144"/>
      <c r="L27" s="144"/>
      <c r="M27" s="89"/>
    </row>
    <row r="28" spans="1:13" s="3" customFormat="1" ht="20.25" customHeight="1" x14ac:dyDescent="0.4">
      <c r="A28" s="483"/>
      <c r="B28" s="194"/>
      <c r="C28" s="40"/>
      <c r="D28" s="194"/>
      <c r="E28" s="194"/>
      <c r="F28" s="91">
        <f>SUM(F20:F23)</f>
        <v>96</v>
      </c>
      <c r="G28" s="138"/>
      <c r="H28" s="138">
        <f>SUM(H23:H27)</f>
        <v>2303985</v>
      </c>
      <c r="I28" s="138"/>
      <c r="J28" s="145"/>
      <c r="K28" s="145"/>
      <c r="L28" s="145"/>
      <c r="M28" s="89"/>
    </row>
    <row r="29" spans="1:13" s="3" customFormat="1" ht="18.75" customHeight="1" x14ac:dyDescent="0.4">
      <c r="A29" s="4">
        <v>46081</v>
      </c>
      <c r="B29" s="103" t="s">
        <v>516</v>
      </c>
      <c r="C29" s="29" t="s">
        <v>1043</v>
      </c>
      <c r="D29" s="110" t="s">
        <v>866</v>
      </c>
      <c r="E29" s="110"/>
      <c r="F29" s="81">
        <v>60</v>
      </c>
      <c r="G29" s="49">
        <v>246640</v>
      </c>
      <c r="H29" s="8">
        <f t="shared" ref="H29:H41" si="1">+G29*F29</f>
        <v>14798400</v>
      </c>
      <c r="I29" s="49"/>
      <c r="J29" s="144"/>
      <c r="K29" s="144"/>
      <c r="L29" s="144"/>
      <c r="M29" s="89"/>
    </row>
    <row r="30" spans="1:13" s="3" customFormat="1" ht="18.75" customHeight="1" x14ac:dyDescent="0.4">
      <c r="A30" s="4">
        <v>46081</v>
      </c>
      <c r="B30" s="103" t="s">
        <v>516</v>
      </c>
      <c r="C30" s="29" t="s">
        <v>376</v>
      </c>
      <c r="D30" s="110">
        <v>7060740312</v>
      </c>
      <c r="E30" s="110"/>
      <c r="F30" s="81">
        <v>5</v>
      </c>
      <c r="G30" s="49">
        <v>5972950</v>
      </c>
      <c r="H30" s="8">
        <f t="shared" si="1"/>
        <v>29864750</v>
      </c>
      <c r="I30" s="49"/>
      <c r="J30" s="144"/>
      <c r="K30" s="144"/>
      <c r="L30" s="144"/>
      <c r="M30" s="89"/>
    </row>
    <row r="31" spans="1:13" s="3" customFormat="1" ht="18.75" customHeight="1" x14ac:dyDescent="0.4">
      <c r="A31" s="4">
        <v>46081</v>
      </c>
      <c r="B31" s="103" t="s">
        <v>516</v>
      </c>
      <c r="C31" s="29" t="s">
        <v>1044</v>
      </c>
      <c r="D31" s="110">
        <v>7060740345</v>
      </c>
      <c r="E31" s="110"/>
      <c r="F31" s="81">
        <v>155</v>
      </c>
      <c r="G31" s="81">
        <v>92270</v>
      </c>
      <c r="H31" s="8">
        <f t="shared" si="1"/>
        <v>14301850</v>
      </c>
      <c r="I31" s="49"/>
      <c r="J31" s="196"/>
      <c r="K31" s="196"/>
      <c r="L31" s="196"/>
      <c r="M31" s="89"/>
    </row>
    <row r="32" spans="1:13" s="3" customFormat="1" ht="18.75" customHeight="1" x14ac:dyDescent="0.4">
      <c r="A32" s="4">
        <v>46081</v>
      </c>
      <c r="B32" s="103" t="s">
        <v>516</v>
      </c>
      <c r="C32" s="29" t="s">
        <v>1044</v>
      </c>
      <c r="D32" s="110">
        <v>7060740345</v>
      </c>
      <c r="E32" s="110"/>
      <c r="F32" s="81">
        <v>4</v>
      </c>
      <c r="G32" s="81">
        <v>92270</v>
      </c>
      <c r="H32" s="8" t="s">
        <v>1240</v>
      </c>
      <c r="I32" s="49">
        <f>G32*F32</f>
        <v>369080</v>
      </c>
      <c r="J32" s="196"/>
      <c r="K32" s="196"/>
      <c r="L32" s="196"/>
      <c r="M32" s="89"/>
    </row>
    <row r="33" spans="1:13" s="3" customFormat="1" ht="18.75" customHeight="1" x14ac:dyDescent="0.4">
      <c r="A33" s="4">
        <v>46081</v>
      </c>
      <c r="B33" s="103" t="s">
        <v>516</v>
      </c>
      <c r="C33" s="29" t="s">
        <v>1045</v>
      </c>
      <c r="D33" s="110">
        <v>7060741881</v>
      </c>
      <c r="E33" s="110"/>
      <c r="F33" s="81">
        <v>19</v>
      </c>
      <c r="G33" s="81">
        <v>1285900</v>
      </c>
      <c r="H33" s="8">
        <f>+G33*F33</f>
        <v>24432100</v>
      </c>
      <c r="I33" s="49"/>
      <c r="J33" s="196"/>
      <c r="K33" s="196"/>
      <c r="L33" s="196"/>
      <c r="M33" s="89"/>
    </row>
    <row r="34" spans="1:13" s="3" customFormat="1" ht="18.75" customHeight="1" x14ac:dyDescent="0.3">
      <c r="A34" s="4">
        <v>46081</v>
      </c>
      <c r="B34" s="103" t="s">
        <v>516</v>
      </c>
      <c r="C34" s="29" t="s">
        <v>347</v>
      </c>
      <c r="D34" s="59" ph="1">
        <v>7060741675</v>
      </c>
      <c r="E34" s="59" ph="1"/>
      <c r="F34" s="49" ph="1">
        <v>19</v>
      </c>
      <c r="G34" s="49" ph="1">
        <v>38000</v>
      </c>
      <c r="H34" s="7">
        <f t="shared" si="1"/>
        <v>722000</v>
      </c>
      <c r="I34" s="49"/>
      <c r="J34" s="412"/>
      <c r="K34" s="412"/>
      <c r="L34" s="412"/>
      <c r="M34" s="89"/>
    </row>
    <row r="35" spans="1:13" s="3" customFormat="1" ht="18.75" customHeight="1" x14ac:dyDescent="0.3">
      <c r="A35" s="4">
        <v>46081</v>
      </c>
      <c r="B35" s="103" t="s">
        <v>516</v>
      </c>
      <c r="C35" s="29" t="s">
        <v>347</v>
      </c>
      <c r="D35" s="59" ph="1">
        <v>7060741676</v>
      </c>
      <c r="E35" s="59" ph="1"/>
      <c r="F35" s="49" ph="1">
        <v>19</v>
      </c>
      <c r="G35" s="49" ph="1">
        <v>43200</v>
      </c>
      <c r="H35" s="7">
        <f t="shared" si="1"/>
        <v>820800</v>
      </c>
      <c r="I35" s="49"/>
      <c r="J35" s="412"/>
      <c r="K35" s="412"/>
      <c r="L35" s="412"/>
      <c r="M35" s="89"/>
    </row>
    <row r="36" spans="1:13" s="3" customFormat="1" ht="18.75" customHeight="1" x14ac:dyDescent="0.3">
      <c r="A36" s="4">
        <v>46081</v>
      </c>
      <c r="B36" s="103" t="s">
        <v>516</v>
      </c>
      <c r="C36" s="29" t="s">
        <v>347</v>
      </c>
      <c r="D36" s="59" ph="1">
        <v>7060741677</v>
      </c>
      <c r="E36" s="59" ph="1"/>
      <c r="F36" s="49" ph="1">
        <v>19</v>
      </c>
      <c r="G36" s="49" ph="1">
        <v>38000</v>
      </c>
      <c r="H36" s="7">
        <f t="shared" si="1"/>
        <v>722000</v>
      </c>
      <c r="I36" s="49"/>
      <c r="J36" s="412"/>
      <c r="K36" s="412"/>
      <c r="L36" s="412"/>
      <c r="M36" s="89"/>
    </row>
    <row r="37" spans="1:13" s="3" customFormat="1" ht="18.75" customHeight="1" x14ac:dyDescent="0.3">
      <c r="A37" s="4">
        <v>46081</v>
      </c>
      <c r="B37" s="103" t="s">
        <v>516</v>
      </c>
      <c r="C37" s="29" t="s">
        <v>347</v>
      </c>
      <c r="D37" s="59" ph="1">
        <v>7060741678</v>
      </c>
      <c r="E37" s="59" ph="1"/>
      <c r="F37" s="49" ph="1">
        <v>19</v>
      </c>
      <c r="G37" s="49" ph="1">
        <v>39400</v>
      </c>
      <c r="H37" s="7">
        <f t="shared" si="1"/>
        <v>748600</v>
      </c>
      <c r="I37" s="49"/>
      <c r="J37" s="412"/>
      <c r="K37" s="412"/>
      <c r="L37" s="412"/>
      <c r="M37" s="89"/>
    </row>
    <row r="38" spans="1:13" s="3" customFormat="1" ht="18.75" customHeight="1" x14ac:dyDescent="0.3">
      <c r="A38" s="4">
        <v>46081</v>
      </c>
      <c r="B38" s="103" t="s">
        <v>516</v>
      </c>
      <c r="C38" s="29" t="s">
        <v>347</v>
      </c>
      <c r="D38" s="59" ph="1">
        <v>7060741679</v>
      </c>
      <c r="E38" s="59" ph="1"/>
      <c r="F38" s="49" ph="1">
        <v>19</v>
      </c>
      <c r="G38" s="49" ph="1">
        <v>35400</v>
      </c>
      <c r="H38" s="7">
        <f t="shared" si="1"/>
        <v>672600</v>
      </c>
      <c r="I38" s="49"/>
      <c r="J38" s="412"/>
      <c r="K38" s="412"/>
      <c r="L38" s="412"/>
      <c r="M38" s="89"/>
    </row>
    <row r="39" spans="1:13" s="3" customFormat="1" ht="18.75" customHeight="1" x14ac:dyDescent="0.3">
      <c r="A39" s="4">
        <v>46081</v>
      </c>
      <c r="B39" s="103" t="s">
        <v>516</v>
      </c>
      <c r="C39" s="29" t="s">
        <v>347</v>
      </c>
      <c r="D39" s="59" ph="1">
        <v>7060741680</v>
      </c>
      <c r="E39" s="59" ph="1"/>
      <c r="F39" s="49" ph="1">
        <v>19</v>
      </c>
      <c r="G39" s="49" ph="1">
        <v>40000</v>
      </c>
      <c r="H39" s="7">
        <f t="shared" si="1"/>
        <v>760000</v>
      </c>
      <c r="I39" s="49"/>
      <c r="J39" s="412"/>
      <c r="K39" s="412"/>
      <c r="L39" s="412"/>
      <c r="M39" s="89"/>
    </row>
    <row r="40" spans="1:13" s="3" customFormat="1" ht="18.75" customHeight="1" x14ac:dyDescent="0.4">
      <c r="A40" s="4">
        <v>46081</v>
      </c>
      <c r="B40" s="103" t="s">
        <v>516</v>
      </c>
      <c r="C40" s="29" t="s">
        <v>39</v>
      </c>
      <c r="D40" s="110" t="s">
        <v>867</v>
      </c>
      <c r="E40" s="110"/>
      <c r="F40" s="81">
        <v>21</v>
      </c>
      <c r="G40" s="49">
        <v>1380450</v>
      </c>
      <c r="H40" s="8">
        <f t="shared" si="1"/>
        <v>28989450</v>
      </c>
      <c r="I40" s="49"/>
      <c r="J40" s="144"/>
      <c r="K40" s="144"/>
      <c r="L40" s="144"/>
      <c r="M40" s="89"/>
    </row>
    <row r="41" spans="1:13" s="3" customFormat="1" ht="18.75" customHeight="1" x14ac:dyDescent="0.4">
      <c r="A41" s="4">
        <v>46081</v>
      </c>
      <c r="B41" s="103" t="s">
        <v>516</v>
      </c>
      <c r="C41" s="29" t="s">
        <v>1046</v>
      </c>
      <c r="D41" s="110" t="s">
        <v>868</v>
      </c>
      <c r="E41" s="110"/>
      <c r="F41" s="81">
        <v>95</v>
      </c>
      <c r="G41" s="49">
        <v>133110</v>
      </c>
      <c r="H41" s="8">
        <f t="shared" si="1"/>
        <v>12645450</v>
      </c>
      <c r="I41" s="49"/>
      <c r="J41" s="144"/>
      <c r="K41" s="144"/>
      <c r="L41" s="144"/>
      <c r="M41" s="89"/>
    </row>
    <row r="42" spans="1:13" s="3" customFormat="1" ht="20.25" customHeight="1" x14ac:dyDescent="0.4">
      <c r="A42" s="482">
        <v>46090</v>
      </c>
      <c r="B42" s="110" t="s">
        <v>556</v>
      </c>
      <c r="C42" s="29" t="s">
        <v>35</v>
      </c>
      <c r="D42" s="110" t="s">
        <v>36</v>
      </c>
      <c r="E42" s="110"/>
      <c r="F42" s="81">
        <v>10</v>
      </c>
      <c r="G42" s="49">
        <v>1259290</v>
      </c>
      <c r="H42" s="8">
        <f>+G42*F42</f>
        <v>12592900</v>
      </c>
      <c r="I42" s="49"/>
      <c r="J42" s="144"/>
      <c r="K42" s="144"/>
      <c r="L42" s="144"/>
      <c r="M42" s="89"/>
    </row>
    <row r="43" spans="1:13" s="3" customFormat="1" ht="20.25" customHeight="1" x14ac:dyDescent="0.4">
      <c r="A43" s="482">
        <v>46097</v>
      </c>
      <c r="B43" s="110" t="s">
        <v>556</v>
      </c>
      <c r="C43" s="29" t="s">
        <v>45</v>
      </c>
      <c r="D43" s="110" t="s">
        <v>46</v>
      </c>
      <c r="E43" s="110"/>
      <c r="F43" s="81">
        <v>124</v>
      </c>
      <c r="G43" s="49">
        <v>133110</v>
      </c>
      <c r="H43" s="8">
        <f t="shared" ref="H43:H66" si="2">+G43*F43</f>
        <v>16505640</v>
      </c>
      <c r="I43" s="49"/>
      <c r="J43" s="144"/>
      <c r="K43" s="144"/>
      <c r="L43" s="144"/>
      <c r="M43" s="89"/>
    </row>
    <row r="44" spans="1:13" s="3" customFormat="1" ht="20.25" customHeight="1" x14ac:dyDescent="0.4">
      <c r="A44" s="482">
        <v>46097</v>
      </c>
      <c r="B44" s="110" t="s">
        <v>556</v>
      </c>
      <c r="C44" s="29" t="s">
        <v>45</v>
      </c>
      <c r="D44" s="110" t="s">
        <v>46</v>
      </c>
      <c r="E44" s="110"/>
      <c r="F44" s="81">
        <v>3</v>
      </c>
      <c r="G44" s="49">
        <v>133110</v>
      </c>
      <c r="H44" s="8">
        <f t="shared" si="2"/>
        <v>399330</v>
      </c>
      <c r="I44" s="49"/>
      <c r="J44" s="144"/>
      <c r="K44" s="144"/>
      <c r="L44" s="144"/>
      <c r="M44" s="89"/>
    </row>
    <row r="45" spans="1:13" s="3" customFormat="1" ht="20.25" customHeight="1" x14ac:dyDescent="0.4">
      <c r="A45" s="482">
        <v>46097</v>
      </c>
      <c r="B45" s="110" t="s">
        <v>556</v>
      </c>
      <c r="C45" s="29" t="s">
        <v>45</v>
      </c>
      <c r="D45" s="110" t="s">
        <v>46</v>
      </c>
      <c r="E45" s="110"/>
      <c r="F45" s="81">
        <v>12</v>
      </c>
      <c r="G45" s="49">
        <v>148400</v>
      </c>
      <c r="H45" s="8">
        <f t="shared" si="2"/>
        <v>1780800</v>
      </c>
      <c r="I45" s="49"/>
      <c r="J45" s="144"/>
      <c r="K45" s="144"/>
      <c r="L45" s="144">
        <v>148400</v>
      </c>
      <c r="M45" s="89"/>
    </row>
    <row r="46" spans="1:13" s="3" customFormat="1" ht="20.25" customHeight="1" x14ac:dyDescent="0.4">
      <c r="A46" s="482">
        <v>46097</v>
      </c>
      <c r="B46" s="110" t="s">
        <v>556</v>
      </c>
      <c r="C46" s="29" t="s">
        <v>45</v>
      </c>
      <c r="D46" s="110" t="s">
        <v>46</v>
      </c>
      <c r="E46" s="110"/>
      <c r="F46" s="81">
        <v>11</v>
      </c>
      <c r="G46" s="49">
        <v>148400</v>
      </c>
      <c r="H46" s="8">
        <f t="shared" si="2"/>
        <v>1632400</v>
      </c>
      <c r="I46" s="49"/>
      <c r="J46" s="144"/>
      <c r="K46" s="144"/>
      <c r="L46" s="144">
        <v>148400</v>
      </c>
      <c r="M46" s="89"/>
    </row>
    <row r="47" spans="1:13" s="3" customFormat="1" ht="20.25" customHeight="1" x14ac:dyDescent="0.4">
      <c r="A47" s="482">
        <v>46099</v>
      </c>
      <c r="B47" s="110" t="s">
        <v>556</v>
      </c>
      <c r="C47" s="29" t="s">
        <v>105</v>
      </c>
      <c r="D47" s="110" t="s">
        <v>176</v>
      </c>
      <c r="E47" s="110"/>
      <c r="F47" s="81">
        <v>15</v>
      </c>
      <c r="G47" s="49">
        <v>51460</v>
      </c>
      <c r="H47" s="8">
        <f t="shared" si="2"/>
        <v>771900</v>
      </c>
      <c r="I47" s="49"/>
      <c r="J47" s="144"/>
      <c r="K47" s="144"/>
      <c r="L47" s="144"/>
      <c r="M47" s="89"/>
    </row>
    <row r="48" spans="1:13" s="3" customFormat="1" ht="20.25" customHeight="1" x14ac:dyDescent="0.4">
      <c r="A48" s="482">
        <v>46099</v>
      </c>
      <c r="B48" s="110" t="s">
        <v>556</v>
      </c>
      <c r="C48" s="29" t="s">
        <v>105</v>
      </c>
      <c r="D48" s="110" t="s">
        <v>176</v>
      </c>
      <c r="E48" s="110"/>
      <c r="F48" s="81">
        <v>12</v>
      </c>
      <c r="G48" s="49">
        <v>51460</v>
      </c>
      <c r="H48" s="8">
        <f t="shared" si="2"/>
        <v>617520</v>
      </c>
      <c r="I48" s="49"/>
      <c r="J48" s="144"/>
      <c r="K48" s="144"/>
      <c r="L48" s="144"/>
      <c r="M48" s="89"/>
    </row>
    <row r="49" spans="1:13" s="3" customFormat="1" ht="20.25" customHeight="1" x14ac:dyDescent="0.4">
      <c r="A49" s="482">
        <v>46099</v>
      </c>
      <c r="B49" s="110" t="s">
        <v>556</v>
      </c>
      <c r="C49" s="29" t="s">
        <v>105</v>
      </c>
      <c r="D49" s="110" t="s">
        <v>176</v>
      </c>
      <c r="E49" s="110"/>
      <c r="F49" s="81">
        <v>11</v>
      </c>
      <c r="G49" s="49">
        <v>55500</v>
      </c>
      <c r="H49" s="8">
        <f t="shared" si="2"/>
        <v>610500</v>
      </c>
      <c r="I49" s="49"/>
      <c r="J49" s="144"/>
      <c r="K49" s="144"/>
      <c r="L49" s="144"/>
      <c r="M49" s="89"/>
    </row>
    <row r="50" spans="1:13" s="3" customFormat="1" ht="20.25" customHeight="1" x14ac:dyDescent="0.4">
      <c r="A50" s="482">
        <v>46099</v>
      </c>
      <c r="B50" s="110" t="s">
        <v>556</v>
      </c>
      <c r="C50" s="29" t="s">
        <v>33</v>
      </c>
      <c r="D50" s="110" t="s">
        <v>34</v>
      </c>
      <c r="E50" s="110"/>
      <c r="F50" s="81">
        <v>46</v>
      </c>
      <c r="G50" s="49">
        <v>557400</v>
      </c>
      <c r="H50" s="8">
        <f t="shared" si="2"/>
        <v>25640400</v>
      </c>
      <c r="I50" s="49"/>
      <c r="J50" s="144"/>
      <c r="K50" s="144"/>
      <c r="L50" s="144"/>
      <c r="M50" s="89"/>
    </row>
    <row r="51" spans="1:13" s="3" customFormat="1" ht="20.25" customHeight="1" x14ac:dyDescent="0.4">
      <c r="A51" s="482">
        <v>46099</v>
      </c>
      <c r="B51" s="110" t="s">
        <v>556</v>
      </c>
      <c r="C51" s="29" t="s">
        <v>35</v>
      </c>
      <c r="D51" s="110" t="s">
        <v>36</v>
      </c>
      <c r="E51" s="110"/>
      <c r="F51" s="81">
        <v>7</v>
      </c>
      <c r="G51" s="49">
        <v>1259290</v>
      </c>
      <c r="H51" s="8">
        <f t="shared" si="2"/>
        <v>8815030</v>
      </c>
      <c r="I51" s="49"/>
      <c r="J51" s="144"/>
      <c r="K51" s="144"/>
      <c r="L51" s="144"/>
      <c r="M51" s="89"/>
    </row>
    <row r="52" spans="1:13" s="3" customFormat="1" ht="20.25" customHeight="1" x14ac:dyDescent="0.4">
      <c r="A52" s="482">
        <v>46107</v>
      </c>
      <c r="B52" s="110" t="s">
        <v>556</v>
      </c>
      <c r="C52" s="29" t="s">
        <v>35</v>
      </c>
      <c r="D52" s="110" t="s">
        <v>36</v>
      </c>
      <c r="E52" s="110"/>
      <c r="F52" s="8">
        <v>9</v>
      </c>
      <c r="G52" s="81">
        <v>1259290</v>
      </c>
      <c r="H52" s="8">
        <f t="shared" si="2"/>
        <v>11333610</v>
      </c>
      <c r="I52" s="49"/>
      <c r="J52" s="144"/>
      <c r="K52" s="68"/>
      <c r="L52" s="144"/>
      <c r="M52" s="89"/>
    </row>
    <row r="53" spans="1:13" s="3" customFormat="1" ht="20.25" customHeight="1" x14ac:dyDescent="0.4">
      <c r="A53" s="482">
        <v>46107</v>
      </c>
      <c r="B53" s="110" t="s">
        <v>556</v>
      </c>
      <c r="C53" s="29" t="s">
        <v>37</v>
      </c>
      <c r="D53" s="110" t="s">
        <v>38</v>
      </c>
      <c r="E53" s="110"/>
      <c r="F53" s="8">
        <v>7</v>
      </c>
      <c r="G53" s="81">
        <v>1278690</v>
      </c>
      <c r="H53" s="8">
        <f t="shared" si="2"/>
        <v>8950830</v>
      </c>
      <c r="I53" s="49"/>
      <c r="J53" s="144"/>
      <c r="K53" s="144"/>
      <c r="L53" s="144"/>
      <c r="M53" s="89"/>
    </row>
    <row r="54" spans="1:13" s="78" customFormat="1" ht="20.25" customHeight="1" x14ac:dyDescent="0.4">
      <c r="A54" s="484">
        <v>46107</v>
      </c>
      <c r="B54" s="59" t="s">
        <v>556</v>
      </c>
      <c r="C54" s="61" t="s">
        <v>172</v>
      </c>
      <c r="D54" s="59" t="s">
        <v>173</v>
      </c>
      <c r="E54" s="59"/>
      <c r="F54" s="7">
        <f>61-9</f>
        <v>52</v>
      </c>
      <c r="G54" s="49">
        <v>246640</v>
      </c>
      <c r="H54" s="7">
        <f t="shared" si="2"/>
        <v>12825280</v>
      </c>
      <c r="I54" s="49"/>
      <c r="J54" s="144"/>
      <c r="K54" s="144"/>
      <c r="L54" s="144"/>
      <c r="M54" s="365"/>
    </row>
    <row r="55" spans="1:13" s="3" customFormat="1" ht="20.25" customHeight="1" x14ac:dyDescent="0.4">
      <c r="A55" s="482">
        <v>46107</v>
      </c>
      <c r="B55" s="110" t="s">
        <v>556</v>
      </c>
      <c r="C55" s="29" t="s">
        <v>51</v>
      </c>
      <c r="D55" s="110" t="s">
        <v>52</v>
      </c>
      <c r="E55" s="110"/>
      <c r="F55" s="8">
        <v>34</v>
      </c>
      <c r="G55" s="81">
        <v>139230</v>
      </c>
      <c r="H55" s="8">
        <f t="shared" si="2"/>
        <v>4733820</v>
      </c>
      <c r="I55" s="49"/>
      <c r="J55" s="144"/>
      <c r="K55" s="144"/>
      <c r="L55" s="144"/>
      <c r="M55" s="89"/>
    </row>
    <row r="56" spans="1:13" s="3" customFormat="1" ht="20.25" customHeight="1" x14ac:dyDescent="0.4">
      <c r="A56" s="482">
        <v>46108</v>
      </c>
      <c r="B56" s="110" t="s">
        <v>556</v>
      </c>
      <c r="C56" s="29" t="s">
        <v>1063</v>
      </c>
      <c r="D56" s="110" t="s">
        <v>1064</v>
      </c>
      <c r="E56" s="110"/>
      <c r="F56" s="8">
        <v>22</v>
      </c>
      <c r="G56" s="81">
        <v>225800</v>
      </c>
      <c r="H56" s="8">
        <f t="shared" si="2"/>
        <v>4967600</v>
      </c>
      <c r="I56" s="49" t="s">
        <v>1241</v>
      </c>
      <c r="J56" s="144"/>
      <c r="K56" s="144"/>
      <c r="L56" s="144"/>
      <c r="M56" s="89"/>
    </row>
    <row r="57" spans="1:13" s="3" customFormat="1" ht="20.25" customHeight="1" x14ac:dyDescent="0.4">
      <c r="A57" s="482">
        <v>46108</v>
      </c>
      <c r="B57" s="110" t="s">
        <v>556</v>
      </c>
      <c r="C57" s="29" t="s">
        <v>1063</v>
      </c>
      <c r="D57" s="110" t="s">
        <v>1064</v>
      </c>
      <c r="E57" s="110"/>
      <c r="F57" s="8">
        <v>30</v>
      </c>
      <c r="G57" s="81">
        <v>225800</v>
      </c>
      <c r="H57" s="8">
        <f t="shared" si="2"/>
        <v>6774000</v>
      </c>
      <c r="I57" s="49" t="s">
        <v>1241</v>
      </c>
      <c r="J57" s="144"/>
      <c r="K57" s="144"/>
      <c r="L57" s="144"/>
      <c r="M57" s="89"/>
    </row>
    <row r="58" spans="1:13" s="3" customFormat="1" ht="20.25" customHeight="1" x14ac:dyDescent="0.4">
      <c r="A58" s="482">
        <v>46108</v>
      </c>
      <c r="B58" s="110" t="s">
        <v>556</v>
      </c>
      <c r="C58" s="29" t="s">
        <v>1063</v>
      </c>
      <c r="D58" s="110" t="s">
        <v>1064</v>
      </c>
      <c r="E58" s="110"/>
      <c r="F58" s="8">
        <v>2</v>
      </c>
      <c r="G58" s="81">
        <v>225800</v>
      </c>
      <c r="H58" s="8">
        <f t="shared" si="2"/>
        <v>451600</v>
      </c>
      <c r="I58" s="49" t="s">
        <v>1241</v>
      </c>
      <c r="J58" s="144"/>
      <c r="K58" s="144"/>
      <c r="L58" s="144"/>
      <c r="M58" s="89"/>
    </row>
    <row r="59" spans="1:13" s="3" customFormat="1" ht="20.25" customHeight="1" x14ac:dyDescent="0.4">
      <c r="A59" s="482">
        <v>46108</v>
      </c>
      <c r="B59" s="110" t="s">
        <v>556</v>
      </c>
      <c r="C59" s="29" t="s">
        <v>1063</v>
      </c>
      <c r="D59" s="110" t="s">
        <v>1064</v>
      </c>
      <c r="E59" s="110"/>
      <c r="F59" s="8">
        <v>64</v>
      </c>
      <c r="G59" s="81">
        <v>225800</v>
      </c>
      <c r="H59" s="8">
        <f t="shared" si="2"/>
        <v>14451200</v>
      </c>
      <c r="I59" s="49" t="s">
        <v>1241</v>
      </c>
      <c r="J59" s="144"/>
      <c r="K59" s="144"/>
      <c r="L59" s="144"/>
      <c r="M59" s="89"/>
    </row>
    <row r="60" spans="1:13" s="3" customFormat="1" ht="20.25" customHeight="1" x14ac:dyDescent="0.4">
      <c r="A60" s="482">
        <v>46112</v>
      </c>
      <c r="B60" s="110" t="s">
        <v>556</v>
      </c>
      <c r="C60" s="29" t="s">
        <v>35</v>
      </c>
      <c r="D60" s="110" t="s">
        <v>36</v>
      </c>
      <c r="E60" s="110"/>
      <c r="F60" s="8">
        <v>5</v>
      </c>
      <c r="G60" s="81">
        <v>1259290</v>
      </c>
      <c r="H60" s="8">
        <f t="shared" si="2"/>
        <v>6296450</v>
      </c>
      <c r="I60" s="49" t="s">
        <v>1241</v>
      </c>
      <c r="J60" s="144"/>
      <c r="K60" s="144"/>
      <c r="L60" s="144"/>
      <c r="M60" s="89"/>
    </row>
    <row r="61" spans="1:13" s="3" customFormat="1" ht="20.25" customHeight="1" x14ac:dyDescent="0.4">
      <c r="A61" s="482">
        <v>46112</v>
      </c>
      <c r="B61" s="110" t="s">
        <v>556</v>
      </c>
      <c r="C61" s="29" t="s">
        <v>37</v>
      </c>
      <c r="D61" s="110" t="s">
        <v>38</v>
      </c>
      <c r="E61" s="110"/>
      <c r="F61" s="8">
        <v>17</v>
      </c>
      <c r="G61" s="81">
        <v>1278690</v>
      </c>
      <c r="H61" s="8">
        <f t="shared" si="2"/>
        <v>21737730</v>
      </c>
      <c r="I61" s="49" t="s">
        <v>1241</v>
      </c>
      <c r="J61" s="144"/>
      <c r="K61" s="144"/>
      <c r="L61" s="144"/>
      <c r="M61" s="89"/>
    </row>
    <row r="62" spans="1:13" s="3" customFormat="1" ht="20.25" customHeight="1" x14ac:dyDescent="0.4">
      <c r="A62" s="482">
        <v>46112</v>
      </c>
      <c r="B62" s="110" t="s">
        <v>556</v>
      </c>
      <c r="C62" s="29" t="s">
        <v>39</v>
      </c>
      <c r="D62" s="110" t="s">
        <v>40</v>
      </c>
      <c r="E62" s="110"/>
      <c r="F62" s="8">
        <v>42</v>
      </c>
      <c r="G62" s="81">
        <v>1380450</v>
      </c>
      <c r="H62" s="8">
        <f t="shared" si="2"/>
        <v>57978900</v>
      </c>
      <c r="I62" s="49" t="s">
        <v>1241</v>
      </c>
      <c r="J62" s="144"/>
      <c r="K62" s="144"/>
      <c r="L62" s="144"/>
      <c r="M62" s="89"/>
    </row>
    <row r="63" spans="1:13" s="3" customFormat="1" ht="20.25" customHeight="1" x14ac:dyDescent="0.4">
      <c r="A63" s="482">
        <v>46112</v>
      </c>
      <c r="B63" s="110" t="s">
        <v>556</v>
      </c>
      <c r="C63" s="29" t="s">
        <v>41</v>
      </c>
      <c r="D63" s="110" t="s">
        <v>42</v>
      </c>
      <c r="E63" s="110"/>
      <c r="F63" s="8">
        <v>104</v>
      </c>
      <c r="G63" s="81">
        <v>203030</v>
      </c>
      <c r="H63" s="8">
        <f t="shared" si="2"/>
        <v>21115120</v>
      </c>
      <c r="I63" s="49" t="s">
        <v>1241</v>
      </c>
      <c r="J63" s="144"/>
      <c r="K63" s="144"/>
      <c r="L63" s="144"/>
      <c r="M63" s="89"/>
    </row>
    <row r="64" spans="1:13" s="3" customFormat="1" ht="20.25" customHeight="1" x14ac:dyDescent="0.4">
      <c r="A64" s="482">
        <v>46112</v>
      </c>
      <c r="B64" s="110" t="s">
        <v>556</v>
      </c>
      <c r="C64" s="29" t="s">
        <v>47</v>
      </c>
      <c r="D64" s="110" t="s">
        <v>48</v>
      </c>
      <c r="E64" s="110"/>
      <c r="F64" s="8">
        <v>97</v>
      </c>
      <c r="G64" s="81">
        <v>231760</v>
      </c>
      <c r="H64" s="8">
        <f t="shared" si="2"/>
        <v>22480720</v>
      </c>
      <c r="I64" s="49" t="s">
        <v>1241</v>
      </c>
      <c r="J64" s="144"/>
      <c r="K64" s="144"/>
      <c r="L64" s="144"/>
      <c r="M64" s="89"/>
    </row>
    <row r="65" spans="1:13" s="3" customFormat="1" ht="20.25" customHeight="1" x14ac:dyDescent="0.4">
      <c r="A65" s="482">
        <v>46112</v>
      </c>
      <c r="B65" s="110" t="s">
        <v>556</v>
      </c>
      <c r="C65" s="29" t="s">
        <v>1065</v>
      </c>
      <c r="D65" s="110" t="s">
        <v>1066</v>
      </c>
      <c r="E65" s="110"/>
      <c r="F65" s="8">
        <v>36</v>
      </c>
      <c r="G65" s="81">
        <v>280270</v>
      </c>
      <c r="H65" s="8">
        <f t="shared" si="2"/>
        <v>10089720</v>
      </c>
      <c r="I65" s="49" t="s">
        <v>1241</v>
      </c>
      <c r="J65" s="144"/>
      <c r="K65" s="144"/>
      <c r="L65" s="144"/>
      <c r="M65" s="89"/>
    </row>
    <row r="66" spans="1:13" s="3" customFormat="1" ht="20.25" customHeight="1" x14ac:dyDescent="0.4">
      <c r="A66" s="482">
        <v>46112</v>
      </c>
      <c r="B66" s="110" t="s">
        <v>556</v>
      </c>
      <c r="C66" s="29" t="s">
        <v>401</v>
      </c>
      <c r="D66" s="110" t="s">
        <v>402</v>
      </c>
      <c r="E66" s="110"/>
      <c r="F66" s="8">
        <v>10</v>
      </c>
      <c r="G66" s="81">
        <v>5972950</v>
      </c>
      <c r="H66" s="8">
        <f t="shared" si="2"/>
        <v>59729500</v>
      </c>
      <c r="I66" s="49" t="s">
        <v>1241</v>
      </c>
      <c r="J66" s="144"/>
      <c r="K66" s="144"/>
      <c r="L66" s="144"/>
      <c r="M66" s="89"/>
    </row>
    <row r="67" spans="1:13" s="3" customFormat="1" ht="20.25" customHeight="1" x14ac:dyDescent="0.4">
      <c r="A67" s="483"/>
      <c r="B67" s="194"/>
      <c r="C67" s="40"/>
      <c r="D67" s="194"/>
      <c r="E67" s="194"/>
      <c r="F67" s="91"/>
      <c r="G67" s="138"/>
      <c r="H67" s="138">
        <f>SUM(H29:H55)</f>
        <v>236687960</v>
      </c>
      <c r="I67" s="138"/>
      <c r="J67" s="145"/>
      <c r="K67" s="145"/>
      <c r="L67" s="145"/>
      <c r="M67" s="89"/>
    </row>
    <row r="68" spans="1:13" ht="20.25" customHeight="1" x14ac:dyDescent="0.4">
      <c r="A68" s="482">
        <v>46090</v>
      </c>
      <c r="B68" s="59" t="s">
        <v>55</v>
      </c>
      <c r="C68" s="68" t="s">
        <v>345</v>
      </c>
      <c r="D68" s="59" t="s">
        <v>675</v>
      </c>
      <c r="E68" s="67"/>
      <c r="F68" s="68">
        <v>72</v>
      </c>
      <c r="G68" s="68">
        <v>251842</v>
      </c>
      <c r="H68" s="68">
        <f>F68*G68</f>
        <v>18132624</v>
      </c>
      <c r="I68" s="67"/>
      <c r="J68" s="67"/>
      <c r="K68" s="67"/>
      <c r="L68" s="140"/>
    </row>
    <row r="69" spans="1:13" ht="20.25" customHeight="1" x14ac:dyDescent="0.4">
      <c r="A69" s="482">
        <v>46090</v>
      </c>
      <c r="B69" s="59" t="s">
        <v>55</v>
      </c>
      <c r="C69" s="68" t="s">
        <v>56</v>
      </c>
      <c r="D69" s="59" t="s">
        <v>676</v>
      </c>
      <c r="E69" s="67"/>
      <c r="F69" s="68">
        <v>36</v>
      </c>
      <c r="G69" s="68">
        <v>253250</v>
      </c>
      <c r="H69" s="68">
        <f>F69*G69</f>
        <v>9117000</v>
      </c>
      <c r="I69" s="67"/>
      <c r="J69" s="67"/>
      <c r="K69" s="67"/>
      <c r="L69" s="140"/>
    </row>
    <row r="70" spans="1:13" ht="20.25" customHeight="1" x14ac:dyDescent="0.4">
      <c r="A70" s="482">
        <v>46098</v>
      </c>
      <c r="B70" s="59" t="s">
        <v>55</v>
      </c>
      <c r="C70" s="68" t="s">
        <v>56</v>
      </c>
      <c r="D70" s="59" t="s">
        <v>57</v>
      </c>
      <c r="E70" s="67"/>
      <c r="F70" s="68">
        <f>36*2+21</f>
        <v>93</v>
      </c>
      <c r="G70" s="68">
        <v>251842</v>
      </c>
      <c r="H70" s="68">
        <f>F70*G70</f>
        <v>23421306</v>
      </c>
      <c r="I70" s="67"/>
      <c r="J70" s="67"/>
      <c r="K70" s="67"/>
      <c r="L70" s="140"/>
    </row>
    <row r="71" spans="1:13" ht="20.25" customHeight="1" x14ac:dyDescent="0.4">
      <c r="A71" s="482">
        <v>46098</v>
      </c>
      <c r="B71" s="59" t="s">
        <v>55</v>
      </c>
      <c r="C71" s="68" t="s">
        <v>56</v>
      </c>
      <c r="D71" s="59" t="s">
        <v>377</v>
      </c>
      <c r="E71" s="67"/>
      <c r="F71" s="68">
        <v>36</v>
      </c>
      <c r="G71" s="68">
        <v>253250</v>
      </c>
      <c r="H71" s="68">
        <f>F71*G71</f>
        <v>9117000</v>
      </c>
      <c r="I71" s="144">
        <f>SUM(H70:H71)</f>
        <v>32538306</v>
      </c>
      <c r="J71" s="67"/>
      <c r="K71" s="67"/>
      <c r="L71" s="140"/>
    </row>
    <row r="72" spans="1:13" ht="20.25" customHeight="1" x14ac:dyDescent="0.4">
      <c r="A72" s="483"/>
      <c r="B72" s="194"/>
      <c r="C72" s="40"/>
      <c r="D72" s="194"/>
      <c r="E72" s="194"/>
      <c r="F72" s="91"/>
      <c r="G72" s="138"/>
      <c r="H72" s="138">
        <f>SUM(H68:H71)</f>
        <v>59787930</v>
      </c>
      <c r="I72" s="138"/>
      <c r="J72" s="145"/>
      <c r="K72" s="145"/>
      <c r="L72" s="145"/>
    </row>
    <row r="73" spans="1:13" ht="18.75" customHeight="1" x14ac:dyDescent="0.4">
      <c r="A73" s="4">
        <v>46073</v>
      </c>
      <c r="B73" s="413" t="s">
        <v>869</v>
      </c>
      <c r="C73" s="6" t="s">
        <v>181</v>
      </c>
      <c r="D73" s="42">
        <v>61541861</v>
      </c>
      <c r="E73" s="1" t="s">
        <v>13</v>
      </c>
      <c r="F73" s="36">
        <v>1</v>
      </c>
      <c r="G73" s="7">
        <v>2275670</v>
      </c>
      <c r="H73" s="36">
        <f t="shared" ref="H73:H82" si="3">F73*G73</f>
        <v>2275670</v>
      </c>
      <c r="I73" s="67" t="s">
        <v>1040</v>
      </c>
      <c r="J73" s="67"/>
      <c r="K73" s="67"/>
      <c r="L73" s="67"/>
    </row>
    <row r="74" spans="1:13" ht="18.75" customHeight="1" x14ac:dyDescent="0.4">
      <c r="A74" s="4">
        <v>46073</v>
      </c>
      <c r="B74" s="413" t="s">
        <v>869</v>
      </c>
      <c r="C74" s="6" t="s">
        <v>182</v>
      </c>
      <c r="D74" s="42">
        <v>61541862</v>
      </c>
      <c r="E74" s="1" t="s">
        <v>13</v>
      </c>
      <c r="F74" s="36">
        <v>1</v>
      </c>
      <c r="G74" s="7">
        <v>2275670</v>
      </c>
      <c r="H74" s="36">
        <f t="shared" si="3"/>
        <v>2275670</v>
      </c>
      <c r="I74" s="67" t="s">
        <v>1040</v>
      </c>
      <c r="J74" s="67"/>
      <c r="K74" s="67"/>
      <c r="L74" s="67"/>
    </row>
    <row r="75" spans="1:13" ht="18.75" customHeight="1" x14ac:dyDescent="0.4">
      <c r="A75" s="4">
        <v>46073</v>
      </c>
      <c r="B75" s="413" t="s">
        <v>869</v>
      </c>
      <c r="C75" s="67" t="s">
        <v>183</v>
      </c>
      <c r="D75" s="42">
        <v>61541863</v>
      </c>
      <c r="E75" s="1" t="s">
        <v>184</v>
      </c>
      <c r="F75" s="36">
        <v>1</v>
      </c>
      <c r="G75" s="7">
        <v>44000</v>
      </c>
      <c r="H75" s="36">
        <f t="shared" si="3"/>
        <v>44000</v>
      </c>
      <c r="I75" s="67" t="s">
        <v>1040</v>
      </c>
      <c r="J75" s="67"/>
      <c r="K75" s="67"/>
      <c r="L75" s="67"/>
    </row>
    <row r="76" spans="1:13" ht="18.75" customHeight="1" x14ac:dyDescent="0.4">
      <c r="A76" s="4">
        <v>46073</v>
      </c>
      <c r="B76" s="413" t="s">
        <v>869</v>
      </c>
      <c r="C76" s="67" t="s">
        <v>183</v>
      </c>
      <c r="D76" s="42">
        <v>61541864</v>
      </c>
      <c r="E76" s="1" t="s">
        <v>184</v>
      </c>
      <c r="F76" s="36">
        <v>1</v>
      </c>
      <c r="G76" s="7">
        <v>44000</v>
      </c>
      <c r="H76" s="36">
        <f t="shared" si="3"/>
        <v>44000</v>
      </c>
      <c r="I76" s="67" t="s">
        <v>1040</v>
      </c>
      <c r="J76" s="67"/>
      <c r="K76" s="67"/>
      <c r="L76" s="67"/>
    </row>
    <row r="77" spans="1:13" ht="18.75" customHeight="1" x14ac:dyDescent="0.4">
      <c r="A77" s="4">
        <v>46073</v>
      </c>
      <c r="B77" s="413" t="s">
        <v>869</v>
      </c>
      <c r="C77" s="67" t="s">
        <v>185</v>
      </c>
      <c r="D77" s="42">
        <v>61541865</v>
      </c>
      <c r="E77" s="1" t="s">
        <v>184</v>
      </c>
      <c r="F77" s="36">
        <v>2</v>
      </c>
      <c r="G77" s="7">
        <v>14700</v>
      </c>
      <c r="H77" s="36">
        <f t="shared" si="3"/>
        <v>29400</v>
      </c>
      <c r="I77" s="67" t="s">
        <v>1040</v>
      </c>
      <c r="J77" s="67"/>
      <c r="K77" s="67"/>
      <c r="L77" s="67"/>
    </row>
    <row r="78" spans="1:13" ht="18.75" customHeight="1" x14ac:dyDescent="0.4">
      <c r="A78" s="4">
        <v>46073</v>
      </c>
      <c r="B78" s="413" t="s">
        <v>869</v>
      </c>
      <c r="C78" s="6" t="s">
        <v>181</v>
      </c>
      <c r="D78" s="42">
        <v>61541861</v>
      </c>
      <c r="E78" s="1" t="s">
        <v>13</v>
      </c>
      <c r="F78" s="36">
        <v>3</v>
      </c>
      <c r="G78" s="7">
        <v>2275670</v>
      </c>
      <c r="H78" s="36">
        <f t="shared" si="3"/>
        <v>6827010</v>
      </c>
      <c r="I78" s="67" t="s">
        <v>1040</v>
      </c>
      <c r="J78" s="67"/>
      <c r="K78" s="67"/>
      <c r="L78" s="67"/>
    </row>
    <row r="79" spans="1:13" ht="18.75" customHeight="1" x14ac:dyDescent="0.4">
      <c r="A79" s="4">
        <v>46073</v>
      </c>
      <c r="B79" s="413" t="s">
        <v>869</v>
      </c>
      <c r="C79" s="6" t="s">
        <v>182</v>
      </c>
      <c r="D79" s="42">
        <v>61541862</v>
      </c>
      <c r="E79" s="1" t="s">
        <v>13</v>
      </c>
      <c r="F79" s="36">
        <v>3</v>
      </c>
      <c r="G79" s="7">
        <v>2275670</v>
      </c>
      <c r="H79" s="36">
        <f t="shared" si="3"/>
        <v>6827010</v>
      </c>
      <c r="I79" s="67" t="s">
        <v>1040</v>
      </c>
      <c r="J79" s="67"/>
      <c r="K79" s="67"/>
      <c r="L79" s="67"/>
    </row>
    <row r="80" spans="1:13" ht="18.75" customHeight="1" x14ac:dyDescent="0.4">
      <c r="A80" s="4">
        <v>46073</v>
      </c>
      <c r="B80" s="413" t="s">
        <v>869</v>
      </c>
      <c r="C80" s="67" t="s">
        <v>183</v>
      </c>
      <c r="D80" s="42">
        <v>61541863</v>
      </c>
      <c r="E80" s="1" t="s">
        <v>184</v>
      </c>
      <c r="F80" s="36">
        <v>3</v>
      </c>
      <c r="G80" s="7">
        <v>44000</v>
      </c>
      <c r="H80" s="36">
        <f t="shared" si="3"/>
        <v>132000</v>
      </c>
      <c r="I80" s="67" t="s">
        <v>1040</v>
      </c>
      <c r="J80" s="67"/>
      <c r="K80" s="67"/>
      <c r="L80" s="67"/>
    </row>
    <row r="81" spans="1:12" ht="18.75" customHeight="1" x14ac:dyDescent="0.4">
      <c r="A81" s="4">
        <v>46073</v>
      </c>
      <c r="B81" s="413" t="s">
        <v>869</v>
      </c>
      <c r="C81" s="67" t="s">
        <v>183</v>
      </c>
      <c r="D81" s="42">
        <v>61541864</v>
      </c>
      <c r="E81" s="1" t="s">
        <v>184</v>
      </c>
      <c r="F81" s="36">
        <v>3</v>
      </c>
      <c r="G81" s="7">
        <v>44000</v>
      </c>
      <c r="H81" s="36">
        <f t="shared" si="3"/>
        <v>132000</v>
      </c>
      <c r="I81" s="67" t="s">
        <v>1040</v>
      </c>
      <c r="J81" s="67"/>
      <c r="K81" s="67"/>
      <c r="L81" s="67"/>
    </row>
    <row r="82" spans="1:12" ht="18.75" customHeight="1" x14ac:dyDescent="0.4">
      <c r="A82" s="4">
        <v>46073</v>
      </c>
      <c r="B82" s="413" t="s">
        <v>869</v>
      </c>
      <c r="C82" s="67" t="s">
        <v>185</v>
      </c>
      <c r="D82" s="42">
        <v>61541865</v>
      </c>
      <c r="E82" s="1" t="s">
        <v>184</v>
      </c>
      <c r="F82" s="36">
        <v>6</v>
      </c>
      <c r="G82" s="7">
        <v>14700</v>
      </c>
      <c r="H82" s="36">
        <f t="shared" si="3"/>
        <v>88200</v>
      </c>
      <c r="I82" s="67" t="s">
        <v>1040</v>
      </c>
      <c r="J82" s="67"/>
      <c r="K82" s="67"/>
      <c r="L82" s="67"/>
    </row>
    <row r="83" spans="1:12" ht="18.75" customHeight="1" x14ac:dyDescent="0.4">
      <c r="A83" s="485">
        <v>46086</v>
      </c>
      <c r="B83" s="413" t="s">
        <v>869</v>
      </c>
      <c r="C83" s="6" t="s">
        <v>181</v>
      </c>
      <c r="D83" s="42">
        <v>61541861</v>
      </c>
      <c r="E83" s="1" t="s">
        <v>13</v>
      </c>
      <c r="F83" s="36">
        <v>1</v>
      </c>
      <c r="G83" s="7">
        <v>2275670</v>
      </c>
      <c r="H83" s="36">
        <f t="shared" ref="H83:H107" si="4">F83*G83</f>
        <v>2275670</v>
      </c>
      <c r="I83" s="67"/>
      <c r="J83" s="67"/>
      <c r="K83" s="67"/>
      <c r="L83" s="67"/>
    </row>
    <row r="84" spans="1:12" ht="18.75" customHeight="1" x14ac:dyDescent="0.4">
      <c r="A84" s="485">
        <v>46086</v>
      </c>
      <c r="B84" s="413" t="s">
        <v>869</v>
      </c>
      <c r="C84" s="6" t="s">
        <v>182</v>
      </c>
      <c r="D84" s="42">
        <v>61541862</v>
      </c>
      <c r="E84" s="1" t="s">
        <v>13</v>
      </c>
      <c r="F84" s="36">
        <v>1</v>
      </c>
      <c r="G84" s="7">
        <v>2275670</v>
      </c>
      <c r="H84" s="36">
        <f t="shared" si="4"/>
        <v>2275670</v>
      </c>
      <c r="I84" s="67"/>
      <c r="J84" s="67"/>
      <c r="K84" s="67"/>
      <c r="L84" s="67"/>
    </row>
    <row r="85" spans="1:12" ht="18.75" customHeight="1" x14ac:dyDescent="0.4">
      <c r="A85" s="485">
        <v>46086</v>
      </c>
      <c r="B85" s="413" t="s">
        <v>869</v>
      </c>
      <c r="C85" s="68" t="s">
        <v>183</v>
      </c>
      <c r="D85" s="42">
        <v>61541863</v>
      </c>
      <c r="E85" s="1" t="s">
        <v>184</v>
      </c>
      <c r="F85" s="36">
        <v>1</v>
      </c>
      <c r="G85" s="7">
        <v>44000</v>
      </c>
      <c r="H85" s="36">
        <f t="shared" si="4"/>
        <v>44000</v>
      </c>
      <c r="I85" s="67"/>
      <c r="J85" s="67"/>
      <c r="K85" s="67"/>
      <c r="L85" s="67"/>
    </row>
    <row r="86" spans="1:12" ht="18.75" customHeight="1" x14ac:dyDescent="0.4">
      <c r="A86" s="485">
        <v>46086</v>
      </c>
      <c r="B86" s="413" t="s">
        <v>869</v>
      </c>
      <c r="C86" s="68" t="s">
        <v>183</v>
      </c>
      <c r="D86" s="42">
        <v>61541864</v>
      </c>
      <c r="E86" s="1" t="s">
        <v>184</v>
      </c>
      <c r="F86" s="36">
        <v>1</v>
      </c>
      <c r="G86" s="7">
        <v>44000</v>
      </c>
      <c r="H86" s="36">
        <f t="shared" si="4"/>
        <v>44000</v>
      </c>
      <c r="I86" s="67"/>
      <c r="J86" s="67"/>
      <c r="K86" s="67"/>
      <c r="L86" s="67"/>
    </row>
    <row r="87" spans="1:12" ht="18.75" customHeight="1" x14ac:dyDescent="0.4">
      <c r="A87" s="485">
        <v>46086</v>
      </c>
      <c r="B87" s="413" t="s">
        <v>869</v>
      </c>
      <c r="C87" s="68" t="s">
        <v>185</v>
      </c>
      <c r="D87" s="42">
        <v>61541865</v>
      </c>
      <c r="E87" s="1" t="s">
        <v>184</v>
      </c>
      <c r="F87" s="36">
        <v>2</v>
      </c>
      <c r="G87" s="7">
        <v>14700</v>
      </c>
      <c r="H87" s="36">
        <f t="shared" si="4"/>
        <v>29400</v>
      </c>
      <c r="I87" s="67"/>
      <c r="J87" s="67"/>
      <c r="K87" s="67"/>
      <c r="L87" s="67"/>
    </row>
    <row r="88" spans="1:12" ht="18.75" customHeight="1" x14ac:dyDescent="0.4">
      <c r="A88" s="485">
        <v>46091</v>
      </c>
      <c r="B88" s="413" t="s">
        <v>869</v>
      </c>
      <c r="C88" s="6" t="s">
        <v>181</v>
      </c>
      <c r="D88" s="42">
        <v>61541861</v>
      </c>
      <c r="E88" s="1" t="s">
        <v>13</v>
      </c>
      <c r="F88" s="36">
        <v>1</v>
      </c>
      <c r="G88" s="7">
        <v>2275670</v>
      </c>
      <c r="H88" s="36">
        <f t="shared" si="4"/>
        <v>2275670</v>
      </c>
      <c r="I88" s="67" t="s">
        <v>1067</v>
      </c>
      <c r="J88" s="67"/>
      <c r="K88" s="67"/>
      <c r="L88" s="67"/>
    </row>
    <row r="89" spans="1:12" ht="18.75" customHeight="1" x14ac:dyDescent="0.4">
      <c r="A89" s="485">
        <v>46091</v>
      </c>
      <c r="B89" s="413" t="s">
        <v>869</v>
      </c>
      <c r="C89" s="6" t="s">
        <v>182</v>
      </c>
      <c r="D89" s="42">
        <v>61541862</v>
      </c>
      <c r="E89" s="1" t="s">
        <v>13</v>
      </c>
      <c r="F89" s="36">
        <v>1</v>
      </c>
      <c r="G89" s="7">
        <v>2275670</v>
      </c>
      <c r="H89" s="36">
        <f t="shared" si="4"/>
        <v>2275670</v>
      </c>
      <c r="I89" s="67" t="s">
        <v>1067</v>
      </c>
      <c r="J89" s="67"/>
      <c r="K89" s="67"/>
      <c r="L89" s="67"/>
    </row>
    <row r="90" spans="1:12" ht="18.75" customHeight="1" x14ac:dyDescent="0.4">
      <c r="A90" s="485">
        <v>46091</v>
      </c>
      <c r="B90" s="413" t="s">
        <v>869</v>
      </c>
      <c r="C90" s="68" t="s">
        <v>183</v>
      </c>
      <c r="D90" s="42">
        <v>61541863</v>
      </c>
      <c r="E90" s="1" t="s">
        <v>184</v>
      </c>
      <c r="F90" s="36">
        <v>1</v>
      </c>
      <c r="G90" s="7">
        <v>44000</v>
      </c>
      <c r="H90" s="36">
        <f t="shared" si="4"/>
        <v>44000</v>
      </c>
      <c r="I90" s="67" t="s">
        <v>1067</v>
      </c>
      <c r="J90" s="67"/>
      <c r="K90" s="67"/>
      <c r="L90" s="67"/>
    </row>
    <row r="91" spans="1:12" ht="18.75" customHeight="1" x14ac:dyDescent="0.4">
      <c r="A91" s="485">
        <v>46091</v>
      </c>
      <c r="B91" s="413" t="s">
        <v>869</v>
      </c>
      <c r="C91" s="68" t="s">
        <v>183</v>
      </c>
      <c r="D91" s="42">
        <v>61541864</v>
      </c>
      <c r="E91" s="1" t="s">
        <v>184</v>
      </c>
      <c r="F91" s="36">
        <v>1</v>
      </c>
      <c r="G91" s="7">
        <v>44000</v>
      </c>
      <c r="H91" s="36">
        <f t="shared" si="4"/>
        <v>44000</v>
      </c>
      <c r="I91" s="67" t="s">
        <v>1067</v>
      </c>
      <c r="J91" s="67"/>
      <c r="K91" s="67"/>
      <c r="L91" s="67"/>
    </row>
    <row r="92" spans="1:12" ht="18.75" customHeight="1" x14ac:dyDescent="0.4">
      <c r="A92" s="485">
        <v>46091</v>
      </c>
      <c r="B92" s="413" t="s">
        <v>869</v>
      </c>
      <c r="C92" s="68" t="s">
        <v>185</v>
      </c>
      <c r="D92" s="42">
        <v>61541865</v>
      </c>
      <c r="E92" s="1" t="s">
        <v>184</v>
      </c>
      <c r="F92" s="36">
        <v>2</v>
      </c>
      <c r="G92" s="7">
        <v>14700</v>
      </c>
      <c r="H92" s="36">
        <f t="shared" si="4"/>
        <v>29400</v>
      </c>
      <c r="I92" s="67" t="s">
        <v>1067</v>
      </c>
      <c r="J92" s="67"/>
      <c r="K92" s="67"/>
      <c r="L92" s="67"/>
    </row>
    <row r="93" spans="1:12" ht="18.75" customHeight="1" x14ac:dyDescent="0.4">
      <c r="A93" s="485">
        <v>46094</v>
      </c>
      <c r="B93" s="413" t="s">
        <v>869</v>
      </c>
      <c r="C93" s="6" t="s">
        <v>181</v>
      </c>
      <c r="D93" s="42">
        <v>61541861</v>
      </c>
      <c r="E93" s="1" t="s">
        <v>13</v>
      </c>
      <c r="F93" s="36">
        <v>4</v>
      </c>
      <c r="G93" s="7">
        <v>2275670</v>
      </c>
      <c r="H93" s="36">
        <f t="shared" si="4"/>
        <v>9102680</v>
      </c>
      <c r="I93" s="67"/>
      <c r="J93" s="67"/>
      <c r="K93" s="67"/>
      <c r="L93" s="67"/>
    </row>
    <row r="94" spans="1:12" ht="18.75" customHeight="1" x14ac:dyDescent="0.4">
      <c r="A94" s="485">
        <v>46094</v>
      </c>
      <c r="B94" s="413" t="s">
        <v>869</v>
      </c>
      <c r="C94" s="6" t="s">
        <v>182</v>
      </c>
      <c r="D94" s="42">
        <v>61541862</v>
      </c>
      <c r="E94" s="1" t="s">
        <v>13</v>
      </c>
      <c r="F94" s="36">
        <v>4</v>
      </c>
      <c r="G94" s="7">
        <v>2275670</v>
      </c>
      <c r="H94" s="36">
        <f t="shared" si="4"/>
        <v>9102680</v>
      </c>
      <c r="I94" s="67"/>
      <c r="J94" s="67"/>
      <c r="K94" s="67"/>
      <c r="L94" s="67"/>
    </row>
    <row r="95" spans="1:12" ht="18.75" customHeight="1" x14ac:dyDescent="0.4">
      <c r="A95" s="485">
        <v>46094</v>
      </c>
      <c r="B95" s="413" t="s">
        <v>869</v>
      </c>
      <c r="C95" s="67" t="s">
        <v>183</v>
      </c>
      <c r="D95" s="42">
        <v>61541863</v>
      </c>
      <c r="E95" s="1" t="s">
        <v>184</v>
      </c>
      <c r="F95" s="36">
        <v>4</v>
      </c>
      <c r="G95" s="7">
        <v>44000</v>
      </c>
      <c r="H95" s="36">
        <f t="shared" si="4"/>
        <v>176000</v>
      </c>
      <c r="I95" s="67"/>
      <c r="J95" s="67"/>
      <c r="K95" s="67"/>
      <c r="L95" s="67"/>
    </row>
    <row r="96" spans="1:12" ht="18.75" customHeight="1" x14ac:dyDescent="0.4">
      <c r="A96" s="485">
        <v>46094</v>
      </c>
      <c r="B96" s="413" t="s">
        <v>869</v>
      </c>
      <c r="C96" s="67" t="s">
        <v>183</v>
      </c>
      <c r="D96" s="42">
        <v>61541864</v>
      </c>
      <c r="E96" s="1" t="s">
        <v>184</v>
      </c>
      <c r="F96" s="36">
        <v>4</v>
      </c>
      <c r="G96" s="7">
        <v>44000</v>
      </c>
      <c r="H96" s="36">
        <f t="shared" si="4"/>
        <v>176000</v>
      </c>
      <c r="I96" s="67"/>
      <c r="J96" s="67"/>
      <c r="K96" s="67"/>
      <c r="L96" s="67"/>
    </row>
    <row r="97" spans="1:14" ht="18.75" customHeight="1" x14ac:dyDescent="0.4">
      <c r="A97" s="485">
        <v>46094</v>
      </c>
      <c r="B97" s="413" t="s">
        <v>869</v>
      </c>
      <c r="C97" s="67" t="s">
        <v>185</v>
      </c>
      <c r="D97" s="42">
        <v>61541865</v>
      </c>
      <c r="E97" s="1" t="s">
        <v>184</v>
      </c>
      <c r="F97" s="36">
        <v>8</v>
      </c>
      <c r="G97" s="7">
        <v>14700</v>
      </c>
      <c r="H97" s="36">
        <f t="shared" si="4"/>
        <v>117600</v>
      </c>
      <c r="I97" s="67"/>
      <c r="J97" s="67"/>
      <c r="K97" s="67"/>
      <c r="L97" s="67"/>
    </row>
    <row r="98" spans="1:14" ht="18.75" customHeight="1" x14ac:dyDescent="0.4">
      <c r="A98" s="485">
        <v>46107</v>
      </c>
      <c r="B98" s="413" t="s">
        <v>869</v>
      </c>
      <c r="C98" s="67" t="s">
        <v>183</v>
      </c>
      <c r="D98" s="42">
        <v>61541863</v>
      </c>
      <c r="E98" s="1" t="s">
        <v>184</v>
      </c>
      <c r="F98" s="36">
        <v>1</v>
      </c>
      <c r="G98" s="7">
        <v>51000</v>
      </c>
      <c r="H98" s="36">
        <f>F98*G98</f>
        <v>51000</v>
      </c>
      <c r="I98" s="67"/>
      <c r="J98" s="67"/>
      <c r="K98" s="67"/>
      <c r="L98" s="67" t="s">
        <v>1068</v>
      </c>
    </row>
    <row r="99" spans="1:14" ht="18.75" customHeight="1" x14ac:dyDescent="0.4">
      <c r="A99" s="485">
        <v>46107</v>
      </c>
      <c r="B99" s="413" t="s">
        <v>869</v>
      </c>
      <c r="C99" s="67" t="s">
        <v>183</v>
      </c>
      <c r="D99" s="42">
        <v>61541864</v>
      </c>
      <c r="E99" s="1" t="s">
        <v>184</v>
      </c>
      <c r="F99" s="36">
        <v>1</v>
      </c>
      <c r="G99" s="7">
        <v>51000</v>
      </c>
      <c r="H99" s="36">
        <f>F99*G99</f>
        <v>51000</v>
      </c>
      <c r="I99" s="67"/>
      <c r="J99" s="67"/>
      <c r="K99" s="67"/>
      <c r="L99" s="67" t="s">
        <v>1068</v>
      </c>
    </row>
    <row r="100" spans="1:14" ht="18.75" customHeight="1" x14ac:dyDescent="0.4">
      <c r="A100" s="485">
        <v>46107</v>
      </c>
      <c r="B100" s="413" t="s">
        <v>869</v>
      </c>
      <c r="C100" s="67" t="s">
        <v>185</v>
      </c>
      <c r="D100" s="42">
        <v>61541865</v>
      </c>
      <c r="E100" s="1" t="s">
        <v>184</v>
      </c>
      <c r="F100" s="36">
        <v>4</v>
      </c>
      <c r="G100" s="7">
        <v>16300</v>
      </c>
      <c r="H100" s="36">
        <f>F100*G100</f>
        <v>65200</v>
      </c>
      <c r="I100" s="67"/>
      <c r="J100" s="67"/>
      <c r="K100" s="67"/>
      <c r="L100" s="67" t="s">
        <v>1068</v>
      </c>
    </row>
    <row r="101" spans="1:14" s="78" customFormat="1" ht="20.25" customHeight="1" x14ac:dyDescent="0.4">
      <c r="A101" s="485">
        <v>46091</v>
      </c>
      <c r="B101" s="59" t="s">
        <v>557</v>
      </c>
      <c r="C101" s="107" t="s">
        <v>844</v>
      </c>
      <c r="D101" s="76"/>
      <c r="E101" s="76"/>
      <c r="F101" s="108"/>
      <c r="G101" s="7"/>
      <c r="H101" s="7">
        <v>-9251388</v>
      </c>
      <c r="I101" s="508"/>
      <c r="J101" s="7"/>
      <c r="K101" s="7"/>
      <c r="L101" s="61"/>
      <c r="M101" s="365"/>
      <c r="N101" s="9"/>
    </row>
    <row r="102" spans="1:14" s="78" customFormat="1" ht="20.25" customHeight="1" x14ac:dyDescent="0.4">
      <c r="A102" s="485">
        <v>46101</v>
      </c>
      <c r="B102" s="59" t="s">
        <v>557</v>
      </c>
      <c r="C102" s="107" t="s">
        <v>844</v>
      </c>
      <c r="D102" s="76"/>
      <c r="E102" s="76"/>
      <c r="F102" s="108"/>
      <c r="G102" s="7"/>
      <c r="H102" s="7">
        <v>-9251387</v>
      </c>
      <c r="I102" s="61"/>
      <c r="J102" s="7"/>
      <c r="K102" s="7"/>
      <c r="L102" s="61"/>
      <c r="M102" s="365"/>
      <c r="N102" s="9"/>
    </row>
    <row r="103" spans="1:14" ht="18.75" customHeight="1" x14ac:dyDescent="0.4">
      <c r="A103" s="485">
        <v>46107</v>
      </c>
      <c r="B103" s="413" t="s">
        <v>869</v>
      </c>
      <c r="C103" s="6" t="s">
        <v>181</v>
      </c>
      <c r="D103" s="42">
        <v>61541861</v>
      </c>
      <c r="E103" s="1" t="s">
        <v>13</v>
      </c>
      <c r="F103" s="36">
        <v>5</v>
      </c>
      <c r="G103" s="7">
        <v>2275670</v>
      </c>
      <c r="H103" s="36">
        <f t="shared" si="4"/>
        <v>11378350</v>
      </c>
      <c r="I103" s="67" t="s">
        <v>1242</v>
      </c>
      <c r="J103" s="67"/>
      <c r="K103" s="67"/>
      <c r="L103" s="67" t="s">
        <v>1068</v>
      </c>
    </row>
    <row r="104" spans="1:14" ht="18.75" customHeight="1" x14ac:dyDescent="0.4">
      <c r="A104" s="485">
        <v>46107</v>
      </c>
      <c r="B104" s="413" t="s">
        <v>869</v>
      </c>
      <c r="C104" s="6" t="s">
        <v>182</v>
      </c>
      <c r="D104" s="42">
        <v>61541862</v>
      </c>
      <c r="E104" s="1" t="s">
        <v>13</v>
      </c>
      <c r="F104" s="36">
        <v>5</v>
      </c>
      <c r="G104" s="7">
        <v>2275670</v>
      </c>
      <c r="H104" s="36">
        <f t="shared" si="4"/>
        <v>11378350</v>
      </c>
      <c r="I104" s="67" t="s">
        <v>1242</v>
      </c>
      <c r="J104" s="67"/>
      <c r="K104" s="67"/>
      <c r="L104" s="67" t="s">
        <v>1068</v>
      </c>
    </row>
    <row r="105" spans="1:14" ht="18.75" customHeight="1" x14ac:dyDescent="0.4">
      <c r="A105" s="485">
        <v>46107</v>
      </c>
      <c r="B105" s="413" t="s">
        <v>869</v>
      </c>
      <c r="C105" s="67" t="s">
        <v>183</v>
      </c>
      <c r="D105" s="42">
        <v>61541863</v>
      </c>
      <c r="E105" s="1" t="s">
        <v>184</v>
      </c>
      <c r="F105" s="36">
        <v>5</v>
      </c>
      <c r="G105" s="7">
        <v>44000</v>
      </c>
      <c r="H105" s="36">
        <f t="shared" si="4"/>
        <v>220000</v>
      </c>
      <c r="I105" s="67" t="s">
        <v>1242</v>
      </c>
      <c r="J105" s="67"/>
      <c r="K105" s="67"/>
      <c r="L105" s="67" t="s">
        <v>1068</v>
      </c>
    </row>
    <row r="106" spans="1:14" ht="18.75" customHeight="1" x14ac:dyDescent="0.4">
      <c r="A106" s="485">
        <v>46107</v>
      </c>
      <c r="B106" s="413" t="s">
        <v>869</v>
      </c>
      <c r="C106" s="67" t="s">
        <v>183</v>
      </c>
      <c r="D106" s="42">
        <v>61541864</v>
      </c>
      <c r="E106" s="1" t="s">
        <v>184</v>
      </c>
      <c r="F106" s="36">
        <v>5</v>
      </c>
      <c r="G106" s="7">
        <v>44000</v>
      </c>
      <c r="H106" s="36">
        <f t="shared" si="4"/>
        <v>220000</v>
      </c>
      <c r="I106" s="67" t="s">
        <v>1242</v>
      </c>
      <c r="J106" s="67"/>
      <c r="K106" s="67"/>
      <c r="L106" s="67" t="s">
        <v>1068</v>
      </c>
    </row>
    <row r="107" spans="1:14" ht="18.75" customHeight="1" x14ac:dyDescent="0.4">
      <c r="A107" s="485">
        <v>46107</v>
      </c>
      <c r="B107" s="413" t="s">
        <v>869</v>
      </c>
      <c r="C107" s="67" t="s">
        <v>185</v>
      </c>
      <c r="D107" s="42">
        <v>61541865</v>
      </c>
      <c r="E107" s="1" t="s">
        <v>184</v>
      </c>
      <c r="F107" s="36">
        <v>10</v>
      </c>
      <c r="G107" s="7">
        <v>14700</v>
      </c>
      <c r="H107" s="36">
        <f t="shared" si="4"/>
        <v>147000</v>
      </c>
      <c r="I107" s="67" t="s">
        <v>1242</v>
      </c>
      <c r="J107" s="67"/>
      <c r="K107" s="67"/>
      <c r="L107" s="67" t="s">
        <v>1068</v>
      </c>
    </row>
    <row r="108" spans="1:14" s="3" customFormat="1" ht="18.75" customHeight="1" x14ac:dyDescent="0.4">
      <c r="A108" s="483"/>
      <c r="B108" s="194"/>
      <c r="C108" s="40"/>
      <c r="D108" s="194"/>
      <c r="E108" s="194"/>
      <c r="F108" s="91"/>
      <c r="G108" s="138"/>
      <c r="H108" s="138">
        <f>SUM(H73:H102)</f>
        <v>28351825</v>
      </c>
      <c r="I108" s="138">
        <f>SUM(H73:H100)</f>
        <v>46854600</v>
      </c>
      <c r="J108" s="145"/>
      <c r="K108" s="145"/>
      <c r="L108" s="145"/>
      <c r="M108" s="89"/>
    </row>
    <row r="109" spans="1:14" s="113" customFormat="1" ht="18.75" customHeight="1" x14ac:dyDescent="0.4">
      <c r="A109" s="190">
        <v>46078</v>
      </c>
      <c r="B109" s="110" t="s">
        <v>58</v>
      </c>
      <c r="C109" s="29" t="s">
        <v>60</v>
      </c>
      <c r="D109" s="110" t="s">
        <v>282</v>
      </c>
      <c r="E109" s="110" t="s">
        <v>11</v>
      </c>
      <c r="F109" s="8">
        <v>178</v>
      </c>
      <c r="G109" s="414">
        <v>246000</v>
      </c>
      <c r="H109" s="8">
        <f t="shared" ref="H109:H117" si="5">F109*G109</f>
        <v>43788000</v>
      </c>
      <c r="I109" s="111" t="s">
        <v>870</v>
      </c>
      <c r="J109" s="111"/>
      <c r="K109" s="61"/>
      <c r="L109" s="116"/>
    </row>
    <row r="110" spans="1:14" s="19" customFormat="1" ht="18.75" customHeight="1" x14ac:dyDescent="0.4">
      <c r="A110" s="5">
        <v>46072</v>
      </c>
      <c r="B110" s="110" t="s">
        <v>58</v>
      </c>
      <c r="C110" s="29" t="s">
        <v>60</v>
      </c>
      <c r="D110" s="110" t="s">
        <v>498</v>
      </c>
      <c r="E110" s="110" t="s">
        <v>13</v>
      </c>
      <c r="F110" s="8">
        <v>4</v>
      </c>
      <c r="G110" s="81">
        <v>673000</v>
      </c>
      <c r="H110" s="8">
        <f t="shared" si="5"/>
        <v>2692000</v>
      </c>
      <c r="I110" s="111" t="s">
        <v>1225</v>
      </c>
      <c r="J110" s="404"/>
      <c r="K110" s="61"/>
      <c r="L110" s="126"/>
      <c r="M110" s="416"/>
    </row>
    <row r="111" spans="1:14" s="19" customFormat="1" ht="18.75" customHeight="1" x14ac:dyDescent="0.4">
      <c r="A111" s="5">
        <v>46072</v>
      </c>
      <c r="B111" s="110" t="s">
        <v>58</v>
      </c>
      <c r="C111" s="29" t="s">
        <v>60</v>
      </c>
      <c r="D111" s="110" t="s">
        <v>498</v>
      </c>
      <c r="E111" s="110" t="s">
        <v>13</v>
      </c>
      <c r="F111" s="8">
        <v>4</v>
      </c>
      <c r="G111" s="81">
        <v>673000</v>
      </c>
      <c r="H111" s="8">
        <f t="shared" si="5"/>
        <v>2692000</v>
      </c>
      <c r="I111" s="111" t="s">
        <v>1225</v>
      </c>
      <c r="J111" s="404"/>
      <c r="K111" s="61"/>
      <c r="L111" s="126"/>
      <c r="M111" s="416"/>
    </row>
    <row r="112" spans="1:14" s="113" customFormat="1" ht="18.75" customHeight="1" x14ac:dyDescent="0.4">
      <c r="A112" s="190">
        <v>46077</v>
      </c>
      <c r="B112" s="110" t="s">
        <v>58</v>
      </c>
      <c r="C112" s="29" t="s">
        <v>60</v>
      </c>
      <c r="D112" s="110" t="s">
        <v>498</v>
      </c>
      <c r="E112" s="110" t="s">
        <v>13</v>
      </c>
      <c r="F112" s="8">
        <v>4</v>
      </c>
      <c r="G112" s="81">
        <v>673000</v>
      </c>
      <c r="H112" s="8">
        <f t="shared" si="5"/>
        <v>2692000</v>
      </c>
      <c r="I112" s="111" t="s">
        <v>1226</v>
      </c>
      <c r="J112" s="111"/>
      <c r="K112" s="61"/>
      <c r="L112" s="116"/>
    </row>
    <row r="113" spans="1:13" s="19" customFormat="1" ht="18.75" customHeight="1" x14ac:dyDescent="0.4">
      <c r="A113" s="190">
        <v>46081</v>
      </c>
      <c r="B113" s="110" t="s">
        <v>58</v>
      </c>
      <c r="C113" s="29" t="s">
        <v>60</v>
      </c>
      <c r="D113" s="110" t="s">
        <v>498</v>
      </c>
      <c r="E113" s="110" t="s">
        <v>13</v>
      </c>
      <c r="F113" s="362">
        <v>32</v>
      </c>
      <c r="G113" s="81">
        <v>673000</v>
      </c>
      <c r="H113" s="8">
        <f t="shared" si="5"/>
        <v>21536000</v>
      </c>
      <c r="I113" s="111" t="s">
        <v>1227</v>
      </c>
      <c r="J113" s="404"/>
      <c r="K113" s="61"/>
      <c r="L113" s="126"/>
      <c r="M113" s="416"/>
    </row>
    <row r="114" spans="1:13" s="113" customFormat="1" ht="18.75" customHeight="1" x14ac:dyDescent="0.4">
      <c r="A114" s="190">
        <v>46080</v>
      </c>
      <c r="B114" s="110" t="s">
        <v>58</v>
      </c>
      <c r="C114" s="418" t="s">
        <v>875</v>
      </c>
      <c r="D114" s="110" t="s">
        <v>500</v>
      </c>
      <c r="E114" s="110" t="s">
        <v>11</v>
      </c>
      <c r="F114" s="362">
        <v>40</v>
      </c>
      <c r="G114" s="81">
        <v>566800</v>
      </c>
      <c r="H114" s="8">
        <f t="shared" si="5"/>
        <v>22672000</v>
      </c>
      <c r="I114" s="111" t="s">
        <v>876</v>
      </c>
      <c r="J114" s="111"/>
      <c r="K114" s="61"/>
      <c r="L114" s="116"/>
    </row>
    <row r="115" spans="1:13" s="113" customFormat="1" ht="18.75" customHeight="1" x14ac:dyDescent="0.4">
      <c r="A115" s="190">
        <v>46080</v>
      </c>
      <c r="B115" s="110" t="s">
        <v>58</v>
      </c>
      <c r="C115" s="418" t="s">
        <v>875</v>
      </c>
      <c r="D115" s="110" t="s">
        <v>502</v>
      </c>
      <c r="E115" s="110" t="s">
        <v>11</v>
      </c>
      <c r="F115" s="362">
        <v>40</v>
      </c>
      <c r="G115" s="81">
        <v>566800</v>
      </c>
      <c r="H115" s="8">
        <f t="shared" si="5"/>
        <v>22672000</v>
      </c>
      <c r="I115" s="111" t="s">
        <v>876</v>
      </c>
      <c r="J115" s="111"/>
      <c r="K115" s="61"/>
      <c r="L115" s="116"/>
    </row>
    <row r="116" spans="1:13" s="113" customFormat="1" ht="20.25" customHeight="1" x14ac:dyDescent="0.4">
      <c r="A116" s="190">
        <v>46081</v>
      </c>
      <c r="B116" s="33" t="s">
        <v>58</v>
      </c>
      <c r="C116" s="192" t="s">
        <v>189</v>
      </c>
      <c r="D116" s="76" t="s">
        <v>729</v>
      </c>
      <c r="E116" s="76"/>
      <c r="F116" s="480">
        <v>30</v>
      </c>
      <c r="G116" s="7">
        <v>489000</v>
      </c>
      <c r="H116" s="8">
        <f t="shared" si="5"/>
        <v>14670000</v>
      </c>
      <c r="I116" s="111" t="s">
        <v>879</v>
      </c>
      <c r="J116" s="111"/>
      <c r="K116" s="61"/>
      <c r="L116" s="116" t="s">
        <v>1036</v>
      </c>
    </row>
    <row r="117" spans="1:13" s="113" customFormat="1" ht="20.25" customHeight="1" x14ac:dyDescent="0.4">
      <c r="A117" s="482">
        <v>46106</v>
      </c>
      <c r="B117" s="33" t="s">
        <v>58</v>
      </c>
      <c r="C117" s="192" t="s">
        <v>189</v>
      </c>
      <c r="D117" s="76" t="s">
        <v>729</v>
      </c>
      <c r="E117" s="76"/>
      <c r="F117" s="7">
        <v>26</v>
      </c>
      <c r="G117" s="7">
        <v>489000</v>
      </c>
      <c r="H117" s="8">
        <f t="shared" si="5"/>
        <v>12714000</v>
      </c>
      <c r="I117" s="111" t="s">
        <v>1069</v>
      </c>
      <c r="J117" s="111"/>
      <c r="K117" s="111"/>
      <c r="L117" s="116"/>
    </row>
    <row r="118" spans="1:13" s="19" customFormat="1" ht="18.75" customHeight="1" x14ac:dyDescent="0.4">
      <c r="A118" s="5">
        <v>46072</v>
      </c>
      <c r="B118" s="110" t="s">
        <v>58</v>
      </c>
      <c r="C118" s="29" t="s">
        <v>60</v>
      </c>
      <c r="D118" s="110" t="s">
        <v>498</v>
      </c>
      <c r="E118" s="110" t="s">
        <v>13</v>
      </c>
      <c r="F118" s="8">
        <v>11</v>
      </c>
      <c r="G118" s="81">
        <v>673000</v>
      </c>
      <c r="H118" s="8" t="s">
        <v>186</v>
      </c>
      <c r="I118" s="111" t="s">
        <v>1228</v>
      </c>
      <c r="J118" s="404"/>
      <c r="K118" s="61" t="s">
        <v>1224</v>
      </c>
      <c r="L118" s="126"/>
      <c r="M118" s="416"/>
    </row>
    <row r="119" spans="1:13" s="3" customFormat="1" ht="21" customHeight="1" x14ac:dyDescent="0.4">
      <c r="A119" s="4">
        <v>45989</v>
      </c>
      <c r="B119" s="33" t="s">
        <v>58</v>
      </c>
      <c r="C119" s="192" t="s">
        <v>445</v>
      </c>
      <c r="D119" s="76" t="s">
        <v>446</v>
      </c>
      <c r="E119" s="76" t="s">
        <v>11</v>
      </c>
      <c r="F119" s="7">
        <v>8</v>
      </c>
      <c r="G119" s="7">
        <v>1671500</v>
      </c>
      <c r="H119" s="7">
        <f t="shared" ref="H119:H131" si="6">F119*G119</f>
        <v>13372000</v>
      </c>
      <c r="I119" s="61" t="s">
        <v>1229</v>
      </c>
      <c r="J119" s="27" t="s">
        <v>491</v>
      </c>
      <c r="K119" s="61" t="s">
        <v>1224</v>
      </c>
      <c r="L119" s="116"/>
      <c r="M119" s="89"/>
    </row>
    <row r="120" spans="1:13" s="3" customFormat="1" ht="19.5" customHeight="1" x14ac:dyDescent="0.4">
      <c r="A120" s="190">
        <v>46034</v>
      </c>
      <c r="B120" s="110" t="s">
        <v>58</v>
      </c>
      <c r="C120" s="29" t="s">
        <v>60</v>
      </c>
      <c r="D120" s="110" t="s">
        <v>722</v>
      </c>
      <c r="E120" s="110" t="s">
        <v>13</v>
      </c>
      <c r="F120" s="8">
        <v>1</v>
      </c>
      <c r="G120" s="81">
        <v>673000</v>
      </c>
      <c r="H120" s="8">
        <f t="shared" si="6"/>
        <v>673000</v>
      </c>
      <c r="I120" s="61" t="s">
        <v>1040</v>
      </c>
      <c r="J120" s="70"/>
      <c r="K120" s="61" t="s">
        <v>1224</v>
      </c>
      <c r="L120" s="116"/>
      <c r="M120" s="89"/>
    </row>
    <row r="121" spans="1:13" s="3" customFormat="1" ht="19.5" customHeight="1" x14ac:dyDescent="0.4">
      <c r="A121" s="190">
        <v>46034</v>
      </c>
      <c r="B121" s="110" t="s">
        <v>58</v>
      </c>
      <c r="C121" s="29" t="s">
        <v>60</v>
      </c>
      <c r="D121" s="110" t="s">
        <v>723</v>
      </c>
      <c r="E121" s="110" t="s">
        <v>13</v>
      </c>
      <c r="F121" s="8">
        <v>1</v>
      </c>
      <c r="G121" s="81">
        <v>673000</v>
      </c>
      <c r="H121" s="8">
        <f t="shared" si="6"/>
        <v>673000</v>
      </c>
      <c r="I121" s="61" t="s">
        <v>1040</v>
      </c>
      <c r="J121" s="70"/>
      <c r="K121" s="61" t="s">
        <v>1224</v>
      </c>
      <c r="L121" s="116"/>
      <c r="M121" s="89"/>
    </row>
    <row r="122" spans="1:13" s="3" customFormat="1" ht="19.5" customHeight="1" x14ac:dyDescent="0.4">
      <c r="A122" s="190">
        <v>46034</v>
      </c>
      <c r="B122" s="110" t="s">
        <v>58</v>
      </c>
      <c r="C122" s="29" t="s">
        <v>60</v>
      </c>
      <c r="D122" s="110" t="s">
        <v>724</v>
      </c>
      <c r="E122" s="110" t="s">
        <v>13</v>
      </c>
      <c r="F122" s="8">
        <v>9</v>
      </c>
      <c r="G122" s="81">
        <v>188000</v>
      </c>
      <c r="H122" s="8">
        <f t="shared" si="6"/>
        <v>1692000</v>
      </c>
      <c r="I122" s="61" t="s">
        <v>1040</v>
      </c>
      <c r="J122" s="70"/>
      <c r="K122" s="61" t="s">
        <v>1224</v>
      </c>
      <c r="L122" s="116"/>
      <c r="M122" s="89"/>
    </row>
    <row r="123" spans="1:13" s="3" customFormat="1" ht="19.5" customHeight="1" x14ac:dyDescent="0.4">
      <c r="A123" s="190">
        <v>46034</v>
      </c>
      <c r="B123" s="110" t="s">
        <v>725</v>
      </c>
      <c r="C123" s="29" t="s">
        <v>60</v>
      </c>
      <c r="D123" s="110" t="s">
        <v>726</v>
      </c>
      <c r="E123" s="110" t="s">
        <v>11</v>
      </c>
      <c r="F123" s="8">
        <v>6</v>
      </c>
      <c r="G123" s="81">
        <v>188000</v>
      </c>
      <c r="H123" s="8">
        <f t="shared" si="6"/>
        <v>1128000</v>
      </c>
      <c r="I123" s="61" t="s">
        <v>1040</v>
      </c>
      <c r="J123" s="70"/>
      <c r="K123" s="61" t="s">
        <v>1224</v>
      </c>
      <c r="L123" s="116"/>
      <c r="M123" s="89"/>
    </row>
    <row r="124" spans="1:13" s="28" customFormat="1" ht="19.5" customHeight="1" x14ac:dyDescent="0.4">
      <c r="A124" s="5">
        <v>46042</v>
      </c>
      <c r="B124" s="5" t="s">
        <v>58</v>
      </c>
      <c r="C124" s="24" t="s">
        <v>445</v>
      </c>
      <c r="D124" s="11" t="s">
        <v>497</v>
      </c>
      <c r="E124" s="11"/>
      <c r="F124" s="12">
        <v>8</v>
      </c>
      <c r="G124" s="12">
        <v>1671500</v>
      </c>
      <c r="H124" s="7">
        <f t="shared" si="6"/>
        <v>13372000</v>
      </c>
      <c r="I124" s="61" t="s">
        <v>1040</v>
      </c>
      <c r="J124" s="27" t="s">
        <v>491</v>
      </c>
      <c r="K124" s="61" t="s">
        <v>1224</v>
      </c>
      <c r="L124" s="126"/>
      <c r="M124" s="366"/>
    </row>
    <row r="125" spans="1:13" s="28" customFormat="1" ht="19.5" customHeight="1" x14ac:dyDescent="0.4">
      <c r="A125" s="5">
        <v>46042</v>
      </c>
      <c r="B125" s="5" t="s">
        <v>58</v>
      </c>
      <c r="C125" s="24" t="s">
        <v>447</v>
      </c>
      <c r="D125" s="11"/>
      <c r="E125" s="11"/>
      <c r="F125" s="12">
        <v>8</v>
      </c>
      <c r="G125" s="12"/>
      <c r="H125" s="17"/>
      <c r="I125" s="61" t="s">
        <v>1040</v>
      </c>
      <c r="J125" s="27" t="s">
        <v>491</v>
      </c>
      <c r="K125" s="61" t="s">
        <v>1224</v>
      </c>
      <c r="L125" s="126"/>
      <c r="M125" s="366"/>
    </row>
    <row r="126" spans="1:13" s="28" customFormat="1" ht="19.5" customHeight="1" x14ac:dyDescent="0.4">
      <c r="A126" s="5">
        <v>46052</v>
      </c>
      <c r="B126" s="5" t="s">
        <v>58</v>
      </c>
      <c r="C126" s="24" t="s">
        <v>445</v>
      </c>
      <c r="D126" s="11" t="s">
        <v>497</v>
      </c>
      <c r="E126" s="11"/>
      <c r="F126" s="12">
        <v>12</v>
      </c>
      <c r="G126" s="12">
        <v>1671500</v>
      </c>
      <c r="H126" s="7">
        <f t="shared" si="6"/>
        <v>20058000</v>
      </c>
      <c r="I126" s="61" t="s">
        <v>1040</v>
      </c>
      <c r="J126" s="27"/>
      <c r="K126" s="61" t="s">
        <v>1224</v>
      </c>
      <c r="L126" s="126"/>
      <c r="M126" s="366"/>
    </row>
    <row r="127" spans="1:13" s="113" customFormat="1" ht="18.75" customHeight="1" x14ac:dyDescent="0.4">
      <c r="A127" s="190">
        <v>46059</v>
      </c>
      <c r="B127" s="110" t="s">
        <v>58</v>
      </c>
      <c r="C127" s="29" t="s">
        <v>60</v>
      </c>
      <c r="D127" s="110" t="s">
        <v>498</v>
      </c>
      <c r="E127" s="110" t="s">
        <v>13</v>
      </c>
      <c r="F127" s="8">
        <v>8</v>
      </c>
      <c r="G127" s="81">
        <v>673000</v>
      </c>
      <c r="H127" s="8">
        <f t="shared" si="6"/>
        <v>5384000</v>
      </c>
      <c r="I127" s="111" t="s">
        <v>870</v>
      </c>
      <c r="J127" s="111"/>
      <c r="K127" s="61" t="s">
        <v>1224</v>
      </c>
      <c r="L127" s="116"/>
    </row>
    <row r="128" spans="1:13" s="113" customFormat="1" ht="18.75" customHeight="1" x14ac:dyDescent="0.4">
      <c r="A128" s="190">
        <v>46066</v>
      </c>
      <c r="B128" s="110" t="s">
        <v>58</v>
      </c>
      <c r="C128" s="29" t="s">
        <v>60</v>
      </c>
      <c r="D128" s="110" t="s">
        <v>282</v>
      </c>
      <c r="E128" s="110" t="s">
        <v>11</v>
      </c>
      <c r="F128" s="8">
        <v>8</v>
      </c>
      <c r="G128" s="414">
        <v>246000</v>
      </c>
      <c r="H128" s="8">
        <f t="shared" si="6"/>
        <v>1968000</v>
      </c>
      <c r="I128" s="111" t="s">
        <v>870</v>
      </c>
      <c r="J128" s="111"/>
      <c r="K128" s="61" t="s">
        <v>1224</v>
      </c>
      <c r="L128" s="116"/>
    </row>
    <row r="129" spans="1:13" s="113" customFormat="1" ht="18.75" customHeight="1" x14ac:dyDescent="0.4">
      <c r="A129" s="190">
        <v>46066</v>
      </c>
      <c r="B129" s="110" t="s">
        <v>58</v>
      </c>
      <c r="C129" s="29" t="s">
        <v>60</v>
      </c>
      <c r="D129" s="110" t="s">
        <v>285</v>
      </c>
      <c r="E129" s="110" t="s">
        <v>11</v>
      </c>
      <c r="F129" s="8">
        <v>8</v>
      </c>
      <c r="G129" s="414">
        <v>188000</v>
      </c>
      <c r="H129" s="8">
        <f t="shared" si="6"/>
        <v>1504000</v>
      </c>
      <c r="I129" s="111" t="s">
        <v>870</v>
      </c>
      <c r="J129" s="111"/>
      <c r="K129" s="61" t="s">
        <v>1224</v>
      </c>
      <c r="L129" s="116"/>
    </row>
    <row r="130" spans="1:13" s="19" customFormat="1" ht="18.75" customHeight="1" x14ac:dyDescent="0.4">
      <c r="A130" s="5">
        <v>46066</v>
      </c>
      <c r="B130" s="5" t="s">
        <v>58</v>
      </c>
      <c r="C130" s="415" t="s">
        <v>445</v>
      </c>
      <c r="D130" s="1" t="s">
        <v>497</v>
      </c>
      <c r="E130" s="110" t="s">
        <v>11</v>
      </c>
      <c r="F130" s="8">
        <v>36</v>
      </c>
      <c r="G130" s="8">
        <v>1671500</v>
      </c>
      <c r="H130" s="8">
        <f t="shared" si="6"/>
        <v>60174000</v>
      </c>
      <c r="I130" s="111" t="s">
        <v>872</v>
      </c>
      <c r="J130" s="404"/>
      <c r="K130" s="61" t="s">
        <v>1224</v>
      </c>
      <c r="L130" s="126"/>
      <c r="M130" s="416"/>
    </row>
    <row r="131" spans="1:13" s="19" customFormat="1" ht="18.75" customHeight="1" x14ac:dyDescent="0.4">
      <c r="A131" s="5">
        <v>46072</v>
      </c>
      <c r="B131" s="110" t="s">
        <v>58</v>
      </c>
      <c r="C131" s="29" t="s">
        <v>60</v>
      </c>
      <c r="D131" s="110" t="s">
        <v>498</v>
      </c>
      <c r="E131" s="110" t="s">
        <v>13</v>
      </c>
      <c r="F131" s="8">
        <v>11</v>
      </c>
      <c r="G131" s="81">
        <v>673000</v>
      </c>
      <c r="H131" s="8">
        <f t="shared" si="6"/>
        <v>7403000</v>
      </c>
      <c r="I131" s="111" t="s">
        <v>1230</v>
      </c>
      <c r="J131" s="404"/>
      <c r="K131" s="61" t="s">
        <v>1224</v>
      </c>
      <c r="L131" s="126"/>
      <c r="M131" s="416"/>
    </row>
    <row r="132" spans="1:13" s="19" customFormat="1" ht="18.75" customHeight="1" x14ac:dyDescent="0.4">
      <c r="A132" s="5">
        <v>46072</v>
      </c>
      <c r="B132" s="5" t="s">
        <v>58</v>
      </c>
      <c r="C132" s="415" t="s">
        <v>60</v>
      </c>
      <c r="D132" s="1" t="s">
        <v>522</v>
      </c>
      <c r="E132" s="1" t="s">
        <v>13</v>
      </c>
      <c r="F132" s="8">
        <v>5</v>
      </c>
      <c r="G132" s="8">
        <v>673000</v>
      </c>
      <c r="H132" s="17" t="s">
        <v>186</v>
      </c>
      <c r="I132" s="417" t="s">
        <v>612</v>
      </c>
      <c r="J132" s="404"/>
      <c r="K132" s="61" t="s">
        <v>1224</v>
      </c>
      <c r="L132" s="126"/>
      <c r="M132" s="416"/>
    </row>
    <row r="133" spans="1:13" s="19" customFormat="1" ht="18.75" customHeight="1" x14ac:dyDescent="0.4">
      <c r="A133" s="5">
        <v>46072</v>
      </c>
      <c r="B133" s="110" t="s">
        <v>58</v>
      </c>
      <c r="C133" s="29" t="s">
        <v>60</v>
      </c>
      <c r="D133" s="110" t="s">
        <v>723</v>
      </c>
      <c r="E133" s="110" t="s">
        <v>13</v>
      </c>
      <c r="F133" s="8">
        <v>1</v>
      </c>
      <c r="G133" s="81">
        <v>673000</v>
      </c>
      <c r="H133" s="17" t="s">
        <v>186</v>
      </c>
      <c r="I133" s="417" t="s">
        <v>612</v>
      </c>
      <c r="J133" s="404"/>
      <c r="K133" s="61" t="s">
        <v>1224</v>
      </c>
      <c r="L133" s="126"/>
      <c r="M133" s="416"/>
    </row>
    <row r="134" spans="1:13" s="113" customFormat="1" ht="18.75" customHeight="1" x14ac:dyDescent="0.4">
      <c r="A134" s="190">
        <v>46077</v>
      </c>
      <c r="B134" s="110" t="s">
        <v>58</v>
      </c>
      <c r="C134" s="29" t="s">
        <v>60</v>
      </c>
      <c r="D134" s="110" t="s">
        <v>498</v>
      </c>
      <c r="E134" s="110" t="s">
        <v>13</v>
      </c>
      <c r="F134" s="8">
        <v>5</v>
      </c>
      <c r="G134" s="81">
        <v>673000</v>
      </c>
      <c r="H134" s="8">
        <f>F134*G134</f>
        <v>3365000</v>
      </c>
      <c r="I134" s="111" t="s">
        <v>1231</v>
      </c>
      <c r="J134" s="111"/>
      <c r="K134" s="61" t="s">
        <v>1224</v>
      </c>
      <c r="L134" s="116"/>
    </row>
    <row r="135" spans="1:13" s="113" customFormat="1" ht="18.75" customHeight="1" x14ac:dyDescent="0.4">
      <c r="A135" s="190">
        <v>46077</v>
      </c>
      <c r="B135" s="110" t="s">
        <v>58</v>
      </c>
      <c r="C135" s="29" t="s">
        <v>60</v>
      </c>
      <c r="D135" s="110" t="s">
        <v>726</v>
      </c>
      <c r="E135" s="110" t="s">
        <v>13</v>
      </c>
      <c r="F135" s="8">
        <v>2</v>
      </c>
      <c r="G135" s="81">
        <v>188000</v>
      </c>
      <c r="H135" s="17" t="s">
        <v>186</v>
      </c>
      <c r="I135" s="417" t="s">
        <v>612</v>
      </c>
      <c r="J135" s="111"/>
      <c r="K135" s="61" t="s">
        <v>1224</v>
      </c>
      <c r="L135" s="116"/>
    </row>
    <row r="136" spans="1:13" s="19" customFormat="1" ht="18.75" customHeight="1" x14ac:dyDescent="0.4">
      <c r="A136" s="190">
        <v>46080</v>
      </c>
      <c r="B136" s="5" t="s">
        <v>58</v>
      </c>
      <c r="C136" s="415" t="s">
        <v>445</v>
      </c>
      <c r="D136" s="1" t="s">
        <v>497</v>
      </c>
      <c r="E136" s="110" t="s">
        <v>11</v>
      </c>
      <c r="F136" s="8">
        <v>24</v>
      </c>
      <c r="G136" s="8">
        <v>1671500</v>
      </c>
      <c r="H136" s="8">
        <f>F136*G136</f>
        <v>40116000</v>
      </c>
      <c r="I136" s="111" t="s">
        <v>877</v>
      </c>
      <c r="J136" s="404"/>
      <c r="K136" s="61" t="s">
        <v>1224</v>
      </c>
      <c r="L136" s="126"/>
      <c r="M136" s="416"/>
    </row>
    <row r="137" spans="1:13" s="19" customFormat="1" ht="18.75" customHeight="1" x14ac:dyDescent="0.4">
      <c r="A137" s="190">
        <v>46081</v>
      </c>
      <c r="B137" s="110" t="s">
        <v>58</v>
      </c>
      <c r="C137" s="29" t="s">
        <v>60</v>
      </c>
      <c r="D137" s="110" t="s">
        <v>498</v>
      </c>
      <c r="E137" s="110" t="s">
        <v>13</v>
      </c>
      <c r="F137" s="8">
        <v>18</v>
      </c>
      <c r="G137" s="81">
        <v>673000</v>
      </c>
      <c r="H137" s="8">
        <f>F137*G137</f>
        <v>12114000</v>
      </c>
      <c r="I137" s="111" t="s">
        <v>1232</v>
      </c>
      <c r="J137" s="404"/>
      <c r="K137" s="61" t="s">
        <v>1224</v>
      </c>
      <c r="L137" s="126"/>
      <c r="M137" s="416"/>
    </row>
    <row r="138" spans="1:13" s="19" customFormat="1" ht="18.75" customHeight="1" x14ac:dyDescent="0.4">
      <c r="A138" s="485">
        <v>46099</v>
      </c>
      <c r="B138" s="110" t="s">
        <v>58</v>
      </c>
      <c r="C138" s="29" t="s">
        <v>60</v>
      </c>
      <c r="D138" s="110" t="s">
        <v>498</v>
      </c>
      <c r="E138" s="110" t="s">
        <v>13</v>
      </c>
      <c r="F138" s="8">
        <v>5</v>
      </c>
      <c r="G138" s="81">
        <v>673000</v>
      </c>
      <c r="H138" s="8">
        <f>F138*G138</f>
        <v>3365000</v>
      </c>
      <c r="I138" s="111" t="s">
        <v>1233</v>
      </c>
      <c r="J138" s="404"/>
      <c r="K138" s="61" t="s">
        <v>1224</v>
      </c>
      <c r="L138" s="126"/>
      <c r="M138" s="416"/>
    </row>
    <row r="139" spans="1:13" s="19" customFormat="1" ht="18.75" customHeight="1" x14ac:dyDescent="0.4">
      <c r="A139" s="485">
        <v>46099</v>
      </c>
      <c r="B139" s="110" t="s">
        <v>58</v>
      </c>
      <c r="C139" s="29" t="s">
        <v>60</v>
      </c>
      <c r="D139" s="110" t="s">
        <v>498</v>
      </c>
      <c r="E139" s="110" t="s">
        <v>13</v>
      </c>
      <c r="F139" s="8">
        <v>10</v>
      </c>
      <c r="G139" s="81">
        <v>673000</v>
      </c>
      <c r="H139" s="8">
        <f>F139*G139</f>
        <v>6730000</v>
      </c>
      <c r="I139" s="111" t="s">
        <v>1234</v>
      </c>
      <c r="J139" s="404"/>
      <c r="K139" s="61" t="s">
        <v>1224</v>
      </c>
      <c r="L139" s="126"/>
      <c r="M139" s="416"/>
    </row>
    <row r="140" spans="1:13" s="113" customFormat="1" ht="18.75" customHeight="1" x14ac:dyDescent="0.4">
      <c r="A140" s="482">
        <v>46101</v>
      </c>
      <c r="B140" s="110" t="s">
        <v>58</v>
      </c>
      <c r="C140" s="29" t="s">
        <v>60</v>
      </c>
      <c r="D140" s="110" t="s">
        <v>282</v>
      </c>
      <c r="E140" s="110" t="s">
        <v>11</v>
      </c>
      <c r="F140" s="8">
        <v>199</v>
      </c>
      <c r="G140" s="81">
        <v>246000</v>
      </c>
      <c r="H140" s="8">
        <f t="shared" ref="H140:H148" si="7">F140*G140</f>
        <v>48954000</v>
      </c>
      <c r="I140" s="111" t="s">
        <v>870</v>
      </c>
      <c r="J140" s="111"/>
      <c r="K140" s="61" t="s">
        <v>1224</v>
      </c>
      <c r="L140" s="116"/>
    </row>
    <row r="141" spans="1:13" s="113" customFormat="1" ht="18.75" customHeight="1" x14ac:dyDescent="0.4">
      <c r="A141" s="482">
        <v>46101</v>
      </c>
      <c r="B141" s="110" t="s">
        <v>58</v>
      </c>
      <c r="C141" s="29" t="s">
        <v>60</v>
      </c>
      <c r="D141" s="110" t="s">
        <v>285</v>
      </c>
      <c r="E141" s="110" t="s">
        <v>11</v>
      </c>
      <c r="F141" s="8">
        <v>100</v>
      </c>
      <c r="G141" s="81">
        <v>188000</v>
      </c>
      <c r="H141" s="8">
        <f t="shared" si="7"/>
        <v>18800000</v>
      </c>
      <c r="I141" s="111" t="s">
        <v>870</v>
      </c>
      <c r="J141" s="111"/>
      <c r="K141" s="61" t="s">
        <v>1224</v>
      </c>
      <c r="L141" s="116"/>
    </row>
    <row r="142" spans="1:13" s="113" customFormat="1" ht="20.25" customHeight="1" x14ac:dyDescent="0.4">
      <c r="A142" s="482">
        <v>46106</v>
      </c>
      <c r="B142" s="33" t="s">
        <v>58</v>
      </c>
      <c r="C142" s="192" t="s">
        <v>189</v>
      </c>
      <c r="D142" s="76" t="s">
        <v>729</v>
      </c>
      <c r="E142" s="76"/>
      <c r="F142" s="7">
        <v>4</v>
      </c>
      <c r="G142" s="7">
        <v>489000</v>
      </c>
      <c r="H142" s="8">
        <f t="shared" si="7"/>
        <v>1956000</v>
      </c>
      <c r="I142" s="111" t="s">
        <v>1069</v>
      </c>
      <c r="J142" s="111"/>
      <c r="K142" s="61" t="s">
        <v>1224</v>
      </c>
      <c r="L142" s="116"/>
    </row>
    <row r="143" spans="1:13" s="113" customFormat="1" ht="20.25" customHeight="1" x14ac:dyDescent="0.4">
      <c r="A143" s="482">
        <v>46106</v>
      </c>
      <c r="B143" s="33" t="s">
        <v>58</v>
      </c>
      <c r="C143" s="192" t="s">
        <v>189</v>
      </c>
      <c r="D143" s="76" t="s">
        <v>729</v>
      </c>
      <c r="E143" s="76"/>
      <c r="F143" s="7">
        <v>30</v>
      </c>
      <c r="G143" s="7">
        <v>489000</v>
      </c>
      <c r="H143" s="8">
        <f t="shared" si="7"/>
        <v>14670000</v>
      </c>
      <c r="I143" s="111" t="s">
        <v>1069</v>
      </c>
      <c r="J143" s="111"/>
      <c r="K143" s="61" t="s">
        <v>1224</v>
      </c>
      <c r="L143" s="116"/>
    </row>
    <row r="144" spans="1:13" s="19" customFormat="1" ht="18.75" customHeight="1" x14ac:dyDescent="0.4">
      <c r="A144" s="485">
        <v>46106</v>
      </c>
      <c r="B144" s="110" t="s">
        <v>58</v>
      </c>
      <c r="C144" s="29" t="s">
        <v>60</v>
      </c>
      <c r="D144" s="110" t="s">
        <v>498</v>
      </c>
      <c r="E144" s="110" t="s">
        <v>13</v>
      </c>
      <c r="F144" s="8">
        <v>10</v>
      </c>
      <c r="G144" s="81">
        <v>673000</v>
      </c>
      <c r="H144" s="8">
        <f t="shared" si="7"/>
        <v>6730000</v>
      </c>
      <c r="I144" s="111" t="s">
        <v>1227</v>
      </c>
      <c r="J144" s="404"/>
      <c r="K144" s="61" t="s">
        <v>1224</v>
      </c>
      <c r="L144" s="126"/>
      <c r="M144" s="416"/>
    </row>
    <row r="145" spans="1:13" s="19" customFormat="1" ht="18.75" customHeight="1" x14ac:dyDescent="0.4">
      <c r="A145" s="485">
        <v>46106</v>
      </c>
      <c r="B145" s="110" t="s">
        <v>58</v>
      </c>
      <c r="C145" s="29" t="s">
        <v>60</v>
      </c>
      <c r="D145" s="110" t="s">
        <v>498</v>
      </c>
      <c r="E145" s="110" t="s">
        <v>13</v>
      </c>
      <c r="F145" s="8">
        <v>15</v>
      </c>
      <c r="G145" s="81">
        <v>673000</v>
      </c>
      <c r="H145" s="8">
        <f t="shared" si="7"/>
        <v>10095000</v>
      </c>
      <c r="I145" s="111" t="s">
        <v>1232</v>
      </c>
      <c r="J145" s="404"/>
      <c r="K145" s="61" t="s">
        <v>1224</v>
      </c>
      <c r="L145" s="126"/>
      <c r="M145" s="416"/>
    </row>
    <row r="146" spans="1:13" s="113" customFormat="1" ht="20.25" customHeight="1" x14ac:dyDescent="0.4">
      <c r="A146" s="482">
        <v>46111</v>
      </c>
      <c r="B146" s="33" t="s">
        <v>58</v>
      </c>
      <c r="C146" s="192" t="s">
        <v>189</v>
      </c>
      <c r="D146" s="76" t="s">
        <v>729</v>
      </c>
      <c r="E146" s="76"/>
      <c r="F146" s="7">
        <v>36</v>
      </c>
      <c r="G146" s="7">
        <v>489000</v>
      </c>
      <c r="H146" s="8">
        <f t="shared" si="7"/>
        <v>17604000</v>
      </c>
      <c r="I146" s="111"/>
      <c r="J146" s="111"/>
      <c r="K146" s="61" t="s">
        <v>1224</v>
      </c>
      <c r="L146" s="116"/>
    </row>
    <row r="147" spans="1:13" s="19" customFormat="1" ht="18.75" customHeight="1" x14ac:dyDescent="0.4">
      <c r="A147" s="485">
        <v>46112</v>
      </c>
      <c r="B147" s="110" t="s">
        <v>58</v>
      </c>
      <c r="C147" s="29" t="s">
        <v>60</v>
      </c>
      <c r="D147" s="110" t="s">
        <v>498</v>
      </c>
      <c r="E147" s="110" t="s">
        <v>13</v>
      </c>
      <c r="F147" s="8">
        <v>23</v>
      </c>
      <c r="G147" s="81">
        <v>673000</v>
      </c>
      <c r="H147" s="8">
        <f t="shared" si="7"/>
        <v>15479000</v>
      </c>
      <c r="I147" s="111" t="s">
        <v>1227</v>
      </c>
      <c r="J147" s="404"/>
      <c r="K147" s="61" t="s">
        <v>1224</v>
      </c>
      <c r="L147" s="126"/>
      <c r="M147" s="416"/>
    </row>
    <row r="148" spans="1:13" s="19" customFormat="1" ht="18.75" customHeight="1" x14ac:dyDescent="0.4">
      <c r="A148" s="485">
        <v>46112</v>
      </c>
      <c r="B148" s="110" t="s">
        <v>58</v>
      </c>
      <c r="C148" s="29" t="s">
        <v>60</v>
      </c>
      <c r="D148" s="110" t="s">
        <v>498</v>
      </c>
      <c r="E148" s="110" t="s">
        <v>13</v>
      </c>
      <c r="F148" s="8">
        <v>11</v>
      </c>
      <c r="G148" s="81">
        <v>673000</v>
      </c>
      <c r="H148" s="8">
        <f t="shared" si="7"/>
        <v>7403000</v>
      </c>
      <c r="I148" s="111" t="s">
        <v>1232</v>
      </c>
      <c r="J148" s="404"/>
      <c r="K148" s="61" t="s">
        <v>1224</v>
      </c>
      <c r="L148" s="126"/>
      <c r="M148" s="416"/>
    </row>
    <row r="149" spans="1:13" ht="20.25" customHeight="1" x14ac:dyDescent="0.4">
      <c r="A149" s="483"/>
      <c r="B149" s="194"/>
      <c r="C149" s="40"/>
      <c r="D149" s="194"/>
      <c r="E149" s="194"/>
      <c r="F149" s="91"/>
      <c r="G149" s="138"/>
      <c r="H149" s="138">
        <f>SUM(H109:H117)</f>
        <v>146128000</v>
      </c>
      <c r="I149" s="138"/>
      <c r="J149" s="145"/>
      <c r="K149" s="145"/>
      <c r="L149" s="145"/>
    </row>
    <row r="150" spans="1:13" s="19" customFormat="1" ht="20.25" customHeight="1" x14ac:dyDescent="0.4">
      <c r="A150" s="4">
        <v>46081</v>
      </c>
      <c r="B150" s="5" t="s">
        <v>356</v>
      </c>
      <c r="C150" s="415" t="s">
        <v>56</v>
      </c>
      <c r="D150" s="1" t="s">
        <v>503</v>
      </c>
      <c r="E150" s="1" t="s">
        <v>13</v>
      </c>
      <c r="F150" s="362">
        <v>10</v>
      </c>
      <c r="G150" s="8">
        <v>536960</v>
      </c>
      <c r="H150" s="8">
        <f>F150*G150</f>
        <v>5369600</v>
      </c>
      <c r="I150" s="139"/>
      <c r="J150" s="8"/>
      <c r="K150" s="398"/>
      <c r="L150" s="140"/>
      <c r="M150" s="31"/>
    </row>
    <row r="151" spans="1:13" s="19" customFormat="1" ht="20.25" customHeight="1" x14ac:dyDescent="0.4">
      <c r="A151" s="485">
        <v>46112</v>
      </c>
      <c r="B151" s="5" t="s">
        <v>356</v>
      </c>
      <c r="C151" s="415" t="s">
        <v>56</v>
      </c>
      <c r="D151" s="1" t="s">
        <v>503</v>
      </c>
      <c r="E151" s="1" t="s">
        <v>13</v>
      </c>
      <c r="F151" s="362">
        <v>30</v>
      </c>
      <c r="G151" s="8">
        <v>536960</v>
      </c>
      <c r="H151" s="8">
        <f>F151*G151</f>
        <v>16108800</v>
      </c>
      <c r="I151" s="139" t="s">
        <v>1241</v>
      </c>
      <c r="J151" s="8"/>
      <c r="K151" s="398"/>
      <c r="L151" s="140"/>
      <c r="M151" s="31"/>
    </row>
    <row r="152" spans="1:13" s="113" customFormat="1" ht="18.75" customHeight="1" x14ac:dyDescent="0.4">
      <c r="A152" s="483"/>
      <c r="B152" s="194"/>
      <c r="C152" s="40"/>
      <c r="D152" s="194"/>
      <c r="E152" s="194"/>
      <c r="F152" s="91"/>
      <c r="G152" s="91"/>
      <c r="H152" s="91">
        <f>SUM(H150)</f>
        <v>5369600</v>
      </c>
      <c r="I152" s="124"/>
      <c r="J152" s="124"/>
      <c r="K152" s="124"/>
      <c r="L152" s="124"/>
    </row>
    <row r="153" spans="1:13" s="261" customFormat="1" ht="18.75" customHeight="1" x14ac:dyDescent="0.4">
      <c r="A153" s="248">
        <v>46022</v>
      </c>
      <c r="B153" s="240" t="s">
        <v>218</v>
      </c>
      <c r="C153" s="259" t="s">
        <v>32</v>
      </c>
      <c r="D153" s="257" t="s">
        <v>624</v>
      </c>
      <c r="E153" s="257" t="s">
        <v>13</v>
      </c>
      <c r="F153" s="259">
        <v>2</v>
      </c>
      <c r="G153" s="259">
        <v>440000</v>
      </c>
      <c r="H153" s="511">
        <f>F153*G153</f>
        <v>880000</v>
      </c>
      <c r="I153" s="263" t="s">
        <v>834</v>
      </c>
      <c r="J153" s="260"/>
      <c r="K153" s="258" t="s">
        <v>706</v>
      </c>
      <c r="L153" s="258"/>
    </row>
    <row r="154" spans="1:13" s="261" customFormat="1" ht="20.25" customHeight="1" x14ac:dyDescent="0.4">
      <c r="A154" s="248">
        <v>46022</v>
      </c>
      <c r="B154" s="240" t="s">
        <v>218</v>
      </c>
      <c r="C154" s="259" t="s">
        <v>105</v>
      </c>
      <c r="D154" s="257" t="s">
        <v>625</v>
      </c>
      <c r="E154" s="257" t="s">
        <v>13</v>
      </c>
      <c r="F154" s="259">
        <v>3</v>
      </c>
      <c r="G154" s="259">
        <v>1168000</v>
      </c>
      <c r="H154" s="511">
        <f>F154*G154</f>
        <v>3504000</v>
      </c>
      <c r="I154" s="263" t="s">
        <v>834</v>
      </c>
      <c r="J154" s="260"/>
      <c r="K154" s="258" t="s">
        <v>706</v>
      </c>
      <c r="L154" s="258"/>
    </row>
    <row r="155" spans="1:13" s="78" customFormat="1" ht="18.75" customHeight="1" x14ac:dyDescent="0.4">
      <c r="A155" s="105">
        <v>46080</v>
      </c>
      <c r="B155" s="106" t="s">
        <v>61</v>
      </c>
      <c r="C155" s="192" t="s">
        <v>99</v>
      </c>
      <c r="D155" s="367" t="s">
        <v>100</v>
      </c>
      <c r="E155" s="76"/>
      <c r="F155" s="422">
        <v>1</v>
      </c>
      <c r="G155" s="7">
        <v>543000</v>
      </c>
      <c r="H155" s="510">
        <f t="shared" ref="H155:H171" si="8">+G155*F155</f>
        <v>543000</v>
      </c>
      <c r="I155" s="141" t="s">
        <v>70</v>
      </c>
      <c r="J155" s="72" t="s">
        <v>923</v>
      </c>
      <c r="K155" s="7"/>
      <c r="L155" s="368"/>
      <c r="M155" s="50"/>
    </row>
    <row r="156" spans="1:13" s="78" customFormat="1" ht="18.75" customHeight="1" x14ac:dyDescent="0.4">
      <c r="A156" s="105">
        <v>46080</v>
      </c>
      <c r="B156" s="106" t="s">
        <v>61</v>
      </c>
      <c r="C156" s="192" t="s">
        <v>99</v>
      </c>
      <c r="D156" s="367" t="s">
        <v>100</v>
      </c>
      <c r="E156" s="76"/>
      <c r="F156" s="422">
        <v>2</v>
      </c>
      <c r="G156" s="7">
        <v>543000</v>
      </c>
      <c r="H156" s="510">
        <f t="shared" si="8"/>
        <v>1086000</v>
      </c>
      <c r="I156" s="141" t="s">
        <v>70</v>
      </c>
      <c r="J156" s="72" t="s">
        <v>924</v>
      </c>
      <c r="K156" s="7"/>
      <c r="L156" s="368"/>
      <c r="M156" s="50"/>
    </row>
    <row r="157" spans="1:13" s="78" customFormat="1" ht="18.75" customHeight="1" x14ac:dyDescent="0.4">
      <c r="A157" s="105">
        <v>46080</v>
      </c>
      <c r="B157" s="106" t="s">
        <v>61</v>
      </c>
      <c r="C157" s="192" t="s">
        <v>68</v>
      </c>
      <c r="D157" s="367" t="s">
        <v>69</v>
      </c>
      <c r="E157" s="76"/>
      <c r="F157" s="422">
        <v>6</v>
      </c>
      <c r="G157" s="7">
        <v>359000</v>
      </c>
      <c r="H157" s="510">
        <f t="shared" si="8"/>
        <v>2154000</v>
      </c>
      <c r="I157" s="141" t="s">
        <v>70</v>
      </c>
      <c r="J157" s="72" t="s">
        <v>925</v>
      </c>
      <c r="K157" s="7"/>
      <c r="L157" s="368"/>
      <c r="M157" s="50"/>
    </row>
    <row r="158" spans="1:13" s="78" customFormat="1" ht="18.75" customHeight="1" x14ac:dyDescent="0.4">
      <c r="A158" s="105">
        <v>46080</v>
      </c>
      <c r="B158" s="106" t="s">
        <v>61</v>
      </c>
      <c r="C158" s="192" t="s">
        <v>68</v>
      </c>
      <c r="D158" s="367" t="s">
        <v>69</v>
      </c>
      <c r="E158" s="76"/>
      <c r="F158" s="422">
        <v>6</v>
      </c>
      <c r="G158" s="7">
        <v>359000</v>
      </c>
      <c r="H158" s="510">
        <f t="shared" si="8"/>
        <v>2154000</v>
      </c>
      <c r="I158" s="141" t="s">
        <v>70</v>
      </c>
      <c r="J158" s="72" t="s">
        <v>926</v>
      </c>
      <c r="K158" s="7"/>
      <c r="L158" s="368"/>
      <c r="M158" s="50"/>
    </row>
    <row r="159" spans="1:13" s="78" customFormat="1" ht="20.25" customHeight="1" x14ac:dyDescent="0.4">
      <c r="A159" s="105">
        <v>46080</v>
      </c>
      <c r="B159" s="106" t="s">
        <v>61</v>
      </c>
      <c r="C159" s="192" t="s">
        <v>68</v>
      </c>
      <c r="D159" s="367" t="s">
        <v>69</v>
      </c>
      <c r="E159" s="76"/>
      <c r="F159" s="422">
        <v>6</v>
      </c>
      <c r="G159" s="7">
        <v>359000</v>
      </c>
      <c r="H159" s="510">
        <f t="shared" si="8"/>
        <v>2154000</v>
      </c>
      <c r="I159" s="141" t="s">
        <v>70</v>
      </c>
      <c r="J159" s="72" t="s">
        <v>927</v>
      </c>
      <c r="K159" s="7"/>
      <c r="L159" s="368"/>
      <c r="M159" s="50"/>
    </row>
    <row r="160" spans="1:13" s="78" customFormat="1" ht="18.75" customHeight="1" x14ac:dyDescent="0.4">
      <c r="A160" s="105">
        <v>46080</v>
      </c>
      <c r="B160" s="106" t="s">
        <v>61</v>
      </c>
      <c r="C160" s="192" t="s">
        <v>202</v>
      </c>
      <c r="D160" s="367" t="s">
        <v>928</v>
      </c>
      <c r="E160" s="76"/>
      <c r="F160" s="422">
        <v>1</v>
      </c>
      <c r="G160" s="7">
        <v>384000</v>
      </c>
      <c r="H160" s="510">
        <f t="shared" si="8"/>
        <v>384000</v>
      </c>
      <c r="I160" s="141" t="s">
        <v>929</v>
      </c>
      <c r="J160" s="72" t="s">
        <v>930</v>
      </c>
      <c r="K160" s="7"/>
      <c r="L160" s="368"/>
      <c r="M160" s="50"/>
    </row>
    <row r="161" spans="1:13" s="78" customFormat="1" ht="18.75" customHeight="1" x14ac:dyDescent="0.4">
      <c r="A161" s="105">
        <v>46080</v>
      </c>
      <c r="B161" s="106" t="s">
        <v>61</v>
      </c>
      <c r="C161" s="192" t="s">
        <v>62</v>
      </c>
      <c r="D161" s="367" t="s">
        <v>75</v>
      </c>
      <c r="E161" s="76"/>
      <c r="F161" s="422">
        <v>3</v>
      </c>
      <c r="G161" s="7">
        <v>442000</v>
      </c>
      <c r="H161" s="510">
        <f t="shared" si="8"/>
        <v>1326000</v>
      </c>
      <c r="I161" s="141" t="s">
        <v>740</v>
      </c>
      <c r="J161" s="72" t="s">
        <v>931</v>
      </c>
      <c r="K161" s="7"/>
      <c r="L161" s="368"/>
      <c r="M161" s="50"/>
    </row>
    <row r="162" spans="1:13" s="78" customFormat="1" ht="18.75" customHeight="1" x14ac:dyDescent="0.4">
      <c r="A162" s="105">
        <v>46080</v>
      </c>
      <c r="B162" s="106" t="s">
        <v>61</v>
      </c>
      <c r="C162" s="192" t="s">
        <v>62</v>
      </c>
      <c r="D162" s="367" t="s">
        <v>75</v>
      </c>
      <c r="E162" s="76"/>
      <c r="F162" s="422">
        <v>6</v>
      </c>
      <c r="G162" s="7">
        <v>442000</v>
      </c>
      <c r="H162" s="510">
        <f t="shared" si="8"/>
        <v>2652000</v>
      </c>
      <c r="I162" s="141" t="s">
        <v>886</v>
      </c>
      <c r="J162" s="72" t="s">
        <v>932</v>
      </c>
      <c r="K162" s="7"/>
      <c r="L162" s="368"/>
      <c r="M162" s="50"/>
    </row>
    <row r="163" spans="1:13" s="78" customFormat="1" ht="18.75" customHeight="1" x14ac:dyDescent="0.4">
      <c r="A163" s="105">
        <v>46080</v>
      </c>
      <c r="B163" s="106" t="s">
        <v>61</v>
      </c>
      <c r="C163" s="192" t="s">
        <v>81</v>
      </c>
      <c r="D163" s="367" t="s">
        <v>82</v>
      </c>
      <c r="E163" s="76"/>
      <c r="F163" s="422">
        <v>10</v>
      </c>
      <c r="G163" s="7">
        <v>86300</v>
      </c>
      <c r="H163" s="510">
        <f t="shared" si="8"/>
        <v>863000</v>
      </c>
      <c r="I163" s="141" t="s">
        <v>886</v>
      </c>
      <c r="J163" s="72" t="s">
        <v>932</v>
      </c>
      <c r="K163" s="7"/>
      <c r="L163" s="368"/>
      <c r="M163" s="50"/>
    </row>
    <row r="164" spans="1:13" s="78" customFormat="1" ht="18.75" customHeight="1" x14ac:dyDescent="0.4">
      <c r="A164" s="105">
        <v>46080</v>
      </c>
      <c r="B164" s="106" t="s">
        <v>61</v>
      </c>
      <c r="C164" s="192" t="s">
        <v>64</v>
      </c>
      <c r="D164" s="367" t="s">
        <v>888</v>
      </c>
      <c r="E164" s="76"/>
      <c r="F164" s="422">
        <v>2</v>
      </c>
      <c r="G164" s="7">
        <v>1568700</v>
      </c>
      <c r="H164" s="510">
        <f t="shared" si="8"/>
        <v>3137400</v>
      </c>
      <c r="I164" s="141" t="s">
        <v>568</v>
      </c>
      <c r="J164" s="72" t="s">
        <v>930</v>
      </c>
      <c r="K164" s="7"/>
      <c r="L164" s="368"/>
      <c r="M164" s="50"/>
    </row>
    <row r="165" spans="1:13" s="78" customFormat="1" ht="18.75" customHeight="1" x14ac:dyDescent="0.4">
      <c r="A165" s="105">
        <v>46080</v>
      </c>
      <c r="B165" s="106" t="s">
        <v>61</v>
      </c>
      <c r="C165" s="192" t="s">
        <v>204</v>
      </c>
      <c r="D165" s="367" t="s">
        <v>205</v>
      </c>
      <c r="E165" s="76"/>
      <c r="F165" s="422">
        <v>3</v>
      </c>
      <c r="G165" s="7">
        <v>1295000</v>
      </c>
      <c r="H165" s="510">
        <f t="shared" si="8"/>
        <v>3885000</v>
      </c>
      <c r="I165" s="141" t="s">
        <v>740</v>
      </c>
      <c r="J165" s="72" t="s">
        <v>931</v>
      </c>
      <c r="K165" s="7"/>
      <c r="L165" s="368"/>
      <c r="M165" s="50"/>
    </row>
    <row r="166" spans="1:13" s="78" customFormat="1" ht="18.75" customHeight="1" x14ac:dyDescent="0.4">
      <c r="A166" s="105">
        <v>46080</v>
      </c>
      <c r="B166" s="106" t="s">
        <v>61</v>
      </c>
      <c r="C166" s="192" t="s">
        <v>204</v>
      </c>
      <c r="D166" s="367" t="s">
        <v>205</v>
      </c>
      <c r="E166" s="76"/>
      <c r="F166" s="422">
        <v>10</v>
      </c>
      <c r="G166" s="7">
        <v>1295000</v>
      </c>
      <c r="H166" s="510">
        <f t="shared" si="8"/>
        <v>12950000</v>
      </c>
      <c r="I166" s="141" t="s">
        <v>886</v>
      </c>
      <c r="J166" s="72" t="s">
        <v>932</v>
      </c>
      <c r="K166" s="7"/>
      <c r="L166" s="368"/>
      <c r="M166" s="50"/>
    </row>
    <row r="167" spans="1:13" s="78" customFormat="1" ht="18.75" customHeight="1" x14ac:dyDescent="0.4">
      <c r="A167" s="105">
        <v>46080</v>
      </c>
      <c r="B167" s="106" t="s">
        <v>61</v>
      </c>
      <c r="C167" s="192" t="s">
        <v>204</v>
      </c>
      <c r="D167" s="367" t="s">
        <v>205</v>
      </c>
      <c r="E167" s="76"/>
      <c r="F167" s="422">
        <v>3</v>
      </c>
      <c r="G167" s="7">
        <v>1295000</v>
      </c>
      <c r="H167" s="510">
        <f t="shared" si="8"/>
        <v>3885000</v>
      </c>
      <c r="I167" s="141" t="s">
        <v>887</v>
      </c>
      <c r="J167" s="72" t="s">
        <v>933</v>
      </c>
      <c r="K167" s="7"/>
      <c r="L167" s="368"/>
      <c r="M167" s="50"/>
    </row>
    <row r="168" spans="1:13" s="78" customFormat="1" ht="18.75" customHeight="1" x14ac:dyDescent="0.4">
      <c r="A168" s="105">
        <v>46080</v>
      </c>
      <c r="B168" s="106" t="s">
        <v>61</v>
      </c>
      <c r="C168" s="192" t="s">
        <v>81</v>
      </c>
      <c r="D168" s="367" t="s">
        <v>219</v>
      </c>
      <c r="E168" s="76"/>
      <c r="F168" s="422">
        <v>12</v>
      </c>
      <c r="G168" s="7">
        <v>78850</v>
      </c>
      <c r="H168" s="510">
        <f t="shared" si="8"/>
        <v>946200</v>
      </c>
      <c r="I168" s="141" t="s">
        <v>738</v>
      </c>
      <c r="J168" s="72" t="s">
        <v>934</v>
      </c>
      <c r="K168" s="7"/>
      <c r="L168" s="368"/>
      <c r="M168" s="50"/>
    </row>
    <row r="169" spans="1:13" s="78" customFormat="1" ht="18.75" customHeight="1" x14ac:dyDescent="0.4">
      <c r="A169" s="105">
        <v>46080</v>
      </c>
      <c r="B169" s="106" t="s">
        <v>61</v>
      </c>
      <c r="C169" s="192" t="s">
        <v>62</v>
      </c>
      <c r="D169" s="367" t="s">
        <v>209</v>
      </c>
      <c r="E169" s="76"/>
      <c r="F169" s="422">
        <v>12</v>
      </c>
      <c r="G169" s="7">
        <v>390000</v>
      </c>
      <c r="H169" s="510">
        <f t="shared" si="8"/>
        <v>4680000</v>
      </c>
      <c r="I169" s="141" t="s">
        <v>935</v>
      </c>
      <c r="J169" s="72" t="s">
        <v>936</v>
      </c>
      <c r="K169" s="7" t="s">
        <v>937</v>
      </c>
      <c r="L169" s="368"/>
      <c r="M169" s="50"/>
    </row>
    <row r="170" spans="1:13" s="3" customFormat="1" ht="18.75" customHeight="1" x14ac:dyDescent="0.4">
      <c r="A170" s="118">
        <v>46080</v>
      </c>
      <c r="B170" s="103" t="s">
        <v>61</v>
      </c>
      <c r="C170" s="115" t="s">
        <v>428</v>
      </c>
      <c r="D170" s="459" t="s">
        <v>289</v>
      </c>
      <c r="E170" s="42"/>
      <c r="F170" s="506">
        <v>6</v>
      </c>
      <c r="G170" s="8">
        <v>390000</v>
      </c>
      <c r="H170" s="510">
        <f t="shared" si="8"/>
        <v>2340000</v>
      </c>
      <c r="I170" s="191" t="s">
        <v>938</v>
      </c>
      <c r="J170" s="70" t="s">
        <v>934</v>
      </c>
      <c r="K170" s="8" t="s">
        <v>939</v>
      </c>
      <c r="L170" s="490"/>
      <c r="M170" s="113"/>
    </row>
    <row r="171" spans="1:13" s="3" customFormat="1" ht="18.75" customHeight="1" x14ac:dyDescent="0.4">
      <c r="A171" s="118">
        <v>46085</v>
      </c>
      <c r="B171" s="103" t="s">
        <v>61</v>
      </c>
      <c r="C171" s="115" t="s">
        <v>301</v>
      </c>
      <c r="D171" s="459" t="s">
        <v>302</v>
      </c>
      <c r="E171" s="42"/>
      <c r="F171" s="506">
        <v>1</v>
      </c>
      <c r="G171" s="8">
        <v>550000</v>
      </c>
      <c r="H171" s="510">
        <f t="shared" si="8"/>
        <v>550000</v>
      </c>
      <c r="I171" s="191" t="s">
        <v>70</v>
      </c>
      <c r="J171" s="70">
        <v>46085</v>
      </c>
      <c r="K171" s="8"/>
      <c r="L171" s="490"/>
      <c r="M171" s="113"/>
    </row>
    <row r="172" spans="1:13" s="3" customFormat="1" ht="18.75" customHeight="1" x14ac:dyDescent="0.4">
      <c r="A172" s="482">
        <v>46087</v>
      </c>
      <c r="B172" s="106" t="s">
        <v>61</v>
      </c>
      <c r="C172" s="29" t="s">
        <v>1070</v>
      </c>
      <c r="D172" s="110" t="s">
        <v>1071</v>
      </c>
      <c r="E172" s="110"/>
      <c r="F172" s="81">
        <v>1</v>
      </c>
      <c r="G172" s="49">
        <v>132000</v>
      </c>
      <c r="H172" s="509">
        <f t="shared" ref="H172:H235" si="9">F172*G172</f>
        <v>132000</v>
      </c>
      <c r="I172" s="49" t="s">
        <v>1072</v>
      </c>
      <c r="J172" s="486">
        <v>45912</v>
      </c>
      <c r="K172" s="144"/>
      <c r="L172" s="144"/>
      <c r="M172" s="89">
        <v>1</v>
      </c>
    </row>
    <row r="173" spans="1:13" s="3" customFormat="1" ht="18.75" customHeight="1" x14ac:dyDescent="0.4">
      <c r="A173" s="482">
        <v>46087</v>
      </c>
      <c r="B173" s="106" t="s">
        <v>61</v>
      </c>
      <c r="C173" s="29" t="s">
        <v>1070</v>
      </c>
      <c r="D173" s="110" t="s">
        <v>1073</v>
      </c>
      <c r="E173" s="110"/>
      <c r="F173" s="81">
        <v>1</v>
      </c>
      <c r="G173" s="49">
        <v>132000</v>
      </c>
      <c r="H173" s="509">
        <f t="shared" si="9"/>
        <v>132000</v>
      </c>
      <c r="I173" s="49" t="s">
        <v>1074</v>
      </c>
      <c r="J173" s="486">
        <v>45912</v>
      </c>
      <c r="K173" s="144"/>
      <c r="L173" s="144"/>
      <c r="M173" s="89">
        <v>2</v>
      </c>
    </row>
    <row r="174" spans="1:13" s="3" customFormat="1" ht="18.75" customHeight="1" x14ac:dyDescent="0.4">
      <c r="A174" s="482">
        <v>46091</v>
      </c>
      <c r="B174" s="106" t="s">
        <v>61</v>
      </c>
      <c r="C174" s="29" t="s">
        <v>571</v>
      </c>
      <c r="D174" s="110" t="s">
        <v>572</v>
      </c>
      <c r="E174" s="110"/>
      <c r="F174" s="81">
        <v>1</v>
      </c>
      <c r="G174" s="49">
        <v>384730</v>
      </c>
      <c r="H174" s="509">
        <f t="shared" si="9"/>
        <v>384730</v>
      </c>
      <c r="I174" s="49" t="s">
        <v>1075</v>
      </c>
      <c r="J174" s="486">
        <v>46091</v>
      </c>
      <c r="K174" s="144"/>
      <c r="L174" s="144"/>
      <c r="M174" s="89">
        <v>3</v>
      </c>
    </row>
    <row r="175" spans="1:13" s="3" customFormat="1" ht="18.75" customHeight="1" x14ac:dyDescent="0.4">
      <c r="A175" s="482">
        <v>46091</v>
      </c>
      <c r="B175" s="106" t="s">
        <v>61</v>
      </c>
      <c r="C175" s="29" t="s">
        <v>78</v>
      </c>
      <c r="D175" s="110" t="s">
        <v>79</v>
      </c>
      <c r="E175" s="110"/>
      <c r="F175" s="81">
        <v>4</v>
      </c>
      <c r="G175" s="49">
        <v>90500</v>
      </c>
      <c r="H175" s="509">
        <f t="shared" si="9"/>
        <v>362000</v>
      </c>
      <c r="I175" s="49" t="s">
        <v>919</v>
      </c>
      <c r="J175" s="486">
        <v>46091</v>
      </c>
      <c r="K175" s="144"/>
      <c r="L175" s="144"/>
      <c r="M175" s="89">
        <v>4</v>
      </c>
    </row>
    <row r="176" spans="1:13" s="3" customFormat="1" ht="18.75" customHeight="1" x14ac:dyDescent="0.4">
      <c r="A176" s="482">
        <v>46091</v>
      </c>
      <c r="B176" s="106" t="s">
        <v>61</v>
      </c>
      <c r="C176" s="29" t="s">
        <v>78</v>
      </c>
      <c r="D176" s="110" t="s">
        <v>79</v>
      </c>
      <c r="E176" s="110"/>
      <c r="F176" s="81">
        <v>6</v>
      </c>
      <c r="G176" s="49">
        <v>90500</v>
      </c>
      <c r="H176" s="509">
        <f t="shared" si="9"/>
        <v>543000</v>
      </c>
      <c r="I176" s="49" t="s">
        <v>920</v>
      </c>
      <c r="J176" s="486">
        <v>46091</v>
      </c>
      <c r="K176" s="144"/>
      <c r="L176" s="144"/>
      <c r="M176" s="89">
        <v>5</v>
      </c>
    </row>
    <row r="177" spans="1:13" s="3" customFormat="1" ht="18.75" customHeight="1" x14ac:dyDescent="0.4">
      <c r="A177" s="482">
        <v>46091</v>
      </c>
      <c r="B177" s="106" t="s">
        <v>61</v>
      </c>
      <c r="C177" s="29" t="s">
        <v>78</v>
      </c>
      <c r="D177" s="110" t="s">
        <v>79</v>
      </c>
      <c r="E177" s="110"/>
      <c r="F177" s="81">
        <v>10</v>
      </c>
      <c r="G177" s="49">
        <v>90500</v>
      </c>
      <c r="H177" s="509">
        <f t="shared" si="9"/>
        <v>905000</v>
      </c>
      <c r="I177" s="49" t="s">
        <v>886</v>
      </c>
      <c r="J177" s="486">
        <v>46091</v>
      </c>
      <c r="K177" s="144"/>
      <c r="L177" s="144"/>
      <c r="M177" s="89">
        <v>6</v>
      </c>
    </row>
    <row r="178" spans="1:13" s="3" customFormat="1" ht="18.75" customHeight="1" x14ac:dyDescent="0.4">
      <c r="A178" s="482">
        <v>46091</v>
      </c>
      <c r="B178" s="106" t="s">
        <v>61</v>
      </c>
      <c r="C178" s="29" t="s">
        <v>71</v>
      </c>
      <c r="D178" s="110" t="s">
        <v>72</v>
      </c>
      <c r="E178" s="110"/>
      <c r="F178" s="81">
        <v>10</v>
      </c>
      <c r="G178" s="49">
        <v>548000</v>
      </c>
      <c r="H178" s="509">
        <f t="shared" si="9"/>
        <v>5480000</v>
      </c>
      <c r="I178" s="49" t="s">
        <v>886</v>
      </c>
      <c r="J178" s="486">
        <v>46091</v>
      </c>
      <c r="K178" s="144"/>
      <c r="L178" s="144"/>
      <c r="M178" s="89">
        <v>7</v>
      </c>
    </row>
    <row r="179" spans="1:13" s="3" customFormat="1" ht="18.75" customHeight="1" x14ac:dyDescent="0.4">
      <c r="A179" s="482">
        <v>46091</v>
      </c>
      <c r="B179" s="106" t="s">
        <v>61</v>
      </c>
      <c r="C179" s="29" t="s">
        <v>67</v>
      </c>
      <c r="D179" s="110" t="s">
        <v>80</v>
      </c>
      <c r="E179" s="110"/>
      <c r="F179" s="81">
        <v>5</v>
      </c>
      <c r="G179" s="49">
        <v>384000</v>
      </c>
      <c r="H179" s="509">
        <f t="shared" si="9"/>
        <v>1920000</v>
      </c>
      <c r="I179" s="49" t="s">
        <v>886</v>
      </c>
      <c r="J179" s="486">
        <v>46091</v>
      </c>
      <c r="K179" s="144"/>
      <c r="L179" s="144"/>
      <c r="M179" s="89">
        <v>8</v>
      </c>
    </row>
    <row r="180" spans="1:13" s="3" customFormat="1" ht="18.75" customHeight="1" x14ac:dyDescent="0.4">
      <c r="A180" s="482">
        <v>46091</v>
      </c>
      <c r="B180" s="106" t="s">
        <v>61</v>
      </c>
      <c r="C180" s="29" t="s">
        <v>73</v>
      </c>
      <c r="D180" s="110" t="s">
        <v>74</v>
      </c>
      <c r="E180" s="110"/>
      <c r="F180" s="81">
        <v>10</v>
      </c>
      <c r="G180" s="49">
        <v>442000</v>
      </c>
      <c r="H180" s="509">
        <f t="shared" si="9"/>
        <v>4420000</v>
      </c>
      <c r="I180" s="49" t="s">
        <v>886</v>
      </c>
      <c r="J180" s="486">
        <v>46091</v>
      </c>
      <c r="K180" s="144"/>
      <c r="L180" s="144"/>
      <c r="M180" s="89">
        <v>9</v>
      </c>
    </row>
    <row r="181" spans="1:13" s="3" customFormat="1" ht="18.75" customHeight="1" x14ac:dyDescent="0.4">
      <c r="A181" s="482">
        <v>46091</v>
      </c>
      <c r="B181" s="106" t="s">
        <v>61</v>
      </c>
      <c r="C181" s="29" t="s">
        <v>64</v>
      </c>
      <c r="D181" s="110" t="s">
        <v>65</v>
      </c>
      <c r="E181" s="110"/>
      <c r="F181" s="81">
        <v>2</v>
      </c>
      <c r="G181" s="49">
        <v>1568700</v>
      </c>
      <c r="H181" s="509">
        <f t="shared" si="9"/>
        <v>3137400</v>
      </c>
      <c r="I181" s="49" t="s">
        <v>886</v>
      </c>
      <c r="J181" s="486">
        <v>46091</v>
      </c>
      <c r="K181" s="144"/>
      <c r="L181" s="144"/>
      <c r="M181" s="89">
        <v>10</v>
      </c>
    </row>
    <row r="182" spans="1:13" s="3" customFormat="1" ht="18.75" customHeight="1" x14ac:dyDescent="0.4">
      <c r="A182" s="482">
        <v>46091</v>
      </c>
      <c r="B182" s="106" t="s">
        <v>61</v>
      </c>
      <c r="C182" s="29" t="s">
        <v>63</v>
      </c>
      <c r="D182" s="110" t="s">
        <v>97</v>
      </c>
      <c r="E182" s="110"/>
      <c r="F182" s="81">
        <v>6</v>
      </c>
      <c r="G182" s="49">
        <v>137000</v>
      </c>
      <c r="H182" s="509">
        <f t="shared" si="9"/>
        <v>822000</v>
      </c>
      <c r="I182" s="49" t="s">
        <v>1076</v>
      </c>
      <c r="J182" s="486">
        <v>46091</v>
      </c>
      <c r="K182" s="144"/>
      <c r="L182" s="144"/>
      <c r="M182" s="89">
        <v>11</v>
      </c>
    </row>
    <row r="183" spans="1:13" s="3" customFormat="1" ht="18.75" customHeight="1" x14ac:dyDescent="0.4">
      <c r="A183" s="482">
        <v>46091</v>
      </c>
      <c r="B183" s="106" t="s">
        <v>61</v>
      </c>
      <c r="C183" s="29" t="s">
        <v>78</v>
      </c>
      <c r="D183" s="110" t="s">
        <v>79</v>
      </c>
      <c r="E183" s="110"/>
      <c r="F183" s="81">
        <v>3</v>
      </c>
      <c r="G183" s="49">
        <v>90500</v>
      </c>
      <c r="H183" s="509">
        <f t="shared" si="9"/>
        <v>271500</v>
      </c>
      <c r="I183" s="49" t="s">
        <v>887</v>
      </c>
      <c r="J183" s="486">
        <v>46091</v>
      </c>
      <c r="K183" s="144"/>
      <c r="L183" s="144"/>
      <c r="M183" s="89">
        <v>12</v>
      </c>
    </row>
    <row r="184" spans="1:13" s="3" customFormat="1" ht="18.75" customHeight="1" x14ac:dyDescent="0.4">
      <c r="A184" s="482">
        <v>46091</v>
      </c>
      <c r="B184" s="106" t="s">
        <v>61</v>
      </c>
      <c r="C184" s="29" t="s">
        <v>63</v>
      </c>
      <c r="D184" s="110" t="s">
        <v>97</v>
      </c>
      <c r="E184" s="110"/>
      <c r="F184" s="81">
        <v>3</v>
      </c>
      <c r="G184" s="49">
        <v>137000</v>
      </c>
      <c r="H184" s="509">
        <f t="shared" si="9"/>
        <v>411000</v>
      </c>
      <c r="I184" s="49" t="s">
        <v>1077</v>
      </c>
      <c r="J184" s="486">
        <v>46091</v>
      </c>
      <c r="K184" s="144"/>
      <c r="L184" s="144"/>
      <c r="M184" s="89">
        <v>13</v>
      </c>
    </row>
    <row r="185" spans="1:13" s="3" customFormat="1" ht="18.75" customHeight="1" x14ac:dyDescent="0.4">
      <c r="A185" s="482">
        <v>46091</v>
      </c>
      <c r="B185" s="106" t="s">
        <v>61</v>
      </c>
      <c r="C185" s="29" t="s">
        <v>78</v>
      </c>
      <c r="D185" s="110" t="s">
        <v>303</v>
      </c>
      <c r="E185" s="110"/>
      <c r="F185" s="81">
        <v>1</v>
      </c>
      <c r="G185" s="49">
        <v>82650</v>
      </c>
      <c r="H185" s="509">
        <f t="shared" si="9"/>
        <v>82650</v>
      </c>
      <c r="I185" s="49" t="s">
        <v>738</v>
      </c>
      <c r="J185" s="486">
        <v>46091</v>
      </c>
      <c r="K185" s="144"/>
      <c r="L185" s="144"/>
      <c r="M185" s="89">
        <v>14</v>
      </c>
    </row>
    <row r="186" spans="1:13" s="3" customFormat="1" ht="18.75" customHeight="1" x14ac:dyDescent="0.4">
      <c r="A186" s="482">
        <v>46091</v>
      </c>
      <c r="B186" s="106" t="s">
        <v>61</v>
      </c>
      <c r="C186" s="29" t="s">
        <v>78</v>
      </c>
      <c r="D186" s="110" t="s">
        <v>303</v>
      </c>
      <c r="E186" s="110"/>
      <c r="F186" s="81">
        <v>12</v>
      </c>
      <c r="G186" s="49">
        <v>82650</v>
      </c>
      <c r="H186" s="509">
        <f t="shared" si="9"/>
        <v>991800</v>
      </c>
      <c r="I186" s="49" t="s">
        <v>918</v>
      </c>
      <c r="J186" s="486">
        <v>46091</v>
      </c>
      <c r="K186" s="144"/>
      <c r="L186" s="144"/>
      <c r="M186" s="89">
        <v>15</v>
      </c>
    </row>
    <row r="187" spans="1:13" s="3" customFormat="1" ht="18.75" customHeight="1" x14ac:dyDescent="0.4">
      <c r="A187" s="482">
        <v>46091</v>
      </c>
      <c r="B187" s="106" t="s">
        <v>61</v>
      </c>
      <c r="C187" s="29" t="s">
        <v>448</v>
      </c>
      <c r="D187" s="110" t="s">
        <v>1049</v>
      </c>
      <c r="E187" s="110"/>
      <c r="F187" s="81">
        <v>4</v>
      </c>
      <c r="G187" s="49">
        <v>46000</v>
      </c>
      <c r="H187" s="509">
        <f t="shared" si="9"/>
        <v>184000</v>
      </c>
      <c r="I187" s="49" t="s">
        <v>1078</v>
      </c>
      <c r="J187" s="486">
        <v>46091</v>
      </c>
      <c r="K187" s="144"/>
      <c r="L187" s="144"/>
      <c r="M187" s="89">
        <v>16</v>
      </c>
    </row>
    <row r="188" spans="1:13" s="3" customFormat="1" ht="18.75" customHeight="1" x14ac:dyDescent="0.4">
      <c r="A188" s="482">
        <v>46091</v>
      </c>
      <c r="B188" s="106" t="s">
        <v>61</v>
      </c>
      <c r="C188" s="29" t="s">
        <v>92</v>
      </c>
      <c r="D188" s="110" t="s">
        <v>200</v>
      </c>
      <c r="E188" s="110"/>
      <c r="F188" s="81">
        <v>6</v>
      </c>
      <c r="G188" s="49">
        <v>348500</v>
      </c>
      <c r="H188" s="509">
        <f t="shared" si="9"/>
        <v>2091000</v>
      </c>
      <c r="I188" s="49" t="s">
        <v>70</v>
      </c>
      <c r="J188" s="486">
        <v>46091</v>
      </c>
      <c r="K188" s="144"/>
      <c r="L188" s="144"/>
      <c r="M188" s="89">
        <v>17</v>
      </c>
    </row>
    <row r="189" spans="1:13" s="3" customFormat="1" ht="18.75" customHeight="1" x14ac:dyDescent="0.4">
      <c r="A189" s="482">
        <v>46091</v>
      </c>
      <c r="B189" s="106" t="s">
        <v>61</v>
      </c>
      <c r="C189" s="29" t="s">
        <v>90</v>
      </c>
      <c r="D189" s="110" t="s">
        <v>91</v>
      </c>
      <c r="E189" s="110"/>
      <c r="F189" s="81">
        <v>1</v>
      </c>
      <c r="G189" s="49">
        <v>259000</v>
      </c>
      <c r="H189" s="509">
        <f t="shared" si="9"/>
        <v>259000</v>
      </c>
      <c r="I189" s="49" t="s">
        <v>70</v>
      </c>
      <c r="J189" s="486">
        <v>46091</v>
      </c>
      <c r="K189" s="144"/>
      <c r="L189" s="144"/>
      <c r="M189" s="89">
        <v>18</v>
      </c>
    </row>
    <row r="190" spans="1:13" s="3" customFormat="1" ht="18.75" customHeight="1" x14ac:dyDescent="0.4">
      <c r="A190" s="482">
        <v>46092</v>
      </c>
      <c r="B190" s="106" t="s">
        <v>61</v>
      </c>
      <c r="C190" s="29" t="s">
        <v>425</v>
      </c>
      <c r="D190" s="110" t="s">
        <v>529</v>
      </c>
      <c r="E190" s="110"/>
      <c r="F190" s="81">
        <v>1</v>
      </c>
      <c r="G190" s="49">
        <v>1315000</v>
      </c>
      <c r="H190" s="509">
        <f t="shared" si="9"/>
        <v>1315000</v>
      </c>
      <c r="I190" s="49" t="s">
        <v>1074</v>
      </c>
      <c r="J190" s="486">
        <v>45912</v>
      </c>
      <c r="K190" s="144"/>
      <c r="L190" s="144"/>
      <c r="M190" s="89">
        <v>19</v>
      </c>
    </row>
    <row r="191" spans="1:13" s="3" customFormat="1" ht="18.75" customHeight="1" x14ac:dyDescent="0.4">
      <c r="A191" s="482">
        <v>46092</v>
      </c>
      <c r="B191" s="106" t="s">
        <v>61</v>
      </c>
      <c r="C191" s="29" t="s">
        <v>425</v>
      </c>
      <c r="D191" s="110" t="s">
        <v>426</v>
      </c>
      <c r="E191" s="110"/>
      <c r="F191" s="81">
        <v>1</v>
      </c>
      <c r="G191" s="49">
        <v>1315000</v>
      </c>
      <c r="H191" s="509">
        <f t="shared" si="9"/>
        <v>1315000</v>
      </c>
      <c r="I191" s="49" t="s">
        <v>1072</v>
      </c>
      <c r="J191" s="486">
        <v>45912</v>
      </c>
      <c r="K191" s="144"/>
      <c r="L191" s="144"/>
      <c r="M191" s="89">
        <v>20</v>
      </c>
    </row>
    <row r="192" spans="1:13" s="3" customFormat="1" ht="18.75" customHeight="1" x14ac:dyDescent="0.4">
      <c r="A192" s="482">
        <v>46092</v>
      </c>
      <c r="B192" s="106" t="s">
        <v>61</v>
      </c>
      <c r="C192" s="29" t="s">
        <v>407</v>
      </c>
      <c r="D192" s="110" t="s">
        <v>531</v>
      </c>
      <c r="E192" s="110"/>
      <c r="F192" s="81">
        <v>1</v>
      </c>
      <c r="G192" s="49">
        <v>239000</v>
      </c>
      <c r="H192" s="509">
        <f t="shared" si="9"/>
        <v>239000</v>
      </c>
      <c r="I192" s="49" t="s">
        <v>1074</v>
      </c>
      <c r="J192" s="486">
        <v>45912</v>
      </c>
      <c r="K192" s="144"/>
      <c r="L192" s="144"/>
      <c r="M192" s="89">
        <v>21</v>
      </c>
    </row>
    <row r="193" spans="1:13" s="3" customFormat="1" ht="18.75" customHeight="1" x14ac:dyDescent="0.4">
      <c r="A193" s="482">
        <v>46092</v>
      </c>
      <c r="B193" s="106" t="s">
        <v>61</v>
      </c>
      <c r="C193" s="29" t="s">
        <v>407</v>
      </c>
      <c r="D193" s="110" t="s">
        <v>408</v>
      </c>
      <c r="E193" s="110"/>
      <c r="F193" s="81">
        <v>1</v>
      </c>
      <c r="G193" s="49">
        <v>239000</v>
      </c>
      <c r="H193" s="509">
        <f t="shared" si="9"/>
        <v>239000</v>
      </c>
      <c r="I193" s="49" t="s">
        <v>1072</v>
      </c>
      <c r="J193" s="486">
        <v>45912</v>
      </c>
      <c r="K193" s="144"/>
      <c r="L193" s="144"/>
      <c r="M193" s="89">
        <v>22</v>
      </c>
    </row>
    <row r="194" spans="1:13" s="3" customFormat="1" ht="18.75" customHeight="1" x14ac:dyDescent="0.4">
      <c r="A194" s="482">
        <v>46092</v>
      </c>
      <c r="B194" s="106" t="s">
        <v>61</v>
      </c>
      <c r="C194" s="29" t="s">
        <v>412</v>
      </c>
      <c r="D194" s="110" t="s">
        <v>533</v>
      </c>
      <c r="E194" s="110"/>
      <c r="F194" s="81">
        <v>1</v>
      </c>
      <c r="G194" s="49">
        <v>1388900</v>
      </c>
      <c r="H194" s="509">
        <f t="shared" si="9"/>
        <v>1388900</v>
      </c>
      <c r="I194" s="49" t="s">
        <v>1074</v>
      </c>
      <c r="J194" s="486">
        <v>45912</v>
      </c>
      <c r="K194" s="144"/>
      <c r="L194" s="144"/>
      <c r="M194" s="89">
        <v>23</v>
      </c>
    </row>
    <row r="195" spans="1:13" s="3" customFormat="1" ht="18.75" customHeight="1" x14ac:dyDescent="0.4">
      <c r="A195" s="482">
        <v>46092</v>
      </c>
      <c r="B195" s="106" t="s">
        <v>61</v>
      </c>
      <c r="C195" s="29" t="s">
        <v>412</v>
      </c>
      <c r="D195" s="110" t="s">
        <v>413</v>
      </c>
      <c r="E195" s="110"/>
      <c r="F195" s="81">
        <v>1</v>
      </c>
      <c r="G195" s="49">
        <v>1388900</v>
      </c>
      <c r="H195" s="509">
        <f t="shared" si="9"/>
        <v>1388900</v>
      </c>
      <c r="I195" s="49" t="s">
        <v>1072</v>
      </c>
      <c r="J195" s="486">
        <v>45912</v>
      </c>
      <c r="K195" s="144"/>
      <c r="L195" s="144"/>
      <c r="M195" s="89">
        <v>24</v>
      </c>
    </row>
    <row r="196" spans="1:13" s="3" customFormat="1" ht="18.75" customHeight="1" x14ac:dyDescent="0.4">
      <c r="A196" s="482">
        <v>46092</v>
      </c>
      <c r="B196" s="106" t="s">
        <v>61</v>
      </c>
      <c r="C196" s="29" t="s">
        <v>427</v>
      </c>
      <c r="D196" s="110" t="s">
        <v>534</v>
      </c>
      <c r="E196" s="110"/>
      <c r="F196" s="81">
        <v>1</v>
      </c>
      <c r="G196" s="49">
        <v>230000</v>
      </c>
      <c r="H196" s="509">
        <f t="shared" si="9"/>
        <v>230000</v>
      </c>
      <c r="I196" s="49" t="s">
        <v>1074</v>
      </c>
      <c r="J196" s="486">
        <v>45912</v>
      </c>
      <c r="K196" s="144"/>
      <c r="L196" s="144"/>
      <c r="M196" s="89">
        <v>25</v>
      </c>
    </row>
    <row r="197" spans="1:13" s="3" customFormat="1" ht="18.75" customHeight="1" x14ac:dyDescent="0.4">
      <c r="A197" s="482">
        <v>46092</v>
      </c>
      <c r="B197" s="106" t="s">
        <v>61</v>
      </c>
      <c r="C197" s="29" t="s">
        <v>427</v>
      </c>
      <c r="D197" s="110" t="s">
        <v>443</v>
      </c>
      <c r="E197" s="110"/>
      <c r="F197" s="81">
        <v>1</v>
      </c>
      <c r="G197" s="49">
        <v>230000</v>
      </c>
      <c r="H197" s="509">
        <f t="shared" si="9"/>
        <v>230000</v>
      </c>
      <c r="I197" s="49" t="s">
        <v>1072</v>
      </c>
      <c r="J197" s="486">
        <v>45912</v>
      </c>
      <c r="K197" s="144"/>
      <c r="L197" s="144"/>
      <c r="M197" s="89">
        <v>26</v>
      </c>
    </row>
    <row r="198" spans="1:13" s="3" customFormat="1" ht="18.75" customHeight="1" x14ac:dyDescent="0.4">
      <c r="A198" s="482">
        <v>46092</v>
      </c>
      <c r="B198" s="106" t="s">
        <v>61</v>
      </c>
      <c r="C198" s="29" t="s">
        <v>885</v>
      </c>
      <c r="D198" s="110" t="s">
        <v>1079</v>
      </c>
      <c r="E198" s="110"/>
      <c r="F198" s="81">
        <v>1</v>
      </c>
      <c r="G198" s="49">
        <v>950000</v>
      </c>
      <c r="H198" s="509">
        <f t="shared" si="9"/>
        <v>950000</v>
      </c>
      <c r="I198" s="49" t="s">
        <v>1074</v>
      </c>
      <c r="J198" s="486">
        <v>45912</v>
      </c>
      <c r="K198" s="144"/>
      <c r="L198" s="144"/>
      <c r="M198" s="89">
        <v>27</v>
      </c>
    </row>
    <row r="199" spans="1:13" s="3" customFormat="1" ht="18.75" customHeight="1" x14ac:dyDescent="0.4">
      <c r="A199" s="482">
        <v>46092</v>
      </c>
      <c r="B199" s="106" t="s">
        <v>61</v>
      </c>
      <c r="C199" s="29" t="s">
        <v>885</v>
      </c>
      <c r="D199" s="110" t="s">
        <v>1050</v>
      </c>
      <c r="E199" s="110"/>
      <c r="F199" s="81">
        <v>1</v>
      </c>
      <c r="G199" s="49">
        <v>950000</v>
      </c>
      <c r="H199" s="509">
        <f t="shared" si="9"/>
        <v>950000</v>
      </c>
      <c r="I199" s="49" t="s">
        <v>1072</v>
      </c>
      <c r="J199" s="486">
        <v>45912</v>
      </c>
      <c r="K199" s="144"/>
      <c r="L199" s="144"/>
      <c r="M199" s="89">
        <v>28</v>
      </c>
    </row>
    <row r="200" spans="1:13" s="3" customFormat="1" ht="18.75" customHeight="1" x14ac:dyDescent="0.4">
      <c r="A200" s="482">
        <v>46092</v>
      </c>
      <c r="B200" s="106" t="s">
        <v>61</v>
      </c>
      <c r="C200" s="29" t="s">
        <v>67</v>
      </c>
      <c r="D200" s="110" t="s">
        <v>80</v>
      </c>
      <c r="E200" s="110"/>
      <c r="F200" s="81">
        <v>4</v>
      </c>
      <c r="G200" s="49">
        <v>384000</v>
      </c>
      <c r="H200" s="509">
        <f t="shared" si="9"/>
        <v>1536000</v>
      </c>
      <c r="I200" s="49" t="s">
        <v>919</v>
      </c>
      <c r="J200" s="486">
        <v>46078</v>
      </c>
      <c r="K200" s="144"/>
      <c r="L200" s="144"/>
      <c r="M200" s="89">
        <v>29</v>
      </c>
    </row>
    <row r="201" spans="1:13" s="3" customFormat="1" ht="18.75" customHeight="1" x14ac:dyDescent="0.4">
      <c r="A201" s="482">
        <v>46092</v>
      </c>
      <c r="B201" s="106" t="s">
        <v>61</v>
      </c>
      <c r="C201" s="29" t="s">
        <v>67</v>
      </c>
      <c r="D201" s="110" t="s">
        <v>80</v>
      </c>
      <c r="E201" s="110"/>
      <c r="F201" s="81">
        <v>6</v>
      </c>
      <c r="G201" s="49">
        <v>384000</v>
      </c>
      <c r="H201" s="509">
        <f t="shared" si="9"/>
        <v>2304000</v>
      </c>
      <c r="I201" s="49" t="s">
        <v>920</v>
      </c>
      <c r="J201" s="486">
        <v>46078</v>
      </c>
      <c r="K201" s="144"/>
      <c r="L201" s="144"/>
      <c r="M201" s="89">
        <v>30</v>
      </c>
    </row>
    <row r="202" spans="1:13" s="3" customFormat="1" ht="18.75" customHeight="1" x14ac:dyDescent="0.4">
      <c r="A202" s="482">
        <v>46092</v>
      </c>
      <c r="B202" s="106" t="s">
        <v>61</v>
      </c>
      <c r="C202" s="29" t="s">
        <v>67</v>
      </c>
      <c r="D202" s="110" t="s">
        <v>80</v>
      </c>
      <c r="E202" s="110"/>
      <c r="F202" s="81">
        <v>3</v>
      </c>
      <c r="G202" s="49">
        <v>384000</v>
      </c>
      <c r="H202" s="509">
        <f t="shared" si="9"/>
        <v>1152000</v>
      </c>
      <c r="I202" s="49" t="s">
        <v>1077</v>
      </c>
      <c r="J202" s="486">
        <v>46090</v>
      </c>
      <c r="K202" s="144"/>
      <c r="L202" s="144"/>
      <c r="M202" s="89">
        <v>31</v>
      </c>
    </row>
    <row r="203" spans="1:13" s="3" customFormat="1" ht="18.75" customHeight="1" x14ac:dyDescent="0.4">
      <c r="A203" s="482">
        <v>46092</v>
      </c>
      <c r="B203" s="106" t="s">
        <v>61</v>
      </c>
      <c r="C203" s="29" t="s">
        <v>76</v>
      </c>
      <c r="D203" s="110" t="s">
        <v>77</v>
      </c>
      <c r="E203" s="110"/>
      <c r="F203" s="81">
        <v>6</v>
      </c>
      <c r="G203" s="144">
        <v>900000</v>
      </c>
      <c r="H203" s="509">
        <f t="shared" si="9"/>
        <v>5400000</v>
      </c>
      <c r="I203" s="49" t="s">
        <v>70</v>
      </c>
      <c r="J203" s="486">
        <v>46081</v>
      </c>
      <c r="K203" s="144"/>
      <c r="L203" s="144"/>
      <c r="M203" s="89">
        <v>32</v>
      </c>
    </row>
    <row r="204" spans="1:13" s="3" customFormat="1" ht="18.75" customHeight="1" x14ac:dyDescent="0.4">
      <c r="A204" s="482">
        <v>46092</v>
      </c>
      <c r="B204" s="106" t="s">
        <v>61</v>
      </c>
      <c r="C204" s="29" t="s">
        <v>64</v>
      </c>
      <c r="D204" s="110" t="s">
        <v>65</v>
      </c>
      <c r="E204" s="110"/>
      <c r="F204" s="81">
        <v>8</v>
      </c>
      <c r="G204" s="49">
        <v>1568700</v>
      </c>
      <c r="H204" s="509">
        <f t="shared" si="9"/>
        <v>12549600</v>
      </c>
      <c r="I204" s="49" t="s">
        <v>886</v>
      </c>
      <c r="J204" s="486">
        <v>46059</v>
      </c>
      <c r="K204" s="144"/>
      <c r="L204" s="144"/>
      <c r="M204" s="89">
        <v>33</v>
      </c>
    </row>
    <row r="205" spans="1:13" s="3" customFormat="1" ht="18.75" customHeight="1" x14ac:dyDescent="0.4">
      <c r="A205" s="482">
        <v>46092</v>
      </c>
      <c r="B205" s="106" t="s">
        <v>61</v>
      </c>
      <c r="C205" s="29" t="s">
        <v>204</v>
      </c>
      <c r="D205" s="110" t="s">
        <v>205</v>
      </c>
      <c r="E205" s="110"/>
      <c r="F205" s="81">
        <v>4</v>
      </c>
      <c r="G205" s="49">
        <v>1295000</v>
      </c>
      <c r="H205" s="509">
        <f t="shared" si="9"/>
        <v>5180000</v>
      </c>
      <c r="I205" s="49" t="s">
        <v>919</v>
      </c>
      <c r="J205" s="486">
        <v>46078</v>
      </c>
      <c r="K205" s="144"/>
      <c r="L205" s="144"/>
      <c r="M205" s="89">
        <v>34</v>
      </c>
    </row>
    <row r="206" spans="1:13" s="3" customFormat="1" ht="18.75" customHeight="1" x14ac:dyDescent="0.4">
      <c r="A206" s="482">
        <v>46092</v>
      </c>
      <c r="B206" s="106" t="s">
        <v>61</v>
      </c>
      <c r="C206" s="29" t="s">
        <v>204</v>
      </c>
      <c r="D206" s="110" t="s">
        <v>205</v>
      </c>
      <c r="E206" s="110"/>
      <c r="F206" s="81">
        <v>6</v>
      </c>
      <c r="G206" s="49">
        <v>1295000</v>
      </c>
      <c r="H206" s="509">
        <f t="shared" si="9"/>
        <v>7770000</v>
      </c>
      <c r="I206" s="49" t="s">
        <v>920</v>
      </c>
      <c r="J206" s="486">
        <v>46078</v>
      </c>
      <c r="K206" s="144"/>
      <c r="L206" s="144"/>
      <c r="M206" s="89">
        <v>35</v>
      </c>
    </row>
    <row r="207" spans="1:13" s="3" customFormat="1" ht="18.75" customHeight="1" x14ac:dyDescent="0.4">
      <c r="A207" s="482">
        <v>46092</v>
      </c>
      <c r="B207" s="106" t="s">
        <v>61</v>
      </c>
      <c r="C207" s="29" t="s">
        <v>66</v>
      </c>
      <c r="D207" s="110" t="s">
        <v>357</v>
      </c>
      <c r="E207" s="110"/>
      <c r="F207" s="81">
        <v>1</v>
      </c>
      <c r="G207" s="49">
        <v>1766050</v>
      </c>
      <c r="H207" s="509">
        <f t="shared" si="9"/>
        <v>1766050</v>
      </c>
      <c r="I207" s="49" t="s">
        <v>737</v>
      </c>
      <c r="J207" s="486">
        <v>46036</v>
      </c>
      <c r="K207" s="144"/>
      <c r="L207" s="144"/>
      <c r="M207" s="89">
        <v>36</v>
      </c>
    </row>
    <row r="208" spans="1:13" s="3" customFormat="1" ht="18.75" customHeight="1" x14ac:dyDescent="0.4">
      <c r="A208" s="482">
        <v>46092</v>
      </c>
      <c r="B208" s="106" t="s">
        <v>61</v>
      </c>
      <c r="C208" s="29" t="s">
        <v>66</v>
      </c>
      <c r="D208" s="110" t="s">
        <v>1080</v>
      </c>
      <c r="E208" s="110"/>
      <c r="F208" s="81">
        <v>1</v>
      </c>
      <c r="G208" s="49">
        <v>1766050</v>
      </c>
      <c r="H208" s="509">
        <f t="shared" si="9"/>
        <v>1766050</v>
      </c>
      <c r="I208" s="49" t="s">
        <v>739</v>
      </c>
      <c r="J208" s="486">
        <v>46049</v>
      </c>
      <c r="K208" s="144"/>
      <c r="L208" s="144"/>
      <c r="M208" s="89">
        <v>37</v>
      </c>
    </row>
    <row r="209" spans="1:13" s="3" customFormat="1" ht="18.75" customHeight="1" x14ac:dyDescent="0.4">
      <c r="A209" s="482">
        <v>46092</v>
      </c>
      <c r="B209" s="106" t="s">
        <v>61</v>
      </c>
      <c r="C209" s="29" t="s">
        <v>71</v>
      </c>
      <c r="D209" s="110" t="s">
        <v>207</v>
      </c>
      <c r="E209" s="110"/>
      <c r="F209" s="81">
        <v>12</v>
      </c>
      <c r="G209" s="49">
        <v>520600</v>
      </c>
      <c r="H209" s="509">
        <f t="shared" si="9"/>
        <v>6247200</v>
      </c>
      <c r="I209" s="49" t="s">
        <v>918</v>
      </c>
      <c r="J209" s="486">
        <v>46085</v>
      </c>
      <c r="K209" s="144"/>
      <c r="L209" s="144"/>
      <c r="M209" s="89">
        <v>38</v>
      </c>
    </row>
    <row r="210" spans="1:13" s="3" customFormat="1" ht="18.75" customHeight="1" x14ac:dyDescent="0.4">
      <c r="A210" s="482">
        <v>46098</v>
      </c>
      <c r="B210" s="106" t="s">
        <v>61</v>
      </c>
      <c r="C210" s="29" t="s">
        <v>95</v>
      </c>
      <c r="D210" s="110" t="s">
        <v>96</v>
      </c>
      <c r="E210" s="110"/>
      <c r="F210" s="81">
        <v>12</v>
      </c>
      <c r="G210" s="49">
        <v>12000</v>
      </c>
      <c r="H210" s="509">
        <f t="shared" si="9"/>
        <v>144000</v>
      </c>
      <c r="I210" s="49" t="s">
        <v>70</v>
      </c>
      <c r="J210" s="486">
        <v>46096</v>
      </c>
      <c r="K210" s="144"/>
      <c r="L210" s="144"/>
      <c r="M210" s="89">
        <v>1</v>
      </c>
    </row>
    <row r="211" spans="1:13" s="3" customFormat="1" ht="18.75" customHeight="1" x14ac:dyDescent="0.4">
      <c r="A211" s="482">
        <v>46098</v>
      </c>
      <c r="B211" s="106" t="s">
        <v>61</v>
      </c>
      <c r="C211" s="29" t="s">
        <v>95</v>
      </c>
      <c r="D211" s="110" t="s">
        <v>96</v>
      </c>
      <c r="E211" s="110"/>
      <c r="F211" s="81">
        <v>12</v>
      </c>
      <c r="G211" s="49">
        <v>12000</v>
      </c>
      <c r="H211" s="509">
        <f t="shared" si="9"/>
        <v>144000</v>
      </c>
      <c r="I211" s="49" t="s">
        <v>70</v>
      </c>
      <c r="J211" s="486">
        <v>46096</v>
      </c>
      <c r="K211" s="144"/>
      <c r="L211" s="144"/>
      <c r="M211" s="89">
        <v>2</v>
      </c>
    </row>
    <row r="212" spans="1:13" s="3" customFormat="1" ht="18.75" customHeight="1" x14ac:dyDescent="0.4">
      <c r="A212" s="482">
        <v>46098</v>
      </c>
      <c r="B212" s="106" t="s">
        <v>61</v>
      </c>
      <c r="C212" s="29" t="s">
        <v>83</v>
      </c>
      <c r="D212" s="110" t="s">
        <v>84</v>
      </c>
      <c r="E212" s="110"/>
      <c r="F212" s="81">
        <v>2</v>
      </c>
      <c r="G212" s="49">
        <v>76500</v>
      </c>
      <c r="H212" s="509">
        <f t="shared" si="9"/>
        <v>153000</v>
      </c>
      <c r="I212" s="49" t="s">
        <v>70</v>
      </c>
      <c r="J212" s="486">
        <v>46096</v>
      </c>
      <c r="K212" s="144"/>
      <c r="L212" s="144"/>
      <c r="M212" s="89">
        <v>3</v>
      </c>
    </row>
    <row r="213" spans="1:13" s="3" customFormat="1" ht="18.75" customHeight="1" x14ac:dyDescent="0.4">
      <c r="A213" s="482">
        <v>46098</v>
      </c>
      <c r="B213" s="106" t="s">
        <v>61</v>
      </c>
      <c r="C213" s="29" t="s">
        <v>83</v>
      </c>
      <c r="D213" s="110" t="s">
        <v>84</v>
      </c>
      <c r="E213" s="110"/>
      <c r="F213" s="81">
        <v>2</v>
      </c>
      <c r="G213" s="49">
        <v>76500</v>
      </c>
      <c r="H213" s="509">
        <f t="shared" si="9"/>
        <v>153000</v>
      </c>
      <c r="I213" s="49" t="s">
        <v>70</v>
      </c>
      <c r="J213" s="486">
        <v>46096</v>
      </c>
      <c r="K213" s="144"/>
      <c r="L213" s="144"/>
      <c r="M213" s="89">
        <v>4</v>
      </c>
    </row>
    <row r="214" spans="1:13" s="3" customFormat="1" ht="18.75" customHeight="1" x14ac:dyDescent="0.4">
      <c r="A214" s="482">
        <v>46098</v>
      </c>
      <c r="B214" s="106" t="s">
        <v>61</v>
      </c>
      <c r="C214" s="29" t="s">
        <v>85</v>
      </c>
      <c r="D214" s="110" t="s">
        <v>86</v>
      </c>
      <c r="E214" s="110"/>
      <c r="F214" s="81">
        <v>2</v>
      </c>
      <c r="G214" s="49">
        <v>37700</v>
      </c>
      <c r="H214" s="509">
        <f t="shared" si="9"/>
        <v>75400</v>
      </c>
      <c r="I214" s="49" t="s">
        <v>70</v>
      </c>
      <c r="J214" s="486">
        <v>46096</v>
      </c>
      <c r="K214" s="144"/>
      <c r="L214" s="144"/>
      <c r="M214" s="89">
        <v>5</v>
      </c>
    </row>
    <row r="215" spans="1:13" s="3" customFormat="1" ht="18.75" customHeight="1" x14ac:dyDescent="0.4">
      <c r="A215" s="482">
        <v>46098</v>
      </c>
      <c r="B215" s="106" t="s">
        <v>61</v>
      </c>
      <c r="C215" s="29" t="s">
        <v>85</v>
      </c>
      <c r="D215" s="110" t="s">
        <v>86</v>
      </c>
      <c r="E215" s="110"/>
      <c r="F215" s="81">
        <v>2</v>
      </c>
      <c r="G215" s="49">
        <v>37700</v>
      </c>
      <c r="H215" s="509">
        <f t="shared" si="9"/>
        <v>75400</v>
      </c>
      <c r="I215" s="49" t="s">
        <v>70</v>
      </c>
      <c r="J215" s="486">
        <v>46096</v>
      </c>
      <c r="K215" s="144"/>
      <c r="L215" s="144"/>
      <c r="M215" s="89">
        <v>6</v>
      </c>
    </row>
    <row r="216" spans="1:13" s="3" customFormat="1" ht="18.75" customHeight="1" x14ac:dyDescent="0.4">
      <c r="A216" s="482">
        <v>46098</v>
      </c>
      <c r="B216" s="106" t="s">
        <v>61</v>
      </c>
      <c r="C216" s="29" t="s">
        <v>83</v>
      </c>
      <c r="D216" s="110" t="s">
        <v>87</v>
      </c>
      <c r="E216" s="110"/>
      <c r="F216" s="81">
        <v>2</v>
      </c>
      <c r="G216" s="49">
        <v>75300</v>
      </c>
      <c r="H216" s="509">
        <f t="shared" si="9"/>
        <v>150600</v>
      </c>
      <c r="I216" s="49" t="s">
        <v>70</v>
      </c>
      <c r="J216" s="486">
        <v>46096</v>
      </c>
      <c r="K216" s="144"/>
      <c r="L216" s="144"/>
      <c r="M216" s="89">
        <v>7</v>
      </c>
    </row>
    <row r="217" spans="1:13" s="3" customFormat="1" ht="18.75" customHeight="1" x14ac:dyDescent="0.4">
      <c r="A217" s="482">
        <v>46098</v>
      </c>
      <c r="B217" s="106" t="s">
        <v>61</v>
      </c>
      <c r="C217" s="29" t="s">
        <v>83</v>
      </c>
      <c r="D217" s="110" t="s">
        <v>87</v>
      </c>
      <c r="E217" s="110"/>
      <c r="F217" s="81">
        <v>2</v>
      </c>
      <c r="G217" s="49">
        <v>75300</v>
      </c>
      <c r="H217" s="509">
        <f t="shared" si="9"/>
        <v>150600</v>
      </c>
      <c r="I217" s="49" t="s">
        <v>70</v>
      </c>
      <c r="J217" s="486">
        <v>46096</v>
      </c>
      <c r="K217" s="144"/>
      <c r="L217" s="144"/>
      <c r="M217" s="89">
        <v>8</v>
      </c>
    </row>
    <row r="218" spans="1:13" s="3" customFormat="1" ht="18.75" customHeight="1" x14ac:dyDescent="0.4">
      <c r="A218" s="482">
        <v>46098</v>
      </c>
      <c r="B218" s="106" t="s">
        <v>61</v>
      </c>
      <c r="C218" s="29" t="s">
        <v>88</v>
      </c>
      <c r="D218" s="110" t="s">
        <v>89</v>
      </c>
      <c r="E218" s="110"/>
      <c r="F218" s="81">
        <v>4</v>
      </c>
      <c r="G218" s="49">
        <v>64000</v>
      </c>
      <c r="H218" s="509">
        <f t="shared" si="9"/>
        <v>256000</v>
      </c>
      <c r="I218" s="49" t="s">
        <v>70</v>
      </c>
      <c r="J218" s="486">
        <v>46096</v>
      </c>
      <c r="K218" s="144"/>
      <c r="L218" s="144"/>
      <c r="M218" s="89">
        <v>9</v>
      </c>
    </row>
    <row r="219" spans="1:13" s="3" customFormat="1" ht="18.75" customHeight="1" x14ac:dyDescent="0.4">
      <c r="A219" s="482">
        <v>46098</v>
      </c>
      <c r="B219" s="106" t="s">
        <v>61</v>
      </c>
      <c r="C219" s="29" t="s">
        <v>88</v>
      </c>
      <c r="D219" s="110" t="s">
        <v>89</v>
      </c>
      <c r="E219" s="110"/>
      <c r="F219" s="81">
        <v>4</v>
      </c>
      <c r="G219" s="49">
        <v>64000</v>
      </c>
      <c r="H219" s="509">
        <f t="shared" si="9"/>
        <v>256000</v>
      </c>
      <c r="I219" s="49" t="s">
        <v>70</v>
      </c>
      <c r="J219" s="486">
        <v>46096</v>
      </c>
      <c r="K219" s="144"/>
      <c r="L219" s="144"/>
      <c r="M219" s="89">
        <v>10</v>
      </c>
    </row>
    <row r="220" spans="1:13" s="3" customFormat="1" ht="18.75" customHeight="1" x14ac:dyDescent="0.4">
      <c r="A220" s="482">
        <v>46098</v>
      </c>
      <c r="B220" s="106" t="s">
        <v>61</v>
      </c>
      <c r="C220" s="29" t="s">
        <v>113</v>
      </c>
      <c r="D220" s="110" t="s">
        <v>114</v>
      </c>
      <c r="E220" s="110"/>
      <c r="F220" s="81">
        <v>1</v>
      </c>
      <c r="G220" s="49">
        <v>36500</v>
      </c>
      <c r="H220" s="509">
        <f t="shared" si="9"/>
        <v>36500</v>
      </c>
      <c r="I220" s="49" t="s">
        <v>70</v>
      </c>
      <c r="J220" s="486">
        <v>46101</v>
      </c>
      <c r="K220" s="144"/>
      <c r="L220" s="144"/>
      <c r="M220" s="89">
        <v>11</v>
      </c>
    </row>
    <row r="221" spans="1:13" s="3" customFormat="1" ht="18.75" customHeight="1" x14ac:dyDescent="0.4">
      <c r="A221" s="482">
        <v>46098</v>
      </c>
      <c r="B221" s="106" t="s">
        <v>61</v>
      </c>
      <c r="C221" s="29" t="s">
        <v>95</v>
      </c>
      <c r="D221" s="110" t="s">
        <v>96</v>
      </c>
      <c r="E221" s="110"/>
      <c r="F221" s="81">
        <v>12</v>
      </c>
      <c r="G221" s="49">
        <v>12000</v>
      </c>
      <c r="H221" s="509">
        <f t="shared" si="9"/>
        <v>144000</v>
      </c>
      <c r="I221" s="49" t="s">
        <v>70</v>
      </c>
      <c r="J221" s="486">
        <v>46106</v>
      </c>
      <c r="K221" s="144"/>
      <c r="L221" s="144"/>
      <c r="M221" s="89">
        <v>12</v>
      </c>
    </row>
    <row r="222" spans="1:13" s="3" customFormat="1" ht="18.75" customHeight="1" x14ac:dyDescent="0.4">
      <c r="A222" s="482">
        <v>46098</v>
      </c>
      <c r="B222" s="106" t="s">
        <v>61</v>
      </c>
      <c r="C222" s="29" t="s">
        <v>95</v>
      </c>
      <c r="D222" s="110" t="s">
        <v>96</v>
      </c>
      <c r="E222" s="110"/>
      <c r="F222" s="81">
        <v>12</v>
      </c>
      <c r="G222" s="49">
        <v>12000</v>
      </c>
      <c r="H222" s="509">
        <f t="shared" si="9"/>
        <v>144000</v>
      </c>
      <c r="I222" s="49" t="s">
        <v>70</v>
      </c>
      <c r="J222" s="486">
        <v>46106</v>
      </c>
      <c r="K222" s="144"/>
      <c r="L222" s="144"/>
      <c r="M222" s="89">
        <v>13</v>
      </c>
    </row>
    <row r="223" spans="1:13" s="3" customFormat="1" ht="18.75" customHeight="1" x14ac:dyDescent="0.4">
      <c r="A223" s="482">
        <v>46098</v>
      </c>
      <c r="B223" s="106" t="s">
        <v>61</v>
      </c>
      <c r="C223" s="29" t="s">
        <v>83</v>
      </c>
      <c r="D223" s="110" t="s">
        <v>84</v>
      </c>
      <c r="E223" s="110"/>
      <c r="F223" s="81">
        <v>2</v>
      </c>
      <c r="G223" s="49">
        <v>76500</v>
      </c>
      <c r="H223" s="509">
        <f t="shared" si="9"/>
        <v>153000</v>
      </c>
      <c r="I223" s="49" t="s">
        <v>70</v>
      </c>
      <c r="J223" s="486">
        <v>46106</v>
      </c>
      <c r="K223" s="144"/>
      <c r="L223" s="144"/>
      <c r="M223" s="89">
        <v>14</v>
      </c>
    </row>
    <row r="224" spans="1:13" s="3" customFormat="1" ht="18.75" customHeight="1" x14ac:dyDescent="0.4">
      <c r="A224" s="482">
        <v>46098</v>
      </c>
      <c r="B224" s="106" t="s">
        <v>61</v>
      </c>
      <c r="C224" s="29" t="s">
        <v>83</v>
      </c>
      <c r="D224" s="110" t="s">
        <v>84</v>
      </c>
      <c r="E224" s="110"/>
      <c r="F224" s="81">
        <v>2</v>
      </c>
      <c r="G224" s="49">
        <v>76500</v>
      </c>
      <c r="H224" s="509">
        <f t="shared" si="9"/>
        <v>153000</v>
      </c>
      <c r="I224" s="49" t="s">
        <v>70</v>
      </c>
      <c r="J224" s="486">
        <v>46106</v>
      </c>
      <c r="K224" s="144"/>
      <c r="L224" s="144"/>
      <c r="M224" s="89">
        <v>15</v>
      </c>
    </row>
    <row r="225" spans="1:13" s="3" customFormat="1" ht="18.75" customHeight="1" x14ac:dyDescent="0.4">
      <c r="A225" s="482">
        <v>46098</v>
      </c>
      <c r="B225" s="106" t="s">
        <v>61</v>
      </c>
      <c r="C225" s="29" t="s">
        <v>85</v>
      </c>
      <c r="D225" s="110" t="s">
        <v>86</v>
      </c>
      <c r="E225" s="110"/>
      <c r="F225" s="81">
        <v>2</v>
      </c>
      <c r="G225" s="49">
        <v>37700</v>
      </c>
      <c r="H225" s="509">
        <f t="shared" si="9"/>
        <v>75400</v>
      </c>
      <c r="I225" s="49" t="s">
        <v>70</v>
      </c>
      <c r="J225" s="486">
        <v>46106</v>
      </c>
      <c r="K225" s="144"/>
      <c r="L225" s="144"/>
      <c r="M225" s="89">
        <v>16</v>
      </c>
    </row>
    <row r="226" spans="1:13" s="3" customFormat="1" ht="18.75" customHeight="1" x14ac:dyDescent="0.4">
      <c r="A226" s="482">
        <v>46098</v>
      </c>
      <c r="B226" s="106" t="s">
        <v>61</v>
      </c>
      <c r="C226" s="29" t="s">
        <v>85</v>
      </c>
      <c r="D226" s="110" t="s">
        <v>86</v>
      </c>
      <c r="E226" s="110"/>
      <c r="F226" s="81">
        <v>2</v>
      </c>
      <c r="G226" s="49">
        <v>37700</v>
      </c>
      <c r="H226" s="509">
        <f t="shared" si="9"/>
        <v>75400</v>
      </c>
      <c r="I226" s="49" t="s">
        <v>70</v>
      </c>
      <c r="J226" s="486">
        <v>46106</v>
      </c>
      <c r="K226" s="144"/>
      <c r="L226" s="144"/>
      <c r="M226" s="89">
        <v>17</v>
      </c>
    </row>
    <row r="227" spans="1:13" s="3" customFormat="1" ht="18.75" customHeight="1" x14ac:dyDescent="0.4">
      <c r="A227" s="482">
        <v>46098</v>
      </c>
      <c r="B227" s="106" t="s">
        <v>61</v>
      </c>
      <c r="C227" s="29" t="s">
        <v>83</v>
      </c>
      <c r="D227" s="110" t="s">
        <v>87</v>
      </c>
      <c r="E227" s="110"/>
      <c r="F227" s="81">
        <v>2</v>
      </c>
      <c r="G227" s="49">
        <v>75300</v>
      </c>
      <c r="H227" s="509">
        <f t="shared" si="9"/>
        <v>150600</v>
      </c>
      <c r="I227" s="49" t="s">
        <v>70</v>
      </c>
      <c r="J227" s="486">
        <v>46106</v>
      </c>
      <c r="K227" s="144"/>
      <c r="L227" s="144"/>
      <c r="M227" s="89">
        <v>18</v>
      </c>
    </row>
    <row r="228" spans="1:13" s="3" customFormat="1" ht="18.75" customHeight="1" x14ac:dyDescent="0.4">
      <c r="A228" s="482">
        <v>46098</v>
      </c>
      <c r="B228" s="106" t="s">
        <v>61</v>
      </c>
      <c r="C228" s="29" t="s">
        <v>83</v>
      </c>
      <c r="D228" s="110" t="s">
        <v>87</v>
      </c>
      <c r="E228" s="110"/>
      <c r="F228" s="81">
        <v>2</v>
      </c>
      <c r="G228" s="49">
        <v>75300</v>
      </c>
      <c r="H228" s="509">
        <f t="shared" si="9"/>
        <v>150600</v>
      </c>
      <c r="I228" s="49" t="s">
        <v>70</v>
      </c>
      <c r="J228" s="486">
        <v>46106</v>
      </c>
      <c r="K228" s="144"/>
      <c r="L228" s="144"/>
      <c r="M228" s="89">
        <v>19</v>
      </c>
    </row>
    <row r="229" spans="1:13" s="3" customFormat="1" ht="18.75" customHeight="1" x14ac:dyDescent="0.4">
      <c r="A229" s="482">
        <v>46098</v>
      </c>
      <c r="B229" s="106" t="s">
        <v>61</v>
      </c>
      <c r="C229" s="29" t="s">
        <v>88</v>
      </c>
      <c r="D229" s="110" t="s">
        <v>89</v>
      </c>
      <c r="E229" s="110"/>
      <c r="F229" s="81">
        <v>4</v>
      </c>
      <c r="G229" s="49">
        <v>64000</v>
      </c>
      <c r="H229" s="509">
        <f t="shared" si="9"/>
        <v>256000</v>
      </c>
      <c r="I229" s="49" t="s">
        <v>70</v>
      </c>
      <c r="J229" s="486">
        <v>46106</v>
      </c>
      <c r="K229" s="144"/>
      <c r="L229" s="144"/>
      <c r="M229" s="89">
        <v>20</v>
      </c>
    </row>
    <row r="230" spans="1:13" s="3" customFormat="1" ht="18.75" customHeight="1" x14ac:dyDescent="0.4">
      <c r="A230" s="482">
        <v>46098</v>
      </c>
      <c r="B230" s="106" t="s">
        <v>61</v>
      </c>
      <c r="C230" s="29" t="s">
        <v>88</v>
      </c>
      <c r="D230" s="110" t="s">
        <v>89</v>
      </c>
      <c r="E230" s="110"/>
      <c r="F230" s="81">
        <v>4</v>
      </c>
      <c r="G230" s="49">
        <v>64000</v>
      </c>
      <c r="H230" s="509">
        <f t="shared" si="9"/>
        <v>256000</v>
      </c>
      <c r="I230" s="49" t="s">
        <v>70</v>
      </c>
      <c r="J230" s="486">
        <v>46106</v>
      </c>
      <c r="K230" s="144"/>
      <c r="L230" s="144"/>
      <c r="M230" s="89">
        <v>21</v>
      </c>
    </row>
    <row r="231" spans="1:13" s="3" customFormat="1" ht="18.75" customHeight="1" x14ac:dyDescent="0.4">
      <c r="A231" s="482">
        <v>46098</v>
      </c>
      <c r="B231" s="106" t="s">
        <v>61</v>
      </c>
      <c r="C231" s="29" t="s">
        <v>95</v>
      </c>
      <c r="D231" s="110" t="s">
        <v>96</v>
      </c>
      <c r="E231" s="110"/>
      <c r="F231" s="81">
        <v>12</v>
      </c>
      <c r="G231" s="49">
        <v>12000</v>
      </c>
      <c r="H231" s="509">
        <f t="shared" si="9"/>
        <v>144000</v>
      </c>
      <c r="I231" s="49" t="s">
        <v>70</v>
      </c>
      <c r="J231" s="486">
        <v>46117</v>
      </c>
      <c r="K231" s="144"/>
      <c r="L231" s="144"/>
      <c r="M231" s="89">
        <v>22</v>
      </c>
    </row>
    <row r="232" spans="1:13" s="3" customFormat="1" ht="18.75" customHeight="1" x14ac:dyDescent="0.4">
      <c r="A232" s="482">
        <v>46098</v>
      </c>
      <c r="B232" s="106" t="s">
        <v>61</v>
      </c>
      <c r="C232" s="29" t="s">
        <v>83</v>
      </c>
      <c r="D232" s="110" t="s">
        <v>84</v>
      </c>
      <c r="E232" s="110"/>
      <c r="F232" s="81">
        <v>2</v>
      </c>
      <c r="G232" s="49">
        <v>76500</v>
      </c>
      <c r="H232" s="509">
        <f t="shared" si="9"/>
        <v>153000</v>
      </c>
      <c r="I232" s="49" t="s">
        <v>70</v>
      </c>
      <c r="J232" s="486">
        <v>46117</v>
      </c>
      <c r="K232" s="144"/>
      <c r="L232" s="144"/>
      <c r="M232" s="89">
        <v>24</v>
      </c>
    </row>
    <row r="233" spans="1:13" s="3" customFormat="1" ht="18.75" customHeight="1" x14ac:dyDescent="0.4">
      <c r="A233" s="482">
        <v>46098</v>
      </c>
      <c r="B233" s="106" t="s">
        <v>61</v>
      </c>
      <c r="C233" s="29" t="s">
        <v>83</v>
      </c>
      <c r="D233" s="110" t="s">
        <v>84</v>
      </c>
      <c r="E233" s="110"/>
      <c r="F233" s="81">
        <v>2</v>
      </c>
      <c r="G233" s="49">
        <v>76500</v>
      </c>
      <c r="H233" s="509">
        <f t="shared" si="9"/>
        <v>153000</v>
      </c>
      <c r="I233" s="49" t="s">
        <v>70</v>
      </c>
      <c r="J233" s="486">
        <v>46117</v>
      </c>
      <c r="K233" s="144"/>
      <c r="L233" s="144"/>
      <c r="M233" s="89">
        <v>25</v>
      </c>
    </row>
    <row r="234" spans="1:13" s="3" customFormat="1" ht="18.75" customHeight="1" x14ac:dyDescent="0.4">
      <c r="A234" s="482">
        <v>46098</v>
      </c>
      <c r="B234" s="106" t="s">
        <v>61</v>
      </c>
      <c r="C234" s="29" t="s">
        <v>85</v>
      </c>
      <c r="D234" s="110" t="s">
        <v>86</v>
      </c>
      <c r="E234" s="110"/>
      <c r="F234" s="81">
        <v>2</v>
      </c>
      <c r="G234" s="49">
        <v>37700</v>
      </c>
      <c r="H234" s="509">
        <f t="shared" si="9"/>
        <v>75400</v>
      </c>
      <c r="I234" s="49" t="s">
        <v>70</v>
      </c>
      <c r="J234" s="486">
        <v>46117</v>
      </c>
      <c r="K234" s="144"/>
      <c r="L234" s="144"/>
      <c r="M234" s="89">
        <v>26</v>
      </c>
    </row>
    <row r="235" spans="1:13" s="3" customFormat="1" ht="18.75" customHeight="1" x14ac:dyDescent="0.4">
      <c r="A235" s="482">
        <v>46098</v>
      </c>
      <c r="B235" s="106" t="s">
        <v>61</v>
      </c>
      <c r="C235" s="29" t="s">
        <v>85</v>
      </c>
      <c r="D235" s="110" t="s">
        <v>86</v>
      </c>
      <c r="E235" s="110"/>
      <c r="F235" s="81">
        <v>2</v>
      </c>
      <c r="G235" s="49">
        <v>37700</v>
      </c>
      <c r="H235" s="509">
        <f t="shared" si="9"/>
        <v>75400</v>
      </c>
      <c r="I235" s="49" t="s">
        <v>70</v>
      </c>
      <c r="J235" s="486">
        <v>46117</v>
      </c>
      <c r="K235" s="144"/>
      <c r="L235" s="144"/>
      <c r="M235" s="89">
        <v>27</v>
      </c>
    </row>
    <row r="236" spans="1:13" s="3" customFormat="1" ht="18.75" customHeight="1" x14ac:dyDescent="0.4">
      <c r="A236" s="482">
        <v>46098</v>
      </c>
      <c r="B236" s="106" t="s">
        <v>61</v>
      </c>
      <c r="C236" s="29" t="s">
        <v>83</v>
      </c>
      <c r="D236" s="110" t="s">
        <v>87</v>
      </c>
      <c r="E236" s="110"/>
      <c r="F236" s="81">
        <v>2</v>
      </c>
      <c r="G236" s="49">
        <v>75300</v>
      </c>
      <c r="H236" s="509">
        <f t="shared" ref="H236:H299" si="10">F236*G236</f>
        <v>150600</v>
      </c>
      <c r="I236" s="49" t="s">
        <v>70</v>
      </c>
      <c r="J236" s="486">
        <v>46117</v>
      </c>
      <c r="K236" s="144"/>
      <c r="L236" s="144"/>
      <c r="M236" s="89">
        <v>28</v>
      </c>
    </row>
    <row r="237" spans="1:13" s="3" customFormat="1" ht="18.75" customHeight="1" x14ac:dyDescent="0.4">
      <c r="A237" s="482">
        <v>46098</v>
      </c>
      <c r="B237" s="106" t="s">
        <v>61</v>
      </c>
      <c r="C237" s="29" t="s">
        <v>83</v>
      </c>
      <c r="D237" s="110" t="s">
        <v>87</v>
      </c>
      <c r="E237" s="110"/>
      <c r="F237" s="81">
        <v>2</v>
      </c>
      <c r="G237" s="49">
        <v>75300</v>
      </c>
      <c r="H237" s="509">
        <f t="shared" si="10"/>
        <v>150600</v>
      </c>
      <c r="I237" s="49" t="s">
        <v>70</v>
      </c>
      <c r="J237" s="486">
        <v>46117</v>
      </c>
      <c r="K237" s="144"/>
      <c r="L237" s="144"/>
      <c r="M237" s="89">
        <v>29</v>
      </c>
    </row>
    <row r="238" spans="1:13" s="3" customFormat="1" ht="18.75" customHeight="1" x14ac:dyDescent="0.4">
      <c r="A238" s="482">
        <v>46098</v>
      </c>
      <c r="B238" s="106" t="s">
        <v>61</v>
      </c>
      <c r="C238" s="29" t="s">
        <v>88</v>
      </c>
      <c r="D238" s="110" t="s">
        <v>89</v>
      </c>
      <c r="E238" s="110"/>
      <c r="F238" s="81">
        <v>4</v>
      </c>
      <c r="G238" s="49">
        <v>64000</v>
      </c>
      <c r="H238" s="509">
        <f t="shared" si="10"/>
        <v>256000</v>
      </c>
      <c r="I238" s="49" t="s">
        <v>70</v>
      </c>
      <c r="J238" s="486">
        <v>46117</v>
      </c>
      <c r="K238" s="144"/>
      <c r="L238" s="144"/>
      <c r="M238" s="89">
        <v>30</v>
      </c>
    </row>
    <row r="239" spans="1:13" s="3" customFormat="1" ht="18.75" customHeight="1" x14ac:dyDescent="0.4">
      <c r="A239" s="482">
        <v>46098</v>
      </c>
      <c r="B239" s="106" t="s">
        <v>61</v>
      </c>
      <c r="C239" s="29" t="s">
        <v>88</v>
      </c>
      <c r="D239" s="110" t="s">
        <v>89</v>
      </c>
      <c r="E239" s="110"/>
      <c r="F239" s="81">
        <v>4</v>
      </c>
      <c r="G239" s="49">
        <v>64000</v>
      </c>
      <c r="H239" s="509">
        <f t="shared" si="10"/>
        <v>256000</v>
      </c>
      <c r="I239" s="49" t="s">
        <v>70</v>
      </c>
      <c r="J239" s="486">
        <v>46117</v>
      </c>
      <c r="K239" s="144"/>
      <c r="L239" s="144"/>
      <c r="M239" s="89">
        <v>31</v>
      </c>
    </row>
    <row r="240" spans="1:13" s="3" customFormat="1" ht="18.75" customHeight="1" x14ac:dyDescent="0.4">
      <c r="A240" s="482">
        <v>46098</v>
      </c>
      <c r="B240" s="106" t="s">
        <v>61</v>
      </c>
      <c r="C240" s="29" t="s">
        <v>103</v>
      </c>
      <c r="D240" s="110" t="s">
        <v>907</v>
      </c>
      <c r="E240" s="110"/>
      <c r="F240" s="81">
        <v>1</v>
      </c>
      <c r="G240" s="49">
        <v>399350</v>
      </c>
      <c r="H240" s="509">
        <f t="shared" si="10"/>
        <v>399350</v>
      </c>
      <c r="I240" s="49" t="s">
        <v>1081</v>
      </c>
      <c r="J240" s="486">
        <v>46108</v>
      </c>
      <c r="K240" s="144"/>
      <c r="L240" s="144"/>
      <c r="M240" s="89">
        <v>32</v>
      </c>
    </row>
    <row r="241" spans="1:13" s="3" customFormat="1" ht="18.75" customHeight="1" x14ac:dyDescent="0.4">
      <c r="A241" s="482">
        <v>46098</v>
      </c>
      <c r="B241" s="106" t="s">
        <v>61</v>
      </c>
      <c r="C241" s="29" t="s">
        <v>190</v>
      </c>
      <c r="D241" s="110" t="s">
        <v>214</v>
      </c>
      <c r="E241" s="110"/>
      <c r="F241" s="81">
        <v>3</v>
      </c>
      <c r="G241" s="49">
        <v>164850</v>
      </c>
      <c r="H241" s="509">
        <f t="shared" si="10"/>
        <v>494550</v>
      </c>
      <c r="I241" s="49" t="s">
        <v>1081</v>
      </c>
      <c r="J241" s="486">
        <v>46108</v>
      </c>
      <c r="K241" s="144"/>
      <c r="L241" s="144">
        <v>164850</v>
      </c>
      <c r="M241" s="89">
        <v>33</v>
      </c>
    </row>
    <row r="242" spans="1:13" s="3" customFormat="1" ht="18.75" customHeight="1" x14ac:dyDescent="0.4">
      <c r="A242" s="482">
        <v>46098</v>
      </c>
      <c r="B242" s="106" t="s">
        <v>61</v>
      </c>
      <c r="C242" s="29" t="s">
        <v>103</v>
      </c>
      <c r="D242" s="110" t="s">
        <v>414</v>
      </c>
      <c r="E242" s="110"/>
      <c r="F242" s="81">
        <v>2</v>
      </c>
      <c r="G242" s="49">
        <v>213410</v>
      </c>
      <c r="H242" s="509">
        <f t="shared" si="10"/>
        <v>426820</v>
      </c>
      <c r="I242" s="49" t="s">
        <v>1081</v>
      </c>
      <c r="J242" s="486">
        <v>46108</v>
      </c>
      <c r="K242" s="144"/>
      <c r="L242" s="144">
        <v>213410</v>
      </c>
      <c r="M242" s="89">
        <v>34</v>
      </c>
    </row>
    <row r="243" spans="1:13" s="3" customFormat="1" ht="18.75" customHeight="1" x14ac:dyDescent="0.4">
      <c r="A243" s="482">
        <v>46098</v>
      </c>
      <c r="B243" s="106" t="s">
        <v>61</v>
      </c>
      <c r="C243" s="29" t="s">
        <v>103</v>
      </c>
      <c r="D243" s="110" t="s">
        <v>415</v>
      </c>
      <c r="E243" s="110"/>
      <c r="F243" s="81">
        <v>2</v>
      </c>
      <c r="G243" s="49">
        <v>204140</v>
      </c>
      <c r="H243" s="509">
        <f t="shared" si="10"/>
        <v>408280</v>
      </c>
      <c r="I243" s="49" t="s">
        <v>1081</v>
      </c>
      <c r="J243" s="486">
        <v>46108</v>
      </c>
      <c r="K243" s="144"/>
      <c r="L243" s="144">
        <v>204140</v>
      </c>
      <c r="M243" s="89">
        <v>35</v>
      </c>
    </row>
    <row r="244" spans="1:13" s="3" customFormat="1" ht="18.75" customHeight="1" x14ac:dyDescent="0.4">
      <c r="A244" s="482">
        <v>46098</v>
      </c>
      <c r="B244" s="106" t="s">
        <v>61</v>
      </c>
      <c r="C244" s="29" t="s">
        <v>106</v>
      </c>
      <c r="D244" s="110" t="s">
        <v>107</v>
      </c>
      <c r="E244" s="110"/>
      <c r="F244" s="81">
        <v>4</v>
      </c>
      <c r="G244" s="49">
        <v>303500</v>
      </c>
      <c r="H244" s="509">
        <f t="shared" si="10"/>
        <v>1214000</v>
      </c>
      <c r="I244" s="49" t="s">
        <v>1081</v>
      </c>
      <c r="J244" s="486">
        <v>46108</v>
      </c>
      <c r="K244" s="144"/>
      <c r="L244" s="144">
        <v>303500</v>
      </c>
      <c r="M244" s="89">
        <v>36</v>
      </c>
    </row>
    <row r="245" spans="1:13" s="3" customFormat="1" ht="18.75" customHeight="1" x14ac:dyDescent="0.4">
      <c r="A245" s="482">
        <v>46098</v>
      </c>
      <c r="B245" s="106" t="s">
        <v>61</v>
      </c>
      <c r="C245" s="29" t="s">
        <v>103</v>
      </c>
      <c r="D245" s="110" t="s">
        <v>913</v>
      </c>
      <c r="E245" s="110"/>
      <c r="F245" s="81">
        <v>2</v>
      </c>
      <c r="G245" s="49">
        <v>320310</v>
      </c>
      <c r="H245" s="509">
        <f t="shared" si="10"/>
        <v>640620</v>
      </c>
      <c r="I245" s="49" t="s">
        <v>1081</v>
      </c>
      <c r="J245" s="486">
        <v>46108</v>
      </c>
      <c r="K245" s="144"/>
      <c r="L245" s="144"/>
      <c r="M245" s="89">
        <v>37</v>
      </c>
    </row>
    <row r="246" spans="1:13" s="3" customFormat="1" ht="18.75" customHeight="1" x14ac:dyDescent="0.4">
      <c r="A246" s="482">
        <v>46098</v>
      </c>
      <c r="B246" s="106" t="s">
        <v>61</v>
      </c>
      <c r="C246" s="29" t="s">
        <v>103</v>
      </c>
      <c r="D246" s="110" t="s">
        <v>914</v>
      </c>
      <c r="E246" s="110"/>
      <c r="F246" s="81">
        <v>2</v>
      </c>
      <c r="G246" s="49">
        <v>148990</v>
      </c>
      <c r="H246" s="509">
        <f t="shared" si="10"/>
        <v>297980</v>
      </c>
      <c r="I246" s="49" t="s">
        <v>1081</v>
      </c>
      <c r="J246" s="486">
        <v>46108</v>
      </c>
      <c r="K246" s="144"/>
      <c r="L246" s="144"/>
      <c r="M246" s="89">
        <v>38</v>
      </c>
    </row>
    <row r="247" spans="1:13" s="3" customFormat="1" ht="18.75" customHeight="1" x14ac:dyDescent="0.4">
      <c r="A247" s="482">
        <v>46098</v>
      </c>
      <c r="B247" s="106" t="s">
        <v>61</v>
      </c>
      <c r="C247" s="29" t="s">
        <v>103</v>
      </c>
      <c r="D247" s="110" t="s">
        <v>915</v>
      </c>
      <c r="E247" s="110"/>
      <c r="F247" s="81">
        <v>2</v>
      </c>
      <c r="G247" s="49">
        <v>160140</v>
      </c>
      <c r="H247" s="509">
        <f t="shared" si="10"/>
        <v>320280</v>
      </c>
      <c r="I247" s="49" t="s">
        <v>1081</v>
      </c>
      <c r="J247" s="486">
        <v>46108</v>
      </c>
      <c r="K247" s="144"/>
      <c r="L247" s="144"/>
      <c r="M247" s="89">
        <v>39</v>
      </c>
    </row>
    <row r="248" spans="1:13" s="3" customFormat="1" ht="18.75" customHeight="1" x14ac:dyDescent="0.4">
      <c r="A248" s="482">
        <v>46098</v>
      </c>
      <c r="B248" s="106" t="s">
        <v>61</v>
      </c>
      <c r="C248" s="29" t="s">
        <v>110</v>
      </c>
      <c r="D248" s="110" t="s">
        <v>111</v>
      </c>
      <c r="E248" s="110"/>
      <c r="F248" s="81">
        <v>2</v>
      </c>
      <c r="G248" s="49">
        <v>102070</v>
      </c>
      <c r="H248" s="509">
        <f t="shared" si="10"/>
        <v>204140</v>
      </c>
      <c r="I248" s="49" t="s">
        <v>1081</v>
      </c>
      <c r="J248" s="486">
        <v>46108</v>
      </c>
      <c r="K248" s="144"/>
      <c r="L248" s="144"/>
      <c r="M248" s="89">
        <v>40</v>
      </c>
    </row>
    <row r="249" spans="1:13" s="3" customFormat="1" ht="18.75" customHeight="1" x14ac:dyDescent="0.4">
      <c r="A249" s="482">
        <v>46098</v>
      </c>
      <c r="B249" s="106" t="s">
        <v>61</v>
      </c>
      <c r="C249" s="29" t="s">
        <v>892</v>
      </c>
      <c r="D249" s="110" t="s">
        <v>893</v>
      </c>
      <c r="E249" s="110"/>
      <c r="F249" s="81">
        <v>2</v>
      </c>
      <c r="G249" s="49">
        <v>155530</v>
      </c>
      <c r="H249" s="509">
        <f t="shared" si="10"/>
        <v>311060</v>
      </c>
      <c r="I249" s="49" t="s">
        <v>1081</v>
      </c>
      <c r="J249" s="486">
        <v>46108</v>
      </c>
      <c r="K249" s="144"/>
      <c r="L249" s="144"/>
      <c r="M249" s="89">
        <v>41</v>
      </c>
    </row>
    <row r="250" spans="1:13" s="3" customFormat="1" ht="18.75" customHeight="1" x14ac:dyDescent="0.4">
      <c r="A250" s="482">
        <v>46098</v>
      </c>
      <c r="B250" s="106" t="s">
        <v>61</v>
      </c>
      <c r="C250" s="29" t="s">
        <v>894</v>
      </c>
      <c r="D250" s="110" t="s">
        <v>895</v>
      </c>
      <c r="E250" s="110"/>
      <c r="F250" s="81">
        <v>2</v>
      </c>
      <c r="G250" s="49">
        <v>222480</v>
      </c>
      <c r="H250" s="509">
        <f t="shared" si="10"/>
        <v>444960</v>
      </c>
      <c r="I250" s="49" t="s">
        <v>1081</v>
      </c>
      <c r="J250" s="486">
        <v>46108</v>
      </c>
      <c r="K250" s="144"/>
      <c r="L250" s="144"/>
      <c r="M250" s="89">
        <v>42</v>
      </c>
    </row>
    <row r="251" spans="1:13" s="3" customFormat="1" ht="18.75" customHeight="1" x14ac:dyDescent="0.4">
      <c r="A251" s="482">
        <v>46098</v>
      </c>
      <c r="B251" s="106" t="s">
        <v>61</v>
      </c>
      <c r="C251" s="29" t="s">
        <v>900</v>
      </c>
      <c r="D251" s="110" t="s">
        <v>901</v>
      </c>
      <c r="E251" s="110"/>
      <c r="F251" s="81">
        <v>4</v>
      </c>
      <c r="G251" s="49">
        <v>52100</v>
      </c>
      <c r="H251" s="509">
        <f t="shared" si="10"/>
        <v>208400</v>
      </c>
      <c r="I251" s="49" t="s">
        <v>1081</v>
      </c>
      <c r="J251" s="486">
        <v>46108</v>
      </c>
      <c r="K251" s="144"/>
      <c r="L251" s="144"/>
      <c r="M251" s="89">
        <v>43</v>
      </c>
    </row>
    <row r="252" spans="1:13" s="3" customFormat="1" ht="18.75" customHeight="1" x14ac:dyDescent="0.4">
      <c r="A252" s="482">
        <v>46098</v>
      </c>
      <c r="B252" s="106" t="s">
        <v>61</v>
      </c>
      <c r="C252" s="29" t="s">
        <v>900</v>
      </c>
      <c r="D252" s="110" t="s">
        <v>903</v>
      </c>
      <c r="E252" s="110"/>
      <c r="F252" s="81">
        <v>4</v>
      </c>
      <c r="G252" s="49">
        <v>55350</v>
      </c>
      <c r="H252" s="509">
        <f t="shared" si="10"/>
        <v>221400</v>
      </c>
      <c r="I252" s="49" t="s">
        <v>1081</v>
      </c>
      <c r="J252" s="486">
        <v>46108</v>
      </c>
      <c r="K252" s="144"/>
      <c r="L252" s="144"/>
      <c r="M252" s="89">
        <v>44</v>
      </c>
    </row>
    <row r="253" spans="1:13" s="3" customFormat="1" ht="18.75" customHeight="1" x14ac:dyDescent="0.4">
      <c r="A253" s="482">
        <v>46098</v>
      </c>
      <c r="B253" s="106" t="s">
        <v>61</v>
      </c>
      <c r="C253" s="29" t="s">
        <v>904</v>
      </c>
      <c r="D253" s="110" t="s">
        <v>905</v>
      </c>
      <c r="E253" s="110"/>
      <c r="F253" s="81">
        <v>2</v>
      </c>
      <c r="G253" s="49">
        <v>719280</v>
      </c>
      <c r="H253" s="509">
        <f t="shared" si="10"/>
        <v>1438560</v>
      </c>
      <c r="I253" s="49" t="s">
        <v>1081</v>
      </c>
      <c r="J253" s="486">
        <v>46108</v>
      </c>
      <c r="K253" s="144"/>
      <c r="L253" s="144"/>
      <c r="M253" s="89">
        <v>45</v>
      </c>
    </row>
    <row r="254" spans="1:13" s="3" customFormat="1" ht="18.75" customHeight="1" x14ac:dyDescent="0.4">
      <c r="A254" s="482">
        <v>46098</v>
      </c>
      <c r="B254" s="106" t="s">
        <v>61</v>
      </c>
      <c r="C254" s="29" t="s">
        <v>190</v>
      </c>
      <c r="D254" s="110" t="s">
        <v>214</v>
      </c>
      <c r="E254" s="110"/>
      <c r="F254" s="81">
        <v>1</v>
      </c>
      <c r="G254" s="49">
        <v>181000</v>
      </c>
      <c r="H254" s="509">
        <f t="shared" si="10"/>
        <v>181000</v>
      </c>
      <c r="I254" s="49" t="s">
        <v>213</v>
      </c>
      <c r="J254" s="486">
        <v>46101</v>
      </c>
      <c r="K254" s="144"/>
      <c r="L254" s="144"/>
      <c r="M254" s="89">
        <v>46</v>
      </c>
    </row>
    <row r="255" spans="1:13" s="3" customFormat="1" ht="18.75" customHeight="1" x14ac:dyDescent="0.4">
      <c r="A255" s="482">
        <v>46098</v>
      </c>
      <c r="B255" s="106" t="s">
        <v>61</v>
      </c>
      <c r="C255" s="29" t="s">
        <v>106</v>
      </c>
      <c r="D255" s="110" t="s">
        <v>107</v>
      </c>
      <c r="E255" s="110"/>
      <c r="F255" s="81">
        <v>1</v>
      </c>
      <c r="G255" s="49">
        <v>333000</v>
      </c>
      <c r="H255" s="509">
        <f t="shared" si="10"/>
        <v>333000</v>
      </c>
      <c r="I255" s="49" t="s">
        <v>213</v>
      </c>
      <c r="J255" s="486">
        <v>46101</v>
      </c>
      <c r="K255" s="144"/>
      <c r="L255" s="144"/>
      <c r="M255" s="89">
        <v>47</v>
      </c>
    </row>
    <row r="256" spans="1:13" s="3" customFormat="1" ht="18.75" customHeight="1" x14ac:dyDescent="0.4">
      <c r="A256" s="482">
        <v>46094</v>
      </c>
      <c r="B256" s="106" t="s">
        <v>61</v>
      </c>
      <c r="C256" s="29" t="s">
        <v>306</v>
      </c>
      <c r="D256" s="110" t="s">
        <v>307</v>
      </c>
      <c r="E256" s="110"/>
      <c r="F256" s="81">
        <v>2</v>
      </c>
      <c r="G256" s="49">
        <v>520000</v>
      </c>
      <c r="H256" s="509">
        <f t="shared" si="10"/>
        <v>1040000</v>
      </c>
      <c r="I256" s="49" t="s">
        <v>70</v>
      </c>
      <c r="J256" s="486">
        <v>45996</v>
      </c>
      <c r="K256" s="144"/>
      <c r="L256" s="144"/>
      <c r="M256" s="89"/>
    </row>
    <row r="257" spans="1:13" s="3" customFormat="1" ht="18.75" customHeight="1" x14ac:dyDescent="0.4">
      <c r="A257" s="482">
        <v>46094</v>
      </c>
      <c r="B257" s="106" t="s">
        <v>61</v>
      </c>
      <c r="C257" s="29" t="s">
        <v>306</v>
      </c>
      <c r="D257" s="110" t="s">
        <v>307</v>
      </c>
      <c r="E257" s="110"/>
      <c r="F257" s="81">
        <v>2</v>
      </c>
      <c r="G257" s="49">
        <v>520000</v>
      </c>
      <c r="H257" s="509">
        <f t="shared" si="10"/>
        <v>1040000</v>
      </c>
      <c r="I257" s="49" t="s">
        <v>70</v>
      </c>
      <c r="J257" s="486">
        <v>46001</v>
      </c>
      <c r="K257" s="144"/>
      <c r="L257" s="144"/>
      <c r="M257" s="89"/>
    </row>
    <row r="258" spans="1:13" s="3" customFormat="1" ht="18.75" customHeight="1" x14ac:dyDescent="0.4">
      <c r="A258" s="482">
        <v>46094</v>
      </c>
      <c r="B258" s="106" t="s">
        <v>61</v>
      </c>
      <c r="C258" s="29" t="s">
        <v>118</v>
      </c>
      <c r="D258" s="110" t="s">
        <v>119</v>
      </c>
      <c r="E258" s="110"/>
      <c r="F258" s="81">
        <v>10</v>
      </c>
      <c r="G258" s="49">
        <v>7790000</v>
      </c>
      <c r="H258" s="509">
        <f t="shared" si="10"/>
        <v>77900000</v>
      </c>
      <c r="I258" s="49" t="s">
        <v>120</v>
      </c>
      <c r="J258" s="486">
        <v>46089</v>
      </c>
      <c r="K258" s="144"/>
      <c r="L258" s="144"/>
      <c r="M258" s="89"/>
    </row>
    <row r="259" spans="1:13" s="3" customFormat="1" ht="18.75" customHeight="1" x14ac:dyDescent="0.4">
      <c r="A259" s="482">
        <v>46094</v>
      </c>
      <c r="B259" s="106" t="s">
        <v>61</v>
      </c>
      <c r="C259" s="29" t="s">
        <v>121</v>
      </c>
      <c r="D259" s="110" t="s">
        <v>122</v>
      </c>
      <c r="E259" s="110"/>
      <c r="F259" s="81">
        <v>10</v>
      </c>
      <c r="G259" s="49">
        <v>7010050</v>
      </c>
      <c r="H259" s="509">
        <f t="shared" si="10"/>
        <v>70100500</v>
      </c>
      <c r="I259" s="49" t="s">
        <v>120</v>
      </c>
      <c r="J259" s="486">
        <v>46089</v>
      </c>
      <c r="K259" s="144"/>
      <c r="L259" s="144"/>
      <c r="M259" s="89"/>
    </row>
    <row r="260" spans="1:13" s="3" customFormat="1" ht="18.75" customHeight="1" x14ac:dyDescent="0.4">
      <c r="A260" s="482">
        <v>46097</v>
      </c>
      <c r="B260" s="106" t="s">
        <v>61</v>
      </c>
      <c r="C260" s="29" t="s">
        <v>115</v>
      </c>
      <c r="D260" s="110" t="s">
        <v>116</v>
      </c>
      <c r="E260" s="110"/>
      <c r="F260" s="81">
        <v>5</v>
      </c>
      <c r="G260" s="49">
        <v>187000</v>
      </c>
      <c r="H260" s="509">
        <f t="shared" si="10"/>
        <v>935000</v>
      </c>
      <c r="I260" s="49" t="s">
        <v>70</v>
      </c>
      <c r="J260" s="486">
        <v>46091</v>
      </c>
      <c r="K260" s="144"/>
      <c r="L260" s="144"/>
      <c r="M260" s="89"/>
    </row>
    <row r="261" spans="1:13" s="3" customFormat="1" ht="18.75" customHeight="1" x14ac:dyDescent="0.4">
      <c r="A261" s="482">
        <v>46097</v>
      </c>
      <c r="B261" s="106" t="s">
        <v>61</v>
      </c>
      <c r="C261" s="29" t="s">
        <v>300</v>
      </c>
      <c r="D261" s="110" t="s">
        <v>1048</v>
      </c>
      <c r="E261" s="110"/>
      <c r="F261" s="81">
        <v>5</v>
      </c>
      <c r="G261" s="49">
        <v>232000</v>
      </c>
      <c r="H261" s="509">
        <f t="shared" si="10"/>
        <v>1160000</v>
      </c>
      <c r="I261" s="49" t="s">
        <v>70</v>
      </c>
      <c r="J261" s="486">
        <v>46091</v>
      </c>
      <c r="K261" s="144"/>
      <c r="L261" s="144"/>
      <c r="M261" s="89"/>
    </row>
    <row r="262" spans="1:13" s="3" customFormat="1" ht="18.75" customHeight="1" x14ac:dyDescent="0.4">
      <c r="A262" s="482">
        <v>46097</v>
      </c>
      <c r="B262" s="106" t="s">
        <v>61</v>
      </c>
      <c r="C262" s="29" t="s">
        <v>32</v>
      </c>
      <c r="D262" s="110" t="s">
        <v>455</v>
      </c>
      <c r="E262" s="110"/>
      <c r="F262" s="81">
        <v>12</v>
      </c>
      <c r="G262" s="49">
        <v>32000</v>
      </c>
      <c r="H262" s="509">
        <f t="shared" si="10"/>
        <v>384000</v>
      </c>
      <c r="I262" s="49" t="s">
        <v>1082</v>
      </c>
      <c r="J262" s="486">
        <v>46101</v>
      </c>
      <c r="K262" s="144"/>
      <c r="L262" s="144"/>
      <c r="M262" s="89"/>
    </row>
    <row r="263" spans="1:13" s="3" customFormat="1" ht="18.75" customHeight="1" x14ac:dyDescent="0.4">
      <c r="A263" s="482">
        <v>46097</v>
      </c>
      <c r="B263" s="106" t="s">
        <v>61</v>
      </c>
      <c r="C263" s="29" t="s">
        <v>32</v>
      </c>
      <c r="D263" s="110" t="s">
        <v>455</v>
      </c>
      <c r="E263" s="110"/>
      <c r="F263" s="81">
        <v>1</v>
      </c>
      <c r="G263" s="49">
        <v>32000</v>
      </c>
      <c r="H263" s="509">
        <f t="shared" si="10"/>
        <v>32000</v>
      </c>
      <c r="I263" s="49" t="s">
        <v>70</v>
      </c>
      <c r="J263" s="486">
        <v>46101</v>
      </c>
      <c r="K263" s="144"/>
      <c r="L263" s="144"/>
      <c r="M263" s="89"/>
    </row>
    <row r="264" spans="1:13" s="3" customFormat="1" ht="18.75" customHeight="1" x14ac:dyDescent="0.4">
      <c r="A264" s="482">
        <v>46097</v>
      </c>
      <c r="B264" s="106" t="s">
        <v>61</v>
      </c>
      <c r="C264" s="29" t="s">
        <v>73</v>
      </c>
      <c r="D264" s="110" t="s">
        <v>74</v>
      </c>
      <c r="E264" s="110"/>
      <c r="F264" s="81">
        <v>4</v>
      </c>
      <c r="G264" s="49">
        <v>442000</v>
      </c>
      <c r="H264" s="509">
        <f t="shared" si="10"/>
        <v>1768000</v>
      </c>
      <c r="I264" s="49" t="s">
        <v>919</v>
      </c>
      <c r="J264" s="486">
        <v>46078</v>
      </c>
      <c r="K264" s="144"/>
      <c r="L264" s="144"/>
      <c r="M264" s="89"/>
    </row>
    <row r="265" spans="1:13" s="3" customFormat="1" ht="18.75" customHeight="1" x14ac:dyDescent="0.4">
      <c r="A265" s="482">
        <v>46097</v>
      </c>
      <c r="B265" s="106" t="s">
        <v>61</v>
      </c>
      <c r="C265" s="29" t="s">
        <v>73</v>
      </c>
      <c r="D265" s="110" t="s">
        <v>74</v>
      </c>
      <c r="E265" s="110"/>
      <c r="F265" s="81">
        <v>6</v>
      </c>
      <c r="G265" s="49">
        <v>442000</v>
      </c>
      <c r="H265" s="509">
        <f t="shared" si="10"/>
        <v>2652000</v>
      </c>
      <c r="I265" s="49" t="s">
        <v>920</v>
      </c>
      <c r="J265" s="486">
        <v>46078</v>
      </c>
      <c r="K265" s="144"/>
      <c r="L265" s="144"/>
      <c r="M265" s="89"/>
    </row>
    <row r="266" spans="1:13" s="3" customFormat="1" ht="18.75" customHeight="1" x14ac:dyDescent="0.4">
      <c r="A266" s="482">
        <v>46097</v>
      </c>
      <c r="B266" s="106" t="s">
        <v>61</v>
      </c>
      <c r="C266" s="29" t="s">
        <v>73</v>
      </c>
      <c r="D266" s="110" t="s">
        <v>74</v>
      </c>
      <c r="E266" s="110"/>
      <c r="F266" s="81">
        <v>3</v>
      </c>
      <c r="G266" s="49">
        <v>442000</v>
      </c>
      <c r="H266" s="509">
        <f t="shared" si="10"/>
        <v>1326000</v>
      </c>
      <c r="I266" s="49" t="s">
        <v>887</v>
      </c>
      <c r="J266" s="486">
        <v>46073</v>
      </c>
      <c r="K266" s="144"/>
      <c r="L266" s="144"/>
      <c r="M266" s="89"/>
    </row>
    <row r="267" spans="1:13" s="3" customFormat="1" ht="18.75" customHeight="1" x14ac:dyDescent="0.4">
      <c r="A267" s="482">
        <v>46097</v>
      </c>
      <c r="B267" s="106" t="s">
        <v>61</v>
      </c>
      <c r="C267" s="29" t="s">
        <v>105</v>
      </c>
      <c r="D267" s="110" t="s">
        <v>117</v>
      </c>
      <c r="E267" s="110"/>
      <c r="F267" s="81">
        <v>10</v>
      </c>
      <c r="G267" s="49">
        <v>248000</v>
      </c>
      <c r="H267" s="509">
        <f t="shared" si="10"/>
        <v>2480000</v>
      </c>
      <c r="I267" s="49" t="s">
        <v>886</v>
      </c>
      <c r="J267" s="486">
        <v>46059</v>
      </c>
      <c r="K267" s="144"/>
      <c r="L267" s="144"/>
      <c r="M267" s="89"/>
    </row>
    <row r="268" spans="1:13" s="3" customFormat="1" ht="18.75" customHeight="1" x14ac:dyDescent="0.4">
      <c r="A268" s="482">
        <v>46097</v>
      </c>
      <c r="B268" s="106" t="s">
        <v>61</v>
      </c>
      <c r="C268" s="29" t="s">
        <v>105</v>
      </c>
      <c r="D268" s="110" t="s">
        <v>117</v>
      </c>
      <c r="E268" s="110"/>
      <c r="F268" s="81">
        <v>3</v>
      </c>
      <c r="G268" s="49">
        <v>248000</v>
      </c>
      <c r="H268" s="509">
        <f t="shared" si="10"/>
        <v>744000</v>
      </c>
      <c r="I268" s="49" t="s">
        <v>740</v>
      </c>
      <c r="J268" s="486">
        <v>46058</v>
      </c>
      <c r="K268" s="144"/>
      <c r="L268" s="144"/>
      <c r="M268" s="89"/>
    </row>
    <row r="269" spans="1:13" s="3" customFormat="1" ht="18.75" customHeight="1" x14ac:dyDescent="0.4">
      <c r="A269" s="482">
        <v>46097</v>
      </c>
      <c r="B269" s="106" t="s">
        <v>61</v>
      </c>
      <c r="C269" s="29" t="s">
        <v>76</v>
      </c>
      <c r="D269" s="110" t="s">
        <v>77</v>
      </c>
      <c r="E269" s="110"/>
      <c r="F269" s="81">
        <v>6</v>
      </c>
      <c r="G269" s="49">
        <v>900000</v>
      </c>
      <c r="H269" s="509">
        <f t="shared" si="10"/>
        <v>5400000</v>
      </c>
      <c r="I269" s="49" t="s">
        <v>70</v>
      </c>
      <c r="J269" s="486">
        <v>46081</v>
      </c>
      <c r="K269" s="144"/>
      <c r="L269" s="144"/>
      <c r="M269" s="89"/>
    </row>
    <row r="270" spans="1:13" s="3" customFormat="1" ht="18.75" customHeight="1" x14ac:dyDescent="0.4">
      <c r="A270" s="482">
        <v>46097</v>
      </c>
      <c r="B270" s="106" t="s">
        <v>61</v>
      </c>
      <c r="C270" s="29" t="s">
        <v>66</v>
      </c>
      <c r="D270" s="110" t="s">
        <v>195</v>
      </c>
      <c r="E270" s="110"/>
      <c r="F270" s="81">
        <v>4</v>
      </c>
      <c r="G270" s="49">
        <v>1917500</v>
      </c>
      <c r="H270" s="509">
        <f t="shared" si="10"/>
        <v>7670000</v>
      </c>
      <c r="I270" s="49" t="s">
        <v>886</v>
      </c>
      <c r="J270" s="486">
        <v>46059</v>
      </c>
      <c r="K270" s="144"/>
      <c r="L270" s="144"/>
      <c r="M270" s="89"/>
    </row>
    <row r="271" spans="1:13" s="3" customFormat="1" ht="18.75" customHeight="1" x14ac:dyDescent="0.4">
      <c r="A271" s="482">
        <v>46097</v>
      </c>
      <c r="B271" s="106" t="s">
        <v>61</v>
      </c>
      <c r="C271" s="29" t="s">
        <v>105</v>
      </c>
      <c r="D271" s="110" t="s">
        <v>1083</v>
      </c>
      <c r="E271" s="110"/>
      <c r="F271" s="81">
        <v>1</v>
      </c>
      <c r="G271" s="49">
        <v>227050</v>
      </c>
      <c r="H271" s="509">
        <f t="shared" si="10"/>
        <v>227050</v>
      </c>
      <c r="I271" s="49" t="s">
        <v>737</v>
      </c>
      <c r="J271" s="486">
        <v>46036</v>
      </c>
      <c r="K271" s="144"/>
      <c r="L271" s="144"/>
      <c r="M271" s="89"/>
    </row>
    <row r="272" spans="1:13" s="3" customFormat="1" ht="18.75" customHeight="1" x14ac:dyDescent="0.4">
      <c r="A272" s="482">
        <v>46098</v>
      </c>
      <c r="B272" s="106" t="s">
        <v>61</v>
      </c>
      <c r="C272" s="29" t="s">
        <v>66</v>
      </c>
      <c r="D272" s="110" t="s">
        <v>357</v>
      </c>
      <c r="E272" s="110"/>
      <c r="F272" s="81">
        <v>2</v>
      </c>
      <c r="G272" s="49">
        <v>1766050</v>
      </c>
      <c r="H272" s="509">
        <f t="shared" si="10"/>
        <v>3532100</v>
      </c>
      <c r="I272" s="49" t="s">
        <v>738</v>
      </c>
      <c r="J272" s="486">
        <v>46050</v>
      </c>
      <c r="K272" s="144"/>
      <c r="L272" s="144"/>
      <c r="M272" s="89"/>
    </row>
    <row r="273" spans="1:13" s="3" customFormat="1" ht="18.75" customHeight="1" x14ac:dyDescent="0.4">
      <c r="A273" s="482">
        <v>46101</v>
      </c>
      <c r="B273" s="103" t="s">
        <v>61</v>
      </c>
      <c r="C273" s="29" t="s">
        <v>416</v>
      </c>
      <c r="D273" s="110" t="s">
        <v>417</v>
      </c>
      <c r="E273" s="110"/>
      <c r="F273" s="81">
        <v>2</v>
      </c>
      <c r="G273" s="81">
        <v>251000</v>
      </c>
      <c r="H273" s="509">
        <f t="shared" si="10"/>
        <v>502000</v>
      </c>
      <c r="I273" s="81" t="s">
        <v>70</v>
      </c>
      <c r="J273" s="487">
        <v>46038</v>
      </c>
      <c r="K273" s="196"/>
      <c r="L273" s="196"/>
      <c r="M273" s="89"/>
    </row>
    <row r="274" spans="1:13" s="3" customFormat="1" ht="18.75" customHeight="1" x14ac:dyDescent="0.4">
      <c r="A274" s="482">
        <v>46101</v>
      </c>
      <c r="B274" s="103" t="s">
        <v>61</v>
      </c>
      <c r="C274" s="29" t="s">
        <v>416</v>
      </c>
      <c r="D274" s="110" t="s">
        <v>417</v>
      </c>
      <c r="E274" s="110"/>
      <c r="F274" s="81">
        <v>4</v>
      </c>
      <c r="G274" s="81">
        <v>251000</v>
      </c>
      <c r="H274" s="509">
        <f t="shared" si="10"/>
        <v>1004000</v>
      </c>
      <c r="I274" s="81" t="s">
        <v>70</v>
      </c>
      <c r="J274" s="487">
        <v>46063</v>
      </c>
      <c r="K274" s="196"/>
      <c r="L274" s="196"/>
      <c r="M274" s="89"/>
    </row>
    <row r="275" spans="1:13" s="3" customFormat="1" ht="18.75" customHeight="1" x14ac:dyDescent="0.4">
      <c r="A275" s="482">
        <v>46101</v>
      </c>
      <c r="B275" s="103" t="s">
        <v>61</v>
      </c>
      <c r="C275" s="29" t="s">
        <v>62</v>
      </c>
      <c r="D275" s="110" t="s">
        <v>75</v>
      </c>
      <c r="E275" s="110"/>
      <c r="F275" s="81">
        <v>4</v>
      </c>
      <c r="G275" s="81">
        <v>442000</v>
      </c>
      <c r="H275" s="509">
        <f t="shared" si="10"/>
        <v>1768000</v>
      </c>
      <c r="I275" s="81" t="s">
        <v>919</v>
      </c>
      <c r="J275" s="487">
        <v>46078</v>
      </c>
      <c r="K275" s="196"/>
      <c r="L275" s="196"/>
      <c r="M275" s="89"/>
    </row>
    <row r="276" spans="1:13" s="3" customFormat="1" ht="18.75" customHeight="1" x14ac:dyDescent="0.4">
      <c r="A276" s="482">
        <v>46101</v>
      </c>
      <c r="B276" s="103" t="s">
        <v>61</v>
      </c>
      <c r="C276" s="29" t="s">
        <v>62</v>
      </c>
      <c r="D276" s="110" t="s">
        <v>75</v>
      </c>
      <c r="E276" s="110"/>
      <c r="F276" s="81">
        <v>4</v>
      </c>
      <c r="G276" s="81">
        <v>442000</v>
      </c>
      <c r="H276" s="509">
        <f t="shared" si="10"/>
        <v>1768000</v>
      </c>
      <c r="I276" s="81" t="s">
        <v>886</v>
      </c>
      <c r="J276" s="487">
        <v>46059</v>
      </c>
      <c r="K276" s="196"/>
      <c r="L276" s="196"/>
      <c r="M276" s="89"/>
    </row>
    <row r="277" spans="1:13" s="3" customFormat="1" ht="18.75" customHeight="1" x14ac:dyDescent="0.4">
      <c r="A277" s="482">
        <v>46101</v>
      </c>
      <c r="B277" s="103" t="s">
        <v>61</v>
      </c>
      <c r="C277" s="29" t="s">
        <v>62</v>
      </c>
      <c r="D277" s="110" t="s">
        <v>75</v>
      </c>
      <c r="E277" s="110"/>
      <c r="F277" s="81">
        <v>3</v>
      </c>
      <c r="G277" s="81">
        <v>442000</v>
      </c>
      <c r="H277" s="509">
        <f t="shared" si="10"/>
        <v>1326000</v>
      </c>
      <c r="I277" s="81" t="s">
        <v>887</v>
      </c>
      <c r="J277" s="487">
        <v>46073</v>
      </c>
      <c r="K277" s="196"/>
      <c r="L277" s="196"/>
      <c r="M277" s="89"/>
    </row>
    <row r="278" spans="1:13" s="3" customFormat="1" ht="18.75" customHeight="1" x14ac:dyDescent="0.4">
      <c r="A278" s="482">
        <v>46101</v>
      </c>
      <c r="B278" s="103" t="s">
        <v>61</v>
      </c>
      <c r="C278" s="29" t="s">
        <v>105</v>
      </c>
      <c r="D278" s="110" t="s">
        <v>117</v>
      </c>
      <c r="E278" s="110"/>
      <c r="F278" s="81">
        <v>4</v>
      </c>
      <c r="G278" s="81">
        <v>248000</v>
      </c>
      <c r="H278" s="509">
        <f t="shared" si="10"/>
        <v>992000</v>
      </c>
      <c r="I278" s="81" t="s">
        <v>919</v>
      </c>
      <c r="J278" s="487">
        <v>46078</v>
      </c>
      <c r="K278" s="196"/>
      <c r="L278" s="196"/>
      <c r="M278" s="89"/>
    </row>
    <row r="279" spans="1:13" s="3" customFormat="1" ht="18.75" customHeight="1" x14ac:dyDescent="0.4">
      <c r="A279" s="482">
        <v>46101</v>
      </c>
      <c r="B279" s="103" t="s">
        <v>61</v>
      </c>
      <c r="C279" s="29" t="s">
        <v>105</v>
      </c>
      <c r="D279" s="110" t="s">
        <v>117</v>
      </c>
      <c r="E279" s="110"/>
      <c r="F279" s="81">
        <v>6</v>
      </c>
      <c r="G279" s="81">
        <v>248000</v>
      </c>
      <c r="H279" s="509">
        <f t="shared" si="10"/>
        <v>1488000</v>
      </c>
      <c r="I279" s="81" t="s">
        <v>920</v>
      </c>
      <c r="J279" s="487">
        <v>46078</v>
      </c>
      <c r="K279" s="196"/>
      <c r="L279" s="196"/>
      <c r="M279" s="89"/>
    </row>
    <row r="280" spans="1:13" s="3" customFormat="1" ht="18.75" customHeight="1" x14ac:dyDescent="0.4">
      <c r="A280" s="482">
        <v>46101</v>
      </c>
      <c r="B280" s="103" t="s">
        <v>61</v>
      </c>
      <c r="C280" s="29" t="s">
        <v>105</v>
      </c>
      <c r="D280" s="110" t="s">
        <v>117</v>
      </c>
      <c r="E280" s="110"/>
      <c r="F280" s="81">
        <v>12</v>
      </c>
      <c r="G280" s="81">
        <v>248000</v>
      </c>
      <c r="H280" s="509">
        <f t="shared" si="10"/>
        <v>2976000</v>
      </c>
      <c r="I280" s="81" t="s">
        <v>1076</v>
      </c>
      <c r="J280" s="487">
        <v>46092</v>
      </c>
      <c r="K280" s="196"/>
      <c r="L280" s="196"/>
      <c r="M280" s="89"/>
    </row>
    <row r="281" spans="1:13" s="3" customFormat="1" ht="18.75" customHeight="1" x14ac:dyDescent="0.4">
      <c r="A281" s="482">
        <v>46101</v>
      </c>
      <c r="B281" s="103" t="s">
        <v>61</v>
      </c>
      <c r="C281" s="29" t="s">
        <v>105</v>
      </c>
      <c r="D281" s="110" t="s">
        <v>117</v>
      </c>
      <c r="E281" s="110"/>
      <c r="F281" s="81">
        <v>3</v>
      </c>
      <c r="G281" s="81">
        <v>248000</v>
      </c>
      <c r="H281" s="509">
        <f t="shared" si="10"/>
        <v>744000</v>
      </c>
      <c r="I281" s="81" t="s">
        <v>887</v>
      </c>
      <c r="J281" s="487">
        <v>46073</v>
      </c>
      <c r="K281" s="196"/>
      <c r="L281" s="196"/>
      <c r="M281" s="89"/>
    </row>
    <row r="282" spans="1:13" s="3" customFormat="1" ht="18.75" customHeight="1" x14ac:dyDescent="0.4">
      <c r="A282" s="482">
        <v>46101</v>
      </c>
      <c r="B282" s="103" t="s">
        <v>61</v>
      </c>
      <c r="C282" s="29" t="s">
        <v>105</v>
      </c>
      <c r="D282" s="110" t="s">
        <v>117</v>
      </c>
      <c r="E282" s="110"/>
      <c r="F282" s="81">
        <v>3</v>
      </c>
      <c r="G282" s="81">
        <v>248000</v>
      </c>
      <c r="H282" s="509">
        <f t="shared" si="10"/>
        <v>744000</v>
      </c>
      <c r="I282" s="81" t="s">
        <v>1077</v>
      </c>
      <c r="J282" s="487">
        <v>46090</v>
      </c>
      <c r="K282" s="196"/>
      <c r="L282" s="196"/>
      <c r="M282" s="89"/>
    </row>
    <row r="283" spans="1:13" s="3" customFormat="1" ht="18.75" customHeight="1" x14ac:dyDescent="0.4">
      <c r="A283" s="482">
        <v>46101</v>
      </c>
      <c r="B283" s="103" t="s">
        <v>61</v>
      </c>
      <c r="C283" s="29" t="s">
        <v>105</v>
      </c>
      <c r="D283" s="110" t="s">
        <v>117</v>
      </c>
      <c r="E283" s="110"/>
      <c r="F283" s="81">
        <v>3</v>
      </c>
      <c r="G283" s="81">
        <v>248000</v>
      </c>
      <c r="H283" s="509">
        <f t="shared" si="10"/>
        <v>744000</v>
      </c>
      <c r="I283" s="81" t="s">
        <v>1084</v>
      </c>
      <c r="J283" s="487">
        <v>46104</v>
      </c>
      <c r="K283" s="196"/>
      <c r="L283" s="196"/>
      <c r="M283" s="89"/>
    </row>
    <row r="284" spans="1:13" s="3" customFormat="1" ht="18.75" customHeight="1" x14ac:dyDescent="0.4">
      <c r="A284" s="482">
        <v>46101</v>
      </c>
      <c r="B284" s="103" t="s">
        <v>61</v>
      </c>
      <c r="C284" s="29" t="s">
        <v>105</v>
      </c>
      <c r="D284" s="110" t="s">
        <v>117</v>
      </c>
      <c r="E284" s="110"/>
      <c r="F284" s="81">
        <v>1</v>
      </c>
      <c r="G284" s="81">
        <v>248000</v>
      </c>
      <c r="H284" s="36"/>
      <c r="I284" s="81" t="s">
        <v>186</v>
      </c>
      <c r="J284" s="487"/>
      <c r="K284" s="196"/>
      <c r="L284" s="196"/>
      <c r="M284" s="89"/>
    </row>
    <row r="285" spans="1:13" s="3" customFormat="1" ht="18.75" customHeight="1" x14ac:dyDescent="0.4">
      <c r="A285" s="482">
        <v>46101</v>
      </c>
      <c r="B285" s="103" t="s">
        <v>61</v>
      </c>
      <c r="C285" s="29" t="s">
        <v>64</v>
      </c>
      <c r="D285" s="110" t="s">
        <v>65</v>
      </c>
      <c r="E285" s="110"/>
      <c r="F285" s="81">
        <v>4</v>
      </c>
      <c r="G285" s="81">
        <v>1568700</v>
      </c>
      <c r="H285" s="509">
        <f t="shared" si="10"/>
        <v>6274800</v>
      </c>
      <c r="I285" s="81" t="s">
        <v>919</v>
      </c>
      <c r="J285" s="487">
        <v>46078</v>
      </c>
      <c r="K285" s="196"/>
      <c r="L285" s="196"/>
      <c r="M285" s="89"/>
    </row>
    <row r="286" spans="1:13" s="3" customFormat="1" ht="18.75" customHeight="1" x14ac:dyDescent="0.4">
      <c r="A286" s="482">
        <v>46101</v>
      </c>
      <c r="B286" s="103" t="s">
        <v>61</v>
      </c>
      <c r="C286" s="29" t="s">
        <v>64</v>
      </c>
      <c r="D286" s="110" t="s">
        <v>65</v>
      </c>
      <c r="E286" s="110"/>
      <c r="F286" s="81">
        <v>6</v>
      </c>
      <c r="G286" s="81">
        <v>1568700</v>
      </c>
      <c r="H286" s="509">
        <f t="shared" si="10"/>
        <v>9412200</v>
      </c>
      <c r="I286" s="81" t="s">
        <v>920</v>
      </c>
      <c r="J286" s="487">
        <v>46078</v>
      </c>
      <c r="K286" s="196"/>
      <c r="L286" s="196"/>
      <c r="M286" s="89"/>
    </row>
    <row r="287" spans="1:13" s="3" customFormat="1" ht="18.75" customHeight="1" x14ac:dyDescent="0.4">
      <c r="A287" s="482">
        <v>46101</v>
      </c>
      <c r="B287" s="103" t="s">
        <v>61</v>
      </c>
      <c r="C287" s="29" t="s">
        <v>64</v>
      </c>
      <c r="D287" s="110" t="s">
        <v>65</v>
      </c>
      <c r="E287" s="110"/>
      <c r="F287" s="81">
        <v>3</v>
      </c>
      <c r="G287" s="81">
        <v>1568700</v>
      </c>
      <c r="H287" s="509">
        <f t="shared" si="10"/>
        <v>4706100</v>
      </c>
      <c r="I287" s="81" t="s">
        <v>887</v>
      </c>
      <c r="J287" s="487">
        <v>46073</v>
      </c>
      <c r="K287" s="196"/>
      <c r="L287" s="196"/>
      <c r="M287" s="89"/>
    </row>
    <row r="288" spans="1:13" s="3" customFormat="1" ht="18.75" customHeight="1" x14ac:dyDescent="0.4">
      <c r="A288" s="482">
        <v>46101</v>
      </c>
      <c r="B288" s="103" t="s">
        <v>61</v>
      </c>
      <c r="C288" s="29" t="s">
        <v>105</v>
      </c>
      <c r="D288" s="110" t="s">
        <v>1083</v>
      </c>
      <c r="E288" s="110"/>
      <c r="F288" s="81">
        <v>12</v>
      </c>
      <c r="G288" s="81">
        <v>227050</v>
      </c>
      <c r="H288" s="509">
        <f t="shared" si="10"/>
        <v>2724600</v>
      </c>
      <c r="I288" s="81" t="s">
        <v>738</v>
      </c>
      <c r="J288" s="487">
        <v>46050</v>
      </c>
      <c r="K288" s="196"/>
      <c r="L288" s="196"/>
      <c r="M288" s="89"/>
    </row>
    <row r="289" spans="1:13" s="3" customFormat="1" ht="18.75" customHeight="1" x14ac:dyDescent="0.4">
      <c r="A289" s="482">
        <v>46101</v>
      </c>
      <c r="B289" s="103" t="s">
        <v>61</v>
      </c>
      <c r="C289" s="29" t="s">
        <v>105</v>
      </c>
      <c r="D289" s="110" t="s">
        <v>364</v>
      </c>
      <c r="E289" s="110"/>
      <c r="F289" s="81">
        <v>12</v>
      </c>
      <c r="G289" s="81">
        <v>227050</v>
      </c>
      <c r="H289" s="509">
        <f t="shared" si="10"/>
        <v>2724600</v>
      </c>
      <c r="I289" s="81" t="s">
        <v>918</v>
      </c>
      <c r="J289" s="487">
        <v>46085</v>
      </c>
      <c r="K289" s="196"/>
      <c r="L289" s="196"/>
      <c r="M289" s="89"/>
    </row>
    <row r="290" spans="1:13" s="3" customFormat="1" ht="18.75" customHeight="1" x14ac:dyDescent="0.4">
      <c r="A290" s="482">
        <v>46104</v>
      </c>
      <c r="B290" s="103" t="s">
        <v>61</v>
      </c>
      <c r="C290" s="29" t="s">
        <v>1085</v>
      </c>
      <c r="D290" s="110" t="s">
        <v>1086</v>
      </c>
      <c r="E290" s="110"/>
      <c r="F290" s="81">
        <v>4</v>
      </c>
      <c r="G290" s="81">
        <v>166000</v>
      </c>
      <c r="H290" s="509">
        <f t="shared" si="10"/>
        <v>664000</v>
      </c>
      <c r="I290" s="81" t="s">
        <v>1078</v>
      </c>
      <c r="J290" s="487">
        <v>46101</v>
      </c>
      <c r="K290" s="196"/>
      <c r="L290" s="196"/>
      <c r="M290" s="89"/>
    </row>
    <row r="291" spans="1:13" s="3" customFormat="1" ht="18.75" customHeight="1" x14ac:dyDescent="0.4">
      <c r="A291" s="482">
        <v>46104</v>
      </c>
      <c r="B291" s="103" t="s">
        <v>61</v>
      </c>
      <c r="C291" s="29" t="s">
        <v>88</v>
      </c>
      <c r="D291" s="110" t="s">
        <v>89</v>
      </c>
      <c r="E291" s="110"/>
      <c r="F291" s="81">
        <v>4</v>
      </c>
      <c r="G291" s="81">
        <v>64000</v>
      </c>
      <c r="H291" s="509">
        <f t="shared" si="10"/>
        <v>256000</v>
      </c>
      <c r="I291" s="81" t="s">
        <v>1078</v>
      </c>
      <c r="J291" s="487">
        <v>46101</v>
      </c>
      <c r="K291" s="196"/>
      <c r="L291" s="196"/>
      <c r="M291" s="89"/>
    </row>
    <row r="292" spans="1:13" s="3" customFormat="1" ht="18.75" customHeight="1" x14ac:dyDescent="0.4">
      <c r="A292" s="482">
        <v>46104</v>
      </c>
      <c r="B292" s="103" t="s">
        <v>61</v>
      </c>
      <c r="C292" s="29" t="s">
        <v>216</v>
      </c>
      <c r="D292" s="110" t="s">
        <v>217</v>
      </c>
      <c r="E292" s="110"/>
      <c r="F292" s="81">
        <v>4</v>
      </c>
      <c r="G292" s="81">
        <v>170000</v>
      </c>
      <c r="H292" s="509">
        <f t="shared" si="10"/>
        <v>680000</v>
      </c>
      <c r="I292" s="81" t="s">
        <v>1078</v>
      </c>
      <c r="J292" s="487">
        <v>46101</v>
      </c>
      <c r="K292" s="196"/>
      <c r="L292" s="196"/>
      <c r="M292" s="89"/>
    </row>
    <row r="293" spans="1:13" s="3" customFormat="1" ht="18.75" customHeight="1" x14ac:dyDescent="0.4">
      <c r="A293" s="482">
        <v>46104</v>
      </c>
      <c r="B293" s="103" t="s">
        <v>61</v>
      </c>
      <c r="C293" s="29" t="s">
        <v>95</v>
      </c>
      <c r="D293" s="110" t="s">
        <v>96</v>
      </c>
      <c r="E293" s="110"/>
      <c r="F293" s="81">
        <v>14</v>
      </c>
      <c r="G293" s="81">
        <v>12000</v>
      </c>
      <c r="H293" s="509">
        <f t="shared" si="10"/>
        <v>168000</v>
      </c>
      <c r="I293" s="81" t="s">
        <v>1082</v>
      </c>
      <c r="J293" s="487">
        <v>46101</v>
      </c>
      <c r="K293" s="196"/>
      <c r="L293" s="196"/>
      <c r="M293" s="89"/>
    </row>
    <row r="294" spans="1:13" s="3" customFormat="1" ht="18.75" customHeight="1" x14ac:dyDescent="0.4">
      <c r="A294" s="482">
        <v>46104</v>
      </c>
      <c r="B294" s="103" t="s">
        <v>61</v>
      </c>
      <c r="C294" s="29" t="s">
        <v>95</v>
      </c>
      <c r="D294" s="110" t="s">
        <v>96</v>
      </c>
      <c r="E294" s="110"/>
      <c r="F294" s="81">
        <v>13</v>
      </c>
      <c r="G294" s="81">
        <v>12000</v>
      </c>
      <c r="H294" s="509">
        <f t="shared" si="10"/>
        <v>156000</v>
      </c>
      <c r="I294" s="81" t="s">
        <v>1082</v>
      </c>
      <c r="J294" s="487">
        <v>46101</v>
      </c>
      <c r="K294" s="196"/>
      <c r="L294" s="196"/>
      <c r="M294" s="89"/>
    </row>
    <row r="295" spans="1:13" s="3" customFormat="1" ht="18.75" customHeight="1" x14ac:dyDescent="0.4">
      <c r="A295" s="482">
        <v>46104</v>
      </c>
      <c r="B295" s="103" t="s">
        <v>61</v>
      </c>
      <c r="C295" s="29" t="s">
        <v>95</v>
      </c>
      <c r="D295" s="110" t="s">
        <v>96</v>
      </c>
      <c r="E295" s="110"/>
      <c r="F295" s="81">
        <v>25</v>
      </c>
      <c r="G295" s="81">
        <v>12000</v>
      </c>
      <c r="H295" s="509">
        <f t="shared" si="10"/>
        <v>300000</v>
      </c>
      <c r="I295" s="81" t="s">
        <v>1082</v>
      </c>
      <c r="J295" s="487">
        <v>46101</v>
      </c>
      <c r="K295" s="196"/>
      <c r="L295" s="196"/>
      <c r="M295" s="89"/>
    </row>
    <row r="296" spans="1:13" s="3" customFormat="1" ht="18.75" customHeight="1" x14ac:dyDescent="0.4">
      <c r="A296" s="482">
        <v>46104</v>
      </c>
      <c r="B296" s="103" t="s">
        <v>61</v>
      </c>
      <c r="C296" s="29" t="s">
        <v>92</v>
      </c>
      <c r="D296" s="110" t="s">
        <v>1087</v>
      </c>
      <c r="E296" s="110"/>
      <c r="F296" s="81">
        <v>14</v>
      </c>
      <c r="G296" s="81">
        <v>352000</v>
      </c>
      <c r="H296" s="509">
        <f t="shared" si="10"/>
        <v>4928000</v>
      </c>
      <c r="I296" s="81" t="s">
        <v>1082</v>
      </c>
      <c r="J296" s="487">
        <v>46101</v>
      </c>
      <c r="K296" s="196"/>
      <c r="L296" s="196"/>
      <c r="M296" s="89"/>
    </row>
    <row r="297" spans="1:13" s="3" customFormat="1" ht="18.75" customHeight="1" x14ac:dyDescent="0.4">
      <c r="A297" s="482">
        <v>46106</v>
      </c>
      <c r="B297" s="103" t="s">
        <v>61</v>
      </c>
      <c r="C297" s="29" t="s">
        <v>202</v>
      </c>
      <c r="D297" s="110" t="s">
        <v>203</v>
      </c>
      <c r="E297" s="110"/>
      <c r="F297" s="81">
        <v>8</v>
      </c>
      <c r="G297" s="81">
        <v>384000</v>
      </c>
      <c r="H297" s="509">
        <f t="shared" si="10"/>
        <v>3072000</v>
      </c>
      <c r="I297" s="81" t="s">
        <v>1088</v>
      </c>
      <c r="J297" s="487">
        <v>46113</v>
      </c>
      <c r="K297" s="196"/>
      <c r="L297" s="196"/>
      <c r="M297" s="89"/>
    </row>
    <row r="298" spans="1:13" s="3" customFormat="1" ht="18.75" customHeight="1" x14ac:dyDescent="0.4">
      <c r="A298" s="482">
        <v>46106</v>
      </c>
      <c r="B298" s="103" t="s">
        <v>61</v>
      </c>
      <c r="C298" s="29" t="s">
        <v>71</v>
      </c>
      <c r="D298" s="110" t="s">
        <v>72</v>
      </c>
      <c r="E298" s="110"/>
      <c r="F298" s="81">
        <v>4</v>
      </c>
      <c r="G298" s="81">
        <v>548000</v>
      </c>
      <c r="H298" s="509">
        <f t="shared" si="10"/>
        <v>2192000</v>
      </c>
      <c r="I298" s="81" t="s">
        <v>919</v>
      </c>
      <c r="J298" s="487">
        <v>46078</v>
      </c>
      <c r="K298" s="196"/>
      <c r="L298" s="196"/>
      <c r="M298" s="89"/>
    </row>
    <row r="299" spans="1:13" s="3" customFormat="1" ht="18.75" customHeight="1" x14ac:dyDescent="0.4">
      <c r="A299" s="482">
        <v>46106</v>
      </c>
      <c r="B299" s="103" t="s">
        <v>61</v>
      </c>
      <c r="C299" s="29" t="s">
        <v>71</v>
      </c>
      <c r="D299" s="110" t="s">
        <v>72</v>
      </c>
      <c r="E299" s="110"/>
      <c r="F299" s="81">
        <v>6</v>
      </c>
      <c r="G299" s="81">
        <v>548000</v>
      </c>
      <c r="H299" s="509">
        <f t="shared" si="10"/>
        <v>3288000</v>
      </c>
      <c r="I299" s="81" t="s">
        <v>920</v>
      </c>
      <c r="J299" s="487">
        <v>46078</v>
      </c>
      <c r="K299" s="196"/>
      <c r="L299" s="196"/>
      <c r="M299" s="89"/>
    </row>
    <row r="300" spans="1:13" s="3" customFormat="1" ht="18.75" customHeight="1" x14ac:dyDescent="0.4">
      <c r="A300" s="482">
        <v>46106</v>
      </c>
      <c r="B300" s="103" t="s">
        <v>61</v>
      </c>
      <c r="C300" s="29" t="s">
        <v>202</v>
      </c>
      <c r="D300" s="110" t="s">
        <v>203</v>
      </c>
      <c r="E300" s="110"/>
      <c r="F300" s="81">
        <v>12</v>
      </c>
      <c r="G300" s="81">
        <v>384000</v>
      </c>
      <c r="H300" s="509">
        <f t="shared" ref="H300:H346" si="11">F300*G300</f>
        <v>4608000</v>
      </c>
      <c r="I300" s="81" t="s">
        <v>1076</v>
      </c>
      <c r="J300" s="487">
        <v>46092</v>
      </c>
      <c r="K300" s="196"/>
      <c r="L300" s="196"/>
      <c r="M300" s="89"/>
    </row>
    <row r="301" spans="1:13" s="3" customFormat="1" ht="18.75" customHeight="1" x14ac:dyDescent="0.4">
      <c r="A301" s="482">
        <v>46106</v>
      </c>
      <c r="B301" s="103" t="s">
        <v>61</v>
      </c>
      <c r="C301" s="29" t="s">
        <v>67</v>
      </c>
      <c r="D301" s="110" t="s">
        <v>80</v>
      </c>
      <c r="E301" s="110"/>
      <c r="F301" s="81">
        <v>10</v>
      </c>
      <c r="G301" s="81">
        <v>384000</v>
      </c>
      <c r="H301" s="509">
        <f t="shared" si="11"/>
        <v>3840000</v>
      </c>
      <c r="I301" s="81" t="s">
        <v>1076</v>
      </c>
      <c r="J301" s="487">
        <v>46092</v>
      </c>
      <c r="K301" s="196"/>
      <c r="L301" s="196"/>
      <c r="M301" s="89"/>
    </row>
    <row r="302" spans="1:13" s="3" customFormat="1" ht="18.75" customHeight="1" x14ac:dyDescent="0.4">
      <c r="A302" s="482">
        <v>46106</v>
      </c>
      <c r="B302" s="103" t="s">
        <v>61</v>
      </c>
      <c r="C302" s="29" t="s">
        <v>202</v>
      </c>
      <c r="D302" s="110" t="s">
        <v>203</v>
      </c>
      <c r="E302" s="110"/>
      <c r="F302" s="81">
        <v>3</v>
      </c>
      <c r="G302" s="81">
        <v>384000</v>
      </c>
      <c r="H302" s="509">
        <f t="shared" si="11"/>
        <v>1152000</v>
      </c>
      <c r="I302" s="81" t="s">
        <v>1077</v>
      </c>
      <c r="J302" s="487">
        <v>46090</v>
      </c>
      <c r="K302" s="196"/>
      <c r="L302" s="196"/>
      <c r="M302" s="89"/>
    </row>
    <row r="303" spans="1:13" s="3" customFormat="1" ht="18.75" customHeight="1" x14ac:dyDescent="0.4">
      <c r="A303" s="482">
        <v>46106</v>
      </c>
      <c r="B303" s="103" t="s">
        <v>61</v>
      </c>
      <c r="C303" s="29" t="s">
        <v>202</v>
      </c>
      <c r="D303" s="110" t="s">
        <v>203</v>
      </c>
      <c r="E303" s="110"/>
      <c r="F303" s="81">
        <v>3</v>
      </c>
      <c r="G303" s="81">
        <v>384000</v>
      </c>
      <c r="H303" s="509">
        <f t="shared" si="11"/>
        <v>1152000</v>
      </c>
      <c r="I303" s="81" t="s">
        <v>1084</v>
      </c>
      <c r="J303" s="487">
        <v>46104</v>
      </c>
      <c r="K303" s="196"/>
      <c r="L303" s="196"/>
      <c r="M303" s="89"/>
    </row>
    <row r="304" spans="1:13" s="3" customFormat="1" ht="18.75" customHeight="1" x14ac:dyDescent="0.4">
      <c r="A304" s="482">
        <v>46106</v>
      </c>
      <c r="B304" s="103" t="s">
        <v>61</v>
      </c>
      <c r="C304" s="29" t="s">
        <v>71</v>
      </c>
      <c r="D304" s="110" t="s">
        <v>207</v>
      </c>
      <c r="E304" s="110"/>
      <c r="F304" s="81">
        <v>12</v>
      </c>
      <c r="G304" s="81">
        <v>520600</v>
      </c>
      <c r="H304" s="509">
        <f t="shared" si="11"/>
        <v>6247200</v>
      </c>
      <c r="I304" s="81" t="s">
        <v>1089</v>
      </c>
      <c r="J304" s="487">
        <v>46106</v>
      </c>
      <c r="K304" s="196"/>
      <c r="L304" s="196"/>
      <c r="M304" s="89"/>
    </row>
    <row r="305" spans="1:13" s="3" customFormat="1" ht="18.75" customHeight="1" x14ac:dyDescent="0.4">
      <c r="A305" s="482">
        <v>46106</v>
      </c>
      <c r="B305" s="103" t="s">
        <v>61</v>
      </c>
      <c r="C305" s="29" t="s">
        <v>1090</v>
      </c>
      <c r="D305" s="110" t="s">
        <v>1091</v>
      </c>
      <c r="E305" s="110"/>
      <c r="F305" s="81">
        <v>4</v>
      </c>
      <c r="G305" s="81">
        <v>114200</v>
      </c>
      <c r="H305" s="509">
        <f t="shared" si="11"/>
        <v>456800</v>
      </c>
      <c r="I305" s="81" t="s">
        <v>1078</v>
      </c>
      <c r="J305" s="487">
        <v>46101</v>
      </c>
      <c r="K305" s="196"/>
      <c r="L305" s="196"/>
      <c r="M305" s="89"/>
    </row>
    <row r="306" spans="1:13" s="3" customFormat="1" ht="18.75" customHeight="1" x14ac:dyDescent="0.4">
      <c r="A306" s="482">
        <v>46106</v>
      </c>
      <c r="B306" s="103" t="s">
        <v>61</v>
      </c>
      <c r="C306" s="29" t="s">
        <v>407</v>
      </c>
      <c r="D306" s="110" t="s">
        <v>531</v>
      </c>
      <c r="E306" s="110"/>
      <c r="F306" s="81">
        <v>1</v>
      </c>
      <c r="G306" s="81">
        <v>239000</v>
      </c>
      <c r="H306" s="509">
        <f t="shared" si="11"/>
        <v>239000</v>
      </c>
      <c r="I306" s="81" t="s">
        <v>1092</v>
      </c>
      <c r="J306" s="487">
        <v>46106</v>
      </c>
      <c r="K306" s="196"/>
      <c r="L306" s="196" t="s">
        <v>1093</v>
      </c>
      <c r="M306" s="89"/>
    </row>
    <row r="307" spans="1:13" s="3" customFormat="1" ht="18.75" customHeight="1" x14ac:dyDescent="0.4">
      <c r="A307" s="482">
        <v>46106</v>
      </c>
      <c r="B307" s="103" t="s">
        <v>61</v>
      </c>
      <c r="C307" s="29" t="s">
        <v>407</v>
      </c>
      <c r="D307" s="110" t="s">
        <v>531</v>
      </c>
      <c r="E307" s="110"/>
      <c r="F307" s="81">
        <v>1</v>
      </c>
      <c r="G307" s="81">
        <v>239000</v>
      </c>
      <c r="H307" s="509">
        <f t="shared" si="11"/>
        <v>239000</v>
      </c>
      <c r="I307" s="81" t="s">
        <v>1094</v>
      </c>
      <c r="J307" s="487">
        <v>46106</v>
      </c>
      <c r="K307" s="196"/>
      <c r="L307" s="196" t="s">
        <v>1093</v>
      </c>
      <c r="M307" s="89"/>
    </row>
    <row r="308" spans="1:13" s="3" customFormat="1" ht="18.75" customHeight="1" x14ac:dyDescent="0.4">
      <c r="A308" s="488">
        <v>46112</v>
      </c>
      <c r="B308" s="103" t="s">
        <v>61</v>
      </c>
      <c r="C308" s="29" t="s">
        <v>118</v>
      </c>
      <c r="D308" s="110" t="s">
        <v>119</v>
      </c>
      <c r="E308" s="110"/>
      <c r="F308" s="81">
        <v>1</v>
      </c>
      <c r="G308" s="81">
        <v>7790000</v>
      </c>
      <c r="H308" s="509">
        <f t="shared" si="11"/>
        <v>7790000</v>
      </c>
      <c r="I308" s="81" t="s">
        <v>120</v>
      </c>
      <c r="J308" s="487">
        <v>46030</v>
      </c>
      <c r="K308" s="196"/>
      <c r="L308" s="196"/>
      <c r="M308" s="89"/>
    </row>
    <row r="309" spans="1:13" s="3" customFormat="1" ht="18.75" customHeight="1" x14ac:dyDescent="0.4">
      <c r="A309" s="488">
        <v>46112</v>
      </c>
      <c r="B309" s="103" t="s">
        <v>61</v>
      </c>
      <c r="C309" s="29" t="s">
        <v>118</v>
      </c>
      <c r="D309" s="110" t="s">
        <v>119</v>
      </c>
      <c r="E309" s="110"/>
      <c r="F309" s="81">
        <v>10</v>
      </c>
      <c r="G309" s="81">
        <v>7790000</v>
      </c>
      <c r="H309" s="509">
        <f t="shared" si="11"/>
        <v>77900000</v>
      </c>
      <c r="I309" s="81" t="s">
        <v>120</v>
      </c>
      <c r="J309" s="487">
        <v>46089</v>
      </c>
      <c r="K309" s="196"/>
      <c r="L309" s="196"/>
      <c r="M309" s="89"/>
    </row>
    <row r="310" spans="1:13" s="3" customFormat="1" ht="18.75" customHeight="1" x14ac:dyDescent="0.4">
      <c r="A310" s="488">
        <v>46112</v>
      </c>
      <c r="B310" s="103" t="s">
        <v>61</v>
      </c>
      <c r="C310" s="29" t="s">
        <v>118</v>
      </c>
      <c r="D310" s="110" t="s">
        <v>119</v>
      </c>
      <c r="E310" s="110"/>
      <c r="F310" s="81">
        <v>10</v>
      </c>
      <c r="G310" s="81">
        <v>7790000</v>
      </c>
      <c r="H310" s="509">
        <f t="shared" si="11"/>
        <v>77900000</v>
      </c>
      <c r="I310" s="81" t="s">
        <v>120</v>
      </c>
      <c r="J310" s="487">
        <v>46089</v>
      </c>
      <c r="K310" s="196"/>
      <c r="L310" s="196"/>
      <c r="M310" s="89"/>
    </row>
    <row r="311" spans="1:13" s="3" customFormat="1" ht="18.75" customHeight="1" x14ac:dyDescent="0.4">
      <c r="A311" s="488">
        <v>46112</v>
      </c>
      <c r="B311" s="103" t="s">
        <v>61</v>
      </c>
      <c r="C311" s="29" t="s">
        <v>1096</v>
      </c>
      <c r="D311" s="110" t="s">
        <v>1097</v>
      </c>
      <c r="E311" s="110"/>
      <c r="F311" s="81">
        <v>1</v>
      </c>
      <c r="G311" s="81">
        <v>92500</v>
      </c>
      <c r="H311" s="509">
        <f t="shared" si="11"/>
        <v>92500</v>
      </c>
      <c r="I311" s="81" t="s">
        <v>70</v>
      </c>
      <c r="J311" s="487">
        <v>46101</v>
      </c>
      <c r="K311" s="196"/>
      <c r="L311" s="196"/>
      <c r="M311" s="89"/>
    </row>
    <row r="312" spans="1:13" s="3" customFormat="1" ht="18.75" customHeight="1" x14ac:dyDescent="0.4">
      <c r="A312" s="488">
        <v>46112</v>
      </c>
      <c r="B312" s="103" t="s">
        <v>61</v>
      </c>
      <c r="C312" s="29" t="s">
        <v>358</v>
      </c>
      <c r="D312" s="110" t="s">
        <v>1098</v>
      </c>
      <c r="E312" s="110"/>
      <c r="F312" s="81">
        <v>1</v>
      </c>
      <c r="G312" s="81">
        <v>318000</v>
      </c>
      <c r="H312" s="509">
        <f t="shared" si="11"/>
        <v>318000</v>
      </c>
      <c r="I312" s="81" t="s">
        <v>70</v>
      </c>
      <c r="J312" s="487">
        <v>46010</v>
      </c>
      <c r="K312" s="196"/>
      <c r="L312" s="196"/>
      <c r="M312" s="89"/>
    </row>
    <row r="313" spans="1:13" s="3" customFormat="1" ht="18.75" customHeight="1" x14ac:dyDescent="0.4">
      <c r="A313" s="488">
        <v>46112</v>
      </c>
      <c r="B313" s="103" t="s">
        <v>61</v>
      </c>
      <c r="C313" s="29" t="s">
        <v>358</v>
      </c>
      <c r="D313" s="110" t="s">
        <v>359</v>
      </c>
      <c r="E313" s="110"/>
      <c r="F313" s="81">
        <v>5</v>
      </c>
      <c r="G313" s="81">
        <v>318000</v>
      </c>
      <c r="H313" s="509">
        <f t="shared" si="11"/>
        <v>1590000</v>
      </c>
      <c r="I313" s="81" t="s">
        <v>70</v>
      </c>
      <c r="J313" s="487">
        <v>46038</v>
      </c>
      <c r="K313" s="196"/>
      <c r="L313" s="196"/>
      <c r="M313" s="89"/>
    </row>
    <row r="314" spans="1:13" s="3" customFormat="1" ht="18.75" customHeight="1" x14ac:dyDescent="0.4">
      <c r="A314" s="488">
        <v>46112</v>
      </c>
      <c r="B314" s="103" t="s">
        <v>61</v>
      </c>
      <c r="C314" s="29" t="s">
        <v>358</v>
      </c>
      <c r="D314" s="110" t="s">
        <v>359</v>
      </c>
      <c r="E314" s="110"/>
      <c r="F314" s="81">
        <v>2</v>
      </c>
      <c r="G314" s="81">
        <v>318000</v>
      </c>
      <c r="H314" s="509">
        <f t="shared" si="11"/>
        <v>636000</v>
      </c>
      <c r="I314" s="81" t="s">
        <v>70</v>
      </c>
      <c r="J314" s="487">
        <v>46053</v>
      </c>
      <c r="K314" s="196"/>
      <c r="L314" s="196"/>
      <c r="M314" s="89"/>
    </row>
    <row r="315" spans="1:13" s="3" customFormat="1" ht="18.75" customHeight="1" x14ac:dyDescent="0.4">
      <c r="A315" s="488">
        <v>46112</v>
      </c>
      <c r="B315" s="103" t="s">
        <v>61</v>
      </c>
      <c r="C315" s="29" t="s">
        <v>358</v>
      </c>
      <c r="D315" s="110" t="s">
        <v>359</v>
      </c>
      <c r="E315" s="110"/>
      <c r="F315" s="81">
        <v>4</v>
      </c>
      <c r="G315" s="81">
        <v>318000</v>
      </c>
      <c r="H315" s="509">
        <f t="shared" si="11"/>
        <v>1272000</v>
      </c>
      <c r="I315" s="81" t="s">
        <v>70</v>
      </c>
      <c r="J315" s="487">
        <v>46073</v>
      </c>
      <c r="K315" s="196"/>
      <c r="L315" s="196"/>
      <c r="M315" s="89"/>
    </row>
    <row r="316" spans="1:13" s="3" customFormat="1" ht="18.75" customHeight="1" x14ac:dyDescent="0.4">
      <c r="A316" s="488">
        <v>46112</v>
      </c>
      <c r="B316" s="103" t="s">
        <v>61</v>
      </c>
      <c r="C316" s="29" t="s">
        <v>93</v>
      </c>
      <c r="D316" s="110" t="s">
        <v>94</v>
      </c>
      <c r="E316" s="110"/>
      <c r="F316" s="81">
        <v>5</v>
      </c>
      <c r="G316" s="81">
        <v>235000</v>
      </c>
      <c r="H316" s="509">
        <f t="shared" si="11"/>
        <v>1175000</v>
      </c>
      <c r="I316" s="81" t="s">
        <v>70</v>
      </c>
      <c r="J316" s="487">
        <v>46091</v>
      </c>
      <c r="K316" s="196"/>
      <c r="L316" s="196"/>
      <c r="M316" s="89"/>
    </row>
    <row r="317" spans="1:13" s="3" customFormat="1" ht="18.75" customHeight="1" x14ac:dyDescent="0.4">
      <c r="A317" s="488">
        <v>46112</v>
      </c>
      <c r="B317" s="103" t="s">
        <v>61</v>
      </c>
      <c r="C317" s="29" t="s">
        <v>67</v>
      </c>
      <c r="D317" s="110" t="s">
        <v>1099</v>
      </c>
      <c r="E317" s="110"/>
      <c r="F317" s="81">
        <v>1</v>
      </c>
      <c r="G317" s="81">
        <v>384000</v>
      </c>
      <c r="H317" s="509">
        <f t="shared" si="11"/>
        <v>384000</v>
      </c>
      <c r="I317" s="81" t="s">
        <v>929</v>
      </c>
      <c r="J317" s="487">
        <v>46108</v>
      </c>
      <c r="K317" s="196"/>
      <c r="L317" s="196"/>
      <c r="M317" s="89"/>
    </row>
    <row r="318" spans="1:13" s="3" customFormat="1" ht="18.75" customHeight="1" x14ac:dyDescent="0.4">
      <c r="A318" s="488">
        <v>46112</v>
      </c>
      <c r="B318" s="103" t="s">
        <v>61</v>
      </c>
      <c r="C318" s="29" t="s">
        <v>202</v>
      </c>
      <c r="D318" s="110" t="s">
        <v>928</v>
      </c>
      <c r="E318" s="110"/>
      <c r="F318" s="81">
        <v>1</v>
      </c>
      <c r="G318" s="81">
        <v>384000</v>
      </c>
      <c r="H318" s="509">
        <f t="shared" si="11"/>
        <v>384000</v>
      </c>
      <c r="I318" s="81" t="s">
        <v>929</v>
      </c>
      <c r="J318" s="487">
        <v>46087</v>
      </c>
      <c r="K318" s="196"/>
      <c r="L318" s="196"/>
      <c r="M318" s="89"/>
    </row>
    <row r="319" spans="1:13" s="3" customFormat="1" ht="18.75" customHeight="1" x14ac:dyDescent="0.4">
      <c r="A319" s="488">
        <v>46112</v>
      </c>
      <c r="B319" s="103" t="s">
        <v>61</v>
      </c>
      <c r="C319" s="29" t="s">
        <v>78</v>
      </c>
      <c r="D319" s="110" t="s">
        <v>1100</v>
      </c>
      <c r="E319" s="110"/>
      <c r="F319" s="81">
        <v>1</v>
      </c>
      <c r="G319" s="81">
        <v>90500</v>
      </c>
      <c r="H319" s="509">
        <f t="shared" si="11"/>
        <v>90500</v>
      </c>
      <c r="I319" s="81" t="s">
        <v>929</v>
      </c>
      <c r="J319" s="487">
        <v>46087</v>
      </c>
      <c r="K319" s="196"/>
      <c r="L319" s="196"/>
      <c r="M319" s="89"/>
    </row>
    <row r="320" spans="1:13" s="3" customFormat="1" ht="18.75" customHeight="1" x14ac:dyDescent="0.4">
      <c r="A320" s="488">
        <v>46112</v>
      </c>
      <c r="B320" s="103" t="s">
        <v>61</v>
      </c>
      <c r="C320" s="29" t="s">
        <v>78</v>
      </c>
      <c r="D320" s="110" t="s">
        <v>79</v>
      </c>
      <c r="E320" s="110"/>
      <c r="F320" s="81">
        <v>12</v>
      </c>
      <c r="G320" s="81">
        <v>90500</v>
      </c>
      <c r="H320" s="509">
        <f t="shared" si="11"/>
        <v>1086000</v>
      </c>
      <c r="I320" s="81" t="s">
        <v>1076</v>
      </c>
      <c r="J320" s="487">
        <v>46092</v>
      </c>
      <c r="K320" s="196"/>
      <c r="L320" s="196"/>
      <c r="M320" s="89"/>
    </row>
    <row r="321" spans="1:13" s="3" customFormat="1" ht="18.75" customHeight="1" x14ac:dyDescent="0.4">
      <c r="A321" s="488">
        <v>46112</v>
      </c>
      <c r="B321" s="103" t="s">
        <v>61</v>
      </c>
      <c r="C321" s="29" t="s">
        <v>78</v>
      </c>
      <c r="D321" s="110" t="s">
        <v>79</v>
      </c>
      <c r="E321" s="110"/>
      <c r="F321" s="81">
        <v>3</v>
      </c>
      <c r="G321" s="81">
        <v>90500</v>
      </c>
      <c r="H321" s="509">
        <f t="shared" si="11"/>
        <v>271500</v>
      </c>
      <c r="I321" s="81" t="s">
        <v>1077</v>
      </c>
      <c r="J321" s="487">
        <v>46090</v>
      </c>
      <c r="K321" s="196"/>
      <c r="L321" s="196"/>
      <c r="M321" s="89"/>
    </row>
    <row r="322" spans="1:13" s="3" customFormat="1" ht="18.75" customHeight="1" x14ac:dyDescent="0.4">
      <c r="A322" s="488">
        <v>46112</v>
      </c>
      <c r="B322" s="103" t="s">
        <v>61</v>
      </c>
      <c r="C322" s="29" t="s">
        <v>78</v>
      </c>
      <c r="D322" s="110" t="s">
        <v>79</v>
      </c>
      <c r="E322" s="110"/>
      <c r="F322" s="81">
        <v>3</v>
      </c>
      <c r="G322" s="81">
        <v>90500</v>
      </c>
      <c r="H322" s="509">
        <f t="shared" si="11"/>
        <v>271500</v>
      </c>
      <c r="I322" s="81" t="s">
        <v>1084</v>
      </c>
      <c r="J322" s="487">
        <v>46104</v>
      </c>
      <c r="K322" s="196"/>
      <c r="L322" s="196"/>
      <c r="M322" s="89"/>
    </row>
    <row r="323" spans="1:13" s="3" customFormat="1" ht="18.75" customHeight="1" x14ac:dyDescent="0.4">
      <c r="A323" s="488">
        <v>46112</v>
      </c>
      <c r="B323" s="103" t="s">
        <v>61</v>
      </c>
      <c r="C323" s="29" t="s">
        <v>81</v>
      </c>
      <c r="D323" s="110" t="s">
        <v>82</v>
      </c>
      <c r="E323" s="110"/>
      <c r="F323" s="81">
        <v>1</v>
      </c>
      <c r="G323" s="81">
        <v>86300</v>
      </c>
      <c r="H323" s="509">
        <f t="shared" si="11"/>
        <v>86300</v>
      </c>
      <c r="I323" s="81" t="s">
        <v>1088</v>
      </c>
      <c r="J323" s="487">
        <v>46113</v>
      </c>
      <c r="K323" s="196"/>
      <c r="L323" s="196"/>
      <c r="M323" s="89"/>
    </row>
    <row r="324" spans="1:13" s="3" customFormat="1" ht="18.75" customHeight="1" x14ac:dyDescent="0.4">
      <c r="A324" s="488">
        <v>46112</v>
      </c>
      <c r="B324" s="103" t="s">
        <v>61</v>
      </c>
      <c r="C324" s="29" t="s">
        <v>81</v>
      </c>
      <c r="D324" s="110" t="s">
        <v>82</v>
      </c>
      <c r="E324" s="110"/>
      <c r="F324" s="81">
        <v>4</v>
      </c>
      <c r="G324" s="81">
        <v>86300</v>
      </c>
      <c r="H324" s="509">
        <f t="shared" si="11"/>
        <v>345200</v>
      </c>
      <c r="I324" s="81" t="s">
        <v>919</v>
      </c>
      <c r="J324" s="487">
        <v>46078</v>
      </c>
      <c r="K324" s="196"/>
      <c r="L324" s="196"/>
      <c r="M324" s="89"/>
    </row>
    <row r="325" spans="1:13" s="3" customFormat="1" ht="18.75" customHeight="1" x14ac:dyDescent="0.4">
      <c r="A325" s="488">
        <v>46112</v>
      </c>
      <c r="B325" s="103" t="s">
        <v>61</v>
      </c>
      <c r="C325" s="29" t="s">
        <v>81</v>
      </c>
      <c r="D325" s="110" t="s">
        <v>82</v>
      </c>
      <c r="E325" s="110"/>
      <c r="F325" s="81">
        <v>6</v>
      </c>
      <c r="G325" s="81">
        <v>86300</v>
      </c>
      <c r="H325" s="509">
        <f t="shared" si="11"/>
        <v>517800</v>
      </c>
      <c r="I325" s="81" t="s">
        <v>920</v>
      </c>
      <c r="J325" s="487">
        <v>46078</v>
      </c>
      <c r="K325" s="196"/>
      <c r="L325" s="196"/>
      <c r="M325" s="89"/>
    </row>
    <row r="326" spans="1:13" s="3" customFormat="1" ht="18.75" customHeight="1" x14ac:dyDescent="0.4">
      <c r="A326" s="488">
        <v>46112</v>
      </c>
      <c r="B326" s="103" t="s">
        <v>61</v>
      </c>
      <c r="C326" s="29" t="s">
        <v>81</v>
      </c>
      <c r="D326" s="110" t="s">
        <v>82</v>
      </c>
      <c r="E326" s="110"/>
      <c r="F326" s="81">
        <v>12</v>
      </c>
      <c r="G326" s="81">
        <v>86300</v>
      </c>
      <c r="H326" s="509">
        <f t="shared" si="11"/>
        <v>1035600</v>
      </c>
      <c r="I326" s="81" t="s">
        <v>1076</v>
      </c>
      <c r="J326" s="487">
        <v>46092</v>
      </c>
      <c r="K326" s="196"/>
      <c r="L326" s="196"/>
      <c r="M326" s="89"/>
    </row>
    <row r="327" spans="1:13" s="3" customFormat="1" ht="18.75" customHeight="1" x14ac:dyDescent="0.4">
      <c r="A327" s="488">
        <v>46112</v>
      </c>
      <c r="B327" s="103" t="s">
        <v>61</v>
      </c>
      <c r="C327" s="29" t="s">
        <v>81</v>
      </c>
      <c r="D327" s="110" t="s">
        <v>82</v>
      </c>
      <c r="E327" s="110"/>
      <c r="F327" s="81">
        <v>3</v>
      </c>
      <c r="G327" s="81">
        <v>86300</v>
      </c>
      <c r="H327" s="509">
        <f t="shared" si="11"/>
        <v>258900</v>
      </c>
      <c r="I327" s="81" t="s">
        <v>1077</v>
      </c>
      <c r="J327" s="487">
        <v>46090</v>
      </c>
      <c r="K327" s="196"/>
      <c r="L327" s="196"/>
      <c r="M327" s="89"/>
    </row>
    <row r="328" spans="1:13" s="3" customFormat="1" ht="18.75" customHeight="1" x14ac:dyDescent="0.4">
      <c r="A328" s="488">
        <v>46112</v>
      </c>
      <c r="B328" s="103" t="s">
        <v>61</v>
      </c>
      <c r="C328" s="29" t="s">
        <v>81</v>
      </c>
      <c r="D328" s="110" t="s">
        <v>82</v>
      </c>
      <c r="E328" s="110"/>
      <c r="F328" s="81">
        <v>3</v>
      </c>
      <c r="G328" s="81">
        <v>86300</v>
      </c>
      <c r="H328" s="509">
        <f t="shared" si="11"/>
        <v>258900</v>
      </c>
      <c r="I328" s="81" t="s">
        <v>1084</v>
      </c>
      <c r="J328" s="487">
        <v>46104</v>
      </c>
      <c r="K328" s="196"/>
      <c r="L328" s="196"/>
      <c r="M328" s="89"/>
    </row>
    <row r="329" spans="1:13" s="3" customFormat="1" ht="18.75" customHeight="1" x14ac:dyDescent="0.4">
      <c r="A329" s="488">
        <v>46112</v>
      </c>
      <c r="B329" s="103" t="s">
        <v>61</v>
      </c>
      <c r="C329" s="29" t="s">
        <v>617</v>
      </c>
      <c r="D329" s="110" t="s">
        <v>618</v>
      </c>
      <c r="E329" s="110"/>
      <c r="F329" s="81">
        <v>1</v>
      </c>
      <c r="G329" s="81">
        <v>900000</v>
      </c>
      <c r="H329" s="509">
        <f t="shared" si="11"/>
        <v>900000</v>
      </c>
      <c r="I329" s="81" t="s">
        <v>70</v>
      </c>
      <c r="J329" s="487">
        <v>46084</v>
      </c>
      <c r="K329" s="196"/>
      <c r="L329" s="196"/>
      <c r="M329" s="89"/>
    </row>
    <row r="330" spans="1:13" s="3" customFormat="1" ht="18.75" customHeight="1" x14ac:dyDescent="0.4">
      <c r="A330" s="488">
        <v>46112</v>
      </c>
      <c r="B330" s="103" t="s">
        <v>61</v>
      </c>
      <c r="C330" s="29" t="s">
        <v>617</v>
      </c>
      <c r="D330" s="110" t="s">
        <v>618</v>
      </c>
      <c r="E330" s="110"/>
      <c r="F330" s="81">
        <v>3</v>
      </c>
      <c r="G330" s="81">
        <v>900000</v>
      </c>
      <c r="H330" s="509">
        <f t="shared" si="11"/>
        <v>2700000</v>
      </c>
      <c r="I330" s="81" t="s">
        <v>70</v>
      </c>
      <c r="J330" s="487">
        <v>46101</v>
      </c>
      <c r="K330" s="196"/>
      <c r="L330" s="196"/>
      <c r="M330" s="89"/>
    </row>
    <row r="331" spans="1:13" s="3" customFormat="1" ht="18.75" customHeight="1" x14ac:dyDescent="0.4">
      <c r="A331" s="488">
        <v>46112</v>
      </c>
      <c r="B331" s="103" t="s">
        <v>61</v>
      </c>
      <c r="C331" s="29" t="s">
        <v>306</v>
      </c>
      <c r="D331" s="110" t="s">
        <v>307</v>
      </c>
      <c r="E331" s="110"/>
      <c r="F331" s="81">
        <v>4</v>
      </c>
      <c r="G331" s="81">
        <v>520000</v>
      </c>
      <c r="H331" s="509">
        <f t="shared" si="11"/>
        <v>2080000</v>
      </c>
      <c r="I331" s="81" t="s">
        <v>70</v>
      </c>
      <c r="J331" s="487">
        <v>46001</v>
      </c>
      <c r="K331" s="196"/>
      <c r="L331" s="196"/>
      <c r="M331" s="89"/>
    </row>
    <row r="332" spans="1:13" s="3" customFormat="1" ht="18.75" customHeight="1" x14ac:dyDescent="0.4">
      <c r="A332" s="488">
        <v>46112</v>
      </c>
      <c r="B332" s="103" t="s">
        <v>61</v>
      </c>
      <c r="C332" s="29" t="s">
        <v>306</v>
      </c>
      <c r="D332" s="110" t="s">
        <v>736</v>
      </c>
      <c r="E332" s="110"/>
      <c r="F332" s="81">
        <v>6</v>
      </c>
      <c r="G332" s="81">
        <v>520000</v>
      </c>
      <c r="H332" s="509">
        <f t="shared" si="11"/>
        <v>3120000</v>
      </c>
      <c r="I332" s="81" t="s">
        <v>70</v>
      </c>
      <c r="J332" s="487">
        <v>46032</v>
      </c>
      <c r="K332" s="196"/>
      <c r="L332" s="196"/>
      <c r="M332" s="89"/>
    </row>
    <row r="333" spans="1:13" s="3" customFormat="1" ht="18.75" customHeight="1" x14ac:dyDescent="0.4">
      <c r="A333" s="488">
        <v>46112</v>
      </c>
      <c r="B333" s="103" t="s">
        <v>61</v>
      </c>
      <c r="C333" s="29" t="s">
        <v>66</v>
      </c>
      <c r="D333" s="110" t="s">
        <v>195</v>
      </c>
      <c r="E333" s="110"/>
      <c r="F333" s="81">
        <v>3</v>
      </c>
      <c r="G333" s="81">
        <v>1917500</v>
      </c>
      <c r="H333" s="509">
        <f t="shared" si="11"/>
        <v>5752500</v>
      </c>
      <c r="I333" s="81" t="s">
        <v>887</v>
      </c>
      <c r="J333" s="487">
        <v>46073</v>
      </c>
      <c r="K333" s="196"/>
      <c r="L333" s="196"/>
      <c r="M333" s="89"/>
    </row>
    <row r="334" spans="1:13" s="3" customFormat="1" ht="18.75" customHeight="1" x14ac:dyDescent="0.4">
      <c r="A334" s="488">
        <v>46112</v>
      </c>
      <c r="B334" s="103" t="s">
        <v>61</v>
      </c>
      <c r="C334" s="29" t="s">
        <v>66</v>
      </c>
      <c r="D334" s="110" t="s">
        <v>195</v>
      </c>
      <c r="E334" s="110"/>
      <c r="F334" s="81">
        <v>4</v>
      </c>
      <c r="G334" s="81">
        <v>1917500</v>
      </c>
      <c r="H334" s="509">
        <f t="shared" si="11"/>
        <v>7670000</v>
      </c>
      <c r="I334" s="81" t="s">
        <v>919</v>
      </c>
      <c r="J334" s="487">
        <v>46078</v>
      </c>
      <c r="K334" s="196"/>
      <c r="L334" s="196"/>
      <c r="M334" s="89"/>
    </row>
    <row r="335" spans="1:13" s="3" customFormat="1" ht="18.75" customHeight="1" x14ac:dyDescent="0.4">
      <c r="A335" s="488">
        <v>46112</v>
      </c>
      <c r="B335" s="103" t="s">
        <v>61</v>
      </c>
      <c r="C335" s="29" t="s">
        <v>66</v>
      </c>
      <c r="D335" s="110" t="s">
        <v>206</v>
      </c>
      <c r="E335" s="110"/>
      <c r="F335" s="81">
        <v>4</v>
      </c>
      <c r="G335" s="81">
        <v>1917500</v>
      </c>
      <c r="H335" s="509">
        <f t="shared" si="11"/>
        <v>7670000</v>
      </c>
      <c r="I335" s="81" t="s">
        <v>920</v>
      </c>
      <c r="J335" s="487">
        <v>46078</v>
      </c>
      <c r="K335" s="196"/>
      <c r="L335" s="196"/>
      <c r="M335" s="89"/>
    </row>
    <row r="336" spans="1:13" s="3" customFormat="1" ht="18.75" customHeight="1" x14ac:dyDescent="0.4">
      <c r="A336" s="488">
        <v>46112</v>
      </c>
      <c r="B336" s="103" t="s">
        <v>61</v>
      </c>
      <c r="C336" s="29" t="s">
        <v>66</v>
      </c>
      <c r="D336" s="110" t="s">
        <v>357</v>
      </c>
      <c r="E336" s="110"/>
      <c r="F336" s="81">
        <v>10</v>
      </c>
      <c r="G336" s="81">
        <v>1766050</v>
      </c>
      <c r="H336" s="509">
        <f t="shared" si="11"/>
        <v>17660500</v>
      </c>
      <c r="I336" s="81" t="s">
        <v>738</v>
      </c>
      <c r="J336" s="489">
        <v>46050</v>
      </c>
      <c r="K336" s="196"/>
      <c r="L336" s="196"/>
      <c r="M336" s="89"/>
    </row>
    <row r="337" spans="1:13" s="3" customFormat="1" ht="18.75" customHeight="1" x14ac:dyDescent="0.4">
      <c r="A337" s="488">
        <v>46112</v>
      </c>
      <c r="B337" s="103" t="s">
        <v>61</v>
      </c>
      <c r="C337" s="29" t="s">
        <v>81</v>
      </c>
      <c r="D337" s="110" t="s">
        <v>219</v>
      </c>
      <c r="E337" s="110"/>
      <c r="F337" s="81">
        <v>12</v>
      </c>
      <c r="G337" s="81">
        <v>78850</v>
      </c>
      <c r="H337" s="509">
        <f t="shared" si="11"/>
        <v>946200</v>
      </c>
      <c r="I337" s="81" t="s">
        <v>918</v>
      </c>
      <c r="J337" s="489">
        <v>46085</v>
      </c>
      <c r="K337" s="196"/>
      <c r="L337" s="196"/>
      <c r="M337" s="89"/>
    </row>
    <row r="338" spans="1:13" s="3" customFormat="1" ht="18.75" customHeight="1" x14ac:dyDescent="0.4">
      <c r="A338" s="488">
        <v>46112</v>
      </c>
      <c r="B338" s="103" t="s">
        <v>61</v>
      </c>
      <c r="C338" s="29" t="s">
        <v>81</v>
      </c>
      <c r="D338" s="110" t="s">
        <v>219</v>
      </c>
      <c r="E338" s="110"/>
      <c r="F338" s="81">
        <v>11</v>
      </c>
      <c r="G338" s="81">
        <v>78850</v>
      </c>
      <c r="H338" s="509">
        <f t="shared" si="11"/>
        <v>867350</v>
      </c>
      <c r="I338" s="81" t="s">
        <v>1089</v>
      </c>
      <c r="J338" s="489">
        <v>46106</v>
      </c>
      <c r="K338" s="196"/>
      <c r="L338" s="196"/>
      <c r="M338" s="89"/>
    </row>
    <row r="339" spans="1:13" s="3" customFormat="1" ht="18.75" customHeight="1" x14ac:dyDescent="0.4">
      <c r="A339" s="482">
        <v>46106</v>
      </c>
      <c r="B339" s="103" t="s">
        <v>61</v>
      </c>
      <c r="C339" s="29" t="s">
        <v>407</v>
      </c>
      <c r="D339" s="110" t="s">
        <v>531</v>
      </c>
      <c r="E339" s="110"/>
      <c r="F339" s="81">
        <v>4</v>
      </c>
      <c r="G339" s="81">
        <v>239000</v>
      </c>
      <c r="H339" s="36">
        <f>F339*G339</f>
        <v>956000</v>
      </c>
      <c r="I339" s="81" t="s">
        <v>1095</v>
      </c>
      <c r="J339" s="487"/>
      <c r="K339" s="196"/>
      <c r="L339" s="196" t="s">
        <v>1093</v>
      </c>
      <c r="M339" s="89"/>
    </row>
    <row r="340" spans="1:13" s="3" customFormat="1" ht="18.75" customHeight="1" x14ac:dyDescent="0.4">
      <c r="A340" s="488">
        <v>46112</v>
      </c>
      <c r="B340" s="103" t="s">
        <v>218</v>
      </c>
      <c r="C340" s="115" t="s">
        <v>428</v>
      </c>
      <c r="D340" s="459" t="s">
        <v>209</v>
      </c>
      <c r="E340" s="42"/>
      <c r="F340" s="117">
        <v>6</v>
      </c>
      <c r="G340" s="8">
        <v>390000</v>
      </c>
      <c r="H340" s="8">
        <f>+G340*F340</f>
        <v>2340000</v>
      </c>
      <c r="I340" s="137" t="s">
        <v>938</v>
      </c>
      <c r="J340" s="487">
        <v>46050</v>
      </c>
      <c r="K340" s="8" t="s">
        <v>1067</v>
      </c>
      <c r="L340" s="490"/>
      <c r="M340" s="113"/>
    </row>
    <row r="341" spans="1:13" s="3" customFormat="1" ht="18.75" customHeight="1" x14ac:dyDescent="0.4">
      <c r="A341" s="482"/>
      <c r="B341" s="103"/>
      <c r="C341" s="29"/>
      <c r="D341" s="110"/>
      <c r="E341" s="110"/>
      <c r="F341" s="81"/>
      <c r="G341" s="81"/>
      <c r="H341" s="36"/>
      <c r="I341" s="81"/>
      <c r="J341" s="487"/>
      <c r="K341" s="196"/>
      <c r="L341" s="196"/>
      <c r="M341" s="89"/>
    </row>
    <row r="342" spans="1:13" s="3" customFormat="1" ht="18.75" customHeight="1" x14ac:dyDescent="0.4">
      <c r="A342" s="483"/>
      <c r="B342" s="194" t="s">
        <v>218</v>
      </c>
      <c r="C342" s="40"/>
      <c r="D342" s="194"/>
      <c r="E342" s="194"/>
      <c r="F342" s="91"/>
      <c r="G342" s="138"/>
      <c r="H342" s="514">
        <f>SUM(H153:H338)</f>
        <v>613587480</v>
      </c>
      <c r="I342" s="138"/>
      <c r="J342" s="145"/>
      <c r="K342" s="145"/>
      <c r="L342" s="145"/>
      <c r="M342" s="89"/>
    </row>
    <row r="343" spans="1:13" s="3" customFormat="1" ht="18.75" customHeight="1" x14ac:dyDescent="0.4">
      <c r="A343" s="482">
        <v>46112</v>
      </c>
      <c r="B343" s="110" t="s">
        <v>1101</v>
      </c>
      <c r="C343" s="29" t="s">
        <v>105</v>
      </c>
      <c r="D343" s="110" t="s">
        <v>1102</v>
      </c>
      <c r="E343" s="110"/>
      <c r="F343" s="347">
        <v>100</v>
      </c>
      <c r="G343" s="49">
        <v>55800</v>
      </c>
      <c r="H343" s="36">
        <f t="shared" si="11"/>
        <v>5580000</v>
      </c>
      <c r="I343" s="49" t="s">
        <v>1241</v>
      </c>
      <c r="J343" s="144"/>
      <c r="K343" s="144"/>
      <c r="L343" s="144"/>
      <c r="M343" s="89"/>
    </row>
    <row r="344" spans="1:13" s="3" customFormat="1" ht="18.75" customHeight="1" x14ac:dyDescent="0.4">
      <c r="A344" s="483"/>
      <c r="B344" s="194"/>
      <c r="C344" s="40"/>
      <c r="D344" s="194"/>
      <c r="E344" s="194"/>
      <c r="F344" s="91"/>
      <c r="G344" s="138"/>
      <c r="H344" s="138"/>
      <c r="I344" s="138"/>
      <c r="J344" s="145"/>
      <c r="K344" s="145"/>
      <c r="L344" s="145"/>
      <c r="M344" s="89"/>
    </row>
    <row r="345" spans="1:13" s="3" customFormat="1" ht="18.75" customHeight="1" x14ac:dyDescent="0.4">
      <c r="A345" s="482">
        <v>46105</v>
      </c>
      <c r="B345" s="110" t="s">
        <v>1103</v>
      </c>
      <c r="C345" s="29" t="s">
        <v>1104</v>
      </c>
      <c r="D345" s="110" t="s">
        <v>1105</v>
      </c>
      <c r="E345" s="110" t="s">
        <v>13</v>
      </c>
      <c r="F345" s="81">
        <v>13</v>
      </c>
      <c r="G345" s="49">
        <v>130000</v>
      </c>
      <c r="H345" s="36">
        <f t="shared" si="11"/>
        <v>1690000</v>
      </c>
      <c r="I345" s="49"/>
      <c r="J345" s="144"/>
      <c r="K345" s="144"/>
      <c r="L345" s="144"/>
      <c r="M345" s="89"/>
    </row>
    <row r="346" spans="1:13" s="3" customFormat="1" ht="18.75" customHeight="1" x14ac:dyDescent="0.4">
      <c r="A346" s="482">
        <v>46111</v>
      </c>
      <c r="B346" s="110" t="s">
        <v>1103</v>
      </c>
      <c r="C346" s="29" t="s">
        <v>1104</v>
      </c>
      <c r="D346" s="110" t="s">
        <v>1105</v>
      </c>
      <c r="E346" s="110" t="s">
        <v>13</v>
      </c>
      <c r="F346" s="81">
        <v>24</v>
      </c>
      <c r="G346" s="49">
        <v>130000</v>
      </c>
      <c r="H346" s="36">
        <f t="shared" si="11"/>
        <v>3120000</v>
      </c>
      <c r="I346" s="49"/>
      <c r="J346" s="144"/>
      <c r="K346" s="144"/>
      <c r="L346" s="144"/>
      <c r="M346" s="89"/>
    </row>
    <row r="347" spans="1:13" s="3" customFormat="1" ht="18.75" customHeight="1" x14ac:dyDescent="0.4">
      <c r="A347" s="483"/>
      <c r="B347" s="194"/>
      <c r="C347" s="40"/>
      <c r="D347" s="194"/>
      <c r="E347" s="194"/>
      <c r="F347" s="91"/>
      <c r="G347" s="138"/>
      <c r="H347" s="138"/>
      <c r="I347" s="138"/>
      <c r="J347" s="145"/>
      <c r="K347" s="145"/>
      <c r="L347" s="145"/>
      <c r="M347" s="89"/>
    </row>
    <row r="348" spans="1:13" ht="18.75" customHeight="1" x14ac:dyDescent="0.4">
      <c r="A348" s="4">
        <v>46066</v>
      </c>
      <c r="B348" s="5" t="s">
        <v>128</v>
      </c>
      <c r="C348" s="6" t="s">
        <v>129</v>
      </c>
      <c r="D348" s="1" t="s">
        <v>130</v>
      </c>
      <c r="E348" s="1" t="s">
        <v>131</v>
      </c>
      <c r="F348" s="36">
        <v>11</v>
      </c>
      <c r="G348" s="7">
        <v>52326</v>
      </c>
      <c r="H348" s="7">
        <f t="shared" ref="H348:H402" si="12">F348*G348</f>
        <v>575586</v>
      </c>
      <c r="I348" s="142" t="s">
        <v>1237</v>
      </c>
      <c r="J348" s="67"/>
      <c r="K348" s="67"/>
      <c r="L348" s="67"/>
    </row>
    <row r="349" spans="1:13" ht="18.75" customHeight="1" x14ac:dyDescent="0.4">
      <c r="A349" s="4">
        <v>46079</v>
      </c>
      <c r="B349" s="5" t="s">
        <v>134</v>
      </c>
      <c r="C349" s="67" t="s">
        <v>957</v>
      </c>
      <c r="D349" s="42">
        <v>61540923</v>
      </c>
      <c r="E349" s="1" t="s">
        <v>13</v>
      </c>
      <c r="F349" s="36">
        <v>6</v>
      </c>
      <c r="G349" s="7">
        <v>1364000</v>
      </c>
      <c r="H349" s="7">
        <f t="shared" si="12"/>
        <v>8184000</v>
      </c>
      <c r="I349" s="142" t="s">
        <v>1237</v>
      </c>
      <c r="J349" s="67"/>
      <c r="K349" s="67"/>
      <c r="L349" s="67"/>
    </row>
    <row r="350" spans="1:13" ht="18.75" customHeight="1" x14ac:dyDescent="0.4">
      <c r="A350" s="4">
        <v>46079</v>
      </c>
      <c r="B350" s="5" t="s">
        <v>134</v>
      </c>
      <c r="C350" s="67" t="s">
        <v>319</v>
      </c>
      <c r="D350" s="42" t="s">
        <v>958</v>
      </c>
      <c r="E350" s="1" t="s">
        <v>13</v>
      </c>
      <c r="F350" s="36">
        <v>9</v>
      </c>
      <c r="G350" s="7">
        <v>94000</v>
      </c>
      <c r="H350" s="7">
        <f t="shared" si="12"/>
        <v>846000</v>
      </c>
      <c r="I350" s="142" t="s">
        <v>1237</v>
      </c>
      <c r="J350" s="67"/>
      <c r="K350" s="67"/>
      <c r="L350" s="67"/>
    </row>
    <row r="351" spans="1:13" ht="18.75" customHeight="1" x14ac:dyDescent="0.4">
      <c r="A351" s="4">
        <v>46079</v>
      </c>
      <c r="B351" s="5" t="s">
        <v>134</v>
      </c>
      <c r="C351" s="67" t="s">
        <v>383</v>
      </c>
      <c r="D351" s="42" t="s">
        <v>959</v>
      </c>
      <c r="E351" s="1" t="s">
        <v>127</v>
      </c>
      <c r="F351" s="36">
        <v>18</v>
      </c>
      <c r="G351" s="7">
        <v>85440</v>
      </c>
      <c r="H351" s="7">
        <f t="shared" si="12"/>
        <v>1537920</v>
      </c>
      <c r="I351" s="142" t="s">
        <v>1237</v>
      </c>
      <c r="J351" s="67"/>
      <c r="K351" s="67"/>
      <c r="L351" s="67"/>
    </row>
    <row r="352" spans="1:13" ht="18.75" customHeight="1" x14ac:dyDescent="0.4">
      <c r="A352" s="4">
        <v>46079</v>
      </c>
      <c r="B352" s="5" t="s">
        <v>134</v>
      </c>
      <c r="C352" s="67" t="s">
        <v>314</v>
      </c>
      <c r="D352" s="42" t="s">
        <v>434</v>
      </c>
      <c r="E352" s="1" t="s">
        <v>13</v>
      </c>
      <c r="F352" s="36">
        <v>18</v>
      </c>
      <c r="G352" s="7">
        <v>108000</v>
      </c>
      <c r="H352" s="7">
        <f t="shared" si="12"/>
        <v>1944000</v>
      </c>
      <c r="I352" s="142" t="s">
        <v>1237</v>
      </c>
      <c r="J352" s="67"/>
      <c r="K352" s="67"/>
      <c r="L352" s="67"/>
    </row>
    <row r="353" spans="1:12" ht="18.75" customHeight="1" x14ac:dyDescent="0.4">
      <c r="A353" s="4">
        <v>46079</v>
      </c>
      <c r="B353" s="5" t="s">
        <v>134</v>
      </c>
      <c r="C353" s="67" t="s">
        <v>319</v>
      </c>
      <c r="D353" s="42" t="s">
        <v>960</v>
      </c>
      <c r="E353" s="1" t="s">
        <v>13</v>
      </c>
      <c r="F353" s="36">
        <v>19</v>
      </c>
      <c r="G353" s="7">
        <v>142700</v>
      </c>
      <c r="H353" s="7">
        <f t="shared" si="12"/>
        <v>2711300</v>
      </c>
      <c r="I353" s="142" t="s">
        <v>1237</v>
      </c>
      <c r="J353" s="67"/>
      <c r="K353" s="67"/>
      <c r="L353" s="67"/>
    </row>
    <row r="354" spans="1:12" ht="18.75" customHeight="1" x14ac:dyDescent="0.4">
      <c r="A354" s="4">
        <v>46079</v>
      </c>
      <c r="B354" s="5" t="s">
        <v>134</v>
      </c>
      <c r="C354" s="67" t="s">
        <v>132</v>
      </c>
      <c r="D354" s="42" t="s">
        <v>948</v>
      </c>
      <c r="E354" s="1" t="s">
        <v>13</v>
      </c>
      <c r="F354" s="36">
        <v>27</v>
      </c>
      <c r="G354" s="7">
        <v>3225880</v>
      </c>
      <c r="H354" s="7">
        <f t="shared" si="12"/>
        <v>87098760</v>
      </c>
      <c r="I354" s="142" t="s">
        <v>1237</v>
      </c>
      <c r="J354" s="67"/>
      <c r="K354" s="67"/>
      <c r="L354" s="67"/>
    </row>
    <row r="355" spans="1:12" ht="18.75" customHeight="1" x14ac:dyDescent="0.4">
      <c r="A355" s="4">
        <v>46079</v>
      </c>
      <c r="B355" s="5" t="s">
        <v>134</v>
      </c>
      <c r="C355" s="67" t="s">
        <v>312</v>
      </c>
      <c r="D355" s="42" t="s">
        <v>316</v>
      </c>
      <c r="E355" s="1" t="s">
        <v>13</v>
      </c>
      <c r="F355" s="36">
        <v>28</v>
      </c>
      <c r="G355" s="7">
        <v>96000</v>
      </c>
      <c r="H355" s="7">
        <f t="shared" si="12"/>
        <v>2688000</v>
      </c>
      <c r="I355" s="142" t="s">
        <v>1237</v>
      </c>
      <c r="J355" s="67"/>
      <c r="K355" s="67"/>
      <c r="L355" s="67"/>
    </row>
    <row r="356" spans="1:12" ht="18.75" customHeight="1" x14ac:dyDescent="0.4">
      <c r="A356" s="4">
        <v>46079</v>
      </c>
      <c r="B356" s="5" t="s">
        <v>134</v>
      </c>
      <c r="C356" s="67" t="s">
        <v>312</v>
      </c>
      <c r="D356" s="42" t="s">
        <v>961</v>
      </c>
      <c r="E356" s="1" t="s">
        <v>13</v>
      </c>
      <c r="F356" s="36">
        <v>30</v>
      </c>
      <c r="G356" s="7">
        <v>67900</v>
      </c>
      <c r="H356" s="7">
        <f t="shared" si="12"/>
        <v>2037000</v>
      </c>
      <c r="I356" s="142" t="s">
        <v>1237</v>
      </c>
      <c r="J356" s="67"/>
      <c r="K356" s="67"/>
      <c r="L356" s="67"/>
    </row>
    <row r="357" spans="1:12" ht="18.75" customHeight="1" x14ac:dyDescent="0.4">
      <c r="A357" s="4">
        <v>46079</v>
      </c>
      <c r="B357" s="5" t="s">
        <v>134</v>
      </c>
      <c r="C357" s="67" t="s">
        <v>310</v>
      </c>
      <c r="D357" s="42" t="s">
        <v>962</v>
      </c>
      <c r="E357" s="1" t="s">
        <v>127</v>
      </c>
      <c r="F357" s="36">
        <v>30</v>
      </c>
      <c r="G357" s="7">
        <v>38000</v>
      </c>
      <c r="H357" s="7">
        <f t="shared" si="12"/>
        <v>1140000</v>
      </c>
      <c r="I357" s="142" t="s">
        <v>1237</v>
      </c>
      <c r="J357" s="67"/>
      <c r="K357" s="67"/>
      <c r="L357" s="67"/>
    </row>
    <row r="358" spans="1:12" ht="18.75" customHeight="1" x14ac:dyDescent="0.4">
      <c r="A358" s="4">
        <v>46079</v>
      </c>
      <c r="B358" s="5" t="s">
        <v>134</v>
      </c>
      <c r="C358" s="67" t="s">
        <v>963</v>
      </c>
      <c r="D358" s="42" t="s">
        <v>964</v>
      </c>
      <c r="E358" s="1" t="s">
        <v>127</v>
      </c>
      <c r="F358" s="36">
        <v>50</v>
      </c>
      <c r="G358" s="7">
        <v>16100</v>
      </c>
      <c r="H358" s="7">
        <f t="shared" si="12"/>
        <v>805000</v>
      </c>
      <c r="I358" s="142" t="s">
        <v>1237</v>
      </c>
      <c r="J358" s="67"/>
      <c r="K358" s="67"/>
      <c r="L358" s="67"/>
    </row>
    <row r="359" spans="1:12" ht="18.75" customHeight="1" x14ac:dyDescent="0.4">
      <c r="A359" s="4">
        <v>46079</v>
      </c>
      <c r="B359" s="5" t="s">
        <v>134</v>
      </c>
      <c r="C359" s="67" t="s">
        <v>965</v>
      </c>
      <c r="D359" s="42" t="s">
        <v>966</v>
      </c>
      <c r="E359" s="1" t="s">
        <v>17</v>
      </c>
      <c r="F359" s="36">
        <v>60</v>
      </c>
      <c r="G359" s="7">
        <v>124180</v>
      </c>
      <c r="H359" s="7">
        <f t="shared" si="12"/>
        <v>7450800</v>
      </c>
      <c r="I359" s="142" t="s">
        <v>1237</v>
      </c>
      <c r="J359" s="67"/>
      <c r="K359" s="67"/>
      <c r="L359" s="67"/>
    </row>
    <row r="360" spans="1:12" ht="18.75" customHeight="1" x14ac:dyDescent="0.4">
      <c r="A360" s="4">
        <v>46079</v>
      </c>
      <c r="B360" s="5" t="s">
        <v>134</v>
      </c>
      <c r="C360" s="67" t="s">
        <v>967</v>
      </c>
      <c r="D360" s="42" t="s">
        <v>968</v>
      </c>
      <c r="E360" s="1" t="s">
        <v>127</v>
      </c>
      <c r="F360" s="36">
        <v>70</v>
      </c>
      <c r="G360" s="7">
        <v>60140</v>
      </c>
      <c r="H360" s="7">
        <f t="shared" si="12"/>
        <v>4209800</v>
      </c>
      <c r="I360" s="142" t="s">
        <v>1237</v>
      </c>
      <c r="J360" s="67"/>
      <c r="K360" s="67"/>
      <c r="L360" s="67"/>
    </row>
    <row r="361" spans="1:12" ht="18.75" customHeight="1" x14ac:dyDescent="0.4">
      <c r="A361" s="4">
        <v>46079</v>
      </c>
      <c r="B361" s="5" t="s">
        <v>134</v>
      </c>
      <c r="C361" s="67" t="s">
        <v>369</v>
      </c>
      <c r="D361" s="468" t="s">
        <v>470</v>
      </c>
      <c r="E361" s="59" t="s">
        <v>17</v>
      </c>
      <c r="F361" s="67">
        <v>91</v>
      </c>
      <c r="G361" s="7">
        <v>99220</v>
      </c>
      <c r="H361" s="7">
        <f t="shared" si="12"/>
        <v>9029020</v>
      </c>
      <c r="I361" s="142" t="s">
        <v>1237</v>
      </c>
      <c r="J361" s="67"/>
      <c r="K361" s="67"/>
      <c r="L361" s="67"/>
    </row>
    <row r="362" spans="1:12" ht="18.75" customHeight="1" x14ac:dyDescent="0.4">
      <c r="A362" s="4">
        <v>46079</v>
      </c>
      <c r="B362" s="5" t="s">
        <v>134</v>
      </c>
      <c r="C362" s="67" t="s">
        <v>969</v>
      </c>
      <c r="D362" s="468" t="s">
        <v>970</v>
      </c>
      <c r="E362" s="59" t="s">
        <v>127</v>
      </c>
      <c r="F362" s="67">
        <v>110</v>
      </c>
      <c r="G362" s="7">
        <v>46270</v>
      </c>
      <c r="H362" s="7">
        <f t="shared" si="12"/>
        <v>5089700</v>
      </c>
      <c r="I362" s="142" t="s">
        <v>1237</v>
      </c>
      <c r="J362" s="67"/>
      <c r="K362" s="67"/>
      <c r="L362" s="67"/>
    </row>
    <row r="363" spans="1:12" ht="18.75" customHeight="1" x14ac:dyDescent="0.4">
      <c r="A363" s="4">
        <v>46079</v>
      </c>
      <c r="B363" s="5" t="s">
        <v>134</v>
      </c>
      <c r="C363" s="67" t="s">
        <v>223</v>
      </c>
      <c r="D363" s="468" t="s">
        <v>224</v>
      </c>
      <c r="E363" s="59" t="s">
        <v>127</v>
      </c>
      <c r="F363" s="67">
        <v>133</v>
      </c>
      <c r="G363" s="7">
        <v>115200</v>
      </c>
      <c r="H363" s="7">
        <f t="shared" si="12"/>
        <v>15321600</v>
      </c>
      <c r="I363" s="142" t="s">
        <v>1237</v>
      </c>
      <c r="J363" s="67"/>
      <c r="K363" s="67"/>
      <c r="L363" s="67"/>
    </row>
    <row r="364" spans="1:12" ht="18.75" customHeight="1" x14ac:dyDescent="0.4">
      <c r="A364" s="4">
        <v>46079</v>
      </c>
      <c r="B364" s="5" t="s">
        <v>134</v>
      </c>
      <c r="C364" s="67" t="s">
        <v>228</v>
      </c>
      <c r="D364" s="468" t="s">
        <v>971</v>
      </c>
      <c r="E364" s="59" t="s">
        <v>17</v>
      </c>
      <c r="F364" s="67">
        <v>191</v>
      </c>
      <c r="G364" s="7">
        <v>399640</v>
      </c>
      <c r="H364" s="7">
        <f t="shared" si="12"/>
        <v>76331240</v>
      </c>
      <c r="I364" s="142" t="s">
        <v>1237</v>
      </c>
      <c r="J364" s="67"/>
      <c r="K364" s="67"/>
      <c r="L364" s="67"/>
    </row>
    <row r="365" spans="1:12" ht="18.75" customHeight="1" x14ac:dyDescent="0.4">
      <c r="A365" s="4">
        <v>46079</v>
      </c>
      <c r="B365" s="5" t="s">
        <v>134</v>
      </c>
      <c r="C365" s="67" t="s">
        <v>181</v>
      </c>
      <c r="D365" s="468" t="s">
        <v>371</v>
      </c>
      <c r="E365" s="59" t="s">
        <v>13</v>
      </c>
      <c r="F365" s="67">
        <v>4</v>
      </c>
      <c r="G365" s="7">
        <v>2163000</v>
      </c>
      <c r="H365" s="7">
        <f t="shared" si="12"/>
        <v>8652000</v>
      </c>
      <c r="I365" s="142" t="s">
        <v>1237</v>
      </c>
      <c r="J365" s="67"/>
      <c r="K365" s="67"/>
      <c r="L365" s="67"/>
    </row>
    <row r="366" spans="1:12" ht="18.75" customHeight="1" x14ac:dyDescent="0.4">
      <c r="A366" s="4">
        <v>46079</v>
      </c>
      <c r="B366" s="5" t="s">
        <v>134</v>
      </c>
      <c r="C366" s="67" t="s">
        <v>182</v>
      </c>
      <c r="D366" s="468" t="s">
        <v>372</v>
      </c>
      <c r="E366" s="59" t="s">
        <v>13</v>
      </c>
      <c r="F366" s="67">
        <v>4</v>
      </c>
      <c r="G366" s="7">
        <v>2163000</v>
      </c>
      <c r="H366" s="7">
        <f t="shared" si="12"/>
        <v>8652000</v>
      </c>
      <c r="I366" s="142" t="s">
        <v>1237</v>
      </c>
      <c r="J366" s="67"/>
      <c r="K366" s="67"/>
      <c r="L366" s="67"/>
    </row>
    <row r="367" spans="1:12" ht="18.75" customHeight="1" x14ac:dyDescent="0.4">
      <c r="A367" s="4">
        <v>46079</v>
      </c>
      <c r="B367" s="5" t="s">
        <v>134</v>
      </c>
      <c r="C367" s="67" t="s">
        <v>136</v>
      </c>
      <c r="D367" s="468" t="s">
        <v>947</v>
      </c>
      <c r="E367" s="59" t="s">
        <v>13</v>
      </c>
      <c r="F367" s="67">
        <v>20</v>
      </c>
      <c r="G367" s="7">
        <v>597880</v>
      </c>
      <c r="H367" s="7">
        <f t="shared" si="12"/>
        <v>11957600</v>
      </c>
      <c r="I367" s="142" t="s">
        <v>1237</v>
      </c>
      <c r="J367" s="67"/>
      <c r="K367" s="67"/>
      <c r="L367" s="67"/>
    </row>
    <row r="368" spans="1:12" ht="18.75" customHeight="1" x14ac:dyDescent="0.4">
      <c r="A368" s="484">
        <v>46084</v>
      </c>
      <c r="B368" s="5" t="s">
        <v>134</v>
      </c>
      <c r="C368" s="6" t="s">
        <v>129</v>
      </c>
      <c r="D368" s="1" t="s">
        <v>130</v>
      </c>
      <c r="E368" s="1" t="s">
        <v>131</v>
      </c>
      <c r="F368" s="36">
        <v>11</v>
      </c>
      <c r="G368" s="7">
        <v>52326</v>
      </c>
      <c r="H368" s="7">
        <f t="shared" si="12"/>
        <v>575586</v>
      </c>
      <c r="I368" s="142" t="s">
        <v>1237</v>
      </c>
      <c r="J368" s="67"/>
      <c r="K368" s="67"/>
      <c r="L368" s="67"/>
    </row>
    <row r="369" spans="1:12" ht="18.75" customHeight="1" x14ac:dyDescent="0.4">
      <c r="A369" s="484">
        <v>46090</v>
      </c>
      <c r="B369" s="5" t="s">
        <v>134</v>
      </c>
      <c r="C369" s="67" t="s">
        <v>941</v>
      </c>
      <c r="D369" s="42" t="s">
        <v>942</v>
      </c>
      <c r="E369" s="1" t="s">
        <v>13</v>
      </c>
      <c r="F369" s="36">
        <v>7</v>
      </c>
      <c r="G369" s="7">
        <v>290000</v>
      </c>
      <c r="H369" s="7">
        <f t="shared" si="12"/>
        <v>2030000</v>
      </c>
      <c r="I369" s="142" t="s">
        <v>1237</v>
      </c>
      <c r="J369" s="67"/>
      <c r="K369" s="67"/>
      <c r="L369" s="67"/>
    </row>
    <row r="370" spans="1:12" ht="18.75" customHeight="1" x14ac:dyDescent="0.4">
      <c r="A370" s="484">
        <v>46090</v>
      </c>
      <c r="B370" s="5" t="s">
        <v>134</v>
      </c>
      <c r="C370" s="67" t="s">
        <v>965</v>
      </c>
      <c r="D370" s="42" t="s">
        <v>966</v>
      </c>
      <c r="E370" s="1" t="s">
        <v>17</v>
      </c>
      <c r="F370" s="36">
        <v>105</v>
      </c>
      <c r="G370" s="7">
        <v>124180</v>
      </c>
      <c r="H370" s="7">
        <f t="shared" si="12"/>
        <v>13038900</v>
      </c>
      <c r="I370" s="142" t="s">
        <v>1237</v>
      </c>
      <c r="J370" s="67"/>
      <c r="K370" s="67"/>
      <c r="L370" s="67"/>
    </row>
    <row r="371" spans="1:12" ht="18.75" customHeight="1" x14ac:dyDescent="0.4">
      <c r="A371" s="484">
        <v>46090</v>
      </c>
      <c r="B371" s="5" t="s">
        <v>134</v>
      </c>
      <c r="C371" s="6" t="s">
        <v>314</v>
      </c>
      <c r="D371" s="1" t="s">
        <v>1106</v>
      </c>
      <c r="E371" s="1" t="s">
        <v>13</v>
      </c>
      <c r="F371" s="36">
        <v>10</v>
      </c>
      <c r="G371" s="7">
        <v>85000</v>
      </c>
      <c r="H371" s="7">
        <f t="shared" si="12"/>
        <v>850000</v>
      </c>
      <c r="I371" s="142" t="s">
        <v>1237</v>
      </c>
      <c r="J371" s="67"/>
      <c r="K371" s="67"/>
      <c r="L371" s="67"/>
    </row>
    <row r="372" spans="1:12" ht="18.75" customHeight="1" x14ac:dyDescent="0.4">
      <c r="A372" s="484">
        <v>46090</v>
      </c>
      <c r="B372" s="5" t="s">
        <v>134</v>
      </c>
      <c r="C372" s="6" t="s">
        <v>309</v>
      </c>
      <c r="D372" s="1" t="s">
        <v>456</v>
      </c>
      <c r="E372" s="1" t="s">
        <v>127</v>
      </c>
      <c r="F372" s="36">
        <v>50</v>
      </c>
      <c r="G372" s="7">
        <v>16200</v>
      </c>
      <c r="H372" s="7">
        <f t="shared" si="12"/>
        <v>810000</v>
      </c>
      <c r="I372" s="142" t="s">
        <v>1237</v>
      </c>
      <c r="J372" s="67"/>
      <c r="K372" s="67"/>
      <c r="L372" s="67"/>
    </row>
    <row r="373" spans="1:12" ht="18.75" customHeight="1" x14ac:dyDescent="0.4">
      <c r="A373" s="484">
        <v>46090</v>
      </c>
      <c r="B373" s="5" t="s">
        <v>134</v>
      </c>
      <c r="C373" s="6" t="s">
        <v>1107</v>
      </c>
      <c r="D373" s="1" t="s">
        <v>1108</v>
      </c>
      <c r="E373" s="1" t="s">
        <v>127</v>
      </c>
      <c r="F373" s="36">
        <v>26</v>
      </c>
      <c r="G373" s="7">
        <v>34900</v>
      </c>
      <c r="H373" s="7">
        <f t="shared" si="12"/>
        <v>907400</v>
      </c>
      <c r="I373" s="142" t="s">
        <v>1237</v>
      </c>
      <c r="J373" s="67"/>
      <c r="K373" s="67"/>
      <c r="L373" s="67"/>
    </row>
    <row r="374" spans="1:12" ht="18.75" customHeight="1" x14ac:dyDescent="0.4">
      <c r="A374" s="484">
        <v>46090</v>
      </c>
      <c r="B374" s="5" t="s">
        <v>134</v>
      </c>
      <c r="C374" s="6" t="s">
        <v>508</v>
      </c>
      <c r="D374" s="1" t="s">
        <v>329</v>
      </c>
      <c r="E374" s="1" t="s">
        <v>13</v>
      </c>
      <c r="F374" s="36">
        <v>3</v>
      </c>
      <c r="G374" s="7">
        <v>1364000</v>
      </c>
      <c r="H374" s="7">
        <f t="shared" si="12"/>
        <v>4092000</v>
      </c>
      <c r="I374" s="142" t="s">
        <v>1237</v>
      </c>
      <c r="J374" s="67"/>
      <c r="K374" s="67"/>
      <c r="L374" s="67"/>
    </row>
    <row r="375" spans="1:12" ht="18.75" customHeight="1" x14ac:dyDescent="0.4">
      <c r="A375" s="484">
        <v>46090</v>
      </c>
      <c r="B375" s="5" t="s">
        <v>134</v>
      </c>
      <c r="C375" s="6" t="s">
        <v>317</v>
      </c>
      <c r="D375" s="1" t="s">
        <v>318</v>
      </c>
      <c r="E375" s="1" t="s">
        <v>13</v>
      </c>
      <c r="F375" s="36">
        <v>11</v>
      </c>
      <c r="G375" s="7">
        <v>236000</v>
      </c>
      <c r="H375" s="7">
        <f t="shared" si="12"/>
        <v>2596000</v>
      </c>
      <c r="I375" s="142" t="s">
        <v>1237</v>
      </c>
      <c r="J375" s="67"/>
      <c r="K375" s="67"/>
      <c r="L375" s="67"/>
    </row>
    <row r="376" spans="1:12" ht="18.75" customHeight="1" x14ac:dyDescent="0.4">
      <c r="A376" s="484">
        <v>46091</v>
      </c>
      <c r="B376" s="5" t="s">
        <v>128</v>
      </c>
      <c r="C376" s="6" t="s">
        <v>129</v>
      </c>
      <c r="D376" s="1" t="s">
        <v>130</v>
      </c>
      <c r="E376" s="1" t="s">
        <v>131</v>
      </c>
      <c r="F376" s="36">
        <v>1</v>
      </c>
      <c r="G376" s="7">
        <v>52326</v>
      </c>
      <c r="H376" s="7">
        <f t="shared" si="12"/>
        <v>52326</v>
      </c>
      <c r="I376" s="142" t="s">
        <v>1237</v>
      </c>
      <c r="J376" s="67"/>
      <c r="K376" s="67"/>
      <c r="L376" s="67"/>
    </row>
    <row r="377" spans="1:12" ht="18.75" customHeight="1" x14ac:dyDescent="0.4">
      <c r="A377" s="484">
        <v>46093</v>
      </c>
      <c r="B377" s="5" t="s">
        <v>134</v>
      </c>
      <c r="C377" s="6" t="s">
        <v>957</v>
      </c>
      <c r="D377" s="1" t="s">
        <v>329</v>
      </c>
      <c r="E377" s="16" t="s">
        <v>343</v>
      </c>
      <c r="F377" s="17">
        <v>3</v>
      </c>
      <c r="G377" s="7">
        <v>1364000</v>
      </c>
      <c r="H377" s="7">
        <f t="shared" si="12"/>
        <v>4092000</v>
      </c>
      <c r="I377" s="142" t="s">
        <v>1237</v>
      </c>
      <c r="J377" s="67"/>
      <c r="K377" s="67"/>
      <c r="L377" s="67"/>
    </row>
    <row r="378" spans="1:12" ht="18.75" customHeight="1" x14ac:dyDescent="0.4">
      <c r="A378" s="484">
        <v>46093</v>
      </c>
      <c r="B378" s="5" t="s">
        <v>134</v>
      </c>
      <c r="C378" s="60" t="s">
        <v>507</v>
      </c>
      <c r="D378" s="16" t="s">
        <v>328</v>
      </c>
      <c r="E378" s="16" t="s">
        <v>343</v>
      </c>
      <c r="F378" s="7">
        <v>6</v>
      </c>
      <c r="G378" s="7">
        <v>1364000</v>
      </c>
      <c r="H378" s="7">
        <f t="shared" si="12"/>
        <v>8184000</v>
      </c>
      <c r="I378" s="142" t="s">
        <v>1237</v>
      </c>
      <c r="J378" s="67"/>
      <c r="K378" s="67"/>
      <c r="L378" s="67"/>
    </row>
    <row r="379" spans="1:12" ht="18.75" customHeight="1" x14ac:dyDescent="0.4">
      <c r="A379" s="484">
        <v>46093</v>
      </c>
      <c r="B379" s="5" t="s">
        <v>134</v>
      </c>
      <c r="C379" s="491" t="s">
        <v>367</v>
      </c>
      <c r="D379" s="1" t="s">
        <v>1109</v>
      </c>
      <c r="E379" s="1" t="s">
        <v>1110</v>
      </c>
      <c r="F379" s="36">
        <v>82</v>
      </c>
      <c r="G379" s="7">
        <v>96490</v>
      </c>
      <c r="H379" s="7">
        <f t="shared" si="12"/>
        <v>7912180</v>
      </c>
      <c r="I379" s="142" t="s">
        <v>1237</v>
      </c>
      <c r="J379" s="67"/>
      <c r="K379" s="67"/>
      <c r="L379" s="67"/>
    </row>
    <row r="380" spans="1:12" ht="18.75" customHeight="1" x14ac:dyDescent="0.4">
      <c r="A380" s="484">
        <v>46093</v>
      </c>
      <c r="B380" s="5" t="s">
        <v>134</v>
      </c>
      <c r="C380" s="6" t="s">
        <v>330</v>
      </c>
      <c r="D380" s="1" t="s">
        <v>1112</v>
      </c>
      <c r="E380" s="1" t="s">
        <v>1110</v>
      </c>
      <c r="F380" s="36">
        <v>143</v>
      </c>
      <c r="G380" s="7">
        <v>329030</v>
      </c>
      <c r="H380" s="7">
        <f t="shared" si="12"/>
        <v>47051290</v>
      </c>
      <c r="I380" s="142" t="s">
        <v>1237</v>
      </c>
      <c r="J380" s="67"/>
      <c r="K380" s="67"/>
      <c r="L380" s="67"/>
    </row>
    <row r="381" spans="1:12" ht="18.75" customHeight="1" x14ac:dyDescent="0.4">
      <c r="A381" s="484">
        <v>46093</v>
      </c>
      <c r="B381" s="5" t="s">
        <v>134</v>
      </c>
      <c r="C381" s="6" t="s">
        <v>949</v>
      </c>
      <c r="D381" s="1" t="s">
        <v>1113</v>
      </c>
      <c r="E381" s="1" t="s">
        <v>1114</v>
      </c>
      <c r="F381" s="36">
        <v>47</v>
      </c>
      <c r="G381" s="7">
        <v>80570</v>
      </c>
      <c r="H381" s="7">
        <f t="shared" si="12"/>
        <v>3786790</v>
      </c>
      <c r="I381" s="142" t="s">
        <v>1237</v>
      </c>
      <c r="J381" s="67"/>
      <c r="K381" s="67"/>
      <c r="L381" s="67"/>
    </row>
    <row r="382" spans="1:12" ht="18.75" customHeight="1" x14ac:dyDescent="0.4">
      <c r="A382" s="484">
        <v>46093</v>
      </c>
      <c r="B382" s="5" t="s">
        <v>134</v>
      </c>
      <c r="C382" s="6" t="s">
        <v>132</v>
      </c>
      <c r="D382" s="1" t="s">
        <v>1115</v>
      </c>
      <c r="E382" s="1" t="s">
        <v>343</v>
      </c>
      <c r="F382" s="36">
        <v>18</v>
      </c>
      <c r="G382" s="7">
        <v>3225880</v>
      </c>
      <c r="H382" s="7">
        <f t="shared" si="12"/>
        <v>58065840</v>
      </c>
      <c r="I382" s="142" t="s">
        <v>1237</v>
      </c>
      <c r="J382" s="67"/>
      <c r="K382" s="67"/>
      <c r="L382" s="67"/>
    </row>
    <row r="383" spans="1:12" ht="18.75" customHeight="1" x14ac:dyDescent="0.4">
      <c r="A383" s="484">
        <v>46100</v>
      </c>
      <c r="B383" s="33" t="s">
        <v>134</v>
      </c>
      <c r="C383" s="60" t="s">
        <v>1117</v>
      </c>
      <c r="D383" s="16" t="s">
        <v>1118</v>
      </c>
      <c r="E383" s="16" t="s">
        <v>17</v>
      </c>
      <c r="F383" s="17">
        <v>185</v>
      </c>
      <c r="G383" s="17">
        <v>214160</v>
      </c>
      <c r="H383" s="7">
        <f t="shared" si="12"/>
        <v>39619600</v>
      </c>
      <c r="I383" s="142" t="s">
        <v>1237</v>
      </c>
      <c r="J383" s="67"/>
      <c r="K383" s="67"/>
      <c r="L383" s="67"/>
    </row>
    <row r="384" spans="1:12" ht="18.75" customHeight="1" x14ac:dyDescent="0.4">
      <c r="A384" s="484">
        <v>46100</v>
      </c>
      <c r="B384" s="33" t="s">
        <v>134</v>
      </c>
      <c r="C384" s="60" t="s">
        <v>418</v>
      </c>
      <c r="D384" s="16" t="s">
        <v>1119</v>
      </c>
      <c r="E384" s="16" t="s">
        <v>17</v>
      </c>
      <c r="F384" s="17">
        <v>86</v>
      </c>
      <c r="G384" s="17">
        <v>336730</v>
      </c>
      <c r="H384" s="7">
        <f t="shared" si="12"/>
        <v>28958780</v>
      </c>
      <c r="I384" s="142" t="s">
        <v>1237</v>
      </c>
      <c r="J384" s="67"/>
      <c r="K384" s="67"/>
      <c r="L384" s="67"/>
    </row>
    <row r="385" spans="1:12" ht="18.75" customHeight="1" x14ac:dyDescent="0.4">
      <c r="A385" s="484">
        <v>46100</v>
      </c>
      <c r="B385" s="33" t="s">
        <v>134</v>
      </c>
      <c r="C385" s="60" t="s">
        <v>385</v>
      </c>
      <c r="D385" s="16" t="s">
        <v>386</v>
      </c>
      <c r="E385" s="16" t="s">
        <v>17</v>
      </c>
      <c r="F385" s="17">
        <v>60</v>
      </c>
      <c r="G385" s="17">
        <v>185800</v>
      </c>
      <c r="H385" s="7">
        <f t="shared" si="12"/>
        <v>11148000</v>
      </c>
      <c r="I385" s="142" t="s">
        <v>1237</v>
      </c>
      <c r="J385" s="67"/>
      <c r="K385" s="67"/>
      <c r="L385" s="67"/>
    </row>
    <row r="386" spans="1:12" ht="18.75" customHeight="1" x14ac:dyDescent="0.4">
      <c r="A386" s="484">
        <v>46100</v>
      </c>
      <c r="B386" s="33" t="s">
        <v>134</v>
      </c>
      <c r="C386" s="60" t="s">
        <v>132</v>
      </c>
      <c r="D386" s="16" t="s">
        <v>1120</v>
      </c>
      <c r="E386" s="16" t="s">
        <v>13</v>
      </c>
      <c r="F386" s="17">
        <v>12</v>
      </c>
      <c r="G386" s="17">
        <v>3225880</v>
      </c>
      <c r="H386" s="7">
        <f t="shared" si="12"/>
        <v>38710560</v>
      </c>
      <c r="I386" s="142" t="s">
        <v>1237</v>
      </c>
      <c r="J386" s="67"/>
      <c r="K386" s="67"/>
      <c r="L386" s="67"/>
    </row>
    <row r="387" spans="1:12" ht="18.75" customHeight="1" x14ac:dyDescent="0.4">
      <c r="A387" s="484">
        <v>46100</v>
      </c>
      <c r="B387" s="33" t="s">
        <v>134</v>
      </c>
      <c r="C387" s="60" t="s">
        <v>314</v>
      </c>
      <c r="D387" s="16" t="s">
        <v>1106</v>
      </c>
      <c r="E387" s="16" t="s">
        <v>13</v>
      </c>
      <c r="F387" s="17">
        <v>9</v>
      </c>
      <c r="G387" s="17">
        <v>85000</v>
      </c>
      <c r="H387" s="7">
        <f t="shared" si="12"/>
        <v>765000</v>
      </c>
      <c r="I387" s="142" t="s">
        <v>1237</v>
      </c>
      <c r="J387" s="67"/>
      <c r="K387" s="67"/>
      <c r="L387" s="67"/>
    </row>
    <row r="388" spans="1:12" ht="18.75" customHeight="1" x14ac:dyDescent="0.4">
      <c r="A388" s="484">
        <v>46100</v>
      </c>
      <c r="B388" s="33" t="s">
        <v>134</v>
      </c>
      <c r="C388" s="60" t="s">
        <v>314</v>
      </c>
      <c r="D388" s="16" t="s">
        <v>387</v>
      </c>
      <c r="E388" s="16" t="s">
        <v>13</v>
      </c>
      <c r="F388" s="17">
        <v>9</v>
      </c>
      <c r="G388" s="7">
        <v>200000</v>
      </c>
      <c r="H388" s="7">
        <f t="shared" si="12"/>
        <v>1800000</v>
      </c>
      <c r="I388" s="142" t="s">
        <v>1237</v>
      </c>
      <c r="J388" s="67"/>
      <c r="K388" s="67"/>
      <c r="L388" s="67"/>
    </row>
    <row r="389" spans="1:12" ht="18.75" customHeight="1" x14ac:dyDescent="0.4">
      <c r="A389" s="484">
        <v>46100</v>
      </c>
      <c r="B389" s="33" t="s">
        <v>134</v>
      </c>
      <c r="C389" s="60" t="s">
        <v>314</v>
      </c>
      <c r="D389" s="16" t="s">
        <v>1121</v>
      </c>
      <c r="E389" s="16" t="s">
        <v>13</v>
      </c>
      <c r="F389" s="17">
        <v>14</v>
      </c>
      <c r="G389" s="17">
        <v>95700</v>
      </c>
      <c r="H389" s="7">
        <f t="shared" si="12"/>
        <v>1339800</v>
      </c>
      <c r="I389" s="142" t="s">
        <v>1237</v>
      </c>
      <c r="J389" s="67"/>
      <c r="K389" s="67"/>
      <c r="L389" s="67"/>
    </row>
    <row r="390" spans="1:12" ht="18.75" customHeight="1" x14ac:dyDescent="0.4">
      <c r="A390" s="484">
        <v>46100</v>
      </c>
      <c r="B390" s="33" t="s">
        <v>134</v>
      </c>
      <c r="C390" s="60" t="s">
        <v>314</v>
      </c>
      <c r="D390" s="16" t="s">
        <v>1122</v>
      </c>
      <c r="E390" s="16" t="s">
        <v>13</v>
      </c>
      <c r="F390" s="17">
        <v>25</v>
      </c>
      <c r="G390" s="17">
        <v>98600</v>
      </c>
      <c r="H390" s="7">
        <f t="shared" si="12"/>
        <v>2465000</v>
      </c>
      <c r="I390" s="142" t="s">
        <v>1237</v>
      </c>
      <c r="J390" s="67"/>
      <c r="K390" s="67"/>
      <c r="L390" s="67"/>
    </row>
    <row r="391" spans="1:12" ht="18.75" customHeight="1" x14ac:dyDescent="0.4">
      <c r="A391" s="484">
        <v>46100</v>
      </c>
      <c r="B391" s="33" t="s">
        <v>134</v>
      </c>
      <c r="C391" s="60" t="s">
        <v>310</v>
      </c>
      <c r="D391" s="16" t="s">
        <v>315</v>
      </c>
      <c r="E391" s="16" t="s">
        <v>13</v>
      </c>
      <c r="F391" s="17">
        <v>9</v>
      </c>
      <c r="G391" s="17">
        <v>84000</v>
      </c>
      <c r="H391" s="7">
        <f t="shared" si="12"/>
        <v>756000</v>
      </c>
      <c r="I391" s="142" t="s">
        <v>1237</v>
      </c>
      <c r="J391" s="67"/>
      <c r="K391" s="67"/>
      <c r="L391" s="67"/>
    </row>
    <row r="392" spans="1:12" ht="18.75" customHeight="1" x14ac:dyDescent="0.4">
      <c r="A392" s="484">
        <v>46100</v>
      </c>
      <c r="B392" s="33" t="s">
        <v>134</v>
      </c>
      <c r="C392" s="60" t="s">
        <v>310</v>
      </c>
      <c r="D392" s="16" t="s">
        <v>326</v>
      </c>
      <c r="E392" s="16" t="s">
        <v>127</v>
      </c>
      <c r="F392" s="17">
        <v>32</v>
      </c>
      <c r="G392" s="17">
        <v>68000</v>
      </c>
      <c r="H392" s="7">
        <f t="shared" si="12"/>
        <v>2176000</v>
      </c>
      <c r="I392" s="142" t="s">
        <v>1237</v>
      </c>
      <c r="J392" s="67"/>
      <c r="K392" s="67"/>
      <c r="L392" s="67"/>
    </row>
    <row r="393" spans="1:12" ht="18.75" customHeight="1" x14ac:dyDescent="0.4">
      <c r="A393" s="484">
        <v>46100</v>
      </c>
      <c r="B393" s="33" t="s">
        <v>134</v>
      </c>
      <c r="C393" s="60" t="s">
        <v>508</v>
      </c>
      <c r="D393" s="16" t="s">
        <v>1116</v>
      </c>
      <c r="E393" s="16" t="s">
        <v>13</v>
      </c>
      <c r="F393" s="17">
        <v>6</v>
      </c>
      <c r="G393" s="17">
        <v>1364000</v>
      </c>
      <c r="H393" s="7">
        <f t="shared" si="12"/>
        <v>8184000</v>
      </c>
      <c r="I393" s="142" t="s">
        <v>1237</v>
      </c>
      <c r="J393" s="67"/>
      <c r="K393" s="67"/>
      <c r="L393" s="67"/>
    </row>
    <row r="394" spans="1:12" ht="18.75" customHeight="1" x14ac:dyDescent="0.4">
      <c r="A394" s="484">
        <v>46100</v>
      </c>
      <c r="B394" s="33" t="s">
        <v>134</v>
      </c>
      <c r="C394" s="60" t="s">
        <v>507</v>
      </c>
      <c r="D394" s="16" t="s">
        <v>328</v>
      </c>
      <c r="E394" s="16" t="s">
        <v>13</v>
      </c>
      <c r="F394" s="7">
        <v>10</v>
      </c>
      <c r="G394" s="17">
        <v>1364000</v>
      </c>
      <c r="H394" s="7">
        <f t="shared" si="12"/>
        <v>13640000</v>
      </c>
      <c r="I394" s="142" t="s">
        <v>1237</v>
      </c>
      <c r="J394" s="67"/>
      <c r="K394" s="67"/>
      <c r="L394" s="67"/>
    </row>
    <row r="395" spans="1:12" ht="18.75" customHeight="1" x14ac:dyDescent="0.4">
      <c r="A395" s="484">
        <v>46100</v>
      </c>
      <c r="B395" s="33" t="s">
        <v>134</v>
      </c>
      <c r="C395" s="60" t="s">
        <v>314</v>
      </c>
      <c r="D395" s="16" t="s">
        <v>956</v>
      </c>
      <c r="E395" s="16" t="s">
        <v>13</v>
      </c>
      <c r="F395" s="17">
        <v>20</v>
      </c>
      <c r="G395" s="17">
        <v>79000</v>
      </c>
      <c r="H395" s="7">
        <f t="shared" si="12"/>
        <v>1580000</v>
      </c>
      <c r="I395" s="142" t="s">
        <v>1237</v>
      </c>
      <c r="J395" s="67"/>
      <c r="K395" s="67"/>
      <c r="L395" s="67"/>
    </row>
    <row r="396" spans="1:12" ht="18.75" customHeight="1" x14ac:dyDescent="0.4">
      <c r="A396" s="484">
        <v>46100</v>
      </c>
      <c r="B396" s="33" t="s">
        <v>134</v>
      </c>
      <c r="C396" s="60" t="s">
        <v>317</v>
      </c>
      <c r="D396" s="16" t="s">
        <v>318</v>
      </c>
      <c r="E396" s="16" t="s">
        <v>13</v>
      </c>
      <c r="F396" s="17">
        <v>9</v>
      </c>
      <c r="G396" s="17">
        <v>236000</v>
      </c>
      <c r="H396" s="7">
        <f t="shared" si="12"/>
        <v>2124000</v>
      </c>
      <c r="I396" s="142" t="s">
        <v>1237</v>
      </c>
      <c r="J396" s="67"/>
      <c r="K396" s="67"/>
      <c r="L396" s="67"/>
    </row>
    <row r="397" spans="1:12" ht="18.75" customHeight="1" x14ac:dyDescent="0.4">
      <c r="A397" s="484">
        <v>46104</v>
      </c>
      <c r="B397" s="5" t="s">
        <v>134</v>
      </c>
      <c r="C397" s="6" t="s">
        <v>1123</v>
      </c>
      <c r="D397" s="1">
        <v>60621335</v>
      </c>
      <c r="E397" s="1" t="s">
        <v>424</v>
      </c>
      <c r="F397" s="36">
        <v>173</v>
      </c>
      <c r="G397" s="7">
        <v>17290</v>
      </c>
      <c r="H397" s="7">
        <f t="shared" si="12"/>
        <v>2991170</v>
      </c>
      <c r="I397" s="142" t="s">
        <v>1237</v>
      </c>
      <c r="J397" s="67"/>
      <c r="K397" s="67"/>
      <c r="L397" s="67"/>
    </row>
    <row r="398" spans="1:12" ht="18.75" customHeight="1" x14ac:dyDescent="0.4">
      <c r="A398" s="484">
        <v>46108</v>
      </c>
      <c r="B398" s="5" t="s">
        <v>134</v>
      </c>
      <c r="C398" s="60" t="s">
        <v>507</v>
      </c>
      <c r="D398" s="16" t="s">
        <v>328</v>
      </c>
      <c r="E398" s="67" t="s">
        <v>13</v>
      </c>
      <c r="F398" s="7">
        <v>10</v>
      </c>
      <c r="G398" s="7">
        <v>1364000</v>
      </c>
      <c r="H398" s="7">
        <f t="shared" si="12"/>
        <v>13640000</v>
      </c>
      <c r="I398" s="142" t="s">
        <v>1237</v>
      </c>
      <c r="J398" s="67"/>
      <c r="K398" s="67"/>
      <c r="L398" s="67"/>
    </row>
    <row r="399" spans="1:12" ht="18.75" customHeight="1" x14ac:dyDescent="0.4">
      <c r="A399" s="484">
        <v>46108</v>
      </c>
      <c r="B399" s="5" t="s">
        <v>134</v>
      </c>
      <c r="C399" s="67" t="s">
        <v>957</v>
      </c>
      <c r="D399" s="1" t="s">
        <v>329</v>
      </c>
      <c r="E399" s="59" t="s">
        <v>13</v>
      </c>
      <c r="F399" s="49">
        <v>9</v>
      </c>
      <c r="G399" s="7">
        <v>1364000</v>
      </c>
      <c r="H399" s="7">
        <f t="shared" si="12"/>
        <v>12276000</v>
      </c>
      <c r="I399" s="142" t="s">
        <v>1237</v>
      </c>
      <c r="J399" s="67"/>
      <c r="K399" s="67"/>
      <c r="L399" s="67"/>
    </row>
    <row r="400" spans="1:12" ht="18.75" customHeight="1" x14ac:dyDescent="0.4">
      <c r="A400" s="484">
        <v>46108</v>
      </c>
      <c r="B400" s="5" t="s">
        <v>134</v>
      </c>
      <c r="C400" s="67" t="s">
        <v>385</v>
      </c>
      <c r="D400" s="468" t="s">
        <v>1124</v>
      </c>
      <c r="E400" s="67" t="s">
        <v>17</v>
      </c>
      <c r="F400" s="67">
        <v>116</v>
      </c>
      <c r="G400" s="7">
        <v>185800</v>
      </c>
      <c r="H400" s="7">
        <f t="shared" si="12"/>
        <v>21552800</v>
      </c>
      <c r="I400" s="142" t="s">
        <v>1237</v>
      </c>
      <c r="J400" s="67"/>
      <c r="K400" s="67"/>
      <c r="L400" s="67"/>
    </row>
    <row r="401" spans="1:13" ht="18.75" customHeight="1" x14ac:dyDescent="0.4">
      <c r="A401" s="484">
        <v>46108</v>
      </c>
      <c r="B401" s="5" t="s">
        <v>134</v>
      </c>
      <c r="C401" s="67" t="s">
        <v>418</v>
      </c>
      <c r="D401" s="468">
        <v>12321745</v>
      </c>
      <c r="E401" s="67" t="s">
        <v>17</v>
      </c>
      <c r="F401" s="67">
        <v>82</v>
      </c>
      <c r="G401" s="7">
        <v>336730</v>
      </c>
      <c r="H401" s="7">
        <f t="shared" si="12"/>
        <v>27611860</v>
      </c>
      <c r="I401" s="142" t="s">
        <v>1237</v>
      </c>
      <c r="J401" s="67"/>
      <c r="K401" s="67"/>
      <c r="L401" s="67"/>
    </row>
    <row r="402" spans="1:13" ht="18.75" customHeight="1" x14ac:dyDescent="0.4">
      <c r="A402" s="484">
        <v>46108</v>
      </c>
      <c r="B402" s="5" t="s">
        <v>134</v>
      </c>
      <c r="C402" s="67" t="s">
        <v>388</v>
      </c>
      <c r="D402" s="468" t="s">
        <v>1125</v>
      </c>
      <c r="E402" s="67" t="s">
        <v>17</v>
      </c>
      <c r="F402" s="67">
        <v>148</v>
      </c>
      <c r="G402" s="7">
        <v>283020</v>
      </c>
      <c r="H402" s="7">
        <f t="shared" si="12"/>
        <v>41886960</v>
      </c>
      <c r="I402" s="142" t="s">
        <v>1237</v>
      </c>
      <c r="J402" s="67"/>
      <c r="K402" s="67"/>
      <c r="L402" s="67"/>
    </row>
    <row r="403" spans="1:13" s="19" customFormat="1" ht="19.5" customHeight="1" x14ac:dyDescent="0.4">
      <c r="A403" s="4">
        <v>46051</v>
      </c>
      <c r="B403" s="5" t="s">
        <v>134</v>
      </c>
      <c r="C403" s="6" t="s">
        <v>132</v>
      </c>
      <c r="D403" s="1" t="s">
        <v>133</v>
      </c>
      <c r="E403" s="1" t="s">
        <v>13</v>
      </c>
      <c r="F403" s="36">
        <v>22</v>
      </c>
      <c r="G403" s="7">
        <v>3225880</v>
      </c>
      <c r="H403" s="7">
        <f>F403*G403</f>
        <v>70969360</v>
      </c>
      <c r="I403" s="142" t="s">
        <v>1238</v>
      </c>
      <c r="J403" s="66"/>
      <c r="K403" s="66"/>
      <c r="L403" s="408"/>
      <c r="M403" s="200"/>
    </row>
    <row r="404" spans="1:13" ht="18.75" customHeight="1" x14ac:dyDescent="0.4">
      <c r="A404" s="4">
        <v>46062</v>
      </c>
      <c r="B404" s="5" t="s">
        <v>134</v>
      </c>
      <c r="C404" s="67" t="s">
        <v>508</v>
      </c>
      <c r="D404" s="42" t="s">
        <v>327</v>
      </c>
      <c r="E404" s="1" t="s">
        <v>13</v>
      </c>
      <c r="F404" s="36">
        <v>2</v>
      </c>
      <c r="G404" s="7">
        <v>1364000</v>
      </c>
      <c r="H404" s="7">
        <f>F404*G404</f>
        <v>2728000</v>
      </c>
      <c r="I404" s="142" t="s">
        <v>1238</v>
      </c>
      <c r="J404" s="67"/>
      <c r="K404" s="67"/>
      <c r="L404" s="67"/>
    </row>
    <row r="405" spans="1:13" ht="18.75" customHeight="1" x14ac:dyDescent="0.4">
      <c r="A405" s="484">
        <v>46093</v>
      </c>
      <c r="B405" s="5" t="s">
        <v>134</v>
      </c>
      <c r="C405" s="6" t="s">
        <v>129</v>
      </c>
      <c r="D405" s="1" t="s">
        <v>130</v>
      </c>
      <c r="E405" s="1" t="s">
        <v>131</v>
      </c>
      <c r="F405" s="36">
        <v>11</v>
      </c>
      <c r="G405" s="7">
        <v>52326</v>
      </c>
      <c r="H405" s="7">
        <f>F405*G405</f>
        <v>575586</v>
      </c>
      <c r="I405" s="142" t="s">
        <v>1238</v>
      </c>
      <c r="J405" s="67"/>
      <c r="K405" s="67"/>
      <c r="L405" s="67"/>
    </row>
    <row r="406" spans="1:13" ht="18.75" customHeight="1" x14ac:dyDescent="0.4">
      <c r="A406" s="484">
        <v>46093</v>
      </c>
      <c r="B406" s="5" t="s">
        <v>134</v>
      </c>
      <c r="C406" s="491" t="s">
        <v>367</v>
      </c>
      <c r="D406" s="1" t="s">
        <v>1109</v>
      </c>
      <c r="E406" s="1" t="s">
        <v>1110</v>
      </c>
      <c r="F406" s="36">
        <v>8</v>
      </c>
      <c r="G406" s="7">
        <v>96490</v>
      </c>
      <c r="H406" s="7">
        <v>0</v>
      </c>
      <c r="I406" s="67"/>
      <c r="J406" s="67" t="s">
        <v>1111</v>
      </c>
      <c r="K406" s="67"/>
      <c r="L406" s="67"/>
    </row>
    <row r="407" spans="1:13" ht="18.75" customHeight="1" x14ac:dyDescent="0.4">
      <c r="A407" s="484">
        <v>46100</v>
      </c>
      <c r="B407" s="33" t="s">
        <v>134</v>
      </c>
      <c r="C407" s="60" t="s">
        <v>226</v>
      </c>
      <c r="D407" s="16" t="s">
        <v>227</v>
      </c>
      <c r="E407" s="16" t="s">
        <v>11</v>
      </c>
      <c r="F407" s="17">
        <v>50</v>
      </c>
      <c r="G407" s="17">
        <v>28990</v>
      </c>
      <c r="H407" s="7">
        <v>0</v>
      </c>
      <c r="I407" s="67"/>
      <c r="J407" s="67" t="s">
        <v>1111</v>
      </c>
      <c r="K407" s="67"/>
      <c r="L407" s="67"/>
    </row>
    <row r="408" spans="1:13" ht="18.75" customHeight="1" x14ac:dyDescent="0.4">
      <c r="A408" s="484">
        <v>46100</v>
      </c>
      <c r="B408" s="33" t="s">
        <v>134</v>
      </c>
      <c r="C408" s="60" t="s">
        <v>508</v>
      </c>
      <c r="D408" s="16" t="s">
        <v>1116</v>
      </c>
      <c r="E408" s="16" t="s">
        <v>13</v>
      </c>
      <c r="F408" s="17">
        <v>1</v>
      </c>
      <c r="G408" s="17">
        <v>1364000</v>
      </c>
      <c r="H408" s="7">
        <v>0</v>
      </c>
      <c r="I408" s="67"/>
      <c r="J408" s="67" t="s">
        <v>1111</v>
      </c>
      <c r="K408" s="67"/>
      <c r="L408" s="67"/>
    </row>
    <row r="409" spans="1:13" ht="18.75" customHeight="1" x14ac:dyDescent="0.4">
      <c r="A409" s="484">
        <v>46104</v>
      </c>
      <c r="B409" s="5" t="s">
        <v>134</v>
      </c>
      <c r="C409" s="6" t="s">
        <v>129</v>
      </c>
      <c r="D409" s="1" t="s">
        <v>130</v>
      </c>
      <c r="E409" s="1" t="s">
        <v>131</v>
      </c>
      <c r="F409" s="36">
        <v>11</v>
      </c>
      <c r="G409" s="7">
        <v>52326</v>
      </c>
      <c r="H409" s="7">
        <f t="shared" ref="H409:H414" si="13">F409*G409</f>
        <v>575586</v>
      </c>
      <c r="I409" s="142" t="s">
        <v>1238</v>
      </c>
      <c r="J409" s="67"/>
      <c r="K409" s="67"/>
      <c r="L409" s="67"/>
    </row>
    <row r="410" spans="1:13" ht="18.75" customHeight="1" x14ac:dyDescent="0.4">
      <c r="A410" s="484">
        <v>46106</v>
      </c>
      <c r="B410" s="5" t="s">
        <v>134</v>
      </c>
      <c r="C410" s="67" t="s">
        <v>136</v>
      </c>
      <c r="D410" s="42" t="s">
        <v>947</v>
      </c>
      <c r="E410" s="1" t="s">
        <v>13</v>
      </c>
      <c r="F410" s="36">
        <v>47</v>
      </c>
      <c r="G410" s="7">
        <v>597880</v>
      </c>
      <c r="H410" s="7">
        <f t="shared" si="13"/>
        <v>28100360</v>
      </c>
      <c r="I410" s="142" t="s">
        <v>1238</v>
      </c>
      <c r="J410" s="67"/>
      <c r="K410" s="67"/>
      <c r="L410" s="67"/>
    </row>
    <row r="411" spans="1:13" ht="18.75" customHeight="1" x14ac:dyDescent="0.4">
      <c r="A411" s="484">
        <v>46106</v>
      </c>
      <c r="B411" s="5" t="s">
        <v>134</v>
      </c>
      <c r="C411" s="67" t="s">
        <v>181</v>
      </c>
      <c r="D411" s="468" t="s">
        <v>371</v>
      </c>
      <c r="E411" s="67" t="s">
        <v>13</v>
      </c>
      <c r="F411" s="67">
        <v>2</v>
      </c>
      <c r="G411" s="7">
        <v>2163000</v>
      </c>
      <c r="H411" s="7">
        <f t="shared" si="13"/>
        <v>4326000</v>
      </c>
      <c r="I411" s="142" t="s">
        <v>1238</v>
      </c>
      <c r="J411" s="67"/>
      <c r="K411" s="67"/>
      <c r="L411" s="67"/>
    </row>
    <row r="412" spans="1:13" ht="18.75" customHeight="1" x14ac:dyDescent="0.4">
      <c r="A412" s="484">
        <v>46106</v>
      </c>
      <c r="B412" s="5" t="s">
        <v>134</v>
      </c>
      <c r="C412" s="67" t="s">
        <v>182</v>
      </c>
      <c r="D412" s="468" t="s">
        <v>372</v>
      </c>
      <c r="E412" s="67" t="s">
        <v>13</v>
      </c>
      <c r="F412" s="67">
        <v>2</v>
      </c>
      <c r="G412" s="7">
        <v>2163000</v>
      </c>
      <c r="H412" s="7">
        <f t="shared" si="13"/>
        <v>4326000</v>
      </c>
      <c r="I412" s="142" t="s">
        <v>1238</v>
      </c>
      <c r="J412" s="67"/>
      <c r="K412" s="67"/>
      <c r="L412" s="67"/>
    </row>
    <row r="413" spans="1:13" ht="18.75" customHeight="1" x14ac:dyDescent="0.4">
      <c r="A413" s="484">
        <v>46106</v>
      </c>
      <c r="B413" s="5" t="s">
        <v>134</v>
      </c>
      <c r="C413" s="67" t="s">
        <v>181</v>
      </c>
      <c r="D413" s="468" t="s">
        <v>371</v>
      </c>
      <c r="E413" s="67" t="s">
        <v>13</v>
      </c>
      <c r="F413" s="67">
        <v>3</v>
      </c>
      <c r="G413" s="7">
        <v>2163000</v>
      </c>
      <c r="H413" s="7">
        <f t="shared" si="13"/>
        <v>6489000</v>
      </c>
      <c r="I413" s="142" t="s">
        <v>1238</v>
      </c>
      <c r="J413" s="67"/>
      <c r="K413" s="67"/>
      <c r="L413" s="67"/>
    </row>
    <row r="414" spans="1:13" ht="18.75" customHeight="1" x14ac:dyDescent="0.4">
      <c r="A414" s="484">
        <v>46106</v>
      </c>
      <c r="B414" s="5" t="s">
        <v>134</v>
      </c>
      <c r="C414" s="67" t="s">
        <v>182</v>
      </c>
      <c r="D414" s="468" t="s">
        <v>372</v>
      </c>
      <c r="E414" s="67" t="s">
        <v>13</v>
      </c>
      <c r="F414" s="67">
        <v>3</v>
      </c>
      <c r="G414" s="7">
        <v>2163000</v>
      </c>
      <c r="H414" s="7">
        <f t="shared" si="13"/>
        <v>6489000</v>
      </c>
      <c r="I414" s="142" t="s">
        <v>1238</v>
      </c>
      <c r="J414" s="67"/>
      <c r="K414" s="67"/>
      <c r="L414" s="67"/>
    </row>
    <row r="415" spans="1:13" ht="18.75" customHeight="1" x14ac:dyDescent="0.4">
      <c r="A415" s="484"/>
      <c r="B415" s="5"/>
      <c r="C415" s="6"/>
      <c r="D415" s="1"/>
      <c r="E415" s="1"/>
      <c r="F415" s="36"/>
      <c r="G415" s="7"/>
      <c r="H415" s="7"/>
      <c r="I415" s="67"/>
      <c r="J415" s="67"/>
      <c r="K415" s="67"/>
      <c r="L415" s="67"/>
    </row>
    <row r="416" spans="1:13" ht="18.75" customHeight="1" x14ac:dyDescent="0.4">
      <c r="A416" s="492"/>
      <c r="B416" s="123"/>
      <c r="C416" s="138"/>
      <c r="D416" s="97"/>
      <c r="E416" s="123"/>
      <c r="F416" s="138"/>
      <c r="G416" s="138"/>
      <c r="H416" s="138">
        <f>SUM(H348:H402)</f>
        <v>683531168</v>
      </c>
      <c r="I416" s="123"/>
      <c r="J416" s="123"/>
      <c r="K416" s="123"/>
      <c r="L416" s="138"/>
    </row>
    <row r="417" spans="1:12" ht="18.75" customHeight="1" x14ac:dyDescent="0.4">
      <c r="A417" s="482">
        <v>46093</v>
      </c>
      <c r="B417" s="5" t="s">
        <v>137</v>
      </c>
      <c r="C417" s="49" t="s">
        <v>241</v>
      </c>
      <c r="D417" s="59" t="s">
        <v>231</v>
      </c>
      <c r="E417" s="67"/>
      <c r="F417" s="49">
        <v>70</v>
      </c>
      <c r="G417" s="49">
        <v>195700</v>
      </c>
      <c r="H417" s="7">
        <f t="shared" ref="H417:H433" si="14">F417*G417</f>
        <v>13699000</v>
      </c>
      <c r="I417" s="67" t="s">
        <v>759</v>
      </c>
      <c r="J417" s="67"/>
      <c r="K417" s="67"/>
      <c r="L417" s="49"/>
    </row>
    <row r="418" spans="1:12" ht="18.75" customHeight="1" x14ac:dyDescent="0.4">
      <c r="A418" s="482">
        <v>46093</v>
      </c>
      <c r="B418" s="5" t="s">
        <v>137</v>
      </c>
      <c r="C418" s="49" t="s">
        <v>241</v>
      </c>
      <c r="D418" s="59" t="s">
        <v>373</v>
      </c>
      <c r="E418" s="67"/>
      <c r="F418" s="49">
        <v>15</v>
      </c>
      <c r="G418" s="49">
        <v>195700</v>
      </c>
      <c r="H418" s="7">
        <f t="shared" si="14"/>
        <v>2935500</v>
      </c>
      <c r="I418" s="67" t="s">
        <v>1126</v>
      </c>
      <c r="J418" s="67"/>
      <c r="K418" s="67"/>
      <c r="L418" s="49"/>
    </row>
    <row r="419" spans="1:12" ht="18.75" customHeight="1" x14ac:dyDescent="0.4">
      <c r="A419" s="482">
        <v>46093</v>
      </c>
      <c r="B419" s="5" t="s">
        <v>137</v>
      </c>
      <c r="C419" s="49" t="s">
        <v>138</v>
      </c>
      <c r="D419" s="59" t="s">
        <v>139</v>
      </c>
      <c r="E419" s="67"/>
      <c r="F419" s="49">
        <v>21</v>
      </c>
      <c r="G419" s="81">
        <v>180900</v>
      </c>
      <c r="H419" s="8">
        <f t="shared" si="14"/>
        <v>3798900</v>
      </c>
      <c r="I419" s="67" t="s">
        <v>976</v>
      </c>
      <c r="J419" s="67"/>
      <c r="K419" s="67"/>
      <c r="L419" s="49"/>
    </row>
    <row r="420" spans="1:12" ht="18.75" customHeight="1" x14ac:dyDescent="0.4">
      <c r="A420" s="482">
        <v>46093</v>
      </c>
      <c r="B420" s="5" t="s">
        <v>137</v>
      </c>
      <c r="C420" s="49" t="s">
        <v>138</v>
      </c>
      <c r="D420" s="59" t="s">
        <v>139</v>
      </c>
      <c r="E420" s="67"/>
      <c r="F420" s="49">
        <v>11</v>
      </c>
      <c r="G420" s="81">
        <v>180900</v>
      </c>
      <c r="H420" s="8">
        <f t="shared" si="14"/>
        <v>1989900</v>
      </c>
      <c r="I420" s="67" t="s">
        <v>1127</v>
      </c>
      <c r="J420" s="67"/>
      <c r="K420" s="67"/>
      <c r="L420" s="49"/>
    </row>
    <row r="421" spans="1:12" ht="18.75" customHeight="1" x14ac:dyDescent="0.4">
      <c r="A421" s="482">
        <v>46093</v>
      </c>
      <c r="B421" s="5" t="s">
        <v>137</v>
      </c>
      <c r="C421" s="49" t="s">
        <v>233</v>
      </c>
      <c r="D421" s="59" t="s">
        <v>472</v>
      </c>
      <c r="E421" s="67"/>
      <c r="F421" s="49">
        <v>50</v>
      </c>
      <c r="G421" s="81">
        <v>133300</v>
      </c>
      <c r="H421" s="8">
        <f t="shared" si="14"/>
        <v>6665000</v>
      </c>
      <c r="I421" s="67" t="s">
        <v>978</v>
      </c>
      <c r="J421" s="67"/>
      <c r="K421" s="67"/>
      <c r="L421" s="49"/>
    </row>
    <row r="422" spans="1:12" ht="18.75" customHeight="1" x14ac:dyDescent="0.4">
      <c r="A422" s="482">
        <v>46093</v>
      </c>
      <c r="B422" s="5" t="s">
        <v>137</v>
      </c>
      <c r="C422" s="49" t="s">
        <v>233</v>
      </c>
      <c r="D422" s="59" t="s">
        <v>472</v>
      </c>
      <c r="E422" s="67"/>
      <c r="F422" s="49">
        <v>60</v>
      </c>
      <c r="G422" s="81">
        <v>133300</v>
      </c>
      <c r="H422" s="8">
        <f t="shared" si="14"/>
        <v>7998000</v>
      </c>
      <c r="I422" s="67" t="s">
        <v>1128</v>
      </c>
      <c r="J422" s="67"/>
      <c r="K422" s="67"/>
      <c r="L422" s="49"/>
    </row>
    <row r="423" spans="1:12" ht="18.75" customHeight="1" x14ac:dyDescent="0.4">
      <c r="A423" s="482">
        <v>46093</v>
      </c>
      <c r="B423" s="5" t="s">
        <v>137</v>
      </c>
      <c r="C423" s="49" t="s">
        <v>233</v>
      </c>
      <c r="D423" s="59" t="s">
        <v>472</v>
      </c>
      <c r="E423" s="67"/>
      <c r="F423" s="49">
        <v>10</v>
      </c>
      <c r="G423" s="81">
        <v>133300</v>
      </c>
      <c r="H423" s="8">
        <f t="shared" si="14"/>
        <v>1333000</v>
      </c>
      <c r="I423" s="67" t="s">
        <v>1129</v>
      </c>
      <c r="J423" s="67"/>
      <c r="K423" s="67"/>
      <c r="L423" s="49"/>
    </row>
    <row r="424" spans="1:12" ht="18.75" customHeight="1" x14ac:dyDescent="0.4">
      <c r="A424" s="482">
        <v>46093</v>
      </c>
      <c r="B424" s="5" t="s">
        <v>137</v>
      </c>
      <c r="C424" s="49" t="s">
        <v>332</v>
      </c>
      <c r="D424" s="59" t="s">
        <v>238</v>
      </c>
      <c r="E424" s="67"/>
      <c r="F424" s="49">
        <v>1</v>
      </c>
      <c r="G424" s="81">
        <v>137000</v>
      </c>
      <c r="H424" s="8">
        <f t="shared" si="14"/>
        <v>137000</v>
      </c>
      <c r="I424" s="67" t="s">
        <v>767</v>
      </c>
      <c r="J424" s="67"/>
      <c r="K424" s="67"/>
      <c r="L424" s="49"/>
    </row>
    <row r="425" spans="1:12" ht="18.75" customHeight="1" x14ac:dyDescent="0.4">
      <c r="A425" s="482">
        <v>46093</v>
      </c>
      <c r="B425" s="5" t="s">
        <v>137</v>
      </c>
      <c r="C425" s="49" t="s">
        <v>332</v>
      </c>
      <c r="D425" s="59" t="s">
        <v>420</v>
      </c>
      <c r="E425" s="67"/>
      <c r="F425" s="49">
        <v>59</v>
      </c>
      <c r="G425" s="49">
        <v>137000</v>
      </c>
      <c r="H425" s="7">
        <f t="shared" si="14"/>
        <v>8083000</v>
      </c>
      <c r="I425" s="67" t="s">
        <v>1130</v>
      </c>
      <c r="J425" s="67"/>
      <c r="K425" s="67"/>
      <c r="L425" s="49"/>
    </row>
    <row r="426" spans="1:12" ht="18.75" customHeight="1" x14ac:dyDescent="0.4">
      <c r="A426" s="482">
        <v>46093</v>
      </c>
      <c r="B426" s="5" t="s">
        <v>137</v>
      </c>
      <c r="C426" s="49" t="s">
        <v>241</v>
      </c>
      <c r="D426" s="59" t="s">
        <v>471</v>
      </c>
      <c r="E426" s="67"/>
      <c r="F426" s="49">
        <v>39</v>
      </c>
      <c r="G426" s="49">
        <v>256600</v>
      </c>
      <c r="H426" s="7">
        <f t="shared" si="14"/>
        <v>10007400</v>
      </c>
      <c r="I426" s="67" t="s">
        <v>979</v>
      </c>
      <c r="J426" s="67"/>
      <c r="K426" s="67"/>
      <c r="L426" s="49"/>
    </row>
    <row r="427" spans="1:12" ht="18.75" customHeight="1" x14ac:dyDescent="0.4">
      <c r="A427" s="482">
        <v>46093</v>
      </c>
      <c r="B427" s="5" t="s">
        <v>137</v>
      </c>
      <c r="C427" s="49" t="s">
        <v>241</v>
      </c>
      <c r="D427" s="59" t="s">
        <v>471</v>
      </c>
      <c r="E427" s="67"/>
      <c r="F427" s="49">
        <v>1</v>
      </c>
      <c r="G427" s="49">
        <v>256600</v>
      </c>
      <c r="H427" s="7">
        <f t="shared" si="14"/>
        <v>256600</v>
      </c>
      <c r="I427" s="67" t="s">
        <v>1131</v>
      </c>
      <c r="J427" s="67"/>
      <c r="K427" s="67"/>
      <c r="L427" s="49"/>
    </row>
    <row r="428" spans="1:12" ht="18.75" customHeight="1" x14ac:dyDescent="0.4">
      <c r="A428" s="482">
        <v>46107</v>
      </c>
      <c r="B428" s="5" t="s">
        <v>137</v>
      </c>
      <c r="C428" s="49" t="s">
        <v>241</v>
      </c>
      <c r="D428" s="59" t="s">
        <v>231</v>
      </c>
      <c r="E428" s="67"/>
      <c r="F428" s="49">
        <v>64</v>
      </c>
      <c r="G428" s="49">
        <v>195700</v>
      </c>
      <c r="H428" s="7">
        <f t="shared" si="14"/>
        <v>12524800</v>
      </c>
      <c r="I428" s="67" t="s">
        <v>1126</v>
      </c>
      <c r="J428" s="67"/>
      <c r="K428" s="67"/>
      <c r="L428" s="49"/>
    </row>
    <row r="429" spans="1:12" ht="18.75" customHeight="1" x14ac:dyDescent="0.4">
      <c r="A429" s="482">
        <v>46107</v>
      </c>
      <c r="B429" s="5" t="s">
        <v>137</v>
      </c>
      <c r="C429" s="49" t="s">
        <v>234</v>
      </c>
      <c r="D429" s="59" t="s">
        <v>235</v>
      </c>
      <c r="E429" s="67"/>
      <c r="F429" s="49">
        <v>179</v>
      </c>
      <c r="G429" s="49">
        <v>69400</v>
      </c>
      <c r="H429" s="7">
        <f t="shared" si="14"/>
        <v>12422600</v>
      </c>
      <c r="I429" s="67" t="s">
        <v>974</v>
      </c>
      <c r="J429" s="67"/>
      <c r="K429" s="67"/>
      <c r="L429" s="49"/>
    </row>
    <row r="430" spans="1:12" ht="18.75" customHeight="1" x14ac:dyDescent="0.4">
      <c r="A430" s="482">
        <v>46107</v>
      </c>
      <c r="B430" s="5" t="s">
        <v>137</v>
      </c>
      <c r="C430" s="49" t="s">
        <v>234</v>
      </c>
      <c r="D430" s="59" t="s">
        <v>333</v>
      </c>
      <c r="E430" s="67"/>
      <c r="F430" s="49">
        <v>100</v>
      </c>
      <c r="G430" s="49">
        <v>69400</v>
      </c>
      <c r="H430" s="7">
        <f t="shared" si="14"/>
        <v>6940000</v>
      </c>
      <c r="I430" s="67" t="s">
        <v>1132</v>
      </c>
      <c r="J430" s="67"/>
      <c r="K430" s="67"/>
      <c r="L430" s="49"/>
    </row>
    <row r="431" spans="1:12" ht="18.75" customHeight="1" x14ac:dyDescent="0.4">
      <c r="A431" s="482">
        <v>46107</v>
      </c>
      <c r="B431" s="5" t="s">
        <v>137</v>
      </c>
      <c r="C431" s="49" t="s">
        <v>234</v>
      </c>
      <c r="D431" s="59" t="s">
        <v>333</v>
      </c>
      <c r="E431" s="67"/>
      <c r="F431" s="49">
        <v>21</v>
      </c>
      <c r="G431" s="49">
        <v>69400</v>
      </c>
      <c r="H431" s="7">
        <f t="shared" si="14"/>
        <v>1457400</v>
      </c>
      <c r="I431" s="67" t="s">
        <v>1133</v>
      </c>
      <c r="J431" s="67"/>
      <c r="K431" s="67"/>
      <c r="L431" s="49"/>
    </row>
    <row r="432" spans="1:12" ht="18.75" customHeight="1" x14ac:dyDescent="0.4">
      <c r="A432" s="482">
        <v>46107</v>
      </c>
      <c r="B432" s="5" t="s">
        <v>137</v>
      </c>
      <c r="C432" s="49" t="s">
        <v>241</v>
      </c>
      <c r="D432" s="59" t="s">
        <v>240</v>
      </c>
      <c r="E432" s="67"/>
      <c r="F432" s="49">
        <v>49</v>
      </c>
      <c r="G432" s="49">
        <v>256600</v>
      </c>
      <c r="H432" s="7">
        <f t="shared" si="14"/>
        <v>12573400</v>
      </c>
      <c r="I432" s="67" t="s">
        <v>1131</v>
      </c>
      <c r="J432" s="67"/>
      <c r="K432" s="67"/>
      <c r="L432" s="49"/>
    </row>
    <row r="433" spans="1:13" ht="18.75" customHeight="1" x14ac:dyDescent="0.4">
      <c r="A433" s="482">
        <v>46107</v>
      </c>
      <c r="B433" s="5" t="s">
        <v>137</v>
      </c>
      <c r="C433" s="49" t="s">
        <v>241</v>
      </c>
      <c r="D433" s="59" t="s">
        <v>471</v>
      </c>
      <c r="E433" s="67"/>
      <c r="F433" s="49">
        <v>13</v>
      </c>
      <c r="G433" s="49">
        <v>256600</v>
      </c>
      <c r="H433" s="7">
        <f t="shared" si="14"/>
        <v>3335800</v>
      </c>
      <c r="I433" s="67" t="s">
        <v>1134</v>
      </c>
      <c r="J433" s="67"/>
      <c r="K433" s="67"/>
      <c r="L433" s="49"/>
    </row>
    <row r="434" spans="1:13" ht="18.75" customHeight="1" x14ac:dyDescent="0.4">
      <c r="A434" s="492"/>
      <c r="B434" s="123"/>
      <c r="C434" s="138"/>
      <c r="D434" s="97"/>
      <c r="E434" s="123"/>
      <c r="F434" s="138"/>
      <c r="G434" s="138"/>
      <c r="H434" s="138">
        <f>SUM(H417:H433)</f>
        <v>106157300</v>
      </c>
      <c r="I434" s="123"/>
      <c r="J434" s="123"/>
      <c r="K434" s="123"/>
      <c r="L434" s="138"/>
    </row>
    <row r="435" spans="1:13" s="261" customFormat="1" ht="19.5" customHeight="1" x14ac:dyDescent="0.4">
      <c r="A435" s="15">
        <v>45993</v>
      </c>
      <c r="B435" s="275" t="s">
        <v>140</v>
      </c>
      <c r="C435" s="259" t="s">
        <v>473</v>
      </c>
      <c r="D435" s="257" t="s">
        <v>246</v>
      </c>
      <c r="E435" s="257" t="s">
        <v>13</v>
      </c>
      <c r="F435" s="259">
        <v>5</v>
      </c>
      <c r="G435" s="259">
        <v>393500</v>
      </c>
      <c r="H435" s="259">
        <f t="shared" ref="H435:H446" si="15">F435*G435</f>
        <v>1967500</v>
      </c>
      <c r="I435" s="111" t="s">
        <v>1237</v>
      </c>
      <c r="J435" s="258"/>
      <c r="K435" s="258"/>
      <c r="L435" s="258"/>
    </row>
    <row r="436" spans="1:13" s="261" customFormat="1" ht="19.5" customHeight="1" x14ac:dyDescent="0.4">
      <c r="A436" s="15">
        <v>45993</v>
      </c>
      <c r="B436" s="275" t="s">
        <v>140</v>
      </c>
      <c r="C436" s="259" t="s">
        <v>554</v>
      </c>
      <c r="D436" s="257" t="s">
        <v>245</v>
      </c>
      <c r="E436" s="257" t="s">
        <v>13</v>
      </c>
      <c r="F436" s="259">
        <v>2</v>
      </c>
      <c r="G436" s="259">
        <v>630500</v>
      </c>
      <c r="H436" s="259">
        <f t="shared" si="15"/>
        <v>1261000</v>
      </c>
      <c r="I436" s="111" t="s">
        <v>1237</v>
      </c>
      <c r="J436" s="258"/>
      <c r="K436" s="258"/>
      <c r="L436" s="258"/>
    </row>
    <row r="437" spans="1:13" s="261" customFormat="1" ht="19.5" customHeight="1" x14ac:dyDescent="0.4">
      <c r="A437" s="15">
        <v>46001</v>
      </c>
      <c r="B437" s="275" t="s">
        <v>140</v>
      </c>
      <c r="C437" s="259" t="s">
        <v>554</v>
      </c>
      <c r="D437" s="257" t="s">
        <v>245</v>
      </c>
      <c r="E437" s="257" t="s">
        <v>13</v>
      </c>
      <c r="F437" s="259">
        <v>5</v>
      </c>
      <c r="G437" s="259">
        <v>630500</v>
      </c>
      <c r="H437" s="259">
        <f t="shared" si="15"/>
        <v>3152500</v>
      </c>
      <c r="I437" s="111" t="s">
        <v>1237</v>
      </c>
      <c r="J437" s="258"/>
      <c r="K437" s="258"/>
      <c r="L437" s="258"/>
    </row>
    <row r="438" spans="1:13" s="261" customFormat="1" ht="19.5" customHeight="1" x14ac:dyDescent="0.4">
      <c r="A438" s="15">
        <v>46017</v>
      </c>
      <c r="B438" s="275" t="s">
        <v>140</v>
      </c>
      <c r="C438" s="259" t="s">
        <v>554</v>
      </c>
      <c r="D438" s="257" t="s">
        <v>642</v>
      </c>
      <c r="E438" s="257" t="s">
        <v>13</v>
      </c>
      <c r="F438" s="259">
        <v>3</v>
      </c>
      <c r="G438" s="259">
        <v>630500</v>
      </c>
      <c r="H438" s="259">
        <f t="shared" si="15"/>
        <v>1891500</v>
      </c>
      <c r="I438" s="111" t="s">
        <v>1237</v>
      </c>
      <c r="J438" s="258"/>
      <c r="K438" s="258"/>
      <c r="L438" s="258"/>
    </row>
    <row r="439" spans="1:13" s="3" customFormat="1" ht="19.5" customHeight="1" x14ac:dyDescent="0.4">
      <c r="A439" s="190">
        <v>46052</v>
      </c>
      <c r="B439" s="110" t="s">
        <v>140</v>
      </c>
      <c r="C439" s="29" t="s">
        <v>554</v>
      </c>
      <c r="D439" s="110" t="s">
        <v>779</v>
      </c>
      <c r="E439" s="110" t="s">
        <v>13</v>
      </c>
      <c r="F439" s="81">
        <v>3</v>
      </c>
      <c r="G439" s="81">
        <v>630500</v>
      </c>
      <c r="H439" s="7">
        <f t="shared" si="15"/>
        <v>1891500</v>
      </c>
      <c r="I439" s="111" t="s">
        <v>1237</v>
      </c>
      <c r="J439" s="196"/>
      <c r="K439" s="196"/>
      <c r="L439" s="196"/>
      <c r="M439" s="89"/>
    </row>
    <row r="440" spans="1:13" ht="18.75" customHeight="1" x14ac:dyDescent="0.4">
      <c r="A440" s="4">
        <v>46063</v>
      </c>
      <c r="B440" s="5" t="s">
        <v>140</v>
      </c>
      <c r="C440" s="6" t="s">
        <v>554</v>
      </c>
      <c r="D440" s="1" t="s">
        <v>245</v>
      </c>
      <c r="E440" s="1" t="s">
        <v>13</v>
      </c>
      <c r="F440" s="36">
        <v>2</v>
      </c>
      <c r="G440" s="7">
        <v>630500</v>
      </c>
      <c r="H440" s="7">
        <f t="shared" si="15"/>
        <v>1261000</v>
      </c>
      <c r="I440" s="111" t="s">
        <v>1237</v>
      </c>
      <c r="J440" s="67"/>
      <c r="K440" s="67"/>
      <c r="L440" s="67"/>
    </row>
    <row r="441" spans="1:13" s="261" customFormat="1" ht="19.5" customHeight="1" x14ac:dyDescent="0.4">
      <c r="A441" s="15">
        <v>45993</v>
      </c>
      <c r="B441" s="275" t="s">
        <v>140</v>
      </c>
      <c r="C441" s="259" t="s">
        <v>641</v>
      </c>
      <c r="D441" s="257" t="s">
        <v>244</v>
      </c>
      <c r="E441" s="257" t="s">
        <v>13</v>
      </c>
      <c r="F441" s="259">
        <v>3</v>
      </c>
      <c r="G441" s="259">
        <v>973200</v>
      </c>
      <c r="H441" s="259">
        <f t="shared" si="15"/>
        <v>2919600</v>
      </c>
      <c r="I441" s="111" t="s">
        <v>1237</v>
      </c>
      <c r="J441" s="258"/>
      <c r="K441" s="258"/>
      <c r="L441" s="258"/>
    </row>
    <row r="442" spans="1:13" s="3" customFormat="1" ht="19.5" customHeight="1" x14ac:dyDescent="0.4">
      <c r="A442" s="190">
        <v>46038</v>
      </c>
      <c r="B442" s="110" t="s">
        <v>140</v>
      </c>
      <c r="C442" s="29" t="s">
        <v>553</v>
      </c>
      <c r="D442" s="110" t="s">
        <v>244</v>
      </c>
      <c r="E442" s="110" t="s">
        <v>13</v>
      </c>
      <c r="F442" s="81">
        <v>2</v>
      </c>
      <c r="G442" s="81">
        <v>973200</v>
      </c>
      <c r="H442" s="8">
        <f t="shared" si="15"/>
        <v>1946400</v>
      </c>
      <c r="I442" s="111" t="s">
        <v>1237</v>
      </c>
      <c r="J442" s="196"/>
      <c r="K442" s="196"/>
      <c r="L442" s="196"/>
      <c r="M442" s="89"/>
    </row>
    <row r="443" spans="1:13" s="3" customFormat="1" ht="19.5" customHeight="1" x14ac:dyDescent="0.4">
      <c r="A443" s="190">
        <v>46043</v>
      </c>
      <c r="B443" s="110" t="s">
        <v>140</v>
      </c>
      <c r="C443" s="29" t="s">
        <v>553</v>
      </c>
      <c r="D443" s="110" t="s">
        <v>244</v>
      </c>
      <c r="E443" s="110" t="s">
        <v>13</v>
      </c>
      <c r="F443" s="81">
        <v>2</v>
      </c>
      <c r="G443" s="49">
        <v>973200</v>
      </c>
      <c r="H443" s="7">
        <f t="shared" si="15"/>
        <v>1946400</v>
      </c>
      <c r="I443" s="111" t="s">
        <v>1237</v>
      </c>
      <c r="J443" s="196"/>
      <c r="K443" s="196"/>
      <c r="L443" s="196"/>
      <c r="M443" s="89"/>
    </row>
    <row r="444" spans="1:13" s="3" customFormat="1" ht="19.5" customHeight="1" x14ac:dyDescent="0.4">
      <c r="A444" s="190">
        <v>46045</v>
      </c>
      <c r="B444" s="110" t="s">
        <v>140</v>
      </c>
      <c r="C444" s="29" t="s">
        <v>553</v>
      </c>
      <c r="D444" s="110" t="s">
        <v>244</v>
      </c>
      <c r="E444" s="110" t="s">
        <v>13</v>
      </c>
      <c r="F444" s="81">
        <v>3</v>
      </c>
      <c r="G444" s="49">
        <v>973200</v>
      </c>
      <c r="H444" s="7">
        <f t="shared" si="15"/>
        <v>2919600</v>
      </c>
      <c r="I444" s="111" t="s">
        <v>1237</v>
      </c>
      <c r="J444" s="196"/>
      <c r="K444" s="196"/>
      <c r="L444" s="196"/>
      <c r="M444" s="89"/>
    </row>
    <row r="445" spans="1:13" ht="18.75" customHeight="1" x14ac:dyDescent="0.4">
      <c r="A445" s="4">
        <v>46076</v>
      </c>
      <c r="B445" s="110" t="s">
        <v>140</v>
      </c>
      <c r="C445" s="29" t="s">
        <v>540</v>
      </c>
      <c r="D445" s="110" t="s">
        <v>541</v>
      </c>
      <c r="E445" s="110" t="s">
        <v>343</v>
      </c>
      <c r="F445" s="81">
        <v>6</v>
      </c>
      <c r="G445" s="49">
        <v>102000</v>
      </c>
      <c r="H445" s="7">
        <f t="shared" si="15"/>
        <v>612000</v>
      </c>
      <c r="I445" s="111" t="s">
        <v>1237</v>
      </c>
      <c r="J445" s="67"/>
      <c r="K445" s="67"/>
      <c r="L445" s="67"/>
    </row>
    <row r="446" spans="1:13" ht="18.600000000000001" customHeight="1" x14ac:dyDescent="0.4">
      <c r="A446" s="4">
        <v>46057</v>
      </c>
      <c r="B446" s="110" t="s">
        <v>140</v>
      </c>
      <c r="C446" s="29" t="s">
        <v>773</v>
      </c>
      <c r="D446" s="110" t="s">
        <v>774</v>
      </c>
      <c r="E446" s="110" t="s">
        <v>775</v>
      </c>
      <c r="F446" s="81">
        <v>6</v>
      </c>
      <c r="G446" s="49">
        <v>69700</v>
      </c>
      <c r="H446" s="7">
        <f t="shared" si="15"/>
        <v>418200</v>
      </c>
      <c r="I446" s="111" t="s">
        <v>1237</v>
      </c>
      <c r="J446" s="67"/>
      <c r="K446" s="67"/>
      <c r="L446" s="67"/>
    </row>
    <row r="447" spans="1:13" s="113" customFormat="1" ht="20.25" customHeight="1" x14ac:dyDescent="0.4">
      <c r="A447" s="15"/>
      <c r="B447" s="7" t="s">
        <v>140</v>
      </c>
      <c r="C447" s="29" t="s">
        <v>596</v>
      </c>
      <c r="D447" s="110" t="s">
        <v>597</v>
      </c>
      <c r="E447" s="110" t="s">
        <v>13</v>
      </c>
      <c r="F447" s="81">
        <v>2</v>
      </c>
      <c r="G447" s="81">
        <v>423620</v>
      </c>
      <c r="H447" s="49">
        <f t="shared" ref="H447:H453" si="16">F447*G447</f>
        <v>847240</v>
      </c>
      <c r="I447" s="111" t="s">
        <v>1237</v>
      </c>
      <c r="J447" s="111"/>
      <c r="K447" s="111"/>
      <c r="L447" s="25"/>
    </row>
    <row r="448" spans="1:13" ht="18.75" customHeight="1" x14ac:dyDescent="0.4">
      <c r="A448" s="485">
        <v>46090</v>
      </c>
      <c r="B448" s="5" t="s">
        <v>140</v>
      </c>
      <c r="C448" s="6" t="s">
        <v>1135</v>
      </c>
      <c r="D448" s="1" t="s">
        <v>1136</v>
      </c>
      <c r="E448" s="1" t="s">
        <v>13</v>
      </c>
      <c r="F448" s="36">
        <v>2</v>
      </c>
      <c r="G448" s="7">
        <v>193500</v>
      </c>
      <c r="H448" s="7">
        <f t="shared" si="16"/>
        <v>387000</v>
      </c>
      <c r="I448" s="111" t="s">
        <v>1237</v>
      </c>
      <c r="J448" s="67"/>
      <c r="K448" s="67"/>
      <c r="L448" s="67" t="s">
        <v>1068</v>
      </c>
    </row>
    <row r="449" spans="1:13" s="261" customFormat="1" ht="19.2" customHeight="1" x14ac:dyDescent="0.4">
      <c r="A449" s="15">
        <v>46003</v>
      </c>
      <c r="B449" s="275" t="s">
        <v>140</v>
      </c>
      <c r="C449" s="259" t="s">
        <v>476</v>
      </c>
      <c r="D449" s="257" t="s">
        <v>477</v>
      </c>
      <c r="E449" s="257" t="s">
        <v>11</v>
      </c>
      <c r="F449" s="259">
        <v>2</v>
      </c>
      <c r="G449" s="259">
        <v>271000</v>
      </c>
      <c r="H449" s="259">
        <f t="shared" si="16"/>
        <v>542000</v>
      </c>
      <c r="I449" s="111" t="s">
        <v>1237</v>
      </c>
      <c r="J449" s="258"/>
      <c r="K449" s="258"/>
      <c r="L449" s="258"/>
    </row>
    <row r="450" spans="1:13" s="261" customFormat="1" ht="19.5" customHeight="1" x14ac:dyDescent="0.4">
      <c r="A450" s="15">
        <v>45993</v>
      </c>
      <c r="B450" s="275" t="s">
        <v>140</v>
      </c>
      <c r="C450" s="259" t="s">
        <v>1239</v>
      </c>
      <c r="D450" s="257" t="s">
        <v>475</v>
      </c>
      <c r="E450" s="257" t="s">
        <v>11</v>
      </c>
      <c r="F450" s="259">
        <v>2</v>
      </c>
      <c r="G450" s="259">
        <v>652000</v>
      </c>
      <c r="H450" s="259">
        <f t="shared" si="16"/>
        <v>1304000</v>
      </c>
      <c r="I450" s="111" t="s">
        <v>1237</v>
      </c>
      <c r="J450" s="258"/>
      <c r="K450" s="258"/>
      <c r="L450" s="258"/>
    </row>
    <row r="451" spans="1:13" ht="18.75" customHeight="1" x14ac:dyDescent="0.4">
      <c r="A451" s="4">
        <v>46057</v>
      </c>
      <c r="B451" s="110" t="s">
        <v>140</v>
      </c>
      <c r="C451" s="29" t="s">
        <v>773</v>
      </c>
      <c r="D451" s="110" t="s">
        <v>774</v>
      </c>
      <c r="E451" s="110" t="s">
        <v>775</v>
      </c>
      <c r="F451" s="81">
        <v>2</v>
      </c>
      <c r="G451" s="49">
        <v>69500</v>
      </c>
      <c r="H451" s="7">
        <f t="shared" si="16"/>
        <v>139000</v>
      </c>
      <c r="I451" s="111" t="s">
        <v>1237</v>
      </c>
      <c r="J451" s="67"/>
      <c r="K451" s="67"/>
      <c r="L451" s="67"/>
    </row>
    <row r="452" spans="1:13" s="113" customFormat="1" ht="20.25" customHeight="1" x14ac:dyDescent="0.4">
      <c r="A452" s="15"/>
      <c r="B452" s="7" t="s">
        <v>140</v>
      </c>
      <c r="C452" s="29" t="s">
        <v>555</v>
      </c>
      <c r="D452" s="110" t="s">
        <v>248</v>
      </c>
      <c r="E452" s="110" t="s">
        <v>13</v>
      </c>
      <c r="F452" s="81">
        <v>3</v>
      </c>
      <c r="G452" s="81">
        <v>227500</v>
      </c>
      <c r="H452" s="49">
        <f t="shared" si="16"/>
        <v>682500</v>
      </c>
      <c r="I452" s="111" t="s">
        <v>1224</v>
      </c>
      <c r="J452" s="111"/>
      <c r="K452" s="111"/>
      <c r="L452" s="25"/>
    </row>
    <row r="453" spans="1:13" s="113" customFormat="1" ht="20.25" customHeight="1" x14ac:dyDescent="0.4">
      <c r="A453" s="15"/>
      <c r="B453" s="7" t="s">
        <v>140</v>
      </c>
      <c r="C453" s="29" t="s">
        <v>595</v>
      </c>
      <c r="D453" s="110" t="s">
        <v>247</v>
      </c>
      <c r="E453" s="110" t="s">
        <v>13</v>
      </c>
      <c r="F453" s="81">
        <v>3</v>
      </c>
      <c r="G453" s="81">
        <v>56100</v>
      </c>
      <c r="H453" s="49">
        <f t="shared" si="16"/>
        <v>168300</v>
      </c>
      <c r="I453" s="111" t="s">
        <v>1224</v>
      </c>
      <c r="J453" s="111" t="s">
        <v>598</v>
      </c>
      <c r="K453" s="111"/>
      <c r="L453" s="25"/>
    </row>
    <row r="454" spans="1:13" s="113" customFormat="1" ht="20.25" customHeight="1" x14ac:dyDescent="0.4">
      <c r="A454" s="15"/>
      <c r="B454" s="7" t="s">
        <v>140</v>
      </c>
      <c r="C454" s="29" t="s">
        <v>474</v>
      </c>
      <c r="D454" s="110" t="s">
        <v>475</v>
      </c>
      <c r="E454" s="110" t="s">
        <v>11</v>
      </c>
      <c r="F454" s="81">
        <v>10</v>
      </c>
      <c r="G454" s="81">
        <v>652000</v>
      </c>
      <c r="H454" s="49">
        <f t="shared" ref="H454:H491" si="17">F454*G454</f>
        <v>6520000</v>
      </c>
      <c r="I454" s="111" t="s">
        <v>1224</v>
      </c>
      <c r="J454" s="111"/>
      <c r="K454" s="111"/>
      <c r="L454" s="25"/>
    </row>
    <row r="455" spans="1:13" s="113" customFormat="1" ht="20.25" customHeight="1" x14ac:dyDescent="0.4">
      <c r="A455" s="15"/>
      <c r="B455" s="7" t="s">
        <v>140</v>
      </c>
      <c r="C455" s="29" t="s">
        <v>540</v>
      </c>
      <c r="D455" s="110" t="s">
        <v>541</v>
      </c>
      <c r="E455" s="110" t="s">
        <v>13</v>
      </c>
      <c r="F455" s="81">
        <v>6</v>
      </c>
      <c r="G455" s="81">
        <v>102000</v>
      </c>
      <c r="H455" s="49">
        <f>F455*G455</f>
        <v>612000</v>
      </c>
      <c r="I455" s="111" t="s">
        <v>1224</v>
      </c>
      <c r="J455" s="111"/>
      <c r="K455" s="111"/>
      <c r="L455" s="25"/>
    </row>
    <row r="456" spans="1:13" s="113" customFormat="1" ht="20.25" customHeight="1" x14ac:dyDescent="0.4">
      <c r="A456" s="15"/>
      <c r="B456" s="7" t="s">
        <v>140</v>
      </c>
      <c r="C456" s="29" t="s">
        <v>540</v>
      </c>
      <c r="D456" s="110" t="s">
        <v>541</v>
      </c>
      <c r="E456" s="110" t="s">
        <v>13</v>
      </c>
      <c r="F456" s="81">
        <v>7</v>
      </c>
      <c r="G456" s="81">
        <v>102000</v>
      </c>
      <c r="H456" s="49">
        <f t="shared" si="17"/>
        <v>714000</v>
      </c>
      <c r="I456" s="111" t="s">
        <v>1224</v>
      </c>
      <c r="J456" s="111"/>
      <c r="K456" s="111"/>
      <c r="L456" s="25"/>
    </row>
    <row r="457" spans="1:13" s="261" customFormat="1" ht="19.5" customHeight="1" x14ac:dyDescent="0.4">
      <c r="A457" s="15">
        <v>45993</v>
      </c>
      <c r="B457" s="275" t="s">
        <v>140</v>
      </c>
      <c r="C457" s="259" t="s">
        <v>473</v>
      </c>
      <c r="D457" s="257" t="s">
        <v>246</v>
      </c>
      <c r="E457" s="257" t="s">
        <v>13</v>
      </c>
      <c r="F457" s="259">
        <v>2</v>
      </c>
      <c r="G457" s="259">
        <v>393500</v>
      </c>
      <c r="H457" s="259">
        <f t="shared" si="17"/>
        <v>787000</v>
      </c>
      <c r="I457" s="111" t="s">
        <v>1224</v>
      </c>
      <c r="J457" s="258"/>
      <c r="K457" s="258"/>
      <c r="L457" s="258"/>
    </row>
    <row r="458" spans="1:13" s="261" customFormat="1" ht="19.5" customHeight="1" x14ac:dyDescent="0.4">
      <c r="A458" s="15">
        <v>45993</v>
      </c>
      <c r="B458" s="275" t="s">
        <v>140</v>
      </c>
      <c r="C458" s="259" t="s">
        <v>553</v>
      </c>
      <c r="D458" s="257" t="s">
        <v>244</v>
      </c>
      <c r="E458" s="257" t="s">
        <v>13</v>
      </c>
      <c r="F458" s="259">
        <v>3</v>
      </c>
      <c r="G458" s="259">
        <v>973200</v>
      </c>
      <c r="H458" s="259">
        <f>F458*G458</f>
        <v>2919600</v>
      </c>
      <c r="I458" s="111" t="s">
        <v>1224</v>
      </c>
      <c r="J458" s="258"/>
      <c r="K458" s="258"/>
      <c r="L458" s="258"/>
    </row>
    <row r="459" spans="1:13" s="261" customFormat="1" ht="19.5" customHeight="1" x14ac:dyDescent="0.4">
      <c r="A459" s="15">
        <v>45993</v>
      </c>
      <c r="B459" s="275" t="s">
        <v>140</v>
      </c>
      <c r="C459" s="259" t="s">
        <v>1239</v>
      </c>
      <c r="D459" s="257" t="s">
        <v>475</v>
      </c>
      <c r="E459" s="257" t="s">
        <v>11</v>
      </c>
      <c r="F459" s="259">
        <v>10</v>
      </c>
      <c r="G459" s="259">
        <v>652000</v>
      </c>
      <c r="H459" s="259">
        <f t="shared" si="17"/>
        <v>6520000</v>
      </c>
      <c r="I459" s="111" t="s">
        <v>1224</v>
      </c>
      <c r="J459" s="258"/>
      <c r="K459" s="258"/>
      <c r="L459" s="258"/>
    </row>
    <row r="460" spans="1:13" s="261" customFormat="1" ht="19.5" customHeight="1" x14ac:dyDescent="0.4">
      <c r="A460" s="15">
        <v>46009</v>
      </c>
      <c r="B460" s="275" t="s">
        <v>140</v>
      </c>
      <c r="C460" s="259" t="s">
        <v>580</v>
      </c>
      <c r="D460" s="257" t="s">
        <v>581</v>
      </c>
      <c r="E460" s="257" t="s">
        <v>13</v>
      </c>
      <c r="F460" s="259">
        <v>8</v>
      </c>
      <c r="G460" s="259">
        <v>984000</v>
      </c>
      <c r="H460" s="256">
        <f t="shared" si="17"/>
        <v>7872000</v>
      </c>
      <c r="I460" s="111" t="s">
        <v>1224</v>
      </c>
      <c r="J460" s="258"/>
      <c r="K460" s="258"/>
      <c r="L460" s="258"/>
    </row>
    <row r="461" spans="1:13" s="3" customFormat="1" ht="19.5" customHeight="1" x14ac:dyDescent="0.4">
      <c r="A461" s="190">
        <v>46030</v>
      </c>
      <c r="B461" s="110" t="s">
        <v>140</v>
      </c>
      <c r="C461" s="29" t="s">
        <v>553</v>
      </c>
      <c r="D461" s="110" t="s">
        <v>244</v>
      </c>
      <c r="E461" s="110" t="s">
        <v>13</v>
      </c>
      <c r="F461" s="81">
        <v>2</v>
      </c>
      <c r="G461" s="49">
        <v>973200</v>
      </c>
      <c r="H461" s="7">
        <f>F461*G461</f>
        <v>1946400</v>
      </c>
      <c r="I461" s="111" t="s">
        <v>1224</v>
      </c>
      <c r="J461" s="144"/>
      <c r="K461" s="144"/>
      <c r="L461" s="144"/>
      <c r="M461" s="89"/>
    </row>
    <row r="462" spans="1:13" s="3" customFormat="1" ht="19.5" customHeight="1" x14ac:dyDescent="0.4">
      <c r="A462" s="190">
        <v>46030</v>
      </c>
      <c r="B462" s="110" t="s">
        <v>140</v>
      </c>
      <c r="C462" s="29" t="s">
        <v>643</v>
      </c>
      <c r="D462" s="110" t="s">
        <v>644</v>
      </c>
      <c r="E462" s="110" t="s">
        <v>13</v>
      </c>
      <c r="F462" s="81">
        <v>1</v>
      </c>
      <c r="G462" s="49">
        <v>202000</v>
      </c>
      <c r="H462" s="7">
        <f t="shared" si="17"/>
        <v>202000</v>
      </c>
      <c r="I462" s="111" t="s">
        <v>1224</v>
      </c>
      <c r="J462" s="144"/>
      <c r="K462" s="144"/>
      <c r="L462" s="144"/>
      <c r="M462" s="89"/>
    </row>
    <row r="463" spans="1:13" s="3" customFormat="1" ht="19.5" customHeight="1" x14ac:dyDescent="0.4">
      <c r="A463" s="190">
        <v>46038</v>
      </c>
      <c r="B463" s="110" t="s">
        <v>140</v>
      </c>
      <c r="C463" s="29" t="s">
        <v>580</v>
      </c>
      <c r="D463" s="110" t="s">
        <v>581</v>
      </c>
      <c r="E463" s="110" t="s">
        <v>13</v>
      </c>
      <c r="F463" s="81">
        <v>2</v>
      </c>
      <c r="G463" s="81">
        <v>984000</v>
      </c>
      <c r="H463" s="8">
        <f t="shared" si="17"/>
        <v>1968000</v>
      </c>
      <c r="I463" s="111" t="s">
        <v>1224</v>
      </c>
      <c r="J463" s="196"/>
      <c r="K463" s="196"/>
      <c r="L463" s="196"/>
      <c r="M463" s="89"/>
    </row>
    <row r="464" spans="1:13" s="3" customFormat="1" ht="19.5" customHeight="1" x14ac:dyDescent="0.4">
      <c r="A464" s="190">
        <v>46045</v>
      </c>
      <c r="B464" s="110" t="s">
        <v>140</v>
      </c>
      <c r="C464" s="395" t="s">
        <v>473</v>
      </c>
      <c r="D464" s="46" t="s">
        <v>246</v>
      </c>
      <c r="E464" s="46" t="s">
        <v>13</v>
      </c>
      <c r="F464" s="81">
        <v>2</v>
      </c>
      <c r="G464" s="81">
        <v>393500</v>
      </c>
      <c r="H464" s="7">
        <f t="shared" si="17"/>
        <v>787000</v>
      </c>
      <c r="I464" s="111" t="s">
        <v>1224</v>
      </c>
      <c r="J464" s="196"/>
      <c r="K464" s="196"/>
      <c r="L464" s="196"/>
      <c r="M464" s="89"/>
    </row>
    <row r="465" spans="1:13" s="3" customFormat="1" ht="19.5" customHeight="1" x14ac:dyDescent="0.4">
      <c r="A465" s="190">
        <v>46052</v>
      </c>
      <c r="B465" s="110" t="s">
        <v>140</v>
      </c>
      <c r="C465" s="29" t="s">
        <v>552</v>
      </c>
      <c r="D465" s="110" t="s">
        <v>776</v>
      </c>
      <c r="E465" s="110" t="s">
        <v>13</v>
      </c>
      <c r="F465" s="81">
        <v>1</v>
      </c>
      <c r="G465" s="49">
        <v>202000</v>
      </c>
      <c r="H465" s="7">
        <f t="shared" si="17"/>
        <v>202000</v>
      </c>
      <c r="I465" s="111" t="s">
        <v>1224</v>
      </c>
      <c r="J465" s="196"/>
      <c r="K465" s="196"/>
      <c r="L465" s="196"/>
      <c r="M465" s="89"/>
    </row>
    <row r="466" spans="1:13" s="3" customFormat="1" ht="19.5" customHeight="1" x14ac:dyDescent="0.4">
      <c r="A466" s="190">
        <v>46052</v>
      </c>
      <c r="B466" s="110" t="s">
        <v>140</v>
      </c>
      <c r="C466" s="29" t="s">
        <v>473</v>
      </c>
      <c r="D466" s="110" t="s">
        <v>777</v>
      </c>
      <c r="E466" s="110" t="s">
        <v>13</v>
      </c>
      <c r="F466" s="81">
        <v>6</v>
      </c>
      <c r="G466" s="49">
        <v>393500</v>
      </c>
      <c r="H466" s="7">
        <f t="shared" si="17"/>
        <v>2361000</v>
      </c>
      <c r="I466" s="111" t="s">
        <v>1224</v>
      </c>
      <c r="J466" s="196"/>
      <c r="K466" s="196"/>
      <c r="L466" s="196"/>
      <c r="M466" s="89"/>
    </row>
    <row r="467" spans="1:13" s="3" customFormat="1" ht="19.5" customHeight="1" x14ac:dyDescent="0.4">
      <c r="A467" s="190">
        <v>46052</v>
      </c>
      <c r="B467" s="110" t="s">
        <v>140</v>
      </c>
      <c r="C467" s="29" t="s">
        <v>553</v>
      </c>
      <c r="D467" s="110" t="s">
        <v>778</v>
      </c>
      <c r="E467" s="110" t="s">
        <v>13</v>
      </c>
      <c r="F467" s="81">
        <v>9</v>
      </c>
      <c r="G467" s="81">
        <v>973200</v>
      </c>
      <c r="H467" s="7">
        <f t="shared" si="17"/>
        <v>8758800</v>
      </c>
      <c r="I467" s="111" t="s">
        <v>1224</v>
      </c>
      <c r="J467" s="196"/>
      <c r="K467" s="196"/>
      <c r="L467" s="196"/>
      <c r="M467" s="89"/>
    </row>
    <row r="468" spans="1:13" ht="18.75" customHeight="1" x14ac:dyDescent="0.4">
      <c r="A468" s="4">
        <v>46057</v>
      </c>
      <c r="B468" s="110" t="s">
        <v>140</v>
      </c>
      <c r="C468" s="29" t="s">
        <v>580</v>
      </c>
      <c r="D468" s="110" t="s">
        <v>780</v>
      </c>
      <c r="E468" s="110" t="s">
        <v>13</v>
      </c>
      <c r="F468" s="81">
        <v>2</v>
      </c>
      <c r="G468" s="81">
        <v>984000</v>
      </c>
      <c r="H468" s="7">
        <f t="shared" si="17"/>
        <v>1968000</v>
      </c>
      <c r="I468" s="111" t="s">
        <v>1224</v>
      </c>
      <c r="J468" s="67"/>
      <c r="K468" s="67"/>
      <c r="L468" s="67"/>
    </row>
    <row r="469" spans="1:13" ht="18.600000000000001" customHeight="1" x14ac:dyDescent="0.4">
      <c r="A469" s="4">
        <v>46057</v>
      </c>
      <c r="B469" s="110" t="s">
        <v>140</v>
      </c>
      <c r="C469" s="29" t="s">
        <v>552</v>
      </c>
      <c r="D469" s="110" t="s">
        <v>776</v>
      </c>
      <c r="E469" s="110" t="s">
        <v>13</v>
      </c>
      <c r="F469" s="81">
        <v>11</v>
      </c>
      <c r="G469" s="49">
        <v>202000</v>
      </c>
      <c r="H469" s="7">
        <f t="shared" si="17"/>
        <v>2222000</v>
      </c>
      <c r="I469" s="111" t="s">
        <v>1224</v>
      </c>
      <c r="J469" s="67"/>
      <c r="K469" s="67"/>
      <c r="L469" s="67"/>
    </row>
    <row r="470" spans="1:13" ht="18.75" customHeight="1" x14ac:dyDescent="0.4">
      <c r="A470" s="4">
        <v>46057</v>
      </c>
      <c r="B470" s="110" t="s">
        <v>140</v>
      </c>
      <c r="C470" s="29" t="s">
        <v>773</v>
      </c>
      <c r="D470" s="110" t="s">
        <v>774</v>
      </c>
      <c r="E470" s="110" t="s">
        <v>775</v>
      </c>
      <c r="F470" s="81">
        <v>2</v>
      </c>
      <c r="G470" s="49">
        <v>69700</v>
      </c>
      <c r="H470" s="7">
        <f t="shared" si="17"/>
        <v>139400</v>
      </c>
      <c r="I470" s="111" t="s">
        <v>1224</v>
      </c>
      <c r="J470" s="67"/>
      <c r="K470" s="67"/>
      <c r="L470" s="67"/>
    </row>
    <row r="471" spans="1:13" ht="18.75" customHeight="1" x14ac:dyDescent="0.4">
      <c r="A471" s="4">
        <v>46058</v>
      </c>
      <c r="B471" s="110" t="s">
        <v>140</v>
      </c>
      <c r="C471" s="29" t="s">
        <v>580</v>
      </c>
      <c r="D471" s="110" t="s">
        <v>780</v>
      </c>
      <c r="E471" s="110" t="s">
        <v>13</v>
      </c>
      <c r="F471" s="81">
        <v>4</v>
      </c>
      <c r="G471" s="81">
        <v>984000</v>
      </c>
      <c r="H471" s="7">
        <f t="shared" si="17"/>
        <v>3936000</v>
      </c>
      <c r="I471" s="111" t="s">
        <v>1224</v>
      </c>
      <c r="J471" s="67"/>
      <c r="K471" s="67"/>
      <c r="L471" s="67"/>
    </row>
    <row r="472" spans="1:13" ht="18.75" customHeight="1" x14ac:dyDescent="0.4">
      <c r="A472" s="4">
        <v>46058</v>
      </c>
      <c r="B472" s="110" t="s">
        <v>140</v>
      </c>
      <c r="C472" s="29" t="s">
        <v>473</v>
      </c>
      <c r="D472" s="110" t="s">
        <v>777</v>
      </c>
      <c r="E472" s="110" t="s">
        <v>13</v>
      </c>
      <c r="F472" s="81">
        <v>1</v>
      </c>
      <c r="G472" s="49">
        <v>393500</v>
      </c>
      <c r="H472" s="7">
        <f t="shared" si="17"/>
        <v>393500</v>
      </c>
      <c r="I472" s="111" t="s">
        <v>1224</v>
      </c>
      <c r="J472" s="67"/>
      <c r="K472" s="67"/>
      <c r="L472" s="67"/>
    </row>
    <row r="473" spans="1:13" ht="18.75" customHeight="1" x14ac:dyDescent="0.4">
      <c r="A473" s="4">
        <v>46060</v>
      </c>
      <c r="B473" s="110" t="s">
        <v>140</v>
      </c>
      <c r="C473" s="29" t="s">
        <v>771</v>
      </c>
      <c r="D473" s="110" t="s">
        <v>772</v>
      </c>
      <c r="E473" s="110" t="s">
        <v>13</v>
      </c>
      <c r="F473" s="81">
        <v>2</v>
      </c>
      <c r="G473" s="49">
        <v>633000</v>
      </c>
      <c r="H473" s="7">
        <f t="shared" si="17"/>
        <v>1266000</v>
      </c>
      <c r="I473" s="111" t="s">
        <v>1224</v>
      </c>
      <c r="J473" s="67"/>
      <c r="K473" s="67"/>
      <c r="L473" s="67"/>
    </row>
    <row r="474" spans="1:13" ht="18.75" customHeight="1" x14ac:dyDescent="0.4">
      <c r="A474" s="4">
        <v>46063</v>
      </c>
      <c r="B474" s="5" t="s">
        <v>140</v>
      </c>
      <c r="C474" s="6" t="s">
        <v>553</v>
      </c>
      <c r="D474" s="1" t="s">
        <v>244</v>
      </c>
      <c r="E474" s="1" t="s">
        <v>13</v>
      </c>
      <c r="F474" s="36">
        <v>4</v>
      </c>
      <c r="G474" s="7">
        <v>973200</v>
      </c>
      <c r="H474" s="7">
        <f t="shared" si="17"/>
        <v>3892800</v>
      </c>
      <c r="I474" s="111" t="s">
        <v>1224</v>
      </c>
      <c r="J474" s="67"/>
      <c r="K474" s="67"/>
      <c r="L474" s="67"/>
    </row>
    <row r="475" spans="1:13" ht="18.75" customHeight="1" x14ac:dyDescent="0.4">
      <c r="A475" s="4">
        <v>46064</v>
      </c>
      <c r="B475" s="5" t="s">
        <v>140</v>
      </c>
      <c r="C475" s="6" t="s">
        <v>553</v>
      </c>
      <c r="D475" s="1" t="s">
        <v>244</v>
      </c>
      <c r="E475" s="1" t="s">
        <v>13</v>
      </c>
      <c r="F475" s="36">
        <v>3</v>
      </c>
      <c r="G475" s="7">
        <v>973200</v>
      </c>
      <c r="H475" s="7">
        <f t="shared" si="17"/>
        <v>2919600</v>
      </c>
      <c r="I475" s="111" t="s">
        <v>1224</v>
      </c>
      <c r="J475" s="67"/>
      <c r="K475" s="67"/>
      <c r="L475" s="67"/>
    </row>
    <row r="476" spans="1:13" ht="18.75" customHeight="1" x14ac:dyDescent="0.4">
      <c r="A476" s="4">
        <v>46064</v>
      </c>
      <c r="B476" s="110" t="s">
        <v>140</v>
      </c>
      <c r="C476" s="29" t="s">
        <v>580</v>
      </c>
      <c r="D476" s="110" t="s">
        <v>780</v>
      </c>
      <c r="E476" s="110" t="s">
        <v>13</v>
      </c>
      <c r="F476" s="81">
        <v>2</v>
      </c>
      <c r="G476" s="81">
        <v>984000</v>
      </c>
      <c r="H476" s="7">
        <f t="shared" si="17"/>
        <v>1968000</v>
      </c>
      <c r="I476" s="111" t="s">
        <v>1224</v>
      </c>
      <c r="J476" s="67"/>
      <c r="K476" s="67"/>
      <c r="L476" s="67"/>
    </row>
    <row r="477" spans="1:13" ht="18.75" customHeight="1" x14ac:dyDescent="0.4">
      <c r="A477" s="4">
        <v>46065</v>
      </c>
      <c r="B477" s="5" t="s">
        <v>140</v>
      </c>
      <c r="C477" s="6" t="s">
        <v>554</v>
      </c>
      <c r="D477" s="1" t="s">
        <v>245</v>
      </c>
      <c r="E477" s="1" t="s">
        <v>13</v>
      </c>
      <c r="F477" s="36">
        <v>6</v>
      </c>
      <c r="G477" s="7">
        <v>630500</v>
      </c>
      <c r="H477" s="7">
        <f t="shared" si="17"/>
        <v>3783000</v>
      </c>
      <c r="I477" s="111" t="s">
        <v>1224</v>
      </c>
      <c r="J477" s="67"/>
      <c r="K477" s="67"/>
      <c r="L477" s="67"/>
    </row>
    <row r="478" spans="1:13" ht="18.75" customHeight="1" x14ac:dyDescent="0.4">
      <c r="A478" s="4">
        <v>46065</v>
      </c>
      <c r="B478" s="110" t="s">
        <v>140</v>
      </c>
      <c r="C478" s="29" t="s">
        <v>771</v>
      </c>
      <c r="D478" s="110" t="s">
        <v>772</v>
      </c>
      <c r="E478" s="110" t="s">
        <v>13</v>
      </c>
      <c r="F478" s="81">
        <v>1</v>
      </c>
      <c r="G478" s="49">
        <v>633000</v>
      </c>
      <c r="H478" s="7">
        <f t="shared" si="17"/>
        <v>633000</v>
      </c>
      <c r="I478" s="111" t="s">
        <v>1224</v>
      </c>
      <c r="J478" s="67"/>
      <c r="K478" s="67"/>
      <c r="L478" s="67"/>
    </row>
    <row r="479" spans="1:13" ht="18.75" customHeight="1" x14ac:dyDescent="0.4">
      <c r="A479" s="4">
        <v>46073</v>
      </c>
      <c r="B479" s="110" t="s">
        <v>140</v>
      </c>
      <c r="C479" s="6" t="s">
        <v>553</v>
      </c>
      <c r="D479" s="1" t="s">
        <v>244</v>
      </c>
      <c r="E479" s="1" t="s">
        <v>13</v>
      </c>
      <c r="F479" s="36">
        <v>2</v>
      </c>
      <c r="G479" s="7">
        <v>973200</v>
      </c>
      <c r="H479" s="7">
        <f t="shared" si="17"/>
        <v>1946400</v>
      </c>
      <c r="I479" s="111" t="s">
        <v>1224</v>
      </c>
      <c r="J479" s="67"/>
      <c r="K479" s="67"/>
      <c r="L479" s="67"/>
    </row>
    <row r="480" spans="1:13" ht="18.75" customHeight="1" x14ac:dyDescent="0.4">
      <c r="A480" s="4">
        <v>46073</v>
      </c>
      <c r="B480" s="110" t="s">
        <v>140</v>
      </c>
      <c r="C480" s="6" t="s">
        <v>554</v>
      </c>
      <c r="D480" s="1" t="s">
        <v>245</v>
      </c>
      <c r="E480" s="1" t="s">
        <v>13</v>
      </c>
      <c r="F480" s="36">
        <v>4</v>
      </c>
      <c r="G480" s="7">
        <v>630500</v>
      </c>
      <c r="H480" s="7">
        <f t="shared" si="17"/>
        <v>2522000</v>
      </c>
      <c r="I480" s="111" t="s">
        <v>1224</v>
      </c>
      <c r="J480" s="67"/>
      <c r="K480" s="67"/>
      <c r="L480" s="67"/>
    </row>
    <row r="481" spans="1:12" ht="18.75" customHeight="1" x14ac:dyDescent="0.4">
      <c r="A481" s="4">
        <v>46073</v>
      </c>
      <c r="B481" s="110" t="s">
        <v>140</v>
      </c>
      <c r="C481" s="29" t="s">
        <v>771</v>
      </c>
      <c r="D481" s="110" t="s">
        <v>772</v>
      </c>
      <c r="E481" s="110" t="s">
        <v>13</v>
      </c>
      <c r="F481" s="81">
        <v>3</v>
      </c>
      <c r="G481" s="49">
        <v>633000</v>
      </c>
      <c r="H481" s="7">
        <f t="shared" si="17"/>
        <v>1899000</v>
      </c>
      <c r="I481" s="111" t="s">
        <v>1224</v>
      </c>
      <c r="J481" s="67"/>
      <c r="K481" s="67"/>
      <c r="L481" s="67"/>
    </row>
    <row r="482" spans="1:12" ht="18.75" customHeight="1" x14ac:dyDescent="0.4">
      <c r="A482" s="4">
        <v>46076</v>
      </c>
      <c r="B482" s="110" t="s">
        <v>140</v>
      </c>
      <c r="C482" s="6" t="s">
        <v>553</v>
      </c>
      <c r="D482" s="1" t="s">
        <v>244</v>
      </c>
      <c r="E482" s="1" t="s">
        <v>13</v>
      </c>
      <c r="F482" s="36">
        <v>6</v>
      </c>
      <c r="G482" s="7">
        <v>973200</v>
      </c>
      <c r="H482" s="7">
        <f t="shared" si="17"/>
        <v>5839200</v>
      </c>
      <c r="I482" s="111" t="s">
        <v>1224</v>
      </c>
      <c r="J482" s="67"/>
      <c r="K482" s="67"/>
      <c r="L482" s="67"/>
    </row>
    <row r="483" spans="1:12" ht="18.75" customHeight="1" x14ac:dyDescent="0.4">
      <c r="A483" s="4">
        <v>46076</v>
      </c>
      <c r="B483" s="110" t="s">
        <v>140</v>
      </c>
      <c r="C483" s="29" t="s">
        <v>540</v>
      </c>
      <c r="D483" s="110" t="s">
        <v>541</v>
      </c>
      <c r="E483" s="110" t="s">
        <v>343</v>
      </c>
      <c r="F483" s="81">
        <v>4</v>
      </c>
      <c r="G483" s="49">
        <v>102000</v>
      </c>
      <c r="H483" s="7">
        <f t="shared" si="17"/>
        <v>408000</v>
      </c>
      <c r="I483" s="111" t="s">
        <v>1224</v>
      </c>
      <c r="J483" s="67"/>
      <c r="K483" s="67"/>
      <c r="L483" s="67"/>
    </row>
    <row r="484" spans="1:12" ht="18.75" customHeight="1" x14ac:dyDescent="0.4">
      <c r="A484" s="4">
        <v>46076</v>
      </c>
      <c r="B484" s="110" t="s">
        <v>140</v>
      </c>
      <c r="C484" s="29" t="s">
        <v>474</v>
      </c>
      <c r="D484" s="110" t="s">
        <v>475</v>
      </c>
      <c r="E484" s="110" t="s">
        <v>11</v>
      </c>
      <c r="F484" s="81">
        <v>6</v>
      </c>
      <c r="G484" s="49">
        <v>652000</v>
      </c>
      <c r="H484" s="7">
        <f t="shared" si="17"/>
        <v>3912000</v>
      </c>
      <c r="I484" s="111" t="s">
        <v>1224</v>
      </c>
      <c r="J484" s="67"/>
      <c r="K484" s="67"/>
      <c r="L484" s="67"/>
    </row>
    <row r="485" spans="1:12" ht="18.75" customHeight="1" x14ac:dyDescent="0.4">
      <c r="A485" s="4">
        <v>46076</v>
      </c>
      <c r="B485" s="110" t="s">
        <v>140</v>
      </c>
      <c r="C485" s="29" t="s">
        <v>476</v>
      </c>
      <c r="D485" s="110" t="s">
        <v>477</v>
      </c>
      <c r="E485" s="110" t="s">
        <v>11</v>
      </c>
      <c r="F485" s="81">
        <v>6</v>
      </c>
      <c r="G485" s="49">
        <v>271000</v>
      </c>
      <c r="H485" s="7">
        <f t="shared" si="17"/>
        <v>1626000</v>
      </c>
      <c r="I485" s="111" t="s">
        <v>1224</v>
      </c>
      <c r="J485" s="67"/>
      <c r="K485" s="67"/>
      <c r="L485" s="67"/>
    </row>
    <row r="486" spans="1:12" ht="18.75" customHeight="1" x14ac:dyDescent="0.4">
      <c r="A486" s="4">
        <v>46077</v>
      </c>
      <c r="B486" s="110" t="s">
        <v>140</v>
      </c>
      <c r="C486" s="6" t="s">
        <v>554</v>
      </c>
      <c r="D486" s="1" t="s">
        <v>245</v>
      </c>
      <c r="E486" s="1" t="s">
        <v>13</v>
      </c>
      <c r="F486" s="36">
        <v>5</v>
      </c>
      <c r="G486" s="7">
        <v>630500</v>
      </c>
      <c r="H486" s="7">
        <f t="shared" si="17"/>
        <v>3152500</v>
      </c>
      <c r="I486" s="111" t="s">
        <v>1224</v>
      </c>
      <c r="J486" s="67"/>
      <c r="K486" s="67"/>
      <c r="L486" s="67"/>
    </row>
    <row r="487" spans="1:12" ht="18.75" customHeight="1" x14ac:dyDescent="0.4">
      <c r="A487" s="4">
        <v>46077</v>
      </c>
      <c r="B487" s="110" t="s">
        <v>140</v>
      </c>
      <c r="C487" s="29" t="s">
        <v>771</v>
      </c>
      <c r="D487" s="110" t="s">
        <v>772</v>
      </c>
      <c r="E487" s="110" t="s">
        <v>13</v>
      </c>
      <c r="F487" s="81">
        <v>3</v>
      </c>
      <c r="G487" s="49">
        <v>633000</v>
      </c>
      <c r="H487" s="7">
        <f t="shared" si="17"/>
        <v>1899000</v>
      </c>
      <c r="I487" s="111" t="s">
        <v>1224</v>
      </c>
      <c r="J487" s="67"/>
      <c r="K487" s="67"/>
      <c r="L487" s="67"/>
    </row>
    <row r="488" spans="1:12" ht="18.75" customHeight="1" x14ac:dyDescent="0.4">
      <c r="A488" s="4">
        <v>46077</v>
      </c>
      <c r="B488" s="110" t="s">
        <v>140</v>
      </c>
      <c r="C488" s="29" t="s">
        <v>552</v>
      </c>
      <c r="D488" s="110" t="s">
        <v>776</v>
      </c>
      <c r="E488" s="110" t="s">
        <v>13</v>
      </c>
      <c r="F488" s="81">
        <v>10</v>
      </c>
      <c r="G488" s="49">
        <v>202000</v>
      </c>
      <c r="H488" s="7">
        <f t="shared" si="17"/>
        <v>2020000</v>
      </c>
      <c r="I488" s="111" t="s">
        <v>1224</v>
      </c>
      <c r="J488" s="67"/>
      <c r="K488" s="67"/>
      <c r="L488" s="67"/>
    </row>
    <row r="489" spans="1:12" ht="18.75" customHeight="1" x14ac:dyDescent="0.4">
      <c r="A489" s="4">
        <v>46077</v>
      </c>
      <c r="B489" s="110" t="s">
        <v>140</v>
      </c>
      <c r="C489" s="29" t="s">
        <v>773</v>
      </c>
      <c r="D489" s="110" t="s">
        <v>774</v>
      </c>
      <c r="E489" s="110" t="s">
        <v>775</v>
      </c>
      <c r="F489" s="81">
        <v>10</v>
      </c>
      <c r="G489" s="49">
        <v>69700</v>
      </c>
      <c r="H489" s="7">
        <f t="shared" si="17"/>
        <v>697000</v>
      </c>
      <c r="I489" s="111" t="s">
        <v>1224</v>
      </c>
      <c r="J489" s="67"/>
      <c r="K489" s="67"/>
      <c r="L489" s="67"/>
    </row>
    <row r="490" spans="1:12" ht="18.75" customHeight="1" x14ac:dyDescent="0.4">
      <c r="A490" s="4">
        <v>46079</v>
      </c>
      <c r="B490" s="110" t="s">
        <v>140</v>
      </c>
      <c r="C490" s="6" t="s">
        <v>553</v>
      </c>
      <c r="D490" s="1" t="s">
        <v>244</v>
      </c>
      <c r="E490" s="1" t="s">
        <v>13</v>
      </c>
      <c r="F490" s="36">
        <v>5</v>
      </c>
      <c r="G490" s="7">
        <v>973200</v>
      </c>
      <c r="H490" s="7">
        <f t="shared" si="17"/>
        <v>4866000</v>
      </c>
      <c r="I490" s="111" t="s">
        <v>1224</v>
      </c>
      <c r="J490" s="67"/>
      <c r="K490" s="67"/>
      <c r="L490" s="67"/>
    </row>
    <row r="491" spans="1:12" ht="18.75" customHeight="1" x14ac:dyDescent="0.4">
      <c r="A491" s="4">
        <v>46080</v>
      </c>
      <c r="B491" s="110" t="s">
        <v>140</v>
      </c>
      <c r="C491" s="29" t="s">
        <v>771</v>
      </c>
      <c r="D491" s="110" t="s">
        <v>772</v>
      </c>
      <c r="E491" s="110" t="s">
        <v>13</v>
      </c>
      <c r="F491" s="81">
        <v>3</v>
      </c>
      <c r="G491" s="49">
        <v>633000</v>
      </c>
      <c r="H491" s="7">
        <f t="shared" si="17"/>
        <v>1899000</v>
      </c>
      <c r="I491" s="111" t="s">
        <v>1224</v>
      </c>
      <c r="J491" s="67"/>
      <c r="K491" s="67"/>
      <c r="L491" s="67"/>
    </row>
    <row r="492" spans="1:12" ht="18.75" customHeight="1" x14ac:dyDescent="0.4">
      <c r="A492" s="485">
        <v>46084</v>
      </c>
      <c r="B492" s="110" t="s">
        <v>140</v>
      </c>
      <c r="C492" s="29" t="s">
        <v>771</v>
      </c>
      <c r="D492" s="110" t="s">
        <v>772</v>
      </c>
      <c r="E492" s="110" t="s">
        <v>13</v>
      </c>
      <c r="F492" s="81">
        <v>3</v>
      </c>
      <c r="G492" s="49">
        <v>633000</v>
      </c>
      <c r="H492" s="7"/>
      <c r="I492" s="67" t="s">
        <v>344</v>
      </c>
      <c r="J492" s="67"/>
      <c r="K492" s="67"/>
      <c r="L492" s="67" t="s">
        <v>1068</v>
      </c>
    </row>
    <row r="493" spans="1:12" ht="18.75" customHeight="1" x14ac:dyDescent="0.4">
      <c r="A493" s="485">
        <v>46084</v>
      </c>
      <c r="B493" s="110" t="s">
        <v>140</v>
      </c>
      <c r="C493" s="29" t="s">
        <v>473</v>
      </c>
      <c r="D493" s="110" t="s">
        <v>777</v>
      </c>
      <c r="E493" s="110" t="s">
        <v>13</v>
      </c>
      <c r="F493" s="81">
        <v>1</v>
      </c>
      <c r="G493" s="49">
        <v>393500</v>
      </c>
      <c r="H493" s="7">
        <f t="shared" ref="H493:H504" si="18">F493*G493</f>
        <v>393500</v>
      </c>
      <c r="I493" s="111" t="s">
        <v>1224</v>
      </c>
      <c r="J493" s="67"/>
      <c r="K493" s="67"/>
      <c r="L493" s="67" t="s">
        <v>1068</v>
      </c>
    </row>
    <row r="494" spans="1:12" ht="18.75" customHeight="1" x14ac:dyDescent="0.4">
      <c r="A494" s="485">
        <v>46084</v>
      </c>
      <c r="B494" s="5" t="s">
        <v>140</v>
      </c>
      <c r="C494" s="6" t="s">
        <v>553</v>
      </c>
      <c r="D494" s="1" t="s">
        <v>244</v>
      </c>
      <c r="E494" s="1" t="s">
        <v>13</v>
      </c>
      <c r="F494" s="36">
        <v>5</v>
      </c>
      <c r="G494" s="7">
        <v>973200</v>
      </c>
      <c r="H494" s="7">
        <f t="shared" si="18"/>
        <v>4866000</v>
      </c>
      <c r="I494" s="111" t="s">
        <v>1224</v>
      </c>
      <c r="J494" s="67"/>
      <c r="K494" s="67"/>
      <c r="L494" s="67" t="s">
        <v>1068</v>
      </c>
    </row>
    <row r="495" spans="1:12" ht="18.75" customHeight="1" x14ac:dyDescent="0.4">
      <c r="A495" s="485">
        <v>46084</v>
      </c>
      <c r="B495" s="5" t="s">
        <v>140</v>
      </c>
      <c r="C495" s="6" t="s">
        <v>554</v>
      </c>
      <c r="D495" s="1" t="s">
        <v>245</v>
      </c>
      <c r="E495" s="1" t="s">
        <v>13</v>
      </c>
      <c r="F495" s="36">
        <v>6</v>
      </c>
      <c r="G495" s="7">
        <v>630500</v>
      </c>
      <c r="H495" s="7">
        <f t="shared" si="18"/>
        <v>3783000</v>
      </c>
      <c r="I495" s="111" t="s">
        <v>1224</v>
      </c>
      <c r="J495" s="67"/>
      <c r="K495" s="67"/>
      <c r="L495" s="67" t="s">
        <v>1068</v>
      </c>
    </row>
    <row r="496" spans="1:12" ht="18.75" customHeight="1" x14ac:dyDescent="0.4">
      <c r="A496" s="485">
        <v>46090</v>
      </c>
      <c r="B496" s="5" t="s">
        <v>140</v>
      </c>
      <c r="C496" s="6" t="s">
        <v>553</v>
      </c>
      <c r="D496" s="1" t="s">
        <v>244</v>
      </c>
      <c r="E496" s="1" t="s">
        <v>13</v>
      </c>
      <c r="F496" s="36">
        <v>1</v>
      </c>
      <c r="G496" s="7">
        <v>973200</v>
      </c>
      <c r="H496" s="7">
        <f t="shared" si="18"/>
        <v>973200</v>
      </c>
      <c r="I496" s="111" t="s">
        <v>1224</v>
      </c>
      <c r="J496" s="67"/>
      <c r="K496" s="67"/>
      <c r="L496" s="67" t="s">
        <v>1068</v>
      </c>
    </row>
    <row r="497" spans="1:12" ht="18.75" customHeight="1" x14ac:dyDescent="0.4">
      <c r="A497" s="485">
        <v>46090</v>
      </c>
      <c r="B497" s="5" t="s">
        <v>140</v>
      </c>
      <c r="C497" s="6" t="s">
        <v>771</v>
      </c>
      <c r="D497" s="1" t="s">
        <v>1137</v>
      </c>
      <c r="E497" s="1" t="s">
        <v>13</v>
      </c>
      <c r="F497" s="36">
        <v>4</v>
      </c>
      <c r="G497" s="7">
        <v>633000</v>
      </c>
      <c r="H497" s="7">
        <f t="shared" si="18"/>
        <v>2532000</v>
      </c>
      <c r="I497" s="111" t="s">
        <v>1224</v>
      </c>
      <c r="J497" s="67"/>
      <c r="K497" s="67"/>
      <c r="L497" s="67" t="s">
        <v>1068</v>
      </c>
    </row>
    <row r="498" spans="1:12" ht="18.75" customHeight="1" x14ac:dyDescent="0.4">
      <c r="A498" s="485">
        <v>46091</v>
      </c>
      <c r="B498" s="5" t="s">
        <v>140</v>
      </c>
      <c r="C498" s="6" t="s">
        <v>554</v>
      </c>
      <c r="D498" s="1" t="s">
        <v>779</v>
      </c>
      <c r="E498" s="1" t="s">
        <v>13</v>
      </c>
      <c r="F498" s="36">
        <v>2</v>
      </c>
      <c r="G498" s="7">
        <v>630500</v>
      </c>
      <c r="H498" s="7">
        <f t="shared" si="18"/>
        <v>1261000</v>
      </c>
      <c r="I498" s="111" t="s">
        <v>1224</v>
      </c>
      <c r="J498" s="67"/>
      <c r="K498" s="67"/>
      <c r="L498" s="67" t="s">
        <v>1068</v>
      </c>
    </row>
    <row r="499" spans="1:12" ht="18.75" customHeight="1" x14ac:dyDescent="0.4">
      <c r="A499" s="485">
        <v>46100</v>
      </c>
      <c r="B499" s="5" t="s">
        <v>140</v>
      </c>
      <c r="C499" s="6" t="s">
        <v>476</v>
      </c>
      <c r="D499" s="1" t="s">
        <v>477</v>
      </c>
      <c r="E499" s="1" t="s">
        <v>11</v>
      </c>
      <c r="F499" s="36">
        <v>3</v>
      </c>
      <c r="G499" s="36">
        <v>271000</v>
      </c>
      <c r="H499" s="7">
        <f t="shared" si="18"/>
        <v>813000</v>
      </c>
      <c r="I499" s="111" t="s">
        <v>1224</v>
      </c>
      <c r="J499" s="67"/>
      <c r="K499" s="67"/>
      <c r="L499" s="67" t="s">
        <v>1068</v>
      </c>
    </row>
    <row r="500" spans="1:12" ht="18.75" customHeight="1" x14ac:dyDescent="0.4">
      <c r="A500" s="485">
        <v>46101</v>
      </c>
      <c r="B500" s="5" t="s">
        <v>140</v>
      </c>
      <c r="C500" s="6" t="s">
        <v>553</v>
      </c>
      <c r="D500" s="1" t="s">
        <v>244</v>
      </c>
      <c r="E500" s="1" t="s">
        <v>13</v>
      </c>
      <c r="F500" s="36">
        <v>3</v>
      </c>
      <c r="G500" s="36">
        <v>973200</v>
      </c>
      <c r="H500" s="7">
        <f t="shared" si="18"/>
        <v>2919600</v>
      </c>
      <c r="I500" s="111" t="s">
        <v>1224</v>
      </c>
      <c r="J500" s="67"/>
      <c r="K500" s="67"/>
      <c r="L500" s="493" t="s">
        <v>1068</v>
      </c>
    </row>
    <row r="501" spans="1:12" ht="18.75" customHeight="1" x14ac:dyDescent="0.4">
      <c r="A501" s="485">
        <v>46101</v>
      </c>
      <c r="B501" s="5" t="s">
        <v>140</v>
      </c>
      <c r="C501" s="6" t="s">
        <v>554</v>
      </c>
      <c r="D501" s="1" t="s">
        <v>245</v>
      </c>
      <c r="E501" s="1" t="s">
        <v>13</v>
      </c>
      <c r="F501" s="36">
        <v>13</v>
      </c>
      <c r="G501" s="36">
        <v>630500</v>
      </c>
      <c r="H501" s="7">
        <f t="shared" si="18"/>
        <v>8196500</v>
      </c>
      <c r="I501" s="111" t="s">
        <v>1224</v>
      </c>
      <c r="J501" s="67"/>
      <c r="K501" s="67"/>
      <c r="L501" s="493" t="s">
        <v>1068</v>
      </c>
    </row>
    <row r="502" spans="1:12" ht="18.75" customHeight="1" x14ac:dyDescent="0.4">
      <c r="A502" s="485">
        <v>46101</v>
      </c>
      <c r="B502" s="5" t="s">
        <v>140</v>
      </c>
      <c r="C502" s="6" t="s">
        <v>552</v>
      </c>
      <c r="D502" s="1" t="s">
        <v>243</v>
      </c>
      <c r="E502" s="1" t="s">
        <v>13</v>
      </c>
      <c r="F502" s="36">
        <v>8</v>
      </c>
      <c r="G502" s="36">
        <v>202000</v>
      </c>
      <c r="H502" s="7">
        <f t="shared" si="18"/>
        <v>1616000</v>
      </c>
      <c r="I502" s="111" t="s">
        <v>1224</v>
      </c>
      <c r="J502" s="67"/>
      <c r="K502" s="67"/>
      <c r="L502" s="493" t="s">
        <v>1068</v>
      </c>
    </row>
    <row r="503" spans="1:12" ht="18.75" customHeight="1" x14ac:dyDescent="0.4">
      <c r="A503" s="485">
        <v>46111</v>
      </c>
      <c r="B503" s="110" t="s">
        <v>140</v>
      </c>
      <c r="C503" s="29" t="s">
        <v>474</v>
      </c>
      <c r="D503" s="110" t="s">
        <v>475</v>
      </c>
      <c r="E503" s="110" t="s">
        <v>11</v>
      </c>
      <c r="F503" s="81">
        <v>3</v>
      </c>
      <c r="G503" s="49">
        <v>652000</v>
      </c>
      <c r="H503" s="7">
        <f t="shared" si="18"/>
        <v>1956000</v>
      </c>
      <c r="I503" s="111" t="s">
        <v>1224</v>
      </c>
      <c r="J503" s="67"/>
      <c r="K503" s="67"/>
      <c r="L503" s="67" t="s">
        <v>1068</v>
      </c>
    </row>
    <row r="504" spans="1:12" ht="18.75" customHeight="1" x14ac:dyDescent="0.4">
      <c r="A504" s="485">
        <v>46112</v>
      </c>
      <c r="B504" s="5" t="s">
        <v>140</v>
      </c>
      <c r="C504" s="6" t="s">
        <v>553</v>
      </c>
      <c r="D504" s="1" t="s">
        <v>244</v>
      </c>
      <c r="E504" s="1" t="s">
        <v>13</v>
      </c>
      <c r="F504" s="36">
        <v>7</v>
      </c>
      <c r="G504" s="36">
        <v>973200</v>
      </c>
      <c r="H504" s="7">
        <f t="shared" si="18"/>
        <v>6812400</v>
      </c>
      <c r="I504" s="111" t="s">
        <v>1224</v>
      </c>
      <c r="J504" s="67"/>
      <c r="K504" s="67"/>
      <c r="L504" s="494"/>
    </row>
    <row r="505" spans="1:12" ht="18.75" customHeight="1" x14ac:dyDescent="0.4">
      <c r="A505" s="483"/>
      <c r="B505" s="194"/>
      <c r="C505" s="40"/>
      <c r="D505" s="194"/>
      <c r="E505" s="194"/>
      <c r="F505" s="91"/>
      <c r="G505" s="138"/>
      <c r="H505" s="138">
        <f>SUM(H435:H451)</f>
        <v>25406440</v>
      </c>
      <c r="I505" s="138"/>
      <c r="J505" s="145"/>
      <c r="K505" s="145"/>
      <c r="L505" s="370"/>
    </row>
    <row r="506" spans="1:12" ht="18.75" customHeight="1" x14ac:dyDescent="0.4">
      <c r="A506" s="484">
        <v>46098</v>
      </c>
      <c r="B506" s="59" t="s">
        <v>141</v>
      </c>
      <c r="C506" s="49" t="s">
        <v>142</v>
      </c>
      <c r="D506" s="59">
        <v>40220976</v>
      </c>
      <c r="E506" s="59" t="s">
        <v>17</v>
      </c>
      <c r="F506" s="7">
        <f>135-46</f>
        <v>89</v>
      </c>
      <c r="G506" s="49">
        <v>176943</v>
      </c>
      <c r="H506" s="36">
        <f>F506*G506</f>
        <v>15747927</v>
      </c>
      <c r="I506" s="67"/>
      <c r="J506" s="67"/>
      <c r="K506" s="67"/>
      <c r="L506" s="67"/>
    </row>
    <row r="507" spans="1:12" ht="18.75" customHeight="1" x14ac:dyDescent="0.4">
      <c r="A507" s="484">
        <v>46098</v>
      </c>
      <c r="B507" s="59" t="s">
        <v>141</v>
      </c>
      <c r="C507" s="49" t="s">
        <v>142</v>
      </c>
      <c r="D507" s="59">
        <v>40220976</v>
      </c>
      <c r="E507" s="59" t="s">
        <v>17</v>
      </c>
      <c r="F507" s="7">
        <v>46</v>
      </c>
      <c r="G507" s="49">
        <v>176943</v>
      </c>
      <c r="H507" s="36" t="s">
        <v>186</v>
      </c>
      <c r="I507" s="67">
        <f>G507*F507</f>
        <v>8139378</v>
      </c>
      <c r="J507" s="67"/>
      <c r="K507" s="67"/>
      <c r="L507" s="67"/>
    </row>
    <row r="508" spans="1:12" ht="18.75" customHeight="1" x14ac:dyDescent="0.4">
      <c r="A508" s="483"/>
      <c r="B508" s="194"/>
      <c r="C508" s="40"/>
      <c r="D508" s="194"/>
      <c r="E508" s="194"/>
      <c r="F508" s="91"/>
      <c r="G508" s="138"/>
      <c r="H508" s="138">
        <f>SUM(H506:H507)</f>
        <v>15747927</v>
      </c>
      <c r="I508" s="138"/>
      <c r="J508" s="145"/>
      <c r="K508" s="145"/>
      <c r="L508" s="370"/>
    </row>
    <row r="509" spans="1:12" ht="19.5" customHeight="1" x14ac:dyDescent="0.4">
      <c r="A509" s="195">
        <v>46052</v>
      </c>
      <c r="B509" s="59" t="s">
        <v>143</v>
      </c>
      <c r="C509" s="49" t="s">
        <v>1038</v>
      </c>
      <c r="D509" s="59" t="s">
        <v>781</v>
      </c>
      <c r="E509" s="59" t="s">
        <v>13</v>
      </c>
      <c r="F509" s="49">
        <v>3</v>
      </c>
      <c r="G509" s="49">
        <v>578970</v>
      </c>
      <c r="H509" s="17">
        <f>F509*G509</f>
        <v>1736910</v>
      </c>
      <c r="I509" s="67" t="s">
        <v>1040</v>
      </c>
      <c r="J509" s="67"/>
      <c r="K509" s="67"/>
      <c r="L509" s="67"/>
    </row>
    <row r="510" spans="1:12" ht="19.5" customHeight="1" x14ac:dyDescent="0.4">
      <c r="A510" s="195">
        <v>46081</v>
      </c>
      <c r="B510" s="59" t="s">
        <v>143</v>
      </c>
      <c r="C510" s="49" t="s">
        <v>145</v>
      </c>
      <c r="D510" s="59" t="s">
        <v>781</v>
      </c>
      <c r="E510" s="59" t="s">
        <v>13</v>
      </c>
      <c r="F510" s="49">
        <v>10</v>
      </c>
      <c r="G510" s="49">
        <v>578970</v>
      </c>
      <c r="H510" s="17">
        <f>F510*G510</f>
        <v>5789700</v>
      </c>
      <c r="I510" s="67" t="s">
        <v>1040</v>
      </c>
      <c r="J510" s="67"/>
      <c r="K510" s="67"/>
      <c r="L510" s="68"/>
    </row>
    <row r="511" spans="1:12" ht="19.5" customHeight="1" x14ac:dyDescent="0.4">
      <c r="A511" s="195">
        <v>46081</v>
      </c>
      <c r="B511" s="59" t="s">
        <v>143</v>
      </c>
      <c r="C511" s="49" t="s">
        <v>1221</v>
      </c>
      <c r="D511" s="59" t="s">
        <v>986</v>
      </c>
      <c r="E511" s="59" t="s">
        <v>13</v>
      </c>
      <c r="F511" s="49">
        <v>20</v>
      </c>
      <c r="G511" s="49">
        <v>224220</v>
      </c>
      <c r="H511" s="17">
        <f>F511*G511</f>
        <v>4484400</v>
      </c>
      <c r="I511" s="67" t="s">
        <v>1040</v>
      </c>
      <c r="J511" s="67"/>
      <c r="K511" s="67"/>
      <c r="L511" s="68"/>
    </row>
    <row r="512" spans="1:12" ht="19.5" customHeight="1" x14ac:dyDescent="0.4">
      <c r="A512" s="377"/>
      <c r="B512" s="123"/>
      <c r="C512" s="138"/>
      <c r="D512" s="97"/>
      <c r="E512" s="123"/>
      <c r="F512" s="138"/>
      <c r="G512" s="138"/>
      <c r="H512" s="138">
        <f>SUM(H509:H511)</f>
        <v>12011010</v>
      </c>
      <c r="I512" s="123"/>
      <c r="J512" s="123"/>
      <c r="K512" s="123"/>
      <c r="L512" s="123"/>
    </row>
    <row r="513" spans="1:12" ht="18.75" customHeight="1" x14ac:dyDescent="0.4">
      <c r="A513" s="482">
        <v>46112</v>
      </c>
      <c r="B513" s="110" t="s">
        <v>1138</v>
      </c>
      <c r="C513" s="29" t="s">
        <v>1139</v>
      </c>
      <c r="D513" s="110" t="s">
        <v>1140</v>
      </c>
      <c r="E513" s="110" t="s">
        <v>17</v>
      </c>
      <c r="F513" s="347">
        <v>83</v>
      </c>
      <c r="G513" s="49">
        <v>48000</v>
      </c>
      <c r="H513" s="36">
        <f>F513*G513</f>
        <v>3984000</v>
      </c>
      <c r="I513" s="49"/>
      <c r="J513" s="144"/>
      <c r="K513" s="144"/>
      <c r="L513" s="428"/>
    </row>
    <row r="514" spans="1:12" ht="18.75" customHeight="1" x14ac:dyDescent="0.4">
      <c r="A514" s="482">
        <v>46112</v>
      </c>
      <c r="B514" s="110" t="s">
        <v>1138</v>
      </c>
      <c r="C514" s="29" t="s">
        <v>1141</v>
      </c>
      <c r="D514" s="110" t="s">
        <v>1142</v>
      </c>
      <c r="E514" s="110" t="s">
        <v>11</v>
      </c>
      <c r="F514" s="347">
        <v>83</v>
      </c>
      <c r="G514" s="49">
        <v>1052000</v>
      </c>
      <c r="H514" s="36">
        <f>F514*G514</f>
        <v>87316000</v>
      </c>
      <c r="I514" s="49"/>
      <c r="J514" s="144"/>
      <c r="K514" s="144"/>
      <c r="L514" s="428"/>
    </row>
    <row r="515" spans="1:12" ht="18.75" customHeight="1" x14ac:dyDescent="0.4">
      <c r="A515" s="483"/>
      <c r="B515" s="194"/>
      <c r="C515" s="40"/>
      <c r="D515" s="194"/>
      <c r="E515" s="194"/>
      <c r="F515" s="91"/>
      <c r="G515" s="138"/>
      <c r="H515" s="138"/>
      <c r="I515" s="138"/>
      <c r="J515" s="145"/>
      <c r="K515" s="145"/>
      <c r="L515" s="370"/>
    </row>
    <row r="516" spans="1:12" ht="18.75" customHeight="1" x14ac:dyDescent="0.4">
      <c r="A516" s="105">
        <v>46080</v>
      </c>
      <c r="B516" s="106" t="s">
        <v>987</v>
      </c>
      <c r="C516" s="49" t="s">
        <v>152</v>
      </c>
      <c r="D516" s="59" t="s">
        <v>263</v>
      </c>
      <c r="E516" s="67"/>
      <c r="F516" s="49">
        <v>4</v>
      </c>
      <c r="G516" s="49">
        <f>J516*L516</f>
        <v>912192.60600000003</v>
      </c>
      <c r="H516" s="36">
        <f t="shared" ref="H516:H579" si="19">F516*G516</f>
        <v>3648770.4240000001</v>
      </c>
      <c r="I516" s="67" t="s">
        <v>479</v>
      </c>
      <c r="J516" s="49">
        <v>99870</v>
      </c>
      <c r="K516" s="67" t="s">
        <v>1012</v>
      </c>
      <c r="L516" s="67">
        <v>9.1338000000000008</v>
      </c>
    </row>
    <row r="517" spans="1:12" ht="18.75" customHeight="1" x14ac:dyDescent="0.4">
      <c r="A517" s="105">
        <v>46080</v>
      </c>
      <c r="B517" s="106" t="s">
        <v>987</v>
      </c>
      <c r="C517" s="49" t="s">
        <v>157</v>
      </c>
      <c r="D517" s="59" t="s">
        <v>273</v>
      </c>
      <c r="E517" s="67"/>
      <c r="F517" s="49">
        <v>4</v>
      </c>
      <c r="G517" s="49">
        <f t="shared" ref="G517:G580" si="20">J517*L517</f>
        <v>311371.24200000003</v>
      </c>
      <c r="H517" s="36">
        <f t="shared" si="19"/>
        <v>1245484.9680000001</v>
      </c>
      <c r="I517" s="67" t="s">
        <v>801</v>
      </c>
      <c r="J517" s="49">
        <v>34090</v>
      </c>
      <c r="K517" s="67" t="s">
        <v>1012</v>
      </c>
      <c r="L517" s="67">
        <v>9.1338000000000008</v>
      </c>
    </row>
    <row r="518" spans="1:12" ht="18.75" customHeight="1" x14ac:dyDescent="0.4">
      <c r="A518" s="105">
        <v>46080</v>
      </c>
      <c r="B518" s="106" t="s">
        <v>987</v>
      </c>
      <c r="C518" s="49" t="s">
        <v>152</v>
      </c>
      <c r="D518" s="59" t="s">
        <v>159</v>
      </c>
      <c r="E518" s="67"/>
      <c r="F518" s="49">
        <v>4</v>
      </c>
      <c r="G518" s="49">
        <f t="shared" si="20"/>
        <v>912192.60600000003</v>
      </c>
      <c r="H518" s="36">
        <f t="shared" si="19"/>
        <v>3648770.4240000001</v>
      </c>
      <c r="I518" s="67" t="s">
        <v>806</v>
      </c>
      <c r="J518" s="49">
        <v>99870</v>
      </c>
      <c r="K518" s="67" t="s">
        <v>1012</v>
      </c>
      <c r="L518" s="67">
        <v>9.1338000000000008</v>
      </c>
    </row>
    <row r="519" spans="1:12" ht="18.75" customHeight="1" x14ac:dyDescent="0.4">
      <c r="A519" s="105">
        <v>46080</v>
      </c>
      <c r="B519" s="106" t="s">
        <v>987</v>
      </c>
      <c r="C519" s="49" t="s">
        <v>161</v>
      </c>
      <c r="D519" s="59" t="s">
        <v>265</v>
      </c>
      <c r="E519" s="67"/>
      <c r="F519" s="49">
        <v>4</v>
      </c>
      <c r="G519" s="49">
        <f t="shared" si="20"/>
        <v>246064.57200000001</v>
      </c>
      <c r="H519" s="36">
        <f t="shared" si="19"/>
        <v>984258.28800000006</v>
      </c>
      <c r="I519" s="67" t="s">
        <v>997</v>
      </c>
      <c r="J519" s="49">
        <v>26940</v>
      </c>
      <c r="K519" s="67" t="s">
        <v>1012</v>
      </c>
      <c r="L519" s="67">
        <v>9.1338000000000008</v>
      </c>
    </row>
    <row r="520" spans="1:12" ht="18.75" customHeight="1" x14ac:dyDescent="0.4">
      <c r="A520" s="105">
        <v>46080</v>
      </c>
      <c r="B520" s="106" t="s">
        <v>987</v>
      </c>
      <c r="C520" s="49" t="s">
        <v>157</v>
      </c>
      <c r="D520" s="59" t="s">
        <v>338</v>
      </c>
      <c r="E520" s="67"/>
      <c r="F520" s="49">
        <v>4</v>
      </c>
      <c r="G520" s="49">
        <f t="shared" si="20"/>
        <v>311371.24200000003</v>
      </c>
      <c r="H520" s="36">
        <f t="shared" si="19"/>
        <v>1245484.9680000001</v>
      </c>
      <c r="I520" s="67" t="s">
        <v>997</v>
      </c>
      <c r="J520" s="49">
        <v>34090</v>
      </c>
      <c r="K520" s="67" t="s">
        <v>1012</v>
      </c>
      <c r="L520" s="67">
        <v>9.1338000000000008</v>
      </c>
    </row>
    <row r="521" spans="1:12" ht="18.75" customHeight="1" x14ac:dyDescent="0.4">
      <c r="A521" s="105">
        <v>46080</v>
      </c>
      <c r="B521" s="106" t="s">
        <v>987</v>
      </c>
      <c r="C521" s="49" t="s">
        <v>150</v>
      </c>
      <c r="D521" s="59" t="s">
        <v>257</v>
      </c>
      <c r="E521" s="67"/>
      <c r="F521" s="49">
        <v>8</v>
      </c>
      <c r="G521" s="49">
        <f t="shared" si="20"/>
        <v>1134965.9880000001</v>
      </c>
      <c r="H521" s="36">
        <f t="shared" si="19"/>
        <v>9079727.904000001</v>
      </c>
      <c r="I521" s="67" t="s">
        <v>662</v>
      </c>
      <c r="J521" s="49">
        <v>124260</v>
      </c>
      <c r="K521" s="67" t="s">
        <v>1012</v>
      </c>
      <c r="L521" s="67">
        <v>9.1338000000000008</v>
      </c>
    </row>
    <row r="522" spans="1:12" ht="18.75" customHeight="1" x14ac:dyDescent="0.4">
      <c r="A522" s="105">
        <v>46080</v>
      </c>
      <c r="B522" s="106" t="s">
        <v>987</v>
      </c>
      <c r="C522" s="49" t="s">
        <v>153</v>
      </c>
      <c r="D522" s="59" t="s">
        <v>264</v>
      </c>
      <c r="E522" s="67"/>
      <c r="F522" s="49">
        <v>8</v>
      </c>
      <c r="G522" s="49">
        <f t="shared" si="20"/>
        <v>2728448.736</v>
      </c>
      <c r="H522" s="36">
        <f t="shared" si="19"/>
        <v>21827589.888</v>
      </c>
      <c r="I522" s="67" t="s">
        <v>662</v>
      </c>
      <c r="J522" s="49">
        <v>298720</v>
      </c>
      <c r="K522" s="67" t="s">
        <v>1012</v>
      </c>
      <c r="L522" s="67">
        <v>9.1338000000000008</v>
      </c>
    </row>
    <row r="523" spans="1:12" ht="18.75" customHeight="1" x14ac:dyDescent="0.4">
      <c r="A523" s="105">
        <v>46080</v>
      </c>
      <c r="B523" s="106" t="s">
        <v>987</v>
      </c>
      <c r="C523" s="49" t="s">
        <v>156</v>
      </c>
      <c r="D523" s="59" t="s">
        <v>261</v>
      </c>
      <c r="E523" s="67"/>
      <c r="F523" s="49">
        <v>1</v>
      </c>
      <c r="G523" s="49">
        <f t="shared" si="20"/>
        <v>2022131.9820000001</v>
      </c>
      <c r="H523" s="36">
        <f t="shared" si="19"/>
        <v>2022131.9820000001</v>
      </c>
      <c r="I523" s="67" t="s">
        <v>663</v>
      </c>
      <c r="J523" s="49">
        <v>221390</v>
      </c>
      <c r="K523" s="67" t="s">
        <v>1012</v>
      </c>
      <c r="L523" s="67">
        <v>9.1338000000000008</v>
      </c>
    </row>
    <row r="524" spans="1:12" ht="18.75" customHeight="1" x14ac:dyDescent="0.4">
      <c r="A524" s="105">
        <v>46080</v>
      </c>
      <c r="B524" s="106" t="s">
        <v>987</v>
      </c>
      <c r="C524" s="49" t="s">
        <v>156</v>
      </c>
      <c r="D524" s="59" t="s">
        <v>271</v>
      </c>
      <c r="E524" s="67"/>
      <c r="F524" s="49">
        <v>4</v>
      </c>
      <c r="G524" s="49">
        <f t="shared" si="20"/>
        <v>1052579.1120000002</v>
      </c>
      <c r="H524" s="36">
        <f t="shared" si="19"/>
        <v>4210316.4480000008</v>
      </c>
      <c r="I524" s="67" t="s">
        <v>811</v>
      </c>
      <c r="J524" s="49">
        <v>115240</v>
      </c>
      <c r="K524" s="67" t="s">
        <v>1012</v>
      </c>
      <c r="L524" s="67">
        <v>9.1338000000000008</v>
      </c>
    </row>
    <row r="525" spans="1:12" ht="18.75" customHeight="1" x14ac:dyDescent="0.4">
      <c r="A525" s="105">
        <v>46080</v>
      </c>
      <c r="B525" s="106" t="s">
        <v>987</v>
      </c>
      <c r="C525" s="49" t="s">
        <v>157</v>
      </c>
      <c r="D525" s="59" t="s">
        <v>259</v>
      </c>
      <c r="E525" s="67"/>
      <c r="F525" s="49">
        <v>7</v>
      </c>
      <c r="G525" s="49">
        <f t="shared" si="20"/>
        <v>3299767.9260000004</v>
      </c>
      <c r="H525" s="36">
        <f t="shared" si="19"/>
        <v>23098375.482000005</v>
      </c>
      <c r="I525" s="67" t="s">
        <v>786</v>
      </c>
      <c r="J525" s="49">
        <v>361270</v>
      </c>
      <c r="K525" s="67" t="s">
        <v>1012</v>
      </c>
      <c r="L525" s="67">
        <v>9.1338000000000008</v>
      </c>
    </row>
    <row r="526" spans="1:12" ht="18.75" customHeight="1" x14ac:dyDescent="0.4">
      <c r="A526" s="105">
        <v>46080</v>
      </c>
      <c r="B526" s="106" t="s">
        <v>987</v>
      </c>
      <c r="C526" s="49" t="s">
        <v>154</v>
      </c>
      <c r="D526" s="59" t="s">
        <v>266</v>
      </c>
      <c r="E526" s="67"/>
      <c r="F526" s="49">
        <v>8</v>
      </c>
      <c r="G526" s="49">
        <f t="shared" si="20"/>
        <v>3772624.7520000003</v>
      </c>
      <c r="H526" s="36">
        <f t="shared" si="19"/>
        <v>30180998.016000003</v>
      </c>
      <c r="I526" s="67" t="s">
        <v>1013</v>
      </c>
      <c r="J526" s="49">
        <v>413040</v>
      </c>
      <c r="K526" s="67" t="s">
        <v>1012</v>
      </c>
      <c r="L526" s="67">
        <v>9.1338000000000008</v>
      </c>
    </row>
    <row r="527" spans="1:12" ht="18.75" customHeight="1" x14ac:dyDescent="0.4">
      <c r="A527" s="105">
        <v>46080</v>
      </c>
      <c r="B527" s="106" t="s">
        <v>987</v>
      </c>
      <c r="C527" s="49" t="s">
        <v>156</v>
      </c>
      <c r="D527" s="59" t="s">
        <v>272</v>
      </c>
      <c r="E527" s="67"/>
      <c r="F527" s="49">
        <v>4</v>
      </c>
      <c r="G527" s="49">
        <f t="shared" si="20"/>
        <v>1052579.1120000002</v>
      </c>
      <c r="H527" s="36">
        <f t="shared" si="19"/>
        <v>4210316.4480000008</v>
      </c>
      <c r="I527" s="67" t="s">
        <v>1011</v>
      </c>
      <c r="J527" s="49">
        <v>115240</v>
      </c>
      <c r="K527" s="67" t="s">
        <v>1012</v>
      </c>
      <c r="L527" s="67">
        <v>9.1338000000000008</v>
      </c>
    </row>
    <row r="528" spans="1:12" ht="18.75" customHeight="1" x14ac:dyDescent="0.4">
      <c r="A528" s="105">
        <v>46080</v>
      </c>
      <c r="B528" s="106" t="s">
        <v>987</v>
      </c>
      <c r="C528" s="49" t="s">
        <v>157</v>
      </c>
      <c r="D528" s="59" t="s">
        <v>338</v>
      </c>
      <c r="E528" s="67"/>
      <c r="F528" s="49">
        <v>4</v>
      </c>
      <c r="G528" s="49">
        <f t="shared" si="20"/>
        <v>312558.636</v>
      </c>
      <c r="H528" s="36">
        <f t="shared" si="19"/>
        <v>1250234.544</v>
      </c>
      <c r="I528" s="67" t="s">
        <v>1011</v>
      </c>
      <c r="J528" s="49">
        <v>34220</v>
      </c>
      <c r="K528" s="67" t="s">
        <v>1012</v>
      </c>
      <c r="L528" s="67">
        <v>9.1338000000000008</v>
      </c>
    </row>
    <row r="529" spans="1:12" ht="18.75" customHeight="1" x14ac:dyDescent="0.4">
      <c r="A529" s="105">
        <v>46080</v>
      </c>
      <c r="B529" s="106" t="s">
        <v>987</v>
      </c>
      <c r="C529" s="49" t="s">
        <v>154</v>
      </c>
      <c r="D529" s="59" t="s">
        <v>250</v>
      </c>
      <c r="E529" s="67"/>
      <c r="F529" s="49">
        <v>4</v>
      </c>
      <c r="G529" s="49">
        <f t="shared" si="20"/>
        <v>704672.67</v>
      </c>
      <c r="H529" s="36">
        <f t="shared" si="19"/>
        <v>2818690.68</v>
      </c>
      <c r="I529" s="67" t="s">
        <v>1011</v>
      </c>
      <c r="J529" s="49">
        <v>77150</v>
      </c>
      <c r="K529" s="67" t="s">
        <v>1012</v>
      </c>
      <c r="L529" s="67">
        <v>9.1338000000000008</v>
      </c>
    </row>
    <row r="530" spans="1:12" ht="18.75" customHeight="1" x14ac:dyDescent="0.4">
      <c r="A530" s="105">
        <v>46080</v>
      </c>
      <c r="B530" s="106" t="s">
        <v>987</v>
      </c>
      <c r="C530" s="49" t="s">
        <v>161</v>
      </c>
      <c r="D530" s="59" t="s">
        <v>990</v>
      </c>
      <c r="E530" s="67"/>
      <c r="F530" s="49">
        <v>4</v>
      </c>
      <c r="G530" s="49">
        <f t="shared" si="20"/>
        <v>246886.61400000003</v>
      </c>
      <c r="H530" s="36">
        <f t="shared" si="19"/>
        <v>987546.45600000012</v>
      </c>
      <c r="I530" s="67" t="s">
        <v>1011</v>
      </c>
      <c r="J530" s="49">
        <v>27030</v>
      </c>
      <c r="K530" s="67" t="s">
        <v>1012</v>
      </c>
      <c r="L530" s="67">
        <v>9.1338000000000008</v>
      </c>
    </row>
    <row r="531" spans="1:12" ht="18.75" customHeight="1" x14ac:dyDescent="0.4">
      <c r="A531" s="105">
        <v>46080</v>
      </c>
      <c r="B531" s="106" t="s">
        <v>987</v>
      </c>
      <c r="C531" s="49" t="s">
        <v>156</v>
      </c>
      <c r="D531" s="59" t="s">
        <v>262</v>
      </c>
      <c r="E531" s="67"/>
      <c r="F531" s="49">
        <v>1</v>
      </c>
      <c r="G531" s="49">
        <f t="shared" si="20"/>
        <v>2022131.9820000001</v>
      </c>
      <c r="H531" s="36">
        <f t="shared" si="19"/>
        <v>2022131.9820000001</v>
      </c>
      <c r="I531" s="67" t="s">
        <v>1022</v>
      </c>
      <c r="J531" s="49">
        <v>221390</v>
      </c>
      <c r="K531" s="67" t="s">
        <v>1012</v>
      </c>
      <c r="L531" s="67">
        <v>9.1338000000000008</v>
      </c>
    </row>
    <row r="532" spans="1:12" ht="18.75" customHeight="1" x14ac:dyDescent="0.4">
      <c r="A532" s="105">
        <v>46080</v>
      </c>
      <c r="B532" s="106" t="s">
        <v>987</v>
      </c>
      <c r="C532" s="49" t="s">
        <v>150</v>
      </c>
      <c r="D532" s="59" t="s">
        <v>275</v>
      </c>
      <c r="E532" s="67"/>
      <c r="F532" s="49">
        <v>1</v>
      </c>
      <c r="G532" s="49">
        <f t="shared" si="20"/>
        <v>530217.09000000008</v>
      </c>
      <c r="H532" s="36">
        <f t="shared" si="19"/>
        <v>530217.09000000008</v>
      </c>
      <c r="I532" s="67" t="s">
        <v>1022</v>
      </c>
      <c r="J532" s="49">
        <v>58050</v>
      </c>
      <c r="K532" s="67" t="s">
        <v>1012</v>
      </c>
      <c r="L532" s="67">
        <v>9.1338000000000008</v>
      </c>
    </row>
    <row r="533" spans="1:12" ht="18.75" customHeight="1" x14ac:dyDescent="0.4">
      <c r="A533" s="105">
        <v>46080</v>
      </c>
      <c r="B533" s="106" t="s">
        <v>987</v>
      </c>
      <c r="C533" s="49" t="s">
        <v>150</v>
      </c>
      <c r="D533" s="59" t="s">
        <v>151</v>
      </c>
      <c r="E533" s="67"/>
      <c r="F533" s="49">
        <v>1</v>
      </c>
      <c r="G533" s="49">
        <f t="shared" si="20"/>
        <v>534053.28600000008</v>
      </c>
      <c r="H533" s="36">
        <f t="shared" si="19"/>
        <v>534053.28600000008</v>
      </c>
      <c r="I533" s="67" t="s">
        <v>1023</v>
      </c>
      <c r="J533" s="49">
        <v>58470</v>
      </c>
      <c r="K533" s="67" t="s">
        <v>1012</v>
      </c>
      <c r="L533" s="67">
        <v>9.1338000000000008</v>
      </c>
    </row>
    <row r="534" spans="1:12" ht="18.75" customHeight="1" x14ac:dyDescent="0.4">
      <c r="A534" s="105">
        <v>46080</v>
      </c>
      <c r="B534" s="106" t="s">
        <v>987</v>
      </c>
      <c r="C534" s="49" t="s">
        <v>154</v>
      </c>
      <c r="D534" s="59" t="s">
        <v>336</v>
      </c>
      <c r="E534" s="67"/>
      <c r="F534" s="49">
        <v>4</v>
      </c>
      <c r="G534" s="49">
        <f t="shared" si="20"/>
        <v>3829893.6780000003</v>
      </c>
      <c r="H534" s="36">
        <f t="shared" si="19"/>
        <v>15319574.712000001</v>
      </c>
      <c r="I534" s="67" t="s">
        <v>999</v>
      </c>
      <c r="J534" s="49">
        <v>419310</v>
      </c>
      <c r="K534" s="67" t="s">
        <v>1012</v>
      </c>
      <c r="L534" s="67">
        <v>9.1338000000000008</v>
      </c>
    </row>
    <row r="535" spans="1:12" ht="18.75" customHeight="1" x14ac:dyDescent="0.4">
      <c r="A535" s="105">
        <v>46080</v>
      </c>
      <c r="B535" s="106" t="s">
        <v>987</v>
      </c>
      <c r="C535" s="49" t="s">
        <v>150</v>
      </c>
      <c r="D535" s="59" t="s">
        <v>151</v>
      </c>
      <c r="E535" s="67"/>
      <c r="F535" s="49">
        <v>1</v>
      </c>
      <c r="G535" s="49">
        <f t="shared" si="20"/>
        <v>534053.28600000008</v>
      </c>
      <c r="H535" s="36">
        <f t="shared" si="19"/>
        <v>534053.28600000008</v>
      </c>
      <c r="I535" s="67" t="s">
        <v>1024</v>
      </c>
      <c r="J535" s="49">
        <v>58470</v>
      </c>
      <c r="K535" s="67" t="s">
        <v>1012</v>
      </c>
      <c r="L535" s="67">
        <v>9.1338000000000008</v>
      </c>
    </row>
    <row r="536" spans="1:12" ht="18.75" customHeight="1" x14ac:dyDescent="0.4">
      <c r="A536" s="105">
        <v>46080</v>
      </c>
      <c r="B536" s="106" t="s">
        <v>987</v>
      </c>
      <c r="C536" s="49" t="s">
        <v>154</v>
      </c>
      <c r="D536" s="59" t="s">
        <v>336</v>
      </c>
      <c r="E536" s="67"/>
      <c r="F536" s="49">
        <v>3</v>
      </c>
      <c r="G536" s="49">
        <f t="shared" si="20"/>
        <v>3829893.6780000003</v>
      </c>
      <c r="H536" s="36">
        <f t="shared" si="19"/>
        <v>11489681.034000002</v>
      </c>
      <c r="I536" s="67" t="s">
        <v>1014</v>
      </c>
      <c r="J536" s="49">
        <v>419310</v>
      </c>
      <c r="K536" s="67" t="s">
        <v>1012</v>
      </c>
      <c r="L536" s="67">
        <v>9.1338000000000008</v>
      </c>
    </row>
    <row r="537" spans="1:12" ht="18.75" customHeight="1" x14ac:dyDescent="0.4">
      <c r="A537" s="105">
        <v>46080</v>
      </c>
      <c r="B537" s="106" t="s">
        <v>987</v>
      </c>
      <c r="C537" s="49" t="s">
        <v>150</v>
      </c>
      <c r="D537" s="59" t="s">
        <v>151</v>
      </c>
      <c r="E537" s="67"/>
      <c r="F537" s="49">
        <v>1</v>
      </c>
      <c r="G537" s="49">
        <f t="shared" si="20"/>
        <v>534053.28600000008</v>
      </c>
      <c r="H537" s="36">
        <f t="shared" si="19"/>
        <v>534053.28600000008</v>
      </c>
      <c r="I537" s="67" t="s">
        <v>1025</v>
      </c>
      <c r="J537" s="49">
        <v>58470</v>
      </c>
      <c r="K537" s="67" t="s">
        <v>1012</v>
      </c>
      <c r="L537" s="67">
        <v>9.1338000000000008</v>
      </c>
    </row>
    <row r="538" spans="1:12" ht="18.75" customHeight="1" x14ac:dyDescent="0.4">
      <c r="A538" s="105">
        <v>46080</v>
      </c>
      <c r="B538" s="106" t="s">
        <v>987</v>
      </c>
      <c r="C538" s="49" t="s">
        <v>158</v>
      </c>
      <c r="D538" s="59" t="s">
        <v>252</v>
      </c>
      <c r="E538" s="67"/>
      <c r="F538" s="49">
        <v>1</v>
      </c>
      <c r="G538" s="49">
        <f t="shared" si="20"/>
        <v>3445269.3600000003</v>
      </c>
      <c r="H538" s="36">
        <f t="shared" si="19"/>
        <v>3445269.3600000003</v>
      </c>
      <c r="I538" s="67" t="s">
        <v>1016</v>
      </c>
      <c r="J538" s="49">
        <v>377200</v>
      </c>
      <c r="K538" s="67" t="s">
        <v>1012</v>
      </c>
      <c r="L538" s="67">
        <v>9.1338000000000008</v>
      </c>
    </row>
    <row r="539" spans="1:12" ht="18.75" customHeight="1" x14ac:dyDescent="0.4">
      <c r="A539" s="105">
        <v>46080</v>
      </c>
      <c r="B539" s="106" t="s">
        <v>987</v>
      </c>
      <c r="C539" s="49" t="s">
        <v>150</v>
      </c>
      <c r="D539" s="59" t="s">
        <v>151</v>
      </c>
      <c r="E539" s="67"/>
      <c r="F539" s="49">
        <v>1</v>
      </c>
      <c r="G539" s="49">
        <f t="shared" si="20"/>
        <v>534053.28600000008</v>
      </c>
      <c r="H539" s="36">
        <f t="shared" si="19"/>
        <v>534053.28600000008</v>
      </c>
      <c r="I539" s="67" t="s">
        <v>1026</v>
      </c>
      <c r="J539" s="49">
        <v>58470</v>
      </c>
      <c r="K539" s="67" t="s">
        <v>1012</v>
      </c>
      <c r="L539" s="67">
        <v>9.1338000000000008</v>
      </c>
    </row>
    <row r="540" spans="1:12" ht="18.75" customHeight="1" x14ac:dyDescent="0.4">
      <c r="A540" s="105">
        <v>46080</v>
      </c>
      <c r="B540" s="106" t="s">
        <v>987</v>
      </c>
      <c r="C540" s="49" t="s">
        <v>160</v>
      </c>
      <c r="D540" s="59" t="s">
        <v>255</v>
      </c>
      <c r="E540" s="67"/>
      <c r="F540" s="49">
        <v>7</v>
      </c>
      <c r="G540" s="49">
        <f t="shared" si="20"/>
        <v>48217.330200000004</v>
      </c>
      <c r="H540" s="36">
        <f t="shared" si="19"/>
        <v>337521.31140000001</v>
      </c>
      <c r="I540" s="429" t="s">
        <v>1018</v>
      </c>
      <c r="J540" s="49">
        <v>5279</v>
      </c>
      <c r="K540" s="67" t="s">
        <v>1012</v>
      </c>
      <c r="L540" s="67">
        <v>9.1338000000000008</v>
      </c>
    </row>
    <row r="541" spans="1:12" ht="18.75" customHeight="1" x14ac:dyDescent="0.4">
      <c r="A541" s="105">
        <v>46080</v>
      </c>
      <c r="B541" s="106" t="s">
        <v>987</v>
      </c>
      <c r="C541" s="49" t="s">
        <v>160</v>
      </c>
      <c r="D541" s="59" t="s">
        <v>340</v>
      </c>
      <c r="E541" s="67"/>
      <c r="F541" s="49">
        <v>1</v>
      </c>
      <c r="G541" s="49">
        <f t="shared" si="20"/>
        <v>48217.330200000004</v>
      </c>
      <c r="H541" s="36">
        <f t="shared" si="19"/>
        <v>48217.330200000004</v>
      </c>
      <c r="I541" s="429" t="s">
        <v>543</v>
      </c>
      <c r="J541" s="49">
        <v>5279</v>
      </c>
      <c r="K541" s="67" t="s">
        <v>1012</v>
      </c>
      <c r="L541" s="67">
        <v>9.1338000000000008</v>
      </c>
    </row>
    <row r="542" spans="1:12" ht="18.75" customHeight="1" x14ac:dyDescent="0.4">
      <c r="A542" s="105">
        <v>46080</v>
      </c>
      <c r="B542" s="106" t="s">
        <v>987</v>
      </c>
      <c r="C542" s="49" t="s">
        <v>160</v>
      </c>
      <c r="D542" s="59" t="s">
        <v>340</v>
      </c>
      <c r="E542" s="67"/>
      <c r="F542" s="49">
        <v>4</v>
      </c>
      <c r="G542" s="49">
        <f t="shared" si="20"/>
        <v>48217.330200000004</v>
      </c>
      <c r="H542" s="36">
        <f t="shared" si="19"/>
        <v>192869.32080000002</v>
      </c>
      <c r="I542" s="429" t="s">
        <v>543</v>
      </c>
      <c r="J542" s="49">
        <v>5279</v>
      </c>
      <c r="K542" s="67" t="s">
        <v>1012</v>
      </c>
      <c r="L542" s="67">
        <v>9.1338000000000008</v>
      </c>
    </row>
    <row r="543" spans="1:12" ht="18.75" customHeight="1" x14ac:dyDescent="0.4">
      <c r="A543" s="105">
        <v>46080</v>
      </c>
      <c r="B543" s="106" t="s">
        <v>987</v>
      </c>
      <c r="C543" s="49" t="s">
        <v>160</v>
      </c>
      <c r="D543" s="59" t="s">
        <v>340</v>
      </c>
      <c r="E543" s="67"/>
      <c r="F543" s="49">
        <v>3</v>
      </c>
      <c r="G543" s="49">
        <f t="shared" si="20"/>
        <v>48217.330200000004</v>
      </c>
      <c r="H543" s="36">
        <f t="shared" si="19"/>
        <v>144651.99060000002</v>
      </c>
      <c r="I543" s="429" t="s">
        <v>1015</v>
      </c>
      <c r="J543" s="49">
        <v>5279</v>
      </c>
      <c r="K543" s="67" t="s">
        <v>1012</v>
      </c>
      <c r="L543" s="67">
        <v>9.1338000000000008</v>
      </c>
    </row>
    <row r="544" spans="1:12" ht="18.75" customHeight="1" x14ac:dyDescent="0.4">
      <c r="A544" s="105">
        <v>46080</v>
      </c>
      <c r="B544" s="106" t="s">
        <v>987</v>
      </c>
      <c r="C544" s="49" t="s">
        <v>160</v>
      </c>
      <c r="D544" s="59" t="s">
        <v>274</v>
      </c>
      <c r="E544" s="67"/>
      <c r="F544" s="49">
        <v>1</v>
      </c>
      <c r="G544" s="49">
        <f t="shared" si="20"/>
        <v>50071.491600000001</v>
      </c>
      <c r="H544" s="36">
        <f t="shared" si="19"/>
        <v>50071.491600000001</v>
      </c>
      <c r="I544" s="429" t="s">
        <v>1019</v>
      </c>
      <c r="J544" s="49">
        <v>5482</v>
      </c>
      <c r="K544" s="67" t="s">
        <v>1012</v>
      </c>
      <c r="L544" s="67">
        <v>9.1338000000000008</v>
      </c>
    </row>
    <row r="545" spans="1:13" ht="18.75" customHeight="1" x14ac:dyDescent="0.4">
      <c r="A545" s="105">
        <v>46080</v>
      </c>
      <c r="B545" s="106" t="s">
        <v>987</v>
      </c>
      <c r="C545" s="49" t="s">
        <v>153</v>
      </c>
      <c r="D545" s="59" t="s">
        <v>269</v>
      </c>
      <c r="E545" s="67"/>
      <c r="F545" s="49">
        <v>1</v>
      </c>
      <c r="G545" s="49">
        <f t="shared" si="20"/>
        <v>295935.12000000005</v>
      </c>
      <c r="H545" s="36">
        <f t="shared" si="19"/>
        <v>295935.12000000005</v>
      </c>
      <c r="I545" s="429" t="s">
        <v>1015</v>
      </c>
      <c r="J545" s="49">
        <v>32400</v>
      </c>
      <c r="K545" s="67" t="s">
        <v>1012</v>
      </c>
      <c r="L545" s="67">
        <v>9.1338000000000008</v>
      </c>
    </row>
    <row r="546" spans="1:13" ht="18.75" customHeight="1" x14ac:dyDescent="0.4">
      <c r="A546" s="105">
        <v>46080</v>
      </c>
      <c r="B546" s="106" t="s">
        <v>987</v>
      </c>
      <c r="C546" s="49" t="s">
        <v>150</v>
      </c>
      <c r="D546" s="59" t="s">
        <v>258</v>
      </c>
      <c r="E546" s="67"/>
      <c r="F546" s="49">
        <v>2</v>
      </c>
      <c r="G546" s="49">
        <f t="shared" si="20"/>
        <v>133170.804</v>
      </c>
      <c r="H546" s="36">
        <f t="shared" si="19"/>
        <v>266341.60800000001</v>
      </c>
      <c r="I546" s="429" t="s">
        <v>1020</v>
      </c>
      <c r="J546" s="49">
        <v>14580</v>
      </c>
      <c r="K546" s="67" t="s">
        <v>1012</v>
      </c>
      <c r="L546" s="67">
        <v>9.1338000000000008</v>
      </c>
    </row>
    <row r="547" spans="1:13" ht="18.75" customHeight="1" x14ac:dyDescent="0.4">
      <c r="A547" s="105">
        <v>46080</v>
      </c>
      <c r="B547" s="106" t="s">
        <v>987</v>
      </c>
      <c r="C547" s="49" t="s">
        <v>150</v>
      </c>
      <c r="D547" s="59" t="s">
        <v>258</v>
      </c>
      <c r="E547" s="67"/>
      <c r="F547" s="49">
        <v>2</v>
      </c>
      <c r="G547" s="49">
        <f t="shared" si="20"/>
        <v>133170.804</v>
      </c>
      <c r="H547" s="36">
        <f t="shared" si="19"/>
        <v>266341.60800000001</v>
      </c>
      <c r="I547" s="429" t="s">
        <v>1403</v>
      </c>
      <c r="J547" s="49">
        <v>14580</v>
      </c>
      <c r="K547" s="67" t="s">
        <v>1012</v>
      </c>
      <c r="L547" s="67">
        <v>9.1338000000000008</v>
      </c>
    </row>
    <row r="548" spans="1:13" ht="18.75" customHeight="1" x14ac:dyDescent="0.4">
      <c r="A548" s="105">
        <v>46080</v>
      </c>
      <c r="B548" s="106" t="s">
        <v>987</v>
      </c>
      <c r="C548" s="49" t="s">
        <v>158</v>
      </c>
      <c r="D548" s="59" t="s">
        <v>339</v>
      </c>
      <c r="E548" s="67"/>
      <c r="F548" s="49">
        <v>8</v>
      </c>
      <c r="G548" s="49">
        <f t="shared" si="20"/>
        <v>3390466.5600000005</v>
      </c>
      <c r="H548" s="36">
        <f t="shared" si="19"/>
        <v>27123732.480000004</v>
      </c>
      <c r="I548" s="67" t="s">
        <v>1013</v>
      </c>
      <c r="J548" s="49">
        <v>371200</v>
      </c>
      <c r="K548" s="67" t="s">
        <v>1017</v>
      </c>
      <c r="L548" s="67">
        <v>9.1338000000000008</v>
      </c>
    </row>
    <row r="549" spans="1:13" ht="18.75" customHeight="1" x14ac:dyDescent="0.4">
      <c r="A549" s="105">
        <v>46080</v>
      </c>
      <c r="B549" s="106" t="s">
        <v>987</v>
      </c>
      <c r="C549" s="49" t="s">
        <v>155</v>
      </c>
      <c r="D549" s="59" t="s">
        <v>253</v>
      </c>
      <c r="E549" s="67"/>
      <c r="F549" s="49">
        <v>3</v>
      </c>
      <c r="G549" s="49">
        <f t="shared" si="20"/>
        <v>3516513.0000000005</v>
      </c>
      <c r="H549" s="36">
        <f t="shared" si="19"/>
        <v>10549539.000000002</v>
      </c>
      <c r="I549" s="67" t="s">
        <v>788</v>
      </c>
      <c r="J549" s="49">
        <v>385000</v>
      </c>
      <c r="K549" s="67" t="s">
        <v>1017</v>
      </c>
      <c r="L549" s="67">
        <v>9.1338000000000008</v>
      </c>
    </row>
    <row r="550" spans="1:13" ht="18.75" customHeight="1" x14ac:dyDescent="0.4">
      <c r="A550" s="105">
        <v>46080</v>
      </c>
      <c r="B550" s="106" t="s">
        <v>987</v>
      </c>
      <c r="C550" s="49" t="s">
        <v>158</v>
      </c>
      <c r="D550" s="59" t="s">
        <v>339</v>
      </c>
      <c r="E550" s="67"/>
      <c r="F550" s="49">
        <v>1</v>
      </c>
      <c r="G550" s="49">
        <f t="shared" si="20"/>
        <v>3445269.3600000003</v>
      </c>
      <c r="H550" s="36">
        <f t="shared" si="19"/>
        <v>3445269.3600000003</v>
      </c>
      <c r="I550" s="67" t="s">
        <v>1016</v>
      </c>
      <c r="J550" s="49">
        <v>377200</v>
      </c>
      <c r="K550" s="67" t="s">
        <v>1017</v>
      </c>
      <c r="L550" s="67">
        <v>9.1338000000000008</v>
      </c>
    </row>
    <row r="551" spans="1:13" ht="20.25" customHeight="1" x14ac:dyDescent="0.4">
      <c r="A551" s="482">
        <v>46088</v>
      </c>
      <c r="B551" s="59" t="s">
        <v>782</v>
      </c>
      <c r="C551" s="68" t="s">
        <v>161</v>
      </c>
      <c r="D551" s="59" t="s">
        <v>265</v>
      </c>
      <c r="E551" s="67"/>
      <c r="F551" s="49">
        <v>4</v>
      </c>
      <c r="G551" s="49">
        <f t="shared" si="20"/>
        <v>250361.50200000001</v>
      </c>
      <c r="H551" s="36">
        <f t="shared" si="19"/>
        <v>1001446.008</v>
      </c>
      <c r="I551" s="67" t="s">
        <v>998</v>
      </c>
      <c r="J551" s="67">
        <v>26940</v>
      </c>
      <c r="K551" s="67" t="s">
        <v>1243</v>
      </c>
      <c r="L551" s="67">
        <v>9.2933000000000003</v>
      </c>
    </row>
    <row r="552" spans="1:13" ht="20.25" customHeight="1" x14ac:dyDescent="0.4">
      <c r="A552" s="482">
        <v>46088</v>
      </c>
      <c r="B552" s="59" t="s">
        <v>782</v>
      </c>
      <c r="C552" s="68" t="s">
        <v>157</v>
      </c>
      <c r="D552" s="59" t="s">
        <v>273</v>
      </c>
      <c r="E552" s="67"/>
      <c r="F552" s="49">
        <v>4</v>
      </c>
      <c r="G552" s="49">
        <f t="shared" si="20"/>
        <v>316808.59700000001</v>
      </c>
      <c r="H552" s="36">
        <f t="shared" si="19"/>
        <v>1267234.388</v>
      </c>
      <c r="I552" s="67" t="s">
        <v>998</v>
      </c>
      <c r="J552" s="67">
        <v>34090</v>
      </c>
      <c r="K552" s="67" t="s">
        <v>1243</v>
      </c>
      <c r="L552" s="67">
        <v>9.2933000000000003</v>
      </c>
    </row>
    <row r="553" spans="1:13" ht="20.25" customHeight="1" x14ac:dyDescent="0.4">
      <c r="A553" s="482">
        <v>46088</v>
      </c>
      <c r="B553" s="59" t="s">
        <v>782</v>
      </c>
      <c r="C553" s="68" t="s">
        <v>155</v>
      </c>
      <c r="D553" s="59" t="s">
        <v>253</v>
      </c>
      <c r="E553" s="67"/>
      <c r="F553" s="49">
        <v>5</v>
      </c>
      <c r="G553" s="49">
        <f t="shared" si="20"/>
        <v>3577920.5</v>
      </c>
      <c r="H553" s="36">
        <f t="shared" si="19"/>
        <v>17889602.5</v>
      </c>
      <c r="I553" s="67" t="s">
        <v>788</v>
      </c>
      <c r="J553" s="67">
        <v>385000</v>
      </c>
      <c r="K553" s="67" t="s">
        <v>1243</v>
      </c>
      <c r="L553" s="67">
        <v>9.2933000000000003</v>
      </c>
    </row>
    <row r="554" spans="1:13" ht="20.25" customHeight="1" x14ac:dyDescent="0.4">
      <c r="A554" s="482">
        <v>46088</v>
      </c>
      <c r="B554" s="59" t="s">
        <v>782</v>
      </c>
      <c r="C554" s="68" t="s">
        <v>155</v>
      </c>
      <c r="D554" s="59" t="s">
        <v>254</v>
      </c>
      <c r="E554" s="67"/>
      <c r="F554" s="49">
        <v>2</v>
      </c>
      <c r="G554" s="49">
        <f t="shared" si="20"/>
        <v>3639813.878</v>
      </c>
      <c r="H554" s="36">
        <f t="shared" si="19"/>
        <v>7279627.7560000001</v>
      </c>
      <c r="I554" s="67" t="s">
        <v>991</v>
      </c>
      <c r="J554" s="67">
        <v>391660</v>
      </c>
      <c r="K554" s="67" t="s">
        <v>1243</v>
      </c>
      <c r="L554" s="67">
        <v>9.2933000000000003</v>
      </c>
    </row>
    <row r="555" spans="1:13" ht="20.25" customHeight="1" x14ac:dyDescent="0.4">
      <c r="A555" s="482">
        <v>46088</v>
      </c>
      <c r="B555" s="59" t="s">
        <v>782</v>
      </c>
      <c r="C555" s="68" t="s">
        <v>154</v>
      </c>
      <c r="D555" s="59" t="s">
        <v>266</v>
      </c>
      <c r="E555" s="67"/>
      <c r="F555" s="49">
        <v>4</v>
      </c>
      <c r="G555" s="49">
        <f t="shared" si="20"/>
        <v>3896773.6230000001</v>
      </c>
      <c r="H555" s="36">
        <f t="shared" si="19"/>
        <v>15587094.492000001</v>
      </c>
      <c r="I555" s="67" t="s">
        <v>1014</v>
      </c>
      <c r="J555" s="67">
        <v>419310</v>
      </c>
      <c r="K555" s="67" t="s">
        <v>1243</v>
      </c>
      <c r="L555" s="67">
        <v>9.2933000000000003</v>
      </c>
    </row>
    <row r="556" spans="1:13" ht="20.25" customHeight="1" x14ac:dyDescent="0.4">
      <c r="A556" s="482">
        <v>46088</v>
      </c>
      <c r="B556" s="59" t="s">
        <v>782</v>
      </c>
      <c r="C556" s="68" t="s">
        <v>158</v>
      </c>
      <c r="D556" s="59" t="s">
        <v>252</v>
      </c>
      <c r="E556" s="67"/>
      <c r="F556" s="49">
        <v>6</v>
      </c>
      <c r="G556" s="49">
        <f t="shared" si="20"/>
        <v>3505432.7600000002</v>
      </c>
      <c r="H556" s="36">
        <f t="shared" si="19"/>
        <v>21032596.560000002</v>
      </c>
      <c r="I556" s="67" t="s">
        <v>1016</v>
      </c>
      <c r="J556" s="67">
        <v>377200</v>
      </c>
      <c r="K556" s="67" t="s">
        <v>1243</v>
      </c>
      <c r="L556" s="67">
        <v>9.2933000000000003</v>
      </c>
    </row>
    <row r="557" spans="1:13" ht="20.25" customHeight="1" x14ac:dyDescent="0.4">
      <c r="A557" s="482">
        <v>46088</v>
      </c>
      <c r="B557" s="59" t="s">
        <v>782</v>
      </c>
      <c r="C557" s="68" t="s">
        <v>158</v>
      </c>
      <c r="D557" s="59" t="s">
        <v>339</v>
      </c>
      <c r="E557" s="67"/>
      <c r="F557" s="49">
        <v>8</v>
      </c>
      <c r="G557" s="49">
        <f t="shared" si="20"/>
        <v>3505432.7600000002</v>
      </c>
      <c r="H557" s="36">
        <f t="shared" si="19"/>
        <v>28043462.080000002</v>
      </c>
      <c r="I557" s="67" t="s">
        <v>1143</v>
      </c>
      <c r="J557" s="67">
        <v>377200</v>
      </c>
      <c r="K557" s="67" t="s">
        <v>1243</v>
      </c>
      <c r="L557" s="67">
        <v>9.2933000000000003</v>
      </c>
    </row>
    <row r="558" spans="1:13" ht="20.25" customHeight="1" x14ac:dyDescent="0.4">
      <c r="A558" s="482">
        <v>46088</v>
      </c>
      <c r="B558" s="59" t="s">
        <v>782</v>
      </c>
      <c r="C558" s="68" t="s">
        <v>150</v>
      </c>
      <c r="D558" s="59" t="s">
        <v>275</v>
      </c>
      <c r="E558" s="67"/>
      <c r="F558" s="49">
        <v>1</v>
      </c>
      <c r="G558" s="49">
        <f t="shared" si="20"/>
        <v>543379.25100000005</v>
      </c>
      <c r="H558" s="36">
        <f t="shared" si="19"/>
        <v>543379.25100000005</v>
      </c>
      <c r="I558" s="67" t="s">
        <v>1144</v>
      </c>
      <c r="J558" s="67">
        <v>58470</v>
      </c>
      <c r="K558" s="67" t="s">
        <v>1243</v>
      </c>
      <c r="L558" s="67">
        <v>9.2933000000000003</v>
      </c>
    </row>
    <row r="559" spans="1:13" ht="20.25" customHeight="1" x14ac:dyDescent="0.4">
      <c r="A559" s="482">
        <v>46088</v>
      </c>
      <c r="B559" s="59" t="s">
        <v>782</v>
      </c>
      <c r="C559" s="68" t="s">
        <v>150</v>
      </c>
      <c r="D559" s="59" t="s">
        <v>256</v>
      </c>
      <c r="E559" s="67"/>
      <c r="F559" s="49">
        <v>1</v>
      </c>
      <c r="G559" s="49">
        <f t="shared" si="20"/>
        <v>127364.6765</v>
      </c>
      <c r="H559" s="36">
        <f t="shared" si="19"/>
        <v>127364.6765</v>
      </c>
      <c r="I559" s="67" t="s">
        <v>1145</v>
      </c>
      <c r="J559" s="67">
        <v>13705</v>
      </c>
      <c r="K559" s="67" t="s">
        <v>1243</v>
      </c>
      <c r="L559" s="67">
        <v>9.2933000000000003</v>
      </c>
      <c r="M559" s="439">
        <f t="shared" ref="M559:M584" si="21">F559*G559</f>
        <v>127364.6765</v>
      </c>
    </row>
    <row r="560" spans="1:13" ht="20.25" customHeight="1" x14ac:dyDescent="0.4">
      <c r="A560" s="482">
        <v>46088</v>
      </c>
      <c r="B560" s="59" t="s">
        <v>782</v>
      </c>
      <c r="C560" s="68" t="s">
        <v>150</v>
      </c>
      <c r="D560" s="59" t="s">
        <v>391</v>
      </c>
      <c r="E560" s="67"/>
      <c r="F560" s="49">
        <v>1</v>
      </c>
      <c r="G560" s="49">
        <f t="shared" si="20"/>
        <v>127364.6765</v>
      </c>
      <c r="H560" s="36">
        <f t="shared" si="19"/>
        <v>127364.6765</v>
      </c>
      <c r="I560" s="67" t="s">
        <v>1145</v>
      </c>
      <c r="J560" s="67">
        <v>13705</v>
      </c>
      <c r="K560" s="67" t="s">
        <v>1243</v>
      </c>
      <c r="L560" s="67">
        <v>9.2933000000000003</v>
      </c>
      <c r="M560" s="439">
        <f t="shared" si="21"/>
        <v>127364.6765</v>
      </c>
    </row>
    <row r="561" spans="1:13" ht="20.25" customHeight="1" x14ac:dyDescent="0.4">
      <c r="A561" s="482">
        <v>46088</v>
      </c>
      <c r="B561" s="59" t="s">
        <v>782</v>
      </c>
      <c r="C561" s="68" t="s">
        <v>150</v>
      </c>
      <c r="D561" s="59" t="s">
        <v>391</v>
      </c>
      <c r="E561" s="67"/>
      <c r="F561" s="49">
        <v>3</v>
      </c>
      <c r="G561" s="49">
        <f t="shared" si="20"/>
        <v>127364.6765</v>
      </c>
      <c r="H561" s="36">
        <f t="shared" si="19"/>
        <v>382094.0295</v>
      </c>
      <c r="I561" s="67" t="s">
        <v>1015</v>
      </c>
      <c r="J561" s="67">
        <v>13705</v>
      </c>
      <c r="K561" s="67" t="s">
        <v>1243</v>
      </c>
      <c r="L561" s="67">
        <v>9.2933000000000003</v>
      </c>
      <c r="M561" s="439">
        <f t="shared" si="21"/>
        <v>382094.0295</v>
      </c>
    </row>
    <row r="562" spans="1:13" ht="20.25" customHeight="1" x14ac:dyDescent="0.4">
      <c r="A562" s="482">
        <v>46088</v>
      </c>
      <c r="B562" s="59" t="s">
        <v>782</v>
      </c>
      <c r="C562" s="68" t="s">
        <v>150</v>
      </c>
      <c r="D562" s="59" t="s">
        <v>391</v>
      </c>
      <c r="E562" s="67"/>
      <c r="F562" s="49">
        <v>1</v>
      </c>
      <c r="G562" s="49">
        <f t="shared" si="20"/>
        <v>124660.32620000001</v>
      </c>
      <c r="H562" s="36">
        <f t="shared" si="19"/>
        <v>124660.32620000001</v>
      </c>
      <c r="I562" s="67" t="s">
        <v>1146</v>
      </c>
      <c r="J562" s="67">
        <v>13414</v>
      </c>
      <c r="K562" s="67" t="s">
        <v>1243</v>
      </c>
      <c r="L562" s="67">
        <v>9.2933000000000003</v>
      </c>
      <c r="M562" s="439">
        <f t="shared" si="21"/>
        <v>124660.32620000001</v>
      </c>
    </row>
    <row r="563" spans="1:13" ht="20.25" customHeight="1" x14ac:dyDescent="0.4">
      <c r="A563" s="482">
        <v>46088</v>
      </c>
      <c r="B563" s="59" t="s">
        <v>782</v>
      </c>
      <c r="C563" s="68" t="s">
        <v>150</v>
      </c>
      <c r="D563" s="59" t="s">
        <v>391</v>
      </c>
      <c r="E563" s="67"/>
      <c r="F563" s="49">
        <v>1</v>
      </c>
      <c r="G563" s="49">
        <f t="shared" si="20"/>
        <v>124660.32620000001</v>
      </c>
      <c r="H563" s="36">
        <f t="shared" si="19"/>
        <v>124660.32620000001</v>
      </c>
      <c r="I563" s="67" t="s">
        <v>1147</v>
      </c>
      <c r="J563" s="67">
        <v>13414</v>
      </c>
      <c r="K563" s="67" t="s">
        <v>1243</v>
      </c>
      <c r="L563" s="67">
        <v>9.2933000000000003</v>
      </c>
      <c r="M563" s="439">
        <f t="shared" si="21"/>
        <v>124660.32620000001</v>
      </c>
    </row>
    <row r="564" spans="1:13" ht="20.25" customHeight="1" x14ac:dyDescent="0.4">
      <c r="A564" s="482">
        <v>46088</v>
      </c>
      <c r="B564" s="59" t="s">
        <v>782</v>
      </c>
      <c r="C564" s="68" t="s">
        <v>156</v>
      </c>
      <c r="D564" s="59" t="s">
        <v>271</v>
      </c>
      <c r="E564" s="67"/>
      <c r="F564" s="49">
        <v>4</v>
      </c>
      <c r="G564" s="49">
        <f t="shared" si="20"/>
        <v>106185.2458</v>
      </c>
      <c r="H564" s="36">
        <f t="shared" si="19"/>
        <v>424740.98320000002</v>
      </c>
      <c r="I564" s="67" t="s">
        <v>817</v>
      </c>
      <c r="J564" s="67">
        <v>11426</v>
      </c>
      <c r="K564" s="67" t="s">
        <v>1243</v>
      </c>
      <c r="L564" s="67">
        <v>9.2933000000000003</v>
      </c>
      <c r="M564" s="439">
        <f t="shared" si="21"/>
        <v>424740.98320000002</v>
      </c>
    </row>
    <row r="565" spans="1:13" ht="20.25" customHeight="1" x14ac:dyDescent="0.4">
      <c r="A565" s="482">
        <v>46088</v>
      </c>
      <c r="B565" s="59" t="s">
        <v>782</v>
      </c>
      <c r="C565" s="68" t="s">
        <v>156</v>
      </c>
      <c r="D565" s="59" t="s">
        <v>272</v>
      </c>
      <c r="E565" s="67"/>
      <c r="F565" s="49">
        <v>3</v>
      </c>
      <c r="G565" s="49">
        <f t="shared" si="20"/>
        <v>106185.2458</v>
      </c>
      <c r="H565" s="36">
        <f t="shared" si="19"/>
        <v>318555.73739999998</v>
      </c>
      <c r="I565" s="67" t="s">
        <v>1148</v>
      </c>
      <c r="J565" s="67">
        <v>11426</v>
      </c>
      <c r="K565" s="67" t="s">
        <v>1243</v>
      </c>
      <c r="L565" s="67">
        <v>9.2933000000000003</v>
      </c>
      <c r="M565" s="439">
        <f t="shared" si="21"/>
        <v>318555.73739999998</v>
      </c>
    </row>
    <row r="566" spans="1:13" ht="20.25" customHeight="1" x14ac:dyDescent="0.4">
      <c r="A566" s="482">
        <v>46088</v>
      </c>
      <c r="B566" s="59" t="s">
        <v>782</v>
      </c>
      <c r="C566" s="68" t="s">
        <v>150</v>
      </c>
      <c r="D566" s="59" t="s">
        <v>334</v>
      </c>
      <c r="E566" s="67"/>
      <c r="F566" s="49">
        <v>1</v>
      </c>
      <c r="G566" s="49">
        <f t="shared" si="20"/>
        <v>20082.8213</v>
      </c>
      <c r="H566" s="36">
        <f t="shared" si="19"/>
        <v>20082.8213</v>
      </c>
      <c r="I566" s="67" t="s">
        <v>1149</v>
      </c>
      <c r="J566" s="67">
        <v>2161</v>
      </c>
      <c r="K566" s="67" t="s">
        <v>1243</v>
      </c>
      <c r="L566" s="67">
        <v>9.2933000000000003</v>
      </c>
      <c r="M566" s="439">
        <f t="shared" si="21"/>
        <v>20082.8213</v>
      </c>
    </row>
    <row r="567" spans="1:13" ht="20.25" customHeight="1" x14ac:dyDescent="0.4">
      <c r="A567" s="482">
        <v>46088</v>
      </c>
      <c r="B567" s="59" t="s">
        <v>782</v>
      </c>
      <c r="C567" s="68" t="s">
        <v>150</v>
      </c>
      <c r="D567" s="59" t="s">
        <v>335</v>
      </c>
      <c r="E567" s="67"/>
      <c r="F567" s="49">
        <v>4</v>
      </c>
      <c r="G567" s="49">
        <f t="shared" si="20"/>
        <v>20082.8213</v>
      </c>
      <c r="H567" s="36">
        <f t="shared" si="19"/>
        <v>80331.285199999998</v>
      </c>
      <c r="I567" s="67" t="s">
        <v>1150</v>
      </c>
      <c r="J567" s="67">
        <v>2161</v>
      </c>
      <c r="K567" s="67" t="s">
        <v>1243</v>
      </c>
      <c r="L567" s="67">
        <v>9.2933000000000003</v>
      </c>
      <c r="M567" s="439">
        <f t="shared" si="21"/>
        <v>80331.285199999998</v>
      </c>
    </row>
    <row r="568" spans="1:13" ht="20.25" customHeight="1" x14ac:dyDescent="0.4">
      <c r="A568" s="482">
        <v>46088</v>
      </c>
      <c r="B568" s="59" t="s">
        <v>782</v>
      </c>
      <c r="C568" s="68" t="s">
        <v>152</v>
      </c>
      <c r="D568" s="59" t="s">
        <v>263</v>
      </c>
      <c r="E568" s="67"/>
      <c r="F568" s="49">
        <v>1</v>
      </c>
      <c r="G568" s="49">
        <f t="shared" si="20"/>
        <v>62506.735800000002</v>
      </c>
      <c r="H568" s="36">
        <f t="shared" si="19"/>
        <v>62506.735800000002</v>
      </c>
      <c r="I568" s="67" t="s">
        <v>1151</v>
      </c>
      <c r="J568" s="67">
        <v>6726</v>
      </c>
      <c r="K568" s="67" t="s">
        <v>1243</v>
      </c>
      <c r="L568" s="67">
        <v>9.2933000000000003</v>
      </c>
      <c r="M568" s="439">
        <f t="shared" si="21"/>
        <v>62506.735800000002</v>
      </c>
    </row>
    <row r="569" spans="1:13" ht="20.25" customHeight="1" x14ac:dyDescent="0.4">
      <c r="A569" s="482">
        <v>46088</v>
      </c>
      <c r="B569" s="59" t="s">
        <v>782</v>
      </c>
      <c r="C569" s="68" t="s">
        <v>150</v>
      </c>
      <c r="D569" s="59" t="s">
        <v>335</v>
      </c>
      <c r="E569" s="67"/>
      <c r="F569" s="49">
        <v>2</v>
      </c>
      <c r="G569" s="49">
        <f t="shared" si="20"/>
        <v>20519.606400000001</v>
      </c>
      <c r="H569" s="36">
        <f t="shared" si="19"/>
        <v>41039.212800000001</v>
      </c>
      <c r="I569" s="67" t="s">
        <v>1152</v>
      </c>
      <c r="J569" s="67">
        <v>2208</v>
      </c>
      <c r="K569" s="67" t="s">
        <v>1243</v>
      </c>
      <c r="L569" s="67">
        <v>9.2933000000000003</v>
      </c>
      <c r="M569" s="439">
        <f t="shared" si="21"/>
        <v>41039.212800000001</v>
      </c>
    </row>
    <row r="570" spans="1:13" ht="20.25" customHeight="1" x14ac:dyDescent="0.4">
      <c r="A570" s="482">
        <v>46088</v>
      </c>
      <c r="B570" s="59" t="s">
        <v>782</v>
      </c>
      <c r="C570" s="68" t="s">
        <v>158</v>
      </c>
      <c r="D570" s="59" t="s">
        <v>339</v>
      </c>
      <c r="E570" s="67"/>
      <c r="F570" s="49">
        <v>1</v>
      </c>
      <c r="G570" s="49">
        <f t="shared" si="20"/>
        <v>501838.2</v>
      </c>
      <c r="H570" s="36">
        <f t="shared" si="19"/>
        <v>501838.2</v>
      </c>
      <c r="I570" s="67" t="s">
        <v>791</v>
      </c>
      <c r="J570" s="67">
        <v>54000</v>
      </c>
      <c r="K570" s="67" t="s">
        <v>1243</v>
      </c>
      <c r="L570" s="67">
        <v>9.2933000000000003</v>
      </c>
      <c r="M570" s="439">
        <f t="shared" si="21"/>
        <v>501838.2</v>
      </c>
    </row>
    <row r="571" spans="1:13" ht="20.25" customHeight="1" x14ac:dyDescent="0.4">
      <c r="A571" s="482">
        <v>46088</v>
      </c>
      <c r="B571" s="59" t="s">
        <v>782</v>
      </c>
      <c r="C571" s="68" t="s">
        <v>150</v>
      </c>
      <c r="D571" s="59" t="s">
        <v>257</v>
      </c>
      <c r="E571" s="67"/>
      <c r="F571" s="49">
        <v>2</v>
      </c>
      <c r="G571" s="49">
        <f t="shared" si="20"/>
        <v>135496.31400000001</v>
      </c>
      <c r="H571" s="36">
        <f t="shared" si="19"/>
        <v>270992.62800000003</v>
      </c>
      <c r="I571" s="67" t="s">
        <v>1153</v>
      </c>
      <c r="J571" s="67">
        <v>14580</v>
      </c>
      <c r="K571" s="67" t="s">
        <v>1243</v>
      </c>
      <c r="L571" s="67">
        <v>9.2933000000000003</v>
      </c>
      <c r="M571" s="439">
        <f t="shared" si="21"/>
        <v>270992.62800000003</v>
      </c>
    </row>
    <row r="572" spans="1:13" ht="20.25" customHeight="1" x14ac:dyDescent="0.4">
      <c r="A572" s="482">
        <v>46088</v>
      </c>
      <c r="B572" s="59" t="s">
        <v>782</v>
      </c>
      <c r="C572" s="68" t="s">
        <v>150</v>
      </c>
      <c r="D572" s="59" t="s">
        <v>335</v>
      </c>
      <c r="E572" s="67"/>
      <c r="F572" s="49">
        <v>1</v>
      </c>
      <c r="G572" s="49">
        <f t="shared" si="20"/>
        <v>20082.8213</v>
      </c>
      <c r="H572" s="36">
        <f t="shared" si="19"/>
        <v>20082.8213</v>
      </c>
      <c r="I572" s="67" t="s">
        <v>1154</v>
      </c>
      <c r="J572" s="67">
        <v>2161</v>
      </c>
      <c r="K572" s="67" t="s">
        <v>1243</v>
      </c>
      <c r="L572" s="67">
        <v>9.2933000000000003</v>
      </c>
      <c r="M572" s="439">
        <f t="shared" si="21"/>
        <v>20082.8213</v>
      </c>
    </row>
    <row r="573" spans="1:13" ht="20.25" customHeight="1" x14ac:dyDescent="0.4">
      <c r="A573" s="482">
        <v>46088</v>
      </c>
      <c r="B573" s="59" t="s">
        <v>782</v>
      </c>
      <c r="C573" s="68" t="s">
        <v>150</v>
      </c>
      <c r="D573" s="59" t="s">
        <v>335</v>
      </c>
      <c r="E573" s="67"/>
      <c r="F573" s="49">
        <v>2</v>
      </c>
      <c r="G573" s="49">
        <f t="shared" si="20"/>
        <v>20082.8213</v>
      </c>
      <c r="H573" s="36">
        <f t="shared" si="19"/>
        <v>40165.642599999999</v>
      </c>
      <c r="I573" s="67" t="s">
        <v>1155</v>
      </c>
      <c r="J573" s="67">
        <v>2161</v>
      </c>
      <c r="K573" s="67" t="s">
        <v>1243</v>
      </c>
      <c r="L573" s="67">
        <v>9.2933000000000003</v>
      </c>
      <c r="M573" s="439">
        <f t="shared" si="21"/>
        <v>40165.642599999999</v>
      </c>
    </row>
    <row r="574" spans="1:13" ht="20.25" customHeight="1" x14ac:dyDescent="0.4">
      <c r="A574" s="482">
        <v>46088</v>
      </c>
      <c r="B574" s="59" t="s">
        <v>782</v>
      </c>
      <c r="C574" s="68" t="s">
        <v>150</v>
      </c>
      <c r="D574" s="59" t="s">
        <v>335</v>
      </c>
      <c r="E574" s="67"/>
      <c r="F574" s="49">
        <v>2</v>
      </c>
      <c r="G574" s="49">
        <f t="shared" si="20"/>
        <v>20519.606400000001</v>
      </c>
      <c r="H574" s="36">
        <f t="shared" si="19"/>
        <v>41039.212800000001</v>
      </c>
      <c r="I574" s="67" t="s">
        <v>1156</v>
      </c>
      <c r="J574" s="67">
        <v>2208</v>
      </c>
      <c r="K574" s="67" t="s">
        <v>1243</v>
      </c>
      <c r="L574" s="67">
        <v>9.2933000000000003</v>
      </c>
      <c r="M574" s="439">
        <f t="shared" si="21"/>
        <v>41039.212800000001</v>
      </c>
    </row>
    <row r="575" spans="1:13" ht="20.25" customHeight="1" x14ac:dyDescent="0.4">
      <c r="A575" s="482">
        <v>46088</v>
      </c>
      <c r="B575" s="59" t="s">
        <v>782</v>
      </c>
      <c r="C575" s="68" t="s">
        <v>150</v>
      </c>
      <c r="D575" s="59" t="s">
        <v>391</v>
      </c>
      <c r="E575" s="67"/>
      <c r="F575" s="49">
        <v>1</v>
      </c>
      <c r="G575" s="49">
        <f t="shared" si="20"/>
        <v>124660.32620000001</v>
      </c>
      <c r="H575" s="36">
        <f t="shared" si="19"/>
        <v>124660.32620000001</v>
      </c>
      <c r="I575" s="67" t="s">
        <v>1018</v>
      </c>
      <c r="J575" s="67">
        <v>13414</v>
      </c>
      <c r="K575" s="67" t="s">
        <v>1243</v>
      </c>
      <c r="L575" s="67">
        <v>9.2933000000000003</v>
      </c>
      <c r="M575" s="439">
        <f t="shared" si="21"/>
        <v>124660.32620000001</v>
      </c>
    </row>
    <row r="576" spans="1:13" ht="20.25" customHeight="1" x14ac:dyDescent="0.4">
      <c r="A576" s="482">
        <v>46088</v>
      </c>
      <c r="B576" s="59" t="s">
        <v>782</v>
      </c>
      <c r="C576" s="68" t="s">
        <v>150</v>
      </c>
      <c r="D576" s="59" t="s">
        <v>391</v>
      </c>
      <c r="E576" s="67"/>
      <c r="F576" s="49">
        <v>4</v>
      </c>
      <c r="G576" s="49">
        <f t="shared" si="20"/>
        <v>135496.31400000001</v>
      </c>
      <c r="H576" s="36">
        <f t="shared" si="19"/>
        <v>541985.25600000005</v>
      </c>
      <c r="I576" s="67" t="s">
        <v>1157</v>
      </c>
      <c r="J576" s="67">
        <v>14580</v>
      </c>
      <c r="K576" s="67" t="s">
        <v>1243</v>
      </c>
      <c r="L576" s="67">
        <v>9.2933000000000003</v>
      </c>
      <c r="M576" s="439">
        <f t="shared" si="21"/>
        <v>541985.25600000005</v>
      </c>
    </row>
    <row r="577" spans="1:13" ht="20.25" customHeight="1" x14ac:dyDescent="0.4">
      <c r="A577" s="482">
        <v>46088</v>
      </c>
      <c r="B577" s="59" t="s">
        <v>782</v>
      </c>
      <c r="C577" s="68" t="s">
        <v>150</v>
      </c>
      <c r="D577" s="59" t="s">
        <v>258</v>
      </c>
      <c r="E577" s="67"/>
      <c r="F577" s="49">
        <v>1</v>
      </c>
      <c r="G577" s="49">
        <f t="shared" si="20"/>
        <v>124660.32620000001</v>
      </c>
      <c r="H577" s="36">
        <f t="shared" si="19"/>
        <v>124660.32620000001</v>
      </c>
      <c r="I577" s="67" t="s">
        <v>1158</v>
      </c>
      <c r="J577" s="67">
        <v>13414</v>
      </c>
      <c r="K577" s="67" t="s">
        <v>1243</v>
      </c>
      <c r="L577" s="67">
        <v>9.2933000000000003</v>
      </c>
      <c r="M577" s="439">
        <f t="shared" si="21"/>
        <v>124660.32620000001</v>
      </c>
    </row>
    <row r="578" spans="1:13" ht="20.25" customHeight="1" x14ac:dyDescent="0.4">
      <c r="A578" s="482">
        <v>46088</v>
      </c>
      <c r="B578" s="59" t="s">
        <v>782</v>
      </c>
      <c r="C578" s="68" t="s">
        <v>150</v>
      </c>
      <c r="D578" s="59" t="s">
        <v>258</v>
      </c>
      <c r="E578" s="67"/>
      <c r="F578" s="49">
        <v>1</v>
      </c>
      <c r="G578" s="49">
        <f t="shared" si="20"/>
        <v>135496.31400000001</v>
      </c>
      <c r="H578" s="36">
        <f t="shared" si="19"/>
        <v>135496.31400000001</v>
      </c>
      <c r="I578" s="67" t="s">
        <v>1159</v>
      </c>
      <c r="J578" s="67">
        <v>14580</v>
      </c>
      <c r="K578" s="67" t="s">
        <v>1243</v>
      </c>
      <c r="L578" s="67">
        <v>9.2933000000000003</v>
      </c>
      <c r="M578" s="439">
        <f t="shared" si="21"/>
        <v>135496.31400000001</v>
      </c>
    </row>
    <row r="579" spans="1:13" ht="20.25" customHeight="1" x14ac:dyDescent="0.4">
      <c r="A579" s="482">
        <v>46088</v>
      </c>
      <c r="B579" s="59" t="s">
        <v>782</v>
      </c>
      <c r="C579" s="68" t="s">
        <v>155</v>
      </c>
      <c r="D579" s="59" t="s">
        <v>254</v>
      </c>
      <c r="E579" s="67"/>
      <c r="F579" s="49">
        <v>1</v>
      </c>
      <c r="G579" s="49">
        <f t="shared" si="20"/>
        <v>523621.69520000002</v>
      </c>
      <c r="H579" s="36">
        <f t="shared" si="19"/>
        <v>523621.69520000002</v>
      </c>
      <c r="I579" s="67" t="s">
        <v>1160</v>
      </c>
      <c r="J579" s="67">
        <v>56344</v>
      </c>
      <c r="K579" s="67" t="s">
        <v>1243</v>
      </c>
      <c r="L579" s="67">
        <v>9.2933000000000003</v>
      </c>
      <c r="M579" s="439">
        <f t="shared" si="21"/>
        <v>523621.69520000002</v>
      </c>
    </row>
    <row r="580" spans="1:13" ht="20.25" customHeight="1" x14ac:dyDescent="0.4">
      <c r="A580" s="482">
        <v>46088</v>
      </c>
      <c r="B580" s="59" t="s">
        <v>782</v>
      </c>
      <c r="C580" s="68" t="s">
        <v>161</v>
      </c>
      <c r="D580" s="59" t="s">
        <v>990</v>
      </c>
      <c r="E580" s="67"/>
      <c r="F580" s="49">
        <v>1</v>
      </c>
      <c r="G580" s="49">
        <f t="shared" si="20"/>
        <v>21829.9617</v>
      </c>
      <c r="H580" s="36">
        <f t="shared" ref="H580:H643" si="22">F580*G580</f>
        <v>21829.9617</v>
      </c>
      <c r="I580" s="67" t="s">
        <v>1161</v>
      </c>
      <c r="J580" s="67">
        <v>2349</v>
      </c>
      <c r="K580" s="67" t="s">
        <v>1243</v>
      </c>
      <c r="L580" s="67">
        <v>9.2933000000000003</v>
      </c>
      <c r="M580" s="439">
        <f t="shared" si="21"/>
        <v>21829.9617</v>
      </c>
    </row>
    <row r="581" spans="1:13" ht="20.25" customHeight="1" x14ac:dyDescent="0.4">
      <c r="A581" s="482">
        <v>46088</v>
      </c>
      <c r="B581" s="59" t="s">
        <v>782</v>
      </c>
      <c r="C581" s="68" t="s">
        <v>161</v>
      </c>
      <c r="D581" s="59" t="s">
        <v>990</v>
      </c>
      <c r="E581" s="67"/>
      <c r="F581" s="49">
        <v>1</v>
      </c>
      <c r="G581" s="49">
        <f t="shared" ref="G581:G644" si="23">J581*L581</f>
        <v>21829.9617</v>
      </c>
      <c r="H581" s="36">
        <f t="shared" si="22"/>
        <v>21829.9617</v>
      </c>
      <c r="I581" s="67" t="s">
        <v>1162</v>
      </c>
      <c r="J581" s="67">
        <v>2349</v>
      </c>
      <c r="K581" s="67" t="s">
        <v>1243</v>
      </c>
      <c r="L581" s="67">
        <v>9.2933000000000003</v>
      </c>
      <c r="M581" s="439">
        <f t="shared" si="21"/>
        <v>21829.9617</v>
      </c>
    </row>
    <row r="582" spans="1:13" ht="20.25" customHeight="1" x14ac:dyDescent="0.4">
      <c r="A582" s="482">
        <v>46088</v>
      </c>
      <c r="B582" s="59" t="s">
        <v>782</v>
      </c>
      <c r="C582" s="68" t="s">
        <v>150</v>
      </c>
      <c r="D582" s="59" t="s">
        <v>335</v>
      </c>
      <c r="E582" s="67"/>
      <c r="F582" s="49">
        <v>1</v>
      </c>
      <c r="G582" s="49">
        <f t="shared" si="23"/>
        <v>21829.9617</v>
      </c>
      <c r="H582" s="36">
        <f t="shared" si="22"/>
        <v>21829.9617</v>
      </c>
      <c r="I582" s="67" t="s">
        <v>817</v>
      </c>
      <c r="J582" s="67">
        <v>2349</v>
      </c>
      <c r="K582" s="67" t="s">
        <v>1243</v>
      </c>
      <c r="L582" s="67">
        <v>9.2933000000000003</v>
      </c>
      <c r="M582" s="439">
        <f t="shared" si="21"/>
        <v>21829.9617</v>
      </c>
    </row>
    <row r="583" spans="1:13" ht="20.25" customHeight="1" x14ac:dyDescent="0.4">
      <c r="A583" s="482">
        <v>46088</v>
      </c>
      <c r="B583" s="59" t="s">
        <v>782</v>
      </c>
      <c r="C583" s="68" t="s">
        <v>152</v>
      </c>
      <c r="D583" s="59" t="s">
        <v>159</v>
      </c>
      <c r="E583" s="67"/>
      <c r="F583" s="49">
        <v>1</v>
      </c>
      <c r="G583" s="49">
        <f t="shared" si="23"/>
        <v>66493.561499999996</v>
      </c>
      <c r="H583" s="36">
        <f t="shared" si="22"/>
        <v>66493.561499999996</v>
      </c>
      <c r="I583" s="67" t="s">
        <v>1163</v>
      </c>
      <c r="J583" s="67">
        <v>7155</v>
      </c>
      <c r="K583" s="67" t="s">
        <v>1243</v>
      </c>
      <c r="L583" s="67">
        <v>9.2933000000000003</v>
      </c>
      <c r="M583" s="439">
        <f t="shared" si="21"/>
        <v>66493.561499999996</v>
      </c>
    </row>
    <row r="584" spans="1:13" ht="20.25" customHeight="1" x14ac:dyDescent="0.4">
      <c r="A584" s="482">
        <v>46088</v>
      </c>
      <c r="B584" s="59" t="s">
        <v>782</v>
      </c>
      <c r="C584" s="68" t="s">
        <v>154</v>
      </c>
      <c r="D584" s="59" t="s">
        <v>267</v>
      </c>
      <c r="E584" s="67"/>
      <c r="F584" s="49">
        <v>1</v>
      </c>
      <c r="G584" s="49">
        <f t="shared" si="23"/>
        <v>524420.91899999999</v>
      </c>
      <c r="H584" s="36">
        <f t="shared" si="22"/>
        <v>524420.91899999999</v>
      </c>
      <c r="I584" s="67" t="s">
        <v>1164</v>
      </c>
      <c r="J584" s="67">
        <v>56430</v>
      </c>
      <c r="K584" s="67" t="s">
        <v>1243</v>
      </c>
      <c r="L584" s="67">
        <v>9.2933000000000003</v>
      </c>
      <c r="M584" s="439">
        <f t="shared" si="21"/>
        <v>524420.91899999999</v>
      </c>
    </row>
    <row r="585" spans="1:13" ht="20.25" customHeight="1" x14ac:dyDescent="0.4">
      <c r="A585" s="482">
        <v>46094</v>
      </c>
      <c r="B585" s="59" t="s">
        <v>782</v>
      </c>
      <c r="C585" s="68" t="s">
        <v>160</v>
      </c>
      <c r="D585" s="59" t="s">
        <v>274</v>
      </c>
      <c r="E585" s="67"/>
      <c r="F585" s="49">
        <v>8</v>
      </c>
      <c r="G585" s="49">
        <f t="shared" si="23"/>
        <v>498004.73400000005</v>
      </c>
      <c r="H585" s="36">
        <f t="shared" si="22"/>
        <v>3984037.8720000004</v>
      </c>
      <c r="I585" s="67" t="s">
        <v>1165</v>
      </c>
      <c r="J585" s="67">
        <v>53610</v>
      </c>
      <c r="K585" s="67" t="s">
        <v>1244</v>
      </c>
      <c r="L585" s="67">
        <v>9.2894000000000005</v>
      </c>
      <c r="M585" s="439"/>
    </row>
    <row r="586" spans="1:13" ht="20.25" customHeight="1" x14ac:dyDescent="0.4">
      <c r="A586" s="482">
        <v>46094</v>
      </c>
      <c r="B586" s="59" t="s">
        <v>782</v>
      </c>
      <c r="C586" s="68" t="s">
        <v>152</v>
      </c>
      <c r="D586" s="59" t="s">
        <v>263</v>
      </c>
      <c r="E586" s="67"/>
      <c r="F586" s="49">
        <v>4</v>
      </c>
      <c r="G586" s="49">
        <f t="shared" si="23"/>
        <v>927732.37800000003</v>
      </c>
      <c r="H586" s="36">
        <f t="shared" si="22"/>
        <v>3710929.5120000001</v>
      </c>
      <c r="I586" s="67" t="s">
        <v>1166</v>
      </c>
      <c r="J586" s="67">
        <v>99870</v>
      </c>
      <c r="K586" s="67" t="s">
        <v>1244</v>
      </c>
      <c r="L586" s="67">
        <v>9.2894000000000005</v>
      </c>
      <c r="M586" s="439"/>
    </row>
    <row r="587" spans="1:13" ht="20.25" customHeight="1" x14ac:dyDescent="0.4">
      <c r="A587" s="482">
        <v>46094</v>
      </c>
      <c r="B587" s="59" t="s">
        <v>782</v>
      </c>
      <c r="C587" s="68" t="s">
        <v>150</v>
      </c>
      <c r="D587" s="59" t="s">
        <v>334</v>
      </c>
      <c r="E587" s="67"/>
      <c r="F587" s="49">
        <v>4</v>
      </c>
      <c r="G587" s="49">
        <f t="shared" si="23"/>
        <v>304227.85000000003</v>
      </c>
      <c r="H587" s="36">
        <f t="shared" si="22"/>
        <v>1216911.4000000001</v>
      </c>
      <c r="I587" s="67" t="s">
        <v>1167</v>
      </c>
      <c r="J587" s="67">
        <v>32750</v>
      </c>
      <c r="K587" s="67" t="s">
        <v>1244</v>
      </c>
      <c r="L587" s="67">
        <v>9.2894000000000005</v>
      </c>
      <c r="M587" s="439"/>
    </row>
    <row r="588" spans="1:13" ht="20.25" customHeight="1" x14ac:dyDescent="0.4">
      <c r="A588" s="482">
        <v>46094</v>
      </c>
      <c r="B588" s="59" t="s">
        <v>782</v>
      </c>
      <c r="C588" s="68" t="s">
        <v>150</v>
      </c>
      <c r="D588" s="59" t="s">
        <v>335</v>
      </c>
      <c r="E588" s="67"/>
      <c r="F588" s="49">
        <v>4</v>
      </c>
      <c r="G588" s="49">
        <f t="shared" si="23"/>
        <v>304227.85000000003</v>
      </c>
      <c r="H588" s="36">
        <f t="shared" si="22"/>
        <v>1216911.4000000001</v>
      </c>
      <c r="I588" s="67" t="s">
        <v>1168</v>
      </c>
      <c r="J588" s="67">
        <v>32750</v>
      </c>
      <c r="K588" s="67" t="s">
        <v>1244</v>
      </c>
      <c r="L588" s="67">
        <v>9.2894000000000005</v>
      </c>
      <c r="M588" s="439"/>
    </row>
    <row r="589" spans="1:13" ht="20.25" customHeight="1" x14ac:dyDescent="0.4">
      <c r="A589" s="482">
        <v>46094</v>
      </c>
      <c r="B589" s="59" t="s">
        <v>782</v>
      </c>
      <c r="C589" s="68" t="s">
        <v>155</v>
      </c>
      <c r="D589" s="59" t="s">
        <v>253</v>
      </c>
      <c r="E589" s="67"/>
      <c r="F589" s="49">
        <v>8</v>
      </c>
      <c r="G589" s="49">
        <f t="shared" si="23"/>
        <v>3555796.5320000001</v>
      </c>
      <c r="H589" s="36">
        <f t="shared" si="22"/>
        <v>28446372.256000001</v>
      </c>
      <c r="I589" s="67" t="s">
        <v>1169</v>
      </c>
      <c r="J589" s="67">
        <v>382780</v>
      </c>
      <c r="K589" s="67" t="s">
        <v>1244</v>
      </c>
      <c r="L589" s="67">
        <v>9.2894000000000005</v>
      </c>
      <c r="M589" s="439"/>
    </row>
    <row r="590" spans="1:13" ht="20.25" customHeight="1" x14ac:dyDescent="0.4">
      <c r="A590" s="482">
        <v>46094</v>
      </c>
      <c r="B590" s="59" t="s">
        <v>782</v>
      </c>
      <c r="C590" s="68" t="s">
        <v>157</v>
      </c>
      <c r="D590" s="59" t="s">
        <v>259</v>
      </c>
      <c r="E590" s="67"/>
      <c r="F590" s="49">
        <v>8</v>
      </c>
      <c r="G590" s="49">
        <f t="shared" si="23"/>
        <v>3339353.5120000001</v>
      </c>
      <c r="H590" s="36">
        <f t="shared" si="22"/>
        <v>26714828.096000001</v>
      </c>
      <c r="I590" s="67" t="s">
        <v>1169</v>
      </c>
      <c r="J590" s="67">
        <v>359480</v>
      </c>
      <c r="K590" s="67" t="s">
        <v>1244</v>
      </c>
      <c r="L590" s="67">
        <v>9.2894000000000005</v>
      </c>
      <c r="M590" s="439"/>
    </row>
    <row r="591" spans="1:13" ht="20.25" customHeight="1" x14ac:dyDescent="0.4">
      <c r="A591" s="482">
        <v>46094</v>
      </c>
      <c r="B591" s="59" t="s">
        <v>782</v>
      </c>
      <c r="C591" s="68" t="s">
        <v>150</v>
      </c>
      <c r="D591" s="59" t="s">
        <v>335</v>
      </c>
      <c r="E591" s="67"/>
      <c r="F591" s="49">
        <v>4</v>
      </c>
      <c r="G591" s="49">
        <f t="shared" si="23"/>
        <v>304227.85000000003</v>
      </c>
      <c r="H591" s="36">
        <f t="shared" si="22"/>
        <v>1216911.4000000001</v>
      </c>
      <c r="I591" s="67" t="s">
        <v>1170</v>
      </c>
      <c r="J591" s="67">
        <v>32750</v>
      </c>
      <c r="K591" s="67" t="s">
        <v>1244</v>
      </c>
      <c r="L591" s="67">
        <v>9.2894000000000005</v>
      </c>
      <c r="M591" s="439"/>
    </row>
    <row r="592" spans="1:13" ht="20.25" customHeight="1" x14ac:dyDescent="0.4">
      <c r="A592" s="482">
        <v>46094</v>
      </c>
      <c r="B592" s="59" t="s">
        <v>782</v>
      </c>
      <c r="C592" s="68" t="s">
        <v>157</v>
      </c>
      <c r="D592" s="59" t="s">
        <v>273</v>
      </c>
      <c r="E592" s="67"/>
      <c r="F592" s="49">
        <v>4</v>
      </c>
      <c r="G592" s="49">
        <f t="shared" si="23"/>
        <v>316675.64600000001</v>
      </c>
      <c r="H592" s="36">
        <f t="shared" si="22"/>
        <v>1266702.584</v>
      </c>
      <c r="I592" s="67" t="s">
        <v>1170</v>
      </c>
      <c r="J592" s="67">
        <v>34090</v>
      </c>
      <c r="K592" s="67" t="s">
        <v>1244</v>
      </c>
      <c r="L592" s="67">
        <v>9.2894000000000005</v>
      </c>
      <c r="M592" s="439"/>
    </row>
    <row r="593" spans="1:13" ht="20.25" customHeight="1" x14ac:dyDescent="0.4">
      <c r="A593" s="482">
        <v>46094</v>
      </c>
      <c r="B593" s="59" t="s">
        <v>782</v>
      </c>
      <c r="C593" s="68" t="s">
        <v>150</v>
      </c>
      <c r="D593" s="59" t="s">
        <v>335</v>
      </c>
      <c r="E593" s="67"/>
      <c r="F593" s="49">
        <v>4</v>
      </c>
      <c r="G593" s="49">
        <f t="shared" si="23"/>
        <v>305063.89600000001</v>
      </c>
      <c r="H593" s="36">
        <f t="shared" si="22"/>
        <v>1220255.584</v>
      </c>
      <c r="I593" s="67" t="s">
        <v>1171</v>
      </c>
      <c r="J593" s="67">
        <v>32840</v>
      </c>
      <c r="K593" s="67" t="s">
        <v>1244</v>
      </c>
      <c r="L593" s="67">
        <v>9.2894000000000005</v>
      </c>
      <c r="M593" s="439"/>
    </row>
    <row r="594" spans="1:13" ht="20.25" customHeight="1" x14ac:dyDescent="0.4">
      <c r="A594" s="482">
        <v>46094</v>
      </c>
      <c r="B594" s="59" t="s">
        <v>782</v>
      </c>
      <c r="C594" s="68" t="s">
        <v>157</v>
      </c>
      <c r="D594" s="59" t="s">
        <v>338</v>
      </c>
      <c r="E594" s="67"/>
      <c r="F594" s="49">
        <v>4</v>
      </c>
      <c r="G594" s="49">
        <f t="shared" si="23"/>
        <v>317883.26800000004</v>
      </c>
      <c r="H594" s="36">
        <f t="shared" si="22"/>
        <v>1271533.0720000002</v>
      </c>
      <c r="I594" s="67" t="s">
        <v>1171</v>
      </c>
      <c r="J594" s="67">
        <v>34220</v>
      </c>
      <c r="K594" s="67" t="s">
        <v>1244</v>
      </c>
      <c r="L594" s="67">
        <v>9.2894000000000005</v>
      </c>
      <c r="M594" s="439"/>
    </row>
    <row r="595" spans="1:13" ht="20.25" customHeight="1" x14ac:dyDescent="0.4">
      <c r="A595" s="482">
        <v>46094</v>
      </c>
      <c r="B595" s="59" t="s">
        <v>782</v>
      </c>
      <c r="C595" s="68" t="s">
        <v>150</v>
      </c>
      <c r="D595" s="59" t="s">
        <v>257</v>
      </c>
      <c r="E595" s="67"/>
      <c r="F595" s="49">
        <v>8</v>
      </c>
      <c r="G595" s="49">
        <f t="shared" si="23"/>
        <v>1154300.844</v>
      </c>
      <c r="H595" s="36">
        <f t="shared" si="22"/>
        <v>9234406.7520000003</v>
      </c>
      <c r="I595" s="67" t="s">
        <v>1172</v>
      </c>
      <c r="J595" s="67">
        <v>124260</v>
      </c>
      <c r="K595" s="67" t="s">
        <v>1244</v>
      </c>
      <c r="L595" s="67">
        <v>9.2894000000000005</v>
      </c>
      <c r="M595" s="439"/>
    </row>
    <row r="596" spans="1:13" ht="20.25" customHeight="1" x14ac:dyDescent="0.4">
      <c r="A596" s="482">
        <v>46094</v>
      </c>
      <c r="B596" s="59" t="s">
        <v>782</v>
      </c>
      <c r="C596" s="68" t="s">
        <v>150</v>
      </c>
      <c r="D596" s="59" t="s">
        <v>334</v>
      </c>
      <c r="E596" s="67"/>
      <c r="F596" s="49">
        <v>4</v>
      </c>
      <c r="G596" s="49">
        <f t="shared" si="23"/>
        <v>305063.89600000001</v>
      </c>
      <c r="H596" s="36">
        <f t="shared" si="22"/>
        <v>1220255.584</v>
      </c>
      <c r="I596" s="67" t="s">
        <v>1173</v>
      </c>
      <c r="J596" s="67">
        <v>32840</v>
      </c>
      <c r="K596" s="67" t="s">
        <v>1244</v>
      </c>
      <c r="L596" s="67">
        <v>9.2894000000000005</v>
      </c>
      <c r="M596" s="439"/>
    </row>
    <row r="597" spans="1:13" ht="20.25" customHeight="1" x14ac:dyDescent="0.4">
      <c r="A597" s="482">
        <v>46094</v>
      </c>
      <c r="B597" s="59" t="s">
        <v>782</v>
      </c>
      <c r="C597" s="68" t="s">
        <v>157</v>
      </c>
      <c r="D597" s="59" t="s">
        <v>338</v>
      </c>
      <c r="E597" s="67"/>
      <c r="F597" s="49">
        <v>4</v>
      </c>
      <c r="G597" s="49">
        <f t="shared" si="23"/>
        <v>317883.26800000004</v>
      </c>
      <c r="H597" s="36">
        <f t="shared" si="22"/>
        <v>1271533.0720000002</v>
      </c>
      <c r="I597" s="67" t="s">
        <v>1173</v>
      </c>
      <c r="J597" s="67">
        <v>34220</v>
      </c>
      <c r="K597" s="67" t="s">
        <v>1244</v>
      </c>
      <c r="L597" s="67">
        <v>9.2894000000000005</v>
      </c>
      <c r="M597" s="439"/>
    </row>
    <row r="598" spans="1:13" ht="20.25" customHeight="1" x14ac:dyDescent="0.4">
      <c r="A598" s="482">
        <v>46094</v>
      </c>
      <c r="B598" s="59" t="s">
        <v>782</v>
      </c>
      <c r="C598" s="68" t="s">
        <v>156</v>
      </c>
      <c r="D598" s="59" t="s">
        <v>261</v>
      </c>
      <c r="E598" s="67"/>
      <c r="F598" s="49">
        <v>1</v>
      </c>
      <c r="G598" s="49">
        <f t="shared" si="23"/>
        <v>2056580.2660000001</v>
      </c>
      <c r="H598" s="36">
        <f t="shared" si="22"/>
        <v>2056580.2660000001</v>
      </c>
      <c r="I598" s="67" t="s">
        <v>1174</v>
      </c>
      <c r="J598" s="67">
        <v>221390</v>
      </c>
      <c r="K598" s="67" t="s">
        <v>1244</v>
      </c>
      <c r="L598" s="67">
        <v>9.2894000000000005</v>
      </c>
      <c r="M598" s="439"/>
    </row>
    <row r="599" spans="1:13" ht="20.25" customHeight="1" x14ac:dyDescent="0.4">
      <c r="A599" s="482">
        <v>46094</v>
      </c>
      <c r="B599" s="59" t="s">
        <v>782</v>
      </c>
      <c r="C599" s="68" t="s">
        <v>150</v>
      </c>
      <c r="D599" s="59" t="s">
        <v>257</v>
      </c>
      <c r="E599" s="67"/>
      <c r="F599" s="49">
        <v>8</v>
      </c>
      <c r="G599" s="49">
        <f t="shared" si="23"/>
        <v>1154300.844</v>
      </c>
      <c r="H599" s="36">
        <f t="shared" si="22"/>
        <v>9234406.7520000003</v>
      </c>
      <c r="I599" s="67" t="s">
        <v>1175</v>
      </c>
      <c r="J599" s="67">
        <v>124260</v>
      </c>
      <c r="K599" s="67" t="s">
        <v>1244</v>
      </c>
      <c r="L599" s="67">
        <v>9.2894000000000005</v>
      </c>
      <c r="M599" s="439"/>
    </row>
    <row r="600" spans="1:13" ht="20.25" customHeight="1" x14ac:dyDescent="0.4">
      <c r="A600" s="482">
        <v>46094</v>
      </c>
      <c r="B600" s="59" t="s">
        <v>782</v>
      </c>
      <c r="C600" s="68" t="s">
        <v>153</v>
      </c>
      <c r="D600" s="59" t="s">
        <v>264</v>
      </c>
      <c r="E600" s="67"/>
      <c r="F600" s="49">
        <v>8</v>
      </c>
      <c r="G600" s="49">
        <f t="shared" si="23"/>
        <v>2774929.568</v>
      </c>
      <c r="H600" s="36">
        <f t="shared" si="22"/>
        <v>22199436.544</v>
      </c>
      <c r="I600" s="67" t="s">
        <v>1175</v>
      </c>
      <c r="J600" s="67">
        <v>298720</v>
      </c>
      <c r="K600" s="67" t="s">
        <v>1244</v>
      </c>
      <c r="L600" s="67">
        <v>9.2894000000000005</v>
      </c>
      <c r="M600" s="439"/>
    </row>
    <row r="601" spans="1:13" ht="20.25" customHeight="1" x14ac:dyDescent="0.4">
      <c r="A601" s="482">
        <v>46094</v>
      </c>
      <c r="B601" s="59" t="s">
        <v>782</v>
      </c>
      <c r="C601" s="68" t="s">
        <v>157</v>
      </c>
      <c r="D601" s="59" t="s">
        <v>273</v>
      </c>
      <c r="E601" s="67"/>
      <c r="F601" s="49">
        <v>4</v>
      </c>
      <c r="G601" s="49">
        <f t="shared" si="23"/>
        <v>317883.26800000004</v>
      </c>
      <c r="H601" s="36">
        <f t="shared" si="22"/>
        <v>1271533.0720000002</v>
      </c>
      <c r="I601" s="67" t="s">
        <v>1176</v>
      </c>
      <c r="J601" s="67">
        <v>34220</v>
      </c>
      <c r="K601" s="67" t="s">
        <v>1244</v>
      </c>
      <c r="L601" s="67">
        <v>9.2894000000000005</v>
      </c>
      <c r="M601" s="439"/>
    </row>
    <row r="602" spans="1:13" ht="20.25" customHeight="1" x14ac:dyDescent="0.4">
      <c r="A602" s="482">
        <v>46094</v>
      </c>
      <c r="B602" s="59" t="s">
        <v>782</v>
      </c>
      <c r="C602" s="68" t="s">
        <v>156</v>
      </c>
      <c r="D602" s="59" t="s">
        <v>262</v>
      </c>
      <c r="E602" s="67"/>
      <c r="F602" s="49">
        <v>1</v>
      </c>
      <c r="G602" s="49">
        <f t="shared" si="23"/>
        <v>2056580.2660000001</v>
      </c>
      <c r="H602" s="36">
        <f t="shared" si="22"/>
        <v>2056580.2660000001</v>
      </c>
      <c r="I602" s="67" t="s">
        <v>1177</v>
      </c>
      <c r="J602" s="67">
        <v>221390</v>
      </c>
      <c r="K602" s="67" t="s">
        <v>1244</v>
      </c>
      <c r="L602" s="67">
        <v>9.2894000000000005</v>
      </c>
      <c r="M602" s="439"/>
    </row>
    <row r="603" spans="1:13" ht="20.25" customHeight="1" x14ac:dyDescent="0.4">
      <c r="A603" s="482">
        <v>46094</v>
      </c>
      <c r="B603" s="59" t="s">
        <v>782</v>
      </c>
      <c r="C603" s="68" t="s">
        <v>157</v>
      </c>
      <c r="D603" s="59" t="s">
        <v>270</v>
      </c>
      <c r="E603" s="67"/>
      <c r="F603" s="49">
        <v>1</v>
      </c>
      <c r="G603" s="49">
        <f t="shared" si="23"/>
        <v>3355981.5380000002</v>
      </c>
      <c r="H603" s="36">
        <f t="shared" si="22"/>
        <v>3355981.5380000002</v>
      </c>
      <c r="I603" s="67" t="s">
        <v>1178</v>
      </c>
      <c r="J603" s="67">
        <v>361270</v>
      </c>
      <c r="K603" s="67" t="s">
        <v>1244</v>
      </c>
      <c r="L603" s="67">
        <v>9.2894000000000005</v>
      </c>
      <c r="M603" s="439"/>
    </row>
    <row r="604" spans="1:13" ht="20.25" customHeight="1" x14ac:dyDescent="0.4">
      <c r="A604" s="482">
        <v>46094</v>
      </c>
      <c r="B604" s="59" t="s">
        <v>782</v>
      </c>
      <c r="C604" s="68" t="s">
        <v>156</v>
      </c>
      <c r="D604" s="59" t="s">
        <v>271</v>
      </c>
      <c r="E604" s="67"/>
      <c r="F604" s="49">
        <v>4</v>
      </c>
      <c r="G604" s="49">
        <f t="shared" si="23"/>
        <v>1070510.456</v>
      </c>
      <c r="H604" s="36">
        <f t="shared" si="22"/>
        <v>4282041.824</v>
      </c>
      <c r="I604" s="67" t="s">
        <v>1179</v>
      </c>
      <c r="J604" s="67">
        <v>115240</v>
      </c>
      <c r="K604" s="67" t="s">
        <v>1244</v>
      </c>
      <c r="L604" s="67">
        <v>9.2894000000000005</v>
      </c>
      <c r="M604" s="439"/>
    </row>
    <row r="605" spans="1:13" ht="20.25" customHeight="1" x14ac:dyDescent="0.4">
      <c r="A605" s="482">
        <v>46094</v>
      </c>
      <c r="B605" s="59" t="s">
        <v>782</v>
      </c>
      <c r="C605" s="68" t="s">
        <v>156</v>
      </c>
      <c r="D605" s="59" t="s">
        <v>262</v>
      </c>
      <c r="E605" s="67"/>
      <c r="F605" s="49">
        <v>1</v>
      </c>
      <c r="G605" s="49">
        <f t="shared" si="23"/>
        <v>2056580.2660000001</v>
      </c>
      <c r="H605" s="36">
        <f t="shared" si="22"/>
        <v>2056580.2660000001</v>
      </c>
      <c r="I605" s="67" t="s">
        <v>1180</v>
      </c>
      <c r="J605" s="67">
        <v>221390</v>
      </c>
      <c r="K605" s="67" t="s">
        <v>1244</v>
      </c>
      <c r="L605" s="67">
        <v>9.2894000000000005</v>
      </c>
      <c r="M605" s="439"/>
    </row>
    <row r="606" spans="1:13" ht="20.25" customHeight="1" x14ac:dyDescent="0.4">
      <c r="A606" s="482">
        <v>46094</v>
      </c>
      <c r="B606" s="59" t="s">
        <v>782</v>
      </c>
      <c r="C606" s="68" t="s">
        <v>156</v>
      </c>
      <c r="D606" s="59" t="s">
        <v>272</v>
      </c>
      <c r="E606" s="67"/>
      <c r="F606" s="49">
        <v>4</v>
      </c>
      <c r="G606" s="49">
        <f t="shared" si="23"/>
        <v>1070510.456</v>
      </c>
      <c r="H606" s="36">
        <f t="shared" si="22"/>
        <v>4282041.824</v>
      </c>
      <c r="I606" s="67" t="s">
        <v>1181</v>
      </c>
      <c r="J606" s="67">
        <v>115240</v>
      </c>
      <c r="K606" s="67" t="s">
        <v>1244</v>
      </c>
      <c r="L606" s="67">
        <v>9.2894000000000005</v>
      </c>
      <c r="M606" s="439"/>
    </row>
    <row r="607" spans="1:13" ht="20.25" customHeight="1" x14ac:dyDescent="0.4">
      <c r="A607" s="482">
        <v>46094</v>
      </c>
      <c r="B607" s="59" t="s">
        <v>782</v>
      </c>
      <c r="C607" s="68" t="s">
        <v>156</v>
      </c>
      <c r="D607" s="59" t="s">
        <v>262</v>
      </c>
      <c r="E607" s="67"/>
      <c r="F607" s="49">
        <v>1</v>
      </c>
      <c r="G607" s="49">
        <f t="shared" si="23"/>
        <v>2056580.2660000001</v>
      </c>
      <c r="H607" s="36">
        <f t="shared" si="22"/>
        <v>2056580.2660000001</v>
      </c>
      <c r="I607" s="67" t="s">
        <v>1182</v>
      </c>
      <c r="J607" s="67">
        <v>221390</v>
      </c>
      <c r="K607" s="67" t="s">
        <v>1244</v>
      </c>
      <c r="L607" s="67">
        <v>9.2894000000000005</v>
      </c>
      <c r="M607" s="439"/>
    </row>
    <row r="608" spans="1:13" ht="20.25" customHeight="1" x14ac:dyDescent="0.4">
      <c r="A608" s="482">
        <v>46094</v>
      </c>
      <c r="B608" s="59" t="s">
        <v>782</v>
      </c>
      <c r="C608" s="68" t="s">
        <v>156</v>
      </c>
      <c r="D608" s="59" t="s">
        <v>272</v>
      </c>
      <c r="E608" s="67"/>
      <c r="F608" s="49">
        <v>4</v>
      </c>
      <c r="G608" s="49">
        <f t="shared" si="23"/>
        <v>1083329.828</v>
      </c>
      <c r="H608" s="36">
        <f t="shared" si="22"/>
        <v>4333319.3119999999</v>
      </c>
      <c r="I608" s="67" t="s">
        <v>1183</v>
      </c>
      <c r="J608" s="67">
        <v>116620</v>
      </c>
      <c r="K608" s="67" t="s">
        <v>1244</v>
      </c>
      <c r="L608" s="67">
        <v>9.2894000000000005</v>
      </c>
      <c r="M608" s="439"/>
    </row>
    <row r="609" spans="1:13" ht="20.25" customHeight="1" x14ac:dyDescent="0.4">
      <c r="A609" s="482">
        <v>46094</v>
      </c>
      <c r="B609" s="59" t="s">
        <v>782</v>
      </c>
      <c r="C609" s="68" t="s">
        <v>156</v>
      </c>
      <c r="D609" s="59" t="s">
        <v>262</v>
      </c>
      <c r="E609" s="67"/>
      <c r="F609" s="49">
        <v>1</v>
      </c>
      <c r="G609" s="49">
        <f t="shared" si="23"/>
        <v>2083891.1020000002</v>
      </c>
      <c r="H609" s="36">
        <f t="shared" si="22"/>
        <v>2083891.1020000002</v>
      </c>
      <c r="I609" s="67" t="s">
        <v>1184</v>
      </c>
      <c r="J609" s="67">
        <v>224330</v>
      </c>
      <c r="K609" s="67" t="s">
        <v>1244</v>
      </c>
      <c r="L609" s="67">
        <v>9.2894000000000005</v>
      </c>
      <c r="M609" s="439"/>
    </row>
    <row r="610" spans="1:13" ht="20.25" customHeight="1" x14ac:dyDescent="0.4">
      <c r="A610" s="482">
        <v>46094</v>
      </c>
      <c r="B610" s="59" t="s">
        <v>782</v>
      </c>
      <c r="C610" s="68" t="s">
        <v>156</v>
      </c>
      <c r="D610" s="59" t="s">
        <v>261</v>
      </c>
      <c r="E610" s="67"/>
      <c r="F610" s="49">
        <v>1</v>
      </c>
      <c r="G610" s="49">
        <f t="shared" si="23"/>
        <v>2083891.1020000002</v>
      </c>
      <c r="H610" s="36">
        <f t="shared" si="22"/>
        <v>2083891.1020000002</v>
      </c>
      <c r="I610" s="67" t="s">
        <v>1185</v>
      </c>
      <c r="J610" s="67">
        <v>224330</v>
      </c>
      <c r="K610" s="67" t="s">
        <v>1244</v>
      </c>
      <c r="L610" s="67">
        <v>9.2894000000000005</v>
      </c>
      <c r="M610" s="439"/>
    </row>
    <row r="611" spans="1:13" ht="20.25" customHeight="1" x14ac:dyDescent="0.4">
      <c r="A611" s="482">
        <v>46094</v>
      </c>
      <c r="B611" s="59" t="s">
        <v>782</v>
      </c>
      <c r="C611" s="68" t="s">
        <v>157</v>
      </c>
      <c r="D611" s="59" t="s">
        <v>270</v>
      </c>
      <c r="E611" s="67"/>
      <c r="F611" s="49">
        <v>1</v>
      </c>
      <c r="G611" s="49">
        <f t="shared" si="23"/>
        <v>3339353.5120000001</v>
      </c>
      <c r="H611" s="36">
        <f t="shared" si="22"/>
        <v>3339353.5120000001</v>
      </c>
      <c r="I611" s="67" t="s">
        <v>1186</v>
      </c>
      <c r="J611" s="67">
        <v>359480</v>
      </c>
      <c r="K611" s="67" t="s">
        <v>1244</v>
      </c>
      <c r="L611" s="67">
        <v>9.2894000000000005</v>
      </c>
      <c r="M611" s="439">
        <f>F611*G611</f>
        <v>3339353.5120000001</v>
      </c>
    </row>
    <row r="612" spans="1:13" ht="20.25" customHeight="1" x14ac:dyDescent="0.4">
      <c r="A612" s="482">
        <v>46094</v>
      </c>
      <c r="B612" s="59" t="s">
        <v>782</v>
      </c>
      <c r="C612" s="68" t="s">
        <v>156</v>
      </c>
      <c r="D612" s="59" t="s">
        <v>271</v>
      </c>
      <c r="E612" s="67"/>
      <c r="F612" s="49">
        <v>2</v>
      </c>
      <c r="G612" s="49">
        <f t="shared" si="23"/>
        <v>106140.68440000001</v>
      </c>
      <c r="H612" s="36">
        <f t="shared" si="22"/>
        <v>212281.36880000003</v>
      </c>
      <c r="I612" s="67" t="s">
        <v>1187</v>
      </c>
      <c r="J612" s="67">
        <v>11426</v>
      </c>
      <c r="K612" s="67" t="s">
        <v>1244</v>
      </c>
      <c r="L612" s="67">
        <v>9.2894000000000005</v>
      </c>
      <c r="M612" s="439">
        <f>F612*G612</f>
        <v>212281.36880000003</v>
      </c>
    </row>
    <row r="613" spans="1:13" ht="20.25" customHeight="1" x14ac:dyDescent="0.4">
      <c r="A613" s="482">
        <v>46094</v>
      </c>
      <c r="B613" s="59" t="s">
        <v>782</v>
      </c>
      <c r="C613" s="68" t="s">
        <v>157</v>
      </c>
      <c r="D613" s="59" t="s">
        <v>259</v>
      </c>
      <c r="E613" s="67"/>
      <c r="F613" s="49">
        <v>1</v>
      </c>
      <c r="G613" s="49">
        <f t="shared" si="23"/>
        <v>448956.70200000005</v>
      </c>
      <c r="H613" s="36">
        <f t="shared" si="22"/>
        <v>448956.70200000005</v>
      </c>
      <c r="I613" s="67" t="s">
        <v>1188</v>
      </c>
      <c r="J613" s="67">
        <v>48330</v>
      </c>
      <c r="K613" s="67" t="s">
        <v>1244</v>
      </c>
      <c r="L613" s="67">
        <v>9.2894000000000005</v>
      </c>
      <c r="M613" s="439">
        <f>F613*G613</f>
        <v>448956.70200000005</v>
      </c>
    </row>
    <row r="614" spans="1:13" ht="20.25" customHeight="1" x14ac:dyDescent="0.4">
      <c r="A614" s="482">
        <v>46101</v>
      </c>
      <c r="B614" s="59" t="s">
        <v>782</v>
      </c>
      <c r="C614" s="68" t="s">
        <v>152</v>
      </c>
      <c r="D614" s="59" t="s">
        <v>263</v>
      </c>
      <c r="E614" s="67"/>
      <c r="F614" s="49">
        <v>4</v>
      </c>
      <c r="G614" s="49">
        <f t="shared" si="23"/>
        <v>948695.09100000001</v>
      </c>
      <c r="H614" s="36">
        <f t="shared" si="22"/>
        <v>3794780.3640000001</v>
      </c>
      <c r="I614" s="67" t="s">
        <v>591</v>
      </c>
      <c r="J614" s="67">
        <v>99870</v>
      </c>
      <c r="K614" s="67" t="s">
        <v>1245</v>
      </c>
      <c r="L614" s="67">
        <v>9.4992999999999999</v>
      </c>
      <c r="M614" s="439"/>
    </row>
    <row r="615" spans="1:13" ht="20.25" customHeight="1" x14ac:dyDescent="0.4">
      <c r="A615" s="482">
        <v>46101</v>
      </c>
      <c r="B615" s="59" t="s">
        <v>782</v>
      </c>
      <c r="C615" s="68" t="s">
        <v>160</v>
      </c>
      <c r="D615" s="59" t="s">
        <v>255</v>
      </c>
      <c r="E615" s="67"/>
      <c r="F615" s="49">
        <v>8</v>
      </c>
      <c r="G615" s="49">
        <f t="shared" si="23"/>
        <v>393366.01299999998</v>
      </c>
      <c r="H615" s="36">
        <f t="shared" si="22"/>
        <v>3146928.1039999998</v>
      </c>
      <c r="I615" s="67" t="s">
        <v>1006</v>
      </c>
      <c r="J615" s="67">
        <v>41410</v>
      </c>
      <c r="K615" s="67" t="s">
        <v>1245</v>
      </c>
      <c r="L615" s="67">
        <v>9.4992999999999999</v>
      </c>
      <c r="M615" s="439"/>
    </row>
    <row r="616" spans="1:13" ht="20.25" customHeight="1" x14ac:dyDescent="0.4">
      <c r="A616" s="482">
        <v>46101</v>
      </c>
      <c r="B616" s="59" t="s">
        <v>782</v>
      </c>
      <c r="C616" s="68" t="s">
        <v>1189</v>
      </c>
      <c r="D616" s="59" t="s">
        <v>334</v>
      </c>
      <c r="E616" s="67"/>
      <c r="F616" s="49">
        <v>4</v>
      </c>
      <c r="G616" s="49">
        <f t="shared" si="23"/>
        <v>311102.07500000001</v>
      </c>
      <c r="H616" s="36">
        <f t="shared" si="22"/>
        <v>1244408.3</v>
      </c>
      <c r="I616" s="67" t="s">
        <v>1003</v>
      </c>
      <c r="J616" s="67">
        <v>32750</v>
      </c>
      <c r="K616" s="67" t="s">
        <v>1245</v>
      </c>
      <c r="L616" s="67">
        <v>9.4992999999999999</v>
      </c>
      <c r="M616" s="439"/>
    </row>
    <row r="617" spans="1:13" ht="20.25" customHeight="1" x14ac:dyDescent="0.4">
      <c r="A617" s="482">
        <v>46101</v>
      </c>
      <c r="B617" s="59" t="s">
        <v>782</v>
      </c>
      <c r="C617" s="68" t="s">
        <v>152</v>
      </c>
      <c r="D617" s="59" t="s">
        <v>159</v>
      </c>
      <c r="E617" s="67"/>
      <c r="F617" s="49">
        <v>4</v>
      </c>
      <c r="G617" s="49">
        <f t="shared" si="23"/>
        <v>948695.09100000001</v>
      </c>
      <c r="H617" s="36">
        <f t="shared" si="22"/>
        <v>3794780.3640000001</v>
      </c>
      <c r="I617" s="67" t="s">
        <v>1008</v>
      </c>
      <c r="J617" s="67">
        <v>99870</v>
      </c>
      <c r="K617" s="67" t="s">
        <v>1245</v>
      </c>
      <c r="L617" s="67">
        <v>9.4992999999999999</v>
      </c>
      <c r="M617" s="439"/>
    </row>
    <row r="618" spans="1:13" ht="20.25" customHeight="1" x14ac:dyDescent="0.4">
      <c r="A618" s="482">
        <v>46101</v>
      </c>
      <c r="B618" s="59" t="s">
        <v>782</v>
      </c>
      <c r="C618" s="68" t="s">
        <v>154</v>
      </c>
      <c r="D618" s="59" t="s">
        <v>652</v>
      </c>
      <c r="E618" s="67"/>
      <c r="F618" s="49">
        <v>1</v>
      </c>
      <c r="G618" s="49">
        <f t="shared" si="23"/>
        <v>1502884.253</v>
      </c>
      <c r="H618" s="36">
        <f t="shared" si="22"/>
        <v>1502884.253</v>
      </c>
      <c r="I618" s="67" t="s">
        <v>1008</v>
      </c>
      <c r="J618" s="67">
        <v>158210</v>
      </c>
      <c r="K618" s="67" t="s">
        <v>1245</v>
      </c>
      <c r="L618" s="67">
        <v>9.4992999999999999</v>
      </c>
      <c r="M618" s="439"/>
    </row>
    <row r="619" spans="1:13" ht="20.25" customHeight="1" x14ac:dyDescent="0.4">
      <c r="A619" s="482">
        <v>46101</v>
      </c>
      <c r="B619" s="59" t="s">
        <v>782</v>
      </c>
      <c r="C619" s="68" t="s">
        <v>161</v>
      </c>
      <c r="D619" s="59" t="s">
        <v>265</v>
      </c>
      <c r="E619" s="67"/>
      <c r="F619" s="49">
        <v>4</v>
      </c>
      <c r="G619" s="49">
        <f t="shared" si="23"/>
        <v>256766.079</v>
      </c>
      <c r="H619" s="36">
        <f t="shared" si="22"/>
        <v>1027064.316</v>
      </c>
      <c r="I619" s="67" t="s">
        <v>783</v>
      </c>
      <c r="J619" s="67">
        <v>27030</v>
      </c>
      <c r="K619" s="67" t="s">
        <v>1245</v>
      </c>
      <c r="L619" s="67">
        <v>9.4992999999999999</v>
      </c>
      <c r="M619" s="439"/>
    </row>
    <row r="620" spans="1:13" ht="20.25" customHeight="1" x14ac:dyDescent="0.4">
      <c r="A620" s="482">
        <v>46101</v>
      </c>
      <c r="B620" s="59" t="s">
        <v>782</v>
      </c>
      <c r="C620" s="68" t="s">
        <v>154</v>
      </c>
      <c r="D620" s="59" t="s">
        <v>653</v>
      </c>
      <c r="E620" s="67"/>
      <c r="F620" s="49">
        <v>1</v>
      </c>
      <c r="G620" s="49">
        <f t="shared" si="23"/>
        <v>1508678.8259999999</v>
      </c>
      <c r="H620" s="36">
        <f t="shared" si="22"/>
        <v>1508678.8259999999</v>
      </c>
      <c r="I620" s="67" t="s">
        <v>785</v>
      </c>
      <c r="J620" s="67">
        <v>158820</v>
      </c>
      <c r="K620" s="67" t="s">
        <v>1245</v>
      </c>
      <c r="L620" s="67">
        <v>9.4992999999999999</v>
      </c>
      <c r="M620" s="439"/>
    </row>
    <row r="621" spans="1:13" ht="20.25" customHeight="1" x14ac:dyDescent="0.4">
      <c r="A621" s="482">
        <v>46101</v>
      </c>
      <c r="B621" s="59" t="s">
        <v>782</v>
      </c>
      <c r="C621" s="68" t="s">
        <v>157</v>
      </c>
      <c r="D621" s="59" t="s">
        <v>273</v>
      </c>
      <c r="E621" s="67"/>
      <c r="F621" s="49">
        <v>4</v>
      </c>
      <c r="G621" s="49">
        <f t="shared" si="23"/>
        <v>325066.04599999997</v>
      </c>
      <c r="H621" s="36">
        <f t="shared" si="22"/>
        <v>1300264.1839999999</v>
      </c>
      <c r="I621" s="67" t="s">
        <v>812</v>
      </c>
      <c r="J621" s="67">
        <v>34220</v>
      </c>
      <c r="K621" s="67" t="s">
        <v>1245</v>
      </c>
      <c r="L621" s="67">
        <v>9.4992999999999999</v>
      </c>
      <c r="M621" s="439"/>
    </row>
    <row r="622" spans="1:13" ht="20.25" customHeight="1" x14ac:dyDescent="0.4">
      <c r="A622" s="482">
        <v>46101</v>
      </c>
      <c r="B622" s="59" t="s">
        <v>782</v>
      </c>
      <c r="C622" s="68" t="s">
        <v>154</v>
      </c>
      <c r="D622" s="59" t="s">
        <v>653</v>
      </c>
      <c r="E622" s="67"/>
      <c r="F622" s="49">
        <v>1</v>
      </c>
      <c r="G622" s="49">
        <f t="shared" si="23"/>
        <v>1508678.8259999999</v>
      </c>
      <c r="H622" s="36">
        <f t="shared" si="22"/>
        <v>1508678.8259999999</v>
      </c>
      <c r="I622" s="67" t="s">
        <v>787</v>
      </c>
      <c r="J622" s="67">
        <v>158820</v>
      </c>
      <c r="K622" s="67" t="s">
        <v>1245</v>
      </c>
      <c r="L622" s="67">
        <v>9.4992999999999999</v>
      </c>
      <c r="M622" s="439"/>
    </row>
    <row r="623" spans="1:13" ht="20.25" customHeight="1" x14ac:dyDescent="0.4">
      <c r="A623" s="482">
        <v>46101</v>
      </c>
      <c r="B623" s="59" t="s">
        <v>782</v>
      </c>
      <c r="C623" s="68" t="s">
        <v>157</v>
      </c>
      <c r="D623" s="59" t="s">
        <v>259</v>
      </c>
      <c r="E623" s="67"/>
      <c r="F623" s="49">
        <v>5</v>
      </c>
      <c r="G623" s="49">
        <f t="shared" si="23"/>
        <v>3431812.111</v>
      </c>
      <c r="H623" s="36">
        <f t="shared" si="22"/>
        <v>17159060.555</v>
      </c>
      <c r="I623" s="67" t="s">
        <v>788</v>
      </c>
      <c r="J623" s="67">
        <v>361270</v>
      </c>
      <c r="K623" s="67" t="s">
        <v>1245</v>
      </c>
      <c r="L623" s="67">
        <v>9.4992999999999999</v>
      </c>
      <c r="M623" s="439"/>
    </row>
    <row r="624" spans="1:13" ht="20.25" customHeight="1" x14ac:dyDescent="0.4">
      <c r="A624" s="482">
        <v>46101</v>
      </c>
      <c r="B624" s="59" t="s">
        <v>782</v>
      </c>
      <c r="C624" s="68" t="s">
        <v>155</v>
      </c>
      <c r="D624" s="59" t="s">
        <v>253</v>
      </c>
      <c r="E624" s="67"/>
      <c r="F624" s="49">
        <v>5</v>
      </c>
      <c r="G624" s="49">
        <f t="shared" si="23"/>
        <v>3720495.838</v>
      </c>
      <c r="H624" s="36">
        <f t="shared" si="22"/>
        <v>18602479.190000001</v>
      </c>
      <c r="I624" s="67" t="s">
        <v>991</v>
      </c>
      <c r="J624" s="67">
        <v>391660</v>
      </c>
      <c r="K624" s="67" t="s">
        <v>1245</v>
      </c>
      <c r="L624" s="67">
        <v>9.4992999999999999</v>
      </c>
      <c r="M624" s="439"/>
    </row>
    <row r="625" spans="1:13" ht="20.25" customHeight="1" x14ac:dyDescent="0.4">
      <c r="A625" s="482">
        <v>46101</v>
      </c>
      <c r="B625" s="59" t="s">
        <v>782</v>
      </c>
      <c r="C625" s="68" t="s">
        <v>153</v>
      </c>
      <c r="D625" s="59" t="s">
        <v>337</v>
      </c>
      <c r="E625" s="67"/>
      <c r="F625" s="49">
        <v>4</v>
      </c>
      <c r="G625" s="49">
        <f t="shared" si="23"/>
        <v>2101720.125</v>
      </c>
      <c r="H625" s="36">
        <f t="shared" si="22"/>
        <v>8406880.5</v>
      </c>
      <c r="I625" s="67" t="s">
        <v>991</v>
      </c>
      <c r="J625" s="67">
        <v>221250</v>
      </c>
      <c r="K625" s="67" t="s">
        <v>1245</v>
      </c>
      <c r="L625" s="67">
        <v>9.4992999999999999</v>
      </c>
      <c r="M625" s="439"/>
    </row>
    <row r="626" spans="1:13" ht="20.25" customHeight="1" x14ac:dyDescent="0.4">
      <c r="A626" s="482">
        <v>46101</v>
      </c>
      <c r="B626" s="59" t="s">
        <v>782</v>
      </c>
      <c r="C626" s="68" t="s">
        <v>156</v>
      </c>
      <c r="D626" s="59" t="s">
        <v>271</v>
      </c>
      <c r="E626" s="67"/>
      <c r="F626" s="49">
        <v>4</v>
      </c>
      <c r="G626" s="49">
        <f t="shared" si="23"/>
        <v>1107808.3659999999</v>
      </c>
      <c r="H626" s="36">
        <f t="shared" si="22"/>
        <v>4431233.4639999997</v>
      </c>
      <c r="I626" s="67" t="s">
        <v>1190</v>
      </c>
      <c r="J626" s="67">
        <v>116620</v>
      </c>
      <c r="K626" s="67" t="s">
        <v>1245</v>
      </c>
      <c r="L626" s="67">
        <v>9.4992999999999999</v>
      </c>
      <c r="M626" s="439"/>
    </row>
    <row r="627" spans="1:13" ht="20.25" customHeight="1" x14ac:dyDescent="0.4">
      <c r="A627" s="482">
        <v>46101</v>
      </c>
      <c r="B627" s="59" t="s">
        <v>782</v>
      </c>
      <c r="C627" s="68" t="s">
        <v>154</v>
      </c>
      <c r="D627" s="59" t="s">
        <v>266</v>
      </c>
      <c r="E627" s="67"/>
      <c r="F627" s="49">
        <v>1</v>
      </c>
      <c r="G627" s="49">
        <f t="shared" si="23"/>
        <v>3983151.483</v>
      </c>
      <c r="H627" s="36">
        <f t="shared" si="22"/>
        <v>3983151.483</v>
      </c>
      <c r="I627" s="67" t="s">
        <v>1014</v>
      </c>
      <c r="J627" s="67">
        <v>419310</v>
      </c>
      <c r="K627" s="67" t="s">
        <v>1245</v>
      </c>
      <c r="L627" s="67">
        <v>9.4992999999999999</v>
      </c>
      <c r="M627" s="439"/>
    </row>
    <row r="628" spans="1:13" ht="20.25" customHeight="1" x14ac:dyDescent="0.4">
      <c r="A628" s="482">
        <v>46101</v>
      </c>
      <c r="B628" s="59" t="s">
        <v>782</v>
      </c>
      <c r="C628" s="68" t="s">
        <v>156</v>
      </c>
      <c r="D628" s="59" t="s">
        <v>272</v>
      </c>
      <c r="E628" s="67"/>
      <c r="F628" s="49">
        <v>4</v>
      </c>
      <c r="G628" s="49">
        <f t="shared" si="23"/>
        <v>1107808.3659999999</v>
      </c>
      <c r="H628" s="36">
        <f t="shared" si="22"/>
        <v>4431233.4639999997</v>
      </c>
      <c r="I628" s="67" t="s">
        <v>1191</v>
      </c>
      <c r="J628" s="67">
        <v>116620</v>
      </c>
      <c r="K628" s="67" t="s">
        <v>1245</v>
      </c>
      <c r="L628" s="67">
        <v>9.4992999999999999</v>
      </c>
      <c r="M628" s="439"/>
    </row>
    <row r="629" spans="1:13" ht="20.25" customHeight="1" x14ac:dyDescent="0.4">
      <c r="A629" s="482">
        <v>46101</v>
      </c>
      <c r="B629" s="59" t="s">
        <v>782</v>
      </c>
      <c r="C629" s="68" t="s">
        <v>156</v>
      </c>
      <c r="D629" s="59" t="s">
        <v>261</v>
      </c>
      <c r="E629" s="67"/>
      <c r="F629" s="49">
        <v>1</v>
      </c>
      <c r="G629" s="49">
        <f t="shared" si="23"/>
        <v>2130977.969</v>
      </c>
      <c r="H629" s="36">
        <f t="shared" si="22"/>
        <v>2130977.969</v>
      </c>
      <c r="I629" s="67" t="s">
        <v>1025</v>
      </c>
      <c r="J629" s="67">
        <v>224330</v>
      </c>
      <c r="K629" s="67" t="s">
        <v>1245</v>
      </c>
      <c r="L629" s="67">
        <v>9.4992999999999999</v>
      </c>
      <c r="M629" s="439"/>
    </row>
    <row r="630" spans="1:13" ht="20.25" customHeight="1" x14ac:dyDescent="0.4">
      <c r="A630" s="482">
        <v>46108</v>
      </c>
      <c r="B630" s="59" t="s">
        <v>782</v>
      </c>
      <c r="C630" s="68" t="s">
        <v>152</v>
      </c>
      <c r="D630" s="59" t="s">
        <v>263</v>
      </c>
      <c r="E630" s="67"/>
      <c r="F630" s="49">
        <v>4</v>
      </c>
      <c r="G630" s="49">
        <f t="shared" si="23"/>
        <v>942243.48899999994</v>
      </c>
      <c r="H630" s="36">
        <f t="shared" si="22"/>
        <v>3768973.9559999998</v>
      </c>
      <c r="I630" s="67" t="s">
        <v>1192</v>
      </c>
      <c r="J630" s="67">
        <v>99870</v>
      </c>
      <c r="K630" s="67" t="s">
        <v>1246</v>
      </c>
      <c r="L630" s="67">
        <v>9.4346999999999994</v>
      </c>
      <c r="M630" s="439"/>
    </row>
    <row r="631" spans="1:13" ht="20.25" customHeight="1" x14ac:dyDescent="0.4">
      <c r="A631" s="482">
        <v>46108</v>
      </c>
      <c r="B631" s="59" t="s">
        <v>782</v>
      </c>
      <c r="C631" s="68" t="s">
        <v>150</v>
      </c>
      <c r="D631" s="59" t="s">
        <v>256</v>
      </c>
      <c r="E631" s="67"/>
      <c r="F631" s="49">
        <v>10</v>
      </c>
      <c r="G631" s="49">
        <f t="shared" si="23"/>
        <v>1167261.084</v>
      </c>
      <c r="H631" s="36">
        <f t="shared" si="22"/>
        <v>11672610.84</v>
      </c>
      <c r="I631" s="67" t="s">
        <v>1193</v>
      </c>
      <c r="J631" s="67">
        <v>123720</v>
      </c>
      <c r="K631" s="67" t="s">
        <v>1246</v>
      </c>
      <c r="L631" s="67">
        <v>9.4346999999999994</v>
      </c>
      <c r="M631" s="439"/>
    </row>
    <row r="632" spans="1:13" ht="20.25" customHeight="1" x14ac:dyDescent="0.4">
      <c r="A632" s="482">
        <v>46108</v>
      </c>
      <c r="B632" s="59" t="s">
        <v>782</v>
      </c>
      <c r="C632" s="68" t="s">
        <v>153</v>
      </c>
      <c r="D632" s="59" t="s">
        <v>264</v>
      </c>
      <c r="E632" s="67"/>
      <c r="F632" s="49">
        <v>5</v>
      </c>
      <c r="G632" s="49">
        <f t="shared" si="23"/>
        <v>2818333.5839999998</v>
      </c>
      <c r="H632" s="36">
        <f t="shared" si="22"/>
        <v>14091667.919999998</v>
      </c>
      <c r="I632" s="67" t="s">
        <v>1178</v>
      </c>
      <c r="J632" s="67">
        <v>298720</v>
      </c>
      <c r="K632" s="67" t="s">
        <v>1246</v>
      </c>
      <c r="L632" s="67">
        <v>9.4346999999999994</v>
      </c>
      <c r="M632" s="439"/>
    </row>
    <row r="633" spans="1:13" ht="20.25" customHeight="1" x14ac:dyDescent="0.4">
      <c r="A633" s="482">
        <v>46108</v>
      </c>
      <c r="B633" s="59" t="s">
        <v>782</v>
      </c>
      <c r="C633" s="68" t="s">
        <v>150</v>
      </c>
      <c r="D633" s="59" t="s">
        <v>391</v>
      </c>
      <c r="E633" s="67"/>
      <c r="F633" s="49">
        <v>8</v>
      </c>
      <c r="G633" s="49">
        <f t="shared" si="23"/>
        <v>1172355.8219999999</v>
      </c>
      <c r="H633" s="36">
        <f t="shared" si="22"/>
        <v>9378846.5759999994</v>
      </c>
      <c r="I633" s="67" t="s">
        <v>1194</v>
      </c>
      <c r="J633" s="67">
        <v>124260</v>
      </c>
      <c r="K633" s="67" t="s">
        <v>1246</v>
      </c>
      <c r="L633" s="67">
        <v>9.4346999999999994</v>
      </c>
      <c r="M633" s="439"/>
    </row>
    <row r="634" spans="1:13" ht="20.25" customHeight="1" x14ac:dyDescent="0.4">
      <c r="A634" s="482">
        <v>46108</v>
      </c>
      <c r="B634" s="59" t="s">
        <v>782</v>
      </c>
      <c r="C634" s="68" t="s">
        <v>155</v>
      </c>
      <c r="D634" s="59" t="s">
        <v>253</v>
      </c>
      <c r="E634" s="67"/>
      <c r="F634" s="49">
        <v>8</v>
      </c>
      <c r="G634" s="49">
        <f t="shared" si="23"/>
        <v>3632359.5</v>
      </c>
      <c r="H634" s="36">
        <f t="shared" si="22"/>
        <v>29058876</v>
      </c>
      <c r="I634" s="67" t="s">
        <v>1195</v>
      </c>
      <c r="J634" s="67">
        <v>385000</v>
      </c>
      <c r="K634" s="67" t="s">
        <v>1246</v>
      </c>
      <c r="L634" s="67">
        <v>9.4346999999999994</v>
      </c>
      <c r="M634" s="439"/>
    </row>
    <row r="635" spans="1:13" ht="20.25" customHeight="1" x14ac:dyDescent="0.4">
      <c r="A635" s="482">
        <v>46108</v>
      </c>
      <c r="B635" s="59" t="s">
        <v>782</v>
      </c>
      <c r="C635" s="68" t="s">
        <v>153</v>
      </c>
      <c r="D635" s="59" t="s">
        <v>337</v>
      </c>
      <c r="E635" s="67"/>
      <c r="F635" s="49">
        <v>8</v>
      </c>
      <c r="G635" s="49">
        <f t="shared" si="23"/>
        <v>2053462.4549999998</v>
      </c>
      <c r="H635" s="36">
        <f t="shared" si="22"/>
        <v>16427699.639999999</v>
      </c>
      <c r="I635" s="67" t="s">
        <v>1195</v>
      </c>
      <c r="J635" s="67">
        <v>217650</v>
      </c>
      <c r="K635" s="67" t="s">
        <v>1246</v>
      </c>
      <c r="L635" s="67">
        <v>9.4346999999999994</v>
      </c>
      <c r="M635" s="439"/>
    </row>
    <row r="636" spans="1:13" ht="20.25" customHeight="1" x14ac:dyDescent="0.4">
      <c r="A636" s="482">
        <v>46108</v>
      </c>
      <c r="B636" s="59" t="s">
        <v>782</v>
      </c>
      <c r="C636" s="68" t="s">
        <v>150</v>
      </c>
      <c r="D636" s="59" t="s">
        <v>334</v>
      </c>
      <c r="E636" s="67"/>
      <c r="F636" s="49">
        <v>4</v>
      </c>
      <c r="G636" s="49">
        <f t="shared" si="23"/>
        <v>309835.54800000001</v>
      </c>
      <c r="H636" s="36">
        <f t="shared" si="22"/>
        <v>1239342.192</v>
      </c>
      <c r="I636" s="67" t="s">
        <v>1196</v>
      </c>
      <c r="J636" s="67">
        <v>32840</v>
      </c>
      <c r="K636" s="67" t="s">
        <v>1246</v>
      </c>
      <c r="L636" s="67">
        <v>9.4346999999999994</v>
      </c>
      <c r="M636" s="439"/>
    </row>
    <row r="637" spans="1:13" ht="20.25" customHeight="1" x14ac:dyDescent="0.4">
      <c r="A637" s="482">
        <v>46108</v>
      </c>
      <c r="B637" s="59" t="s">
        <v>782</v>
      </c>
      <c r="C637" s="68" t="s">
        <v>150</v>
      </c>
      <c r="D637" s="59" t="s">
        <v>391</v>
      </c>
      <c r="E637" s="67"/>
      <c r="F637" s="49">
        <v>8</v>
      </c>
      <c r="G637" s="49">
        <f t="shared" si="23"/>
        <v>1172355.8219999999</v>
      </c>
      <c r="H637" s="36">
        <f t="shared" si="22"/>
        <v>9378846.5759999994</v>
      </c>
      <c r="I637" s="67" t="s">
        <v>1197</v>
      </c>
      <c r="J637" s="67">
        <v>124260</v>
      </c>
      <c r="K637" s="67" t="s">
        <v>1246</v>
      </c>
      <c r="L637" s="67">
        <v>9.4346999999999994</v>
      </c>
      <c r="M637" s="439"/>
    </row>
    <row r="638" spans="1:13" ht="20.25" customHeight="1" x14ac:dyDescent="0.4">
      <c r="A638" s="482">
        <v>46108</v>
      </c>
      <c r="B638" s="59" t="s">
        <v>782</v>
      </c>
      <c r="C638" s="68" t="s">
        <v>155</v>
      </c>
      <c r="D638" s="59" t="s">
        <v>254</v>
      </c>
      <c r="E638" s="67"/>
      <c r="F638" s="49">
        <v>1</v>
      </c>
      <c r="G638" s="49">
        <f t="shared" si="23"/>
        <v>3695194.602</v>
      </c>
      <c r="H638" s="36">
        <f t="shared" si="22"/>
        <v>3695194.602</v>
      </c>
      <c r="I638" s="67" t="s">
        <v>1198</v>
      </c>
      <c r="J638" s="67">
        <v>391660</v>
      </c>
      <c r="K638" s="67" t="s">
        <v>1246</v>
      </c>
      <c r="L638" s="67">
        <v>9.4346999999999994</v>
      </c>
      <c r="M638" s="439"/>
    </row>
    <row r="639" spans="1:13" ht="20.25" customHeight="1" x14ac:dyDescent="0.4">
      <c r="A639" s="482">
        <v>46108</v>
      </c>
      <c r="B639" s="59" t="s">
        <v>782</v>
      </c>
      <c r="C639" s="68" t="s">
        <v>156</v>
      </c>
      <c r="D639" s="59" t="s">
        <v>271</v>
      </c>
      <c r="E639" s="67"/>
      <c r="F639" s="49">
        <v>4</v>
      </c>
      <c r="G639" s="49">
        <f t="shared" si="23"/>
        <v>1100274.7139999999</v>
      </c>
      <c r="H639" s="36">
        <f t="shared" si="22"/>
        <v>4401098.8559999997</v>
      </c>
      <c r="I639" s="67" t="s">
        <v>1199</v>
      </c>
      <c r="J639" s="67">
        <v>116620</v>
      </c>
      <c r="K639" s="67" t="s">
        <v>1246</v>
      </c>
      <c r="L639" s="67">
        <v>9.4346999999999994</v>
      </c>
      <c r="M639" s="439"/>
    </row>
    <row r="640" spans="1:13" ht="20.25" customHeight="1" x14ac:dyDescent="0.4">
      <c r="A640" s="482">
        <v>46108</v>
      </c>
      <c r="B640" s="59" t="s">
        <v>782</v>
      </c>
      <c r="C640" s="68" t="s">
        <v>156</v>
      </c>
      <c r="D640" s="59" t="s">
        <v>261</v>
      </c>
      <c r="E640" s="67"/>
      <c r="F640" s="49">
        <v>1</v>
      </c>
      <c r="G640" s="49">
        <f t="shared" si="23"/>
        <v>2116486.2509999997</v>
      </c>
      <c r="H640" s="36">
        <f t="shared" si="22"/>
        <v>2116486.2509999997</v>
      </c>
      <c r="I640" s="67" t="s">
        <v>1200</v>
      </c>
      <c r="J640" s="67">
        <v>224330</v>
      </c>
      <c r="K640" s="67" t="s">
        <v>1246</v>
      </c>
      <c r="L640" s="67">
        <v>9.4346999999999994</v>
      </c>
      <c r="M640" s="439"/>
    </row>
    <row r="641" spans="1:13" ht="20.25" customHeight="1" x14ac:dyDescent="0.4">
      <c r="A641" s="482">
        <v>46108</v>
      </c>
      <c r="B641" s="59" t="s">
        <v>782</v>
      </c>
      <c r="C641" s="68" t="s">
        <v>156</v>
      </c>
      <c r="D641" s="59" t="s">
        <v>272</v>
      </c>
      <c r="E641" s="67"/>
      <c r="F641" s="49">
        <v>4</v>
      </c>
      <c r="G641" s="49">
        <f t="shared" si="23"/>
        <v>1100274.7139999999</v>
      </c>
      <c r="H641" s="36">
        <f t="shared" si="22"/>
        <v>4401098.8559999997</v>
      </c>
      <c r="I641" s="67" t="s">
        <v>1201</v>
      </c>
      <c r="J641" s="67">
        <v>116620</v>
      </c>
      <c r="K641" s="67" t="s">
        <v>1246</v>
      </c>
      <c r="L641" s="67">
        <v>9.4346999999999994</v>
      </c>
      <c r="M641" s="439"/>
    </row>
    <row r="642" spans="1:13" ht="20.25" customHeight="1" x14ac:dyDescent="0.4">
      <c r="A642" s="482">
        <v>46108</v>
      </c>
      <c r="B642" s="59" t="s">
        <v>782</v>
      </c>
      <c r="C642" s="68" t="s">
        <v>156</v>
      </c>
      <c r="D642" s="59" t="s">
        <v>261</v>
      </c>
      <c r="E642" s="67"/>
      <c r="F642" s="49">
        <v>1</v>
      </c>
      <c r="G642" s="49">
        <f t="shared" si="23"/>
        <v>2116486.2509999997</v>
      </c>
      <c r="H642" s="36">
        <f t="shared" si="22"/>
        <v>2116486.2509999997</v>
      </c>
      <c r="I642" s="67" t="s">
        <v>1202</v>
      </c>
      <c r="J642" s="67">
        <v>224330</v>
      </c>
      <c r="K642" s="67" t="s">
        <v>1246</v>
      </c>
      <c r="L642" s="67">
        <v>9.4346999999999994</v>
      </c>
      <c r="M642" s="439"/>
    </row>
    <row r="643" spans="1:13" ht="20.25" customHeight="1" x14ac:dyDescent="0.4">
      <c r="A643" s="482">
        <v>46108</v>
      </c>
      <c r="B643" s="59" t="s">
        <v>782</v>
      </c>
      <c r="C643" s="68" t="s">
        <v>160</v>
      </c>
      <c r="D643" s="59" t="s">
        <v>255</v>
      </c>
      <c r="E643" s="67"/>
      <c r="F643" s="49">
        <v>1</v>
      </c>
      <c r="G643" s="49">
        <f t="shared" si="23"/>
        <v>52985.275199999996</v>
      </c>
      <c r="H643" s="36">
        <f t="shared" si="22"/>
        <v>52985.275199999996</v>
      </c>
      <c r="I643" s="67" t="s">
        <v>1203</v>
      </c>
      <c r="J643" s="67">
        <v>5616</v>
      </c>
      <c r="K643" s="67" t="s">
        <v>1246</v>
      </c>
      <c r="L643" s="67">
        <v>9.4346999999999994</v>
      </c>
      <c r="M643" s="439"/>
    </row>
    <row r="644" spans="1:13" ht="20.25" customHeight="1" x14ac:dyDescent="0.4">
      <c r="A644" s="482">
        <v>46108</v>
      </c>
      <c r="B644" s="59" t="s">
        <v>782</v>
      </c>
      <c r="C644" s="68" t="s">
        <v>160</v>
      </c>
      <c r="D644" s="59" t="s">
        <v>340</v>
      </c>
      <c r="E644" s="67"/>
      <c r="F644" s="49">
        <v>3</v>
      </c>
      <c r="G644" s="49">
        <f t="shared" si="23"/>
        <v>52985.275199999996</v>
      </c>
      <c r="H644" s="36">
        <f t="shared" ref="H644:H669" si="24">F644*G644</f>
        <v>158955.82559999998</v>
      </c>
      <c r="I644" s="67" t="s">
        <v>1204</v>
      </c>
      <c r="J644" s="67">
        <v>5616</v>
      </c>
      <c r="K644" s="67" t="s">
        <v>1246</v>
      </c>
      <c r="L644" s="67">
        <v>9.4346999999999994</v>
      </c>
      <c r="M644" s="439"/>
    </row>
    <row r="645" spans="1:13" ht="20.25" customHeight="1" x14ac:dyDescent="0.4">
      <c r="A645" s="482">
        <v>46112</v>
      </c>
      <c r="B645" s="59" t="s">
        <v>782</v>
      </c>
      <c r="C645" s="68" t="s">
        <v>161</v>
      </c>
      <c r="D645" s="59" t="s">
        <v>265</v>
      </c>
      <c r="E645" s="67"/>
      <c r="F645" s="49">
        <v>4</v>
      </c>
      <c r="G645" s="49">
        <f t="shared" ref="G645:G667" si="25">J645*L645</f>
        <v>257355.33300000001</v>
      </c>
      <c r="H645" s="36">
        <f t="shared" si="24"/>
        <v>1029421.3320000001</v>
      </c>
      <c r="I645" s="67" t="s">
        <v>1173</v>
      </c>
      <c r="J645" s="67">
        <v>27030</v>
      </c>
      <c r="K645" s="67" t="s">
        <v>1205</v>
      </c>
      <c r="L645" s="67">
        <v>9.5211000000000006</v>
      </c>
      <c r="M645" s="439"/>
    </row>
    <row r="646" spans="1:13" ht="20.25" customHeight="1" x14ac:dyDescent="0.4">
      <c r="A646" s="482">
        <v>46112</v>
      </c>
      <c r="B646" s="59" t="s">
        <v>782</v>
      </c>
      <c r="C646" s="68" t="s">
        <v>150</v>
      </c>
      <c r="D646" s="59" t="s">
        <v>334</v>
      </c>
      <c r="E646" s="67"/>
      <c r="F646" s="49">
        <v>4</v>
      </c>
      <c r="G646" s="49">
        <f t="shared" si="25"/>
        <v>312672.924</v>
      </c>
      <c r="H646" s="36">
        <f t="shared" si="24"/>
        <v>1250691.696</v>
      </c>
      <c r="I646" s="67" t="s">
        <v>1176</v>
      </c>
      <c r="J646" s="67">
        <v>32840</v>
      </c>
      <c r="K646" s="67" t="s">
        <v>1205</v>
      </c>
      <c r="L646" s="67">
        <v>9.5211000000000006</v>
      </c>
      <c r="M646" s="439"/>
    </row>
    <row r="647" spans="1:13" ht="20.25" customHeight="1" x14ac:dyDescent="0.4">
      <c r="A647" s="482">
        <v>46112</v>
      </c>
      <c r="B647" s="59" t="s">
        <v>782</v>
      </c>
      <c r="C647" s="68" t="s">
        <v>161</v>
      </c>
      <c r="D647" s="59" t="s">
        <v>990</v>
      </c>
      <c r="E647" s="67"/>
      <c r="F647" s="49">
        <v>4</v>
      </c>
      <c r="G647" s="49">
        <f t="shared" si="25"/>
        <v>257355.33300000001</v>
      </c>
      <c r="H647" s="36">
        <f t="shared" si="24"/>
        <v>1029421.3320000001</v>
      </c>
      <c r="I647" s="67" t="s">
        <v>1176</v>
      </c>
      <c r="J647" s="67">
        <v>27030</v>
      </c>
      <c r="K647" s="67" t="s">
        <v>1205</v>
      </c>
      <c r="L647" s="67">
        <v>9.5211000000000006</v>
      </c>
      <c r="M647" s="439"/>
    </row>
    <row r="648" spans="1:13" ht="20.25" customHeight="1" x14ac:dyDescent="0.4">
      <c r="A648" s="482">
        <v>46112</v>
      </c>
      <c r="B648" s="59" t="s">
        <v>782</v>
      </c>
      <c r="C648" s="68" t="s">
        <v>150</v>
      </c>
      <c r="D648" s="59" t="s">
        <v>335</v>
      </c>
      <c r="E648" s="67"/>
      <c r="F648" s="49">
        <v>4</v>
      </c>
      <c r="G648" s="49">
        <f t="shared" si="25"/>
        <v>312672.924</v>
      </c>
      <c r="H648" s="36">
        <f t="shared" si="24"/>
        <v>1250691.696</v>
      </c>
      <c r="I648" s="67" t="s">
        <v>1179</v>
      </c>
      <c r="J648" s="67">
        <v>32840</v>
      </c>
      <c r="K648" s="67" t="s">
        <v>1205</v>
      </c>
      <c r="L648" s="67">
        <v>9.5211000000000006</v>
      </c>
      <c r="M648" s="439"/>
    </row>
    <row r="649" spans="1:13" ht="20.25" customHeight="1" x14ac:dyDescent="0.4">
      <c r="A649" s="482">
        <v>46112</v>
      </c>
      <c r="B649" s="59" t="s">
        <v>782</v>
      </c>
      <c r="C649" s="68" t="s">
        <v>161</v>
      </c>
      <c r="D649" s="59" t="s">
        <v>990</v>
      </c>
      <c r="E649" s="67"/>
      <c r="F649" s="49">
        <v>4</v>
      </c>
      <c r="G649" s="49">
        <f t="shared" si="25"/>
        <v>257355.33300000001</v>
      </c>
      <c r="H649" s="36">
        <f t="shared" si="24"/>
        <v>1029421.3320000001</v>
      </c>
      <c r="I649" s="67" t="s">
        <v>1179</v>
      </c>
      <c r="J649" s="67">
        <v>27030</v>
      </c>
      <c r="K649" s="67" t="s">
        <v>1205</v>
      </c>
      <c r="L649" s="67">
        <v>9.5211000000000006</v>
      </c>
      <c r="M649" s="439"/>
    </row>
    <row r="650" spans="1:13" ht="20.25" customHeight="1" x14ac:dyDescent="0.4">
      <c r="A650" s="482">
        <v>46112</v>
      </c>
      <c r="B650" s="59" t="s">
        <v>782</v>
      </c>
      <c r="C650" s="68" t="s">
        <v>150</v>
      </c>
      <c r="D650" s="59" t="s">
        <v>335</v>
      </c>
      <c r="E650" s="67"/>
      <c r="F650" s="49">
        <v>4</v>
      </c>
      <c r="G650" s="49">
        <f t="shared" si="25"/>
        <v>312672.924</v>
      </c>
      <c r="H650" s="36">
        <f t="shared" si="24"/>
        <v>1250691.696</v>
      </c>
      <c r="I650" s="67" t="s">
        <v>1181</v>
      </c>
      <c r="J650" s="67">
        <v>32840</v>
      </c>
      <c r="K650" s="67" t="s">
        <v>1205</v>
      </c>
      <c r="L650" s="67">
        <v>9.5211000000000006</v>
      </c>
      <c r="M650" s="439"/>
    </row>
    <row r="651" spans="1:13" ht="20.25" customHeight="1" x14ac:dyDescent="0.4">
      <c r="A651" s="482">
        <v>46112</v>
      </c>
      <c r="B651" s="59" t="s">
        <v>782</v>
      </c>
      <c r="C651" s="68" t="s">
        <v>161</v>
      </c>
      <c r="D651" s="59" t="s">
        <v>990</v>
      </c>
      <c r="E651" s="67"/>
      <c r="F651" s="49">
        <v>4</v>
      </c>
      <c r="G651" s="49">
        <f t="shared" si="25"/>
        <v>257355.33300000001</v>
      </c>
      <c r="H651" s="36">
        <f t="shared" si="24"/>
        <v>1029421.3320000001</v>
      </c>
      <c r="I651" s="67" t="s">
        <v>1181</v>
      </c>
      <c r="J651" s="67">
        <v>27030</v>
      </c>
      <c r="K651" s="67" t="s">
        <v>1205</v>
      </c>
      <c r="L651" s="67">
        <v>9.5211000000000006</v>
      </c>
      <c r="M651" s="439"/>
    </row>
    <row r="652" spans="1:13" ht="20.25" customHeight="1" x14ac:dyDescent="0.4">
      <c r="A652" s="482">
        <v>46112</v>
      </c>
      <c r="B652" s="59" t="s">
        <v>782</v>
      </c>
      <c r="C652" s="68" t="s">
        <v>157</v>
      </c>
      <c r="D652" s="59" t="s">
        <v>259</v>
      </c>
      <c r="E652" s="67"/>
      <c r="F652" s="49">
        <v>8</v>
      </c>
      <c r="G652" s="49">
        <f t="shared" si="25"/>
        <v>3439687.7970000003</v>
      </c>
      <c r="H652" s="36">
        <f t="shared" si="24"/>
        <v>27517502.376000002</v>
      </c>
      <c r="I652" s="67" t="s">
        <v>1195</v>
      </c>
      <c r="J652" s="67">
        <v>361270</v>
      </c>
      <c r="K652" s="67" t="s">
        <v>1205</v>
      </c>
      <c r="L652" s="67">
        <v>9.5211000000000006</v>
      </c>
      <c r="M652" s="439"/>
    </row>
    <row r="653" spans="1:13" ht="20.25" customHeight="1" x14ac:dyDescent="0.4">
      <c r="A653" s="482">
        <v>46112</v>
      </c>
      <c r="B653" s="59" t="s">
        <v>782</v>
      </c>
      <c r="C653" s="68" t="s">
        <v>154</v>
      </c>
      <c r="D653" s="59" t="s">
        <v>652</v>
      </c>
      <c r="E653" s="67"/>
      <c r="F653" s="49">
        <v>1</v>
      </c>
      <c r="G653" s="49">
        <f t="shared" si="25"/>
        <v>1512141.1020000002</v>
      </c>
      <c r="H653" s="36">
        <f t="shared" si="24"/>
        <v>1512141.1020000002</v>
      </c>
      <c r="I653" s="67" t="s">
        <v>1206</v>
      </c>
      <c r="J653" s="67">
        <v>158820</v>
      </c>
      <c r="K653" s="67" t="s">
        <v>1205</v>
      </c>
      <c r="L653" s="67">
        <v>9.5211000000000006</v>
      </c>
      <c r="M653" s="439"/>
    </row>
    <row r="654" spans="1:13" ht="20.25" customHeight="1" x14ac:dyDescent="0.4">
      <c r="A654" s="482">
        <v>46112</v>
      </c>
      <c r="B654" s="59" t="s">
        <v>782</v>
      </c>
      <c r="C654" s="68" t="s">
        <v>157</v>
      </c>
      <c r="D654" s="59" t="s">
        <v>270</v>
      </c>
      <c r="E654" s="67"/>
      <c r="F654" s="49">
        <v>3</v>
      </c>
      <c r="G654" s="49">
        <f t="shared" si="25"/>
        <v>3439687.7970000003</v>
      </c>
      <c r="H654" s="36">
        <f t="shared" si="24"/>
        <v>10319063.391000001</v>
      </c>
      <c r="I654" s="67" t="s">
        <v>1197</v>
      </c>
      <c r="J654" s="67">
        <v>361270</v>
      </c>
      <c r="K654" s="67" t="s">
        <v>1205</v>
      </c>
      <c r="L654" s="67">
        <v>9.5211000000000006</v>
      </c>
      <c r="M654" s="439"/>
    </row>
    <row r="655" spans="1:13" ht="20.25" customHeight="1" x14ac:dyDescent="0.4">
      <c r="A655" s="482">
        <v>46112</v>
      </c>
      <c r="B655" s="59" t="s">
        <v>782</v>
      </c>
      <c r="C655" s="68" t="s">
        <v>154</v>
      </c>
      <c r="D655" s="59" t="s">
        <v>267</v>
      </c>
      <c r="E655" s="67"/>
      <c r="F655" s="49">
        <v>8</v>
      </c>
      <c r="G655" s="49">
        <f t="shared" si="25"/>
        <v>3972202.9200000004</v>
      </c>
      <c r="H655" s="36">
        <f t="shared" si="24"/>
        <v>31777623.360000003</v>
      </c>
      <c r="I655" s="67" t="s">
        <v>1207</v>
      </c>
      <c r="J655" s="67">
        <v>417200</v>
      </c>
      <c r="K655" s="67" t="s">
        <v>1205</v>
      </c>
      <c r="L655" s="67">
        <v>9.5211000000000006</v>
      </c>
      <c r="M655" s="439"/>
    </row>
    <row r="656" spans="1:13" ht="20.25" customHeight="1" x14ac:dyDescent="0.4">
      <c r="A656" s="482">
        <v>46112</v>
      </c>
      <c r="B656" s="59" t="s">
        <v>782</v>
      </c>
      <c r="C656" s="68" t="s">
        <v>153</v>
      </c>
      <c r="D656" s="59" t="s">
        <v>337</v>
      </c>
      <c r="E656" s="67"/>
      <c r="F656" s="49">
        <v>2</v>
      </c>
      <c r="G656" s="49">
        <f t="shared" si="25"/>
        <v>2106543.375</v>
      </c>
      <c r="H656" s="36">
        <f t="shared" si="24"/>
        <v>4213086.75</v>
      </c>
      <c r="I656" s="67" t="s">
        <v>1198</v>
      </c>
      <c r="J656" s="67">
        <v>221250</v>
      </c>
      <c r="K656" s="67" t="s">
        <v>1205</v>
      </c>
      <c r="L656" s="67">
        <v>9.5211000000000006</v>
      </c>
      <c r="M656" s="439"/>
    </row>
    <row r="657" spans="1:15" ht="20.25" customHeight="1" x14ac:dyDescent="0.4">
      <c r="A657" s="482">
        <v>46112</v>
      </c>
      <c r="B657" s="59" t="s">
        <v>782</v>
      </c>
      <c r="C657" s="68" t="s">
        <v>157</v>
      </c>
      <c r="D657" s="59" t="s">
        <v>270</v>
      </c>
      <c r="E657" s="67"/>
      <c r="F657" s="49">
        <v>5</v>
      </c>
      <c r="G657" s="49">
        <f t="shared" si="25"/>
        <v>3490816.1040000003</v>
      </c>
      <c r="H657" s="36">
        <f t="shared" si="24"/>
        <v>17454080.520000003</v>
      </c>
      <c r="I657" s="67" t="s">
        <v>1198</v>
      </c>
      <c r="J657" s="67">
        <v>366640</v>
      </c>
      <c r="K657" s="67" t="s">
        <v>1205</v>
      </c>
      <c r="L657" s="67">
        <v>9.5211000000000006</v>
      </c>
      <c r="M657" s="439"/>
    </row>
    <row r="658" spans="1:15" ht="20.25" customHeight="1" x14ac:dyDescent="0.4">
      <c r="A658" s="482">
        <v>46112</v>
      </c>
      <c r="B658" s="59" t="s">
        <v>782</v>
      </c>
      <c r="C658" s="68" t="s">
        <v>161</v>
      </c>
      <c r="D658" s="59" t="s">
        <v>1208</v>
      </c>
      <c r="E658" s="67"/>
      <c r="F658" s="49">
        <v>4</v>
      </c>
      <c r="G658" s="49">
        <f t="shared" si="25"/>
        <v>259830.81900000002</v>
      </c>
      <c r="H658" s="36">
        <f t="shared" si="24"/>
        <v>1039323.2760000001</v>
      </c>
      <c r="I658" s="67" t="s">
        <v>1183</v>
      </c>
      <c r="J658" s="67">
        <v>27290</v>
      </c>
      <c r="K658" s="67" t="s">
        <v>1205</v>
      </c>
      <c r="L658" s="67">
        <v>9.5211000000000006</v>
      </c>
      <c r="M658" s="439"/>
    </row>
    <row r="659" spans="1:15" ht="20.25" customHeight="1" x14ac:dyDescent="0.4">
      <c r="A659" s="482">
        <v>46112</v>
      </c>
      <c r="B659" s="59" t="s">
        <v>782</v>
      </c>
      <c r="C659" s="68" t="s">
        <v>155</v>
      </c>
      <c r="D659" s="59" t="s">
        <v>253</v>
      </c>
      <c r="E659" s="67"/>
      <c r="F659" s="49">
        <v>2</v>
      </c>
      <c r="G659" s="49">
        <f t="shared" si="25"/>
        <v>3729034.0260000001</v>
      </c>
      <c r="H659" s="36">
        <f t="shared" si="24"/>
        <v>7458068.0520000001</v>
      </c>
      <c r="I659" s="67" t="s">
        <v>1209</v>
      </c>
      <c r="J659" s="67">
        <v>391660</v>
      </c>
      <c r="K659" s="67" t="s">
        <v>1205</v>
      </c>
      <c r="L659" s="67">
        <v>9.5211000000000006</v>
      </c>
      <c r="M659" s="439"/>
    </row>
    <row r="660" spans="1:15" ht="20.25" customHeight="1" x14ac:dyDescent="0.4">
      <c r="A660" s="482">
        <v>46112</v>
      </c>
      <c r="B660" s="59" t="s">
        <v>782</v>
      </c>
      <c r="C660" s="68" t="s">
        <v>154</v>
      </c>
      <c r="D660" s="59" t="s">
        <v>266</v>
      </c>
      <c r="E660" s="67"/>
      <c r="F660" s="49">
        <v>4</v>
      </c>
      <c r="G660" s="49">
        <f t="shared" si="25"/>
        <v>3992292.4410000001</v>
      </c>
      <c r="H660" s="36">
        <f t="shared" si="24"/>
        <v>15969169.764</v>
      </c>
      <c r="I660" s="67" t="s">
        <v>1210</v>
      </c>
      <c r="J660" s="67">
        <v>419310</v>
      </c>
      <c r="K660" s="67" t="s">
        <v>1205</v>
      </c>
      <c r="L660" s="67">
        <v>9.5211000000000006</v>
      </c>
      <c r="M660" s="439"/>
    </row>
    <row r="661" spans="1:15" ht="20.25" customHeight="1" x14ac:dyDescent="0.4">
      <c r="A661" s="482">
        <v>46112</v>
      </c>
      <c r="B661" s="59" t="s">
        <v>782</v>
      </c>
      <c r="C661" s="68" t="s">
        <v>158</v>
      </c>
      <c r="D661" s="59" t="s">
        <v>252</v>
      </c>
      <c r="E661" s="67"/>
      <c r="F661" s="49">
        <v>8</v>
      </c>
      <c r="G661" s="49">
        <f t="shared" si="25"/>
        <v>3591358.9200000004</v>
      </c>
      <c r="H661" s="36">
        <f t="shared" si="24"/>
        <v>28730871.360000003</v>
      </c>
      <c r="I661" s="67" t="s">
        <v>1211</v>
      </c>
      <c r="J661" s="67">
        <v>377200</v>
      </c>
      <c r="K661" s="67" t="s">
        <v>1205</v>
      </c>
      <c r="L661" s="67">
        <v>9.5211000000000006</v>
      </c>
      <c r="M661" s="439"/>
    </row>
    <row r="662" spans="1:15" ht="20.25" customHeight="1" x14ac:dyDescent="0.4">
      <c r="A662" s="482">
        <v>46112</v>
      </c>
      <c r="B662" s="59" t="s">
        <v>782</v>
      </c>
      <c r="C662" s="68" t="s">
        <v>156</v>
      </c>
      <c r="D662" s="59" t="s">
        <v>271</v>
      </c>
      <c r="E662" s="67"/>
      <c r="F662" s="49">
        <v>4</v>
      </c>
      <c r="G662" s="49">
        <f t="shared" si="25"/>
        <v>1110350.682</v>
      </c>
      <c r="H662" s="36">
        <f t="shared" si="24"/>
        <v>4441402.7280000001</v>
      </c>
      <c r="I662" s="67" t="s">
        <v>1212</v>
      </c>
      <c r="J662" s="67">
        <v>116620</v>
      </c>
      <c r="K662" s="67" t="s">
        <v>1205</v>
      </c>
      <c r="L662" s="67">
        <v>9.5211000000000006</v>
      </c>
      <c r="M662" s="439"/>
    </row>
    <row r="663" spans="1:15" ht="20.25" customHeight="1" x14ac:dyDescent="0.4">
      <c r="A663" s="482">
        <v>46112</v>
      </c>
      <c r="B663" s="59" t="s">
        <v>782</v>
      </c>
      <c r="C663" s="68" t="s">
        <v>150</v>
      </c>
      <c r="D663" s="59" t="s">
        <v>275</v>
      </c>
      <c r="E663" s="67"/>
      <c r="F663" s="49">
        <v>1</v>
      </c>
      <c r="G663" s="49">
        <f t="shared" si="25"/>
        <v>556698.71700000006</v>
      </c>
      <c r="H663" s="36">
        <f t="shared" si="24"/>
        <v>556698.71700000006</v>
      </c>
      <c r="I663" s="67" t="s">
        <v>1213</v>
      </c>
      <c r="J663" s="67">
        <v>58470</v>
      </c>
      <c r="K663" s="67" t="s">
        <v>1205</v>
      </c>
      <c r="L663" s="67">
        <v>9.5211000000000006</v>
      </c>
      <c r="M663" s="439"/>
    </row>
    <row r="664" spans="1:15" ht="20.25" customHeight="1" x14ac:dyDescent="0.4">
      <c r="A664" s="482">
        <v>46112</v>
      </c>
      <c r="B664" s="59" t="s">
        <v>782</v>
      </c>
      <c r="C664" s="68" t="s">
        <v>158</v>
      </c>
      <c r="D664" s="59" t="s">
        <v>339</v>
      </c>
      <c r="E664" s="67"/>
      <c r="F664" s="49">
        <v>8</v>
      </c>
      <c r="G664" s="49">
        <f t="shared" si="25"/>
        <v>3591358.9200000004</v>
      </c>
      <c r="H664" s="36">
        <f t="shared" si="24"/>
        <v>28730871.360000003</v>
      </c>
      <c r="I664" s="67" t="s">
        <v>1214</v>
      </c>
      <c r="J664" s="67">
        <v>377200</v>
      </c>
      <c r="K664" s="67" t="s">
        <v>1205</v>
      </c>
      <c r="L664" s="67">
        <v>9.5211000000000006</v>
      </c>
      <c r="M664" s="439"/>
    </row>
    <row r="665" spans="1:15" ht="20.25" customHeight="1" x14ac:dyDescent="0.4">
      <c r="A665" s="482">
        <v>46112</v>
      </c>
      <c r="B665" s="59" t="s">
        <v>782</v>
      </c>
      <c r="C665" s="68" t="s">
        <v>150</v>
      </c>
      <c r="D665" s="59" t="s">
        <v>275</v>
      </c>
      <c r="E665" s="67"/>
      <c r="F665" s="49">
        <v>1</v>
      </c>
      <c r="G665" s="49">
        <f t="shared" si="25"/>
        <v>556698.71700000006</v>
      </c>
      <c r="H665" s="36">
        <f t="shared" si="24"/>
        <v>556698.71700000006</v>
      </c>
      <c r="I665" s="67" t="s">
        <v>1215</v>
      </c>
      <c r="J665" s="67">
        <v>58470</v>
      </c>
      <c r="K665" s="67" t="s">
        <v>1205</v>
      </c>
      <c r="L665" s="67">
        <v>9.5211000000000006</v>
      </c>
      <c r="M665" s="439"/>
    </row>
    <row r="666" spans="1:15" ht="20.25" customHeight="1" x14ac:dyDescent="0.4">
      <c r="A666" s="482">
        <v>46112</v>
      </c>
      <c r="B666" s="59" t="s">
        <v>782</v>
      </c>
      <c r="C666" s="68" t="s">
        <v>150</v>
      </c>
      <c r="D666" s="59" t="s">
        <v>256</v>
      </c>
      <c r="E666" s="67"/>
      <c r="F666" s="49">
        <v>1</v>
      </c>
      <c r="G666" s="49">
        <f t="shared" si="25"/>
        <v>138817.63800000001</v>
      </c>
      <c r="H666" s="36">
        <f t="shared" si="24"/>
        <v>138817.63800000001</v>
      </c>
      <c r="I666" s="67" t="s">
        <v>1001</v>
      </c>
      <c r="J666" s="67">
        <v>14580</v>
      </c>
      <c r="K666" s="67" t="s">
        <v>1205</v>
      </c>
      <c r="L666" s="67">
        <v>9.5211000000000006</v>
      </c>
      <c r="M666" s="439">
        <f>F666*G666</f>
        <v>138817.63800000001</v>
      </c>
    </row>
    <row r="667" spans="1:15" ht="20.25" customHeight="1" x14ac:dyDescent="0.4">
      <c r="A667" s="482">
        <v>46112</v>
      </c>
      <c r="B667" s="59" t="s">
        <v>782</v>
      </c>
      <c r="C667" s="68" t="s">
        <v>160</v>
      </c>
      <c r="D667" s="59" t="s">
        <v>255</v>
      </c>
      <c r="E667" s="67"/>
      <c r="F667" s="49">
        <v>1</v>
      </c>
      <c r="G667" s="49">
        <f t="shared" si="25"/>
        <v>53470.497600000002</v>
      </c>
      <c r="H667" s="36">
        <f t="shared" si="24"/>
        <v>53470.497600000002</v>
      </c>
      <c r="I667" s="67" t="s">
        <v>1216</v>
      </c>
      <c r="J667" s="67">
        <v>5616</v>
      </c>
      <c r="K667" s="67" t="s">
        <v>1205</v>
      </c>
      <c r="L667" s="67">
        <v>9.5211000000000006</v>
      </c>
      <c r="M667" s="439">
        <f>F667*G667</f>
        <v>53470.497600000002</v>
      </c>
    </row>
    <row r="668" spans="1:15" ht="20.25" customHeight="1" x14ac:dyDescent="0.4">
      <c r="A668" s="495"/>
      <c r="B668" s="496" t="s">
        <v>987</v>
      </c>
      <c r="C668" s="138"/>
      <c r="D668" s="138"/>
      <c r="E668" s="138"/>
      <c r="F668" s="138"/>
      <c r="G668" s="138"/>
      <c r="H668" s="138">
        <f>SUM(H516:H644)-3</f>
        <v>622858760.57570016</v>
      </c>
      <c r="I668" s="370">
        <f>H668/162000000</f>
        <v>3.8448071640475319</v>
      </c>
      <c r="J668" s="138"/>
      <c r="K668" s="138"/>
      <c r="L668" s="138"/>
      <c r="M668" s="497">
        <f>SUM(M552:M667)</f>
        <v>9007227.3169</v>
      </c>
      <c r="N668" s="441">
        <f>SUM(H668,M668)</f>
        <v>631865987.89260018</v>
      </c>
      <c r="O668" s="498">
        <f>N668/162000000</f>
        <v>3.9004073326703717</v>
      </c>
    </row>
    <row r="669" spans="1:15" ht="20.25" customHeight="1" x14ac:dyDescent="0.4">
      <c r="A669" s="513"/>
      <c r="B669" s="7"/>
      <c r="C669" s="49" t="s">
        <v>859</v>
      </c>
      <c r="D669" s="49" t="s">
        <v>860</v>
      </c>
      <c r="E669" s="49"/>
      <c r="F669" s="49">
        <v>5322</v>
      </c>
      <c r="G669" s="49">
        <v>340</v>
      </c>
      <c r="H669" s="36">
        <f t="shared" si="24"/>
        <v>1809480</v>
      </c>
      <c r="I669" s="428"/>
      <c r="J669" s="49"/>
      <c r="K669" s="49"/>
      <c r="L669" s="49"/>
      <c r="M669" s="441"/>
      <c r="N669" s="441"/>
      <c r="O669" s="498"/>
    </row>
    <row r="670" spans="1:15" ht="20.25" customHeight="1" x14ac:dyDescent="0.4">
      <c r="A670" s="495"/>
      <c r="B670" s="496"/>
      <c r="C670" s="138"/>
      <c r="D670" s="138"/>
      <c r="E670" s="138"/>
      <c r="F670" s="138"/>
      <c r="G670" s="138"/>
      <c r="H670" s="138">
        <f>SUM(H669)</f>
        <v>1809480</v>
      </c>
      <c r="I670" s="370"/>
      <c r="J670" s="138"/>
      <c r="K670" s="138"/>
      <c r="L670" s="138"/>
      <c r="M670" s="497"/>
      <c r="N670" s="441"/>
      <c r="O670" s="498"/>
    </row>
    <row r="671" spans="1:15" ht="18.75" customHeight="1" x14ac:dyDescent="0.4">
      <c r="A671" s="118">
        <v>46066</v>
      </c>
      <c r="B671" s="103" t="s">
        <v>823</v>
      </c>
      <c r="C671" s="115" t="s">
        <v>602</v>
      </c>
      <c r="D671" s="42"/>
      <c r="E671" s="42" t="s">
        <v>17</v>
      </c>
      <c r="F671" s="117">
        <v>30</v>
      </c>
      <c r="G671" s="8">
        <v>111422</v>
      </c>
      <c r="H671" s="8">
        <f>+G671*F671</f>
        <v>3342660</v>
      </c>
      <c r="I671" s="61"/>
      <c r="J671" s="70"/>
      <c r="K671" s="8"/>
      <c r="L671" s="116"/>
    </row>
    <row r="672" spans="1:15" ht="18.75" customHeight="1" x14ac:dyDescent="0.4">
      <c r="A672" s="488">
        <v>46083</v>
      </c>
      <c r="B672" s="103" t="s">
        <v>823</v>
      </c>
      <c r="C672" s="115" t="s">
        <v>602</v>
      </c>
      <c r="D672" s="42"/>
      <c r="E672" s="42" t="s">
        <v>17</v>
      </c>
      <c r="F672" s="117">
        <v>90</v>
      </c>
      <c r="G672" s="8">
        <v>111422</v>
      </c>
      <c r="H672" s="8">
        <f t="shared" ref="H672:H697" si="26">+G672*F672</f>
        <v>10027980</v>
      </c>
      <c r="I672" s="191"/>
      <c r="J672" s="70"/>
      <c r="K672" s="8"/>
      <c r="L672" s="116"/>
    </row>
    <row r="673" spans="1:12" ht="18.75" customHeight="1" x14ac:dyDescent="0.4">
      <c r="A673" s="488">
        <v>46084</v>
      </c>
      <c r="B673" s="103" t="s">
        <v>823</v>
      </c>
      <c r="C673" s="115" t="s">
        <v>602</v>
      </c>
      <c r="D673" s="42"/>
      <c r="E673" s="42" t="s">
        <v>17</v>
      </c>
      <c r="F673" s="117">
        <v>90</v>
      </c>
      <c r="G673" s="8">
        <v>111422</v>
      </c>
      <c r="H673" s="8">
        <f t="shared" si="26"/>
        <v>10027980</v>
      </c>
      <c r="I673" s="191"/>
      <c r="J673" s="70"/>
      <c r="K673" s="8"/>
      <c r="L673" s="116"/>
    </row>
    <row r="674" spans="1:12" ht="18.75" customHeight="1" x14ac:dyDescent="0.4">
      <c r="A674" s="488">
        <v>46085</v>
      </c>
      <c r="B674" s="103" t="s">
        <v>823</v>
      </c>
      <c r="C674" s="115" t="s">
        <v>602</v>
      </c>
      <c r="D674" s="42"/>
      <c r="E674" s="42" t="s">
        <v>17</v>
      </c>
      <c r="F674" s="117">
        <v>60</v>
      </c>
      <c r="G674" s="8">
        <v>111422</v>
      </c>
      <c r="H674" s="8">
        <f t="shared" si="26"/>
        <v>6685320</v>
      </c>
      <c r="I674" s="191"/>
      <c r="J674" s="70"/>
      <c r="K674" s="8"/>
      <c r="L674" s="116"/>
    </row>
    <row r="675" spans="1:12" ht="18.75" customHeight="1" x14ac:dyDescent="0.4">
      <c r="A675" s="488">
        <v>46086</v>
      </c>
      <c r="B675" s="103" t="s">
        <v>823</v>
      </c>
      <c r="C675" s="115" t="s">
        <v>602</v>
      </c>
      <c r="D675" s="42"/>
      <c r="E675" s="42" t="s">
        <v>17</v>
      </c>
      <c r="F675" s="117">
        <v>90</v>
      </c>
      <c r="G675" s="8">
        <v>111422</v>
      </c>
      <c r="H675" s="8">
        <f t="shared" si="26"/>
        <v>10027980</v>
      </c>
      <c r="I675" s="191"/>
      <c r="J675" s="70"/>
      <c r="K675" s="8"/>
      <c r="L675" s="116"/>
    </row>
    <row r="676" spans="1:12" ht="18.75" customHeight="1" x14ac:dyDescent="0.4">
      <c r="A676" s="488">
        <v>46087</v>
      </c>
      <c r="B676" s="103" t="s">
        <v>823</v>
      </c>
      <c r="C676" s="115" t="s">
        <v>602</v>
      </c>
      <c r="D676" s="42"/>
      <c r="E676" s="42" t="s">
        <v>17</v>
      </c>
      <c r="F676" s="117">
        <v>80</v>
      </c>
      <c r="G676" s="8">
        <v>111422</v>
      </c>
      <c r="H676" s="8">
        <f t="shared" si="26"/>
        <v>8913760</v>
      </c>
      <c r="I676" s="191"/>
      <c r="J676" s="70"/>
      <c r="K676" s="8"/>
      <c r="L676" s="116"/>
    </row>
    <row r="677" spans="1:12" ht="18.75" customHeight="1" x14ac:dyDescent="0.4">
      <c r="A677" s="488">
        <v>46088</v>
      </c>
      <c r="B677" s="103" t="s">
        <v>823</v>
      </c>
      <c r="C677" s="115" t="s">
        <v>602</v>
      </c>
      <c r="D677" s="42"/>
      <c r="E677" s="42" t="s">
        <v>17</v>
      </c>
      <c r="F677" s="117">
        <v>60</v>
      </c>
      <c r="G677" s="8">
        <v>111422</v>
      </c>
      <c r="H677" s="8">
        <f t="shared" si="26"/>
        <v>6685320</v>
      </c>
      <c r="I677" s="191"/>
      <c r="J677" s="70"/>
      <c r="K677" s="8"/>
      <c r="L677" s="116"/>
    </row>
    <row r="678" spans="1:12" ht="18.75" customHeight="1" x14ac:dyDescent="0.4">
      <c r="A678" s="488">
        <v>46090</v>
      </c>
      <c r="B678" s="103" t="s">
        <v>823</v>
      </c>
      <c r="C678" s="115" t="s">
        <v>602</v>
      </c>
      <c r="D678" s="42"/>
      <c r="E678" s="42" t="s">
        <v>17</v>
      </c>
      <c r="F678" s="117">
        <v>60</v>
      </c>
      <c r="G678" s="8">
        <v>111422</v>
      </c>
      <c r="H678" s="8">
        <f t="shared" si="26"/>
        <v>6685320</v>
      </c>
      <c r="I678" s="191"/>
      <c r="J678" s="70"/>
      <c r="K678" s="8"/>
      <c r="L678" s="116"/>
    </row>
    <row r="679" spans="1:12" ht="18.75" customHeight="1" x14ac:dyDescent="0.4">
      <c r="A679" s="488">
        <v>46091</v>
      </c>
      <c r="B679" s="103" t="s">
        <v>823</v>
      </c>
      <c r="C679" s="115" t="s">
        <v>602</v>
      </c>
      <c r="D679" s="42"/>
      <c r="E679" s="42" t="s">
        <v>17</v>
      </c>
      <c r="F679" s="117">
        <v>91</v>
      </c>
      <c r="G679" s="8">
        <v>111422</v>
      </c>
      <c r="H679" s="8">
        <f t="shared" si="26"/>
        <v>10139402</v>
      </c>
      <c r="I679" s="191"/>
      <c r="J679" s="70"/>
      <c r="K679" s="8"/>
      <c r="L679" s="116"/>
    </row>
    <row r="680" spans="1:12" ht="18.75" customHeight="1" x14ac:dyDescent="0.4">
      <c r="A680" s="488">
        <v>46092</v>
      </c>
      <c r="B680" s="103" t="s">
        <v>823</v>
      </c>
      <c r="C680" s="115" t="s">
        <v>602</v>
      </c>
      <c r="D680" s="42"/>
      <c r="E680" s="42" t="s">
        <v>17</v>
      </c>
      <c r="F680" s="117">
        <v>90</v>
      </c>
      <c r="G680" s="8">
        <v>111422</v>
      </c>
      <c r="H680" s="8">
        <f t="shared" si="26"/>
        <v>10027980</v>
      </c>
      <c r="I680" s="191"/>
      <c r="J680" s="70"/>
      <c r="K680" s="8"/>
      <c r="L680" s="116"/>
    </row>
    <row r="681" spans="1:12" ht="18.75" customHeight="1" x14ac:dyDescent="0.4">
      <c r="A681" s="488">
        <v>46094</v>
      </c>
      <c r="B681" s="103" t="s">
        <v>823</v>
      </c>
      <c r="C681" s="115" t="s">
        <v>602</v>
      </c>
      <c r="D681" s="42"/>
      <c r="E681" s="42" t="s">
        <v>17</v>
      </c>
      <c r="F681" s="117">
        <v>90</v>
      </c>
      <c r="G681" s="8">
        <v>111422</v>
      </c>
      <c r="H681" s="8">
        <f t="shared" si="26"/>
        <v>10027980</v>
      </c>
      <c r="I681" s="191"/>
      <c r="J681" s="70"/>
      <c r="K681" s="8"/>
      <c r="L681" s="116"/>
    </row>
    <row r="682" spans="1:12" ht="18.75" customHeight="1" x14ac:dyDescent="0.4">
      <c r="A682" s="488">
        <v>46095</v>
      </c>
      <c r="B682" s="103" t="s">
        <v>823</v>
      </c>
      <c r="C682" s="115" t="s">
        <v>602</v>
      </c>
      <c r="D682" s="42"/>
      <c r="E682" s="42" t="s">
        <v>17</v>
      </c>
      <c r="F682" s="117">
        <v>30</v>
      </c>
      <c r="G682" s="8">
        <v>111422</v>
      </c>
      <c r="H682" s="8">
        <f t="shared" si="26"/>
        <v>3342660</v>
      </c>
      <c r="I682" s="191"/>
      <c r="J682" s="70"/>
      <c r="K682" s="8"/>
      <c r="L682" s="116"/>
    </row>
    <row r="683" spans="1:12" ht="18.75" customHeight="1" x14ac:dyDescent="0.4">
      <c r="A683" s="488">
        <v>46097</v>
      </c>
      <c r="B683" s="103" t="s">
        <v>823</v>
      </c>
      <c r="C683" s="115" t="s">
        <v>602</v>
      </c>
      <c r="D683" s="42"/>
      <c r="E683" s="42" t="s">
        <v>17</v>
      </c>
      <c r="F683" s="117">
        <v>90</v>
      </c>
      <c r="G683" s="8">
        <v>111422</v>
      </c>
      <c r="H683" s="8">
        <f t="shared" si="26"/>
        <v>10027980</v>
      </c>
      <c r="I683" s="191"/>
      <c r="J683" s="70"/>
      <c r="K683" s="8"/>
      <c r="L683" s="116"/>
    </row>
    <row r="684" spans="1:12" ht="18.75" customHeight="1" x14ac:dyDescent="0.4">
      <c r="A684" s="488">
        <v>46098</v>
      </c>
      <c r="B684" s="103" t="s">
        <v>823</v>
      </c>
      <c r="C684" s="115" t="s">
        <v>602</v>
      </c>
      <c r="D684" s="42"/>
      <c r="E684" s="42" t="s">
        <v>17</v>
      </c>
      <c r="F684" s="117">
        <v>60</v>
      </c>
      <c r="G684" s="8">
        <v>111422</v>
      </c>
      <c r="H684" s="8">
        <f t="shared" si="26"/>
        <v>6685320</v>
      </c>
      <c r="I684" s="191"/>
      <c r="J684" s="70"/>
      <c r="K684" s="8"/>
      <c r="L684" s="116"/>
    </row>
    <row r="685" spans="1:12" ht="18.75" customHeight="1" x14ac:dyDescent="0.4">
      <c r="A685" s="488">
        <v>46099</v>
      </c>
      <c r="B685" s="103" t="s">
        <v>823</v>
      </c>
      <c r="C685" s="115" t="s">
        <v>602</v>
      </c>
      <c r="D685" s="42"/>
      <c r="E685" s="42" t="s">
        <v>17</v>
      </c>
      <c r="F685" s="117">
        <v>60</v>
      </c>
      <c r="G685" s="8">
        <v>111422</v>
      </c>
      <c r="H685" s="8">
        <f t="shared" si="26"/>
        <v>6685320</v>
      </c>
      <c r="I685" s="191"/>
      <c r="J685" s="70"/>
      <c r="K685" s="8"/>
      <c r="L685" s="116"/>
    </row>
    <row r="686" spans="1:12" ht="18.75" customHeight="1" x14ac:dyDescent="0.4">
      <c r="A686" s="488">
        <v>46100</v>
      </c>
      <c r="B686" s="103" t="s">
        <v>823</v>
      </c>
      <c r="C686" s="115" t="s">
        <v>602</v>
      </c>
      <c r="D686" s="42"/>
      <c r="E686" s="42" t="s">
        <v>17</v>
      </c>
      <c r="F686" s="117">
        <v>30</v>
      </c>
      <c r="G686" s="8">
        <v>111422</v>
      </c>
      <c r="H686" s="8">
        <f t="shared" si="26"/>
        <v>3342660</v>
      </c>
      <c r="I686" s="191"/>
      <c r="J686" s="70"/>
      <c r="K686" s="8"/>
      <c r="L686" s="116"/>
    </row>
    <row r="687" spans="1:12" ht="18.75" customHeight="1" x14ac:dyDescent="0.4">
      <c r="A687" s="488">
        <v>46100</v>
      </c>
      <c r="B687" s="103" t="s">
        <v>823</v>
      </c>
      <c r="C687" s="115" t="s">
        <v>602</v>
      </c>
      <c r="D687" s="42"/>
      <c r="E687" s="42" t="s">
        <v>17</v>
      </c>
      <c r="F687" s="117">
        <v>30</v>
      </c>
      <c r="G687" s="8">
        <v>111422</v>
      </c>
      <c r="H687" s="8">
        <f t="shared" si="26"/>
        <v>3342660</v>
      </c>
      <c r="I687" s="191"/>
      <c r="J687" s="70"/>
      <c r="K687" s="8"/>
      <c r="L687" s="116"/>
    </row>
    <row r="688" spans="1:12" ht="18.75" customHeight="1" x14ac:dyDescent="0.4">
      <c r="A688" s="488">
        <v>46101</v>
      </c>
      <c r="B688" s="103" t="s">
        <v>823</v>
      </c>
      <c r="C688" s="115" t="s">
        <v>602</v>
      </c>
      <c r="D688" s="42"/>
      <c r="E688" s="42" t="s">
        <v>17</v>
      </c>
      <c r="F688" s="117">
        <v>90</v>
      </c>
      <c r="G688" s="8">
        <v>111422</v>
      </c>
      <c r="H688" s="8">
        <f t="shared" si="26"/>
        <v>10027980</v>
      </c>
      <c r="I688" s="191" t="s">
        <v>1217</v>
      </c>
      <c r="J688" s="70"/>
      <c r="K688" s="8"/>
      <c r="L688" s="116"/>
    </row>
    <row r="689" spans="1:12" ht="18.75" customHeight="1" x14ac:dyDescent="0.4">
      <c r="A689" s="488">
        <v>46102</v>
      </c>
      <c r="B689" s="103" t="s">
        <v>823</v>
      </c>
      <c r="C689" s="115" t="s">
        <v>602</v>
      </c>
      <c r="D689" s="42"/>
      <c r="E689" s="42" t="s">
        <v>17</v>
      </c>
      <c r="F689" s="117">
        <v>60</v>
      </c>
      <c r="G689" s="8">
        <v>111422</v>
      </c>
      <c r="H689" s="8">
        <f t="shared" si="26"/>
        <v>6685320</v>
      </c>
      <c r="I689" s="191" t="s">
        <v>1218</v>
      </c>
      <c r="J689" s="70"/>
      <c r="K689" s="8"/>
      <c r="L689" s="116"/>
    </row>
    <row r="690" spans="1:12" ht="18.75" customHeight="1" x14ac:dyDescent="0.4">
      <c r="A690" s="488">
        <v>46104</v>
      </c>
      <c r="B690" s="103" t="s">
        <v>823</v>
      </c>
      <c r="C690" s="115" t="s">
        <v>602</v>
      </c>
      <c r="D690" s="42"/>
      <c r="E690" s="42" t="s">
        <v>17</v>
      </c>
      <c r="F690" s="117">
        <v>30</v>
      </c>
      <c r="G690" s="8">
        <v>111422</v>
      </c>
      <c r="H690" s="8">
        <f t="shared" si="26"/>
        <v>3342660</v>
      </c>
      <c r="I690" s="191"/>
      <c r="J690" s="70"/>
      <c r="K690" s="8"/>
      <c r="L690" s="116"/>
    </row>
    <row r="691" spans="1:12" ht="18.75" customHeight="1" x14ac:dyDescent="0.4">
      <c r="A691" s="488">
        <v>46105</v>
      </c>
      <c r="B691" s="103" t="s">
        <v>823</v>
      </c>
      <c r="C691" s="115" t="s">
        <v>602</v>
      </c>
      <c r="D691" s="42"/>
      <c r="E691" s="42" t="s">
        <v>17</v>
      </c>
      <c r="F691" s="117">
        <v>30</v>
      </c>
      <c r="G691" s="8">
        <v>111422</v>
      </c>
      <c r="H691" s="8">
        <f t="shared" si="26"/>
        <v>3342660</v>
      </c>
      <c r="I691" s="191"/>
      <c r="J691" s="70"/>
      <c r="K691" s="8"/>
      <c r="L691" s="116"/>
    </row>
    <row r="692" spans="1:12" ht="18.75" customHeight="1" x14ac:dyDescent="0.4">
      <c r="A692" s="488">
        <v>46106</v>
      </c>
      <c r="B692" s="103" t="s">
        <v>823</v>
      </c>
      <c r="C692" s="115" t="s">
        <v>602</v>
      </c>
      <c r="D692" s="42"/>
      <c r="E692" s="42" t="s">
        <v>17</v>
      </c>
      <c r="F692" s="117">
        <v>30</v>
      </c>
      <c r="G692" s="8">
        <v>111422</v>
      </c>
      <c r="H692" s="8">
        <f t="shared" si="26"/>
        <v>3342660</v>
      </c>
      <c r="I692" s="191"/>
      <c r="J692" s="70"/>
      <c r="K692" s="8"/>
      <c r="L692" s="116"/>
    </row>
    <row r="693" spans="1:12" ht="18.75" customHeight="1" x14ac:dyDescent="0.4">
      <c r="A693" s="488">
        <v>46107</v>
      </c>
      <c r="B693" s="103" t="s">
        <v>823</v>
      </c>
      <c r="C693" s="115" t="s">
        <v>602</v>
      </c>
      <c r="D693" s="42"/>
      <c r="E693" s="42" t="s">
        <v>17</v>
      </c>
      <c r="F693" s="117">
        <v>90</v>
      </c>
      <c r="G693" s="8">
        <v>111422</v>
      </c>
      <c r="H693" s="8">
        <f t="shared" si="26"/>
        <v>10027980</v>
      </c>
      <c r="I693" s="191"/>
      <c r="J693" s="70"/>
      <c r="K693" s="8"/>
      <c r="L693" s="116"/>
    </row>
    <row r="694" spans="1:12" ht="18.75" customHeight="1" x14ac:dyDescent="0.4">
      <c r="A694" s="488">
        <v>46108</v>
      </c>
      <c r="B694" s="103" t="s">
        <v>823</v>
      </c>
      <c r="C694" s="115" t="s">
        <v>602</v>
      </c>
      <c r="D694" s="42"/>
      <c r="E694" s="42" t="s">
        <v>17</v>
      </c>
      <c r="F694" s="117">
        <v>90</v>
      </c>
      <c r="G694" s="8">
        <v>111422</v>
      </c>
      <c r="H694" s="8">
        <f t="shared" si="26"/>
        <v>10027980</v>
      </c>
      <c r="I694" s="191"/>
      <c r="J694" s="70"/>
      <c r="K694" s="8"/>
      <c r="L694" s="116"/>
    </row>
    <row r="695" spans="1:12" ht="18.75" customHeight="1" x14ac:dyDescent="0.4">
      <c r="A695" s="488">
        <v>46109</v>
      </c>
      <c r="B695" s="103" t="s">
        <v>823</v>
      </c>
      <c r="C695" s="115" t="s">
        <v>602</v>
      </c>
      <c r="D695" s="42"/>
      <c r="E695" s="42" t="s">
        <v>17</v>
      </c>
      <c r="F695" s="117">
        <v>60</v>
      </c>
      <c r="G695" s="8">
        <v>111422</v>
      </c>
      <c r="H695" s="8">
        <f t="shared" si="26"/>
        <v>6685320</v>
      </c>
      <c r="I695" s="191"/>
      <c r="J695" s="70"/>
      <c r="K695" s="8"/>
      <c r="L695" s="116"/>
    </row>
    <row r="696" spans="1:12" ht="18.75" customHeight="1" x14ac:dyDescent="0.4">
      <c r="A696" s="488">
        <v>46111</v>
      </c>
      <c r="B696" s="103" t="s">
        <v>823</v>
      </c>
      <c r="C696" s="115" t="s">
        <v>602</v>
      </c>
      <c r="D696" s="42"/>
      <c r="E696" s="42" t="s">
        <v>17</v>
      </c>
      <c r="F696" s="117">
        <v>60</v>
      </c>
      <c r="G696" s="8">
        <v>111422</v>
      </c>
      <c r="H696" s="8">
        <f t="shared" si="26"/>
        <v>6685320</v>
      </c>
      <c r="I696" s="191"/>
      <c r="J696" s="70"/>
      <c r="K696" s="8"/>
      <c r="L696" s="116"/>
    </row>
    <row r="697" spans="1:12" ht="18.75" customHeight="1" x14ac:dyDescent="0.4">
      <c r="A697" s="488">
        <v>46112</v>
      </c>
      <c r="B697" s="103" t="s">
        <v>823</v>
      </c>
      <c r="C697" s="115" t="s">
        <v>602</v>
      </c>
      <c r="D697" s="42"/>
      <c r="E697" s="42" t="s">
        <v>17</v>
      </c>
      <c r="F697" s="117">
        <v>130</v>
      </c>
      <c r="G697" s="8">
        <v>111422</v>
      </c>
      <c r="H697" s="8">
        <f t="shared" si="26"/>
        <v>14484860</v>
      </c>
      <c r="I697" s="191"/>
      <c r="J697" s="70"/>
      <c r="K697" s="8"/>
      <c r="L697" s="116"/>
    </row>
    <row r="698" spans="1:12" ht="18.75" customHeight="1" x14ac:dyDescent="0.4">
      <c r="A698" s="499"/>
      <c r="B698" s="205"/>
      <c r="C698" s="206"/>
      <c r="D698" s="207"/>
      <c r="E698" s="208"/>
      <c r="F698" s="64">
        <f>SUM(F671:F697)</f>
        <v>1801</v>
      </c>
      <c r="G698" s="122"/>
      <c r="H698" s="64">
        <f>SUM(H671:H697)</f>
        <v>200671022</v>
      </c>
      <c r="I698" s="122"/>
      <c r="J698" s="208"/>
      <c r="K698" s="292"/>
      <c r="L698" s="122"/>
    </row>
    <row r="699" spans="1:12" ht="18.75" customHeight="1" x14ac:dyDescent="0.4">
      <c r="A699" s="485">
        <v>46100</v>
      </c>
      <c r="B699" s="110" t="s">
        <v>163</v>
      </c>
      <c r="C699" s="6" t="s">
        <v>276</v>
      </c>
      <c r="D699" s="1"/>
      <c r="E699" s="8" t="s">
        <v>17</v>
      </c>
      <c r="F699" s="8">
        <v>120</v>
      </c>
      <c r="G699" s="8">
        <v>111422</v>
      </c>
      <c r="H699" s="36">
        <f>F699*G699</f>
        <v>13370640</v>
      </c>
      <c r="I699" s="139"/>
      <c r="J699" s="8">
        <f>86/2.54</f>
        <v>33.85826771653543</v>
      </c>
      <c r="K699" s="30"/>
      <c r="L699" s="82"/>
    </row>
    <row r="700" spans="1:12" ht="18.75" customHeight="1" x14ac:dyDescent="0.4">
      <c r="A700" s="4">
        <v>46106</v>
      </c>
      <c r="B700" s="110" t="s">
        <v>163</v>
      </c>
      <c r="C700" s="6" t="s">
        <v>276</v>
      </c>
      <c r="D700" s="1"/>
      <c r="E700" s="8" t="s">
        <v>17</v>
      </c>
      <c r="F700" s="8">
        <v>30</v>
      </c>
      <c r="G700" s="8">
        <v>111422</v>
      </c>
      <c r="H700" s="36">
        <f>F700*G700</f>
        <v>3342660</v>
      </c>
      <c r="I700" s="139" t="s">
        <v>344</v>
      </c>
      <c r="J700" s="8">
        <f>86/2.54</f>
        <v>33.85826771653543</v>
      </c>
      <c r="K700" s="30"/>
      <c r="L700" s="82"/>
    </row>
    <row r="701" spans="1:12" ht="18.75" customHeight="1" x14ac:dyDescent="0.4">
      <c r="A701" s="499"/>
      <c r="B701" s="205"/>
      <c r="C701" s="206"/>
      <c r="D701" s="207"/>
      <c r="E701" s="208"/>
      <c r="F701" s="64">
        <f>SUM(F699:F700)</f>
        <v>150</v>
      </c>
      <c r="G701" s="122"/>
      <c r="H701" s="64">
        <f>SUM(H699:H700)</f>
        <v>16713300</v>
      </c>
      <c r="I701" s="209"/>
      <c r="J701" s="208"/>
      <c r="K701" s="85"/>
      <c r="L701" s="210"/>
    </row>
    <row r="702" spans="1:12" ht="18.75" customHeight="1" x14ac:dyDescent="0.4">
      <c r="A702" s="485"/>
      <c r="B702" s="110" t="s">
        <v>163</v>
      </c>
      <c r="C702" s="6" t="s">
        <v>276</v>
      </c>
      <c r="D702" s="1"/>
      <c r="E702" s="8" t="s">
        <v>17</v>
      </c>
      <c r="F702" s="8"/>
      <c r="G702" s="8">
        <v>111422</v>
      </c>
      <c r="H702" s="36">
        <f>F702*G702</f>
        <v>0</v>
      </c>
      <c r="I702" s="139"/>
      <c r="J702" s="8"/>
      <c r="K702" s="30"/>
      <c r="L702" s="82"/>
    </row>
    <row r="703" spans="1:12" ht="18.75" customHeight="1" x14ac:dyDescent="0.4">
      <c r="A703" s="499"/>
      <c r="B703" s="205"/>
      <c r="C703" s="206"/>
      <c r="D703" s="207"/>
      <c r="E703" s="208"/>
      <c r="F703" s="64"/>
      <c r="G703" s="122"/>
      <c r="H703" s="64">
        <f>SUM(H702)</f>
        <v>0</v>
      </c>
      <c r="I703" s="209"/>
      <c r="J703" s="208"/>
      <c r="K703" s="85"/>
      <c r="L703" s="210"/>
    </row>
    <row r="704" spans="1:12" ht="18.75" customHeight="1" x14ac:dyDescent="0.4">
      <c r="A704" s="4">
        <v>46086</v>
      </c>
      <c r="B704" s="110" t="s">
        <v>163</v>
      </c>
      <c r="C704" s="6" t="s">
        <v>276</v>
      </c>
      <c r="D704" s="1"/>
      <c r="E704" s="8" t="s">
        <v>17</v>
      </c>
      <c r="F704" s="8">
        <v>-27</v>
      </c>
      <c r="G704" s="8">
        <v>111422</v>
      </c>
      <c r="H704" s="36">
        <f t="shared" ref="H704:H715" si="27">F704*G704</f>
        <v>-3008394</v>
      </c>
      <c r="I704" s="139" t="s">
        <v>1031</v>
      </c>
      <c r="J704" s="8"/>
      <c r="K704" s="41"/>
      <c r="L704" s="121"/>
    </row>
    <row r="705" spans="1:12" ht="18.75" customHeight="1" x14ac:dyDescent="0.4">
      <c r="A705" s="4">
        <v>46087</v>
      </c>
      <c r="B705" s="110" t="s">
        <v>163</v>
      </c>
      <c r="C705" s="6" t="s">
        <v>276</v>
      </c>
      <c r="D705" s="1"/>
      <c r="E705" s="8" t="s">
        <v>17</v>
      </c>
      <c r="F705" s="8">
        <v>-30</v>
      </c>
      <c r="G705" s="8">
        <v>111422</v>
      </c>
      <c r="H705" s="36">
        <f t="shared" si="27"/>
        <v>-3342660</v>
      </c>
      <c r="I705" s="139" t="s">
        <v>1031</v>
      </c>
      <c r="J705" s="8"/>
      <c r="K705" s="41"/>
      <c r="L705" s="121"/>
    </row>
    <row r="706" spans="1:12" ht="18.75" customHeight="1" x14ac:dyDescent="0.4">
      <c r="A706" s="4">
        <v>46088</v>
      </c>
      <c r="B706" s="110" t="s">
        <v>163</v>
      </c>
      <c r="C706" s="6" t="s">
        <v>276</v>
      </c>
      <c r="D706" s="1"/>
      <c r="E706" s="8" t="s">
        <v>17</v>
      </c>
      <c r="F706" s="8">
        <v>-30</v>
      </c>
      <c r="G706" s="8">
        <v>111422</v>
      </c>
      <c r="H706" s="36">
        <f t="shared" si="27"/>
        <v>-3342660</v>
      </c>
      <c r="I706" s="139" t="s">
        <v>1031</v>
      </c>
      <c r="J706" s="8"/>
      <c r="K706" s="41"/>
      <c r="L706" s="121"/>
    </row>
    <row r="707" spans="1:12" ht="18.75" customHeight="1" x14ac:dyDescent="0.4">
      <c r="A707" s="4">
        <v>46091</v>
      </c>
      <c r="B707" s="110" t="s">
        <v>163</v>
      </c>
      <c r="C707" s="6" t="s">
        <v>276</v>
      </c>
      <c r="D707" s="1"/>
      <c r="E707" s="8" t="s">
        <v>17</v>
      </c>
      <c r="F707" s="8">
        <v>-33</v>
      </c>
      <c r="G707" s="8">
        <v>111422</v>
      </c>
      <c r="H707" s="36">
        <f t="shared" si="27"/>
        <v>-3676926</v>
      </c>
      <c r="I707" s="139" t="s">
        <v>1031</v>
      </c>
      <c r="J707" s="8"/>
      <c r="K707" s="41"/>
      <c r="L707" s="121"/>
    </row>
    <row r="708" spans="1:12" ht="18.75" customHeight="1" x14ac:dyDescent="0.4">
      <c r="A708" s="4">
        <v>46091</v>
      </c>
      <c r="B708" s="110" t="s">
        <v>163</v>
      </c>
      <c r="C708" s="6" t="s">
        <v>276</v>
      </c>
      <c r="D708" s="1"/>
      <c r="E708" s="8" t="s">
        <v>17</v>
      </c>
      <c r="F708" s="8">
        <v>-57</v>
      </c>
      <c r="G708" s="8">
        <v>111422</v>
      </c>
      <c r="H708" s="36">
        <f t="shared" si="27"/>
        <v>-6351054</v>
      </c>
      <c r="I708" s="139" t="s">
        <v>1031</v>
      </c>
      <c r="J708" s="8"/>
      <c r="K708" s="41"/>
      <c r="L708" s="121"/>
    </row>
    <row r="709" spans="1:12" ht="18.75" customHeight="1" x14ac:dyDescent="0.4">
      <c r="A709" s="4">
        <v>46098</v>
      </c>
      <c r="B709" s="110" t="s">
        <v>163</v>
      </c>
      <c r="C709" s="6" t="s">
        <v>276</v>
      </c>
      <c r="D709" s="1"/>
      <c r="E709" s="8" t="s">
        <v>17</v>
      </c>
      <c r="F709" s="8">
        <v>-27</v>
      </c>
      <c r="G709" s="8">
        <v>111422</v>
      </c>
      <c r="H709" s="36">
        <f t="shared" si="27"/>
        <v>-3008394</v>
      </c>
      <c r="I709" s="139" t="s">
        <v>1031</v>
      </c>
      <c r="J709" s="8"/>
      <c r="K709" s="41"/>
      <c r="L709" s="121"/>
    </row>
    <row r="710" spans="1:12" ht="18.75" customHeight="1" x14ac:dyDescent="0.4">
      <c r="A710" s="4">
        <v>46100</v>
      </c>
      <c r="B710" s="110" t="s">
        <v>163</v>
      </c>
      <c r="C710" s="6" t="s">
        <v>276</v>
      </c>
      <c r="D710" s="1"/>
      <c r="E710" s="8" t="s">
        <v>17</v>
      </c>
      <c r="F710" s="8">
        <v>-120</v>
      </c>
      <c r="G710" s="8">
        <v>111422</v>
      </c>
      <c r="H710" s="36">
        <f t="shared" si="27"/>
        <v>-13370640</v>
      </c>
      <c r="I710" s="139" t="s">
        <v>1031</v>
      </c>
      <c r="J710" s="8"/>
      <c r="K710" s="41"/>
      <c r="L710" s="121"/>
    </row>
    <row r="711" spans="1:12" ht="18.75" customHeight="1" x14ac:dyDescent="0.4">
      <c r="A711" s="4">
        <v>46104</v>
      </c>
      <c r="B711" s="110" t="s">
        <v>163</v>
      </c>
      <c r="C711" s="6" t="s">
        <v>276</v>
      </c>
      <c r="D711" s="1"/>
      <c r="E711" s="8" t="s">
        <v>17</v>
      </c>
      <c r="F711" s="8">
        <v>-54</v>
      </c>
      <c r="G711" s="8">
        <v>111422</v>
      </c>
      <c r="H711" s="36">
        <f t="shared" si="27"/>
        <v>-6016788</v>
      </c>
      <c r="I711" s="139" t="s">
        <v>1235</v>
      </c>
      <c r="J711" s="8"/>
      <c r="K711" s="41"/>
      <c r="L711" s="121"/>
    </row>
    <row r="712" spans="1:12" ht="18.75" customHeight="1" x14ac:dyDescent="0.4">
      <c r="A712" s="4">
        <v>46104</v>
      </c>
      <c r="B712" s="110" t="s">
        <v>163</v>
      </c>
      <c r="C712" s="6" t="s">
        <v>276</v>
      </c>
      <c r="D712" s="1"/>
      <c r="E712" s="8" t="s">
        <v>17</v>
      </c>
      <c r="F712" s="8">
        <v>-88</v>
      </c>
      <c r="G712" s="8">
        <v>111422</v>
      </c>
      <c r="H712" s="36">
        <f t="shared" si="27"/>
        <v>-9805136</v>
      </c>
      <c r="I712" s="139" t="s">
        <v>1031</v>
      </c>
      <c r="J712" s="8"/>
      <c r="K712" s="41"/>
      <c r="L712" s="121"/>
    </row>
    <row r="713" spans="1:12" ht="18.75" customHeight="1" x14ac:dyDescent="0.4">
      <c r="A713" s="4">
        <v>46107</v>
      </c>
      <c r="B713" s="110" t="s">
        <v>163</v>
      </c>
      <c r="C713" s="6" t="s">
        <v>276</v>
      </c>
      <c r="D713" s="1"/>
      <c r="E713" s="8" t="s">
        <v>17</v>
      </c>
      <c r="F713" s="8">
        <v>-60</v>
      </c>
      <c r="G713" s="8">
        <v>111422</v>
      </c>
      <c r="H713" s="36">
        <f t="shared" si="27"/>
        <v>-6685320</v>
      </c>
      <c r="I713" s="139" t="s">
        <v>1031</v>
      </c>
      <c r="J713" s="8"/>
      <c r="K713" s="41"/>
      <c r="L713" s="121"/>
    </row>
    <row r="714" spans="1:12" ht="18.75" customHeight="1" x14ac:dyDescent="0.4">
      <c r="A714" s="4">
        <v>46109</v>
      </c>
      <c r="B714" s="110" t="s">
        <v>163</v>
      </c>
      <c r="C714" s="6" t="s">
        <v>276</v>
      </c>
      <c r="D714" s="1"/>
      <c r="E714" s="8" t="s">
        <v>17</v>
      </c>
      <c r="F714" s="8">
        <v>-30</v>
      </c>
      <c r="G714" s="8">
        <v>111422</v>
      </c>
      <c r="H714" s="36">
        <f t="shared" si="27"/>
        <v>-3342660</v>
      </c>
      <c r="I714" s="139" t="s">
        <v>1031</v>
      </c>
      <c r="J714" s="8"/>
      <c r="K714" s="41"/>
      <c r="L714" s="121"/>
    </row>
    <row r="715" spans="1:12" ht="18.75" customHeight="1" x14ac:dyDescent="0.4">
      <c r="A715" s="4">
        <v>46111</v>
      </c>
      <c r="B715" s="110" t="s">
        <v>163</v>
      </c>
      <c r="C715" s="6" t="s">
        <v>276</v>
      </c>
      <c r="D715" s="1"/>
      <c r="E715" s="8" t="s">
        <v>17</v>
      </c>
      <c r="F715" s="8">
        <v>-30</v>
      </c>
      <c r="G715" s="8">
        <v>111422</v>
      </c>
      <c r="H715" s="36">
        <f t="shared" si="27"/>
        <v>-3342660</v>
      </c>
      <c r="I715" s="139" t="s">
        <v>1031</v>
      </c>
      <c r="J715" s="8"/>
      <c r="K715" s="41"/>
      <c r="L715" s="121"/>
    </row>
    <row r="716" spans="1:12" ht="18.75" customHeight="1" x14ac:dyDescent="0.4">
      <c r="A716" s="499"/>
      <c r="B716" s="205"/>
      <c r="C716" s="206"/>
      <c r="D716" s="207"/>
      <c r="E716" s="208"/>
      <c r="F716" s="64">
        <f>SUM(F704:F715)</f>
        <v>-586</v>
      </c>
      <c r="G716" s="63"/>
      <c r="H716" s="64">
        <f>SUM(H704:H715)</f>
        <v>-65293292</v>
      </c>
      <c r="I716" s="512">
        <f>H716/H698</f>
        <v>-0.32537479178234313</v>
      </c>
      <c r="J716" s="62"/>
      <c r="K716" s="62"/>
      <c r="L716" s="146"/>
    </row>
    <row r="717" spans="1:12" ht="18.75" customHeight="1" x14ac:dyDescent="0.4">
      <c r="A717" s="492"/>
      <c r="B717" s="123"/>
      <c r="C717" s="138"/>
      <c r="D717" s="97"/>
      <c r="E717" s="123"/>
      <c r="F717" s="500"/>
      <c r="G717" s="138"/>
      <c r="H717" s="138">
        <f>+H716+H701+H698</f>
        <v>152091030</v>
      </c>
      <c r="I717" s="123"/>
      <c r="J717" s="123"/>
      <c r="K717" s="123"/>
      <c r="L717" s="123"/>
    </row>
    <row r="718" spans="1:12" ht="18.75" customHeight="1" x14ac:dyDescent="0.4">
      <c r="A718" s="485">
        <v>46093</v>
      </c>
      <c r="B718" s="8" t="s">
        <v>395</v>
      </c>
      <c r="C718" s="49" t="s">
        <v>1032</v>
      </c>
      <c r="D718" s="59" t="s">
        <v>1033</v>
      </c>
      <c r="E718" s="67"/>
      <c r="F718" s="81">
        <v>27</v>
      </c>
      <c r="G718" s="49">
        <f>J718*L718</f>
        <v>2291332.6934000002</v>
      </c>
      <c r="H718" s="36">
        <f>F718*G718</f>
        <v>61865982.721800007</v>
      </c>
      <c r="I718" s="67"/>
      <c r="J718" s="67">
        <v>246661</v>
      </c>
      <c r="K718" s="67" t="s">
        <v>1055</v>
      </c>
      <c r="L718" s="67">
        <v>9.2894000000000005</v>
      </c>
    </row>
    <row r="719" spans="1:12" ht="18.75" customHeight="1" x14ac:dyDescent="0.4">
      <c r="A719" s="485">
        <v>46108</v>
      </c>
      <c r="B719" s="8" t="s">
        <v>395</v>
      </c>
      <c r="C719" s="49" t="s">
        <v>1032</v>
      </c>
      <c r="D719" s="59" t="s">
        <v>1033</v>
      </c>
      <c r="E719" s="67"/>
      <c r="F719" s="81">
        <v>27</v>
      </c>
      <c r="G719" s="49">
        <f>J719*L719</f>
        <v>2327172.5367000001</v>
      </c>
      <c r="H719" s="36">
        <f>F719*G719</f>
        <v>62833658.490900002</v>
      </c>
      <c r="I719" s="67"/>
      <c r="J719" s="67">
        <v>246661</v>
      </c>
      <c r="K719" s="67" t="s">
        <v>1056</v>
      </c>
      <c r="L719" s="67">
        <v>9.4346999999999994</v>
      </c>
    </row>
    <row r="720" spans="1:12" ht="18.75" customHeight="1" x14ac:dyDescent="0.4">
      <c r="A720" s="492"/>
      <c r="B720" s="123"/>
      <c r="C720" s="138"/>
      <c r="D720" s="97"/>
      <c r="E720" s="123"/>
      <c r="F720" s="380"/>
      <c r="G720" s="138"/>
      <c r="H720" s="138">
        <f>SUM(H718:H719)-1</f>
        <v>124699640.21270001</v>
      </c>
      <c r="I720" s="123"/>
      <c r="J720" s="123"/>
      <c r="K720" s="123"/>
      <c r="L720" s="123"/>
    </row>
    <row r="721" spans="1:13" s="19" customFormat="1" ht="18" customHeight="1" x14ac:dyDescent="0.4">
      <c r="A721" s="15">
        <v>46081</v>
      </c>
      <c r="B721" s="7" t="s">
        <v>164</v>
      </c>
      <c r="C721" s="6" t="s">
        <v>170</v>
      </c>
      <c r="D721" s="42" t="s">
        <v>511</v>
      </c>
      <c r="E721" s="1" t="s">
        <v>13</v>
      </c>
      <c r="F721" s="36">
        <v>4</v>
      </c>
      <c r="G721" s="8">
        <v>1300000</v>
      </c>
      <c r="H721" s="36">
        <f>F721*G721</f>
        <v>5200000</v>
      </c>
      <c r="I721" s="137"/>
      <c r="J721" s="43"/>
      <c r="K721" s="81"/>
      <c r="L721" s="73"/>
      <c r="M721" s="19" t="s">
        <v>494</v>
      </c>
    </row>
    <row r="722" spans="1:13" s="14" customFormat="1" ht="18" customHeight="1" x14ac:dyDescent="0.4">
      <c r="A722" s="15">
        <v>46081</v>
      </c>
      <c r="B722" s="7" t="s">
        <v>164</v>
      </c>
      <c r="C722" s="60" t="s">
        <v>165</v>
      </c>
      <c r="D722" s="71" t="s">
        <v>510</v>
      </c>
      <c r="E722" s="7" t="s">
        <v>13</v>
      </c>
      <c r="F722" s="7">
        <v>3</v>
      </c>
      <c r="G722" s="17">
        <v>3720000</v>
      </c>
      <c r="H722" s="36">
        <f>F722*G722</f>
        <v>11160000</v>
      </c>
      <c r="I722" s="137"/>
      <c r="J722" s="72"/>
      <c r="K722" s="72"/>
      <c r="L722" s="116"/>
      <c r="M722" s="19"/>
    </row>
    <row r="723" spans="1:13" s="19" customFormat="1" ht="21" customHeight="1" x14ac:dyDescent="0.4">
      <c r="A723" s="15">
        <v>46081</v>
      </c>
      <c r="B723" s="7" t="s">
        <v>164</v>
      </c>
      <c r="C723" s="6" t="s">
        <v>166</v>
      </c>
      <c r="D723" s="42" t="s">
        <v>167</v>
      </c>
      <c r="E723" s="1" t="s">
        <v>13</v>
      </c>
      <c r="F723" s="92">
        <v>5</v>
      </c>
      <c r="G723" s="8">
        <v>650000</v>
      </c>
      <c r="H723" s="36">
        <f t="shared" ref="H723:H733" si="28">F723*G723</f>
        <v>3250000</v>
      </c>
      <c r="I723" s="137"/>
      <c r="J723" s="43"/>
      <c r="K723" s="81"/>
      <c r="L723" s="73"/>
    </row>
    <row r="724" spans="1:13" s="19" customFormat="1" ht="21" customHeight="1" x14ac:dyDescent="0.4">
      <c r="A724" s="15">
        <v>46081</v>
      </c>
      <c r="B724" s="7" t="s">
        <v>164</v>
      </c>
      <c r="C724" s="6" t="s">
        <v>277</v>
      </c>
      <c r="D724" s="42" t="s">
        <v>278</v>
      </c>
      <c r="E724" s="1" t="s">
        <v>13</v>
      </c>
      <c r="F724" s="92">
        <v>3</v>
      </c>
      <c r="G724" s="8">
        <v>240000</v>
      </c>
      <c r="H724" s="17">
        <f t="shared" si="28"/>
        <v>720000</v>
      </c>
      <c r="I724" s="73" t="s">
        <v>1236</v>
      </c>
      <c r="J724" s="43"/>
      <c r="K724" s="81"/>
      <c r="L724" s="73"/>
    </row>
    <row r="725" spans="1:13" s="14" customFormat="1" ht="18.75" customHeight="1" x14ac:dyDescent="0.4">
      <c r="A725" s="501">
        <v>46098</v>
      </c>
      <c r="B725" s="7" t="s">
        <v>164</v>
      </c>
      <c r="C725" s="60" t="s">
        <v>165</v>
      </c>
      <c r="D725" s="71" t="s">
        <v>510</v>
      </c>
      <c r="E725" s="7" t="s">
        <v>13</v>
      </c>
      <c r="F725" s="7">
        <v>2</v>
      </c>
      <c r="G725" s="17">
        <v>3720000</v>
      </c>
      <c r="H725" s="36">
        <f t="shared" si="28"/>
        <v>7440000</v>
      </c>
      <c r="I725" s="142"/>
      <c r="J725" s="72"/>
      <c r="K725" s="72"/>
      <c r="L725" s="116"/>
      <c r="M725" s="19"/>
    </row>
    <row r="726" spans="1:13" s="19" customFormat="1" ht="18.75" customHeight="1" x14ac:dyDescent="0.4">
      <c r="A726" s="501">
        <v>46098</v>
      </c>
      <c r="B726" s="7" t="s">
        <v>164</v>
      </c>
      <c r="C726" s="6" t="s">
        <v>170</v>
      </c>
      <c r="D726" s="42" t="s">
        <v>511</v>
      </c>
      <c r="E726" s="1" t="s">
        <v>13</v>
      </c>
      <c r="F726" s="36">
        <v>1</v>
      </c>
      <c r="G726" s="8">
        <v>1300000</v>
      </c>
      <c r="H726" s="36">
        <f t="shared" si="28"/>
        <v>1300000</v>
      </c>
      <c r="I726" s="142"/>
      <c r="J726" s="43"/>
      <c r="K726" s="81"/>
      <c r="L726" s="405"/>
      <c r="M726" s="19" t="s">
        <v>494</v>
      </c>
    </row>
    <row r="727" spans="1:13" s="19" customFormat="1" ht="21.75" customHeight="1" x14ac:dyDescent="0.4">
      <c r="A727" s="501">
        <v>46098</v>
      </c>
      <c r="B727" s="7" t="s">
        <v>164</v>
      </c>
      <c r="C727" s="6" t="s">
        <v>512</v>
      </c>
      <c r="D727" s="42" t="s">
        <v>551</v>
      </c>
      <c r="E727" s="1" t="s">
        <v>13</v>
      </c>
      <c r="F727" s="92">
        <v>3</v>
      </c>
      <c r="G727" s="8">
        <v>1270000</v>
      </c>
      <c r="H727" s="8">
        <f t="shared" si="28"/>
        <v>3810000</v>
      </c>
      <c r="I727" s="142"/>
      <c r="J727" s="43"/>
      <c r="K727" s="81"/>
      <c r="L727" s="405"/>
    </row>
    <row r="728" spans="1:13" s="19" customFormat="1" ht="21.75" customHeight="1" x14ac:dyDescent="0.4">
      <c r="A728" s="501">
        <v>46105</v>
      </c>
      <c r="B728" s="7" t="s">
        <v>164</v>
      </c>
      <c r="C728" s="6" t="s">
        <v>170</v>
      </c>
      <c r="D728" s="42" t="s">
        <v>511</v>
      </c>
      <c r="E728" s="1" t="s">
        <v>13</v>
      </c>
      <c r="F728" s="36">
        <v>4</v>
      </c>
      <c r="G728" s="8">
        <v>1300000</v>
      </c>
      <c r="H728" s="36">
        <f t="shared" si="28"/>
        <v>5200000</v>
      </c>
      <c r="I728" s="142"/>
      <c r="J728" s="43"/>
      <c r="K728" s="81"/>
      <c r="L728" s="73"/>
    </row>
    <row r="729" spans="1:13" s="19" customFormat="1" ht="21.75" customHeight="1" x14ac:dyDescent="0.4">
      <c r="A729" s="501">
        <v>46105</v>
      </c>
      <c r="B729" s="7" t="s">
        <v>164</v>
      </c>
      <c r="C729" s="60" t="s">
        <v>165</v>
      </c>
      <c r="D729" s="71" t="s">
        <v>510</v>
      </c>
      <c r="E729" s="7" t="s">
        <v>13</v>
      </c>
      <c r="F729" s="7">
        <v>3</v>
      </c>
      <c r="G729" s="17">
        <v>3720000</v>
      </c>
      <c r="H729" s="36">
        <f t="shared" si="28"/>
        <v>11160000</v>
      </c>
      <c r="I729" s="142"/>
      <c r="J729" s="43"/>
      <c r="K729" s="81"/>
      <c r="L729" s="73"/>
    </row>
    <row r="730" spans="1:13" s="19" customFormat="1" ht="21.75" customHeight="1" x14ac:dyDescent="0.4">
      <c r="A730" s="501">
        <v>46105</v>
      </c>
      <c r="B730" s="7" t="s">
        <v>164</v>
      </c>
      <c r="C730" s="6" t="s">
        <v>512</v>
      </c>
      <c r="D730" s="42" t="s">
        <v>551</v>
      </c>
      <c r="E730" s="1" t="s">
        <v>13</v>
      </c>
      <c r="F730" s="92">
        <v>3</v>
      </c>
      <c r="G730" s="8">
        <v>1270000</v>
      </c>
      <c r="H730" s="8">
        <f t="shared" si="28"/>
        <v>3810000</v>
      </c>
      <c r="I730" s="142"/>
      <c r="J730" s="43"/>
      <c r="K730" s="81"/>
      <c r="L730" s="73"/>
    </row>
    <row r="731" spans="1:13" s="19" customFormat="1" ht="21.75" customHeight="1" x14ac:dyDescent="0.4">
      <c r="A731" s="501">
        <v>46112</v>
      </c>
      <c r="B731" s="7" t="s">
        <v>164</v>
      </c>
      <c r="C731" s="6" t="s">
        <v>512</v>
      </c>
      <c r="D731" s="42" t="s">
        <v>551</v>
      </c>
      <c r="E731" s="1" t="s">
        <v>13</v>
      </c>
      <c r="F731" s="92">
        <v>2</v>
      </c>
      <c r="G731" s="8">
        <v>1270000</v>
      </c>
      <c r="H731" s="8">
        <f t="shared" si="28"/>
        <v>2540000</v>
      </c>
      <c r="I731" s="142" t="s">
        <v>1224</v>
      </c>
      <c r="J731" s="43"/>
      <c r="K731" s="81"/>
      <c r="L731" s="73"/>
    </row>
    <row r="732" spans="1:13" s="19" customFormat="1" ht="21.75" customHeight="1" x14ac:dyDescent="0.4">
      <c r="A732" s="501">
        <v>46112</v>
      </c>
      <c r="B732" s="7" t="s">
        <v>164</v>
      </c>
      <c r="C732" s="60" t="s">
        <v>165</v>
      </c>
      <c r="D732" s="71" t="s">
        <v>510</v>
      </c>
      <c r="E732" s="7" t="s">
        <v>13</v>
      </c>
      <c r="F732" s="7">
        <v>2</v>
      </c>
      <c r="G732" s="17">
        <v>3720000</v>
      </c>
      <c r="H732" s="36">
        <f t="shared" si="28"/>
        <v>7440000</v>
      </c>
      <c r="I732" s="142"/>
      <c r="J732" s="43"/>
      <c r="K732" s="81"/>
      <c r="L732" s="73"/>
    </row>
    <row r="733" spans="1:13" s="19" customFormat="1" ht="18.75" customHeight="1" x14ac:dyDescent="0.4">
      <c r="A733" s="501">
        <v>46112</v>
      </c>
      <c r="B733" s="7" t="s">
        <v>164</v>
      </c>
      <c r="C733" s="6" t="s">
        <v>277</v>
      </c>
      <c r="D733" s="42" t="s">
        <v>278</v>
      </c>
      <c r="E733" s="1" t="s">
        <v>13</v>
      </c>
      <c r="F733" s="36">
        <v>10</v>
      </c>
      <c r="G733" s="8">
        <v>240000</v>
      </c>
      <c r="H733" s="36">
        <f t="shared" si="28"/>
        <v>2400000</v>
      </c>
      <c r="I733" s="137"/>
      <c r="J733" s="43"/>
      <c r="K733" s="81"/>
      <c r="L733" s="405"/>
    </row>
    <row r="734" spans="1:13" ht="21.75" customHeight="1" x14ac:dyDescent="0.4">
      <c r="A734" s="492"/>
      <c r="B734" s="123"/>
      <c r="C734" s="138"/>
      <c r="D734" s="97"/>
      <c r="E734" s="502"/>
      <c r="F734" s="500"/>
      <c r="G734" s="138"/>
      <c r="H734" s="138">
        <f>SUM(H721:H730)</f>
        <v>53050000</v>
      </c>
      <c r="I734" s="123"/>
      <c r="J734" s="123"/>
      <c r="K734" s="123"/>
      <c r="L734" s="123"/>
    </row>
    <row r="735" spans="1:13" s="19" customFormat="1" ht="18.75" customHeight="1" x14ac:dyDescent="0.4">
      <c r="A735" s="4">
        <v>46081</v>
      </c>
      <c r="B735" s="7" t="s">
        <v>483</v>
      </c>
      <c r="C735" s="60" t="s">
        <v>486</v>
      </c>
      <c r="D735" s="71" t="s">
        <v>513</v>
      </c>
      <c r="E735" s="7" t="s">
        <v>13</v>
      </c>
      <c r="F735" s="7">
        <v>1</v>
      </c>
      <c r="G735" s="17">
        <v>9741800</v>
      </c>
      <c r="H735" s="17">
        <f t="shared" ref="H735:H743" si="29">F735*G735</f>
        <v>9741800</v>
      </c>
      <c r="I735" s="503" t="s">
        <v>1237</v>
      </c>
      <c r="J735" s="70"/>
      <c r="K735" s="29"/>
      <c r="L735" s="433"/>
    </row>
    <row r="736" spans="1:13" s="19" customFormat="1" ht="21.75" customHeight="1" x14ac:dyDescent="0.4">
      <c r="A736" s="485">
        <v>46086</v>
      </c>
      <c r="B736" s="8" t="s">
        <v>483</v>
      </c>
      <c r="C736" s="6" t="s">
        <v>489</v>
      </c>
      <c r="D736" s="69" t="s">
        <v>1034</v>
      </c>
      <c r="E736" s="8" t="s">
        <v>13</v>
      </c>
      <c r="F736" s="8">
        <v>2</v>
      </c>
      <c r="G736" s="36">
        <v>9379400</v>
      </c>
      <c r="H736" s="36">
        <f t="shared" si="29"/>
        <v>18758800</v>
      </c>
      <c r="I736" s="503" t="s">
        <v>1237</v>
      </c>
      <c r="J736" s="70"/>
      <c r="K736" s="29"/>
      <c r="L736" s="433" t="s">
        <v>1068</v>
      </c>
    </row>
    <row r="737" spans="1:13" s="14" customFormat="1" ht="18.75" customHeight="1" x14ac:dyDescent="0.4">
      <c r="A737" s="501">
        <v>46099</v>
      </c>
      <c r="B737" s="7" t="s">
        <v>483</v>
      </c>
      <c r="C737" s="60" t="s">
        <v>1219</v>
      </c>
      <c r="D737" s="71" t="s">
        <v>1220</v>
      </c>
      <c r="E737" s="7" t="s">
        <v>13</v>
      </c>
      <c r="F737" s="7">
        <v>2</v>
      </c>
      <c r="G737" s="17">
        <v>1123200</v>
      </c>
      <c r="H737" s="17">
        <f t="shared" si="29"/>
        <v>2246400</v>
      </c>
      <c r="I737" s="503" t="s">
        <v>1237</v>
      </c>
      <c r="J737" s="72"/>
      <c r="K737" s="61"/>
      <c r="L737" s="75" t="s">
        <v>1068</v>
      </c>
    </row>
    <row r="738" spans="1:13" s="14" customFormat="1" ht="18.75" customHeight="1" x14ac:dyDescent="0.4">
      <c r="A738" s="501">
        <v>46101</v>
      </c>
      <c r="B738" s="7" t="s">
        <v>483</v>
      </c>
      <c r="C738" s="60" t="s">
        <v>486</v>
      </c>
      <c r="D738" s="71" t="s">
        <v>513</v>
      </c>
      <c r="E738" s="7" t="s">
        <v>13</v>
      </c>
      <c r="F738" s="7">
        <v>1</v>
      </c>
      <c r="G738" s="17">
        <v>9741800</v>
      </c>
      <c r="H738" s="17">
        <f t="shared" si="29"/>
        <v>9741800</v>
      </c>
      <c r="I738" s="503" t="s">
        <v>1237</v>
      </c>
      <c r="J738" s="72"/>
      <c r="K738" s="61"/>
      <c r="L738" s="75" t="s">
        <v>1068</v>
      </c>
    </row>
    <row r="739" spans="1:13" s="14" customFormat="1" ht="21" customHeight="1" x14ac:dyDescent="0.4">
      <c r="A739" s="15">
        <v>45960</v>
      </c>
      <c r="B739" s="165" t="s">
        <v>483</v>
      </c>
      <c r="C739" s="173" t="s">
        <v>484</v>
      </c>
      <c r="D739" s="174" t="s">
        <v>485</v>
      </c>
      <c r="E739" s="165" t="s">
        <v>13</v>
      </c>
      <c r="F739" s="165">
        <v>3</v>
      </c>
      <c r="G739" s="156">
        <v>1123200</v>
      </c>
      <c r="H739" s="175">
        <f t="shared" si="29"/>
        <v>3369600</v>
      </c>
      <c r="I739" s="111" t="s">
        <v>1224</v>
      </c>
      <c r="J739" s="177"/>
      <c r="K739" s="177"/>
      <c r="L739" s="73"/>
      <c r="M739" s="19"/>
    </row>
    <row r="740" spans="1:13" s="19" customFormat="1" ht="21" customHeight="1" x14ac:dyDescent="0.4">
      <c r="A740" s="4">
        <v>45967</v>
      </c>
      <c r="B740" s="8" t="s">
        <v>483</v>
      </c>
      <c r="C740" s="6" t="s">
        <v>487</v>
      </c>
      <c r="D740" s="69" t="s">
        <v>488</v>
      </c>
      <c r="E740" s="8" t="s">
        <v>13</v>
      </c>
      <c r="F740" s="8">
        <v>1</v>
      </c>
      <c r="G740" s="36">
        <v>1233600</v>
      </c>
      <c r="H740" s="17">
        <f t="shared" si="29"/>
        <v>1233600</v>
      </c>
      <c r="I740" s="111" t="s">
        <v>1224</v>
      </c>
      <c r="J740" s="70"/>
      <c r="K740" s="70"/>
      <c r="L740" s="121"/>
      <c r="M740" s="31"/>
    </row>
    <row r="741" spans="1:13" s="19" customFormat="1" ht="18.75" customHeight="1" x14ac:dyDescent="0.4">
      <c r="A741" s="4">
        <v>46064</v>
      </c>
      <c r="B741" s="8" t="s">
        <v>483</v>
      </c>
      <c r="C741" s="6" t="s">
        <v>489</v>
      </c>
      <c r="D741" s="69" t="s">
        <v>1034</v>
      </c>
      <c r="E741" s="8" t="s">
        <v>13</v>
      </c>
      <c r="F741" s="8">
        <v>1</v>
      </c>
      <c r="G741" s="36">
        <v>9379400</v>
      </c>
      <c r="H741" s="36">
        <f t="shared" si="29"/>
        <v>9379400</v>
      </c>
      <c r="I741" s="111" t="s">
        <v>1224</v>
      </c>
      <c r="J741" s="70"/>
      <c r="K741" s="29"/>
      <c r="L741" s="433"/>
    </row>
    <row r="742" spans="1:13" s="14" customFormat="1" ht="18.75" customHeight="1" x14ac:dyDescent="0.4">
      <c r="A742" s="501">
        <v>46099</v>
      </c>
      <c r="B742" s="7" t="s">
        <v>483</v>
      </c>
      <c r="C742" s="60" t="s">
        <v>489</v>
      </c>
      <c r="D742" s="71" t="s">
        <v>1034</v>
      </c>
      <c r="E742" s="7" t="s">
        <v>13</v>
      </c>
      <c r="F742" s="7">
        <v>1</v>
      </c>
      <c r="G742" s="17">
        <v>9379400</v>
      </c>
      <c r="H742" s="17">
        <f t="shared" si="29"/>
        <v>9379400</v>
      </c>
      <c r="I742" s="111" t="s">
        <v>1224</v>
      </c>
      <c r="J742" s="72"/>
      <c r="K742" s="61"/>
      <c r="L742" s="75" t="s">
        <v>1068</v>
      </c>
    </row>
    <row r="743" spans="1:13" s="14" customFormat="1" ht="18.75" customHeight="1" x14ac:dyDescent="0.4">
      <c r="A743" s="501">
        <v>46112</v>
      </c>
      <c r="B743" s="7" t="s">
        <v>483</v>
      </c>
      <c r="C743" s="60" t="s">
        <v>489</v>
      </c>
      <c r="D743" s="71" t="s">
        <v>490</v>
      </c>
      <c r="E743" s="7" t="s">
        <v>13</v>
      </c>
      <c r="F743" s="7">
        <v>1</v>
      </c>
      <c r="G743" s="17">
        <v>9379400</v>
      </c>
      <c r="H743" s="17">
        <f t="shared" si="29"/>
        <v>9379400</v>
      </c>
      <c r="I743" s="111" t="s">
        <v>1224</v>
      </c>
      <c r="J743" s="72"/>
      <c r="K743" s="61"/>
      <c r="L743" s="75"/>
    </row>
    <row r="744" spans="1:13" ht="18.75" customHeight="1" x14ac:dyDescent="0.4">
      <c r="A744" s="492"/>
      <c r="B744" s="123"/>
      <c r="C744" s="138"/>
      <c r="D744" s="97"/>
      <c r="E744" s="123"/>
      <c r="F744" s="380"/>
      <c r="G744" s="138"/>
      <c r="H744" s="138">
        <f>SUM(H735:H738)</f>
        <v>40488800</v>
      </c>
      <c r="I744" s="123"/>
      <c r="J744" s="123"/>
      <c r="K744" s="123"/>
      <c r="L744" s="123"/>
    </row>
    <row r="745" spans="1:13" ht="20.25" customHeight="1" x14ac:dyDescent="0.4">
      <c r="A745" s="504"/>
      <c r="B745" s="384"/>
      <c r="C745" s="385"/>
      <c r="D745" s="386"/>
      <c r="E745" s="385"/>
      <c r="F745" s="387"/>
      <c r="G745" s="388"/>
      <c r="H745" s="389">
        <f>SUM(H6,H18,H28,H67,H72,H108,H149,H152,H342,H344,H347,H416,H434,H505,H508,H512,H515,H668,H670,H717,H720,H734,H744)</f>
        <v>3074000674.7884002</v>
      </c>
      <c r="I745" s="388"/>
      <c r="J745" s="390"/>
      <c r="K745" s="390"/>
      <c r="L745" s="391"/>
    </row>
    <row r="747" spans="1:13" ht="20.25" customHeight="1" x14ac:dyDescent="0.4">
      <c r="H747" s="441"/>
    </row>
    <row r="748" spans="1:13" ht="20.25" customHeight="1" x14ac:dyDescent="0.4">
      <c r="D748" s="441"/>
      <c r="H748" s="441"/>
    </row>
    <row r="749" spans="1:13" ht="20.25" customHeight="1" x14ac:dyDescent="0.3">
      <c r="D749" s="50" ph="1"/>
      <c r="E749" s="50" ph="1"/>
      <c r="F749" s="439" ph="1"/>
      <c r="G749" s="439" ph="1"/>
      <c r="H749" s="441"/>
      <c r="I749" s="50" ph="1"/>
    </row>
    <row r="750" spans="1:13" ht="20.25" customHeight="1" x14ac:dyDescent="0.3">
      <c r="D750" s="50" ph="1"/>
      <c r="E750" s="50" ph="1"/>
      <c r="F750" s="439" ph="1"/>
      <c r="G750" s="439" ph="1"/>
      <c r="I750" s="50" ph="1"/>
    </row>
    <row r="751" spans="1:13" ht="20.25" customHeight="1" x14ac:dyDescent="0.3">
      <c r="D751" s="50" ph="1"/>
      <c r="E751" s="50" ph="1"/>
      <c r="F751" s="439" ph="1"/>
      <c r="G751" s="439" ph="1"/>
      <c r="I751" s="50" ph="1"/>
    </row>
    <row r="752" spans="1:13" ht="20.25" customHeight="1" x14ac:dyDescent="0.3">
      <c r="D752" s="50" ph="1"/>
      <c r="E752" s="50" ph="1"/>
      <c r="F752" s="439" ph="1"/>
      <c r="G752" s="439" ph="1"/>
      <c r="I752" s="50" ph="1"/>
    </row>
    <row r="753" spans="4:9" ht="20.25" customHeight="1" x14ac:dyDescent="0.3">
      <c r="D753" s="50" ph="1"/>
      <c r="E753" s="50" ph="1"/>
      <c r="F753" s="439" ph="1"/>
      <c r="G753" s="439" ph="1"/>
      <c r="I753" s="50" ph="1"/>
    </row>
    <row r="754" spans="4:9" ht="20.25" customHeight="1" x14ac:dyDescent="0.3">
      <c r="D754" s="50" ph="1"/>
      <c r="E754" s="50" ph="1"/>
      <c r="F754" s="439" ph="1"/>
      <c r="G754" s="439" ph="1"/>
      <c r="I754" s="50" ph="1"/>
    </row>
    <row r="763" spans="4:9" ht="20.25" customHeight="1" x14ac:dyDescent="0.3">
      <c r="D763" s="50" ph="1"/>
      <c r="E763" s="50" ph="1"/>
      <c r="F763" s="439" ph="1"/>
      <c r="G763" s="439" ph="1"/>
      <c r="I763" s="50" ph="1"/>
    </row>
    <row r="764" spans="4:9" ht="20.25" customHeight="1" x14ac:dyDescent="0.3">
      <c r="D764" s="50" ph="1"/>
      <c r="E764" s="50" ph="1"/>
      <c r="F764" s="439" ph="1"/>
      <c r="G764" s="439" ph="1"/>
      <c r="I764" s="50" ph="1"/>
    </row>
    <row r="765" spans="4:9" ht="20.25" customHeight="1" x14ac:dyDescent="0.3">
      <c r="D765" s="50" ph="1"/>
      <c r="E765" s="50" ph="1"/>
      <c r="F765" s="439" ph="1"/>
      <c r="G765" s="439" ph="1"/>
      <c r="I765" s="50" ph="1"/>
    </row>
    <row r="766" spans="4:9" ht="20.25" customHeight="1" x14ac:dyDescent="0.3">
      <c r="D766" s="50" ph="1"/>
      <c r="E766" s="50" ph="1"/>
      <c r="F766" s="439" ph="1"/>
      <c r="G766" s="439" ph="1"/>
      <c r="I766" s="50" ph="1"/>
    </row>
    <row r="767" spans="4:9" ht="20.25" customHeight="1" x14ac:dyDescent="0.3">
      <c r="D767" s="50" ph="1"/>
      <c r="E767" s="50" ph="1"/>
      <c r="F767" s="439" ph="1"/>
      <c r="G767" s="439" ph="1"/>
      <c r="I767" s="50" ph="1"/>
    </row>
    <row r="768" spans="4:9" ht="20.25" customHeight="1" x14ac:dyDescent="0.3">
      <c r="D768" s="50" ph="1"/>
      <c r="E768" s="50" ph="1"/>
      <c r="F768" s="439" ph="1"/>
      <c r="G768" s="439" ph="1"/>
      <c r="I768" s="50" ph="1"/>
    </row>
    <row r="769" spans="4:9" ht="20.25" customHeight="1" x14ac:dyDescent="0.3">
      <c r="D769" s="50" ph="1"/>
      <c r="E769" s="50" ph="1"/>
      <c r="F769" s="439" ph="1"/>
      <c r="G769" s="439" ph="1"/>
      <c r="I769" s="50" ph="1"/>
    </row>
    <row r="770" spans="4:9" ht="20.25" customHeight="1" x14ac:dyDescent="0.3">
      <c r="D770" s="50" ph="1"/>
      <c r="E770" s="50" ph="1"/>
      <c r="F770" s="439" ph="1"/>
      <c r="G770" s="439" ph="1"/>
      <c r="I770" s="50" ph="1"/>
    </row>
    <row r="771" spans="4:9" ht="20.25" customHeight="1" x14ac:dyDescent="0.3">
      <c r="D771" s="50" ph="1"/>
      <c r="E771" s="50" ph="1"/>
      <c r="F771" s="439" ph="1"/>
      <c r="G771" s="439" ph="1"/>
      <c r="I771" s="50" ph="1"/>
    </row>
    <row r="780" spans="4:9" ht="20.25" customHeight="1" x14ac:dyDescent="0.3">
      <c r="D780" s="50" ph="1"/>
      <c r="E780" s="50" ph="1"/>
      <c r="F780" s="439" ph="1"/>
      <c r="G780" s="439" ph="1"/>
      <c r="I780" s="50" ph="1"/>
    </row>
    <row r="781" spans="4:9" ht="20.25" customHeight="1" x14ac:dyDescent="0.3">
      <c r="D781" s="50" ph="1"/>
      <c r="E781" s="50" ph="1"/>
      <c r="F781" s="439" ph="1"/>
      <c r="G781" s="439" ph="1"/>
      <c r="I781" s="50" ph="1"/>
    </row>
    <row r="782" spans="4:9" ht="20.25" customHeight="1" x14ac:dyDescent="0.3">
      <c r="D782" s="50" ph="1"/>
      <c r="E782" s="50" ph="1"/>
      <c r="F782" s="439" ph="1"/>
      <c r="G782" s="439" ph="1"/>
      <c r="I782" s="50" ph="1"/>
    </row>
    <row r="783" spans="4:9" ht="20.25" customHeight="1" x14ac:dyDescent="0.3">
      <c r="D783" s="50" ph="1"/>
      <c r="E783" s="50" ph="1"/>
      <c r="F783" s="439" ph="1"/>
      <c r="G783" s="439" ph="1"/>
      <c r="I783" s="50" ph="1"/>
    </row>
    <row r="784" spans="4:9" ht="20.25" customHeight="1" x14ac:dyDescent="0.3">
      <c r="D784" s="50" ph="1"/>
      <c r="E784" s="50" ph="1"/>
      <c r="F784" s="439" ph="1"/>
      <c r="G784" s="439" ph="1"/>
      <c r="I784" s="50" ph="1"/>
    </row>
    <row r="785" spans="4:9" ht="20.25" customHeight="1" x14ac:dyDescent="0.3">
      <c r="D785" s="50" ph="1"/>
      <c r="E785" s="50" ph="1"/>
      <c r="F785" s="439" ph="1"/>
      <c r="G785" s="439" ph="1"/>
      <c r="I785" s="50" ph="1"/>
    </row>
    <row r="786" spans="4:9" ht="20.25" customHeight="1" x14ac:dyDescent="0.3">
      <c r="D786" s="50" ph="1"/>
      <c r="E786" s="50" ph="1"/>
      <c r="F786" s="439" ph="1"/>
      <c r="G786" s="439" ph="1"/>
      <c r="I786" s="50" ph="1"/>
    </row>
    <row r="787" spans="4:9" ht="20.25" customHeight="1" x14ac:dyDescent="0.3">
      <c r="D787" s="50" ph="1"/>
      <c r="E787" s="50" ph="1"/>
      <c r="F787" s="439" ph="1"/>
      <c r="G787" s="439" ph="1"/>
      <c r="I787" s="50" ph="1"/>
    </row>
    <row r="788" spans="4:9" ht="20.25" customHeight="1" x14ac:dyDescent="0.3">
      <c r="D788" s="50" ph="1"/>
      <c r="E788" s="50" ph="1"/>
      <c r="F788" s="439" ph="1"/>
      <c r="G788" s="439" ph="1"/>
      <c r="I788" s="50" ph="1"/>
    </row>
    <row r="789" spans="4:9" ht="20.25" customHeight="1" x14ac:dyDescent="0.3">
      <c r="D789" s="50" ph="1"/>
      <c r="E789" s="50" ph="1"/>
      <c r="F789" s="439" ph="1"/>
      <c r="G789" s="439" ph="1"/>
      <c r="I789" s="50" ph="1"/>
    </row>
    <row r="795" spans="4:9" ht="20.25" customHeight="1" x14ac:dyDescent="0.3">
      <c r="D795" s="50" ph="1"/>
      <c r="E795" s="50" ph="1"/>
      <c r="F795" s="439" ph="1"/>
      <c r="G795" s="439" ph="1"/>
      <c r="I795" s="50" ph="1"/>
    </row>
    <row r="796" spans="4:9" ht="20.25" customHeight="1" x14ac:dyDescent="0.3">
      <c r="D796" s="50" ph="1"/>
      <c r="E796" s="50" ph="1"/>
      <c r="F796" s="439" ph="1"/>
      <c r="G796" s="439" ph="1"/>
      <c r="I796" s="50" ph="1"/>
    </row>
    <row r="797" spans="4:9" ht="20.25" customHeight="1" x14ac:dyDescent="0.3">
      <c r="D797" s="50" ph="1"/>
      <c r="E797" s="50" ph="1"/>
      <c r="F797" s="439" ph="1"/>
      <c r="G797" s="439" ph="1"/>
      <c r="I797" s="50" ph="1"/>
    </row>
    <row r="798" spans="4:9" ht="20.25" customHeight="1" x14ac:dyDescent="0.3">
      <c r="D798" s="50" ph="1"/>
      <c r="E798" s="50" ph="1"/>
      <c r="F798" s="439" ph="1"/>
      <c r="G798" s="439" ph="1"/>
      <c r="I798" s="50" ph="1"/>
    </row>
    <row r="799" spans="4:9" ht="20.25" customHeight="1" x14ac:dyDescent="0.3">
      <c r="D799" s="50" ph="1"/>
      <c r="E799" s="50" ph="1"/>
      <c r="F799" s="439" ph="1"/>
      <c r="G799" s="439" ph="1"/>
      <c r="I799" s="50" ph="1"/>
    </row>
    <row r="800" spans="4:9" ht="20.25" customHeight="1" x14ac:dyDescent="0.3">
      <c r="D800" s="50" ph="1"/>
      <c r="E800" s="50" ph="1"/>
      <c r="F800" s="439" ph="1"/>
      <c r="G800" s="439" ph="1"/>
      <c r="I800" s="50" ph="1"/>
    </row>
    <row r="801" spans="4:9" ht="20.25" customHeight="1" x14ac:dyDescent="0.3">
      <c r="D801" s="50" ph="1"/>
      <c r="E801" s="50" ph="1"/>
      <c r="F801" s="439" ph="1"/>
      <c r="G801" s="439" ph="1"/>
      <c r="I801" s="50" ph="1"/>
    </row>
    <row r="802" spans="4:9" ht="20.25" customHeight="1" x14ac:dyDescent="0.3">
      <c r="D802" s="50" ph="1"/>
      <c r="E802" s="50" ph="1"/>
      <c r="F802" s="439" ph="1"/>
      <c r="G802" s="439" ph="1"/>
      <c r="I802" s="50" ph="1"/>
    </row>
    <row r="803" spans="4:9" ht="20.25" customHeight="1" x14ac:dyDescent="0.3">
      <c r="D803" s="50" ph="1"/>
      <c r="E803" s="50" ph="1"/>
      <c r="F803" s="439" ph="1"/>
      <c r="G803" s="439" ph="1"/>
      <c r="I803" s="50" ph="1"/>
    </row>
    <row r="804" spans="4:9" ht="20.25" customHeight="1" x14ac:dyDescent="0.3">
      <c r="D804" s="50" ph="1"/>
      <c r="E804" s="50" ph="1"/>
      <c r="F804" s="439" ph="1"/>
      <c r="G804" s="439" ph="1"/>
      <c r="I804" s="50" ph="1"/>
    </row>
    <row r="805" spans="4:9" ht="20.25" customHeight="1" x14ac:dyDescent="0.3">
      <c r="D805" s="50" ph="1"/>
      <c r="E805" s="50" ph="1"/>
      <c r="F805" s="439" ph="1"/>
      <c r="G805" s="439" ph="1"/>
      <c r="I805" s="50" ph="1"/>
    </row>
    <row r="806" spans="4:9" ht="20.25" customHeight="1" x14ac:dyDescent="0.3">
      <c r="D806" s="50" ph="1"/>
      <c r="E806" s="50" ph="1"/>
      <c r="F806" s="439" ph="1"/>
      <c r="G806" s="439" ph="1"/>
      <c r="I806" s="50" ph="1"/>
    </row>
    <row r="807" spans="4:9" ht="20.25" customHeight="1" x14ac:dyDescent="0.3">
      <c r="D807" s="50" ph="1"/>
      <c r="E807" s="50" ph="1"/>
      <c r="F807" s="439" ph="1"/>
      <c r="G807" s="439" ph="1"/>
      <c r="I807" s="50" ph="1"/>
    </row>
    <row r="808" spans="4:9" ht="20.25" customHeight="1" x14ac:dyDescent="0.3">
      <c r="D808" s="50" ph="1"/>
      <c r="E808" s="50" ph="1"/>
      <c r="F808" s="439" ph="1"/>
      <c r="G808" s="439" ph="1"/>
      <c r="I808" s="50" ph="1"/>
    </row>
    <row r="809" spans="4:9" ht="20.25" customHeight="1" x14ac:dyDescent="0.3">
      <c r="D809" s="50" ph="1"/>
      <c r="E809" s="50" ph="1"/>
      <c r="F809" s="439" ph="1"/>
      <c r="G809" s="439" ph="1"/>
      <c r="I809" s="50" ph="1"/>
    </row>
    <row r="810" spans="4:9" ht="20.25" customHeight="1" x14ac:dyDescent="0.3">
      <c r="D810" s="50" ph="1"/>
      <c r="E810" s="50" ph="1"/>
      <c r="F810" s="439" ph="1"/>
      <c r="G810" s="439" ph="1"/>
      <c r="I810" s="50" ph="1"/>
    </row>
    <row r="811" spans="4:9" ht="20.25" customHeight="1" x14ac:dyDescent="0.3">
      <c r="D811" s="50" ph="1"/>
      <c r="E811" s="50" ph="1"/>
      <c r="F811" s="439" ph="1"/>
      <c r="G811" s="439" ph="1"/>
      <c r="I811" s="50" ph="1"/>
    </row>
    <row r="812" spans="4:9" ht="20.25" customHeight="1" x14ac:dyDescent="0.3">
      <c r="D812" s="50" ph="1"/>
      <c r="E812" s="50" ph="1"/>
      <c r="F812" s="439" ph="1"/>
      <c r="G812" s="439" ph="1"/>
      <c r="I812" s="50" ph="1"/>
    </row>
    <row r="813" spans="4:9" ht="20.25" customHeight="1" x14ac:dyDescent="0.3">
      <c r="D813" s="50" ph="1"/>
      <c r="E813" s="50" ph="1"/>
      <c r="F813" s="439" ph="1"/>
      <c r="G813" s="439" ph="1"/>
      <c r="I813" s="50" ph="1"/>
    </row>
    <row r="814" spans="4:9" ht="20.25" customHeight="1" x14ac:dyDescent="0.3">
      <c r="D814" s="50" ph="1"/>
      <c r="E814" s="50" ph="1"/>
      <c r="F814" s="439" ph="1"/>
      <c r="G814" s="439" ph="1"/>
      <c r="I814" s="50" ph="1"/>
    </row>
    <row r="815" spans="4:9" ht="20.25" customHeight="1" x14ac:dyDescent="0.3">
      <c r="D815" s="50" ph="1"/>
      <c r="E815" s="50" ph="1"/>
      <c r="F815" s="439" ph="1"/>
      <c r="G815" s="439" ph="1"/>
      <c r="I815" s="50" ph="1"/>
    </row>
    <row r="816" spans="4:9" ht="20.25" customHeight="1" x14ac:dyDescent="0.3">
      <c r="D816" s="50" ph="1"/>
      <c r="E816" s="50" ph="1"/>
      <c r="F816" s="439" ph="1"/>
      <c r="G816" s="439" ph="1"/>
      <c r="I816" s="50" ph="1"/>
    </row>
    <row r="817" spans="4:9" ht="20.25" customHeight="1" x14ac:dyDescent="0.3">
      <c r="D817" s="50" ph="1"/>
      <c r="E817" s="50" ph="1"/>
      <c r="F817" s="439" ph="1"/>
      <c r="G817" s="439" ph="1"/>
      <c r="I817" s="50" ph="1"/>
    </row>
    <row r="818" spans="4:9" ht="20.25" customHeight="1" x14ac:dyDescent="0.3">
      <c r="D818" s="50" ph="1"/>
      <c r="E818" s="50" ph="1"/>
      <c r="F818" s="439" ph="1"/>
      <c r="G818" s="439" ph="1"/>
      <c r="I818" s="50" ph="1"/>
    </row>
    <row r="819" spans="4:9" ht="20.25" customHeight="1" x14ac:dyDescent="0.3">
      <c r="D819" s="50" ph="1"/>
      <c r="E819" s="50" ph="1"/>
      <c r="F819" s="439" ph="1"/>
      <c r="G819" s="439" ph="1"/>
      <c r="I819" s="50" ph="1"/>
    </row>
    <row r="820" spans="4:9" ht="20.25" customHeight="1" x14ac:dyDescent="0.3">
      <c r="D820" s="50" ph="1"/>
      <c r="E820" s="50" ph="1"/>
      <c r="F820" s="439" ph="1"/>
      <c r="G820" s="439" ph="1"/>
      <c r="I820" s="50" ph="1"/>
    </row>
    <row r="821" spans="4:9" ht="20.25" customHeight="1" x14ac:dyDescent="0.3">
      <c r="D821" s="50" ph="1"/>
      <c r="E821" s="50" ph="1"/>
      <c r="F821" s="439" ph="1"/>
      <c r="G821" s="439" ph="1"/>
      <c r="I821" s="50" ph="1"/>
    </row>
    <row r="822" spans="4:9" ht="20.25" customHeight="1" x14ac:dyDescent="0.3">
      <c r="D822" s="50" ph="1"/>
      <c r="E822" s="50" ph="1"/>
      <c r="F822" s="439" ph="1"/>
      <c r="G822" s="439" ph="1"/>
      <c r="I822" s="50" ph="1"/>
    </row>
    <row r="823" spans="4:9" ht="20.25" customHeight="1" x14ac:dyDescent="0.3">
      <c r="D823" s="50" ph="1"/>
      <c r="E823" s="50" ph="1"/>
      <c r="F823" s="439" ph="1"/>
      <c r="G823" s="439" ph="1"/>
      <c r="I823" s="50" ph="1"/>
    </row>
    <row r="824" spans="4:9" ht="20.25" customHeight="1" x14ac:dyDescent="0.3">
      <c r="D824" s="50" ph="1"/>
      <c r="E824" s="50" ph="1"/>
      <c r="F824" s="439" ph="1"/>
      <c r="G824" s="439" ph="1"/>
      <c r="I824" s="50" ph="1"/>
    </row>
    <row r="825" spans="4:9" ht="20.25" customHeight="1" x14ac:dyDescent="0.3">
      <c r="D825" s="50" ph="1"/>
      <c r="E825" s="50" ph="1"/>
      <c r="F825" s="439" ph="1"/>
      <c r="G825" s="439" ph="1"/>
      <c r="I825" s="50" ph="1"/>
    </row>
    <row r="826" spans="4:9" ht="20.25" customHeight="1" x14ac:dyDescent="0.3">
      <c r="D826" s="50" ph="1"/>
      <c r="E826" s="50" ph="1"/>
      <c r="F826" s="439" ph="1"/>
      <c r="G826" s="439" ph="1"/>
      <c r="I826" s="50" ph="1"/>
    </row>
    <row r="827" spans="4:9" ht="20.25" customHeight="1" x14ac:dyDescent="0.3">
      <c r="D827" s="50" ph="1"/>
      <c r="E827" s="50" ph="1"/>
      <c r="F827" s="439" ph="1"/>
      <c r="G827" s="439" ph="1"/>
      <c r="I827" s="50" ph="1"/>
    </row>
    <row r="828" spans="4:9" ht="20.25" customHeight="1" x14ac:dyDescent="0.3">
      <c r="D828" s="50" ph="1"/>
      <c r="E828" s="50" ph="1"/>
      <c r="F828" s="439" ph="1"/>
      <c r="G828" s="439" ph="1"/>
      <c r="I828" s="50" ph="1"/>
    </row>
    <row r="829" spans="4:9" ht="20.25" customHeight="1" x14ac:dyDescent="0.3">
      <c r="D829" s="50" ph="1"/>
      <c r="E829" s="50" ph="1"/>
      <c r="F829" s="439" ph="1"/>
      <c r="G829" s="439" ph="1"/>
      <c r="I829" s="50" ph="1"/>
    </row>
    <row r="830" spans="4:9" ht="20.25" customHeight="1" x14ac:dyDescent="0.3">
      <c r="D830" s="50" ph="1"/>
      <c r="E830" s="50" ph="1"/>
      <c r="F830" s="439" ph="1"/>
      <c r="G830" s="439" ph="1"/>
      <c r="I830" s="50" ph="1"/>
    </row>
    <row r="831" spans="4:9" ht="20.25" customHeight="1" x14ac:dyDescent="0.3">
      <c r="D831" s="50" ph="1"/>
      <c r="E831" s="50" ph="1"/>
      <c r="F831" s="439" ph="1"/>
      <c r="G831" s="439" ph="1"/>
      <c r="I831" s="50" ph="1"/>
    </row>
    <row r="832" spans="4:9" ht="20.25" customHeight="1" x14ac:dyDescent="0.3">
      <c r="D832" s="50" ph="1"/>
      <c r="E832" s="50" ph="1"/>
      <c r="F832" s="439" ph="1"/>
      <c r="G832" s="439" ph="1"/>
      <c r="I832" s="50" ph="1"/>
    </row>
    <row r="833" spans="4:9" ht="20.25" customHeight="1" x14ac:dyDescent="0.3">
      <c r="D833" s="50" ph="1"/>
      <c r="E833" s="50" ph="1"/>
      <c r="F833" s="439" ph="1"/>
      <c r="G833" s="439" ph="1"/>
      <c r="I833" s="50" ph="1"/>
    </row>
    <row r="834" spans="4:9" ht="20.25" customHeight="1" x14ac:dyDescent="0.3">
      <c r="D834" s="50" ph="1"/>
      <c r="E834" s="50" ph="1"/>
      <c r="F834" s="439" ph="1"/>
      <c r="G834" s="439" ph="1"/>
      <c r="I834" s="50" ph="1"/>
    </row>
    <row r="835" spans="4:9" ht="20.25" customHeight="1" x14ac:dyDescent="0.3">
      <c r="D835" s="50" ph="1"/>
      <c r="E835" s="50" ph="1"/>
      <c r="F835" s="439" ph="1"/>
      <c r="G835" s="439" ph="1"/>
      <c r="I835" s="50" ph="1"/>
    </row>
    <row r="836" spans="4:9" ht="20.25" customHeight="1" x14ac:dyDescent="0.3">
      <c r="D836" s="50" ph="1"/>
      <c r="E836" s="50" ph="1"/>
      <c r="F836" s="439" ph="1"/>
      <c r="G836" s="439" ph="1"/>
      <c r="I836" s="50" ph="1"/>
    </row>
    <row r="837" spans="4:9" ht="20.25" customHeight="1" x14ac:dyDescent="0.3">
      <c r="D837" s="50" ph="1"/>
      <c r="E837" s="50" ph="1"/>
      <c r="F837" s="439" ph="1"/>
      <c r="G837" s="439" ph="1"/>
      <c r="I837" s="50" ph="1"/>
    </row>
    <row r="838" spans="4:9" ht="20.25" customHeight="1" x14ac:dyDescent="0.3">
      <c r="D838" s="50" ph="1"/>
      <c r="E838" s="50" ph="1"/>
      <c r="F838" s="439" ph="1"/>
      <c r="G838" s="439" ph="1"/>
      <c r="I838" s="50" ph="1"/>
    </row>
    <row r="839" spans="4:9" ht="20.25" customHeight="1" x14ac:dyDescent="0.3">
      <c r="D839" s="50" ph="1"/>
      <c r="E839" s="50" ph="1"/>
      <c r="F839" s="439" ph="1"/>
      <c r="G839" s="439" ph="1"/>
      <c r="I839" s="50" ph="1"/>
    </row>
    <row r="840" spans="4:9" ht="20.25" customHeight="1" x14ac:dyDescent="0.3">
      <c r="D840" s="50" ph="1"/>
      <c r="E840" s="50" ph="1"/>
      <c r="F840" s="439" ph="1"/>
      <c r="G840" s="439" ph="1"/>
      <c r="I840" s="50" ph="1"/>
    </row>
    <row r="841" spans="4:9" ht="20.25" customHeight="1" x14ac:dyDescent="0.3">
      <c r="D841" s="50" ph="1"/>
      <c r="E841" s="50" ph="1"/>
      <c r="F841" s="439" ph="1"/>
      <c r="G841" s="439" ph="1"/>
      <c r="I841" s="50" ph="1"/>
    </row>
    <row r="842" spans="4:9" ht="20.25" customHeight="1" x14ac:dyDescent="0.3">
      <c r="D842" s="50" ph="1"/>
      <c r="E842" s="50" ph="1"/>
      <c r="F842" s="439" ph="1"/>
      <c r="G842" s="439" ph="1"/>
      <c r="I842" s="50" ph="1"/>
    </row>
    <row r="843" spans="4:9" ht="20.25" customHeight="1" x14ac:dyDescent="0.3">
      <c r="D843" s="50" ph="1"/>
      <c r="E843" s="50" ph="1"/>
      <c r="F843" s="439" ph="1"/>
      <c r="G843" s="439" ph="1"/>
      <c r="I843" s="50" ph="1"/>
    </row>
    <row r="844" spans="4:9" ht="20.25" customHeight="1" x14ac:dyDescent="0.3">
      <c r="D844" s="50" ph="1"/>
      <c r="E844" s="50" ph="1"/>
      <c r="F844" s="439" ph="1"/>
      <c r="G844" s="439" ph="1"/>
      <c r="I844" s="50" ph="1"/>
    </row>
    <row r="845" spans="4:9" ht="20.25" customHeight="1" x14ac:dyDescent="0.3">
      <c r="D845" s="50" ph="1"/>
      <c r="E845" s="50" ph="1"/>
      <c r="F845" s="439" ph="1"/>
      <c r="G845" s="439" ph="1"/>
      <c r="I845" s="50" ph="1"/>
    </row>
    <row r="846" spans="4:9" ht="20.25" customHeight="1" x14ac:dyDescent="0.3">
      <c r="D846" s="50" ph="1"/>
      <c r="E846" s="50" ph="1"/>
      <c r="F846" s="439" ph="1"/>
      <c r="G846" s="439" ph="1"/>
      <c r="I846" s="50" ph="1"/>
    </row>
    <row r="847" spans="4:9" ht="20.25" customHeight="1" x14ac:dyDescent="0.3">
      <c r="D847" s="50" ph="1"/>
      <c r="E847" s="50" ph="1"/>
      <c r="F847" s="439" ph="1"/>
      <c r="G847" s="439" ph="1"/>
      <c r="I847" s="50" ph="1"/>
    </row>
    <row r="848" spans="4:9" ht="20.25" customHeight="1" x14ac:dyDescent="0.3">
      <c r="D848" s="50" ph="1"/>
      <c r="E848" s="50" ph="1"/>
      <c r="F848" s="439" ph="1"/>
      <c r="G848" s="439" ph="1"/>
      <c r="I848" s="50" ph="1"/>
    </row>
    <row r="849" spans="4:9" ht="20.25" customHeight="1" x14ac:dyDescent="0.3">
      <c r="D849" s="50" ph="1"/>
      <c r="E849" s="50" ph="1"/>
      <c r="F849" s="439" ph="1"/>
      <c r="G849" s="439" ph="1"/>
      <c r="I849" s="50" ph="1"/>
    </row>
    <row r="850" spans="4:9" ht="20.25" customHeight="1" x14ac:dyDescent="0.3">
      <c r="D850" s="50" ph="1"/>
      <c r="E850" s="50" ph="1"/>
      <c r="F850" s="439" ph="1"/>
      <c r="G850" s="439" ph="1"/>
      <c r="I850" s="50" ph="1"/>
    </row>
    <row r="851" spans="4:9" ht="20.25" customHeight="1" x14ac:dyDescent="0.3">
      <c r="D851" s="50" ph="1"/>
      <c r="E851" s="50" ph="1"/>
      <c r="F851" s="439" ph="1"/>
      <c r="G851" s="439" ph="1"/>
      <c r="I851" s="50" ph="1"/>
    </row>
    <row r="852" spans="4:9" ht="20.25" customHeight="1" x14ac:dyDescent="0.3">
      <c r="D852" s="50" ph="1"/>
      <c r="E852" s="50" ph="1"/>
      <c r="F852" s="439" ph="1"/>
      <c r="G852" s="439" ph="1"/>
      <c r="I852" s="50" ph="1"/>
    </row>
    <row r="853" spans="4:9" ht="20.25" customHeight="1" x14ac:dyDescent="0.3">
      <c r="D853" s="50" ph="1"/>
      <c r="E853" s="50" ph="1"/>
      <c r="F853" s="439" ph="1"/>
      <c r="G853" s="439" ph="1"/>
      <c r="I853" s="50" ph="1"/>
    </row>
    <row r="854" spans="4:9" ht="20.25" customHeight="1" x14ac:dyDescent="0.3">
      <c r="D854" s="50" ph="1"/>
      <c r="E854" s="50" ph="1"/>
      <c r="F854" s="439" ph="1"/>
      <c r="G854" s="439" ph="1"/>
      <c r="I854" s="50" ph="1"/>
    </row>
    <row r="860" spans="4:9" ht="20.25" customHeight="1" x14ac:dyDescent="0.3">
      <c r="D860" s="50" ph="1"/>
      <c r="E860" s="50" ph="1"/>
      <c r="F860" s="439" ph="1"/>
      <c r="G860" s="439" ph="1"/>
      <c r="I860" s="50" ph="1"/>
    </row>
    <row r="861" spans="4:9" ht="20.25" customHeight="1" x14ac:dyDescent="0.3">
      <c r="D861" s="50" ph="1"/>
      <c r="E861" s="50" ph="1"/>
      <c r="F861" s="439" ph="1"/>
      <c r="G861" s="439" ph="1"/>
      <c r="I861" s="50" ph="1"/>
    </row>
    <row r="862" spans="4:9" ht="20.25" customHeight="1" x14ac:dyDescent="0.3">
      <c r="D862" s="50" ph="1"/>
      <c r="E862" s="50" ph="1"/>
      <c r="F862" s="439" ph="1"/>
      <c r="G862" s="439" ph="1"/>
      <c r="I862" s="50" ph="1"/>
    </row>
    <row r="863" spans="4:9" ht="20.25" customHeight="1" x14ac:dyDescent="0.3">
      <c r="D863" s="50" ph="1"/>
      <c r="E863" s="50" ph="1"/>
      <c r="F863" s="439" ph="1"/>
      <c r="G863" s="439" ph="1"/>
      <c r="I863" s="50" ph="1"/>
    </row>
    <row r="864" spans="4:9" ht="20.25" customHeight="1" x14ac:dyDescent="0.3">
      <c r="D864" s="50" ph="1"/>
      <c r="E864" s="50" ph="1"/>
      <c r="F864" s="439" ph="1"/>
      <c r="G864" s="439" ph="1"/>
      <c r="I864" s="50" ph="1"/>
    </row>
    <row r="865" spans="4:9" ht="20.25" customHeight="1" x14ac:dyDescent="0.3">
      <c r="D865" s="50" ph="1"/>
      <c r="E865" s="50" ph="1"/>
      <c r="F865" s="439" ph="1"/>
      <c r="G865" s="439" ph="1"/>
      <c r="I865" s="50" ph="1"/>
    </row>
    <row r="866" spans="4:9" ht="20.25" customHeight="1" x14ac:dyDescent="0.3">
      <c r="D866" s="50" ph="1"/>
      <c r="E866" s="50" ph="1"/>
      <c r="F866" s="439" ph="1"/>
      <c r="G866" s="439" ph="1"/>
      <c r="I866" s="50" ph="1"/>
    </row>
    <row r="867" spans="4:9" ht="20.25" customHeight="1" x14ac:dyDescent="0.3">
      <c r="D867" s="50" ph="1"/>
      <c r="E867" s="50" ph="1"/>
      <c r="F867" s="439" ph="1"/>
      <c r="G867" s="439" ph="1"/>
      <c r="I867" s="50" ph="1"/>
    </row>
    <row r="868" spans="4:9" ht="20.25" customHeight="1" x14ac:dyDescent="0.3">
      <c r="D868" s="50" ph="1"/>
      <c r="E868" s="50" ph="1"/>
      <c r="F868" s="439" ph="1"/>
      <c r="G868" s="439" ph="1"/>
      <c r="I868" s="50" ph="1"/>
    </row>
    <row r="877" spans="4:9" ht="20.25" customHeight="1" x14ac:dyDescent="0.3">
      <c r="D877" s="50" ph="1"/>
      <c r="E877" s="50" ph="1"/>
      <c r="F877" s="439" ph="1"/>
      <c r="G877" s="439" ph="1"/>
      <c r="I877" s="50" ph="1"/>
    </row>
    <row r="878" spans="4:9" ht="20.25" customHeight="1" x14ac:dyDescent="0.3">
      <c r="D878" s="50" ph="1"/>
      <c r="E878" s="50" ph="1"/>
      <c r="F878" s="439" ph="1"/>
      <c r="G878" s="439" ph="1"/>
      <c r="I878" s="50" ph="1"/>
    </row>
    <row r="879" spans="4:9" ht="20.25" customHeight="1" x14ac:dyDescent="0.3">
      <c r="D879" s="50" ph="1"/>
      <c r="E879" s="50" ph="1"/>
      <c r="F879" s="439" ph="1"/>
      <c r="G879" s="439" ph="1"/>
      <c r="I879" s="50" ph="1"/>
    </row>
    <row r="880" spans="4:9" ht="20.25" customHeight="1" x14ac:dyDescent="0.3">
      <c r="D880" s="50" ph="1"/>
      <c r="E880" s="50" ph="1"/>
      <c r="F880" s="439" ph="1"/>
      <c r="G880" s="439" ph="1"/>
      <c r="I880" s="50" ph="1"/>
    </row>
    <row r="881" spans="4:9" ht="20.25" customHeight="1" x14ac:dyDescent="0.3">
      <c r="D881" s="50" ph="1"/>
      <c r="E881" s="50" ph="1"/>
      <c r="F881" s="439" ph="1"/>
      <c r="G881" s="439" ph="1"/>
      <c r="I881" s="50" ph="1"/>
    </row>
    <row r="882" spans="4:9" ht="20.25" customHeight="1" x14ac:dyDescent="0.3">
      <c r="D882" s="50" ph="1"/>
      <c r="E882" s="50" ph="1"/>
      <c r="F882" s="439" ph="1"/>
      <c r="G882" s="439" ph="1"/>
      <c r="I882" s="50" ph="1"/>
    </row>
    <row r="883" spans="4:9" ht="20.25" customHeight="1" x14ac:dyDescent="0.3">
      <c r="D883" s="50" ph="1"/>
      <c r="E883" s="50" ph="1"/>
      <c r="F883" s="439" ph="1"/>
      <c r="G883" s="439" ph="1"/>
      <c r="I883" s="50" ph="1"/>
    </row>
    <row r="884" spans="4:9" ht="20.25" customHeight="1" x14ac:dyDescent="0.3">
      <c r="D884" s="50" ph="1"/>
      <c r="E884" s="50" ph="1"/>
      <c r="F884" s="439" ph="1"/>
      <c r="G884" s="439" ph="1"/>
      <c r="I884" s="50" ph="1"/>
    </row>
    <row r="885" spans="4:9" ht="20.25" customHeight="1" x14ac:dyDescent="0.3">
      <c r="D885" s="50" ph="1"/>
      <c r="E885" s="50" ph="1"/>
      <c r="F885" s="439" ph="1"/>
      <c r="G885" s="439" ph="1"/>
      <c r="I885" s="50" ph="1"/>
    </row>
    <row r="886" spans="4:9" ht="20.25" customHeight="1" x14ac:dyDescent="0.3">
      <c r="D886" s="50" ph="1"/>
      <c r="E886" s="50" ph="1"/>
      <c r="F886" s="439" ph="1"/>
      <c r="G886" s="439" ph="1"/>
      <c r="I886" s="50" ph="1"/>
    </row>
    <row r="892" spans="4:9" ht="20.25" customHeight="1" x14ac:dyDescent="0.3">
      <c r="D892" s="50" ph="1"/>
      <c r="E892" s="50" ph="1"/>
      <c r="F892" s="439" ph="1"/>
      <c r="G892" s="439" ph="1"/>
      <c r="I892" s="50" ph="1"/>
    </row>
    <row r="893" spans="4:9" ht="20.25" customHeight="1" x14ac:dyDescent="0.3">
      <c r="D893" s="50" ph="1"/>
      <c r="E893" s="50" ph="1"/>
      <c r="F893" s="439" ph="1"/>
      <c r="G893" s="439" ph="1"/>
      <c r="I893" s="50" ph="1"/>
    </row>
    <row r="894" spans="4:9" ht="20.25" customHeight="1" x14ac:dyDescent="0.3">
      <c r="D894" s="50" ph="1"/>
      <c r="E894" s="50" ph="1"/>
      <c r="F894" s="439" ph="1"/>
      <c r="G894" s="439" ph="1"/>
      <c r="I894" s="50" ph="1"/>
    </row>
    <row r="895" spans="4:9" ht="20.25" customHeight="1" x14ac:dyDescent="0.3">
      <c r="D895" s="50" ph="1"/>
      <c r="E895" s="50" ph="1"/>
      <c r="F895" s="439" ph="1"/>
      <c r="G895" s="439" ph="1"/>
      <c r="I895" s="50" ph="1"/>
    </row>
    <row r="896" spans="4:9" ht="20.25" customHeight="1" x14ac:dyDescent="0.3">
      <c r="D896" s="50" ph="1"/>
      <c r="E896" s="50" ph="1"/>
      <c r="F896" s="439" ph="1"/>
      <c r="G896" s="439" ph="1"/>
      <c r="I896" s="50" ph="1"/>
    </row>
    <row r="897" spans="4:9" ht="20.25" customHeight="1" x14ac:dyDescent="0.3">
      <c r="D897" s="50" ph="1"/>
      <c r="E897" s="50" ph="1"/>
      <c r="F897" s="439" ph="1"/>
      <c r="G897" s="439" ph="1"/>
      <c r="I897" s="50" ph="1"/>
    </row>
    <row r="898" spans="4:9" ht="20.25" customHeight="1" x14ac:dyDescent="0.3">
      <c r="D898" s="50" ph="1"/>
      <c r="E898" s="50" ph="1"/>
      <c r="F898" s="439" ph="1"/>
      <c r="G898" s="439" ph="1"/>
      <c r="I898" s="50" ph="1"/>
    </row>
    <row r="899" spans="4:9" ht="20.25" customHeight="1" x14ac:dyDescent="0.3">
      <c r="D899" s="50" ph="1"/>
      <c r="E899" s="50" ph="1"/>
      <c r="F899" s="439" ph="1"/>
      <c r="G899" s="439" ph="1"/>
      <c r="I899" s="50" ph="1"/>
    </row>
    <row r="900" spans="4:9" ht="20.25" customHeight="1" x14ac:dyDescent="0.3">
      <c r="D900" s="50" ph="1"/>
      <c r="E900" s="50" ph="1"/>
      <c r="F900" s="439" ph="1"/>
      <c r="G900" s="439" ph="1"/>
      <c r="I900" s="50" ph="1"/>
    </row>
    <row r="901" spans="4:9" ht="20.25" customHeight="1" x14ac:dyDescent="0.3">
      <c r="D901" s="50" ph="1"/>
      <c r="E901" s="50" ph="1"/>
      <c r="F901" s="439" ph="1"/>
      <c r="G901" s="439" ph="1"/>
      <c r="I901" s="50" ph="1"/>
    </row>
    <row r="902" spans="4:9" ht="20.25" customHeight="1" x14ac:dyDescent="0.3">
      <c r="D902" s="50" ph="1"/>
      <c r="E902" s="50" ph="1"/>
      <c r="F902" s="439" ph="1"/>
      <c r="G902" s="439" ph="1"/>
      <c r="I902" s="50" ph="1"/>
    </row>
    <row r="903" spans="4:9" ht="20.25" customHeight="1" x14ac:dyDescent="0.3">
      <c r="D903" s="50" ph="1"/>
      <c r="E903" s="50" ph="1"/>
      <c r="F903" s="439" ph="1"/>
      <c r="G903" s="439" ph="1"/>
      <c r="I903" s="50" ph="1"/>
    </row>
    <row r="904" spans="4:9" ht="20.25" customHeight="1" x14ac:dyDescent="0.3">
      <c r="D904" s="50" ph="1"/>
      <c r="E904" s="50" ph="1"/>
      <c r="F904" s="439" ph="1"/>
      <c r="G904" s="439" ph="1"/>
      <c r="I904" s="50" ph="1"/>
    </row>
    <row r="905" spans="4:9" ht="20.25" customHeight="1" x14ac:dyDescent="0.3">
      <c r="D905" s="50" ph="1"/>
      <c r="E905" s="50" ph="1"/>
      <c r="F905" s="439" ph="1"/>
      <c r="G905" s="439" ph="1"/>
      <c r="I905" s="50" ph="1"/>
    </row>
    <row r="906" spans="4:9" ht="20.25" customHeight="1" x14ac:dyDescent="0.3">
      <c r="D906" s="50" ph="1"/>
      <c r="E906" s="50" ph="1"/>
      <c r="F906" s="439" ph="1"/>
      <c r="G906" s="439" ph="1"/>
      <c r="I906" s="50" ph="1"/>
    </row>
    <row r="907" spans="4:9" ht="20.25" customHeight="1" x14ac:dyDescent="0.3">
      <c r="D907" s="50" ph="1"/>
      <c r="E907" s="50" ph="1"/>
      <c r="F907" s="439" ph="1"/>
      <c r="G907" s="439" ph="1"/>
      <c r="I907" s="50" ph="1"/>
    </row>
    <row r="908" spans="4:9" ht="20.25" customHeight="1" x14ac:dyDescent="0.3">
      <c r="D908" s="50" ph="1"/>
      <c r="E908" s="50" ph="1"/>
      <c r="F908" s="439" ph="1"/>
      <c r="G908" s="439" ph="1"/>
      <c r="I908" s="50" ph="1"/>
    </row>
    <row r="909" spans="4:9" ht="20.25" customHeight="1" x14ac:dyDescent="0.3">
      <c r="D909" s="50" ph="1"/>
      <c r="E909" s="50" ph="1"/>
      <c r="F909" s="439" ph="1"/>
      <c r="G909" s="439" ph="1"/>
      <c r="I909" s="50" ph="1"/>
    </row>
    <row r="910" spans="4:9" ht="20.25" customHeight="1" x14ac:dyDescent="0.3">
      <c r="D910" s="50" ph="1"/>
      <c r="E910" s="50" ph="1"/>
      <c r="F910" s="439" ph="1"/>
      <c r="G910" s="439" ph="1"/>
      <c r="I910" s="50" ph="1"/>
    </row>
    <row r="911" spans="4:9" ht="20.25" customHeight="1" x14ac:dyDescent="0.3">
      <c r="D911" s="50" ph="1"/>
      <c r="E911" s="50" ph="1"/>
      <c r="F911" s="439" ph="1"/>
      <c r="G911" s="439" ph="1"/>
      <c r="I911" s="50" ph="1"/>
    </row>
    <row r="912" spans="4:9" ht="20.25" customHeight="1" x14ac:dyDescent="0.3">
      <c r="D912" s="50" ph="1"/>
      <c r="E912" s="50" ph="1"/>
      <c r="F912" s="439" ph="1"/>
      <c r="G912" s="439" ph="1"/>
      <c r="I912" s="50" ph="1"/>
    </row>
    <row r="913" spans="4:9" ht="20.25" customHeight="1" x14ac:dyDescent="0.3">
      <c r="D913" s="50" ph="1"/>
      <c r="E913" s="50" ph="1"/>
      <c r="F913" s="439" ph="1"/>
      <c r="G913" s="439" ph="1"/>
      <c r="I913" s="50" ph="1"/>
    </row>
    <row r="914" spans="4:9" ht="20.25" customHeight="1" x14ac:dyDescent="0.3">
      <c r="D914" s="50" ph="1"/>
      <c r="E914" s="50" ph="1"/>
      <c r="F914" s="439" ph="1"/>
      <c r="G914" s="439" ph="1"/>
      <c r="I914" s="50" ph="1"/>
    </row>
    <row r="915" spans="4:9" ht="20.25" customHeight="1" x14ac:dyDescent="0.3">
      <c r="D915" s="50" ph="1"/>
      <c r="E915" s="50" ph="1"/>
      <c r="F915" s="439" ph="1"/>
      <c r="G915" s="439" ph="1"/>
      <c r="I915" s="50" ph="1"/>
    </row>
    <row r="916" spans="4:9" ht="20.25" customHeight="1" x14ac:dyDescent="0.3">
      <c r="D916" s="50" ph="1"/>
      <c r="E916" s="50" ph="1"/>
      <c r="F916" s="439" ph="1"/>
      <c r="G916" s="439" ph="1"/>
      <c r="I916" s="50" ph="1"/>
    </row>
    <row r="917" spans="4:9" ht="20.25" customHeight="1" x14ac:dyDescent="0.3">
      <c r="D917" s="50" ph="1"/>
      <c r="E917" s="50" ph="1"/>
      <c r="F917" s="439" ph="1"/>
      <c r="G917" s="439" ph="1"/>
      <c r="I917" s="50" ph="1"/>
    </row>
    <row r="918" spans="4:9" ht="20.25" customHeight="1" x14ac:dyDescent="0.3">
      <c r="D918" s="50" ph="1"/>
      <c r="E918" s="50" ph="1"/>
      <c r="F918" s="439" ph="1"/>
      <c r="G918" s="439" ph="1"/>
      <c r="I918" s="50" ph="1"/>
    </row>
    <row r="919" spans="4:9" ht="20.25" customHeight="1" x14ac:dyDescent="0.3">
      <c r="D919" s="50" ph="1"/>
      <c r="E919" s="50" ph="1"/>
      <c r="F919" s="439" ph="1"/>
      <c r="G919" s="439" ph="1"/>
      <c r="I919" s="50" ph="1"/>
    </row>
    <row r="920" spans="4:9" ht="20.25" customHeight="1" x14ac:dyDescent="0.3">
      <c r="D920" s="50" ph="1"/>
      <c r="E920" s="50" ph="1"/>
      <c r="F920" s="439" ph="1"/>
      <c r="G920" s="439" ph="1"/>
      <c r="I920" s="50" ph="1"/>
    </row>
    <row r="921" spans="4:9" ht="20.25" customHeight="1" x14ac:dyDescent="0.3">
      <c r="D921" s="50" ph="1"/>
      <c r="E921" s="50" ph="1"/>
      <c r="F921" s="439" ph="1"/>
      <c r="G921" s="439" ph="1"/>
      <c r="I921" s="50" ph="1"/>
    </row>
    <row r="922" spans="4:9" ht="20.25" customHeight="1" x14ac:dyDescent="0.3">
      <c r="D922" s="50" ph="1"/>
      <c r="E922" s="50" ph="1"/>
      <c r="F922" s="439" ph="1"/>
      <c r="G922" s="439" ph="1"/>
      <c r="I922" s="50" ph="1"/>
    </row>
    <row r="923" spans="4:9" ht="20.25" customHeight="1" x14ac:dyDescent="0.3">
      <c r="D923" s="50" ph="1"/>
      <c r="E923" s="50" ph="1"/>
      <c r="F923" s="439" ph="1"/>
      <c r="G923" s="439" ph="1"/>
      <c r="I923" s="50" ph="1"/>
    </row>
    <row r="924" spans="4:9" ht="20.25" customHeight="1" x14ac:dyDescent="0.3">
      <c r="D924" s="50" ph="1"/>
      <c r="E924" s="50" ph="1"/>
      <c r="F924" s="439" ph="1"/>
      <c r="G924" s="439" ph="1"/>
      <c r="I924" s="50" ph="1"/>
    </row>
    <row r="925" spans="4:9" ht="20.25" customHeight="1" x14ac:dyDescent="0.3">
      <c r="D925" s="50" ph="1"/>
      <c r="E925" s="50" ph="1"/>
      <c r="F925" s="439" ph="1"/>
      <c r="G925" s="439" ph="1"/>
      <c r="I925" s="50" ph="1"/>
    </row>
    <row r="926" spans="4:9" ht="20.25" customHeight="1" x14ac:dyDescent="0.3">
      <c r="D926" s="50" ph="1"/>
      <c r="E926" s="50" ph="1"/>
      <c r="F926" s="439" ph="1"/>
      <c r="G926" s="439" ph="1"/>
      <c r="I926" s="50" ph="1"/>
    </row>
    <row r="927" spans="4:9" ht="20.25" customHeight="1" x14ac:dyDescent="0.3">
      <c r="D927" s="50" ph="1"/>
      <c r="E927" s="50" ph="1"/>
      <c r="F927" s="439" ph="1"/>
      <c r="G927" s="439" ph="1"/>
      <c r="I927" s="50" ph="1"/>
    </row>
    <row r="928" spans="4:9" ht="20.25" customHeight="1" x14ac:dyDescent="0.3">
      <c r="D928" s="50" ph="1"/>
      <c r="E928" s="50" ph="1"/>
      <c r="F928" s="439" ph="1"/>
      <c r="G928" s="439" ph="1"/>
      <c r="I928" s="50" ph="1"/>
    </row>
    <row r="929" spans="4:9" ht="20.25" customHeight="1" x14ac:dyDescent="0.3">
      <c r="D929" s="50" ph="1"/>
      <c r="E929" s="50" ph="1"/>
      <c r="F929" s="439" ph="1"/>
      <c r="G929" s="439" ph="1"/>
      <c r="I929" s="50" ph="1"/>
    </row>
    <row r="930" spans="4:9" ht="20.25" customHeight="1" x14ac:dyDescent="0.3">
      <c r="D930" s="50" ph="1"/>
      <c r="E930" s="50" ph="1"/>
      <c r="F930" s="439" ph="1"/>
      <c r="G930" s="439" ph="1"/>
      <c r="I930" s="50" ph="1"/>
    </row>
    <row r="931" spans="4:9" ht="20.25" customHeight="1" x14ac:dyDescent="0.3">
      <c r="D931" s="50" ph="1"/>
      <c r="E931" s="50" ph="1"/>
      <c r="F931" s="439" ph="1"/>
      <c r="G931" s="439" ph="1"/>
      <c r="I931" s="50" ph="1"/>
    </row>
    <row r="932" spans="4:9" ht="20.25" customHeight="1" x14ac:dyDescent="0.3">
      <c r="D932" s="50" ph="1"/>
      <c r="E932" s="50" ph="1"/>
      <c r="F932" s="439" ph="1"/>
      <c r="G932" s="439" ph="1"/>
      <c r="I932" s="50" ph="1"/>
    </row>
    <row r="933" spans="4:9" ht="20.25" customHeight="1" x14ac:dyDescent="0.3">
      <c r="D933" s="50" ph="1"/>
      <c r="E933" s="50" ph="1"/>
      <c r="F933" s="439" ph="1"/>
      <c r="G933" s="439" ph="1"/>
      <c r="I933" s="50" ph="1"/>
    </row>
    <row r="934" spans="4:9" ht="20.25" customHeight="1" x14ac:dyDescent="0.3">
      <c r="D934" s="50" ph="1"/>
      <c r="E934" s="50" ph="1"/>
      <c r="F934" s="439" ph="1"/>
      <c r="G934" s="439" ph="1"/>
      <c r="I934" s="50" ph="1"/>
    </row>
    <row r="935" spans="4:9" ht="20.25" customHeight="1" x14ac:dyDescent="0.3">
      <c r="D935" s="50" ph="1"/>
      <c r="E935" s="50" ph="1"/>
      <c r="F935" s="439" ph="1"/>
      <c r="G935" s="439" ph="1"/>
      <c r="I935" s="50" ph="1"/>
    </row>
    <row r="936" spans="4:9" ht="20.25" customHeight="1" x14ac:dyDescent="0.3">
      <c r="D936" s="50" ph="1"/>
      <c r="E936" s="50" ph="1"/>
      <c r="F936" s="439" ph="1"/>
      <c r="G936" s="439" ph="1"/>
      <c r="I936" s="50" ph="1"/>
    </row>
    <row r="937" spans="4:9" ht="20.25" customHeight="1" x14ac:dyDescent="0.3">
      <c r="D937" s="50" ph="1"/>
      <c r="E937" s="50" ph="1"/>
      <c r="F937" s="439" ph="1"/>
      <c r="G937" s="439" ph="1"/>
      <c r="I937" s="50" ph="1"/>
    </row>
    <row r="938" spans="4:9" ht="20.25" customHeight="1" x14ac:dyDescent="0.3">
      <c r="D938" s="50" ph="1"/>
      <c r="E938" s="50" ph="1"/>
      <c r="F938" s="439" ph="1"/>
      <c r="G938" s="439" ph="1"/>
      <c r="I938" s="50" ph="1"/>
    </row>
    <row r="939" spans="4:9" ht="20.25" customHeight="1" x14ac:dyDescent="0.3">
      <c r="D939" s="50" ph="1"/>
      <c r="E939" s="50" ph="1"/>
      <c r="F939" s="439" ph="1"/>
      <c r="G939" s="439" ph="1"/>
      <c r="I939" s="50" ph="1"/>
    </row>
    <row r="940" spans="4:9" ht="20.25" customHeight="1" x14ac:dyDescent="0.3">
      <c r="D940" s="50" ph="1"/>
      <c r="E940" s="50" ph="1"/>
      <c r="F940" s="439" ph="1"/>
      <c r="G940" s="439" ph="1"/>
      <c r="I940" s="50" ph="1"/>
    </row>
    <row r="941" spans="4:9" ht="20.25" customHeight="1" x14ac:dyDescent="0.3">
      <c r="D941" s="50" ph="1"/>
      <c r="E941" s="50" ph="1"/>
      <c r="F941" s="439" ph="1"/>
      <c r="G941" s="439" ph="1"/>
      <c r="I941" s="50" ph="1"/>
    </row>
    <row r="942" spans="4:9" ht="20.25" customHeight="1" x14ac:dyDescent="0.3">
      <c r="D942" s="50" ph="1"/>
      <c r="E942" s="50" ph="1"/>
      <c r="F942" s="439" ph="1"/>
      <c r="G942" s="439" ph="1"/>
      <c r="I942" s="50" ph="1"/>
    </row>
    <row r="943" spans="4:9" ht="20.25" customHeight="1" x14ac:dyDescent="0.3">
      <c r="D943" s="50" ph="1"/>
      <c r="E943" s="50" ph="1"/>
      <c r="F943" s="439" ph="1"/>
      <c r="G943" s="439" ph="1"/>
      <c r="I943" s="50" ph="1"/>
    </row>
    <row r="944" spans="4:9" ht="20.25" customHeight="1" x14ac:dyDescent="0.3">
      <c r="D944" s="50" ph="1"/>
      <c r="E944" s="50" ph="1"/>
      <c r="F944" s="439" ph="1"/>
      <c r="G944" s="439" ph="1"/>
      <c r="I944" s="50" ph="1"/>
    </row>
    <row r="945" spans="4:9" ht="20.25" customHeight="1" x14ac:dyDescent="0.3">
      <c r="D945" s="50" ph="1"/>
      <c r="E945" s="50" ph="1"/>
      <c r="F945" s="439" ph="1"/>
      <c r="G945" s="439" ph="1"/>
      <c r="I945" s="50" ph="1"/>
    </row>
    <row r="946" spans="4:9" ht="20.25" customHeight="1" x14ac:dyDescent="0.3">
      <c r="D946" s="50" ph="1"/>
      <c r="E946" s="50" ph="1"/>
      <c r="F946" s="439" ph="1"/>
      <c r="G946" s="439" ph="1"/>
      <c r="I946" s="50" ph="1"/>
    </row>
    <row r="947" spans="4:9" ht="20.25" customHeight="1" x14ac:dyDescent="0.3">
      <c r="D947" s="50" ph="1"/>
      <c r="E947" s="50" ph="1"/>
      <c r="F947" s="439" ph="1"/>
      <c r="G947" s="439" ph="1"/>
      <c r="I947" s="50" ph="1"/>
    </row>
    <row r="948" spans="4:9" ht="20.25" customHeight="1" x14ac:dyDescent="0.3">
      <c r="D948" s="50" ph="1"/>
      <c r="E948" s="50" ph="1"/>
      <c r="F948" s="439" ph="1"/>
      <c r="G948" s="439" ph="1"/>
      <c r="I948" s="50" ph="1"/>
    </row>
    <row r="949" spans="4:9" ht="20.25" customHeight="1" x14ac:dyDescent="0.3">
      <c r="D949" s="50" ph="1"/>
      <c r="E949" s="50" ph="1"/>
      <c r="F949" s="439" ph="1"/>
      <c r="G949" s="439" ph="1"/>
      <c r="I949" s="50" ph="1"/>
    </row>
    <row r="950" spans="4:9" ht="20.25" customHeight="1" x14ac:dyDescent="0.3">
      <c r="D950" s="50" ph="1"/>
      <c r="E950" s="50" ph="1"/>
      <c r="F950" s="439" ph="1"/>
      <c r="G950" s="439" ph="1"/>
      <c r="I950" s="50" ph="1"/>
    </row>
    <row r="951" spans="4:9" ht="20.25" customHeight="1" x14ac:dyDescent="0.3">
      <c r="D951" s="50" ph="1"/>
      <c r="E951" s="50" ph="1"/>
      <c r="F951" s="439" ph="1"/>
      <c r="G951" s="439" ph="1"/>
      <c r="I951" s="50" ph="1"/>
    </row>
    <row r="952" spans="4:9" ht="20.25" customHeight="1" x14ac:dyDescent="0.3">
      <c r="D952" s="50" ph="1"/>
      <c r="E952" s="50" ph="1"/>
      <c r="F952" s="439" ph="1"/>
      <c r="G952" s="439" ph="1"/>
      <c r="I952" s="50" ph="1"/>
    </row>
    <row r="953" spans="4:9" ht="20.25" customHeight="1" x14ac:dyDescent="0.3">
      <c r="D953" s="50" ph="1"/>
      <c r="E953" s="50" ph="1"/>
      <c r="F953" s="439" ph="1"/>
      <c r="G953" s="439" ph="1"/>
      <c r="I953" s="50" ph="1"/>
    </row>
    <row r="954" spans="4:9" ht="20.25" customHeight="1" x14ac:dyDescent="0.3">
      <c r="D954" s="50" ph="1"/>
      <c r="E954" s="50" ph="1"/>
      <c r="F954" s="439" ph="1"/>
      <c r="G954" s="439" ph="1"/>
      <c r="I954" s="50" ph="1"/>
    </row>
    <row r="955" spans="4:9" ht="20.25" customHeight="1" x14ac:dyDescent="0.3">
      <c r="D955" s="50" ph="1"/>
      <c r="E955" s="50" ph="1"/>
      <c r="F955" s="439" ph="1"/>
      <c r="G955" s="439" ph="1"/>
      <c r="I955" s="50" ph="1"/>
    </row>
    <row r="956" spans="4:9" ht="20.25" customHeight="1" x14ac:dyDescent="0.3">
      <c r="D956" s="50" ph="1"/>
      <c r="E956" s="50" ph="1"/>
      <c r="F956" s="439" ph="1"/>
      <c r="G956" s="439" ph="1"/>
      <c r="I956" s="50" ph="1"/>
    </row>
    <row r="957" spans="4:9" ht="20.25" customHeight="1" x14ac:dyDescent="0.3">
      <c r="D957" s="50" ph="1"/>
      <c r="E957" s="50" ph="1"/>
      <c r="F957" s="439" ph="1"/>
      <c r="G957" s="439" ph="1"/>
      <c r="I957" s="50" ph="1"/>
    </row>
    <row r="958" spans="4:9" ht="20.25" customHeight="1" x14ac:dyDescent="0.3">
      <c r="D958" s="50" ph="1"/>
      <c r="E958" s="50" ph="1"/>
      <c r="F958" s="439" ph="1"/>
      <c r="G958" s="439" ph="1"/>
      <c r="I958" s="50" ph="1"/>
    </row>
    <row r="959" spans="4:9" ht="20.25" customHeight="1" x14ac:dyDescent="0.3">
      <c r="D959" s="50" ph="1"/>
      <c r="E959" s="50" ph="1"/>
      <c r="F959" s="439" ph="1"/>
      <c r="G959" s="439" ph="1"/>
      <c r="I959" s="50" ph="1"/>
    </row>
    <row r="960" spans="4:9" ht="20.25" customHeight="1" x14ac:dyDescent="0.3">
      <c r="D960" s="50" ph="1"/>
      <c r="E960" s="50" ph="1"/>
      <c r="F960" s="439" ph="1"/>
      <c r="G960" s="439" ph="1"/>
      <c r="I960" s="50" ph="1"/>
    </row>
    <row r="961" spans="4:9" ht="20.25" customHeight="1" x14ac:dyDescent="0.3">
      <c r="D961" s="50" ph="1"/>
      <c r="E961" s="50" ph="1"/>
      <c r="F961" s="439" ph="1"/>
      <c r="G961" s="439" ph="1"/>
      <c r="I961" s="50" ph="1"/>
    </row>
    <row r="962" spans="4:9" ht="20.25" customHeight="1" x14ac:dyDescent="0.3">
      <c r="D962" s="50" ph="1"/>
      <c r="E962" s="50" ph="1"/>
      <c r="F962" s="439" ph="1"/>
      <c r="G962" s="439" ph="1"/>
      <c r="I962" s="50" ph="1"/>
    </row>
    <row r="963" spans="4:9" ht="20.25" customHeight="1" x14ac:dyDescent="0.3">
      <c r="D963" s="50" ph="1"/>
      <c r="E963" s="50" ph="1"/>
      <c r="F963" s="439" ph="1"/>
      <c r="G963" s="439" ph="1"/>
      <c r="I963" s="50" ph="1"/>
    </row>
    <row r="964" spans="4:9" ht="20.25" customHeight="1" x14ac:dyDescent="0.3">
      <c r="D964" s="50" ph="1"/>
      <c r="E964" s="50" ph="1"/>
      <c r="F964" s="439" ph="1"/>
      <c r="G964" s="439" ph="1"/>
      <c r="I964" s="50" ph="1"/>
    </row>
    <row r="965" spans="4:9" ht="20.25" customHeight="1" x14ac:dyDescent="0.3">
      <c r="D965" s="50" ph="1"/>
      <c r="E965" s="50" ph="1"/>
      <c r="F965" s="439" ph="1"/>
      <c r="G965" s="439" ph="1"/>
      <c r="I965" s="50" ph="1"/>
    </row>
    <row r="966" spans="4:9" ht="20.25" customHeight="1" x14ac:dyDescent="0.3">
      <c r="D966" s="50" ph="1"/>
      <c r="E966" s="50" ph="1"/>
      <c r="F966" s="439" ph="1"/>
      <c r="G966" s="439" ph="1"/>
      <c r="I966" s="50" ph="1"/>
    </row>
    <row r="967" spans="4:9" ht="20.25" customHeight="1" x14ac:dyDescent="0.3">
      <c r="D967" s="50" ph="1"/>
      <c r="E967" s="50" ph="1"/>
      <c r="F967" s="439" ph="1"/>
      <c r="G967" s="439" ph="1"/>
      <c r="I967" s="50" ph="1"/>
    </row>
    <row r="968" spans="4:9" ht="20.25" customHeight="1" x14ac:dyDescent="0.3">
      <c r="D968" s="50" ph="1"/>
      <c r="E968" s="50" ph="1"/>
      <c r="F968" s="439" ph="1"/>
      <c r="G968" s="439" ph="1"/>
      <c r="I968" s="50" ph="1"/>
    </row>
    <row r="969" spans="4:9" ht="20.25" customHeight="1" x14ac:dyDescent="0.3">
      <c r="D969" s="50" ph="1"/>
      <c r="E969" s="50" ph="1"/>
      <c r="F969" s="439" ph="1"/>
      <c r="G969" s="439" ph="1"/>
      <c r="I969" s="50" ph="1"/>
    </row>
    <row r="970" spans="4:9" ht="20.25" customHeight="1" x14ac:dyDescent="0.3">
      <c r="D970" s="50" ph="1"/>
      <c r="E970" s="50" ph="1"/>
      <c r="F970" s="439" ph="1"/>
      <c r="G970" s="439" ph="1"/>
      <c r="I970" s="50" ph="1"/>
    </row>
    <row r="971" spans="4:9" ht="20.25" customHeight="1" x14ac:dyDescent="0.3">
      <c r="D971" s="50" ph="1"/>
      <c r="E971" s="50" ph="1"/>
      <c r="F971" s="439" ph="1"/>
      <c r="G971" s="439" ph="1"/>
      <c r="I971" s="50" ph="1"/>
    </row>
    <row r="972" spans="4:9" ht="20.25" customHeight="1" x14ac:dyDescent="0.3">
      <c r="D972" s="50" ph="1"/>
      <c r="E972" s="50" ph="1"/>
      <c r="F972" s="439" ph="1"/>
      <c r="G972" s="439" ph="1"/>
      <c r="I972" s="50" ph="1"/>
    </row>
    <row r="973" spans="4:9" ht="24" x14ac:dyDescent="0.3">
      <c r="D973" s="50" ph="1"/>
      <c r="E973" s="50" ph="1"/>
      <c r="F973" s="439" ph="1"/>
      <c r="G973" s="439" ph="1"/>
      <c r="I973" s="50" ph="1"/>
    </row>
    <row r="974" spans="4:9" ht="24" x14ac:dyDescent="0.3">
      <c r="D974" s="50" ph="1"/>
      <c r="E974" s="50" ph="1"/>
      <c r="F974" s="439" ph="1"/>
      <c r="G974" s="439" ph="1"/>
      <c r="I974" s="50" ph="1"/>
    </row>
    <row r="975" spans="4:9" ht="24" x14ac:dyDescent="0.3">
      <c r="D975" s="50" ph="1"/>
      <c r="E975" s="50" ph="1"/>
      <c r="F975" s="439" ph="1"/>
      <c r="G975" s="439" ph="1"/>
      <c r="I975" s="50" ph="1"/>
    </row>
    <row r="976" spans="4:9" ht="24" x14ac:dyDescent="0.3">
      <c r="D976" s="50" ph="1"/>
      <c r="E976" s="50" ph="1"/>
      <c r="F976" s="439" ph="1"/>
      <c r="G976" s="439" ph="1"/>
      <c r="I976" s="50" ph="1"/>
    </row>
    <row r="977" spans="4:9" ht="24" x14ac:dyDescent="0.3">
      <c r="D977" s="50" ph="1"/>
      <c r="E977" s="50" ph="1"/>
      <c r="F977" s="439" ph="1"/>
      <c r="G977" s="439" ph="1"/>
      <c r="I977" s="50" ph="1"/>
    </row>
    <row r="978" spans="4:9" ht="24" x14ac:dyDescent="0.3">
      <c r="D978" s="50" ph="1"/>
      <c r="E978" s="50" ph="1"/>
      <c r="F978" s="439" ph="1"/>
      <c r="G978" s="439" ph="1"/>
      <c r="H978" s="439">
        <f>SUBTOTAL(9,H540:H667)</f>
        <v>665795629.35829997</v>
      </c>
      <c r="I978" s="50" ph="1"/>
    </row>
    <row r="979" spans="4:9" ht="24" x14ac:dyDescent="0.3">
      <c r="D979" s="50" ph="1"/>
      <c r="E979" s="50" ph="1"/>
      <c r="F979" s="439" ph="1"/>
      <c r="G979" s="439" ph="1"/>
      <c r="I979" s="50" ph="1"/>
    </row>
    <row r="980" spans="4:9" ht="24" x14ac:dyDescent="0.3">
      <c r="D980" s="50" ph="1"/>
      <c r="E980" s="50" ph="1"/>
      <c r="F980" s="439" ph="1"/>
      <c r="G980" s="439" ph="1"/>
      <c r="I980" s="50" ph="1"/>
    </row>
    <row r="981" spans="4:9" ht="24" x14ac:dyDescent="0.3">
      <c r="D981" s="50" ph="1"/>
      <c r="E981" s="50" ph="1"/>
      <c r="F981" s="439" ph="1"/>
      <c r="G981" s="439" ph="1"/>
      <c r="I981" s="50" ph="1"/>
    </row>
    <row r="982" spans="4:9" ht="24" x14ac:dyDescent="0.3">
      <c r="D982" s="50" ph="1"/>
      <c r="E982" s="50" ph="1"/>
      <c r="F982" s="439" ph="1"/>
      <c r="G982" s="439" ph="1"/>
      <c r="I982" s="50" ph="1"/>
    </row>
    <row r="983" spans="4:9" ht="24" x14ac:dyDescent="0.3">
      <c r="D983" s="50" ph="1"/>
      <c r="E983" s="50" ph="1"/>
      <c r="F983" s="439" ph="1"/>
      <c r="G983" s="439" ph="1"/>
      <c r="I983" s="50" ph="1"/>
    </row>
    <row r="984" spans="4:9" ht="24" x14ac:dyDescent="0.3">
      <c r="D984" s="50" ph="1"/>
      <c r="E984" s="50" ph="1"/>
      <c r="F984" s="439" ph="1"/>
      <c r="G984" s="439" ph="1"/>
      <c r="I984" s="50" ph="1"/>
    </row>
    <row r="985" spans="4:9" ht="24" x14ac:dyDescent="0.3">
      <c r="D985" s="50" ph="1"/>
      <c r="E985" s="50" ph="1"/>
      <c r="F985" s="439" ph="1"/>
      <c r="G985" s="439" ph="1"/>
      <c r="I985" s="50" ph="1"/>
    </row>
    <row r="986" spans="4:9" ht="24" x14ac:dyDescent="0.3">
      <c r="D986" s="50" ph="1"/>
      <c r="E986" s="50" ph="1"/>
      <c r="F986" s="439" ph="1"/>
      <c r="G986" s="439" ph="1"/>
      <c r="I986" s="50" ph="1"/>
    </row>
    <row r="987" spans="4:9" ht="24" x14ac:dyDescent="0.3">
      <c r="D987" s="50" ph="1"/>
      <c r="E987" s="50" ph="1"/>
      <c r="F987" s="439" ph="1"/>
      <c r="G987" s="439" ph="1"/>
      <c r="I987" s="50" ph="1"/>
    </row>
    <row r="988" spans="4:9" ht="24" x14ac:dyDescent="0.3">
      <c r="D988" s="50" ph="1"/>
      <c r="E988" s="50" ph="1"/>
      <c r="F988" s="439" ph="1"/>
      <c r="G988" s="439" ph="1"/>
      <c r="I988" s="50" ph="1"/>
    </row>
    <row r="989" spans="4:9" ht="24" x14ac:dyDescent="0.3">
      <c r="D989" s="50" ph="1"/>
      <c r="E989" s="50" ph="1"/>
      <c r="F989" s="439" ph="1"/>
      <c r="G989" s="439" ph="1"/>
      <c r="I989" s="50" ph="1"/>
    </row>
    <row r="990" spans="4:9" ht="24" x14ac:dyDescent="0.3">
      <c r="D990" s="50" ph="1"/>
      <c r="E990" s="50" ph="1"/>
      <c r="F990" s="439" ph="1"/>
      <c r="G990" s="439" ph="1"/>
      <c r="I990" s="50" ph="1"/>
    </row>
    <row r="991" spans="4:9" ht="24" x14ac:dyDescent="0.3">
      <c r="D991" s="50" ph="1"/>
      <c r="E991" s="50" ph="1"/>
      <c r="F991" s="439" ph="1"/>
      <c r="G991" s="439" ph="1"/>
      <c r="I991" s="50" ph="1"/>
    </row>
    <row r="992" spans="4:9" ht="24" x14ac:dyDescent="0.3">
      <c r="D992" s="50" ph="1"/>
      <c r="E992" s="50" ph="1"/>
      <c r="F992" s="439" ph="1"/>
      <c r="G992" s="439" ph="1"/>
      <c r="I992" s="50" ph="1"/>
    </row>
    <row r="993" spans="4:9" ht="24" x14ac:dyDescent="0.3">
      <c r="D993" s="50" ph="1"/>
      <c r="E993" s="50" ph="1"/>
      <c r="F993" s="439" ph="1"/>
      <c r="G993" s="439" ph="1"/>
      <c r="I993" s="50" ph="1"/>
    </row>
    <row r="994" spans="4:9" ht="24" x14ac:dyDescent="0.3">
      <c r="D994" s="50" ph="1"/>
      <c r="E994" s="50" ph="1"/>
      <c r="F994" s="439" ph="1"/>
      <c r="G994" s="439" ph="1"/>
      <c r="I994" s="50" ph="1"/>
    </row>
    <row r="995" spans="4:9" ht="24" x14ac:dyDescent="0.3">
      <c r="D995" s="50" ph="1"/>
      <c r="E995" s="50" ph="1"/>
      <c r="F995" s="439" ph="1"/>
      <c r="G995" s="439" ph="1"/>
      <c r="I995" s="50" ph="1"/>
    </row>
    <row r="996" spans="4:9" ht="24" x14ac:dyDescent="0.3">
      <c r="D996" s="50" ph="1"/>
      <c r="E996" s="50" ph="1"/>
      <c r="F996" s="439" ph="1"/>
      <c r="G996" s="439" ph="1"/>
      <c r="I996" s="50" ph="1"/>
    </row>
    <row r="997" spans="4:9" ht="24" x14ac:dyDescent="0.3">
      <c r="D997" s="50" ph="1"/>
      <c r="E997" s="50" ph="1"/>
      <c r="F997" s="439" ph="1"/>
      <c r="G997" s="439" ph="1"/>
      <c r="I997" s="50" ph="1"/>
    </row>
    <row r="998" spans="4:9" ht="24" x14ac:dyDescent="0.3">
      <c r="D998" s="50" ph="1"/>
      <c r="E998" s="50" ph="1"/>
      <c r="F998" s="439" ph="1"/>
      <c r="G998" s="439" ph="1"/>
      <c r="I998" s="50" ph="1"/>
    </row>
    <row r="999" spans="4:9" ht="24" x14ac:dyDescent="0.3">
      <c r="D999" s="50" ph="1"/>
      <c r="E999" s="50" ph="1"/>
      <c r="F999" s="439" ph="1"/>
      <c r="G999" s="439" ph="1"/>
      <c r="I999" s="50" ph="1"/>
    </row>
    <row r="1000" spans="4:9" ht="24" x14ac:dyDescent="0.3">
      <c r="D1000" s="50" ph="1"/>
      <c r="E1000" s="50" ph="1"/>
      <c r="F1000" s="439" ph="1"/>
      <c r="G1000" s="439" ph="1"/>
      <c r="I1000" s="50" ph="1"/>
    </row>
    <row r="1001" spans="4:9" ht="24" x14ac:dyDescent="0.3">
      <c r="D1001" s="50" ph="1"/>
      <c r="E1001" s="50" ph="1"/>
      <c r="F1001" s="439" ph="1"/>
      <c r="G1001" s="439" ph="1"/>
      <c r="I1001" s="50" ph="1"/>
    </row>
    <row r="1002" spans="4:9" ht="24" x14ac:dyDescent="0.3">
      <c r="D1002" s="50" ph="1"/>
      <c r="E1002" s="50" ph="1"/>
      <c r="F1002" s="439" ph="1"/>
      <c r="G1002" s="439" ph="1"/>
      <c r="I1002" s="50" ph="1"/>
    </row>
    <row r="1003" spans="4:9" ht="24" x14ac:dyDescent="0.3">
      <c r="D1003" s="50" ph="1"/>
      <c r="E1003" s="50" ph="1"/>
      <c r="F1003" s="439" ph="1"/>
      <c r="G1003" s="439" ph="1"/>
      <c r="I1003" s="50" ph="1"/>
    </row>
    <row r="1004" spans="4:9" ht="24" x14ac:dyDescent="0.3">
      <c r="D1004" s="50" ph="1"/>
      <c r="E1004" s="50" ph="1"/>
      <c r="F1004" s="439" ph="1"/>
      <c r="G1004" s="439" ph="1"/>
      <c r="I1004" s="50" ph="1"/>
    </row>
    <row r="1005" spans="4:9" ht="24" x14ac:dyDescent="0.3">
      <c r="D1005" s="50" ph="1"/>
      <c r="E1005" s="50" ph="1"/>
      <c r="F1005" s="439" ph="1"/>
      <c r="G1005" s="439" ph="1"/>
      <c r="I1005" s="50" ph="1"/>
    </row>
    <row r="1006" spans="4:9" ht="24" x14ac:dyDescent="0.3">
      <c r="D1006" s="50" ph="1"/>
      <c r="E1006" s="50" ph="1"/>
      <c r="F1006" s="439" ph="1"/>
      <c r="G1006" s="439" ph="1"/>
      <c r="I1006" s="50" ph="1"/>
    </row>
    <row r="1007" spans="4:9" ht="24" x14ac:dyDescent="0.3">
      <c r="D1007" s="50" ph="1"/>
      <c r="E1007" s="50" ph="1"/>
      <c r="F1007" s="439" ph="1"/>
      <c r="G1007" s="439" ph="1"/>
      <c r="I1007" s="50" ph="1"/>
    </row>
    <row r="1008" spans="4:9" ht="24" x14ac:dyDescent="0.3">
      <c r="D1008" s="50" ph="1"/>
      <c r="E1008" s="50" ph="1"/>
      <c r="F1008" s="439" ph="1"/>
      <c r="G1008" s="439" ph="1"/>
      <c r="I1008" s="50" ph="1"/>
    </row>
    <row r="1009" spans="4:9" ht="24" x14ac:dyDescent="0.3">
      <c r="D1009" s="50" ph="1"/>
      <c r="E1009" s="50" ph="1"/>
      <c r="F1009" s="439" ph="1"/>
      <c r="G1009" s="439" ph="1"/>
      <c r="I1009" s="50" ph="1"/>
    </row>
    <row r="1010" spans="4:9" ht="24" x14ac:dyDescent="0.3">
      <c r="D1010" s="50" ph="1"/>
      <c r="E1010" s="50" ph="1"/>
      <c r="F1010" s="439" ph="1"/>
      <c r="G1010" s="439" ph="1"/>
      <c r="I1010" s="50" ph="1"/>
    </row>
    <row r="1011" spans="4:9" ht="24" x14ac:dyDescent="0.3">
      <c r="D1011" s="50" ph="1"/>
      <c r="E1011" s="50" ph="1"/>
      <c r="F1011" s="439" ph="1"/>
      <c r="G1011" s="439" ph="1"/>
      <c r="I1011" s="50" ph="1"/>
    </row>
    <row r="1012" spans="4:9" ht="24" x14ac:dyDescent="0.3">
      <c r="D1012" s="50" ph="1"/>
      <c r="E1012" s="50" ph="1"/>
      <c r="F1012" s="439" ph="1"/>
      <c r="G1012" s="439" ph="1"/>
      <c r="I1012" s="50" ph="1"/>
    </row>
    <row r="1013" spans="4:9" ht="24" x14ac:dyDescent="0.3">
      <c r="D1013" s="50" ph="1"/>
      <c r="E1013" s="50" ph="1"/>
      <c r="F1013" s="439" ph="1"/>
      <c r="G1013" s="439" ph="1"/>
      <c r="I1013" s="50" ph="1"/>
    </row>
    <row r="1014" spans="4:9" ht="24" x14ac:dyDescent="0.3">
      <c r="D1014" s="50" ph="1"/>
      <c r="E1014" s="50" ph="1"/>
      <c r="F1014" s="439" ph="1"/>
      <c r="G1014" s="439" ph="1"/>
      <c r="I1014" s="50" ph="1"/>
    </row>
    <row r="1015" spans="4:9" ht="24" x14ac:dyDescent="0.3">
      <c r="D1015" s="50" ph="1"/>
      <c r="E1015" s="50" ph="1"/>
      <c r="F1015" s="439" ph="1"/>
      <c r="G1015" s="439" ph="1"/>
      <c r="I1015" s="50" ph="1"/>
    </row>
    <row r="1016" spans="4:9" ht="24" x14ac:dyDescent="0.3">
      <c r="D1016" s="50" ph="1"/>
      <c r="E1016" s="50" ph="1"/>
      <c r="F1016" s="439" ph="1"/>
      <c r="G1016" s="439" ph="1"/>
      <c r="I1016" s="50" ph="1"/>
    </row>
    <row r="1017" spans="4:9" ht="24" x14ac:dyDescent="0.3">
      <c r="D1017" s="50" ph="1"/>
      <c r="E1017" s="50" ph="1"/>
      <c r="F1017" s="439" ph="1"/>
      <c r="G1017" s="439" ph="1"/>
      <c r="I1017" s="50" ph="1"/>
    </row>
    <row r="1018" spans="4:9" ht="24" x14ac:dyDescent="0.3">
      <c r="D1018" s="50" ph="1"/>
      <c r="E1018" s="50" ph="1"/>
      <c r="F1018" s="439" ph="1"/>
      <c r="G1018" s="439" ph="1"/>
      <c r="I1018" s="50" ph="1"/>
    </row>
    <row r="1019" spans="4:9" ht="24" x14ac:dyDescent="0.3">
      <c r="D1019" s="50" ph="1"/>
      <c r="E1019" s="50" ph="1"/>
      <c r="F1019" s="439" ph="1"/>
      <c r="G1019" s="439" ph="1"/>
      <c r="I1019" s="50" ph="1"/>
    </row>
    <row r="1020" spans="4:9" ht="24" x14ac:dyDescent="0.3">
      <c r="D1020" s="50" ph="1"/>
      <c r="E1020" s="50" ph="1"/>
      <c r="F1020" s="439" ph="1"/>
      <c r="G1020" s="439" ph="1"/>
      <c r="I1020" s="50" ph="1"/>
    </row>
    <row r="1021" spans="4:9" ht="24" x14ac:dyDescent="0.3">
      <c r="D1021" s="50" ph="1"/>
      <c r="E1021" s="50" ph="1"/>
      <c r="F1021" s="439" ph="1"/>
      <c r="G1021" s="439" ph="1"/>
      <c r="I1021" s="50" ph="1"/>
    </row>
    <row r="1022" spans="4:9" ht="24" x14ac:dyDescent="0.3">
      <c r="D1022" s="50" ph="1"/>
      <c r="E1022" s="50" ph="1"/>
      <c r="F1022" s="439" ph="1"/>
      <c r="G1022" s="439" ph="1"/>
      <c r="I1022" s="50" ph="1"/>
    </row>
    <row r="1023" spans="4:9" ht="24" x14ac:dyDescent="0.3">
      <c r="D1023" s="50" ph="1"/>
      <c r="E1023" s="50" ph="1"/>
      <c r="F1023" s="439" ph="1"/>
      <c r="G1023" s="439" ph="1"/>
      <c r="I1023" s="50" ph="1"/>
    </row>
    <row r="1024" spans="4:9" ht="24" x14ac:dyDescent="0.3">
      <c r="D1024" s="50" ph="1"/>
      <c r="E1024" s="50" ph="1"/>
      <c r="F1024" s="439" ph="1"/>
      <c r="G1024" s="439" ph="1"/>
      <c r="I1024" s="50" ph="1"/>
    </row>
    <row r="1025" spans="4:9" ht="24" x14ac:dyDescent="0.3">
      <c r="D1025" s="50" ph="1"/>
      <c r="E1025" s="50" ph="1"/>
      <c r="F1025" s="439" ph="1"/>
      <c r="G1025" s="439" ph="1"/>
      <c r="I1025" s="50" ph="1"/>
    </row>
    <row r="1026" spans="4:9" ht="24" x14ac:dyDescent="0.3">
      <c r="D1026" s="50" ph="1"/>
      <c r="E1026" s="50" ph="1"/>
      <c r="F1026" s="439" ph="1"/>
      <c r="G1026" s="439" ph="1"/>
      <c r="I1026" s="50" ph="1"/>
    </row>
    <row r="1027" spans="4:9" ht="24" x14ac:dyDescent="0.3">
      <c r="D1027" s="50" ph="1"/>
      <c r="E1027" s="50" ph="1"/>
      <c r="F1027" s="439" ph="1"/>
      <c r="G1027" s="439" ph="1"/>
      <c r="I1027" s="50" ph="1"/>
    </row>
    <row r="1028" spans="4:9" ht="24" x14ac:dyDescent="0.3">
      <c r="D1028" s="50" ph="1"/>
      <c r="E1028" s="50" ph="1"/>
      <c r="F1028" s="439" ph="1"/>
      <c r="G1028" s="439" ph="1"/>
      <c r="I1028" s="50" ph="1"/>
    </row>
    <row r="1029" spans="4:9" ht="24" x14ac:dyDescent="0.3">
      <c r="D1029" s="50" ph="1"/>
      <c r="E1029" s="50" ph="1"/>
      <c r="F1029" s="439" ph="1"/>
      <c r="G1029" s="439" ph="1"/>
      <c r="I1029" s="50" ph="1"/>
    </row>
    <row r="1030" spans="4:9" ht="24" x14ac:dyDescent="0.3">
      <c r="D1030" s="50" ph="1"/>
      <c r="E1030" s="50" ph="1"/>
      <c r="F1030" s="439" ph="1"/>
      <c r="G1030" s="439" ph="1"/>
      <c r="I1030" s="50" ph="1"/>
    </row>
    <row r="1031" spans="4:9" ht="24" x14ac:dyDescent="0.3">
      <c r="D1031" s="50" ph="1"/>
      <c r="E1031" s="50" ph="1"/>
      <c r="F1031" s="439" ph="1"/>
      <c r="G1031" s="439" ph="1"/>
      <c r="I1031" s="50" ph="1"/>
    </row>
    <row r="1032" spans="4:9" ht="24" x14ac:dyDescent="0.3">
      <c r="D1032" s="50" ph="1"/>
      <c r="E1032" s="50" ph="1"/>
      <c r="F1032" s="439" ph="1"/>
      <c r="G1032" s="439" ph="1"/>
      <c r="I1032" s="50" ph="1"/>
    </row>
    <row r="1033" spans="4:9" ht="24" x14ac:dyDescent="0.3">
      <c r="D1033" s="50" ph="1"/>
      <c r="E1033" s="50" ph="1"/>
      <c r="F1033" s="439" ph="1"/>
      <c r="G1033" s="439" ph="1"/>
      <c r="I1033" s="50" ph="1"/>
    </row>
    <row r="1034" spans="4:9" ht="24" x14ac:dyDescent="0.3">
      <c r="D1034" s="50" ph="1"/>
      <c r="E1034" s="50" ph="1"/>
      <c r="F1034" s="439" ph="1"/>
      <c r="G1034" s="439" ph="1"/>
      <c r="I1034" s="50" ph="1"/>
    </row>
    <row r="1035" spans="4:9" ht="24" x14ac:dyDescent="0.3">
      <c r="D1035" s="50" ph="1"/>
      <c r="E1035" s="50" ph="1"/>
      <c r="F1035" s="439" ph="1"/>
      <c r="G1035" s="439" ph="1"/>
      <c r="I1035" s="50" ph="1"/>
    </row>
    <row r="1036" spans="4:9" ht="24" x14ac:dyDescent="0.3">
      <c r="D1036" s="50" ph="1"/>
      <c r="E1036" s="50" ph="1"/>
      <c r="F1036" s="439" ph="1"/>
      <c r="G1036" s="439" ph="1"/>
      <c r="I1036" s="50" ph="1"/>
    </row>
    <row r="1037" spans="4:9" ht="24" x14ac:dyDescent="0.3">
      <c r="D1037" s="50" ph="1"/>
      <c r="E1037" s="50" ph="1"/>
      <c r="F1037" s="439" ph="1"/>
      <c r="G1037" s="439" ph="1"/>
      <c r="I1037" s="50" ph="1"/>
    </row>
    <row r="1038" spans="4:9" ht="24" x14ac:dyDescent="0.3">
      <c r="D1038" s="50" ph="1"/>
      <c r="E1038" s="50" ph="1"/>
      <c r="F1038" s="439" ph="1"/>
      <c r="G1038" s="439" ph="1"/>
      <c r="I1038" s="50" ph="1"/>
    </row>
    <row r="1039" spans="4:9" ht="24" x14ac:dyDescent="0.3">
      <c r="D1039" s="50" ph="1"/>
      <c r="E1039" s="50" ph="1"/>
      <c r="F1039" s="439" ph="1"/>
      <c r="G1039" s="439" ph="1"/>
      <c r="I1039" s="50" ph="1"/>
    </row>
    <row r="1040" spans="4:9" ht="24" x14ac:dyDescent="0.3">
      <c r="D1040" s="50" ph="1"/>
      <c r="E1040" s="50" ph="1"/>
      <c r="F1040" s="439" ph="1"/>
      <c r="G1040" s="439" ph="1"/>
      <c r="I1040" s="50" ph="1"/>
    </row>
    <row r="1041" spans="4:9" ht="24" x14ac:dyDescent="0.3">
      <c r="D1041" s="50" ph="1"/>
      <c r="E1041" s="50" ph="1"/>
      <c r="F1041" s="439" ph="1"/>
      <c r="G1041" s="439" ph="1"/>
      <c r="I1041" s="50" ph="1"/>
    </row>
    <row r="1042" spans="4:9" ht="24" x14ac:dyDescent="0.3">
      <c r="D1042" s="50" ph="1"/>
      <c r="E1042" s="50" ph="1"/>
      <c r="F1042" s="439" ph="1"/>
      <c r="G1042" s="439" ph="1"/>
      <c r="I1042" s="50" ph="1"/>
    </row>
    <row r="1043" spans="4:9" ht="24" x14ac:dyDescent="0.3">
      <c r="D1043" s="50" ph="1"/>
      <c r="E1043" s="50" ph="1"/>
      <c r="F1043" s="439" ph="1"/>
      <c r="G1043" s="439" ph="1"/>
      <c r="I1043" s="50" ph="1"/>
    </row>
    <row r="1044" spans="4:9" ht="24" x14ac:dyDescent="0.3">
      <c r="D1044" s="50" ph="1"/>
      <c r="E1044" s="50" ph="1"/>
      <c r="F1044" s="439" ph="1"/>
      <c r="G1044" s="439" ph="1"/>
      <c r="I1044" s="50" ph="1"/>
    </row>
    <row r="1045" spans="4:9" ht="24" x14ac:dyDescent="0.3">
      <c r="D1045" s="50" ph="1"/>
      <c r="E1045" s="50" ph="1"/>
      <c r="F1045" s="439" ph="1"/>
      <c r="G1045" s="439" ph="1"/>
      <c r="I1045" s="50" ph="1"/>
    </row>
    <row r="1046" spans="4:9" ht="24" x14ac:dyDescent="0.3">
      <c r="D1046" s="50" ph="1"/>
      <c r="E1046" s="50" ph="1"/>
      <c r="F1046" s="439" ph="1"/>
      <c r="G1046" s="439" ph="1"/>
      <c r="I1046" s="50" ph="1"/>
    </row>
    <row r="1047" spans="4:9" ht="24" x14ac:dyDescent="0.3">
      <c r="D1047" s="50" ph="1"/>
      <c r="E1047" s="50" ph="1"/>
      <c r="F1047" s="439" ph="1"/>
      <c r="G1047" s="439" ph="1"/>
      <c r="I1047" s="50" ph="1"/>
    </row>
    <row r="1048" spans="4:9" ht="24" x14ac:dyDescent="0.3">
      <c r="D1048" s="50" ph="1"/>
      <c r="E1048" s="50" ph="1"/>
      <c r="F1048" s="439" ph="1"/>
      <c r="G1048" s="439" ph="1"/>
      <c r="I1048" s="50" ph="1"/>
    </row>
    <row r="1049" spans="4:9" ht="24" x14ac:dyDescent="0.3">
      <c r="D1049" s="50" ph="1"/>
      <c r="E1049" s="50" ph="1"/>
      <c r="F1049" s="439" ph="1"/>
      <c r="G1049" s="439" ph="1"/>
      <c r="I1049" s="50" ph="1"/>
    </row>
    <row r="1050" spans="4:9" ht="24" x14ac:dyDescent="0.3">
      <c r="D1050" s="50" ph="1"/>
      <c r="E1050" s="50" ph="1"/>
      <c r="F1050" s="439" ph="1"/>
      <c r="G1050" s="439" ph="1"/>
      <c r="I1050" s="50" ph="1"/>
    </row>
    <row r="1051" spans="4:9" ht="24" x14ac:dyDescent="0.3">
      <c r="D1051" s="50" ph="1"/>
      <c r="E1051" s="50" ph="1"/>
      <c r="F1051" s="439" ph="1"/>
      <c r="G1051" s="439" ph="1"/>
      <c r="I1051" s="50" ph="1"/>
    </row>
    <row r="1052" spans="4:9" ht="24" x14ac:dyDescent="0.3">
      <c r="D1052" s="50" ph="1"/>
      <c r="E1052" s="50" ph="1"/>
      <c r="F1052" s="439" ph="1"/>
      <c r="G1052" s="439" ph="1"/>
      <c r="I1052" s="50" ph="1"/>
    </row>
    <row r="1053" spans="4:9" ht="24" x14ac:dyDescent="0.3">
      <c r="D1053" s="50" ph="1"/>
      <c r="E1053" s="50" ph="1"/>
      <c r="F1053" s="439" ph="1"/>
      <c r="G1053" s="439" ph="1"/>
      <c r="I1053" s="50" ph="1"/>
    </row>
    <row r="1054" spans="4:9" ht="24" x14ac:dyDescent="0.3">
      <c r="D1054" s="50" ph="1"/>
      <c r="E1054" s="50" ph="1"/>
      <c r="F1054" s="439" ph="1"/>
      <c r="G1054" s="439" ph="1"/>
      <c r="I1054" s="50" ph="1"/>
    </row>
    <row r="1055" spans="4:9" ht="24" x14ac:dyDescent="0.3">
      <c r="D1055" s="50" ph="1"/>
      <c r="E1055" s="50" ph="1"/>
      <c r="F1055" s="439" ph="1"/>
      <c r="G1055" s="439" ph="1"/>
      <c r="I1055" s="50" ph="1"/>
    </row>
    <row r="1056" spans="4:9" ht="24" x14ac:dyDescent="0.3">
      <c r="D1056" s="50" ph="1"/>
      <c r="E1056" s="50" ph="1"/>
      <c r="F1056" s="439" ph="1"/>
      <c r="G1056" s="439" ph="1"/>
      <c r="I1056" s="50" ph="1"/>
    </row>
    <row r="1057" spans="4:9" ht="24" x14ac:dyDescent="0.3">
      <c r="D1057" s="50" ph="1"/>
      <c r="E1057" s="50" ph="1"/>
      <c r="F1057" s="439" ph="1"/>
      <c r="G1057" s="439" ph="1"/>
      <c r="I1057" s="50" ph="1"/>
    </row>
    <row r="1058" spans="4:9" ht="24" x14ac:dyDescent="0.3">
      <c r="D1058" s="50" ph="1"/>
      <c r="E1058" s="50" ph="1"/>
      <c r="F1058" s="439" ph="1"/>
      <c r="G1058" s="439" ph="1"/>
      <c r="I1058" s="50" ph="1"/>
    </row>
  </sheetData>
  <autoFilter ref="A1:O976" xr:uid="{6DF1DDD1-3B51-41B4-A544-924CE618D2AC}"/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30C5-A14B-4719-A844-3161A06E662F}">
  <dimension ref="A1:N722"/>
  <sheetViews>
    <sheetView workbookViewId="0">
      <pane ySplit="1" topLeftCell="A47" activePane="bottomLeft" state="frozen"/>
      <selection pane="bottomLeft" activeCell="A69" sqref="A69:XFD69"/>
    </sheetView>
  </sheetViews>
  <sheetFormatPr defaultRowHeight="17.399999999999999" x14ac:dyDescent="0.4"/>
  <cols>
    <col min="1" max="1" width="9.69921875" style="537" bestFit="1" customWidth="1"/>
    <col min="2" max="2" width="16.59765625" bestFit="1" customWidth="1"/>
    <col min="3" max="3" width="30.5" bestFit="1" customWidth="1"/>
    <col min="4" max="4" width="29.3984375" bestFit="1" customWidth="1"/>
    <col min="5" max="5" width="6.59765625" bestFit="1" customWidth="1"/>
    <col min="6" max="6" width="8.19921875" customWidth="1"/>
    <col min="7" max="7" width="12.19921875" customWidth="1"/>
    <col min="8" max="8" width="13.8984375" customWidth="1"/>
    <col min="9" max="9" width="33" bestFit="1" customWidth="1"/>
    <col min="10" max="11" width="11.5" bestFit="1" customWidth="1"/>
    <col min="12" max="12" width="14.09765625" bestFit="1" customWidth="1"/>
    <col min="13" max="13" width="4.5" bestFit="1" customWidth="1"/>
    <col min="14" max="14" width="11.5" bestFit="1" customWidth="1"/>
    <col min="15" max="15" width="4.09765625" bestFit="1" customWidth="1"/>
    <col min="16" max="16" width="3.19921875" bestFit="1" customWidth="1"/>
    <col min="17" max="17" width="7.59765625" bestFit="1" customWidth="1"/>
  </cols>
  <sheetData>
    <row r="1" spans="1:13" s="50" customFormat="1" ht="20.25" customHeight="1" x14ac:dyDescent="0.4">
      <c r="A1" s="481" t="s">
        <v>0</v>
      </c>
      <c r="B1" s="100" t="s">
        <v>1</v>
      </c>
      <c r="C1" s="101" t="s">
        <v>2</v>
      </c>
      <c r="D1" s="102" t="s">
        <v>3</v>
      </c>
      <c r="E1" s="102" t="s">
        <v>4</v>
      </c>
      <c r="F1" s="120" t="s">
        <v>5</v>
      </c>
      <c r="G1" s="87" t="s">
        <v>6</v>
      </c>
      <c r="H1" s="87" t="s">
        <v>7</v>
      </c>
      <c r="I1" s="136" t="s">
        <v>8</v>
      </c>
      <c r="J1" s="360"/>
      <c r="K1" s="87"/>
      <c r="L1" s="361" t="s">
        <v>9</v>
      </c>
    </row>
    <row r="2" spans="1:13" s="3" customFormat="1" ht="21" customHeight="1" x14ac:dyDescent="0.4">
      <c r="A2" s="485">
        <v>46052</v>
      </c>
      <c r="B2" s="5" t="s">
        <v>10</v>
      </c>
      <c r="C2" s="6" t="s">
        <v>171</v>
      </c>
      <c r="D2" s="1">
        <v>60623159</v>
      </c>
      <c r="E2" s="1" t="s">
        <v>11</v>
      </c>
      <c r="F2" s="8">
        <v>40</v>
      </c>
      <c r="G2" s="7">
        <v>563000</v>
      </c>
      <c r="H2" s="7">
        <f>F2*G2</f>
        <v>22520000</v>
      </c>
      <c r="I2" s="61" t="s">
        <v>1224</v>
      </c>
      <c r="J2" s="7"/>
      <c r="K2" s="7"/>
      <c r="L2" s="364"/>
      <c r="M2" s="89"/>
    </row>
    <row r="3" spans="1:13" s="3" customFormat="1" ht="18.75" customHeight="1" x14ac:dyDescent="0.4">
      <c r="A3" s="488">
        <v>46080</v>
      </c>
      <c r="B3" s="103" t="s">
        <v>10</v>
      </c>
      <c r="C3" s="115" t="s">
        <v>12</v>
      </c>
      <c r="D3" s="42">
        <v>60623160</v>
      </c>
      <c r="E3" s="42" t="s">
        <v>13</v>
      </c>
      <c r="F3" s="117">
        <v>30</v>
      </c>
      <c r="G3" s="8">
        <v>595000</v>
      </c>
      <c r="H3" s="8">
        <f>F3*G3</f>
        <v>17850000</v>
      </c>
      <c r="I3" s="61" t="s">
        <v>1224</v>
      </c>
      <c r="J3" s="70"/>
      <c r="K3" s="8"/>
      <c r="L3" s="116"/>
      <c r="M3" s="89"/>
    </row>
    <row r="4" spans="1:13" s="3" customFormat="1" ht="18.75" customHeight="1" x14ac:dyDescent="0.4">
      <c r="A4" s="482">
        <v>46127</v>
      </c>
      <c r="B4" s="103" t="s">
        <v>10</v>
      </c>
      <c r="C4" s="115" t="s">
        <v>12</v>
      </c>
      <c r="D4" s="42">
        <v>60623160</v>
      </c>
      <c r="E4" s="42" t="s">
        <v>13</v>
      </c>
      <c r="F4" s="117">
        <v>27</v>
      </c>
      <c r="G4" s="8">
        <v>595000</v>
      </c>
      <c r="H4" s="8">
        <f>F4*G4</f>
        <v>16065000</v>
      </c>
      <c r="I4" s="191"/>
      <c r="J4" s="70"/>
      <c r="K4" s="8"/>
      <c r="L4" s="116"/>
      <c r="M4" s="89"/>
    </row>
    <row r="5" spans="1:13" s="3" customFormat="1" ht="18.75" customHeight="1" x14ac:dyDescent="0.4">
      <c r="A5" s="483"/>
      <c r="B5" s="194"/>
      <c r="C5" s="40"/>
      <c r="D5" s="194"/>
      <c r="E5" s="194"/>
      <c r="F5" s="91"/>
      <c r="G5" s="138"/>
      <c r="H5" s="138">
        <f>SUM(H2:H4)</f>
        <v>56435000</v>
      </c>
      <c r="I5" s="138"/>
      <c r="J5" s="145"/>
      <c r="K5" s="145"/>
      <c r="L5" s="145"/>
      <c r="M5" s="89"/>
    </row>
    <row r="6" spans="1:13" s="3" customFormat="1" ht="20.25" customHeight="1" x14ac:dyDescent="0.4">
      <c r="A6" s="482">
        <v>46112</v>
      </c>
      <c r="B6" s="110" t="s">
        <v>16</v>
      </c>
      <c r="C6" s="29" t="s">
        <v>18</v>
      </c>
      <c r="D6" s="110" t="s">
        <v>836</v>
      </c>
      <c r="E6" s="110" t="s">
        <v>17</v>
      </c>
      <c r="F6" s="81">
        <v>135</v>
      </c>
      <c r="G6" s="7">
        <v>251112</v>
      </c>
      <c r="H6" s="8">
        <f t="shared" ref="H6:H16" si="0">+G6*F6</f>
        <v>33900120</v>
      </c>
      <c r="I6" s="49"/>
      <c r="J6" s="144"/>
      <c r="K6" s="144"/>
      <c r="L6" s="140"/>
      <c r="M6" s="89"/>
    </row>
    <row r="7" spans="1:13" s="3" customFormat="1" ht="20.25" customHeight="1" x14ac:dyDescent="0.4">
      <c r="A7" s="482">
        <v>46125</v>
      </c>
      <c r="B7" s="110" t="s">
        <v>16</v>
      </c>
      <c r="C7" s="29" t="s">
        <v>18</v>
      </c>
      <c r="D7" s="110" t="s">
        <v>836</v>
      </c>
      <c r="E7" s="110" t="s">
        <v>17</v>
      </c>
      <c r="F7" s="81">
        <v>81</v>
      </c>
      <c r="G7" s="49">
        <v>251112</v>
      </c>
      <c r="H7" s="8">
        <f t="shared" si="0"/>
        <v>20340072</v>
      </c>
      <c r="I7" s="49"/>
      <c r="J7" s="144"/>
      <c r="K7" s="144"/>
      <c r="L7" s="140" t="s">
        <v>1247</v>
      </c>
      <c r="M7" s="89"/>
    </row>
    <row r="8" spans="1:13" s="3" customFormat="1" ht="20.25" customHeight="1" x14ac:dyDescent="0.4">
      <c r="A8" s="482">
        <v>46129</v>
      </c>
      <c r="B8" s="110" t="s">
        <v>16</v>
      </c>
      <c r="C8" s="29" t="s">
        <v>18</v>
      </c>
      <c r="D8" s="110" t="s">
        <v>836</v>
      </c>
      <c r="E8" s="110" t="s">
        <v>17</v>
      </c>
      <c r="F8" s="81">
        <v>27</v>
      </c>
      <c r="G8" s="49">
        <v>251112</v>
      </c>
      <c r="H8" s="8">
        <f t="shared" si="0"/>
        <v>6780024</v>
      </c>
      <c r="I8" s="49"/>
      <c r="J8" s="144"/>
      <c r="K8" s="144"/>
      <c r="L8" s="140" t="s">
        <v>1247</v>
      </c>
      <c r="M8" s="89"/>
    </row>
    <row r="9" spans="1:13" s="3" customFormat="1" ht="20.25" customHeight="1" x14ac:dyDescent="0.4">
      <c r="A9" s="482">
        <v>46132</v>
      </c>
      <c r="B9" s="110" t="s">
        <v>16</v>
      </c>
      <c r="C9" s="29" t="s">
        <v>18</v>
      </c>
      <c r="D9" s="110" t="s">
        <v>836</v>
      </c>
      <c r="E9" s="110" t="s">
        <v>17</v>
      </c>
      <c r="F9" s="81">
        <f>27*7</f>
        <v>189</v>
      </c>
      <c r="G9" s="49">
        <v>251112</v>
      </c>
      <c r="H9" s="8">
        <f t="shared" si="0"/>
        <v>47460168</v>
      </c>
      <c r="I9" s="49"/>
      <c r="J9" s="144"/>
      <c r="K9" s="144"/>
      <c r="L9" s="140" t="s">
        <v>1247</v>
      </c>
      <c r="M9" s="89"/>
    </row>
    <row r="10" spans="1:13" s="3" customFormat="1" ht="20.25" customHeight="1" x14ac:dyDescent="0.4">
      <c r="A10" s="482">
        <v>46141</v>
      </c>
      <c r="B10" s="110" t="s">
        <v>16</v>
      </c>
      <c r="C10" s="29" t="s">
        <v>18</v>
      </c>
      <c r="D10" s="110" t="s">
        <v>19</v>
      </c>
      <c r="E10" s="110" t="s">
        <v>17</v>
      </c>
      <c r="F10" s="81">
        <v>30</v>
      </c>
      <c r="G10" s="49">
        <v>266245</v>
      </c>
      <c r="H10" s="8">
        <f t="shared" si="0"/>
        <v>7987350</v>
      </c>
      <c r="I10" s="49"/>
      <c r="J10" s="144"/>
      <c r="K10" s="144"/>
      <c r="L10" s="140" t="s">
        <v>1247</v>
      </c>
      <c r="M10" s="89"/>
    </row>
    <row r="11" spans="1:13" s="3" customFormat="1" ht="20.25" customHeight="1" x14ac:dyDescent="0.4">
      <c r="A11" s="482">
        <v>46142</v>
      </c>
      <c r="B11" s="110" t="s">
        <v>16</v>
      </c>
      <c r="C11" s="29" t="s">
        <v>18</v>
      </c>
      <c r="D11" s="110" t="s">
        <v>836</v>
      </c>
      <c r="E11" s="110" t="s">
        <v>17</v>
      </c>
      <c r="F11" s="81">
        <v>-3</v>
      </c>
      <c r="G11" s="49">
        <v>251112</v>
      </c>
      <c r="H11" s="8">
        <f t="shared" si="0"/>
        <v>-753336</v>
      </c>
      <c r="I11" s="49"/>
      <c r="J11" s="144"/>
      <c r="K11" s="144"/>
      <c r="L11" s="140" t="s">
        <v>1247</v>
      </c>
      <c r="M11" s="89"/>
    </row>
    <row r="12" spans="1:13" s="3" customFormat="1" ht="20.25" customHeight="1" x14ac:dyDescent="0.4">
      <c r="A12" s="482">
        <v>46142</v>
      </c>
      <c r="B12" s="110" t="s">
        <v>16</v>
      </c>
      <c r="C12" s="29" t="s">
        <v>18</v>
      </c>
      <c r="D12" s="110" t="s">
        <v>836</v>
      </c>
      <c r="E12" s="110" t="s">
        <v>17</v>
      </c>
      <c r="F12" s="81">
        <v>600</v>
      </c>
      <c r="G12" s="49">
        <v>3720</v>
      </c>
      <c r="H12" s="8">
        <f t="shared" si="0"/>
        <v>2232000</v>
      </c>
      <c r="I12" s="507" t="s">
        <v>1383</v>
      </c>
      <c r="J12" s="144"/>
      <c r="K12" s="144"/>
      <c r="L12" s="140" t="s">
        <v>1247</v>
      </c>
      <c r="M12" s="89"/>
    </row>
    <row r="13" spans="1:13" s="3" customFormat="1" ht="20.25" customHeight="1" x14ac:dyDescent="0.4">
      <c r="A13" s="482">
        <v>46142</v>
      </c>
      <c r="B13" s="110" t="s">
        <v>16</v>
      </c>
      <c r="C13" s="29" t="s">
        <v>18</v>
      </c>
      <c r="D13" s="110" t="s">
        <v>19</v>
      </c>
      <c r="E13" s="110" t="s">
        <v>17</v>
      </c>
      <c r="F13" s="81">
        <v>48</v>
      </c>
      <c r="G13" s="49">
        <v>5536</v>
      </c>
      <c r="H13" s="8">
        <f t="shared" si="0"/>
        <v>265728</v>
      </c>
      <c r="I13" s="507" t="s">
        <v>1383</v>
      </c>
      <c r="J13" s="144"/>
      <c r="K13" s="144"/>
      <c r="L13" s="140"/>
      <c r="M13" s="89"/>
    </row>
    <row r="14" spans="1:13" s="3" customFormat="1" ht="20.25" customHeight="1" x14ac:dyDescent="0.4">
      <c r="A14" s="482">
        <v>46141</v>
      </c>
      <c r="B14" s="110" t="s">
        <v>16</v>
      </c>
      <c r="C14" s="29" t="s">
        <v>18</v>
      </c>
      <c r="D14" s="110" t="s">
        <v>836</v>
      </c>
      <c r="E14" s="110" t="s">
        <v>17</v>
      </c>
      <c r="F14" s="81">
        <f>27*7</f>
        <v>189</v>
      </c>
      <c r="G14" s="49">
        <v>251112</v>
      </c>
      <c r="H14" s="8">
        <f t="shared" si="0"/>
        <v>47460168</v>
      </c>
      <c r="I14" s="49" t="s">
        <v>1382</v>
      </c>
      <c r="J14" s="144"/>
      <c r="K14" s="144"/>
      <c r="L14" s="140" t="s">
        <v>1247</v>
      </c>
      <c r="M14" s="89"/>
    </row>
    <row r="15" spans="1:13" s="3" customFormat="1" ht="20.25" customHeight="1" x14ac:dyDescent="0.4">
      <c r="A15" s="482">
        <v>46141</v>
      </c>
      <c r="B15" s="110" t="s">
        <v>16</v>
      </c>
      <c r="C15" s="29" t="s">
        <v>18</v>
      </c>
      <c r="D15" s="110" t="s">
        <v>19</v>
      </c>
      <c r="E15" s="110" t="s">
        <v>17</v>
      </c>
      <c r="F15" s="81">
        <v>30</v>
      </c>
      <c r="G15" s="49">
        <v>266245</v>
      </c>
      <c r="H15" s="8">
        <f t="shared" si="0"/>
        <v>7987350</v>
      </c>
      <c r="I15" s="49" t="s">
        <v>1382</v>
      </c>
      <c r="J15" s="144"/>
      <c r="K15" s="144"/>
      <c r="L15" s="140" t="s">
        <v>1247</v>
      </c>
      <c r="M15" s="89"/>
    </row>
    <row r="16" spans="1:13" s="3" customFormat="1" ht="20.25" customHeight="1" x14ac:dyDescent="0.4">
      <c r="A16" s="482">
        <v>46142</v>
      </c>
      <c r="B16" s="110" t="s">
        <v>16</v>
      </c>
      <c r="C16" s="29" t="s">
        <v>18</v>
      </c>
      <c r="D16" s="110" t="s">
        <v>19</v>
      </c>
      <c r="E16" s="110" t="s">
        <v>17</v>
      </c>
      <c r="F16" s="347">
        <v>37</v>
      </c>
      <c r="G16" s="49">
        <v>266245</v>
      </c>
      <c r="H16" s="8">
        <f t="shared" si="0"/>
        <v>9851065</v>
      </c>
      <c r="I16" s="49" t="s">
        <v>1382</v>
      </c>
      <c r="J16" s="144"/>
      <c r="K16" s="144"/>
      <c r="L16" s="140"/>
      <c r="M16" s="89"/>
    </row>
    <row r="17" spans="1:13" s="3" customFormat="1" ht="20.25" customHeight="1" x14ac:dyDescent="0.4">
      <c r="A17" s="483"/>
      <c r="B17" s="194"/>
      <c r="C17" s="40"/>
      <c r="D17" s="194"/>
      <c r="E17" s="194"/>
      <c r="F17" s="91"/>
      <c r="G17" s="138"/>
      <c r="H17" s="138">
        <f>SUM(H6:H13)</f>
        <v>118212126</v>
      </c>
      <c r="I17" s="138"/>
      <c r="J17" s="145"/>
      <c r="K17" s="145"/>
      <c r="L17" s="145"/>
      <c r="M17" s="89"/>
    </row>
    <row r="18" spans="1:13" s="3" customFormat="1" ht="18.75" customHeight="1" x14ac:dyDescent="0.4">
      <c r="A18" s="482">
        <v>46132</v>
      </c>
      <c r="B18" s="110" t="s">
        <v>24</v>
      </c>
      <c r="C18" s="29" t="s">
        <v>716</v>
      </c>
      <c r="D18" s="110" t="s">
        <v>865</v>
      </c>
      <c r="E18" s="110" t="s">
        <v>17</v>
      </c>
      <c r="F18" s="81">
        <v>31</v>
      </c>
      <c r="G18" s="49">
        <v>122010</v>
      </c>
      <c r="H18" s="8">
        <f>+G18*F18</f>
        <v>3782310</v>
      </c>
      <c r="I18" s="49"/>
      <c r="J18" s="144"/>
      <c r="K18" s="144"/>
      <c r="L18" s="144" t="s">
        <v>1247</v>
      </c>
      <c r="M18" s="89"/>
    </row>
    <row r="19" spans="1:13" s="3" customFormat="1" ht="18.75" customHeight="1" x14ac:dyDescent="0.4">
      <c r="A19" s="482">
        <v>46142</v>
      </c>
      <c r="B19" s="110" t="s">
        <v>24</v>
      </c>
      <c r="C19" s="29" t="s">
        <v>25</v>
      </c>
      <c r="D19" s="110" t="s">
        <v>26</v>
      </c>
      <c r="E19" s="110" t="s">
        <v>17</v>
      </c>
      <c r="F19" s="81">
        <v>23</v>
      </c>
      <c r="G19" s="49">
        <v>122010</v>
      </c>
      <c r="H19" s="8">
        <f>+G19*F19</f>
        <v>2806230</v>
      </c>
      <c r="I19" s="49"/>
      <c r="J19" s="144"/>
      <c r="K19" s="144"/>
      <c r="L19" s="144"/>
      <c r="M19" s="89"/>
    </row>
    <row r="20" spans="1:13" s="3" customFormat="1" ht="18.75" customHeight="1" x14ac:dyDescent="0.4">
      <c r="A20" s="482">
        <v>46142</v>
      </c>
      <c r="B20" s="110" t="s">
        <v>24</v>
      </c>
      <c r="C20" s="29" t="s">
        <v>716</v>
      </c>
      <c r="D20" s="110" t="s">
        <v>865</v>
      </c>
      <c r="E20" s="110" t="s">
        <v>17</v>
      </c>
      <c r="F20" s="81">
        <v>33</v>
      </c>
      <c r="G20" s="49">
        <v>122010</v>
      </c>
      <c r="H20" s="8">
        <f>+G20*F20</f>
        <v>4026330</v>
      </c>
      <c r="I20" s="49"/>
      <c r="J20" s="144"/>
      <c r="K20" s="144"/>
      <c r="L20" s="144"/>
      <c r="M20" s="89"/>
    </row>
    <row r="21" spans="1:13" s="3" customFormat="1" ht="18.75" customHeight="1" x14ac:dyDescent="0.4">
      <c r="A21" s="482">
        <v>46142</v>
      </c>
      <c r="B21" s="110" t="s">
        <v>24</v>
      </c>
      <c r="C21" s="29" t="s">
        <v>25</v>
      </c>
      <c r="D21" s="110" t="s">
        <v>26</v>
      </c>
      <c r="E21" s="110" t="s">
        <v>17</v>
      </c>
      <c r="F21" s="81">
        <v>-6</v>
      </c>
      <c r="G21" s="49">
        <v>122010</v>
      </c>
      <c r="H21" s="8">
        <f>+G21*F21</f>
        <v>-732060</v>
      </c>
      <c r="I21" s="49"/>
      <c r="J21" s="144"/>
      <c r="K21" s="144"/>
      <c r="L21" s="144"/>
      <c r="M21" s="89"/>
    </row>
    <row r="22" spans="1:13" s="19" customFormat="1" ht="20.25" customHeight="1" x14ac:dyDescent="0.4">
      <c r="A22" s="482">
        <v>46142</v>
      </c>
      <c r="B22" s="23" t="s">
        <v>24</v>
      </c>
      <c r="C22" s="24" t="s">
        <v>29</v>
      </c>
      <c r="D22" s="11" t="s">
        <v>30</v>
      </c>
      <c r="E22" s="11" t="s">
        <v>17</v>
      </c>
      <c r="F22" s="396">
        <v>-36</v>
      </c>
      <c r="G22" s="396">
        <v>206710</v>
      </c>
      <c r="H22" s="7">
        <f>F22*G22</f>
        <v>-7441560</v>
      </c>
      <c r="I22" s="397"/>
      <c r="J22" s="398"/>
      <c r="K22" s="398"/>
      <c r="L22" s="104"/>
      <c r="M22" s="399"/>
    </row>
    <row r="23" spans="1:13" s="19" customFormat="1" ht="21.75" customHeight="1" x14ac:dyDescent="0.3">
      <c r="A23" s="482">
        <v>46142</v>
      </c>
      <c r="B23" s="5" t="s">
        <v>24</v>
      </c>
      <c r="C23" s="401" t="s">
        <v>27</v>
      </c>
      <c r="D23" s="1" t="s">
        <v>839</v>
      </c>
      <c r="E23" s="1" t="s">
        <v>840</v>
      </c>
      <c r="F23" s="402">
        <v>-60</v>
      </c>
      <c r="G23" s="403" ph="1">
        <v>9149</v>
      </c>
      <c r="H23" s="7">
        <f>F23*G23</f>
        <v>-548940</v>
      </c>
      <c r="I23" s="404"/>
      <c r="J23" s="398"/>
      <c r="K23" s="400"/>
      <c r="L23" s="405"/>
      <c r="M23" s="406"/>
    </row>
    <row r="24" spans="1:13" s="19" customFormat="1" ht="21.75" customHeight="1" x14ac:dyDescent="0.4">
      <c r="A24" s="482">
        <v>46142</v>
      </c>
      <c r="B24" s="5" t="s">
        <v>24</v>
      </c>
      <c r="C24" s="401" t="s">
        <v>841</v>
      </c>
      <c r="D24" s="1" t="s">
        <v>28</v>
      </c>
      <c r="E24" s="1" t="s">
        <v>840</v>
      </c>
      <c r="F24" s="402">
        <v>-12</v>
      </c>
      <c r="G24" s="403">
        <v>9081</v>
      </c>
      <c r="H24" s="7">
        <f>F24*G24</f>
        <v>-108972</v>
      </c>
      <c r="I24" s="404"/>
      <c r="J24" s="398"/>
      <c r="K24" s="400"/>
      <c r="L24" s="405"/>
      <c r="M24" s="406"/>
    </row>
    <row r="25" spans="1:13" s="3" customFormat="1" ht="20.25" customHeight="1" x14ac:dyDescent="0.4">
      <c r="A25" s="483"/>
      <c r="B25" s="194"/>
      <c r="C25" s="40"/>
      <c r="D25" s="194"/>
      <c r="E25" s="194"/>
      <c r="F25" s="91">
        <f>SUM(F18)</f>
        <v>31</v>
      </c>
      <c r="G25" s="138"/>
      <c r="H25" s="138">
        <f>SUM(H18:H24)</f>
        <v>1783338</v>
      </c>
      <c r="I25" s="138"/>
      <c r="J25" s="145"/>
      <c r="K25" s="145"/>
      <c r="L25" s="145"/>
      <c r="M25" s="89"/>
    </row>
    <row r="26" spans="1:13" s="3" customFormat="1" ht="20.25" customHeight="1" x14ac:dyDescent="0.4">
      <c r="A26" s="482">
        <v>46108</v>
      </c>
      <c r="B26" s="110" t="s">
        <v>556</v>
      </c>
      <c r="C26" s="29" t="s">
        <v>1063</v>
      </c>
      <c r="D26" s="110" t="s">
        <v>1064</v>
      </c>
      <c r="E26" s="110"/>
      <c r="F26" s="8">
        <v>22</v>
      </c>
      <c r="G26" s="81">
        <v>225800</v>
      </c>
      <c r="H26" s="8">
        <f t="shared" ref="H26:H38" si="1">+G26*F26</f>
        <v>4967600</v>
      </c>
      <c r="I26" s="49"/>
      <c r="J26" s="144"/>
      <c r="K26" s="144"/>
      <c r="L26" s="144"/>
      <c r="M26" s="89"/>
    </row>
    <row r="27" spans="1:13" s="3" customFormat="1" ht="20.25" customHeight="1" x14ac:dyDescent="0.4">
      <c r="A27" s="482">
        <v>46108</v>
      </c>
      <c r="B27" s="110" t="s">
        <v>556</v>
      </c>
      <c r="C27" s="29" t="s">
        <v>1063</v>
      </c>
      <c r="D27" s="110" t="s">
        <v>1064</v>
      </c>
      <c r="E27" s="110"/>
      <c r="F27" s="8">
        <v>30</v>
      </c>
      <c r="G27" s="81">
        <v>225800</v>
      </c>
      <c r="H27" s="8">
        <f t="shared" si="1"/>
        <v>6774000</v>
      </c>
      <c r="I27" s="49"/>
      <c r="J27" s="144"/>
      <c r="K27" s="144"/>
      <c r="L27" s="144"/>
      <c r="M27" s="89"/>
    </row>
    <row r="28" spans="1:13" s="3" customFormat="1" ht="20.25" customHeight="1" x14ac:dyDescent="0.4">
      <c r="A28" s="482">
        <v>46108</v>
      </c>
      <c r="B28" s="110" t="s">
        <v>556</v>
      </c>
      <c r="C28" s="29" t="s">
        <v>1063</v>
      </c>
      <c r="D28" s="110" t="s">
        <v>1064</v>
      </c>
      <c r="E28" s="110"/>
      <c r="F28" s="8">
        <v>2</v>
      </c>
      <c r="G28" s="81">
        <v>225800</v>
      </c>
      <c r="H28" s="8">
        <f t="shared" si="1"/>
        <v>451600</v>
      </c>
      <c r="I28" s="49"/>
      <c r="J28" s="144"/>
      <c r="K28" s="144"/>
      <c r="L28" s="144"/>
      <c r="M28" s="89"/>
    </row>
    <row r="29" spans="1:13" s="3" customFormat="1" ht="20.25" customHeight="1" x14ac:dyDescent="0.4">
      <c r="A29" s="482">
        <v>46108</v>
      </c>
      <c r="B29" s="110" t="s">
        <v>556</v>
      </c>
      <c r="C29" s="29" t="s">
        <v>1063</v>
      </c>
      <c r="D29" s="110" t="s">
        <v>1064</v>
      </c>
      <c r="E29" s="110"/>
      <c r="F29" s="8">
        <v>64</v>
      </c>
      <c r="G29" s="81">
        <v>225800</v>
      </c>
      <c r="H29" s="8">
        <f t="shared" si="1"/>
        <v>14451200</v>
      </c>
      <c r="I29" s="49"/>
      <c r="J29" s="144"/>
      <c r="K29" s="144"/>
      <c r="L29" s="144"/>
      <c r="M29" s="89"/>
    </row>
    <row r="30" spans="1:13" s="3" customFormat="1" ht="20.25" customHeight="1" x14ac:dyDescent="0.4">
      <c r="A30" s="482">
        <v>46112</v>
      </c>
      <c r="B30" s="110" t="s">
        <v>556</v>
      </c>
      <c r="C30" s="29" t="s">
        <v>35</v>
      </c>
      <c r="D30" s="110" t="s">
        <v>36</v>
      </c>
      <c r="E30" s="110"/>
      <c r="F30" s="8">
        <v>5</v>
      </c>
      <c r="G30" s="81">
        <v>1259290</v>
      </c>
      <c r="H30" s="8">
        <f t="shared" si="1"/>
        <v>6296450</v>
      </c>
      <c r="I30" s="49"/>
      <c r="J30" s="144"/>
      <c r="K30" s="144"/>
      <c r="L30" s="144"/>
      <c r="M30" s="89"/>
    </row>
    <row r="31" spans="1:13" s="3" customFormat="1" ht="20.25" customHeight="1" x14ac:dyDescent="0.4">
      <c r="A31" s="482">
        <v>46112</v>
      </c>
      <c r="B31" s="110" t="s">
        <v>556</v>
      </c>
      <c r="C31" s="29" t="s">
        <v>37</v>
      </c>
      <c r="D31" s="110" t="s">
        <v>38</v>
      </c>
      <c r="E31" s="110"/>
      <c r="F31" s="8">
        <v>17</v>
      </c>
      <c r="G31" s="81">
        <v>1278690</v>
      </c>
      <c r="H31" s="8">
        <f t="shared" si="1"/>
        <v>21737730</v>
      </c>
      <c r="I31" s="49"/>
      <c r="J31" s="144"/>
      <c r="K31" s="144"/>
      <c r="L31" s="144"/>
      <c r="M31" s="89"/>
    </row>
    <row r="32" spans="1:13" s="3" customFormat="1" ht="20.25" customHeight="1" x14ac:dyDescent="0.4">
      <c r="A32" s="482">
        <v>46112</v>
      </c>
      <c r="B32" s="110" t="s">
        <v>556</v>
      </c>
      <c r="C32" s="29" t="s">
        <v>39</v>
      </c>
      <c r="D32" s="110" t="s">
        <v>40</v>
      </c>
      <c r="E32" s="110"/>
      <c r="F32" s="8">
        <v>42</v>
      </c>
      <c r="G32" s="81">
        <v>1380450</v>
      </c>
      <c r="H32" s="8">
        <f t="shared" si="1"/>
        <v>57978900</v>
      </c>
      <c r="I32" s="49"/>
      <c r="J32" s="144"/>
      <c r="K32" s="144"/>
      <c r="L32" s="144"/>
      <c r="M32" s="89"/>
    </row>
    <row r="33" spans="1:13" s="3" customFormat="1" ht="20.25" customHeight="1" x14ac:dyDescent="0.4">
      <c r="A33" s="482">
        <v>46112</v>
      </c>
      <c r="B33" s="110" t="s">
        <v>556</v>
      </c>
      <c r="C33" s="29" t="s">
        <v>41</v>
      </c>
      <c r="D33" s="110" t="s">
        <v>42</v>
      </c>
      <c r="E33" s="110"/>
      <c r="F33" s="8">
        <v>99</v>
      </c>
      <c r="G33" s="81">
        <v>203030</v>
      </c>
      <c r="H33" s="8">
        <f>+G33*F33</f>
        <v>20099970</v>
      </c>
      <c r="I33" s="49"/>
      <c r="J33" s="144"/>
      <c r="K33" s="144"/>
      <c r="L33" s="144"/>
      <c r="M33" s="89"/>
    </row>
    <row r="34" spans="1:13" s="3" customFormat="1" ht="20.25" customHeight="1" x14ac:dyDescent="0.4">
      <c r="A34" s="482">
        <v>46112</v>
      </c>
      <c r="B34" s="110" t="s">
        <v>556</v>
      </c>
      <c r="C34" s="29" t="s">
        <v>41</v>
      </c>
      <c r="D34" s="110" t="s">
        <v>42</v>
      </c>
      <c r="E34" s="110"/>
      <c r="F34" s="8">
        <v>5</v>
      </c>
      <c r="G34" s="81">
        <v>203030</v>
      </c>
      <c r="H34" s="8" t="s">
        <v>1389</v>
      </c>
      <c r="I34" s="49"/>
      <c r="J34" s="144"/>
      <c r="K34" s="144"/>
      <c r="L34" s="144"/>
      <c r="M34" s="89"/>
    </row>
    <row r="35" spans="1:13" s="3" customFormat="1" ht="20.25" customHeight="1" x14ac:dyDescent="0.4">
      <c r="A35" s="482">
        <v>46112</v>
      </c>
      <c r="B35" s="110" t="s">
        <v>556</v>
      </c>
      <c r="C35" s="29" t="s">
        <v>47</v>
      </c>
      <c r="D35" s="110" t="s">
        <v>48</v>
      </c>
      <c r="E35" s="110"/>
      <c r="F35" s="8">
        <v>97</v>
      </c>
      <c r="G35" s="81">
        <v>231760</v>
      </c>
      <c r="H35" s="8">
        <f t="shared" si="1"/>
        <v>22480720</v>
      </c>
      <c r="I35" s="49"/>
      <c r="J35" s="144"/>
      <c r="K35" s="144"/>
      <c r="L35" s="144"/>
      <c r="M35" s="89"/>
    </row>
    <row r="36" spans="1:13" s="3" customFormat="1" ht="20.25" customHeight="1" x14ac:dyDescent="0.4">
      <c r="A36" s="482">
        <v>46112</v>
      </c>
      <c r="B36" s="110" t="s">
        <v>556</v>
      </c>
      <c r="C36" s="29" t="s">
        <v>1065</v>
      </c>
      <c r="D36" s="110" t="s">
        <v>1066</v>
      </c>
      <c r="E36" s="110"/>
      <c r="F36" s="8">
        <v>36</v>
      </c>
      <c r="G36" s="81">
        <v>280270</v>
      </c>
      <c r="H36" s="8">
        <f t="shared" si="1"/>
        <v>10089720</v>
      </c>
      <c r="I36" s="49"/>
      <c r="J36" s="144"/>
      <c r="K36" s="144"/>
      <c r="L36" s="144"/>
      <c r="M36" s="89"/>
    </row>
    <row r="37" spans="1:13" s="3" customFormat="1" ht="20.25" customHeight="1" x14ac:dyDescent="0.4">
      <c r="A37" s="482">
        <v>46112</v>
      </c>
      <c r="B37" s="110" t="s">
        <v>556</v>
      </c>
      <c r="C37" s="29" t="s">
        <v>401</v>
      </c>
      <c r="D37" s="110" t="s">
        <v>402</v>
      </c>
      <c r="E37" s="110"/>
      <c r="F37" s="8">
        <v>7</v>
      </c>
      <c r="G37" s="81">
        <v>5972950</v>
      </c>
      <c r="H37" s="8">
        <f>+G37*F37</f>
        <v>41810650</v>
      </c>
      <c r="I37" s="49"/>
      <c r="J37" s="144"/>
      <c r="K37" s="144"/>
      <c r="L37" s="144"/>
      <c r="M37" s="89"/>
    </row>
    <row r="38" spans="1:13" s="3" customFormat="1" ht="20.25" customHeight="1" x14ac:dyDescent="0.4">
      <c r="A38" s="482">
        <v>46112</v>
      </c>
      <c r="B38" s="110" t="s">
        <v>556</v>
      </c>
      <c r="C38" s="29" t="s">
        <v>401</v>
      </c>
      <c r="D38" s="110" t="s">
        <v>402</v>
      </c>
      <c r="E38" s="110"/>
      <c r="F38" s="8">
        <v>3</v>
      </c>
      <c r="G38" s="81">
        <v>6099100</v>
      </c>
      <c r="H38" s="8">
        <f t="shared" si="1"/>
        <v>18297300</v>
      </c>
      <c r="I38" s="49"/>
      <c r="J38" s="144"/>
      <c r="K38" s="144"/>
      <c r="L38" s="144"/>
      <c r="M38" s="89"/>
    </row>
    <row r="39" spans="1:13" s="3" customFormat="1" ht="20.25" customHeight="1" x14ac:dyDescent="0.4">
      <c r="A39" s="482">
        <v>46121</v>
      </c>
      <c r="B39" s="110" t="s">
        <v>556</v>
      </c>
      <c r="C39" s="29" t="s">
        <v>35</v>
      </c>
      <c r="D39" s="110" t="s">
        <v>36</v>
      </c>
      <c r="E39" s="110"/>
      <c r="F39" s="81">
        <v>6</v>
      </c>
      <c r="G39" s="49">
        <v>1259290</v>
      </c>
      <c r="H39" s="8">
        <f>+G39*F39</f>
        <v>7555740</v>
      </c>
      <c r="I39" s="49"/>
      <c r="J39" s="144"/>
      <c r="K39" s="144"/>
      <c r="L39" s="144" t="s">
        <v>1247</v>
      </c>
      <c r="M39" s="89"/>
    </row>
    <row r="40" spans="1:13" s="3" customFormat="1" ht="20.25" customHeight="1" x14ac:dyDescent="0.4">
      <c r="A40" s="482">
        <v>46121</v>
      </c>
      <c r="B40" s="110" t="s">
        <v>556</v>
      </c>
      <c r="C40" s="29" t="s">
        <v>37</v>
      </c>
      <c r="D40" s="110" t="s">
        <v>38</v>
      </c>
      <c r="E40" s="110"/>
      <c r="F40" s="81">
        <v>12</v>
      </c>
      <c r="G40" s="49">
        <v>1278690</v>
      </c>
      <c r="H40" s="8">
        <f t="shared" ref="H40:H69" si="2">+G40*F40</f>
        <v>15344280</v>
      </c>
      <c r="I40" s="49"/>
      <c r="J40" s="144"/>
      <c r="K40" s="144"/>
      <c r="L40" s="144" t="s">
        <v>1247</v>
      </c>
      <c r="M40" s="89"/>
    </row>
    <row r="41" spans="1:13" s="3" customFormat="1" ht="20.25" customHeight="1" x14ac:dyDescent="0.4">
      <c r="A41" s="482">
        <v>46121</v>
      </c>
      <c r="B41" s="110" t="s">
        <v>556</v>
      </c>
      <c r="C41" s="29" t="s">
        <v>37</v>
      </c>
      <c r="D41" s="110" t="s">
        <v>38</v>
      </c>
      <c r="E41" s="110"/>
      <c r="F41" s="81">
        <v>1</v>
      </c>
      <c r="G41" s="49">
        <v>1278690</v>
      </c>
      <c r="H41" s="8">
        <f t="shared" si="2"/>
        <v>1278690</v>
      </c>
      <c r="I41" s="49"/>
      <c r="J41" s="144"/>
      <c r="K41" s="144"/>
      <c r="L41" s="144" t="s">
        <v>1247</v>
      </c>
      <c r="M41" s="89"/>
    </row>
    <row r="42" spans="1:13" s="3" customFormat="1" ht="20.25" customHeight="1" x14ac:dyDescent="0.4">
      <c r="A42" s="482">
        <v>46121</v>
      </c>
      <c r="B42" s="110" t="s">
        <v>556</v>
      </c>
      <c r="C42" s="29" t="s">
        <v>37</v>
      </c>
      <c r="D42" s="110" t="s">
        <v>38</v>
      </c>
      <c r="E42" s="110"/>
      <c r="F42" s="81">
        <v>3</v>
      </c>
      <c r="G42" s="49">
        <v>1278690</v>
      </c>
      <c r="H42" s="8">
        <f t="shared" si="2"/>
        <v>3836070</v>
      </c>
      <c r="I42" s="49"/>
      <c r="J42" s="144"/>
      <c r="K42" s="144"/>
      <c r="L42" s="144" t="s">
        <v>1247</v>
      </c>
      <c r="M42" s="89"/>
    </row>
    <row r="43" spans="1:13" s="3" customFormat="1" ht="20.25" customHeight="1" x14ac:dyDescent="0.4">
      <c r="A43" s="482">
        <v>46121</v>
      </c>
      <c r="B43" s="110" t="s">
        <v>556</v>
      </c>
      <c r="C43" s="29" t="s">
        <v>37</v>
      </c>
      <c r="D43" s="110" t="s">
        <v>38</v>
      </c>
      <c r="E43" s="110"/>
      <c r="F43" s="81">
        <v>2</v>
      </c>
      <c r="G43" s="49">
        <v>1278690</v>
      </c>
      <c r="H43" s="8">
        <f t="shared" si="2"/>
        <v>2557380</v>
      </c>
      <c r="I43" s="49"/>
      <c r="J43" s="144"/>
      <c r="K43" s="144"/>
      <c r="L43" s="144" t="s">
        <v>1247</v>
      </c>
      <c r="M43" s="89"/>
    </row>
    <row r="44" spans="1:13" s="3" customFormat="1" ht="20.25" customHeight="1" x14ac:dyDescent="0.4">
      <c r="A44" s="482">
        <v>46121</v>
      </c>
      <c r="B44" s="110" t="s">
        <v>556</v>
      </c>
      <c r="C44" s="29" t="s">
        <v>37</v>
      </c>
      <c r="D44" s="110" t="s">
        <v>38</v>
      </c>
      <c r="E44" s="110"/>
      <c r="F44" s="81">
        <v>1</v>
      </c>
      <c r="G44" s="49">
        <v>1418400</v>
      </c>
      <c r="H44" s="8">
        <f t="shared" si="2"/>
        <v>1418400</v>
      </c>
      <c r="I44" s="49"/>
      <c r="J44" s="144"/>
      <c r="K44" s="144"/>
      <c r="L44" s="144" t="s">
        <v>1247</v>
      </c>
      <c r="M44" s="89"/>
    </row>
    <row r="45" spans="1:13" s="3" customFormat="1" ht="20.25" customHeight="1" x14ac:dyDescent="0.4">
      <c r="A45" s="482">
        <v>46121</v>
      </c>
      <c r="B45" s="110" t="s">
        <v>556</v>
      </c>
      <c r="C45" s="29" t="s">
        <v>39</v>
      </c>
      <c r="D45" s="110" t="s">
        <v>40</v>
      </c>
      <c r="E45" s="110"/>
      <c r="F45" s="81">
        <v>22</v>
      </c>
      <c r="G45" s="49">
        <v>1380450</v>
      </c>
      <c r="H45" s="8">
        <f t="shared" si="2"/>
        <v>30369900</v>
      </c>
      <c r="I45" s="49"/>
      <c r="J45" s="144"/>
      <c r="K45" s="144"/>
      <c r="L45" s="144" t="s">
        <v>1247</v>
      </c>
      <c r="M45" s="89"/>
    </row>
    <row r="46" spans="1:13" s="3" customFormat="1" ht="20.25" customHeight="1" x14ac:dyDescent="0.4">
      <c r="A46" s="482">
        <v>46121</v>
      </c>
      <c r="B46" s="110" t="s">
        <v>556</v>
      </c>
      <c r="C46" s="29" t="s">
        <v>172</v>
      </c>
      <c r="D46" s="110" t="s">
        <v>173</v>
      </c>
      <c r="E46" s="110"/>
      <c r="F46" s="81">
        <v>101</v>
      </c>
      <c r="G46" s="49">
        <v>246640</v>
      </c>
      <c r="H46" s="8">
        <f t="shared" si="2"/>
        <v>24910640</v>
      </c>
      <c r="I46" s="49"/>
      <c r="J46" s="144"/>
      <c r="K46" s="144"/>
      <c r="L46" s="144" t="s">
        <v>1247</v>
      </c>
      <c r="M46" s="89"/>
    </row>
    <row r="47" spans="1:13" s="3" customFormat="1" ht="20.25" customHeight="1" x14ac:dyDescent="0.4">
      <c r="A47" s="482">
        <v>46121</v>
      </c>
      <c r="B47" s="110" t="s">
        <v>556</v>
      </c>
      <c r="C47" s="29" t="s">
        <v>51</v>
      </c>
      <c r="D47" s="110" t="s">
        <v>52</v>
      </c>
      <c r="E47" s="110"/>
      <c r="F47" s="49">
        <v>7</v>
      </c>
      <c r="G47" s="49">
        <v>139230</v>
      </c>
      <c r="H47" s="8">
        <f t="shared" si="2"/>
        <v>974610</v>
      </c>
      <c r="I47" s="49"/>
      <c r="J47" s="144"/>
      <c r="K47" s="144"/>
      <c r="L47" s="144" t="s">
        <v>1247</v>
      </c>
      <c r="M47" s="89"/>
    </row>
    <row r="48" spans="1:13" s="3" customFormat="1" ht="20.25" customHeight="1" x14ac:dyDescent="0.4">
      <c r="A48" s="482">
        <v>46121</v>
      </c>
      <c r="B48" s="110" t="s">
        <v>556</v>
      </c>
      <c r="C48" s="29" t="s">
        <v>51</v>
      </c>
      <c r="D48" s="110" t="s">
        <v>52</v>
      </c>
      <c r="E48" s="110"/>
      <c r="F48" s="49">
        <v>1</v>
      </c>
      <c r="G48" s="49">
        <v>139230</v>
      </c>
      <c r="H48" s="8">
        <f t="shared" si="2"/>
        <v>139230</v>
      </c>
      <c r="I48" s="49"/>
      <c r="J48" s="144"/>
      <c r="K48" s="144"/>
      <c r="L48" s="144" t="s">
        <v>1247</v>
      </c>
      <c r="M48" s="89"/>
    </row>
    <row r="49" spans="1:13" s="3" customFormat="1" ht="20.25" customHeight="1" x14ac:dyDescent="0.4">
      <c r="A49" s="482">
        <v>46121</v>
      </c>
      <c r="B49" s="110" t="s">
        <v>556</v>
      </c>
      <c r="C49" s="29" t="s">
        <v>51</v>
      </c>
      <c r="D49" s="110" t="s">
        <v>52</v>
      </c>
      <c r="E49" s="110"/>
      <c r="F49" s="49">
        <v>3</v>
      </c>
      <c r="G49" s="49">
        <v>151900</v>
      </c>
      <c r="H49" s="8">
        <f t="shared" si="2"/>
        <v>455700</v>
      </c>
      <c r="I49" s="49"/>
      <c r="J49" s="144"/>
      <c r="K49" s="144"/>
      <c r="L49" s="144" t="s">
        <v>1247</v>
      </c>
      <c r="M49" s="89"/>
    </row>
    <row r="50" spans="1:13" s="3" customFormat="1" ht="20.25" customHeight="1" x14ac:dyDescent="0.4">
      <c r="A50" s="482">
        <v>46121</v>
      </c>
      <c r="B50" s="110" t="s">
        <v>556</v>
      </c>
      <c r="C50" s="29" t="s">
        <v>51</v>
      </c>
      <c r="D50" s="110" t="s">
        <v>52</v>
      </c>
      <c r="E50" s="110"/>
      <c r="F50" s="49">
        <v>1</v>
      </c>
      <c r="G50" s="49">
        <v>151900</v>
      </c>
      <c r="H50" s="8">
        <f t="shared" si="2"/>
        <v>151900</v>
      </c>
      <c r="I50" s="49"/>
      <c r="J50" s="144"/>
      <c r="K50" s="144"/>
      <c r="L50" s="144" t="s">
        <v>1247</v>
      </c>
      <c r="M50" s="89"/>
    </row>
    <row r="51" spans="1:13" s="3" customFormat="1" ht="20.25" customHeight="1" x14ac:dyDescent="0.4">
      <c r="A51" s="482">
        <v>46121</v>
      </c>
      <c r="B51" s="110" t="s">
        <v>556</v>
      </c>
      <c r="C51" s="29" t="s">
        <v>51</v>
      </c>
      <c r="D51" s="110" t="s">
        <v>52</v>
      </c>
      <c r="E51" s="110"/>
      <c r="F51" s="49">
        <v>22</v>
      </c>
      <c r="G51" s="49">
        <v>151900</v>
      </c>
      <c r="H51" s="8">
        <f t="shared" si="2"/>
        <v>3341800</v>
      </c>
      <c r="I51" s="49"/>
      <c r="J51" s="144"/>
      <c r="K51" s="144"/>
      <c r="L51" s="144" t="s">
        <v>1247</v>
      </c>
      <c r="M51" s="89"/>
    </row>
    <row r="52" spans="1:13" s="3" customFormat="1" ht="20.25" customHeight="1" x14ac:dyDescent="0.4">
      <c r="A52" s="482">
        <v>46121</v>
      </c>
      <c r="B52" s="110" t="s">
        <v>556</v>
      </c>
      <c r="C52" s="29" t="s">
        <v>51</v>
      </c>
      <c r="D52" s="110" t="s">
        <v>52</v>
      </c>
      <c r="E52" s="110"/>
      <c r="F52" s="49">
        <v>2</v>
      </c>
      <c r="G52" s="49">
        <v>151900</v>
      </c>
      <c r="H52" s="8">
        <f t="shared" si="2"/>
        <v>303800</v>
      </c>
      <c r="I52" s="49"/>
      <c r="J52" s="144"/>
      <c r="K52" s="144"/>
      <c r="L52" s="144" t="s">
        <v>1247</v>
      </c>
      <c r="M52" s="89"/>
    </row>
    <row r="53" spans="1:13" s="3" customFormat="1" ht="20.25" customHeight="1" x14ac:dyDescent="0.4">
      <c r="A53" s="482">
        <v>46136</v>
      </c>
      <c r="B53" s="110" t="s">
        <v>556</v>
      </c>
      <c r="C53" s="29" t="s">
        <v>39</v>
      </c>
      <c r="D53" s="110" t="s">
        <v>40</v>
      </c>
      <c r="E53" s="110"/>
      <c r="F53" s="81">
        <v>36</v>
      </c>
      <c r="G53" s="49">
        <v>1380450</v>
      </c>
      <c r="H53" s="8">
        <f t="shared" si="2"/>
        <v>49696200</v>
      </c>
      <c r="I53" s="49"/>
      <c r="J53" s="144"/>
      <c r="K53" s="144"/>
      <c r="L53" s="144" t="s">
        <v>1247</v>
      </c>
      <c r="M53" s="89"/>
    </row>
    <row r="54" spans="1:13" s="3" customFormat="1" ht="20.25" customHeight="1" x14ac:dyDescent="0.4">
      <c r="A54" s="482">
        <v>46142</v>
      </c>
      <c r="B54" s="110" t="s">
        <v>556</v>
      </c>
      <c r="C54" s="29" t="s">
        <v>1248</v>
      </c>
      <c r="D54" s="110" t="s">
        <v>1249</v>
      </c>
      <c r="E54" s="110" t="s">
        <v>17</v>
      </c>
      <c r="F54" s="347">
        <v>80</v>
      </c>
      <c r="G54" s="49">
        <v>174080</v>
      </c>
      <c r="H54" s="8">
        <f t="shared" si="2"/>
        <v>13926400</v>
      </c>
      <c r="I54" s="49" t="s">
        <v>1382</v>
      </c>
      <c r="J54" s="144"/>
      <c r="K54" s="144"/>
      <c r="L54" s="144"/>
      <c r="M54" s="89"/>
    </row>
    <row r="55" spans="1:13" s="3" customFormat="1" ht="20.25" customHeight="1" x14ac:dyDescent="0.4">
      <c r="A55" s="482">
        <v>46142</v>
      </c>
      <c r="B55" s="110" t="s">
        <v>556</v>
      </c>
      <c r="C55" s="29" t="s">
        <v>1250</v>
      </c>
      <c r="D55" s="110" t="s">
        <v>1251</v>
      </c>
      <c r="E55" s="110" t="s">
        <v>17</v>
      </c>
      <c r="F55" s="347">
        <v>80</v>
      </c>
      <c r="G55" s="49">
        <v>231760</v>
      </c>
      <c r="H55" s="8">
        <f t="shared" si="2"/>
        <v>18540800</v>
      </c>
      <c r="I55" s="49" t="s">
        <v>1382</v>
      </c>
      <c r="J55" s="144"/>
      <c r="K55" s="144"/>
      <c r="L55" s="144"/>
      <c r="M55" s="89"/>
    </row>
    <row r="56" spans="1:13" s="3" customFormat="1" ht="20.25" customHeight="1" x14ac:dyDescent="0.4">
      <c r="A56" s="482">
        <v>46142</v>
      </c>
      <c r="B56" s="110" t="s">
        <v>556</v>
      </c>
      <c r="C56" s="29" t="s">
        <v>1252</v>
      </c>
      <c r="D56" s="110" t="s">
        <v>1253</v>
      </c>
      <c r="E56" s="110" t="s">
        <v>13</v>
      </c>
      <c r="F56" s="347">
        <v>6</v>
      </c>
      <c r="G56" s="49">
        <v>1259290</v>
      </c>
      <c r="H56" s="8">
        <f t="shared" si="2"/>
        <v>7555740</v>
      </c>
      <c r="I56" s="49" t="s">
        <v>1382</v>
      </c>
      <c r="J56" s="144"/>
      <c r="K56" s="144"/>
      <c r="L56" s="144"/>
      <c r="M56" s="89"/>
    </row>
    <row r="57" spans="1:13" s="3" customFormat="1" ht="20.25" customHeight="1" x14ac:dyDescent="0.4">
      <c r="A57" s="482">
        <v>46142</v>
      </c>
      <c r="B57" s="110" t="s">
        <v>556</v>
      </c>
      <c r="C57" s="29" t="s">
        <v>1254</v>
      </c>
      <c r="D57" s="110">
        <v>7060740317</v>
      </c>
      <c r="E57" s="110" t="s">
        <v>13</v>
      </c>
      <c r="F57" s="347">
        <v>38</v>
      </c>
      <c r="G57" s="49">
        <v>437000</v>
      </c>
      <c r="H57" s="8">
        <f t="shared" si="2"/>
        <v>16606000</v>
      </c>
      <c r="I57" s="49" t="s">
        <v>1382</v>
      </c>
      <c r="J57" s="144"/>
      <c r="K57" s="144"/>
      <c r="L57" s="144"/>
      <c r="M57" s="89"/>
    </row>
    <row r="58" spans="1:13" s="3" customFormat="1" ht="20.25" customHeight="1" x14ac:dyDescent="0.4">
      <c r="A58" s="482">
        <v>46142</v>
      </c>
      <c r="B58" s="110" t="s">
        <v>556</v>
      </c>
      <c r="C58" s="29" t="s">
        <v>1255</v>
      </c>
      <c r="D58" s="110">
        <v>7060741009</v>
      </c>
      <c r="E58" s="110" t="s">
        <v>13</v>
      </c>
      <c r="F58" s="347">
        <v>35</v>
      </c>
      <c r="G58" s="49">
        <v>524800</v>
      </c>
      <c r="H58" s="8">
        <f t="shared" si="2"/>
        <v>18368000</v>
      </c>
      <c r="I58" s="49" t="s">
        <v>1382</v>
      </c>
      <c r="J58" s="144"/>
      <c r="K58" s="144"/>
      <c r="L58" s="144"/>
      <c r="M58" s="89"/>
    </row>
    <row r="59" spans="1:13" s="3" customFormat="1" ht="20.25" customHeight="1" x14ac:dyDescent="0.4">
      <c r="A59" s="483"/>
      <c r="B59" s="194"/>
      <c r="C59" s="40"/>
      <c r="D59" s="194"/>
      <c r="E59" s="194"/>
      <c r="F59" s="91"/>
      <c r="G59" s="138"/>
      <c r="H59" s="138">
        <f>SUM(H26:H53)</f>
        <v>367770180</v>
      </c>
      <c r="I59" s="138"/>
      <c r="J59" s="145"/>
      <c r="K59" s="145"/>
      <c r="L59" s="145"/>
      <c r="M59" s="89"/>
    </row>
    <row r="60" spans="1:13" s="3" customFormat="1" ht="20.25" customHeight="1" x14ac:dyDescent="0.4">
      <c r="A60" s="482">
        <v>46132</v>
      </c>
      <c r="B60" s="110" t="s">
        <v>1256</v>
      </c>
      <c r="C60" s="29" t="s">
        <v>345</v>
      </c>
      <c r="D60" s="110" t="s">
        <v>676</v>
      </c>
      <c r="E60" s="110" t="s">
        <v>17</v>
      </c>
      <c r="F60" s="81">
        <v>20</v>
      </c>
      <c r="G60" s="49">
        <v>253250</v>
      </c>
      <c r="H60" s="8">
        <f t="shared" si="2"/>
        <v>5065000</v>
      </c>
      <c r="I60" s="49"/>
      <c r="J60" s="144"/>
      <c r="K60" s="144"/>
      <c r="L60" s="140" t="s">
        <v>1247</v>
      </c>
      <c r="M60" s="89"/>
    </row>
    <row r="61" spans="1:13" s="3" customFormat="1" ht="20.25" customHeight="1" x14ac:dyDescent="0.4">
      <c r="A61" s="482">
        <v>46132</v>
      </c>
      <c r="B61" s="110" t="s">
        <v>1256</v>
      </c>
      <c r="C61" s="29" t="s">
        <v>56</v>
      </c>
      <c r="D61" s="110" t="s">
        <v>346</v>
      </c>
      <c r="E61" s="110" t="s">
        <v>17</v>
      </c>
      <c r="F61" s="81">
        <v>36</v>
      </c>
      <c r="G61" s="49">
        <v>216548</v>
      </c>
      <c r="H61" s="8">
        <f t="shared" si="2"/>
        <v>7795728</v>
      </c>
      <c r="I61" s="49"/>
      <c r="J61" s="144"/>
      <c r="K61" s="144"/>
      <c r="L61" s="140" t="s">
        <v>1247</v>
      </c>
      <c r="M61" s="89"/>
    </row>
    <row r="62" spans="1:13" s="521" customFormat="1" ht="20.25" customHeight="1" x14ac:dyDescent="0.4">
      <c r="A62" s="515">
        <v>46132</v>
      </c>
      <c r="B62" s="516" t="s">
        <v>1256</v>
      </c>
      <c r="C62" s="517" t="s">
        <v>1257</v>
      </c>
      <c r="D62" s="516" t="s">
        <v>1258</v>
      </c>
      <c r="E62" s="516" t="s">
        <v>17</v>
      </c>
      <c r="F62" s="414">
        <v>36</v>
      </c>
      <c r="G62" s="414">
        <v>260099</v>
      </c>
      <c r="H62" s="518"/>
      <c r="I62" s="414" t="s">
        <v>1380</v>
      </c>
      <c r="J62" s="412"/>
      <c r="K62" s="412"/>
      <c r="L62" s="519" t="s">
        <v>1247</v>
      </c>
      <c r="M62" s="520"/>
    </row>
    <row r="63" spans="1:13" s="521" customFormat="1" ht="20.25" customHeight="1" x14ac:dyDescent="0.4">
      <c r="A63" s="515">
        <v>46137</v>
      </c>
      <c r="B63" s="516" t="s">
        <v>1256</v>
      </c>
      <c r="C63" s="517" t="s">
        <v>56</v>
      </c>
      <c r="D63" s="516" t="s">
        <v>1259</v>
      </c>
      <c r="E63" s="516" t="s">
        <v>17</v>
      </c>
      <c r="F63" s="414">
        <f>36+24</f>
        <v>60</v>
      </c>
      <c r="G63" s="414">
        <v>260099</v>
      </c>
      <c r="H63" s="518"/>
      <c r="I63" s="414" t="s">
        <v>1380</v>
      </c>
      <c r="J63" s="412"/>
      <c r="K63" s="412"/>
      <c r="L63" s="519" t="s">
        <v>1247</v>
      </c>
      <c r="M63" s="520"/>
    </row>
    <row r="64" spans="1:13" s="3" customFormat="1" ht="20.25" customHeight="1" x14ac:dyDescent="0.4">
      <c r="A64" s="482">
        <v>46137</v>
      </c>
      <c r="B64" s="110" t="s">
        <v>1256</v>
      </c>
      <c r="C64" s="29" t="s">
        <v>56</v>
      </c>
      <c r="D64" s="110" t="s">
        <v>346</v>
      </c>
      <c r="E64" s="110" t="s">
        <v>17</v>
      </c>
      <c r="F64" s="81">
        <f>36+27</f>
        <v>63</v>
      </c>
      <c r="G64" s="49">
        <v>216548</v>
      </c>
      <c r="H64" s="8">
        <f t="shared" si="2"/>
        <v>13642524</v>
      </c>
      <c r="I64" s="522"/>
      <c r="J64" s="144"/>
      <c r="K64" s="144"/>
      <c r="L64" s="140" t="s">
        <v>1247</v>
      </c>
      <c r="M64" s="89"/>
    </row>
    <row r="65" spans="1:13" s="3" customFormat="1" ht="20.25" customHeight="1" x14ac:dyDescent="0.4">
      <c r="A65" s="482">
        <v>46137</v>
      </c>
      <c r="B65" s="110" t="s">
        <v>1256</v>
      </c>
      <c r="C65" s="29" t="s">
        <v>345</v>
      </c>
      <c r="D65" s="110" t="s">
        <v>1381</v>
      </c>
      <c r="E65" s="110" t="s">
        <v>17</v>
      </c>
      <c r="F65" s="81">
        <v>36</v>
      </c>
      <c r="G65" s="49">
        <v>215331</v>
      </c>
      <c r="H65" s="8">
        <f t="shared" si="2"/>
        <v>7751916</v>
      </c>
      <c r="I65" s="523"/>
      <c r="J65" s="144"/>
      <c r="K65" s="144"/>
      <c r="L65" s="140" t="s">
        <v>1247</v>
      </c>
      <c r="M65" s="89"/>
    </row>
    <row r="66" spans="1:13" s="3" customFormat="1" ht="20.25" customHeight="1" x14ac:dyDescent="0.4">
      <c r="A66" s="482">
        <v>46141</v>
      </c>
      <c r="B66" s="110" t="s">
        <v>1256</v>
      </c>
      <c r="C66" s="29" t="s">
        <v>56</v>
      </c>
      <c r="D66" s="110" t="s">
        <v>1260</v>
      </c>
      <c r="E66" s="110" t="s">
        <v>17</v>
      </c>
      <c r="F66" s="81">
        <v>41</v>
      </c>
      <c r="G66" s="49">
        <v>215331</v>
      </c>
      <c r="H66" s="8">
        <f t="shared" si="2"/>
        <v>8828571</v>
      </c>
      <c r="I66" s="523"/>
      <c r="J66" s="144"/>
      <c r="K66" s="144"/>
      <c r="L66" s="140" t="s">
        <v>1247</v>
      </c>
      <c r="M66" s="89"/>
    </row>
    <row r="67" spans="1:13" s="3" customFormat="1" ht="20.25" customHeight="1" x14ac:dyDescent="0.4">
      <c r="A67" s="482">
        <v>46142</v>
      </c>
      <c r="B67" s="110" t="s">
        <v>1256</v>
      </c>
      <c r="C67" s="29" t="s">
        <v>56</v>
      </c>
      <c r="D67" s="110" t="s">
        <v>675</v>
      </c>
      <c r="E67" s="110" t="s">
        <v>17</v>
      </c>
      <c r="F67" s="81">
        <v>-13</v>
      </c>
      <c r="G67" s="49">
        <v>251842</v>
      </c>
      <c r="H67" s="8">
        <f t="shared" si="2"/>
        <v>-3273946</v>
      </c>
      <c r="I67" s="523"/>
      <c r="J67" s="144"/>
      <c r="K67" s="144"/>
      <c r="L67" s="140"/>
      <c r="M67" s="89"/>
    </row>
    <row r="68" spans="1:13" s="3" customFormat="1" ht="20.25" customHeight="1" x14ac:dyDescent="0.4">
      <c r="A68" s="482">
        <v>46142</v>
      </c>
      <c r="B68" s="110" t="s">
        <v>1256</v>
      </c>
      <c r="C68" s="29" t="s">
        <v>56</v>
      </c>
      <c r="D68" s="110" t="s">
        <v>281</v>
      </c>
      <c r="E68" s="110" t="s">
        <v>17</v>
      </c>
      <c r="F68" s="81">
        <v>-2</v>
      </c>
      <c r="G68" s="49">
        <v>216548</v>
      </c>
      <c r="H68" s="8">
        <f t="shared" si="2"/>
        <v>-433096</v>
      </c>
      <c r="I68" s="49"/>
      <c r="J68" s="144"/>
      <c r="K68" s="144"/>
      <c r="L68" s="140" t="s">
        <v>1247</v>
      </c>
      <c r="M68" s="89"/>
    </row>
    <row r="69" spans="1:13" s="3" customFormat="1" ht="20.25" customHeight="1" x14ac:dyDescent="0.4">
      <c r="A69" s="482">
        <v>46142</v>
      </c>
      <c r="B69" s="110" t="s">
        <v>1256</v>
      </c>
      <c r="C69" s="29" t="s">
        <v>56</v>
      </c>
      <c r="D69" s="110" t="s">
        <v>377</v>
      </c>
      <c r="E69" s="110" t="s">
        <v>17</v>
      </c>
      <c r="F69" s="81">
        <v>-1</v>
      </c>
      <c r="G69" s="49">
        <v>253250</v>
      </c>
      <c r="H69" s="8">
        <f t="shared" si="2"/>
        <v>-253250</v>
      </c>
      <c r="I69" s="49"/>
      <c r="J69" s="144"/>
      <c r="K69" s="144"/>
      <c r="L69" s="140" t="s">
        <v>1247</v>
      </c>
      <c r="M69" s="89"/>
    </row>
    <row r="70" spans="1:13" s="3" customFormat="1" ht="20.25" customHeight="1" x14ac:dyDescent="0.4">
      <c r="A70" s="483"/>
      <c r="B70" s="194"/>
      <c r="C70" s="40"/>
      <c r="D70" s="194"/>
      <c r="E70" s="194"/>
      <c r="F70" s="91"/>
      <c r="G70" s="138"/>
      <c r="H70" s="138">
        <f>SUM(H60:H69)</f>
        <v>39123447</v>
      </c>
      <c r="I70" s="138"/>
      <c r="J70" s="145"/>
      <c r="K70" s="145"/>
      <c r="L70" s="145"/>
      <c r="M70" s="89"/>
    </row>
    <row r="71" spans="1:13" s="50" customFormat="1" ht="18.75" customHeight="1" x14ac:dyDescent="0.4">
      <c r="A71" s="540">
        <v>46107</v>
      </c>
      <c r="B71" s="541" t="s">
        <v>869</v>
      </c>
      <c r="C71" s="542" t="s">
        <v>181</v>
      </c>
      <c r="D71" s="543">
        <v>61541861</v>
      </c>
      <c r="E71" s="544" t="s">
        <v>13</v>
      </c>
      <c r="F71" s="545">
        <v>5</v>
      </c>
      <c r="G71" s="546">
        <v>2275670</v>
      </c>
      <c r="H71" s="545">
        <f t="shared" ref="H71:H86" si="3">F71*G71</f>
        <v>11378350</v>
      </c>
      <c r="I71" s="547" t="s">
        <v>1384</v>
      </c>
      <c r="J71" s="67"/>
      <c r="K71" s="67"/>
      <c r="L71" s="67" t="s">
        <v>1068</v>
      </c>
    </row>
    <row r="72" spans="1:13" s="50" customFormat="1" ht="18.75" customHeight="1" x14ac:dyDescent="0.4">
      <c r="A72" s="540">
        <v>46107</v>
      </c>
      <c r="B72" s="541" t="s">
        <v>869</v>
      </c>
      <c r="C72" s="542" t="s">
        <v>182</v>
      </c>
      <c r="D72" s="543">
        <v>61541862</v>
      </c>
      <c r="E72" s="544" t="s">
        <v>13</v>
      </c>
      <c r="F72" s="545">
        <v>5</v>
      </c>
      <c r="G72" s="546">
        <v>2275670</v>
      </c>
      <c r="H72" s="545">
        <f t="shared" si="3"/>
        <v>11378350</v>
      </c>
      <c r="I72" s="547" t="s">
        <v>1384</v>
      </c>
      <c r="J72" s="67"/>
      <c r="K72" s="67"/>
      <c r="L72" s="67" t="s">
        <v>1068</v>
      </c>
    </row>
    <row r="73" spans="1:13" s="50" customFormat="1" ht="18.75" customHeight="1" x14ac:dyDescent="0.4">
      <c r="A73" s="540">
        <v>46107</v>
      </c>
      <c r="B73" s="541" t="s">
        <v>869</v>
      </c>
      <c r="C73" s="547" t="s">
        <v>183</v>
      </c>
      <c r="D73" s="543">
        <v>61541863</v>
      </c>
      <c r="E73" s="544" t="s">
        <v>184</v>
      </c>
      <c r="F73" s="545">
        <v>5</v>
      </c>
      <c r="G73" s="546">
        <v>44000</v>
      </c>
      <c r="H73" s="545">
        <f t="shared" si="3"/>
        <v>220000</v>
      </c>
      <c r="I73" s="547" t="s">
        <v>1384</v>
      </c>
      <c r="J73" s="67"/>
      <c r="K73" s="67"/>
      <c r="L73" s="67" t="s">
        <v>1068</v>
      </c>
    </row>
    <row r="74" spans="1:13" s="50" customFormat="1" ht="18.75" customHeight="1" x14ac:dyDescent="0.4">
      <c r="A74" s="540">
        <v>46107</v>
      </c>
      <c r="B74" s="541" t="s">
        <v>869</v>
      </c>
      <c r="C74" s="547" t="s">
        <v>183</v>
      </c>
      <c r="D74" s="543">
        <v>61541864</v>
      </c>
      <c r="E74" s="544" t="s">
        <v>184</v>
      </c>
      <c r="F74" s="545">
        <v>5</v>
      </c>
      <c r="G74" s="546">
        <v>44000</v>
      </c>
      <c r="H74" s="545">
        <f t="shared" si="3"/>
        <v>220000</v>
      </c>
      <c r="I74" s="547" t="s">
        <v>1384</v>
      </c>
      <c r="J74" s="67"/>
      <c r="K74" s="67"/>
      <c r="L74" s="67" t="s">
        <v>1068</v>
      </c>
    </row>
    <row r="75" spans="1:13" s="50" customFormat="1" ht="18.75" customHeight="1" x14ac:dyDescent="0.4">
      <c r="A75" s="540">
        <v>46107</v>
      </c>
      <c r="B75" s="541" t="s">
        <v>869</v>
      </c>
      <c r="C75" s="547" t="s">
        <v>185</v>
      </c>
      <c r="D75" s="543">
        <v>61541865</v>
      </c>
      <c r="E75" s="544" t="s">
        <v>184</v>
      </c>
      <c r="F75" s="545">
        <v>10</v>
      </c>
      <c r="G75" s="546">
        <v>14700</v>
      </c>
      <c r="H75" s="545">
        <f t="shared" si="3"/>
        <v>147000</v>
      </c>
      <c r="I75" s="547" t="s">
        <v>1384</v>
      </c>
      <c r="J75" s="67"/>
      <c r="K75" s="67"/>
      <c r="L75" s="67" t="s">
        <v>1068</v>
      </c>
    </row>
    <row r="76" spans="1:13" s="50" customFormat="1" ht="18.75" customHeight="1" x14ac:dyDescent="0.4">
      <c r="A76" s="540">
        <v>46119</v>
      </c>
      <c r="B76" s="541" t="s">
        <v>869</v>
      </c>
      <c r="C76" s="542" t="s">
        <v>181</v>
      </c>
      <c r="D76" s="543">
        <v>61541861</v>
      </c>
      <c r="E76" s="544" t="s">
        <v>13</v>
      </c>
      <c r="F76" s="545">
        <v>10</v>
      </c>
      <c r="G76" s="546">
        <v>2275670</v>
      </c>
      <c r="H76" s="545">
        <f t="shared" si="3"/>
        <v>22756700</v>
      </c>
      <c r="I76" s="547" t="s">
        <v>1384</v>
      </c>
      <c r="J76" s="67"/>
      <c r="K76" s="67"/>
      <c r="L76" s="67"/>
    </row>
    <row r="77" spans="1:13" s="50" customFormat="1" ht="18.75" customHeight="1" x14ac:dyDescent="0.4">
      <c r="A77" s="540">
        <v>46119</v>
      </c>
      <c r="B77" s="541" t="s">
        <v>869</v>
      </c>
      <c r="C77" s="542" t="s">
        <v>182</v>
      </c>
      <c r="D77" s="543">
        <v>61541862</v>
      </c>
      <c r="E77" s="544" t="s">
        <v>13</v>
      </c>
      <c r="F77" s="545">
        <v>10</v>
      </c>
      <c r="G77" s="546">
        <v>2275670</v>
      </c>
      <c r="H77" s="545">
        <f t="shared" si="3"/>
        <v>22756700</v>
      </c>
      <c r="I77" s="547" t="s">
        <v>1384</v>
      </c>
      <c r="J77" s="67"/>
      <c r="K77" s="67"/>
      <c r="L77" s="67"/>
    </row>
    <row r="78" spans="1:13" s="50" customFormat="1" ht="18.75" customHeight="1" x14ac:dyDescent="0.4">
      <c r="A78" s="540">
        <v>46119</v>
      </c>
      <c r="B78" s="541" t="s">
        <v>869</v>
      </c>
      <c r="C78" s="547" t="s">
        <v>183</v>
      </c>
      <c r="D78" s="543">
        <v>61541863</v>
      </c>
      <c r="E78" s="544" t="s">
        <v>184</v>
      </c>
      <c r="F78" s="545">
        <v>10</v>
      </c>
      <c r="G78" s="546">
        <v>44000</v>
      </c>
      <c r="H78" s="545">
        <f t="shared" si="3"/>
        <v>440000</v>
      </c>
      <c r="I78" s="547" t="s">
        <v>1384</v>
      </c>
      <c r="J78" s="67"/>
      <c r="K78" s="67"/>
      <c r="L78" s="67"/>
    </row>
    <row r="79" spans="1:13" s="50" customFormat="1" ht="18.75" customHeight="1" x14ac:dyDescent="0.4">
      <c r="A79" s="540">
        <v>46119</v>
      </c>
      <c r="B79" s="541" t="s">
        <v>869</v>
      </c>
      <c r="C79" s="547" t="s">
        <v>183</v>
      </c>
      <c r="D79" s="543">
        <v>61541864</v>
      </c>
      <c r="E79" s="544" t="s">
        <v>184</v>
      </c>
      <c r="F79" s="545">
        <v>10</v>
      </c>
      <c r="G79" s="546">
        <v>44000</v>
      </c>
      <c r="H79" s="545">
        <f t="shared" si="3"/>
        <v>440000</v>
      </c>
      <c r="I79" s="547" t="s">
        <v>1384</v>
      </c>
      <c r="J79" s="67"/>
      <c r="K79" s="67"/>
      <c r="L79" s="67"/>
    </row>
    <row r="80" spans="1:13" s="50" customFormat="1" ht="18.75" customHeight="1" x14ac:dyDescent="0.4">
      <c r="A80" s="540">
        <v>46119</v>
      </c>
      <c r="B80" s="541" t="s">
        <v>869</v>
      </c>
      <c r="C80" s="547" t="s">
        <v>185</v>
      </c>
      <c r="D80" s="543">
        <v>61541865</v>
      </c>
      <c r="E80" s="544" t="s">
        <v>184</v>
      </c>
      <c r="F80" s="545">
        <v>20</v>
      </c>
      <c r="G80" s="546">
        <v>14700</v>
      </c>
      <c r="H80" s="545">
        <f t="shared" si="3"/>
        <v>294000</v>
      </c>
      <c r="I80" s="547" t="s">
        <v>1384</v>
      </c>
      <c r="J80" s="67"/>
      <c r="K80" s="67"/>
      <c r="L80" s="67"/>
    </row>
    <row r="81" spans="1:13" s="50" customFormat="1" ht="18.75" customHeight="1" x14ac:dyDescent="0.4">
      <c r="A81" s="485"/>
      <c r="B81" s="46"/>
      <c r="C81" s="67" t="s">
        <v>1391</v>
      </c>
      <c r="D81" s="42"/>
      <c r="E81" s="1"/>
      <c r="F81" s="36"/>
      <c r="G81" s="7"/>
      <c r="H81" s="36">
        <v>-27754163</v>
      </c>
      <c r="I81" s="67"/>
      <c r="J81" s="67"/>
      <c r="K81" s="67"/>
      <c r="L81" s="67"/>
    </row>
    <row r="82" spans="1:13" s="50" customFormat="1" ht="18.75" customHeight="1" x14ac:dyDescent="0.4">
      <c r="A82" s="484">
        <v>46142</v>
      </c>
      <c r="B82" s="46" t="s">
        <v>869</v>
      </c>
      <c r="C82" s="6" t="s">
        <v>181</v>
      </c>
      <c r="D82" s="42">
        <v>61541861</v>
      </c>
      <c r="E82" s="1" t="s">
        <v>13</v>
      </c>
      <c r="F82" s="36">
        <v>5</v>
      </c>
      <c r="G82" s="7">
        <v>2275670</v>
      </c>
      <c r="H82" s="36">
        <f t="shared" si="3"/>
        <v>11378350</v>
      </c>
      <c r="I82" s="67" t="s">
        <v>1261</v>
      </c>
      <c r="J82" s="67"/>
      <c r="K82" s="67"/>
      <c r="L82" s="67" t="s">
        <v>1247</v>
      </c>
    </row>
    <row r="83" spans="1:13" s="50" customFormat="1" ht="18.75" customHeight="1" x14ac:dyDescent="0.4">
      <c r="A83" s="484">
        <v>46142</v>
      </c>
      <c r="B83" s="46" t="s">
        <v>869</v>
      </c>
      <c r="C83" s="6" t="s">
        <v>182</v>
      </c>
      <c r="D83" s="42">
        <v>61541862</v>
      </c>
      <c r="E83" s="1" t="s">
        <v>13</v>
      </c>
      <c r="F83" s="36">
        <v>5</v>
      </c>
      <c r="G83" s="7">
        <v>2275670</v>
      </c>
      <c r="H83" s="36">
        <f t="shared" si="3"/>
        <v>11378350</v>
      </c>
      <c r="I83" s="67" t="s">
        <v>1261</v>
      </c>
      <c r="J83" s="67"/>
      <c r="K83" s="67"/>
      <c r="L83" s="67" t="s">
        <v>1247</v>
      </c>
    </row>
    <row r="84" spans="1:13" s="50" customFormat="1" ht="18.75" customHeight="1" x14ac:dyDescent="0.4">
      <c r="A84" s="484">
        <v>46142</v>
      </c>
      <c r="B84" s="46" t="s">
        <v>869</v>
      </c>
      <c r="C84" s="67" t="s">
        <v>183</v>
      </c>
      <c r="D84" s="42">
        <v>61541863</v>
      </c>
      <c r="E84" s="1" t="s">
        <v>184</v>
      </c>
      <c r="F84" s="36">
        <v>5</v>
      </c>
      <c r="G84" s="7">
        <v>44000</v>
      </c>
      <c r="H84" s="36">
        <f t="shared" si="3"/>
        <v>220000</v>
      </c>
      <c r="I84" s="67" t="s">
        <v>1261</v>
      </c>
      <c r="J84" s="67"/>
      <c r="K84" s="67"/>
      <c r="L84" s="67" t="s">
        <v>1247</v>
      </c>
    </row>
    <row r="85" spans="1:13" s="50" customFormat="1" ht="18.75" customHeight="1" x14ac:dyDescent="0.4">
      <c r="A85" s="484">
        <v>46142</v>
      </c>
      <c r="B85" s="46" t="s">
        <v>869</v>
      </c>
      <c r="C85" s="67" t="s">
        <v>183</v>
      </c>
      <c r="D85" s="42">
        <v>61541864</v>
      </c>
      <c r="E85" s="1" t="s">
        <v>184</v>
      </c>
      <c r="F85" s="36">
        <v>5</v>
      </c>
      <c r="G85" s="7">
        <v>44000</v>
      </c>
      <c r="H85" s="36">
        <f t="shared" si="3"/>
        <v>220000</v>
      </c>
      <c r="I85" s="67" t="s">
        <v>1261</v>
      </c>
      <c r="J85" s="67"/>
      <c r="K85" s="67"/>
      <c r="L85" s="67" t="s">
        <v>1247</v>
      </c>
    </row>
    <row r="86" spans="1:13" s="50" customFormat="1" ht="18.75" customHeight="1" x14ac:dyDescent="0.4">
      <c r="A86" s="484">
        <v>46142</v>
      </c>
      <c r="B86" s="46" t="s">
        <v>869</v>
      </c>
      <c r="C86" s="67" t="s">
        <v>185</v>
      </c>
      <c r="D86" s="42">
        <v>61541865</v>
      </c>
      <c r="E86" s="1" t="s">
        <v>184</v>
      </c>
      <c r="F86" s="36">
        <v>10</v>
      </c>
      <c r="G86" s="7">
        <v>14700</v>
      </c>
      <c r="H86" s="36">
        <f t="shared" si="3"/>
        <v>147000</v>
      </c>
      <c r="I86" s="67" t="s">
        <v>1261</v>
      </c>
      <c r="J86" s="67"/>
      <c r="K86" s="67"/>
      <c r="L86" s="67" t="s">
        <v>1247</v>
      </c>
    </row>
    <row r="87" spans="1:13" s="3" customFormat="1" ht="18.75" customHeight="1" x14ac:dyDescent="0.4">
      <c r="A87" s="483"/>
      <c r="B87" s="194"/>
      <c r="C87" s="40"/>
      <c r="D87" s="194"/>
      <c r="E87" s="194"/>
      <c r="F87" s="91"/>
      <c r="G87" s="138"/>
      <c r="H87" s="138">
        <f>SUM(H71:H80)</f>
        <v>70031100</v>
      </c>
      <c r="I87" s="138" t="s">
        <v>1390</v>
      </c>
      <c r="J87" s="145"/>
      <c r="K87" s="145"/>
      <c r="L87" s="145"/>
      <c r="M87" s="89"/>
    </row>
    <row r="88" spans="1:13" s="3" customFormat="1" ht="19.5" customHeight="1" x14ac:dyDescent="0.4">
      <c r="A88" s="488">
        <v>45932</v>
      </c>
      <c r="B88" s="110" t="s">
        <v>58</v>
      </c>
      <c r="C88" s="29" t="s">
        <v>720</v>
      </c>
      <c r="D88" s="110" t="s">
        <v>558</v>
      </c>
      <c r="E88" s="110" t="s">
        <v>11</v>
      </c>
      <c r="F88" s="8">
        <v>12</v>
      </c>
      <c r="G88" s="81">
        <v>700000</v>
      </c>
      <c r="H88" s="8">
        <f t="shared" ref="H88:H93" si="4">F88*G88</f>
        <v>8400000</v>
      </c>
      <c r="I88" s="137"/>
      <c r="J88" s="70"/>
      <c r="K88" s="8"/>
      <c r="L88" s="116"/>
      <c r="M88" s="89"/>
    </row>
    <row r="89" spans="1:13" s="3" customFormat="1" ht="19.5" customHeight="1" x14ac:dyDescent="0.4">
      <c r="A89" s="488">
        <v>45965</v>
      </c>
      <c r="B89" s="110" t="s">
        <v>58</v>
      </c>
      <c r="C89" s="29" t="s">
        <v>720</v>
      </c>
      <c r="D89" s="110" t="s">
        <v>558</v>
      </c>
      <c r="E89" s="110" t="s">
        <v>11</v>
      </c>
      <c r="F89" s="8">
        <v>12</v>
      </c>
      <c r="G89" s="81">
        <v>700000</v>
      </c>
      <c r="H89" s="8">
        <f t="shared" si="4"/>
        <v>8400000</v>
      </c>
      <c r="I89" s="137"/>
      <c r="J89" s="70"/>
      <c r="K89" s="8"/>
      <c r="L89" s="116"/>
      <c r="M89" s="89"/>
    </row>
    <row r="90" spans="1:13" s="3" customFormat="1" ht="19.5" customHeight="1" x14ac:dyDescent="0.4">
      <c r="A90" s="488">
        <v>45932</v>
      </c>
      <c r="B90" s="110" t="s">
        <v>58</v>
      </c>
      <c r="C90" s="29" t="s">
        <v>720</v>
      </c>
      <c r="D90" s="110" t="s">
        <v>559</v>
      </c>
      <c r="E90" s="110" t="s">
        <v>11</v>
      </c>
      <c r="F90" s="8">
        <v>12</v>
      </c>
      <c r="G90" s="81">
        <v>700000</v>
      </c>
      <c r="H90" s="8">
        <f t="shared" si="4"/>
        <v>8400000</v>
      </c>
      <c r="I90" s="137"/>
      <c r="J90" s="70"/>
      <c r="K90" s="8"/>
      <c r="L90" s="116"/>
      <c r="M90" s="89"/>
    </row>
    <row r="91" spans="1:13" s="3" customFormat="1" ht="19.5" customHeight="1" x14ac:dyDescent="0.4">
      <c r="A91" s="488">
        <v>45965</v>
      </c>
      <c r="B91" s="110" t="s">
        <v>58</v>
      </c>
      <c r="C91" s="29" t="s">
        <v>720</v>
      </c>
      <c r="D91" s="110" t="s">
        <v>559</v>
      </c>
      <c r="E91" s="110" t="s">
        <v>11</v>
      </c>
      <c r="F91" s="8">
        <v>12</v>
      </c>
      <c r="G91" s="81">
        <v>700000</v>
      </c>
      <c r="H91" s="8">
        <f t="shared" si="4"/>
        <v>8400000</v>
      </c>
      <c r="I91" s="137"/>
      <c r="J91" s="70"/>
      <c r="K91" s="8"/>
      <c r="L91" s="116"/>
      <c r="M91" s="89"/>
    </row>
    <row r="92" spans="1:13" s="3" customFormat="1" ht="21" customHeight="1" x14ac:dyDescent="0.4">
      <c r="A92" s="485">
        <v>45989</v>
      </c>
      <c r="B92" s="33" t="s">
        <v>58</v>
      </c>
      <c r="C92" s="192" t="s">
        <v>445</v>
      </c>
      <c r="D92" s="76" t="s">
        <v>446</v>
      </c>
      <c r="E92" s="76" t="s">
        <v>11</v>
      </c>
      <c r="F92" s="7">
        <v>8</v>
      </c>
      <c r="G92" s="7">
        <v>1671500</v>
      </c>
      <c r="H92" s="7">
        <f t="shared" si="4"/>
        <v>13372000</v>
      </c>
      <c r="I92" s="61"/>
      <c r="J92" s="27" t="s">
        <v>491</v>
      </c>
      <c r="K92" s="61"/>
      <c r="L92" s="116"/>
      <c r="M92" s="89"/>
    </row>
    <row r="93" spans="1:13" s="28" customFormat="1" ht="19.5" customHeight="1" x14ac:dyDescent="0.4">
      <c r="A93" s="485">
        <v>46042</v>
      </c>
      <c r="B93" s="5" t="s">
        <v>58</v>
      </c>
      <c r="C93" s="24" t="s">
        <v>445</v>
      </c>
      <c r="D93" s="11" t="s">
        <v>497</v>
      </c>
      <c r="E93" s="11"/>
      <c r="F93" s="12">
        <v>8</v>
      </c>
      <c r="G93" s="12">
        <v>1671500</v>
      </c>
      <c r="H93" s="7">
        <f t="shared" si="4"/>
        <v>13372000</v>
      </c>
      <c r="I93" s="61"/>
      <c r="J93" s="27" t="s">
        <v>491</v>
      </c>
      <c r="K93" s="61"/>
      <c r="L93" s="126"/>
      <c r="M93" s="366"/>
    </row>
    <row r="94" spans="1:13" s="28" customFormat="1" ht="19.5" customHeight="1" x14ac:dyDescent="0.4">
      <c r="A94" s="485">
        <v>46042</v>
      </c>
      <c r="B94" s="5" t="s">
        <v>58</v>
      </c>
      <c r="C94" s="24" t="s">
        <v>447</v>
      </c>
      <c r="D94" s="11"/>
      <c r="E94" s="11"/>
      <c r="F94" s="12">
        <v>8</v>
      </c>
      <c r="G94" s="12"/>
      <c r="H94" s="17"/>
      <c r="I94" s="61"/>
      <c r="J94" s="27" t="s">
        <v>491</v>
      </c>
      <c r="K94" s="61"/>
      <c r="L94" s="126"/>
      <c r="M94" s="366"/>
    </row>
    <row r="95" spans="1:13" s="19" customFormat="1" ht="18.75" customHeight="1" x14ac:dyDescent="0.4">
      <c r="A95" s="485">
        <v>46099</v>
      </c>
      <c r="B95" s="110" t="s">
        <v>58</v>
      </c>
      <c r="C95" s="29" t="s">
        <v>60</v>
      </c>
      <c r="D95" s="110" t="s">
        <v>498</v>
      </c>
      <c r="E95" s="110" t="s">
        <v>13</v>
      </c>
      <c r="F95" s="8">
        <v>10</v>
      </c>
      <c r="G95" s="81">
        <v>673000</v>
      </c>
      <c r="H95" s="8">
        <f>F95*G95</f>
        <v>6730000</v>
      </c>
      <c r="I95" s="111" t="s">
        <v>1234</v>
      </c>
      <c r="J95" s="404"/>
      <c r="K95" s="61"/>
      <c r="L95" s="126"/>
      <c r="M95" s="416"/>
    </row>
    <row r="96" spans="1:13" s="113" customFormat="1" ht="18.75" customHeight="1" x14ac:dyDescent="0.4">
      <c r="A96" s="482">
        <v>46101</v>
      </c>
      <c r="B96" s="110" t="s">
        <v>58</v>
      </c>
      <c r="C96" s="29" t="s">
        <v>60</v>
      </c>
      <c r="D96" s="110" t="s">
        <v>282</v>
      </c>
      <c r="E96" s="110" t="s">
        <v>11</v>
      </c>
      <c r="F96" s="8">
        <v>100</v>
      </c>
      <c r="G96" s="81">
        <v>246000</v>
      </c>
      <c r="H96" s="8">
        <f>F96*G96</f>
        <v>24600000</v>
      </c>
      <c r="I96" s="111" t="s">
        <v>1392</v>
      </c>
      <c r="J96" s="111"/>
      <c r="K96" s="61"/>
      <c r="L96" s="116"/>
    </row>
    <row r="97" spans="1:13" s="19" customFormat="1" ht="18.75" customHeight="1" x14ac:dyDescent="0.4">
      <c r="A97" s="485">
        <v>46106</v>
      </c>
      <c r="B97" s="110" t="s">
        <v>58</v>
      </c>
      <c r="C97" s="29" t="s">
        <v>60</v>
      </c>
      <c r="D97" s="110" t="s">
        <v>498</v>
      </c>
      <c r="E97" s="110" t="s">
        <v>13</v>
      </c>
      <c r="F97" s="8">
        <v>10</v>
      </c>
      <c r="G97" s="81">
        <v>673000</v>
      </c>
      <c r="H97" s="8">
        <f>F97*G97</f>
        <v>6730000</v>
      </c>
      <c r="I97" s="111" t="s">
        <v>1227</v>
      </c>
      <c r="J97" s="404"/>
      <c r="K97" s="61"/>
      <c r="L97" s="126"/>
      <c r="M97" s="416"/>
    </row>
    <row r="98" spans="1:13" s="113" customFormat="1" ht="20.25" customHeight="1" x14ac:dyDescent="0.4">
      <c r="A98" s="482">
        <v>46111</v>
      </c>
      <c r="B98" s="33" t="s">
        <v>58</v>
      </c>
      <c r="C98" s="192" t="s">
        <v>189</v>
      </c>
      <c r="D98" s="76" t="s">
        <v>729</v>
      </c>
      <c r="E98" s="76"/>
      <c r="F98" s="7">
        <v>36</v>
      </c>
      <c r="G98" s="7">
        <v>489000</v>
      </c>
      <c r="H98" s="8">
        <f>F98*G98</f>
        <v>17604000</v>
      </c>
      <c r="I98" s="111"/>
      <c r="J98" s="111"/>
      <c r="K98" s="61"/>
      <c r="L98" s="116"/>
    </row>
    <row r="99" spans="1:13" s="19" customFormat="1" ht="18.75" customHeight="1" x14ac:dyDescent="0.4">
      <c r="A99" s="485">
        <v>46112</v>
      </c>
      <c r="B99" s="110" t="s">
        <v>58</v>
      </c>
      <c r="C99" s="29" t="s">
        <v>60</v>
      </c>
      <c r="D99" s="110" t="s">
        <v>498</v>
      </c>
      <c r="E99" s="110" t="s">
        <v>13</v>
      </c>
      <c r="F99" s="8">
        <v>17</v>
      </c>
      <c r="G99" s="81">
        <v>673000</v>
      </c>
      <c r="H99" s="8">
        <f>F99*G99</f>
        <v>11441000</v>
      </c>
      <c r="I99" s="111" t="s">
        <v>1227</v>
      </c>
      <c r="J99" s="404"/>
      <c r="K99" s="61"/>
      <c r="L99" s="126"/>
      <c r="M99" s="416"/>
    </row>
    <row r="100" spans="1:13" s="19" customFormat="1" ht="18.75" customHeight="1" x14ac:dyDescent="0.4">
      <c r="A100" s="485">
        <v>46126</v>
      </c>
      <c r="B100" s="110" t="s">
        <v>58</v>
      </c>
      <c r="C100" s="29" t="s">
        <v>60</v>
      </c>
      <c r="D100" s="110" t="s">
        <v>498</v>
      </c>
      <c r="E100" s="110" t="s">
        <v>13</v>
      </c>
      <c r="F100" s="8">
        <v>22</v>
      </c>
      <c r="G100" s="81">
        <v>673000</v>
      </c>
      <c r="H100" s="8"/>
      <c r="I100" s="111" t="s">
        <v>1264</v>
      </c>
      <c r="J100" s="404"/>
      <c r="K100" s="404">
        <f>+F100*G100</f>
        <v>14806000</v>
      </c>
      <c r="L100" s="126"/>
      <c r="M100" s="524"/>
    </row>
    <row r="101" spans="1:13" s="19" customFormat="1" ht="18.75" customHeight="1" x14ac:dyDescent="0.4">
      <c r="A101" s="485">
        <v>46134</v>
      </c>
      <c r="B101" s="110" t="s">
        <v>58</v>
      </c>
      <c r="C101" s="29" t="s">
        <v>60</v>
      </c>
      <c r="D101" s="110" t="s">
        <v>498</v>
      </c>
      <c r="E101" s="110" t="s">
        <v>13</v>
      </c>
      <c r="F101" s="8">
        <v>15</v>
      </c>
      <c r="G101" s="81">
        <v>673000</v>
      </c>
      <c r="H101" s="8"/>
      <c r="I101" s="111" t="s">
        <v>1264</v>
      </c>
      <c r="J101" s="404"/>
      <c r="K101" s="404">
        <f>+F101*G101</f>
        <v>10095000</v>
      </c>
      <c r="L101" s="126"/>
      <c r="M101" s="416"/>
    </row>
    <row r="102" spans="1:13" s="3" customFormat="1" ht="19.5" customHeight="1" x14ac:dyDescent="0.4">
      <c r="A102" s="488">
        <v>46136</v>
      </c>
      <c r="B102" s="110" t="s">
        <v>58</v>
      </c>
      <c r="C102" s="29" t="s">
        <v>720</v>
      </c>
      <c r="D102" s="110" t="s">
        <v>558</v>
      </c>
      <c r="E102" s="110" t="s">
        <v>11</v>
      </c>
      <c r="F102" s="8">
        <v>16</v>
      </c>
      <c r="G102" s="81">
        <v>700000</v>
      </c>
      <c r="H102" s="8">
        <f>F102*G102</f>
        <v>11200000</v>
      </c>
      <c r="I102" s="137" t="s">
        <v>1265</v>
      </c>
      <c r="J102" s="70"/>
      <c r="K102" s="8"/>
      <c r="L102" s="116"/>
      <c r="M102" s="89"/>
    </row>
    <row r="103" spans="1:13" s="3" customFormat="1" ht="19.5" customHeight="1" x14ac:dyDescent="0.4">
      <c r="A103" s="488">
        <v>46136</v>
      </c>
      <c r="B103" s="110" t="s">
        <v>58</v>
      </c>
      <c r="C103" s="29" t="s">
        <v>720</v>
      </c>
      <c r="D103" s="110" t="s">
        <v>559</v>
      </c>
      <c r="E103" s="110" t="s">
        <v>11</v>
      </c>
      <c r="F103" s="8">
        <v>16</v>
      </c>
      <c r="G103" s="81">
        <v>700000</v>
      </c>
      <c r="H103" s="8">
        <f>F103*G103</f>
        <v>11200000</v>
      </c>
      <c r="I103" s="137"/>
      <c r="J103" s="70"/>
      <c r="K103" s="8"/>
      <c r="L103" s="116"/>
      <c r="M103" s="89"/>
    </row>
    <row r="104" spans="1:13" s="3" customFormat="1" ht="19.5" customHeight="1" x14ac:dyDescent="0.4">
      <c r="A104" s="488">
        <v>46140</v>
      </c>
      <c r="B104" s="110" t="s">
        <v>58</v>
      </c>
      <c r="C104" s="29" t="s">
        <v>60</v>
      </c>
      <c r="D104" s="110" t="s">
        <v>498</v>
      </c>
      <c r="E104" s="110" t="s">
        <v>13</v>
      </c>
      <c r="F104" s="8">
        <v>9</v>
      </c>
      <c r="G104" s="81">
        <v>673000</v>
      </c>
      <c r="H104" s="8"/>
      <c r="I104" s="111" t="s">
        <v>1264</v>
      </c>
      <c r="J104" s="70"/>
      <c r="K104" s="404">
        <f>+F104*G104</f>
        <v>6057000</v>
      </c>
      <c r="L104" s="116"/>
      <c r="M104" s="89"/>
    </row>
    <row r="105" spans="1:13" s="3" customFormat="1" ht="19.5" customHeight="1" x14ac:dyDescent="0.4">
      <c r="A105" s="582">
        <v>46034</v>
      </c>
      <c r="B105" s="583" t="s">
        <v>58</v>
      </c>
      <c r="C105" s="584" t="s">
        <v>60</v>
      </c>
      <c r="D105" s="583" t="s">
        <v>722</v>
      </c>
      <c r="E105" s="583" t="s">
        <v>13</v>
      </c>
      <c r="F105" s="463">
        <v>1</v>
      </c>
      <c r="G105" s="578">
        <v>673000</v>
      </c>
      <c r="H105" s="463">
        <f>F105*G105</f>
        <v>673000</v>
      </c>
      <c r="I105" s="464"/>
      <c r="J105" s="585"/>
      <c r="K105" s="464" t="s">
        <v>1382</v>
      </c>
      <c r="L105" s="586"/>
      <c r="M105" s="89"/>
    </row>
    <row r="106" spans="1:13" s="3" customFormat="1" ht="19.5" customHeight="1" x14ac:dyDescent="0.4">
      <c r="A106" s="582">
        <v>46034</v>
      </c>
      <c r="B106" s="583" t="s">
        <v>58</v>
      </c>
      <c r="C106" s="584" t="s">
        <v>60</v>
      </c>
      <c r="D106" s="583" t="s">
        <v>723</v>
      </c>
      <c r="E106" s="583" t="s">
        <v>13</v>
      </c>
      <c r="F106" s="463">
        <v>1</v>
      </c>
      <c r="G106" s="578">
        <v>673000</v>
      </c>
      <c r="H106" s="463">
        <f t="shared" ref="H106:H131" si="5">F106*G106</f>
        <v>673000</v>
      </c>
      <c r="I106" s="464"/>
      <c r="J106" s="585"/>
      <c r="K106" s="464" t="s">
        <v>1382</v>
      </c>
      <c r="L106" s="586"/>
      <c r="M106" s="89"/>
    </row>
    <row r="107" spans="1:13" s="3" customFormat="1" ht="19.5" customHeight="1" x14ac:dyDescent="0.4">
      <c r="A107" s="582">
        <v>46034</v>
      </c>
      <c r="B107" s="583" t="s">
        <v>58</v>
      </c>
      <c r="C107" s="584" t="s">
        <v>60</v>
      </c>
      <c r="D107" s="583" t="s">
        <v>724</v>
      </c>
      <c r="E107" s="583" t="s">
        <v>13</v>
      </c>
      <c r="F107" s="463">
        <v>9</v>
      </c>
      <c r="G107" s="578">
        <v>188000</v>
      </c>
      <c r="H107" s="463">
        <f t="shared" si="5"/>
        <v>1692000</v>
      </c>
      <c r="I107" s="464"/>
      <c r="J107" s="585"/>
      <c r="K107" s="464" t="s">
        <v>1382</v>
      </c>
      <c r="L107" s="586"/>
      <c r="M107" s="89"/>
    </row>
    <row r="108" spans="1:13" s="3" customFormat="1" ht="19.5" customHeight="1" x14ac:dyDescent="0.4">
      <c r="A108" s="582">
        <v>46034</v>
      </c>
      <c r="B108" s="583" t="s">
        <v>725</v>
      </c>
      <c r="C108" s="584" t="s">
        <v>60</v>
      </c>
      <c r="D108" s="583" t="s">
        <v>726</v>
      </c>
      <c r="E108" s="583" t="s">
        <v>11</v>
      </c>
      <c r="F108" s="463">
        <v>6</v>
      </c>
      <c r="G108" s="578">
        <v>188000</v>
      </c>
      <c r="H108" s="463">
        <f t="shared" si="5"/>
        <v>1128000</v>
      </c>
      <c r="I108" s="464"/>
      <c r="J108" s="585"/>
      <c r="K108" s="464" t="s">
        <v>1382</v>
      </c>
      <c r="L108" s="586"/>
      <c r="M108" s="89"/>
    </row>
    <row r="109" spans="1:13" s="28" customFormat="1" ht="19.5" customHeight="1" x14ac:dyDescent="0.4">
      <c r="A109" s="587">
        <v>46052</v>
      </c>
      <c r="B109" s="588" t="s">
        <v>58</v>
      </c>
      <c r="C109" s="589" t="s">
        <v>445</v>
      </c>
      <c r="D109" s="590" t="s">
        <v>497</v>
      </c>
      <c r="E109" s="590"/>
      <c r="F109" s="591">
        <v>12</v>
      </c>
      <c r="G109" s="591">
        <v>1671500</v>
      </c>
      <c r="H109" s="463">
        <f t="shared" si="5"/>
        <v>20058000</v>
      </c>
      <c r="I109" s="464"/>
      <c r="J109" s="592"/>
      <c r="K109" s="464" t="s">
        <v>1382</v>
      </c>
      <c r="L109" s="593"/>
      <c r="M109" s="366"/>
    </row>
    <row r="110" spans="1:13" s="113" customFormat="1" ht="18.75" customHeight="1" x14ac:dyDescent="0.4">
      <c r="A110" s="582">
        <v>46059</v>
      </c>
      <c r="B110" s="583" t="s">
        <v>58</v>
      </c>
      <c r="C110" s="584" t="s">
        <v>60</v>
      </c>
      <c r="D110" s="583" t="s">
        <v>498</v>
      </c>
      <c r="E110" s="583" t="s">
        <v>13</v>
      </c>
      <c r="F110" s="463">
        <v>8</v>
      </c>
      <c r="G110" s="578">
        <v>673000</v>
      </c>
      <c r="H110" s="463">
        <f t="shared" si="5"/>
        <v>5384000</v>
      </c>
      <c r="I110" s="594" t="s">
        <v>870</v>
      </c>
      <c r="J110" s="594"/>
      <c r="K110" s="464" t="s">
        <v>1382</v>
      </c>
      <c r="L110" s="586"/>
    </row>
    <row r="111" spans="1:13" s="113" customFormat="1" ht="18.75" customHeight="1" x14ac:dyDescent="0.4">
      <c r="A111" s="582">
        <v>46066</v>
      </c>
      <c r="B111" s="583" t="s">
        <v>58</v>
      </c>
      <c r="C111" s="584" t="s">
        <v>60</v>
      </c>
      <c r="D111" s="583" t="s">
        <v>282</v>
      </c>
      <c r="E111" s="583" t="s">
        <v>11</v>
      </c>
      <c r="F111" s="463">
        <v>8</v>
      </c>
      <c r="G111" s="595">
        <v>246000</v>
      </c>
      <c r="H111" s="463">
        <f t="shared" si="5"/>
        <v>1968000</v>
      </c>
      <c r="I111" s="594" t="s">
        <v>870</v>
      </c>
      <c r="J111" s="594"/>
      <c r="K111" s="464" t="s">
        <v>1382</v>
      </c>
      <c r="L111" s="586"/>
    </row>
    <row r="112" spans="1:13" s="113" customFormat="1" ht="18.75" customHeight="1" x14ac:dyDescent="0.4">
      <c r="A112" s="582">
        <v>46066</v>
      </c>
      <c r="B112" s="583" t="s">
        <v>58</v>
      </c>
      <c r="C112" s="584" t="s">
        <v>60</v>
      </c>
      <c r="D112" s="583" t="s">
        <v>285</v>
      </c>
      <c r="E112" s="583" t="s">
        <v>11</v>
      </c>
      <c r="F112" s="463">
        <v>8</v>
      </c>
      <c r="G112" s="595">
        <v>188000</v>
      </c>
      <c r="H112" s="463">
        <f t="shared" si="5"/>
        <v>1504000</v>
      </c>
      <c r="I112" s="594" t="s">
        <v>870</v>
      </c>
      <c r="J112" s="594"/>
      <c r="K112" s="464" t="s">
        <v>1382</v>
      </c>
      <c r="L112" s="586"/>
    </row>
    <row r="113" spans="1:13" s="19" customFormat="1" ht="18.75" customHeight="1" x14ac:dyDescent="0.4">
      <c r="A113" s="587">
        <v>46066</v>
      </c>
      <c r="B113" s="588" t="s">
        <v>58</v>
      </c>
      <c r="C113" s="596" t="s">
        <v>445</v>
      </c>
      <c r="D113" s="574" t="s">
        <v>497</v>
      </c>
      <c r="E113" s="583" t="s">
        <v>11</v>
      </c>
      <c r="F113" s="463">
        <v>36</v>
      </c>
      <c r="G113" s="463">
        <v>1671500</v>
      </c>
      <c r="H113" s="463">
        <f t="shared" si="5"/>
        <v>60174000</v>
      </c>
      <c r="I113" s="594" t="s">
        <v>872</v>
      </c>
      <c r="J113" s="597"/>
      <c r="K113" s="464" t="s">
        <v>1382</v>
      </c>
      <c r="L113" s="593"/>
      <c r="M113" s="416"/>
    </row>
    <row r="114" spans="1:13" s="19" customFormat="1" ht="18.75" customHeight="1" x14ac:dyDescent="0.4">
      <c r="A114" s="587">
        <v>46072</v>
      </c>
      <c r="B114" s="583" t="s">
        <v>58</v>
      </c>
      <c r="C114" s="584" t="s">
        <v>60</v>
      </c>
      <c r="D114" s="583" t="s">
        <v>498</v>
      </c>
      <c r="E114" s="583" t="s">
        <v>13</v>
      </c>
      <c r="F114" s="463">
        <v>11</v>
      </c>
      <c r="G114" s="578">
        <v>673000</v>
      </c>
      <c r="H114" s="463">
        <f t="shared" si="5"/>
        <v>7403000</v>
      </c>
      <c r="I114" s="594" t="s">
        <v>1230</v>
      </c>
      <c r="J114" s="597"/>
      <c r="K114" s="464" t="s">
        <v>1382</v>
      </c>
      <c r="L114" s="593"/>
      <c r="M114" s="416"/>
    </row>
    <row r="115" spans="1:13" s="113" customFormat="1" ht="18.75" customHeight="1" x14ac:dyDescent="0.4">
      <c r="A115" s="582">
        <v>46077</v>
      </c>
      <c r="B115" s="583" t="s">
        <v>58</v>
      </c>
      <c r="C115" s="584" t="s">
        <v>60</v>
      </c>
      <c r="D115" s="583" t="s">
        <v>498</v>
      </c>
      <c r="E115" s="583" t="s">
        <v>13</v>
      </c>
      <c r="F115" s="463">
        <v>5</v>
      </c>
      <c r="G115" s="578">
        <v>673000</v>
      </c>
      <c r="H115" s="463">
        <f t="shared" si="5"/>
        <v>3365000</v>
      </c>
      <c r="I115" s="594" t="s">
        <v>1231</v>
      </c>
      <c r="J115" s="594"/>
      <c r="K115" s="464" t="s">
        <v>1382</v>
      </c>
      <c r="L115" s="586"/>
    </row>
    <row r="116" spans="1:13" s="19" customFormat="1" ht="18.75" customHeight="1" x14ac:dyDescent="0.4">
      <c r="A116" s="582">
        <v>46080</v>
      </c>
      <c r="B116" s="588" t="s">
        <v>58</v>
      </c>
      <c r="C116" s="596" t="s">
        <v>445</v>
      </c>
      <c r="D116" s="574" t="s">
        <v>497</v>
      </c>
      <c r="E116" s="583" t="s">
        <v>11</v>
      </c>
      <c r="F116" s="463">
        <v>24</v>
      </c>
      <c r="G116" s="463">
        <v>1671500</v>
      </c>
      <c r="H116" s="463">
        <f t="shared" si="5"/>
        <v>40116000</v>
      </c>
      <c r="I116" s="594" t="s">
        <v>877</v>
      </c>
      <c r="J116" s="597"/>
      <c r="K116" s="464" t="s">
        <v>1382</v>
      </c>
      <c r="L116" s="593"/>
      <c r="M116" s="416"/>
    </row>
    <row r="117" spans="1:13" s="19" customFormat="1" ht="18.75" customHeight="1" x14ac:dyDescent="0.4">
      <c r="A117" s="582">
        <v>46081</v>
      </c>
      <c r="B117" s="583" t="s">
        <v>58</v>
      </c>
      <c r="C117" s="584" t="s">
        <v>60</v>
      </c>
      <c r="D117" s="583" t="s">
        <v>498</v>
      </c>
      <c r="E117" s="583" t="s">
        <v>13</v>
      </c>
      <c r="F117" s="463">
        <v>18</v>
      </c>
      <c r="G117" s="578">
        <v>673000</v>
      </c>
      <c r="H117" s="463">
        <f t="shared" si="5"/>
        <v>12114000</v>
      </c>
      <c r="I117" s="594" t="s">
        <v>1232</v>
      </c>
      <c r="J117" s="597"/>
      <c r="K117" s="464" t="s">
        <v>1382</v>
      </c>
      <c r="L117" s="593"/>
      <c r="M117" s="416"/>
    </row>
    <row r="118" spans="1:13" s="19" customFormat="1" ht="18.75" customHeight="1" x14ac:dyDescent="0.4">
      <c r="A118" s="587">
        <v>46099</v>
      </c>
      <c r="B118" s="583" t="s">
        <v>58</v>
      </c>
      <c r="C118" s="584" t="s">
        <v>60</v>
      </c>
      <c r="D118" s="583" t="s">
        <v>498</v>
      </c>
      <c r="E118" s="583" t="s">
        <v>13</v>
      </c>
      <c r="F118" s="463">
        <v>5</v>
      </c>
      <c r="G118" s="578">
        <v>673000</v>
      </c>
      <c r="H118" s="463">
        <f t="shared" si="5"/>
        <v>3365000</v>
      </c>
      <c r="I118" s="594" t="s">
        <v>1233</v>
      </c>
      <c r="J118" s="597"/>
      <c r="K118" s="464" t="s">
        <v>1382</v>
      </c>
      <c r="L118" s="593"/>
      <c r="M118" s="416"/>
    </row>
    <row r="119" spans="1:13" s="113" customFormat="1" ht="18.75" customHeight="1" x14ac:dyDescent="0.4">
      <c r="A119" s="582">
        <v>46101</v>
      </c>
      <c r="B119" s="583" t="s">
        <v>58</v>
      </c>
      <c r="C119" s="584" t="s">
        <v>60</v>
      </c>
      <c r="D119" s="583" t="s">
        <v>282</v>
      </c>
      <c r="E119" s="583" t="s">
        <v>11</v>
      </c>
      <c r="F119" s="463">
        <v>199</v>
      </c>
      <c r="G119" s="578">
        <v>246000</v>
      </c>
      <c r="H119" s="463">
        <f t="shared" si="5"/>
        <v>48954000</v>
      </c>
      <c r="I119" s="594" t="s">
        <v>870</v>
      </c>
      <c r="J119" s="594"/>
      <c r="K119" s="464" t="s">
        <v>1382</v>
      </c>
      <c r="L119" s="586"/>
    </row>
    <row r="120" spans="1:13" s="113" customFormat="1" ht="18.75" customHeight="1" x14ac:dyDescent="0.4">
      <c r="A120" s="582">
        <v>46101</v>
      </c>
      <c r="B120" s="583" t="s">
        <v>58</v>
      </c>
      <c r="C120" s="584" t="s">
        <v>60</v>
      </c>
      <c r="D120" s="583" t="s">
        <v>285</v>
      </c>
      <c r="E120" s="583" t="s">
        <v>11</v>
      </c>
      <c r="F120" s="463">
        <v>100</v>
      </c>
      <c r="G120" s="578">
        <v>188000</v>
      </c>
      <c r="H120" s="463">
        <f t="shared" si="5"/>
        <v>18800000</v>
      </c>
      <c r="I120" s="594" t="s">
        <v>870</v>
      </c>
      <c r="J120" s="594"/>
      <c r="K120" s="464" t="s">
        <v>1382</v>
      </c>
      <c r="L120" s="586"/>
    </row>
    <row r="121" spans="1:13" s="19" customFormat="1" ht="18.75" customHeight="1" x14ac:dyDescent="0.4">
      <c r="A121" s="587">
        <v>46106</v>
      </c>
      <c r="B121" s="583" t="s">
        <v>58</v>
      </c>
      <c r="C121" s="584" t="s">
        <v>60</v>
      </c>
      <c r="D121" s="583" t="s">
        <v>498</v>
      </c>
      <c r="E121" s="583" t="s">
        <v>13</v>
      </c>
      <c r="F121" s="463">
        <v>15</v>
      </c>
      <c r="G121" s="578">
        <v>673000</v>
      </c>
      <c r="H121" s="463">
        <f t="shared" si="5"/>
        <v>10095000</v>
      </c>
      <c r="I121" s="594" t="s">
        <v>1232</v>
      </c>
      <c r="J121" s="597"/>
      <c r="K121" s="464" t="s">
        <v>1382</v>
      </c>
      <c r="L121" s="593"/>
      <c r="M121" s="416"/>
    </row>
    <row r="122" spans="1:13" s="19" customFormat="1" ht="18.75" customHeight="1" x14ac:dyDescent="0.4">
      <c r="A122" s="587">
        <v>46112</v>
      </c>
      <c r="B122" s="583" t="s">
        <v>58</v>
      </c>
      <c r="C122" s="584" t="s">
        <v>60</v>
      </c>
      <c r="D122" s="583" t="s">
        <v>498</v>
      </c>
      <c r="E122" s="583" t="s">
        <v>13</v>
      </c>
      <c r="F122" s="463">
        <v>11</v>
      </c>
      <c r="G122" s="578">
        <v>673000</v>
      </c>
      <c r="H122" s="463">
        <f t="shared" si="5"/>
        <v>7403000</v>
      </c>
      <c r="I122" s="594" t="s">
        <v>1232</v>
      </c>
      <c r="J122" s="597"/>
      <c r="K122" s="464" t="s">
        <v>1382</v>
      </c>
      <c r="L122" s="593"/>
      <c r="M122" s="416"/>
    </row>
    <row r="123" spans="1:13" s="113" customFormat="1" ht="18.75" customHeight="1" x14ac:dyDescent="0.4">
      <c r="A123" s="582">
        <v>46119</v>
      </c>
      <c r="B123" s="583" t="s">
        <v>58</v>
      </c>
      <c r="C123" s="584" t="s">
        <v>60</v>
      </c>
      <c r="D123" s="583" t="s">
        <v>282</v>
      </c>
      <c r="E123" s="583" t="s">
        <v>11</v>
      </c>
      <c r="F123" s="463">
        <v>149</v>
      </c>
      <c r="G123" s="578">
        <v>246000</v>
      </c>
      <c r="H123" s="463">
        <f t="shared" si="5"/>
        <v>36654000</v>
      </c>
      <c r="I123" s="594" t="s">
        <v>1262</v>
      </c>
      <c r="J123" s="594"/>
      <c r="K123" s="464" t="s">
        <v>1382</v>
      </c>
      <c r="L123" s="586"/>
    </row>
    <row r="124" spans="1:13" s="113" customFormat="1" ht="18.75" customHeight="1" x14ac:dyDescent="0.4">
      <c r="A124" s="582">
        <v>46119</v>
      </c>
      <c r="B124" s="583" t="s">
        <v>58</v>
      </c>
      <c r="C124" s="584" t="s">
        <v>60</v>
      </c>
      <c r="D124" s="583" t="s">
        <v>285</v>
      </c>
      <c r="E124" s="583" t="s">
        <v>11</v>
      </c>
      <c r="F124" s="463">
        <v>150</v>
      </c>
      <c r="G124" s="578">
        <v>188000</v>
      </c>
      <c r="H124" s="463">
        <f t="shared" si="5"/>
        <v>28200000</v>
      </c>
      <c r="I124" s="594" t="s">
        <v>1262</v>
      </c>
      <c r="J124" s="594"/>
      <c r="K124" s="464" t="s">
        <v>1382</v>
      </c>
      <c r="L124" s="586"/>
    </row>
    <row r="125" spans="1:13" s="19" customFormat="1" ht="18.75" customHeight="1" x14ac:dyDescent="0.4">
      <c r="A125" s="587">
        <v>46120</v>
      </c>
      <c r="B125" s="583" t="s">
        <v>58</v>
      </c>
      <c r="C125" s="584" t="s">
        <v>60</v>
      </c>
      <c r="D125" s="583" t="s">
        <v>498</v>
      </c>
      <c r="E125" s="583" t="s">
        <v>13</v>
      </c>
      <c r="F125" s="463">
        <v>13</v>
      </c>
      <c r="G125" s="578">
        <v>673000</v>
      </c>
      <c r="H125" s="463">
        <f t="shared" si="5"/>
        <v>8749000</v>
      </c>
      <c r="I125" s="594" t="s">
        <v>1262</v>
      </c>
      <c r="J125" s="597"/>
      <c r="K125" s="464" t="s">
        <v>1382</v>
      </c>
      <c r="L125" s="593"/>
      <c r="M125" s="416"/>
    </row>
    <row r="126" spans="1:13" s="19" customFormat="1" ht="18.75" customHeight="1" x14ac:dyDescent="0.4">
      <c r="A126" s="587">
        <v>46120</v>
      </c>
      <c r="B126" s="583" t="s">
        <v>58</v>
      </c>
      <c r="C126" s="584" t="s">
        <v>60</v>
      </c>
      <c r="D126" s="583" t="s">
        <v>498</v>
      </c>
      <c r="E126" s="583" t="s">
        <v>13</v>
      </c>
      <c r="F126" s="463">
        <v>14</v>
      </c>
      <c r="G126" s="578">
        <v>673000</v>
      </c>
      <c r="H126" s="463">
        <f t="shared" si="5"/>
        <v>9422000</v>
      </c>
      <c r="I126" s="594" t="s">
        <v>1263</v>
      </c>
      <c r="J126" s="597"/>
      <c r="K126" s="464" t="s">
        <v>1382</v>
      </c>
      <c r="L126" s="593"/>
      <c r="M126" s="416"/>
    </row>
    <row r="127" spans="1:13" s="19" customFormat="1" ht="18.75" customHeight="1" x14ac:dyDescent="0.4">
      <c r="A127" s="587">
        <v>46127</v>
      </c>
      <c r="B127" s="583" t="s">
        <v>58</v>
      </c>
      <c r="C127" s="584" t="s">
        <v>60</v>
      </c>
      <c r="D127" s="583" t="s">
        <v>498</v>
      </c>
      <c r="E127" s="583" t="s">
        <v>13</v>
      </c>
      <c r="F127" s="463">
        <v>3</v>
      </c>
      <c r="G127" s="578">
        <v>673000</v>
      </c>
      <c r="H127" s="463">
        <f t="shared" si="5"/>
        <v>2019000</v>
      </c>
      <c r="I127" s="594" t="s">
        <v>1262</v>
      </c>
      <c r="J127" s="597"/>
      <c r="K127" s="464" t="s">
        <v>1382</v>
      </c>
      <c r="L127" s="593"/>
      <c r="M127" s="416"/>
    </row>
    <row r="128" spans="1:13" s="19" customFormat="1" ht="18.75" customHeight="1" x14ac:dyDescent="0.4">
      <c r="A128" s="587">
        <v>46127</v>
      </c>
      <c r="B128" s="583" t="s">
        <v>58</v>
      </c>
      <c r="C128" s="584" t="s">
        <v>60</v>
      </c>
      <c r="D128" s="583" t="s">
        <v>498</v>
      </c>
      <c r="E128" s="583" t="s">
        <v>13</v>
      </c>
      <c r="F128" s="463">
        <v>16</v>
      </c>
      <c r="G128" s="578">
        <v>673000</v>
      </c>
      <c r="H128" s="463">
        <f t="shared" si="5"/>
        <v>10768000</v>
      </c>
      <c r="I128" s="594" t="s">
        <v>1263</v>
      </c>
      <c r="J128" s="597"/>
      <c r="K128" s="464" t="s">
        <v>1382</v>
      </c>
      <c r="L128" s="593"/>
      <c r="M128" s="416"/>
    </row>
    <row r="129" spans="1:13" s="3" customFormat="1" ht="19.5" customHeight="1" x14ac:dyDescent="0.4">
      <c r="A129" s="598">
        <v>46140</v>
      </c>
      <c r="B129" s="583" t="s">
        <v>58</v>
      </c>
      <c r="C129" s="584" t="s">
        <v>60</v>
      </c>
      <c r="D129" s="583" t="s">
        <v>498</v>
      </c>
      <c r="E129" s="583" t="s">
        <v>13</v>
      </c>
      <c r="F129" s="463">
        <v>27</v>
      </c>
      <c r="G129" s="578">
        <v>673000</v>
      </c>
      <c r="H129" s="463">
        <f t="shared" si="5"/>
        <v>18171000</v>
      </c>
      <c r="I129" s="594" t="s">
        <v>1262</v>
      </c>
      <c r="J129" s="585"/>
      <c r="K129" s="464" t="s">
        <v>1382</v>
      </c>
      <c r="L129" s="586"/>
      <c r="M129" s="89"/>
    </row>
    <row r="130" spans="1:13" s="113" customFormat="1" ht="20.25" customHeight="1" x14ac:dyDescent="0.4">
      <c r="A130" s="582">
        <v>46142</v>
      </c>
      <c r="B130" s="599" t="s">
        <v>58</v>
      </c>
      <c r="C130" s="600" t="s">
        <v>189</v>
      </c>
      <c r="D130" s="188" t="s">
        <v>729</v>
      </c>
      <c r="E130" s="583" t="s">
        <v>11</v>
      </c>
      <c r="F130" s="572">
        <v>40</v>
      </c>
      <c r="G130" s="572">
        <v>489000</v>
      </c>
      <c r="H130" s="463">
        <f t="shared" si="5"/>
        <v>19560000</v>
      </c>
      <c r="I130" s="594" t="s">
        <v>1268</v>
      </c>
      <c r="J130" s="585"/>
      <c r="K130" s="601" t="s">
        <v>1382</v>
      </c>
      <c r="L130" s="586"/>
    </row>
    <row r="131" spans="1:13" s="3" customFormat="1" ht="19.5" customHeight="1" x14ac:dyDescent="0.4">
      <c r="A131" s="582">
        <v>46142</v>
      </c>
      <c r="B131" s="583" t="s">
        <v>58</v>
      </c>
      <c r="C131" s="584" t="s">
        <v>60</v>
      </c>
      <c r="D131" s="602" t="s">
        <v>1266</v>
      </c>
      <c r="E131" s="583" t="s">
        <v>13</v>
      </c>
      <c r="F131" s="603">
        <v>2</v>
      </c>
      <c r="G131" s="604">
        <v>2252000</v>
      </c>
      <c r="H131" s="463">
        <f t="shared" si="5"/>
        <v>4504000</v>
      </c>
      <c r="I131" s="594" t="s">
        <v>1267</v>
      </c>
      <c r="J131" s="585"/>
      <c r="K131" s="464" t="s">
        <v>1382</v>
      </c>
      <c r="L131" s="586"/>
      <c r="M131" s="89"/>
    </row>
    <row r="132" spans="1:13" s="50" customFormat="1" ht="20.25" customHeight="1" x14ac:dyDescent="0.4">
      <c r="A132" s="483"/>
      <c r="B132" s="194" t="s">
        <v>58</v>
      </c>
      <c r="C132" s="40"/>
      <c r="D132" s="194"/>
      <c r="E132" s="194"/>
      <c r="F132" s="91"/>
      <c r="G132" s="138"/>
      <c r="H132" s="138">
        <f>SUM(H88:H104)</f>
        <v>149849000</v>
      </c>
      <c r="I132" s="138">
        <f>SUBTOTAL(9,H105:H131)</f>
        <v>382916000</v>
      </c>
      <c r="J132" s="145"/>
      <c r="K132" s="145">
        <f>SUM(K123:K131)</f>
        <v>0</v>
      </c>
      <c r="L132" s="145"/>
    </row>
    <row r="133" spans="1:13" s="19" customFormat="1" ht="20.25" customHeight="1" x14ac:dyDescent="0.4">
      <c r="A133" s="485">
        <v>46112</v>
      </c>
      <c r="B133" s="5" t="s">
        <v>356</v>
      </c>
      <c r="C133" s="415" t="s">
        <v>345</v>
      </c>
      <c r="D133" s="1" t="s">
        <v>503</v>
      </c>
      <c r="E133" s="1" t="s">
        <v>13</v>
      </c>
      <c r="F133" s="8">
        <v>27</v>
      </c>
      <c r="G133" s="8">
        <v>536960</v>
      </c>
      <c r="H133" s="8">
        <f>F133*G133</f>
        <v>14497920</v>
      </c>
      <c r="I133" s="139">
        <v>46133</v>
      </c>
      <c r="J133" s="8"/>
      <c r="K133" s="398"/>
      <c r="L133" s="140"/>
      <c r="M133" s="31"/>
    </row>
    <row r="134" spans="1:13" s="19" customFormat="1" ht="20.25" customHeight="1" x14ac:dyDescent="0.4">
      <c r="A134" s="485">
        <v>46112</v>
      </c>
      <c r="B134" s="5" t="s">
        <v>356</v>
      </c>
      <c r="C134" s="415" t="s">
        <v>56</v>
      </c>
      <c r="D134" s="1" t="s">
        <v>503</v>
      </c>
      <c r="E134" s="1" t="s">
        <v>13</v>
      </c>
      <c r="F134" s="8">
        <v>3</v>
      </c>
      <c r="G134" s="8">
        <v>536960</v>
      </c>
      <c r="H134" s="525" t="s">
        <v>1240</v>
      </c>
      <c r="I134" s="139">
        <v>46133</v>
      </c>
      <c r="J134" s="8"/>
      <c r="K134" s="398"/>
      <c r="L134" s="140"/>
      <c r="M134" s="31"/>
    </row>
    <row r="135" spans="1:13" s="50" customFormat="1" ht="20.25" customHeight="1" x14ac:dyDescent="0.4">
      <c r="A135" s="484">
        <v>46133</v>
      </c>
      <c r="B135" s="59" t="s">
        <v>356</v>
      </c>
      <c r="C135" s="525" t="s">
        <v>56</v>
      </c>
      <c r="D135" s="59" t="s">
        <v>1269</v>
      </c>
      <c r="E135" s="59" t="s">
        <v>13</v>
      </c>
      <c r="F135" s="525">
        <v>1</v>
      </c>
      <c r="G135" s="525">
        <v>536960</v>
      </c>
      <c r="H135" s="525" t="s">
        <v>1240</v>
      </c>
      <c r="I135" s="409"/>
      <c r="J135" s="59"/>
      <c r="K135" s="67"/>
      <c r="L135" s="67"/>
    </row>
    <row r="136" spans="1:13" s="50" customFormat="1" ht="20.25" customHeight="1" x14ac:dyDescent="0.4">
      <c r="A136" s="484">
        <v>46142</v>
      </c>
      <c r="B136" s="59" t="s">
        <v>356</v>
      </c>
      <c r="C136" s="525" t="s">
        <v>56</v>
      </c>
      <c r="D136" s="59" t="s">
        <v>1269</v>
      </c>
      <c r="E136" s="59" t="s">
        <v>13</v>
      </c>
      <c r="F136" s="526">
        <v>20</v>
      </c>
      <c r="G136" s="525">
        <v>536960</v>
      </c>
      <c r="H136" s="525">
        <f>F136*G136</f>
        <v>10739200</v>
      </c>
      <c r="I136" s="409" t="s">
        <v>1382</v>
      </c>
      <c r="J136" s="59"/>
      <c r="K136" s="67"/>
      <c r="L136" s="67"/>
    </row>
    <row r="137" spans="1:13" s="50" customFormat="1" ht="20.25" customHeight="1" x14ac:dyDescent="0.4">
      <c r="A137" s="483"/>
      <c r="B137" s="194"/>
      <c r="C137" s="40"/>
      <c r="D137" s="194"/>
      <c r="E137" s="194"/>
      <c r="F137" s="91"/>
      <c r="G137" s="138"/>
      <c r="H137" s="138">
        <f>SUM(H133:H135)</f>
        <v>14497920</v>
      </c>
      <c r="I137" s="138">
        <f>G135*31</f>
        <v>16645760</v>
      </c>
      <c r="J137" s="145"/>
      <c r="K137" s="145"/>
      <c r="L137" s="145"/>
    </row>
    <row r="138" spans="1:13" s="3" customFormat="1" ht="18.75" customHeight="1" x14ac:dyDescent="0.4">
      <c r="A138" s="488">
        <v>46115</v>
      </c>
      <c r="B138" s="106" t="s">
        <v>61</v>
      </c>
      <c r="C138" s="115" t="s">
        <v>73</v>
      </c>
      <c r="D138" s="459" t="s">
        <v>288</v>
      </c>
      <c r="E138" s="42"/>
      <c r="F138" s="117">
        <v>3</v>
      </c>
      <c r="G138" s="8">
        <v>390000</v>
      </c>
      <c r="H138" s="8">
        <v>1170000</v>
      </c>
      <c r="I138" s="137" t="s">
        <v>1089</v>
      </c>
      <c r="J138" s="489">
        <v>46106</v>
      </c>
      <c r="K138" s="8"/>
      <c r="L138" s="490"/>
      <c r="M138" s="113"/>
    </row>
    <row r="139" spans="1:13" s="50" customFormat="1" ht="20.25" customHeight="1" x14ac:dyDescent="0.3">
      <c r="A139" s="484">
        <v>46115</v>
      </c>
      <c r="B139" s="106" t="s">
        <v>61</v>
      </c>
      <c r="C139" s="527" t="s">
        <v>428</v>
      </c>
      <c r="D139" s="59" t="s">
        <v>289</v>
      </c>
      <c r="E139" s="67" ph="1"/>
      <c r="F139" s="525" ph="1">
        <v>6</v>
      </c>
      <c r="G139" s="525" ph="1">
        <v>390000</v>
      </c>
      <c r="H139" s="525">
        <v>2340000</v>
      </c>
      <c r="I139" s="67" t="s">
        <v>738</v>
      </c>
      <c r="J139" s="484">
        <v>46050</v>
      </c>
      <c r="K139" s="59"/>
      <c r="L139" s="67"/>
    </row>
    <row r="140" spans="1:13" s="50" customFormat="1" ht="20.25" customHeight="1" x14ac:dyDescent="0.3">
      <c r="A140" s="484">
        <v>46115</v>
      </c>
      <c r="B140" s="106" t="s">
        <v>61</v>
      </c>
      <c r="C140" s="527" t="s">
        <v>62</v>
      </c>
      <c r="D140" s="59" t="s">
        <v>75</v>
      </c>
      <c r="E140" s="67" ph="1"/>
      <c r="F140" s="525" ph="1">
        <v>5</v>
      </c>
      <c r="G140" s="525" ph="1">
        <v>442000</v>
      </c>
      <c r="H140" s="525">
        <v>2210000</v>
      </c>
      <c r="I140" s="67" t="s">
        <v>920</v>
      </c>
      <c r="J140" s="484">
        <v>46078</v>
      </c>
      <c r="K140" s="59"/>
      <c r="L140" s="67"/>
    </row>
    <row r="141" spans="1:13" s="50" customFormat="1" ht="20.25" customHeight="1" x14ac:dyDescent="0.3">
      <c r="A141" s="484">
        <v>46115</v>
      </c>
      <c r="B141" s="106" t="s">
        <v>61</v>
      </c>
      <c r="C141" s="527" t="s">
        <v>103</v>
      </c>
      <c r="D141" s="59" t="s">
        <v>104</v>
      </c>
      <c r="E141" s="67" ph="1"/>
      <c r="F141" s="525" ph="1">
        <v>4</v>
      </c>
      <c r="G141" s="525" ph="1">
        <v>204010</v>
      </c>
      <c r="H141" s="525">
        <v>816040</v>
      </c>
      <c r="I141" s="67" t="s">
        <v>1081</v>
      </c>
      <c r="J141" s="484">
        <v>46108</v>
      </c>
      <c r="K141" s="59"/>
      <c r="L141" s="67"/>
    </row>
    <row r="142" spans="1:13" s="50" customFormat="1" ht="20.25" customHeight="1" x14ac:dyDescent="0.3">
      <c r="A142" s="484">
        <v>46115</v>
      </c>
      <c r="B142" s="106" t="s">
        <v>61</v>
      </c>
      <c r="C142" s="527" t="s">
        <v>900</v>
      </c>
      <c r="D142" s="59" t="s">
        <v>902</v>
      </c>
      <c r="E142" s="67" ph="1"/>
      <c r="F142" s="525" ph="1">
        <v>12</v>
      </c>
      <c r="G142" s="525" ph="1">
        <v>68340</v>
      </c>
      <c r="H142" s="525">
        <v>820080</v>
      </c>
      <c r="I142" s="67" t="s">
        <v>891</v>
      </c>
      <c r="J142" s="484">
        <v>46084</v>
      </c>
      <c r="K142" s="59"/>
      <c r="L142" s="67"/>
    </row>
    <row r="143" spans="1:13" s="50" customFormat="1" ht="20.25" customHeight="1" x14ac:dyDescent="0.3">
      <c r="A143" s="484">
        <v>46115</v>
      </c>
      <c r="B143" s="106" t="s">
        <v>61</v>
      </c>
      <c r="C143" s="527" t="s">
        <v>900</v>
      </c>
      <c r="D143" s="59" t="s">
        <v>902</v>
      </c>
      <c r="E143" s="67" ph="1"/>
      <c r="F143" s="525" ph="1">
        <v>28</v>
      </c>
      <c r="G143" s="525" ph="1">
        <v>68340</v>
      </c>
      <c r="H143" s="525">
        <v>1913520</v>
      </c>
      <c r="I143" s="67" t="s">
        <v>1081</v>
      </c>
      <c r="J143" s="484">
        <v>46108</v>
      </c>
      <c r="K143" s="59"/>
      <c r="L143" s="67"/>
    </row>
    <row r="144" spans="1:13" s="50" customFormat="1" ht="20.25" customHeight="1" x14ac:dyDescent="0.3">
      <c r="A144" s="484">
        <v>46115</v>
      </c>
      <c r="B144" s="106" t="s">
        <v>61</v>
      </c>
      <c r="C144" s="527" t="s">
        <v>103</v>
      </c>
      <c r="D144" s="59" t="s">
        <v>104</v>
      </c>
      <c r="E144" s="67" ph="1"/>
      <c r="F144" s="525" ph="1">
        <v>4</v>
      </c>
      <c r="G144" s="525" ph="1">
        <v>220000</v>
      </c>
      <c r="H144" s="525">
        <v>880000</v>
      </c>
      <c r="I144" s="67" t="s">
        <v>891</v>
      </c>
      <c r="J144" s="484">
        <v>46106</v>
      </c>
      <c r="K144" s="59"/>
      <c r="L144" s="67"/>
    </row>
    <row r="145" spans="1:12" s="50" customFormat="1" ht="20.25" customHeight="1" x14ac:dyDescent="0.3">
      <c r="A145" s="484">
        <v>46115</v>
      </c>
      <c r="B145" s="106" t="s">
        <v>61</v>
      </c>
      <c r="C145" s="527" t="s">
        <v>898</v>
      </c>
      <c r="D145" s="59" t="s">
        <v>899</v>
      </c>
      <c r="E145" s="67" ph="1"/>
      <c r="F145" s="525" ph="1">
        <v>5</v>
      </c>
      <c r="G145" s="525" ph="1">
        <v>350000</v>
      </c>
      <c r="H145" s="525">
        <v>1750000</v>
      </c>
      <c r="I145" s="67" t="s">
        <v>891</v>
      </c>
      <c r="J145" s="484">
        <v>46084</v>
      </c>
      <c r="K145" s="59"/>
      <c r="L145" s="67"/>
    </row>
    <row r="146" spans="1:12" s="50" customFormat="1" ht="20.25" customHeight="1" x14ac:dyDescent="0.3">
      <c r="A146" s="484">
        <v>46115</v>
      </c>
      <c r="B146" s="106" t="s">
        <v>61</v>
      </c>
      <c r="C146" s="527" t="s">
        <v>358</v>
      </c>
      <c r="D146" s="59" t="s">
        <v>359</v>
      </c>
      <c r="E146" s="67" ph="1"/>
      <c r="F146" s="525" ph="1">
        <v>3</v>
      </c>
      <c r="G146" s="525" ph="1">
        <v>318000</v>
      </c>
      <c r="H146" s="525">
        <v>954000</v>
      </c>
      <c r="I146" s="67" t="s">
        <v>70</v>
      </c>
      <c r="J146" s="484">
        <v>46084</v>
      </c>
      <c r="K146" s="59"/>
      <c r="L146" s="67"/>
    </row>
    <row r="147" spans="1:12" s="50" customFormat="1" ht="20.25" customHeight="1" x14ac:dyDescent="0.3">
      <c r="A147" s="484">
        <v>46115</v>
      </c>
      <c r="B147" s="106" t="s">
        <v>61</v>
      </c>
      <c r="C147" s="527" t="s">
        <v>105</v>
      </c>
      <c r="D147" s="59" t="s">
        <v>1270</v>
      </c>
      <c r="E147" s="67" ph="1"/>
      <c r="F147" s="525" ph="1">
        <v>1</v>
      </c>
      <c r="G147" s="525" ph="1">
        <v>248000</v>
      </c>
      <c r="H147" s="525">
        <v>248000</v>
      </c>
      <c r="I147" s="67" t="s">
        <v>929</v>
      </c>
      <c r="J147" s="484">
        <v>46105</v>
      </c>
      <c r="K147" s="59"/>
      <c r="L147" s="67"/>
    </row>
    <row r="148" spans="1:12" s="50" customFormat="1" ht="20.25" customHeight="1" x14ac:dyDescent="0.3">
      <c r="A148" s="484">
        <v>46118</v>
      </c>
      <c r="B148" s="106" t="s">
        <v>61</v>
      </c>
      <c r="C148" s="527" t="s">
        <v>904</v>
      </c>
      <c r="D148" s="59" t="s">
        <v>906</v>
      </c>
      <c r="E148" s="67" ph="1"/>
      <c r="F148" s="525" ph="1">
        <v>2</v>
      </c>
      <c r="G148" s="525" ph="1">
        <v>1103490</v>
      </c>
      <c r="H148" s="525">
        <v>2206980</v>
      </c>
      <c r="I148" s="67" t="s">
        <v>1081</v>
      </c>
      <c r="J148" s="484">
        <v>46108</v>
      </c>
      <c r="K148" s="59"/>
      <c r="L148" s="67"/>
    </row>
    <row r="149" spans="1:12" s="50" customFormat="1" ht="20.25" customHeight="1" x14ac:dyDescent="0.3">
      <c r="A149" s="484">
        <v>46118</v>
      </c>
      <c r="B149" s="106" t="s">
        <v>61</v>
      </c>
      <c r="C149" s="527" t="s">
        <v>190</v>
      </c>
      <c r="D149" s="59" t="s">
        <v>214</v>
      </c>
      <c r="E149" s="67" ph="1"/>
      <c r="F149" s="525" ph="1">
        <v>1</v>
      </c>
      <c r="G149" s="525" ph="1">
        <v>164850</v>
      </c>
      <c r="H149" s="525">
        <v>164850</v>
      </c>
      <c r="I149" s="67" t="s">
        <v>1081</v>
      </c>
      <c r="J149" s="484">
        <v>46108</v>
      </c>
      <c r="K149" s="59"/>
      <c r="L149" s="67"/>
    </row>
    <row r="150" spans="1:12" s="50" customFormat="1" ht="20.25" customHeight="1" x14ac:dyDescent="0.3">
      <c r="A150" s="484">
        <v>46118</v>
      </c>
      <c r="B150" s="106" t="s">
        <v>61</v>
      </c>
      <c r="C150" s="527" t="s">
        <v>916</v>
      </c>
      <c r="D150" s="59" t="s">
        <v>917</v>
      </c>
      <c r="E150" s="67" ph="1"/>
      <c r="F150" s="525" ph="1">
        <v>1</v>
      </c>
      <c r="G150" s="525" ph="1">
        <v>811200</v>
      </c>
      <c r="H150" s="525">
        <v>811200</v>
      </c>
      <c r="I150" s="67" t="s">
        <v>891</v>
      </c>
      <c r="J150" s="484">
        <v>46084</v>
      </c>
      <c r="K150" s="59"/>
      <c r="L150" s="67"/>
    </row>
    <row r="151" spans="1:12" s="50" customFormat="1" ht="20.25" customHeight="1" x14ac:dyDescent="0.4">
      <c r="A151" s="484">
        <v>46118</v>
      </c>
      <c r="B151" s="106" t="s">
        <v>61</v>
      </c>
      <c r="C151" s="527" t="s">
        <v>916</v>
      </c>
      <c r="D151" s="59" t="s">
        <v>917</v>
      </c>
      <c r="E151" s="67"/>
      <c r="F151" s="525">
        <v>2</v>
      </c>
      <c r="G151" s="525">
        <v>811200</v>
      </c>
      <c r="H151" s="525">
        <v>1622400</v>
      </c>
      <c r="I151" s="67" t="s">
        <v>1081</v>
      </c>
      <c r="J151" s="484">
        <v>46108</v>
      </c>
      <c r="K151" s="59"/>
      <c r="L151" s="67"/>
    </row>
    <row r="152" spans="1:12" s="50" customFormat="1" ht="20.25" customHeight="1" x14ac:dyDescent="0.4">
      <c r="A152" s="484">
        <v>46118</v>
      </c>
      <c r="B152" s="106" t="s">
        <v>61</v>
      </c>
      <c r="C152" s="527" t="s">
        <v>103</v>
      </c>
      <c r="D152" s="59" t="s">
        <v>104</v>
      </c>
      <c r="E152" s="67"/>
      <c r="F152" s="525">
        <v>4</v>
      </c>
      <c r="G152" s="525">
        <v>220000</v>
      </c>
      <c r="H152" s="525">
        <v>880000</v>
      </c>
      <c r="I152" s="67" t="s">
        <v>212</v>
      </c>
      <c r="J152" s="484">
        <v>46017</v>
      </c>
      <c r="K152" s="59"/>
      <c r="L152" s="67"/>
    </row>
    <row r="153" spans="1:12" s="50" customFormat="1" ht="20.25" customHeight="1" x14ac:dyDescent="0.4">
      <c r="A153" s="484">
        <v>46118</v>
      </c>
      <c r="B153" s="106" t="s">
        <v>61</v>
      </c>
      <c r="C153" s="527" t="s">
        <v>103</v>
      </c>
      <c r="D153" s="59" t="s">
        <v>104</v>
      </c>
      <c r="E153" s="67"/>
      <c r="F153" s="525">
        <v>3</v>
      </c>
      <c r="G153" s="525">
        <v>220000</v>
      </c>
      <c r="H153" s="525">
        <v>660000</v>
      </c>
      <c r="I153" s="67" t="s">
        <v>212</v>
      </c>
      <c r="J153" s="484">
        <v>46015</v>
      </c>
      <c r="K153" s="59"/>
      <c r="L153" s="67"/>
    </row>
    <row r="154" spans="1:12" s="50" customFormat="1" ht="20.25" customHeight="1" x14ac:dyDescent="0.4">
      <c r="A154" s="484">
        <v>46118</v>
      </c>
      <c r="B154" s="106" t="s">
        <v>61</v>
      </c>
      <c r="C154" s="527" t="s">
        <v>103</v>
      </c>
      <c r="D154" s="59" t="s">
        <v>104</v>
      </c>
      <c r="E154" s="67"/>
      <c r="F154" s="525">
        <v>2</v>
      </c>
      <c r="G154" s="525">
        <v>220000</v>
      </c>
      <c r="H154" s="525">
        <v>440000</v>
      </c>
      <c r="I154" s="67" t="s">
        <v>213</v>
      </c>
      <c r="J154" s="484">
        <v>46064</v>
      </c>
      <c r="K154" s="59"/>
      <c r="L154" s="67"/>
    </row>
    <row r="155" spans="1:12" s="50" customFormat="1" ht="20.25" customHeight="1" x14ac:dyDescent="0.4">
      <c r="A155" s="484">
        <v>46119</v>
      </c>
      <c r="B155" s="106" t="s">
        <v>61</v>
      </c>
      <c r="C155" s="527" t="s">
        <v>71</v>
      </c>
      <c r="D155" s="59" t="s">
        <v>72</v>
      </c>
      <c r="E155" s="67"/>
      <c r="F155" s="525">
        <v>3</v>
      </c>
      <c r="G155" s="525">
        <v>548000</v>
      </c>
      <c r="H155" s="525">
        <v>1644000</v>
      </c>
      <c r="I155" s="67" t="s">
        <v>887</v>
      </c>
      <c r="J155" s="484">
        <v>46073</v>
      </c>
      <c r="K155" s="59"/>
      <c r="L155" s="67"/>
    </row>
    <row r="156" spans="1:12" s="50" customFormat="1" ht="20.25" customHeight="1" x14ac:dyDescent="0.4">
      <c r="A156" s="484">
        <v>46119</v>
      </c>
      <c r="B156" s="106" t="s">
        <v>61</v>
      </c>
      <c r="C156" s="527" t="s">
        <v>71</v>
      </c>
      <c r="D156" s="59" t="s">
        <v>72</v>
      </c>
      <c r="E156" s="67"/>
      <c r="F156" s="525">
        <v>3</v>
      </c>
      <c r="G156" s="525">
        <v>548000</v>
      </c>
      <c r="H156" s="525">
        <v>1644000</v>
      </c>
      <c r="I156" s="67" t="s">
        <v>1077</v>
      </c>
      <c r="J156" s="484">
        <v>46090</v>
      </c>
      <c r="K156" s="59"/>
      <c r="L156" s="67"/>
    </row>
    <row r="157" spans="1:12" s="50" customFormat="1" ht="20.25" customHeight="1" x14ac:dyDescent="0.4">
      <c r="A157" s="484">
        <v>46119</v>
      </c>
      <c r="B157" s="106" t="s">
        <v>61</v>
      </c>
      <c r="C157" s="527" t="s">
        <v>62</v>
      </c>
      <c r="D157" s="59" t="s">
        <v>75</v>
      </c>
      <c r="E157" s="67"/>
      <c r="F157" s="525">
        <v>3</v>
      </c>
      <c r="G157" s="525">
        <v>442000</v>
      </c>
      <c r="H157" s="525">
        <v>1326000</v>
      </c>
      <c r="I157" s="67" t="s">
        <v>1077</v>
      </c>
      <c r="J157" s="484">
        <v>46090</v>
      </c>
      <c r="K157" s="59"/>
      <c r="L157" s="67"/>
    </row>
    <row r="158" spans="1:12" s="50" customFormat="1" ht="20.25" customHeight="1" x14ac:dyDescent="0.4">
      <c r="A158" s="484">
        <v>46119</v>
      </c>
      <c r="B158" s="106" t="s">
        <v>61</v>
      </c>
      <c r="C158" s="527" t="s">
        <v>192</v>
      </c>
      <c r="D158" s="59" t="s">
        <v>193</v>
      </c>
      <c r="E158" s="67"/>
      <c r="F158" s="525">
        <v>2</v>
      </c>
      <c r="G158" s="525">
        <v>218000</v>
      </c>
      <c r="H158" s="525">
        <v>436000</v>
      </c>
      <c r="I158" s="67" t="s">
        <v>70</v>
      </c>
      <c r="J158" s="484">
        <v>46053</v>
      </c>
      <c r="K158" s="59"/>
      <c r="L158" s="67"/>
    </row>
    <row r="159" spans="1:12" s="50" customFormat="1" ht="20.25" customHeight="1" x14ac:dyDescent="0.4">
      <c r="A159" s="484">
        <v>46119</v>
      </c>
      <c r="B159" s="106" t="s">
        <v>61</v>
      </c>
      <c r="C159" s="527" t="s">
        <v>192</v>
      </c>
      <c r="D159" s="59" t="s">
        <v>193</v>
      </c>
      <c r="E159" s="67"/>
      <c r="F159" s="525">
        <v>1</v>
      </c>
      <c r="G159" s="525">
        <v>218000</v>
      </c>
      <c r="H159" s="525">
        <v>218000</v>
      </c>
      <c r="I159" s="67" t="s">
        <v>70</v>
      </c>
      <c r="J159" s="484">
        <v>46063</v>
      </c>
      <c r="K159" s="59"/>
      <c r="L159" s="67"/>
    </row>
    <row r="160" spans="1:12" s="50" customFormat="1" ht="20.25" customHeight="1" x14ac:dyDescent="0.4">
      <c r="A160" s="484">
        <v>46119</v>
      </c>
      <c r="B160" s="106" t="s">
        <v>61</v>
      </c>
      <c r="C160" s="527" t="s">
        <v>192</v>
      </c>
      <c r="D160" s="59" t="s">
        <v>193</v>
      </c>
      <c r="E160" s="67"/>
      <c r="F160" s="525">
        <v>6</v>
      </c>
      <c r="G160" s="525">
        <v>218000</v>
      </c>
      <c r="H160" s="525">
        <v>1308000</v>
      </c>
      <c r="I160" s="67" t="s">
        <v>70</v>
      </c>
      <c r="J160" s="484">
        <v>46073</v>
      </c>
      <c r="K160" s="59"/>
      <c r="L160" s="67"/>
    </row>
    <row r="161" spans="1:12" s="50" customFormat="1" ht="20.25" customHeight="1" x14ac:dyDescent="0.4">
      <c r="A161" s="484">
        <v>46119</v>
      </c>
      <c r="B161" s="106" t="s">
        <v>61</v>
      </c>
      <c r="C161" s="527" t="s">
        <v>192</v>
      </c>
      <c r="D161" s="59" t="s">
        <v>193</v>
      </c>
      <c r="E161" s="67"/>
      <c r="F161" s="525">
        <v>7</v>
      </c>
      <c r="G161" s="525">
        <v>218000</v>
      </c>
      <c r="H161" s="525">
        <v>1526000</v>
      </c>
      <c r="I161" s="67" t="s">
        <v>70</v>
      </c>
      <c r="J161" s="484">
        <v>46084</v>
      </c>
      <c r="K161" s="59"/>
      <c r="L161" s="67"/>
    </row>
    <row r="162" spans="1:12" s="50" customFormat="1" ht="20.25" customHeight="1" x14ac:dyDescent="0.4">
      <c r="A162" s="484">
        <v>46120</v>
      </c>
      <c r="B162" s="106" t="s">
        <v>61</v>
      </c>
      <c r="C162" s="527" t="s">
        <v>66</v>
      </c>
      <c r="D162" s="59" t="s">
        <v>1080</v>
      </c>
      <c r="E162" s="67"/>
      <c r="F162" s="525">
        <v>9</v>
      </c>
      <c r="G162" s="525">
        <v>1766050</v>
      </c>
      <c r="H162" s="525">
        <v>15894450</v>
      </c>
      <c r="I162" s="67" t="s">
        <v>918</v>
      </c>
      <c r="J162" s="484">
        <v>46085</v>
      </c>
      <c r="K162" s="59"/>
      <c r="L162" s="67"/>
    </row>
    <row r="163" spans="1:12" s="50" customFormat="1" ht="20.25" customHeight="1" x14ac:dyDescent="0.4">
      <c r="A163" s="484">
        <v>46120</v>
      </c>
      <c r="B163" s="106" t="s">
        <v>61</v>
      </c>
      <c r="C163" s="527" t="s">
        <v>78</v>
      </c>
      <c r="D163" s="59" t="s">
        <v>1047</v>
      </c>
      <c r="E163" s="67"/>
      <c r="F163" s="525">
        <v>12</v>
      </c>
      <c r="G163" s="525">
        <v>82650</v>
      </c>
      <c r="H163" s="525">
        <v>991800</v>
      </c>
      <c r="I163" s="67" t="s">
        <v>1089</v>
      </c>
      <c r="J163" s="484">
        <v>46106</v>
      </c>
      <c r="K163" s="59"/>
      <c r="L163" s="67"/>
    </row>
    <row r="164" spans="1:12" s="50" customFormat="1" ht="20.25" customHeight="1" x14ac:dyDescent="0.4">
      <c r="A164" s="484">
        <v>46120</v>
      </c>
      <c r="B164" s="106" t="s">
        <v>61</v>
      </c>
      <c r="C164" s="527" t="s">
        <v>428</v>
      </c>
      <c r="D164" s="59" t="s">
        <v>289</v>
      </c>
      <c r="E164" s="67"/>
      <c r="F164" s="525">
        <v>8</v>
      </c>
      <c r="G164" s="525">
        <v>390000</v>
      </c>
      <c r="H164" s="525">
        <v>3120000</v>
      </c>
      <c r="I164" s="67" t="s">
        <v>918</v>
      </c>
      <c r="J164" s="484">
        <v>46085</v>
      </c>
      <c r="K164" s="59"/>
      <c r="L164" s="67"/>
    </row>
    <row r="165" spans="1:12" s="50" customFormat="1" ht="20.25" customHeight="1" x14ac:dyDescent="0.4">
      <c r="A165" s="484">
        <v>46120</v>
      </c>
      <c r="B165" s="106" t="s">
        <v>61</v>
      </c>
      <c r="C165" s="527" t="s">
        <v>78</v>
      </c>
      <c r="D165" s="59" t="s">
        <v>79</v>
      </c>
      <c r="E165" s="67"/>
      <c r="F165" s="525">
        <v>8</v>
      </c>
      <c r="G165" s="525">
        <v>90500</v>
      </c>
      <c r="H165" s="525">
        <v>724000</v>
      </c>
      <c r="I165" s="67" t="s">
        <v>1088</v>
      </c>
      <c r="J165" s="484">
        <v>46113</v>
      </c>
      <c r="K165" s="59"/>
      <c r="L165" s="67"/>
    </row>
    <row r="166" spans="1:12" s="50" customFormat="1" ht="20.25" customHeight="1" x14ac:dyDescent="0.4">
      <c r="A166" s="484">
        <v>46120</v>
      </c>
      <c r="B166" s="106" t="s">
        <v>61</v>
      </c>
      <c r="C166" s="527" t="s">
        <v>62</v>
      </c>
      <c r="D166" s="59" t="s">
        <v>75</v>
      </c>
      <c r="E166" s="67"/>
      <c r="F166" s="525">
        <v>1</v>
      </c>
      <c r="G166" s="525">
        <v>442000</v>
      </c>
      <c r="H166" s="525">
        <v>442000</v>
      </c>
      <c r="I166" s="67" t="s">
        <v>920</v>
      </c>
      <c r="J166" s="484">
        <v>46078</v>
      </c>
      <c r="K166" s="59"/>
      <c r="L166" s="67"/>
    </row>
    <row r="167" spans="1:12" s="50" customFormat="1" ht="20.25" customHeight="1" x14ac:dyDescent="0.4">
      <c r="A167" s="484">
        <v>46120</v>
      </c>
      <c r="B167" s="106" t="s">
        <v>61</v>
      </c>
      <c r="C167" s="527" t="s">
        <v>62</v>
      </c>
      <c r="D167" s="59" t="s">
        <v>75</v>
      </c>
      <c r="E167" s="67"/>
      <c r="F167" s="525">
        <v>12</v>
      </c>
      <c r="G167" s="525">
        <v>442000</v>
      </c>
      <c r="H167" s="525">
        <v>5304000</v>
      </c>
      <c r="I167" s="67" t="s">
        <v>1076</v>
      </c>
      <c r="J167" s="484">
        <v>46092</v>
      </c>
      <c r="K167" s="59"/>
      <c r="L167" s="67"/>
    </row>
    <row r="168" spans="1:12" s="50" customFormat="1" ht="20.25" customHeight="1" x14ac:dyDescent="0.4">
      <c r="A168" s="484">
        <v>46120</v>
      </c>
      <c r="B168" s="106" t="s">
        <v>61</v>
      </c>
      <c r="C168" s="527" t="s">
        <v>66</v>
      </c>
      <c r="D168" s="59" t="s">
        <v>195</v>
      </c>
      <c r="E168" s="67"/>
      <c r="F168" s="525">
        <v>2</v>
      </c>
      <c r="G168" s="525">
        <v>1917500</v>
      </c>
      <c r="H168" s="525">
        <v>3835000</v>
      </c>
      <c r="I168" s="67" t="s">
        <v>920</v>
      </c>
      <c r="J168" s="484">
        <v>46078</v>
      </c>
      <c r="K168" s="59"/>
      <c r="L168" s="67"/>
    </row>
    <row r="169" spans="1:12" s="50" customFormat="1" ht="20.25" customHeight="1" x14ac:dyDescent="0.4">
      <c r="A169" s="484">
        <v>46120</v>
      </c>
      <c r="B169" s="106" t="s">
        <v>61</v>
      </c>
      <c r="C169" s="527" t="s">
        <v>66</v>
      </c>
      <c r="D169" s="59" t="s">
        <v>195</v>
      </c>
      <c r="E169" s="67"/>
      <c r="F169" s="525">
        <v>5</v>
      </c>
      <c r="G169" s="525">
        <v>1917500</v>
      </c>
      <c r="H169" s="525">
        <v>9587500</v>
      </c>
      <c r="I169" s="67" t="s">
        <v>1088</v>
      </c>
      <c r="J169" s="484">
        <v>46113</v>
      </c>
      <c r="K169" s="59"/>
      <c r="L169" s="67"/>
    </row>
    <row r="170" spans="1:12" s="50" customFormat="1" ht="20.25" customHeight="1" x14ac:dyDescent="0.4">
      <c r="A170" s="484">
        <v>46120</v>
      </c>
      <c r="B170" s="106" t="s">
        <v>61</v>
      </c>
      <c r="C170" s="527" t="s">
        <v>66</v>
      </c>
      <c r="D170" s="59" t="s">
        <v>195</v>
      </c>
      <c r="E170" s="67"/>
      <c r="F170" s="525">
        <v>12</v>
      </c>
      <c r="G170" s="525">
        <v>1917500</v>
      </c>
      <c r="H170" s="525">
        <v>23010000</v>
      </c>
      <c r="I170" s="67" t="s">
        <v>1076</v>
      </c>
      <c r="J170" s="484">
        <v>46092</v>
      </c>
      <c r="K170" s="59"/>
      <c r="L170" s="67"/>
    </row>
    <row r="171" spans="1:12" s="50" customFormat="1" ht="20.25" customHeight="1" x14ac:dyDescent="0.4">
      <c r="A171" s="484">
        <v>46120</v>
      </c>
      <c r="B171" s="106" t="s">
        <v>61</v>
      </c>
      <c r="C171" s="527" t="s">
        <v>78</v>
      </c>
      <c r="D171" s="59" t="s">
        <v>1100</v>
      </c>
      <c r="E171" s="67"/>
      <c r="F171" s="525">
        <v>1</v>
      </c>
      <c r="G171" s="525">
        <v>90500</v>
      </c>
      <c r="H171" s="525">
        <v>90500</v>
      </c>
      <c r="I171" s="67" t="s">
        <v>929</v>
      </c>
      <c r="J171" s="484">
        <v>46121</v>
      </c>
      <c r="K171" s="59"/>
      <c r="L171" s="67"/>
    </row>
    <row r="172" spans="1:12" s="50" customFormat="1" ht="20.25" customHeight="1" x14ac:dyDescent="0.4">
      <c r="A172" s="484">
        <v>46125</v>
      </c>
      <c r="B172" s="106" t="s">
        <v>61</v>
      </c>
      <c r="C172" s="527" t="s">
        <v>78</v>
      </c>
      <c r="D172" s="59" t="s">
        <v>79</v>
      </c>
      <c r="E172" s="67"/>
      <c r="F172" s="525">
        <v>6</v>
      </c>
      <c r="G172" s="525">
        <v>90500</v>
      </c>
      <c r="H172" s="525">
        <v>543000</v>
      </c>
      <c r="I172" s="67" t="s">
        <v>1275</v>
      </c>
      <c r="J172" s="484">
        <v>46128</v>
      </c>
      <c r="K172" s="59"/>
      <c r="L172" s="67"/>
    </row>
    <row r="173" spans="1:12" s="50" customFormat="1" ht="20.25" customHeight="1" x14ac:dyDescent="0.4">
      <c r="A173" s="484">
        <v>46125</v>
      </c>
      <c r="B173" s="106" t="s">
        <v>61</v>
      </c>
      <c r="C173" s="527" t="s">
        <v>78</v>
      </c>
      <c r="D173" s="59" t="s">
        <v>79</v>
      </c>
      <c r="E173" s="67"/>
      <c r="F173" s="525">
        <v>4</v>
      </c>
      <c r="G173" s="525">
        <v>90500</v>
      </c>
      <c r="H173" s="525">
        <v>362000</v>
      </c>
      <c r="I173" s="67" t="s">
        <v>1274</v>
      </c>
      <c r="J173" s="484">
        <v>46128</v>
      </c>
      <c r="K173" s="59"/>
      <c r="L173" s="67"/>
    </row>
    <row r="174" spans="1:12" s="50" customFormat="1" ht="20.25" customHeight="1" x14ac:dyDescent="0.4">
      <c r="A174" s="484">
        <v>46125</v>
      </c>
      <c r="B174" s="106" t="s">
        <v>61</v>
      </c>
      <c r="C174" s="527" t="s">
        <v>115</v>
      </c>
      <c r="D174" s="59" t="s">
        <v>116</v>
      </c>
      <c r="E174" s="67"/>
      <c r="F174" s="525">
        <v>4</v>
      </c>
      <c r="G174" s="525">
        <v>187000</v>
      </c>
      <c r="H174" s="525">
        <v>748000</v>
      </c>
      <c r="I174" s="67" t="s">
        <v>70</v>
      </c>
      <c r="J174" s="484">
        <v>46122</v>
      </c>
      <c r="K174" s="59"/>
      <c r="L174" s="67"/>
    </row>
    <row r="175" spans="1:12" s="50" customFormat="1" ht="20.25" customHeight="1" x14ac:dyDescent="0.4">
      <c r="A175" s="484">
        <v>46125</v>
      </c>
      <c r="B175" s="106" t="s">
        <v>61</v>
      </c>
      <c r="C175" s="527" t="s">
        <v>93</v>
      </c>
      <c r="D175" s="59" t="s">
        <v>94</v>
      </c>
      <c r="E175" s="67"/>
      <c r="F175" s="525">
        <v>5</v>
      </c>
      <c r="G175" s="525">
        <v>235000</v>
      </c>
      <c r="H175" s="525">
        <v>1175000</v>
      </c>
      <c r="I175" s="67" t="s">
        <v>70</v>
      </c>
      <c r="J175" s="484">
        <v>46122</v>
      </c>
      <c r="K175" s="59"/>
      <c r="L175" s="67"/>
    </row>
    <row r="176" spans="1:12" s="50" customFormat="1" ht="20.25" customHeight="1" x14ac:dyDescent="0.4">
      <c r="A176" s="484">
        <v>46125</v>
      </c>
      <c r="B176" s="106" t="s">
        <v>61</v>
      </c>
      <c r="C176" s="527" t="s">
        <v>290</v>
      </c>
      <c r="D176" s="59" t="s">
        <v>291</v>
      </c>
      <c r="E176" s="67"/>
      <c r="F176" s="525">
        <v>2</v>
      </c>
      <c r="G176" s="525">
        <v>129000</v>
      </c>
      <c r="H176" s="525">
        <v>258000</v>
      </c>
      <c r="I176" s="67" t="s">
        <v>70</v>
      </c>
      <c r="J176" s="484">
        <v>46094</v>
      </c>
      <c r="K176" s="59"/>
      <c r="L176" s="67"/>
    </row>
    <row r="177" spans="1:13" s="50" customFormat="1" ht="20.25" customHeight="1" x14ac:dyDescent="0.4">
      <c r="A177" s="484">
        <v>46125</v>
      </c>
      <c r="B177" s="106" t="s">
        <v>61</v>
      </c>
      <c r="C177" s="527" t="s">
        <v>103</v>
      </c>
      <c r="D177" s="59" t="s">
        <v>454</v>
      </c>
      <c r="E177" s="67"/>
      <c r="F177" s="525">
        <v>2</v>
      </c>
      <c r="G177" s="525">
        <v>127000</v>
      </c>
      <c r="H177" s="525">
        <v>254000</v>
      </c>
      <c r="I177" s="67" t="s">
        <v>70</v>
      </c>
      <c r="J177" s="484">
        <v>46120</v>
      </c>
      <c r="K177" s="59"/>
      <c r="L177" s="67"/>
    </row>
    <row r="178" spans="1:13" s="50" customFormat="1" ht="20.25" customHeight="1" x14ac:dyDescent="0.4">
      <c r="A178" s="484">
        <v>46125</v>
      </c>
      <c r="B178" s="106" t="s">
        <v>61</v>
      </c>
      <c r="C178" s="527" t="s">
        <v>115</v>
      </c>
      <c r="D178" s="59" t="s">
        <v>194</v>
      </c>
      <c r="E178" s="67"/>
      <c r="F178" s="525">
        <v>1</v>
      </c>
      <c r="G178" s="525">
        <v>158000</v>
      </c>
      <c r="H178" s="525">
        <v>158000</v>
      </c>
      <c r="I178" s="67" t="s">
        <v>70</v>
      </c>
      <c r="J178" s="484">
        <v>46120</v>
      </c>
      <c r="K178" s="59"/>
      <c r="L178" s="67"/>
    </row>
    <row r="179" spans="1:13" s="50" customFormat="1" ht="20.25" customHeight="1" x14ac:dyDescent="0.4">
      <c r="A179" s="484">
        <v>46125</v>
      </c>
      <c r="B179" s="106" t="s">
        <v>61</v>
      </c>
      <c r="C179" s="527" t="s">
        <v>90</v>
      </c>
      <c r="D179" s="59" t="s">
        <v>91</v>
      </c>
      <c r="E179" s="67"/>
      <c r="F179" s="525">
        <v>1</v>
      </c>
      <c r="G179" s="525">
        <v>259000</v>
      </c>
      <c r="H179" s="525">
        <v>259000</v>
      </c>
      <c r="I179" s="67" t="s">
        <v>70</v>
      </c>
      <c r="J179" s="484">
        <v>46127</v>
      </c>
      <c r="K179" s="59"/>
      <c r="L179" s="67"/>
    </row>
    <row r="180" spans="1:13" s="50" customFormat="1" ht="20.25" customHeight="1" x14ac:dyDescent="0.4">
      <c r="A180" s="484">
        <v>46125</v>
      </c>
      <c r="B180" s="106" t="s">
        <v>61</v>
      </c>
      <c r="C180" s="527" t="s">
        <v>103</v>
      </c>
      <c r="D180" s="59" t="s">
        <v>454</v>
      </c>
      <c r="E180" s="67"/>
      <c r="F180" s="525">
        <v>1</v>
      </c>
      <c r="G180" s="525">
        <v>127000</v>
      </c>
      <c r="H180" s="525">
        <v>127000</v>
      </c>
      <c r="I180" s="67" t="s">
        <v>70</v>
      </c>
      <c r="J180" s="484">
        <v>46127</v>
      </c>
      <c r="K180" s="59"/>
      <c r="L180" s="67"/>
    </row>
    <row r="181" spans="1:13" s="50" customFormat="1" ht="20.25" customHeight="1" x14ac:dyDescent="0.4">
      <c r="A181" s="484">
        <v>46125</v>
      </c>
      <c r="B181" s="106" t="s">
        <v>61</v>
      </c>
      <c r="C181" s="527" t="s">
        <v>115</v>
      </c>
      <c r="D181" s="59" t="s">
        <v>194</v>
      </c>
      <c r="E181" s="67"/>
      <c r="F181" s="525">
        <v>1</v>
      </c>
      <c r="G181" s="525">
        <v>158000</v>
      </c>
      <c r="H181" s="525">
        <v>158000</v>
      </c>
      <c r="I181" s="67" t="s">
        <v>70</v>
      </c>
      <c r="J181" s="484">
        <v>46127</v>
      </c>
      <c r="K181" s="59"/>
      <c r="L181" s="67"/>
    </row>
    <row r="182" spans="1:13" s="3" customFormat="1" ht="18.75" customHeight="1" x14ac:dyDescent="0.4">
      <c r="A182" s="482">
        <v>46125</v>
      </c>
      <c r="B182" s="106" t="s">
        <v>61</v>
      </c>
      <c r="C182" s="29" t="s">
        <v>290</v>
      </c>
      <c r="D182" s="110" t="s">
        <v>291</v>
      </c>
      <c r="E182" s="110"/>
      <c r="F182" s="81">
        <v>2</v>
      </c>
      <c r="G182" s="49">
        <v>129000</v>
      </c>
      <c r="H182" s="525">
        <v>258000</v>
      </c>
      <c r="I182" s="49" t="s">
        <v>70</v>
      </c>
      <c r="J182" s="486">
        <v>46096</v>
      </c>
      <c r="K182" s="144"/>
      <c r="L182" s="67"/>
      <c r="M182" s="89"/>
    </row>
    <row r="183" spans="1:13" s="3" customFormat="1" ht="18.75" customHeight="1" x14ac:dyDescent="0.4">
      <c r="A183" s="482">
        <v>46125</v>
      </c>
      <c r="B183" s="106" t="s">
        <v>61</v>
      </c>
      <c r="C183" s="29" t="s">
        <v>290</v>
      </c>
      <c r="D183" s="110" t="s">
        <v>291</v>
      </c>
      <c r="E183" s="110"/>
      <c r="F183" s="81">
        <v>2</v>
      </c>
      <c r="G183" s="49">
        <v>129000</v>
      </c>
      <c r="H183" s="525">
        <v>258000</v>
      </c>
      <c r="I183" s="49" t="s">
        <v>70</v>
      </c>
      <c r="J183" s="486">
        <v>46096</v>
      </c>
      <c r="K183" s="144"/>
      <c r="L183" s="67"/>
      <c r="M183" s="89"/>
    </row>
    <row r="184" spans="1:13" s="3" customFormat="1" ht="18.75" customHeight="1" x14ac:dyDescent="0.4">
      <c r="A184" s="482">
        <v>46125</v>
      </c>
      <c r="B184" s="106" t="s">
        <v>61</v>
      </c>
      <c r="C184" s="29" t="s">
        <v>290</v>
      </c>
      <c r="D184" s="110" t="s">
        <v>291</v>
      </c>
      <c r="E184" s="110"/>
      <c r="F184" s="81">
        <v>2</v>
      </c>
      <c r="G184" s="49">
        <v>129000</v>
      </c>
      <c r="H184" s="525">
        <v>258000</v>
      </c>
      <c r="I184" s="49" t="s">
        <v>70</v>
      </c>
      <c r="J184" s="486">
        <v>46106</v>
      </c>
      <c r="K184" s="144"/>
      <c r="L184" s="67"/>
      <c r="M184" s="89"/>
    </row>
    <row r="185" spans="1:13" s="3" customFormat="1" ht="18.75" customHeight="1" x14ac:dyDescent="0.4">
      <c r="A185" s="482">
        <v>46125</v>
      </c>
      <c r="B185" s="106" t="s">
        <v>61</v>
      </c>
      <c r="C185" s="29" t="s">
        <v>290</v>
      </c>
      <c r="D185" s="110" t="s">
        <v>291</v>
      </c>
      <c r="E185" s="110"/>
      <c r="F185" s="81">
        <v>2</v>
      </c>
      <c r="G185" s="49">
        <v>129000</v>
      </c>
      <c r="H185" s="525">
        <v>258000</v>
      </c>
      <c r="I185" s="49" t="s">
        <v>70</v>
      </c>
      <c r="J185" s="486">
        <v>46106</v>
      </c>
      <c r="K185" s="144"/>
      <c r="L185" s="67"/>
      <c r="M185" s="89"/>
    </row>
    <row r="186" spans="1:13" s="3" customFormat="1" ht="18.75" customHeight="1" x14ac:dyDescent="0.4">
      <c r="A186" s="482">
        <v>46125</v>
      </c>
      <c r="B186" s="106" t="s">
        <v>61</v>
      </c>
      <c r="C186" s="29" t="s">
        <v>290</v>
      </c>
      <c r="D186" s="110" t="s">
        <v>291</v>
      </c>
      <c r="E186" s="110"/>
      <c r="F186" s="81">
        <v>2</v>
      </c>
      <c r="G186" s="49">
        <v>129000</v>
      </c>
      <c r="H186" s="525">
        <v>258000</v>
      </c>
      <c r="I186" s="49" t="s">
        <v>70</v>
      </c>
      <c r="J186" s="486">
        <v>46117</v>
      </c>
      <c r="K186" s="144"/>
      <c r="L186" s="67"/>
      <c r="M186" s="89"/>
    </row>
    <row r="187" spans="1:13" s="3" customFormat="1" ht="18.75" customHeight="1" x14ac:dyDescent="0.4">
      <c r="A187" s="482">
        <v>46126</v>
      </c>
      <c r="B187" s="106" t="s">
        <v>61</v>
      </c>
      <c r="C187" s="29" t="s">
        <v>63</v>
      </c>
      <c r="D187" s="110" t="s">
        <v>922</v>
      </c>
      <c r="E187" s="110"/>
      <c r="F187" s="81">
        <v>10</v>
      </c>
      <c r="G187" s="49">
        <v>125400</v>
      </c>
      <c r="H187" s="525">
        <v>1254000</v>
      </c>
      <c r="I187" s="49" t="s">
        <v>918</v>
      </c>
      <c r="J187" s="486">
        <v>46085</v>
      </c>
      <c r="K187" s="144"/>
      <c r="L187" s="67"/>
      <c r="M187" s="89"/>
    </row>
    <row r="188" spans="1:13" s="3" customFormat="1" ht="18.75" customHeight="1" x14ac:dyDescent="0.4">
      <c r="A188" s="482">
        <v>46126</v>
      </c>
      <c r="B188" s="106" t="s">
        <v>61</v>
      </c>
      <c r="C188" s="29" t="s">
        <v>198</v>
      </c>
      <c r="D188" s="110" t="s">
        <v>286</v>
      </c>
      <c r="E188" s="110"/>
      <c r="F188" s="81">
        <v>5</v>
      </c>
      <c r="G188" s="49">
        <v>54000</v>
      </c>
      <c r="H188" s="525">
        <v>270000</v>
      </c>
      <c r="I188" s="49" t="s">
        <v>1272</v>
      </c>
      <c r="J188" s="486">
        <v>46133</v>
      </c>
      <c r="K188" s="144"/>
      <c r="L188" s="67"/>
      <c r="M188" s="89"/>
    </row>
    <row r="189" spans="1:13" s="3" customFormat="1" ht="18.75" customHeight="1" x14ac:dyDescent="0.4">
      <c r="A189" s="482">
        <v>46126</v>
      </c>
      <c r="B189" s="106" t="s">
        <v>61</v>
      </c>
      <c r="C189" s="29" t="s">
        <v>198</v>
      </c>
      <c r="D189" s="110" t="s">
        <v>286</v>
      </c>
      <c r="E189" s="110"/>
      <c r="F189" s="81">
        <v>10</v>
      </c>
      <c r="G189" s="49">
        <v>54000</v>
      </c>
      <c r="H189" s="525">
        <v>540000</v>
      </c>
      <c r="I189" s="49" t="s">
        <v>1273</v>
      </c>
      <c r="J189" s="486">
        <v>46132</v>
      </c>
      <c r="K189" s="144"/>
      <c r="L189" s="67"/>
      <c r="M189" s="89"/>
    </row>
    <row r="190" spans="1:13" s="3" customFormat="1" ht="18.75" customHeight="1" x14ac:dyDescent="0.4">
      <c r="A190" s="482">
        <v>46126</v>
      </c>
      <c r="B190" s="106" t="s">
        <v>61</v>
      </c>
      <c r="C190" s="29" t="s">
        <v>115</v>
      </c>
      <c r="D190" s="110" t="s">
        <v>194</v>
      </c>
      <c r="E190" s="110"/>
      <c r="F190" s="81">
        <v>9</v>
      </c>
      <c r="G190" s="49">
        <v>158000</v>
      </c>
      <c r="H190" s="525">
        <v>1422000</v>
      </c>
      <c r="I190" s="49" t="s">
        <v>1082</v>
      </c>
      <c r="J190" s="486">
        <v>46101</v>
      </c>
      <c r="K190" s="144"/>
      <c r="L190" s="67"/>
      <c r="M190" s="89"/>
    </row>
    <row r="191" spans="1:13" s="3" customFormat="1" ht="18.75" customHeight="1" x14ac:dyDescent="0.4">
      <c r="A191" s="482">
        <v>46127</v>
      </c>
      <c r="B191" s="106" t="s">
        <v>61</v>
      </c>
      <c r="C191" s="29" t="s">
        <v>64</v>
      </c>
      <c r="D191" s="110" t="s">
        <v>98</v>
      </c>
      <c r="E191" s="110"/>
      <c r="F191" s="81">
        <v>9</v>
      </c>
      <c r="G191" s="49">
        <v>1431650</v>
      </c>
      <c r="H191" s="525">
        <v>12884850</v>
      </c>
      <c r="I191" s="49" t="s">
        <v>918</v>
      </c>
      <c r="J191" s="486">
        <v>46085</v>
      </c>
      <c r="K191" s="144"/>
      <c r="L191" s="67"/>
      <c r="M191" s="89"/>
    </row>
    <row r="192" spans="1:13" s="3" customFormat="1" ht="18.75" customHeight="1" x14ac:dyDescent="0.4">
      <c r="A192" s="482">
        <v>46127</v>
      </c>
      <c r="B192" s="106" t="s">
        <v>61</v>
      </c>
      <c r="C192" s="29" t="s">
        <v>202</v>
      </c>
      <c r="D192" s="110" t="s">
        <v>921</v>
      </c>
      <c r="E192" s="110"/>
      <c r="F192" s="81">
        <v>6</v>
      </c>
      <c r="G192" s="49">
        <v>351500</v>
      </c>
      <c r="H192" s="525">
        <v>2109000</v>
      </c>
      <c r="I192" s="49" t="s">
        <v>918</v>
      </c>
      <c r="J192" s="486">
        <v>46085</v>
      </c>
      <c r="K192" s="144"/>
      <c r="L192" s="67"/>
      <c r="M192" s="89"/>
    </row>
    <row r="193" spans="1:13" s="3" customFormat="1" ht="18.75" customHeight="1" x14ac:dyDescent="0.4">
      <c r="A193" s="482">
        <v>46127</v>
      </c>
      <c r="B193" s="106" t="s">
        <v>61</v>
      </c>
      <c r="C193" s="29" t="s">
        <v>67</v>
      </c>
      <c r="D193" s="110" t="s">
        <v>197</v>
      </c>
      <c r="E193" s="110"/>
      <c r="F193" s="81">
        <v>2</v>
      </c>
      <c r="G193" s="49">
        <v>364800</v>
      </c>
      <c r="H193" s="525">
        <v>729600</v>
      </c>
      <c r="I193" s="49" t="s">
        <v>918</v>
      </c>
      <c r="J193" s="486">
        <v>46085</v>
      </c>
      <c r="K193" s="144"/>
      <c r="L193" s="67"/>
      <c r="M193" s="89"/>
    </row>
    <row r="194" spans="1:13" s="3" customFormat="1" ht="18.75" customHeight="1" x14ac:dyDescent="0.4">
      <c r="A194" s="482">
        <v>46127</v>
      </c>
      <c r="B194" s="106" t="s">
        <v>61</v>
      </c>
      <c r="C194" s="29" t="s">
        <v>63</v>
      </c>
      <c r="D194" s="110" t="s">
        <v>922</v>
      </c>
      <c r="E194" s="110"/>
      <c r="F194" s="81">
        <v>2</v>
      </c>
      <c r="G194" s="49">
        <v>125400</v>
      </c>
      <c r="H194" s="525">
        <v>250800</v>
      </c>
      <c r="I194" s="49" t="s">
        <v>918</v>
      </c>
      <c r="J194" s="486">
        <v>46085</v>
      </c>
      <c r="K194" s="144"/>
      <c r="L194" s="67"/>
      <c r="M194" s="89"/>
    </row>
    <row r="195" spans="1:13" s="3" customFormat="1" ht="18.75" customHeight="1" x14ac:dyDescent="0.4">
      <c r="A195" s="482">
        <v>46127</v>
      </c>
      <c r="B195" s="106" t="s">
        <v>61</v>
      </c>
      <c r="C195" s="29" t="s">
        <v>898</v>
      </c>
      <c r="D195" s="110" t="s">
        <v>899</v>
      </c>
      <c r="E195" s="110"/>
      <c r="F195" s="81">
        <v>8</v>
      </c>
      <c r="G195" s="49">
        <v>329400</v>
      </c>
      <c r="H195" s="525">
        <v>2635200</v>
      </c>
      <c r="I195" s="49" t="s">
        <v>1081</v>
      </c>
      <c r="J195" s="486">
        <v>46108</v>
      </c>
      <c r="K195" s="144"/>
      <c r="L195" s="67"/>
      <c r="M195" s="89"/>
    </row>
    <row r="196" spans="1:13" s="3" customFormat="1" ht="18.75" customHeight="1" x14ac:dyDescent="0.4">
      <c r="A196" s="482">
        <v>46127</v>
      </c>
      <c r="B196" s="106" t="s">
        <v>61</v>
      </c>
      <c r="C196" s="29" t="s">
        <v>898</v>
      </c>
      <c r="D196" s="110" t="s">
        <v>899</v>
      </c>
      <c r="E196" s="110"/>
      <c r="F196" s="81">
        <v>2</v>
      </c>
      <c r="G196" s="49">
        <v>350000</v>
      </c>
      <c r="H196" s="525">
        <v>700000</v>
      </c>
      <c r="I196" s="49" t="s">
        <v>891</v>
      </c>
      <c r="J196" s="486">
        <v>46084</v>
      </c>
      <c r="K196" s="144"/>
      <c r="L196" s="67"/>
      <c r="M196" s="89"/>
    </row>
    <row r="197" spans="1:13" s="3" customFormat="1" ht="18.75" customHeight="1" x14ac:dyDescent="0.4">
      <c r="A197" s="482">
        <v>46129</v>
      </c>
      <c r="B197" s="106" t="s">
        <v>61</v>
      </c>
      <c r="C197" s="29" t="s">
        <v>105</v>
      </c>
      <c r="D197" s="110" t="s">
        <v>1282</v>
      </c>
      <c r="E197" s="110"/>
      <c r="F197" s="81">
        <v>2</v>
      </c>
      <c r="G197" s="49">
        <v>593000</v>
      </c>
      <c r="H197" s="525">
        <v>1186000</v>
      </c>
      <c r="I197" s="49" t="s">
        <v>891</v>
      </c>
      <c r="J197" s="486">
        <v>46106</v>
      </c>
      <c r="K197" s="144"/>
      <c r="L197" s="67"/>
      <c r="M197" s="89"/>
    </row>
    <row r="198" spans="1:13" s="3" customFormat="1" ht="18.75" customHeight="1" x14ac:dyDescent="0.4">
      <c r="A198" s="482">
        <v>46132</v>
      </c>
      <c r="B198" s="106" t="s">
        <v>61</v>
      </c>
      <c r="C198" s="29" t="s">
        <v>66</v>
      </c>
      <c r="D198" s="110" t="s">
        <v>1080</v>
      </c>
      <c r="E198" s="110"/>
      <c r="F198" s="81">
        <v>3</v>
      </c>
      <c r="G198" s="49">
        <v>1766050</v>
      </c>
      <c r="H198" s="525">
        <v>5298150</v>
      </c>
      <c r="I198" s="49" t="s">
        <v>918</v>
      </c>
      <c r="J198" s="486">
        <v>46085</v>
      </c>
      <c r="K198" s="144"/>
      <c r="L198" s="67"/>
      <c r="M198" s="89"/>
    </row>
    <row r="199" spans="1:13" s="3" customFormat="1" ht="18.75" customHeight="1" x14ac:dyDescent="0.4">
      <c r="A199" s="482">
        <v>46132</v>
      </c>
      <c r="B199" s="106" t="s">
        <v>61</v>
      </c>
      <c r="C199" s="29" t="s">
        <v>64</v>
      </c>
      <c r="D199" s="110" t="s">
        <v>98</v>
      </c>
      <c r="E199" s="110"/>
      <c r="F199" s="81">
        <v>3</v>
      </c>
      <c r="G199" s="49">
        <v>1431650</v>
      </c>
      <c r="H199" s="525">
        <v>4294950</v>
      </c>
      <c r="I199" s="49" t="s">
        <v>918</v>
      </c>
      <c r="J199" s="486">
        <v>46085</v>
      </c>
      <c r="K199" s="144"/>
      <c r="L199" s="67"/>
      <c r="M199" s="89"/>
    </row>
    <row r="200" spans="1:13" s="3" customFormat="1" ht="18.75" customHeight="1" x14ac:dyDescent="0.4">
      <c r="A200" s="482">
        <v>46132</v>
      </c>
      <c r="B200" s="106" t="s">
        <v>61</v>
      </c>
      <c r="C200" s="29" t="s">
        <v>64</v>
      </c>
      <c r="D200" s="110" t="s">
        <v>98</v>
      </c>
      <c r="E200" s="110"/>
      <c r="F200" s="81">
        <v>12</v>
      </c>
      <c r="G200" s="49">
        <v>1431650</v>
      </c>
      <c r="H200" s="525">
        <v>17179800</v>
      </c>
      <c r="I200" s="49" t="s">
        <v>1089</v>
      </c>
      <c r="J200" s="486">
        <v>46106</v>
      </c>
      <c r="K200" s="144"/>
      <c r="L200" s="67"/>
      <c r="M200" s="89"/>
    </row>
    <row r="201" spans="1:13" s="3" customFormat="1" ht="18.75" customHeight="1" x14ac:dyDescent="0.4">
      <c r="A201" s="482">
        <v>46132</v>
      </c>
      <c r="B201" s="106" t="s">
        <v>61</v>
      </c>
      <c r="C201" s="29" t="s">
        <v>202</v>
      </c>
      <c r="D201" s="110" t="s">
        <v>921</v>
      </c>
      <c r="E201" s="110"/>
      <c r="F201" s="81">
        <v>6</v>
      </c>
      <c r="G201" s="49">
        <v>351500</v>
      </c>
      <c r="H201" s="525">
        <v>2109000</v>
      </c>
      <c r="I201" s="49" t="s">
        <v>918</v>
      </c>
      <c r="J201" s="486">
        <v>46085</v>
      </c>
      <c r="K201" s="144"/>
      <c r="L201" s="67"/>
      <c r="M201" s="89"/>
    </row>
    <row r="202" spans="1:13" s="3" customFormat="1" ht="18.75" customHeight="1" x14ac:dyDescent="0.4">
      <c r="A202" s="482">
        <v>46132</v>
      </c>
      <c r="B202" s="106" t="s">
        <v>61</v>
      </c>
      <c r="C202" s="29" t="s">
        <v>67</v>
      </c>
      <c r="D202" s="110" t="s">
        <v>197</v>
      </c>
      <c r="E202" s="110"/>
      <c r="F202" s="81">
        <v>8</v>
      </c>
      <c r="G202" s="49">
        <v>364800</v>
      </c>
      <c r="H202" s="525">
        <v>2918400</v>
      </c>
      <c r="I202" s="49" t="s">
        <v>918</v>
      </c>
      <c r="J202" s="486">
        <v>46085</v>
      </c>
      <c r="K202" s="144"/>
      <c r="L202" s="67"/>
      <c r="M202" s="89"/>
    </row>
    <row r="203" spans="1:13" s="3" customFormat="1" ht="18.75" customHeight="1" x14ac:dyDescent="0.4">
      <c r="A203" s="482">
        <v>46132</v>
      </c>
      <c r="B203" s="106" t="s">
        <v>61</v>
      </c>
      <c r="C203" s="29" t="s">
        <v>428</v>
      </c>
      <c r="D203" s="110" t="s">
        <v>289</v>
      </c>
      <c r="E203" s="110"/>
      <c r="F203" s="81">
        <v>4</v>
      </c>
      <c r="G203" s="49">
        <v>390000</v>
      </c>
      <c r="H203" s="525">
        <v>1560000</v>
      </c>
      <c r="I203" s="49" t="s">
        <v>918</v>
      </c>
      <c r="J203" s="486">
        <v>46085</v>
      </c>
      <c r="K203" s="144"/>
      <c r="L203" s="67"/>
      <c r="M203" s="89"/>
    </row>
    <row r="204" spans="1:13" s="3" customFormat="1" ht="18.75" customHeight="1" x14ac:dyDescent="0.4">
      <c r="A204" s="482">
        <v>46132</v>
      </c>
      <c r="B204" s="106" t="s">
        <v>61</v>
      </c>
      <c r="C204" s="29" t="s">
        <v>78</v>
      </c>
      <c r="D204" s="110" t="s">
        <v>79</v>
      </c>
      <c r="E204" s="110"/>
      <c r="F204" s="81">
        <v>14</v>
      </c>
      <c r="G204" s="49">
        <v>90500</v>
      </c>
      <c r="H204" s="525">
        <v>1267000</v>
      </c>
      <c r="I204" s="49" t="s">
        <v>1276</v>
      </c>
      <c r="J204" s="486">
        <v>46136</v>
      </c>
      <c r="K204" s="144"/>
      <c r="L204" s="67"/>
      <c r="M204" s="89"/>
    </row>
    <row r="205" spans="1:13" s="3" customFormat="1" ht="18.75" customHeight="1" x14ac:dyDescent="0.4">
      <c r="A205" s="482">
        <v>46132</v>
      </c>
      <c r="B205" s="106" t="s">
        <v>61</v>
      </c>
      <c r="C205" s="29" t="s">
        <v>202</v>
      </c>
      <c r="D205" s="110" t="s">
        <v>203</v>
      </c>
      <c r="E205" s="110"/>
      <c r="F205" s="81">
        <v>6</v>
      </c>
      <c r="G205" s="49">
        <v>384000</v>
      </c>
      <c r="H205" s="525">
        <v>2304000</v>
      </c>
      <c r="I205" s="49" t="s">
        <v>1275</v>
      </c>
      <c r="J205" s="486">
        <v>46128</v>
      </c>
      <c r="K205" s="144"/>
      <c r="L205" s="67"/>
      <c r="M205" s="89"/>
    </row>
    <row r="206" spans="1:13" s="3" customFormat="1" ht="18.75" customHeight="1" x14ac:dyDescent="0.4">
      <c r="A206" s="482">
        <v>46132</v>
      </c>
      <c r="B206" s="106" t="s">
        <v>61</v>
      </c>
      <c r="C206" s="29" t="s">
        <v>118</v>
      </c>
      <c r="D206" s="110" t="s">
        <v>119</v>
      </c>
      <c r="E206" s="110"/>
      <c r="F206" s="81">
        <v>10</v>
      </c>
      <c r="G206" s="49">
        <v>7790000</v>
      </c>
      <c r="H206" s="525">
        <v>77900000</v>
      </c>
      <c r="I206" s="49" t="s">
        <v>120</v>
      </c>
      <c r="J206" s="486">
        <v>46120</v>
      </c>
      <c r="K206" s="144"/>
      <c r="L206" s="67"/>
      <c r="M206" s="89"/>
    </row>
    <row r="207" spans="1:13" s="3" customFormat="1" ht="18.75" customHeight="1" x14ac:dyDescent="0.4">
      <c r="A207" s="482">
        <v>46132</v>
      </c>
      <c r="B207" s="106" t="s">
        <v>61</v>
      </c>
      <c r="C207" s="29" t="s">
        <v>118</v>
      </c>
      <c r="D207" s="110" t="s">
        <v>119</v>
      </c>
      <c r="E207" s="110"/>
      <c r="F207" s="81">
        <v>10</v>
      </c>
      <c r="G207" s="49">
        <v>7790000</v>
      </c>
      <c r="H207" s="525">
        <v>77900000</v>
      </c>
      <c r="I207" s="49" t="s">
        <v>120</v>
      </c>
      <c r="J207" s="486">
        <v>46120</v>
      </c>
      <c r="K207" s="144"/>
      <c r="L207" s="67"/>
      <c r="M207" s="89"/>
    </row>
    <row r="208" spans="1:13" s="3" customFormat="1" ht="18.75" customHeight="1" x14ac:dyDescent="0.4">
      <c r="A208" s="482">
        <v>46132</v>
      </c>
      <c r="B208" s="106" t="s">
        <v>61</v>
      </c>
      <c r="C208" s="29" t="s">
        <v>63</v>
      </c>
      <c r="D208" s="110" t="s">
        <v>97</v>
      </c>
      <c r="E208" s="110"/>
      <c r="F208" s="81">
        <v>7</v>
      </c>
      <c r="G208" s="49">
        <v>137000</v>
      </c>
      <c r="H208" s="525">
        <v>959000</v>
      </c>
      <c r="I208" s="49" t="s">
        <v>1088</v>
      </c>
      <c r="J208" s="486">
        <v>46113</v>
      </c>
      <c r="K208" s="144"/>
      <c r="L208" s="67"/>
      <c r="M208" s="89"/>
    </row>
    <row r="209" spans="1:13" s="3" customFormat="1" ht="18.75" customHeight="1" x14ac:dyDescent="0.4">
      <c r="A209" s="482">
        <v>46132</v>
      </c>
      <c r="B209" s="106" t="s">
        <v>61</v>
      </c>
      <c r="C209" s="29" t="s">
        <v>202</v>
      </c>
      <c r="D209" s="110" t="s">
        <v>203</v>
      </c>
      <c r="E209" s="110"/>
      <c r="F209" s="81">
        <v>4</v>
      </c>
      <c r="G209" s="49">
        <v>384000</v>
      </c>
      <c r="H209" s="525">
        <v>1536000</v>
      </c>
      <c r="I209" s="49" t="s">
        <v>1274</v>
      </c>
      <c r="J209" s="486">
        <v>46128</v>
      </c>
      <c r="K209" s="144"/>
      <c r="L209" s="67"/>
      <c r="M209" s="89"/>
    </row>
    <row r="210" spans="1:13" s="3" customFormat="1" ht="18.75" customHeight="1" x14ac:dyDescent="0.4">
      <c r="A210" s="482">
        <v>46132</v>
      </c>
      <c r="B210" s="106" t="s">
        <v>61</v>
      </c>
      <c r="C210" s="29" t="s">
        <v>71</v>
      </c>
      <c r="D210" s="110" t="s">
        <v>72</v>
      </c>
      <c r="E210" s="110"/>
      <c r="F210" s="81">
        <v>9</v>
      </c>
      <c r="G210" s="49">
        <v>548000</v>
      </c>
      <c r="H210" s="525">
        <v>4932000</v>
      </c>
      <c r="I210" s="49" t="s">
        <v>1076</v>
      </c>
      <c r="J210" s="486">
        <v>46092</v>
      </c>
      <c r="K210" s="144"/>
      <c r="L210" s="67"/>
      <c r="M210" s="89"/>
    </row>
    <row r="211" spans="1:13" s="3" customFormat="1" ht="18.75" customHeight="1" x14ac:dyDescent="0.4">
      <c r="A211" s="482">
        <v>46132</v>
      </c>
      <c r="B211" s="106" t="s">
        <v>61</v>
      </c>
      <c r="C211" s="29" t="s">
        <v>67</v>
      </c>
      <c r="D211" s="110" t="s">
        <v>80</v>
      </c>
      <c r="E211" s="110"/>
      <c r="F211" s="81">
        <v>2</v>
      </c>
      <c r="G211" s="49">
        <v>384000</v>
      </c>
      <c r="H211" s="525">
        <v>768000</v>
      </c>
      <c r="I211" s="49" t="s">
        <v>1076</v>
      </c>
      <c r="J211" s="486">
        <v>46092</v>
      </c>
      <c r="K211" s="144"/>
      <c r="L211" s="67"/>
      <c r="M211" s="89"/>
    </row>
    <row r="212" spans="1:13" s="3" customFormat="1" ht="18.75" customHeight="1" x14ac:dyDescent="0.4">
      <c r="A212" s="482">
        <v>46132</v>
      </c>
      <c r="B212" s="106" t="s">
        <v>61</v>
      </c>
      <c r="C212" s="29" t="s">
        <v>63</v>
      </c>
      <c r="D212" s="110" t="s">
        <v>97</v>
      </c>
      <c r="E212" s="110"/>
      <c r="F212" s="81">
        <v>6</v>
      </c>
      <c r="G212" s="49">
        <v>137000</v>
      </c>
      <c r="H212" s="525">
        <v>822000</v>
      </c>
      <c r="I212" s="49" t="s">
        <v>1076</v>
      </c>
      <c r="J212" s="486">
        <v>46092</v>
      </c>
      <c r="K212" s="144"/>
      <c r="L212" s="67"/>
      <c r="M212" s="89"/>
    </row>
    <row r="213" spans="1:13" s="3" customFormat="1" ht="18.75" customHeight="1" x14ac:dyDescent="0.4">
      <c r="A213" s="482">
        <v>46132</v>
      </c>
      <c r="B213" s="106" t="s">
        <v>61</v>
      </c>
      <c r="C213" s="29" t="s">
        <v>73</v>
      </c>
      <c r="D213" s="110" t="s">
        <v>74</v>
      </c>
      <c r="E213" s="110"/>
      <c r="F213" s="81">
        <v>3</v>
      </c>
      <c r="G213" s="49">
        <v>442000</v>
      </c>
      <c r="H213" s="525">
        <v>1326000</v>
      </c>
      <c r="I213" s="49" t="s">
        <v>1076</v>
      </c>
      <c r="J213" s="486">
        <v>46092</v>
      </c>
      <c r="K213" s="144"/>
      <c r="L213" s="67"/>
      <c r="M213" s="89"/>
    </row>
    <row r="214" spans="1:13" s="3" customFormat="1" ht="18.75" customHeight="1" x14ac:dyDescent="0.4">
      <c r="A214" s="482">
        <v>46132</v>
      </c>
      <c r="B214" s="106" t="s">
        <v>61</v>
      </c>
      <c r="C214" s="29" t="s">
        <v>64</v>
      </c>
      <c r="D214" s="110" t="s">
        <v>65</v>
      </c>
      <c r="E214" s="110"/>
      <c r="F214" s="81">
        <v>12</v>
      </c>
      <c r="G214" s="49">
        <v>1568700</v>
      </c>
      <c r="H214" s="525">
        <v>18824400</v>
      </c>
      <c r="I214" s="49" t="s">
        <v>1076</v>
      </c>
      <c r="J214" s="486">
        <v>46092</v>
      </c>
      <c r="K214" s="144"/>
      <c r="L214" s="67"/>
      <c r="M214" s="89"/>
    </row>
    <row r="215" spans="1:13" s="3" customFormat="1" ht="18.75" customHeight="1" x14ac:dyDescent="0.4">
      <c r="A215" s="482">
        <v>46132</v>
      </c>
      <c r="B215" s="106" t="s">
        <v>61</v>
      </c>
      <c r="C215" s="29" t="s">
        <v>76</v>
      </c>
      <c r="D215" s="110" t="s">
        <v>77</v>
      </c>
      <c r="E215" s="110"/>
      <c r="F215" s="81">
        <v>4</v>
      </c>
      <c r="G215" s="49">
        <v>900000</v>
      </c>
      <c r="H215" s="525">
        <v>3600000</v>
      </c>
      <c r="I215" s="49" t="s">
        <v>70</v>
      </c>
      <c r="J215" s="486">
        <v>46081</v>
      </c>
      <c r="K215" s="144"/>
      <c r="L215" s="67"/>
      <c r="M215" s="89"/>
    </row>
    <row r="216" spans="1:13" s="3" customFormat="1" ht="18.75" customHeight="1" x14ac:dyDescent="0.4">
      <c r="A216" s="482">
        <v>46132</v>
      </c>
      <c r="B216" s="106" t="s">
        <v>61</v>
      </c>
      <c r="C216" s="29" t="s">
        <v>76</v>
      </c>
      <c r="D216" s="110" t="s">
        <v>77</v>
      </c>
      <c r="E216" s="110"/>
      <c r="F216" s="81">
        <v>8</v>
      </c>
      <c r="G216" s="49">
        <v>900000</v>
      </c>
      <c r="H216" s="525">
        <v>7200000</v>
      </c>
      <c r="I216" s="49" t="s">
        <v>70</v>
      </c>
      <c r="J216" s="486">
        <v>46091</v>
      </c>
      <c r="K216" s="144"/>
      <c r="L216" s="67"/>
      <c r="M216" s="89"/>
    </row>
    <row r="217" spans="1:13" s="3" customFormat="1" ht="18.75" customHeight="1" x14ac:dyDescent="0.4">
      <c r="A217" s="482">
        <v>46132</v>
      </c>
      <c r="B217" s="106" t="s">
        <v>61</v>
      </c>
      <c r="C217" s="29" t="s">
        <v>614</v>
      </c>
      <c r="D217" s="110" t="s">
        <v>615</v>
      </c>
      <c r="E217" s="110"/>
      <c r="F217" s="81">
        <v>3</v>
      </c>
      <c r="G217" s="49">
        <v>95000</v>
      </c>
      <c r="H217" s="525">
        <v>285000</v>
      </c>
      <c r="I217" s="49" t="s">
        <v>70</v>
      </c>
      <c r="J217" s="486">
        <v>46120</v>
      </c>
      <c r="K217" s="144"/>
      <c r="L217" s="67"/>
      <c r="M217" s="89"/>
    </row>
    <row r="218" spans="1:13" s="3" customFormat="1" ht="18.75" customHeight="1" x14ac:dyDescent="0.4">
      <c r="A218" s="482">
        <v>46132</v>
      </c>
      <c r="B218" s="106" t="s">
        <v>61</v>
      </c>
      <c r="C218" s="29" t="s">
        <v>105</v>
      </c>
      <c r="D218" s="110" t="s">
        <v>505</v>
      </c>
      <c r="E218" s="110"/>
      <c r="F218" s="81">
        <v>2</v>
      </c>
      <c r="G218" s="49">
        <v>54300</v>
      </c>
      <c r="H218" s="525">
        <v>108600</v>
      </c>
      <c r="I218" s="49" t="s">
        <v>70</v>
      </c>
      <c r="J218" s="486">
        <v>46120</v>
      </c>
      <c r="K218" s="144"/>
      <c r="L218" s="67"/>
      <c r="M218" s="89"/>
    </row>
    <row r="219" spans="1:13" s="3" customFormat="1" ht="18.75" customHeight="1" x14ac:dyDescent="0.4">
      <c r="A219" s="482">
        <v>46132</v>
      </c>
      <c r="B219" s="106" t="s">
        <v>61</v>
      </c>
      <c r="C219" s="29" t="s">
        <v>429</v>
      </c>
      <c r="D219" s="110" t="s">
        <v>430</v>
      </c>
      <c r="E219" s="110"/>
      <c r="F219" s="81">
        <v>3</v>
      </c>
      <c r="G219" s="49">
        <v>368000</v>
      </c>
      <c r="H219" s="525">
        <v>1104000</v>
      </c>
      <c r="I219" s="49" t="s">
        <v>70</v>
      </c>
      <c r="J219" s="486">
        <v>46120</v>
      </c>
      <c r="K219" s="144"/>
      <c r="L219" s="67"/>
      <c r="M219" s="89"/>
    </row>
    <row r="220" spans="1:13" s="3" customFormat="1" ht="18.75" customHeight="1" x14ac:dyDescent="0.4">
      <c r="A220" s="482">
        <v>46132</v>
      </c>
      <c r="B220" s="106" t="s">
        <v>61</v>
      </c>
      <c r="C220" s="29" t="s">
        <v>380</v>
      </c>
      <c r="D220" s="110" t="s">
        <v>504</v>
      </c>
      <c r="E220" s="110"/>
      <c r="F220" s="81">
        <v>3</v>
      </c>
      <c r="G220" s="49">
        <v>37700</v>
      </c>
      <c r="H220" s="525">
        <v>113100</v>
      </c>
      <c r="I220" s="49" t="s">
        <v>70</v>
      </c>
      <c r="J220" s="486">
        <v>46127</v>
      </c>
      <c r="K220" s="144"/>
      <c r="L220" s="67"/>
      <c r="M220" s="89"/>
    </row>
    <row r="221" spans="1:13" s="3" customFormat="1" ht="18.75" customHeight="1" x14ac:dyDescent="0.4">
      <c r="A221" s="482">
        <v>46132</v>
      </c>
      <c r="B221" s="106" t="s">
        <v>61</v>
      </c>
      <c r="C221" s="29" t="s">
        <v>614</v>
      </c>
      <c r="D221" s="110" t="s">
        <v>615</v>
      </c>
      <c r="E221" s="110"/>
      <c r="F221" s="81">
        <v>2</v>
      </c>
      <c r="G221" s="49">
        <v>95000</v>
      </c>
      <c r="H221" s="525">
        <v>190000</v>
      </c>
      <c r="I221" s="49" t="s">
        <v>70</v>
      </c>
      <c r="J221" s="486">
        <v>46127</v>
      </c>
      <c r="K221" s="144"/>
      <c r="L221" s="67"/>
      <c r="M221" s="89"/>
    </row>
    <row r="222" spans="1:13" s="3" customFormat="1" ht="18.75" customHeight="1" x14ac:dyDescent="0.4">
      <c r="A222" s="482">
        <v>46132</v>
      </c>
      <c r="B222" s="106" t="s">
        <v>61</v>
      </c>
      <c r="C222" s="29" t="s">
        <v>105</v>
      </c>
      <c r="D222" s="110" t="s">
        <v>505</v>
      </c>
      <c r="E222" s="110"/>
      <c r="F222" s="81">
        <v>2</v>
      </c>
      <c r="G222" s="49">
        <v>54300</v>
      </c>
      <c r="H222" s="525">
        <v>108600</v>
      </c>
      <c r="I222" s="49" t="s">
        <v>70</v>
      </c>
      <c r="J222" s="486">
        <v>46127</v>
      </c>
      <c r="K222" s="144"/>
      <c r="L222" s="67"/>
      <c r="M222" s="89"/>
    </row>
    <row r="223" spans="1:13" s="3" customFormat="1" ht="18.75" customHeight="1" x14ac:dyDescent="0.4">
      <c r="A223" s="482">
        <v>46132</v>
      </c>
      <c r="B223" s="106" t="s">
        <v>61</v>
      </c>
      <c r="C223" s="29" t="s">
        <v>429</v>
      </c>
      <c r="D223" s="110" t="s">
        <v>430</v>
      </c>
      <c r="E223" s="110"/>
      <c r="F223" s="81">
        <v>2</v>
      </c>
      <c r="G223" s="49">
        <v>368000</v>
      </c>
      <c r="H223" s="525">
        <v>736000</v>
      </c>
      <c r="I223" s="49" t="s">
        <v>70</v>
      </c>
      <c r="J223" s="486">
        <v>46127</v>
      </c>
      <c r="K223" s="144"/>
      <c r="L223" s="67"/>
      <c r="M223" s="89"/>
    </row>
    <row r="224" spans="1:13" s="3" customFormat="1" ht="18.75" customHeight="1" x14ac:dyDescent="0.4">
      <c r="A224" s="482">
        <v>46132</v>
      </c>
      <c r="B224" s="106" t="s">
        <v>61</v>
      </c>
      <c r="C224" s="29" t="s">
        <v>83</v>
      </c>
      <c r="D224" s="110" t="s">
        <v>87</v>
      </c>
      <c r="E224" s="110"/>
      <c r="F224" s="81">
        <v>1</v>
      </c>
      <c r="G224" s="49">
        <v>75300</v>
      </c>
      <c r="H224" s="525">
        <v>75300</v>
      </c>
      <c r="I224" s="49" t="s">
        <v>215</v>
      </c>
      <c r="J224" s="486">
        <v>46129</v>
      </c>
      <c r="K224" s="144"/>
      <c r="L224" s="67"/>
      <c r="M224" s="89"/>
    </row>
    <row r="225" spans="1:13" s="3" customFormat="1" ht="18.75" customHeight="1" x14ac:dyDescent="0.4">
      <c r="A225" s="482">
        <v>46132</v>
      </c>
      <c r="B225" s="106" t="s">
        <v>61</v>
      </c>
      <c r="C225" s="29" t="s">
        <v>380</v>
      </c>
      <c r="D225" s="110" t="s">
        <v>504</v>
      </c>
      <c r="E225" s="110"/>
      <c r="F225" s="81">
        <v>1</v>
      </c>
      <c r="G225" s="49">
        <v>37700</v>
      </c>
      <c r="H225" s="525">
        <v>37700</v>
      </c>
      <c r="I225" s="49" t="s">
        <v>70</v>
      </c>
      <c r="J225" s="486">
        <v>46136</v>
      </c>
      <c r="K225" s="144"/>
      <c r="L225" s="67"/>
      <c r="M225" s="89"/>
    </row>
    <row r="226" spans="1:13" s="3" customFormat="1" ht="18.75" customHeight="1" x14ac:dyDescent="0.4">
      <c r="A226" s="482">
        <v>46132</v>
      </c>
      <c r="B226" s="106" t="s">
        <v>61</v>
      </c>
      <c r="C226" s="29" t="s">
        <v>105</v>
      </c>
      <c r="D226" s="110" t="s">
        <v>505</v>
      </c>
      <c r="E226" s="110"/>
      <c r="F226" s="81">
        <v>4</v>
      </c>
      <c r="G226" s="49">
        <v>54300</v>
      </c>
      <c r="H226" s="525">
        <v>217200</v>
      </c>
      <c r="I226" s="49" t="s">
        <v>70</v>
      </c>
      <c r="J226" s="486">
        <v>46136</v>
      </c>
      <c r="K226" s="144"/>
      <c r="L226" s="67"/>
      <c r="M226" s="89"/>
    </row>
    <row r="227" spans="1:13" s="3" customFormat="1" ht="18.75" customHeight="1" x14ac:dyDescent="0.4">
      <c r="A227" s="482">
        <v>46132</v>
      </c>
      <c r="B227" s="106" t="s">
        <v>61</v>
      </c>
      <c r="C227" s="29" t="s">
        <v>429</v>
      </c>
      <c r="D227" s="110" t="s">
        <v>430</v>
      </c>
      <c r="E227" s="110"/>
      <c r="F227" s="81">
        <v>1</v>
      </c>
      <c r="G227" s="49">
        <v>368000</v>
      </c>
      <c r="H227" s="525">
        <v>368000</v>
      </c>
      <c r="I227" s="49" t="s">
        <v>70</v>
      </c>
      <c r="J227" s="486">
        <v>46136</v>
      </c>
      <c r="K227" s="144"/>
      <c r="L227" s="67"/>
      <c r="M227" s="89"/>
    </row>
    <row r="228" spans="1:13" s="3" customFormat="1" ht="18.75" customHeight="1" x14ac:dyDescent="0.4">
      <c r="A228" s="482">
        <v>46132</v>
      </c>
      <c r="B228" s="106" t="s">
        <v>61</v>
      </c>
      <c r="C228" s="29" t="s">
        <v>103</v>
      </c>
      <c r="D228" s="110" t="s">
        <v>454</v>
      </c>
      <c r="E228" s="110"/>
      <c r="F228" s="81">
        <v>1</v>
      </c>
      <c r="G228" s="49">
        <v>127000</v>
      </c>
      <c r="H228" s="525">
        <v>127000</v>
      </c>
      <c r="I228" s="49" t="s">
        <v>70</v>
      </c>
      <c r="J228" s="486">
        <v>46136</v>
      </c>
      <c r="K228" s="144"/>
      <c r="L228" s="67"/>
      <c r="M228" s="89"/>
    </row>
    <row r="229" spans="1:13" s="3" customFormat="1" ht="18.75" customHeight="1" x14ac:dyDescent="0.4">
      <c r="A229" s="482">
        <v>46132</v>
      </c>
      <c r="B229" s="106" t="s">
        <v>61</v>
      </c>
      <c r="C229" s="29" t="s">
        <v>83</v>
      </c>
      <c r="D229" s="110" t="s">
        <v>84</v>
      </c>
      <c r="E229" s="110"/>
      <c r="F229" s="81">
        <v>2</v>
      </c>
      <c r="G229" s="49">
        <v>76500</v>
      </c>
      <c r="H229" s="525">
        <v>153000</v>
      </c>
      <c r="I229" s="49" t="s">
        <v>70</v>
      </c>
      <c r="J229" s="486">
        <v>46127</v>
      </c>
      <c r="K229" s="144"/>
      <c r="L229" s="67"/>
      <c r="M229" s="89"/>
    </row>
    <row r="230" spans="1:13" s="3" customFormat="1" ht="18.75" customHeight="1" x14ac:dyDescent="0.4">
      <c r="A230" s="482">
        <v>46132</v>
      </c>
      <c r="B230" s="106" t="s">
        <v>61</v>
      </c>
      <c r="C230" s="29" t="s">
        <v>83</v>
      </c>
      <c r="D230" s="110" t="s">
        <v>84</v>
      </c>
      <c r="E230" s="110"/>
      <c r="F230" s="81">
        <v>2</v>
      </c>
      <c r="G230" s="49">
        <v>76500</v>
      </c>
      <c r="H230" s="525">
        <v>153000</v>
      </c>
      <c r="I230" s="49" t="s">
        <v>70</v>
      </c>
      <c r="J230" s="486">
        <v>46127</v>
      </c>
      <c r="K230" s="144"/>
      <c r="L230" s="67"/>
      <c r="M230" s="89"/>
    </row>
    <row r="231" spans="1:13" s="3" customFormat="1" ht="18.75" customHeight="1" x14ac:dyDescent="0.4">
      <c r="A231" s="482">
        <v>46132</v>
      </c>
      <c r="B231" s="106" t="s">
        <v>61</v>
      </c>
      <c r="C231" s="29" t="s">
        <v>85</v>
      </c>
      <c r="D231" s="110" t="s">
        <v>86</v>
      </c>
      <c r="E231" s="110"/>
      <c r="F231" s="81">
        <v>2</v>
      </c>
      <c r="G231" s="49">
        <v>37700</v>
      </c>
      <c r="H231" s="525">
        <v>75400</v>
      </c>
      <c r="I231" s="49" t="s">
        <v>70</v>
      </c>
      <c r="J231" s="486">
        <v>46127</v>
      </c>
      <c r="K231" s="144"/>
      <c r="L231" s="67"/>
      <c r="M231" s="89"/>
    </row>
    <row r="232" spans="1:13" s="3" customFormat="1" ht="18.75" customHeight="1" x14ac:dyDescent="0.4">
      <c r="A232" s="482">
        <v>46132</v>
      </c>
      <c r="B232" s="106" t="s">
        <v>61</v>
      </c>
      <c r="C232" s="29" t="s">
        <v>85</v>
      </c>
      <c r="D232" s="110" t="s">
        <v>86</v>
      </c>
      <c r="E232" s="110"/>
      <c r="F232" s="81">
        <v>2</v>
      </c>
      <c r="G232" s="49">
        <v>37700</v>
      </c>
      <c r="H232" s="525">
        <v>75400</v>
      </c>
      <c r="I232" s="49" t="s">
        <v>70</v>
      </c>
      <c r="J232" s="486">
        <v>46127</v>
      </c>
      <c r="K232" s="144"/>
      <c r="L232" s="67"/>
      <c r="M232" s="89"/>
    </row>
    <row r="233" spans="1:13" s="3" customFormat="1" ht="18.75" customHeight="1" x14ac:dyDescent="0.4">
      <c r="A233" s="482">
        <v>46132</v>
      </c>
      <c r="B233" s="106" t="s">
        <v>61</v>
      </c>
      <c r="C233" s="29" t="s">
        <v>83</v>
      </c>
      <c r="D233" s="110" t="s">
        <v>87</v>
      </c>
      <c r="E233" s="110"/>
      <c r="F233" s="81">
        <v>2</v>
      </c>
      <c r="G233" s="49">
        <v>75300</v>
      </c>
      <c r="H233" s="525">
        <v>150600</v>
      </c>
      <c r="I233" s="49" t="s">
        <v>70</v>
      </c>
      <c r="J233" s="486">
        <v>46127</v>
      </c>
      <c r="K233" s="144"/>
      <c r="L233" s="67"/>
      <c r="M233" s="89"/>
    </row>
    <row r="234" spans="1:13" s="3" customFormat="1" ht="18.75" customHeight="1" x14ac:dyDescent="0.4">
      <c r="A234" s="482">
        <v>46132</v>
      </c>
      <c r="B234" s="106" t="s">
        <v>61</v>
      </c>
      <c r="C234" s="29" t="s">
        <v>83</v>
      </c>
      <c r="D234" s="110" t="s">
        <v>87</v>
      </c>
      <c r="E234" s="110"/>
      <c r="F234" s="81">
        <v>2</v>
      </c>
      <c r="G234" s="49">
        <v>75300</v>
      </c>
      <c r="H234" s="525">
        <v>150600</v>
      </c>
      <c r="I234" s="49" t="s">
        <v>70</v>
      </c>
      <c r="J234" s="486">
        <v>46127</v>
      </c>
      <c r="K234" s="144"/>
      <c r="L234" s="67"/>
      <c r="M234" s="89"/>
    </row>
    <row r="235" spans="1:13" s="3" customFormat="1" ht="18.75" customHeight="1" x14ac:dyDescent="0.4">
      <c r="A235" s="482">
        <v>46132</v>
      </c>
      <c r="B235" s="106" t="s">
        <v>61</v>
      </c>
      <c r="C235" s="29" t="s">
        <v>88</v>
      </c>
      <c r="D235" s="110" t="s">
        <v>89</v>
      </c>
      <c r="E235" s="110"/>
      <c r="F235" s="81">
        <v>4</v>
      </c>
      <c r="G235" s="49">
        <v>64000</v>
      </c>
      <c r="H235" s="525">
        <v>256000</v>
      </c>
      <c r="I235" s="49" t="s">
        <v>70</v>
      </c>
      <c r="J235" s="486">
        <v>46127</v>
      </c>
      <c r="K235" s="144"/>
      <c r="L235" s="67"/>
      <c r="M235" s="89"/>
    </row>
    <row r="236" spans="1:13" s="3" customFormat="1" ht="18.75" customHeight="1" x14ac:dyDescent="0.4">
      <c r="A236" s="482">
        <v>46132</v>
      </c>
      <c r="B236" s="106" t="s">
        <v>61</v>
      </c>
      <c r="C236" s="29" t="s">
        <v>88</v>
      </c>
      <c r="D236" s="110" t="s">
        <v>89</v>
      </c>
      <c r="E236" s="110"/>
      <c r="F236" s="81">
        <v>4</v>
      </c>
      <c r="G236" s="49">
        <v>64000</v>
      </c>
      <c r="H236" s="525">
        <v>256000</v>
      </c>
      <c r="I236" s="49" t="s">
        <v>70</v>
      </c>
      <c r="J236" s="486">
        <v>46127</v>
      </c>
      <c r="K236" s="144"/>
      <c r="L236" s="67"/>
      <c r="M236" s="89"/>
    </row>
    <row r="237" spans="1:13" s="3" customFormat="1" ht="18.75" customHeight="1" x14ac:dyDescent="0.4">
      <c r="A237" s="482">
        <v>46132</v>
      </c>
      <c r="B237" s="106" t="s">
        <v>61</v>
      </c>
      <c r="C237" s="29" t="s">
        <v>95</v>
      </c>
      <c r="D237" s="110" t="s">
        <v>96</v>
      </c>
      <c r="E237" s="110"/>
      <c r="F237" s="81">
        <v>12</v>
      </c>
      <c r="G237" s="49">
        <v>12000</v>
      </c>
      <c r="H237" s="525">
        <v>144000</v>
      </c>
      <c r="I237" s="49" t="s">
        <v>70</v>
      </c>
      <c r="J237" s="486">
        <v>46117</v>
      </c>
      <c r="K237" s="144"/>
      <c r="L237" s="67"/>
      <c r="M237" s="89"/>
    </row>
    <row r="238" spans="1:13" s="3" customFormat="1" ht="18.75" customHeight="1" x14ac:dyDescent="0.4">
      <c r="A238" s="482">
        <v>46133</v>
      </c>
      <c r="B238" s="106" t="s">
        <v>61</v>
      </c>
      <c r="C238" s="29" t="s">
        <v>78</v>
      </c>
      <c r="D238" s="110" t="s">
        <v>79</v>
      </c>
      <c r="E238" s="110"/>
      <c r="F238" s="81">
        <v>3</v>
      </c>
      <c r="G238" s="49">
        <v>90500</v>
      </c>
      <c r="H238" s="525">
        <v>271500</v>
      </c>
      <c r="I238" s="49" t="s">
        <v>1277</v>
      </c>
      <c r="J238" s="486">
        <v>46135</v>
      </c>
      <c r="K238" s="144"/>
      <c r="L238" s="67"/>
      <c r="M238" s="89"/>
    </row>
    <row r="239" spans="1:13" s="3" customFormat="1" ht="18.75" customHeight="1" x14ac:dyDescent="0.4">
      <c r="A239" s="482">
        <v>46133</v>
      </c>
      <c r="B239" s="106" t="s">
        <v>61</v>
      </c>
      <c r="C239" s="29" t="s">
        <v>63</v>
      </c>
      <c r="D239" s="110" t="s">
        <v>97</v>
      </c>
      <c r="E239" s="110"/>
      <c r="F239" s="81">
        <v>3</v>
      </c>
      <c r="G239" s="49">
        <v>137000</v>
      </c>
      <c r="H239" s="525">
        <v>411000</v>
      </c>
      <c r="I239" s="49" t="s">
        <v>1084</v>
      </c>
      <c r="J239" s="486">
        <v>46104</v>
      </c>
      <c r="K239" s="144"/>
      <c r="L239" s="67"/>
      <c r="M239" s="89"/>
    </row>
    <row r="240" spans="1:13" s="3" customFormat="1" ht="18.75" customHeight="1" x14ac:dyDescent="0.4">
      <c r="A240" s="482">
        <v>46133</v>
      </c>
      <c r="B240" s="106" t="s">
        <v>61</v>
      </c>
      <c r="C240" s="29" t="s">
        <v>63</v>
      </c>
      <c r="D240" s="110" t="s">
        <v>97</v>
      </c>
      <c r="E240" s="110"/>
      <c r="F240" s="81">
        <v>3</v>
      </c>
      <c r="G240" s="49">
        <v>137000</v>
      </c>
      <c r="H240" s="525">
        <v>411000</v>
      </c>
      <c r="I240" s="49" t="s">
        <v>1280</v>
      </c>
      <c r="J240" s="486">
        <v>46121</v>
      </c>
      <c r="K240" s="144"/>
      <c r="L240" s="67"/>
      <c r="M240" s="89"/>
    </row>
    <row r="241" spans="1:13" s="3" customFormat="1" ht="18.75" customHeight="1" x14ac:dyDescent="0.4">
      <c r="A241" s="482">
        <v>46133</v>
      </c>
      <c r="B241" s="106" t="s">
        <v>61</v>
      </c>
      <c r="C241" s="29" t="s">
        <v>202</v>
      </c>
      <c r="D241" s="110" t="s">
        <v>203</v>
      </c>
      <c r="E241" s="110"/>
      <c r="F241" s="81">
        <v>3</v>
      </c>
      <c r="G241" s="49">
        <v>384000</v>
      </c>
      <c r="H241" s="525">
        <v>1152000</v>
      </c>
      <c r="I241" s="49" t="s">
        <v>1280</v>
      </c>
      <c r="J241" s="486">
        <v>46121</v>
      </c>
      <c r="K241" s="144"/>
      <c r="L241" s="67"/>
      <c r="M241" s="89"/>
    </row>
    <row r="242" spans="1:13" s="3" customFormat="1" ht="18.75" customHeight="1" x14ac:dyDescent="0.4">
      <c r="A242" s="482">
        <v>46133</v>
      </c>
      <c r="B242" s="106" t="s">
        <v>61</v>
      </c>
      <c r="C242" s="29" t="s">
        <v>73</v>
      </c>
      <c r="D242" s="110" t="s">
        <v>74</v>
      </c>
      <c r="E242" s="110"/>
      <c r="F242" s="81">
        <v>8</v>
      </c>
      <c r="G242" s="49">
        <v>442000</v>
      </c>
      <c r="H242" s="525">
        <v>3536000</v>
      </c>
      <c r="I242" s="49" t="s">
        <v>1088</v>
      </c>
      <c r="J242" s="486">
        <v>46113</v>
      </c>
      <c r="K242" s="144"/>
      <c r="L242" s="67"/>
      <c r="M242" s="89"/>
    </row>
    <row r="243" spans="1:13" s="3" customFormat="1" ht="18.75" customHeight="1" x14ac:dyDescent="0.4">
      <c r="A243" s="482">
        <v>46133</v>
      </c>
      <c r="B243" s="106" t="s">
        <v>61</v>
      </c>
      <c r="C243" s="29" t="s">
        <v>73</v>
      </c>
      <c r="D243" s="110" t="s">
        <v>74</v>
      </c>
      <c r="E243" s="110"/>
      <c r="F243" s="81">
        <v>9</v>
      </c>
      <c r="G243" s="49">
        <v>442000</v>
      </c>
      <c r="H243" s="525">
        <v>3978000</v>
      </c>
      <c r="I243" s="49" t="s">
        <v>1076</v>
      </c>
      <c r="J243" s="486">
        <v>46092</v>
      </c>
      <c r="K243" s="144"/>
      <c r="L243" s="67"/>
      <c r="M243" s="89"/>
    </row>
    <row r="244" spans="1:13" s="3" customFormat="1" ht="18.75" customHeight="1" x14ac:dyDescent="0.4">
      <c r="A244" s="482">
        <v>46133</v>
      </c>
      <c r="B244" s="106" t="s">
        <v>61</v>
      </c>
      <c r="C244" s="29" t="s">
        <v>204</v>
      </c>
      <c r="D244" s="110" t="s">
        <v>205</v>
      </c>
      <c r="E244" s="110"/>
      <c r="F244" s="81">
        <v>3</v>
      </c>
      <c r="G244" s="49">
        <v>1295000</v>
      </c>
      <c r="H244" s="525">
        <v>3885000</v>
      </c>
      <c r="I244" s="49" t="s">
        <v>1076</v>
      </c>
      <c r="J244" s="486">
        <v>46092</v>
      </c>
      <c r="K244" s="144"/>
      <c r="L244" s="67"/>
      <c r="M244" s="89"/>
    </row>
    <row r="245" spans="1:13" s="3" customFormat="1" ht="18.75" customHeight="1" x14ac:dyDescent="0.4">
      <c r="A245" s="482">
        <v>46133</v>
      </c>
      <c r="B245" s="106" t="s">
        <v>61</v>
      </c>
      <c r="C245" s="29" t="s">
        <v>66</v>
      </c>
      <c r="D245" s="110" t="s">
        <v>195</v>
      </c>
      <c r="E245" s="110"/>
      <c r="F245" s="81">
        <v>3</v>
      </c>
      <c r="G245" s="49">
        <v>1917500</v>
      </c>
      <c r="H245" s="525">
        <v>5752500</v>
      </c>
      <c r="I245" s="49" t="s">
        <v>1077</v>
      </c>
      <c r="J245" s="486">
        <v>46090</v>
      </c>
      <c r="K245" s="144"/>
      <c r="L245" s="67"/>
      <c r="M245" s="89"/>
    </row>
    <row r="246" spans="1:13" s="3" customFormat="1" ht="18.75" customHeight="1" x14ac:dyDescent="0.4">
      <c r="A246" s="482">
        <v>46133</v>
      </c>
      <c r="B246" s="106" t="s">
        <v>61</v>
      </c>
      <c r="C246" s="29" t="s">
        <v>66</v>
      </c>
      <c r="D246" s="110" t="s">
        <v>195</v>
      </c>
      <c r="E246" s="110"/>
      <c r="F246" s="81">
        <v>3</v>
      </c>
      <c r="G246" s="49">
        <v>1917500</v>
      </c>
      <c r="H246" s="525">
        <v>5752500</v>
      </c>
      <c r="I246" s="49" t="s">
        <v>1084</v>
      </c>
      <c r="J246" s="486">
        <v>46104</v>
      </c>
      <c r="K246" s="144"/>
      <c r="L246" s="67"/>
      <c r="M246" s="89"/>
    </row>
    <row r="247" spans="1:13" s="3" customFormat="1" ht="18.75" customHeight="1" x14ac:dyDescent="0.4">
      <c r="A247" s="482">
        <v>46133</v>
      </c>
      <c r="B247" s="106" t="s">
        <v>61</v>
      </c>
      <c r="C247" s="29" t="s">
        <v>105</v>
      </c>
      <c r="D247" s="110" t="s">
        <v>1282</v>
      </c>
      <c r="E247" s="110"/>
      <c r="F247" s="81">
        <v>2</v>
      </c>
      <c r="G247" s="49">
        <v>536630</v>
      </c>
      <c r="H247" s="525">
        <v>1073260</v>
      </c>
      <c r="I247" s="49" t="s">
        <v>1081</v>
      </c>
      <c r="J247" s="486">
        <v>46108</v>
      </c>
      <c r="K247" s="144"/>
      <c r="L247" s="67"/>
      <c r="M247" s="89"/>
    </row>
    <row r="248" spans="1:13" s="3" customFormat="1" ht="18.75" customHeight="1" x14ac:dyDescent="0.4">
      <c r="A248" s="482">
        <v>46133</v>
      </c>
      <c r="B248" s="106" t="s">
        <v>61</v>
      </c>
      <c r="C248" s="29" t="s">
        <v>1283</v>
      </c>
      <c r="D248" s="110" t="s">
        <v>1284</v>
      </c>
      <c r="E248" s="110"/>
      <c r="F248" s="81">
        <v>4</v>
      </c>
      <c r="G248" s="49">
        <v>900000</v>
      </c>
      <c r="H248" s="525">
        <v>3600000</v>
      </c>
      <c r="I248" s="49" t="s">
        <v>1078</v>
      </c>
      <c r="J248" s="486">
        <v>46121</v>
      </c>
      <c r="K248" s="144"/>
      <c r="L248" s="67"/>
      <c r="M248" s="89"/>
    </row>
    <row r="249" spans="1:13" s="3" customFormat="1" ht="18.75" customHeight="1" x14ac:dyDescent="0.4">
      <c r="A249" s="482">
        <v>46133</v>
      </c>
      <c r="B249" s="106" t="s">
        <v>61</v>
      </c>
      <c r="C249" s="29" t="s">
        <v>617</v>
      </c>
      <c r="D249" s="110" t="s">
        <v>618</v>
      </c>
      <c r="E249" s="110"/>
      <c r="F249" s="81">
        <v>1</v>
      </c>
      <c r="G249" s="49">
        <v>900000</v>
      </c>
      <c r="H249" s="525">
        <v>900000</v>
      </c>
      <c r="I249" s="49" t="s">
        <v>70</v>
      </c>
      <c r="J249" s="486">
        <v>46136</v>
      </c>
      <c r="K249" s="144"/>
      <c r="L249" s="67"/>
      <c r="M249" s="89"/>
    </row>
    <row r="250" spans="1:13" s="3" customFormat="1" ht="18.75" customHeight="1" x14ac:dyDescent="0.4">
      <c r="A250" s="482">
        <v>46133</v>
      </c>
      <c r="B250" s="106" t="s">
        <v>61</v>
      </c>
      <c r="C250" s="29" t="s">
        <v>99</v>
      </c>
      <c r="D250" s="110" t="s">
        <v>100</v>
      </c>
      <c r="E250" s="110"/>
      <c r="F250" s="81">
        <v>6</v>
      </c>
      <c r="G250" s="49">
        <v>543000</v>
      </c>
      <c r="H250" s="525">
        <v>3258000</v>
      </c>
      <c r="I250" s="49" t="s">
        <v>70</v>
      </c>
      <c r="J250" s="486">
        <v>46032</v>
      </c>
      <c r="K250" s="144"/>
      <c r="L250" s="67"/>
      <c r="M250" s="89"/>
    </row>
    <row r="251" spans="1:13" s="3" customFormat="1" ht="18.75" customHeight="1" x14ac:dyDescent="0.4">
      <c r="A251" s="482">
        <v>46133</v>
      </c>
      <c r="B251" s="106" t="s">
        <v>61</v>
      </c>
      <c r="C251" s="29" t="s">
        <v>99</v>
      </c>
      <c r="D251" s="110" t="s">
        <v>100</v>
      </c>
      <c r="E251" s="110"/>
      <c r="F251" s="81">
        <v>1</v>
      </c>
      <c r="G251" s="49">
        <v>543000</v>
      </c>
      <c r="H251" s="525">
        <v>543000</v>
      </c>
      <c r="I251" s="49" t="s">
        <v>70</v>
      </c>
      <c r="J251" s="486">
        <v>46038</v>
      </c>
      <c r="K251" s="144"/>
      <c r="L251" s="67"/>
      <c r="M251" s="89"/>
    </row>
    <row r="252" spans="1:13" s="3" customFormat="1" ht="18.75" customHeight="1" x14ac:dyDescent="0.4">
      <c r="A252" s="482">
        <v>46133</v>
      </c>
      <c r="B252" s="106" t="s">
        <v>61</v>
      </c>
      <c r="C252" s="29" t="s">
        <v>290</v>
      </c>
      <c r="D252" s="110" t="s">
        <v>291</v>
      </c>
      <c r="E252" s="110"/>
      <c r="F252" s="81">
        <v>1</v>
      </c>
      <c r="G252" s="49">
        <v>129000</v>
      </c>
      <c r="H252" s="525">
        <v>129000</v>
      </c>
      <c r="I252" s="49" t="s">
        <v>215</v>
      </c>
      <c r="J252" s="486">
        <v>46129</v>
      </c>
      <c r="K252" s="144"/>
      <c r="L252" s="67"/>
      <c r="M252" s="89"/>
    </row>
    <row r="253" spans="1:13" s="3" customFormat="1" ht="18.75" customHeight="1" x14ac:dyDescent="0.4">
      <c r="A253" s="482">
        <v>46133</v>
      </c>
      <c r="B253" s="106" t="s">
        <v>61</v>
      </c>
      <c r="C253" s="29" t="s">
        <v>68</v>
      </c>
      <c r="D253" s="110" t="s">
        <v>69</v>
      </c>
      <c r="E253" s="110"/>
      <c r="F253" s="81">
        <v>2</v>
      </c>
      <c r="G253" s="49">
        <v>359000</v>
      </c>
      <c r="H253" s="525">
        <v>718000</v>
      </c>
      <c r="I253" s="49" t="s">
        <v>70</v>
      </c>
      <c r="J253" s="486">
        <v>46136</v>
      </c>
      <c r="K253" s="144"/>
      <c r="L253" s="67"/>
      <c r="M253" s="89"/>
    </row>
    <row r="254" spans="1:13" s="3" customFormat="1" ht="18.75" customHeight="1" x14ac:dyDescent="0.4">
      <c r="A254" s="482">
        <v>46133</v>
      </c>
      <c r="B254" s="106" t="s">
        <v>61</v>
      </c>
      <c r="C254" s="29" t="s">
        <v>290</v>
      </c>
      <c r="D254" s="110" t="s">
        <v>291</v>
      </c>
      <c r="E254" s="110"/>
      <c r="F254" s="81">
        <v>2</v>
      </c>
      <c r="G254" s="49">
        <v>129000</v>
      </c>
      <c r="H254" s="525">
        <v>258000</v>
      </c>
      <c r="I254" s="49" t="s">
        <v>70</v>
      </c>
      <c r="J254" s="486">
        <v>46117</v>
      </c>
      <c r="K254" s="144"/>
      <c r="L254" s="67"/>
      <c r="M254" s="89"/>
    </row>
    <row r="255" spans="1:13" s="3" customFormat="1" ht="18.75" customHeight="1" x14ac:dyDescent="0.4">
      <c r="A255" s="482">
        <v>46133</v>
      </c>
      <c r="B255" s="106" t="s">
        <v>61</v>
      </c>
      <c r="C255" s="29" t="s">
        <v>290</v>
      </c>
      <c r="D255" s="110" t="s">
        <v>291</v>
      </c>
      <c r="E255" s="110"/>
      <c r="F255" s="81">
        <v>2</v>
      </c>
      <c r="G255" s="49">
        <v>129000</v>
      </c>
      <c r="H255" s="525">
        <v>258000</v>
      </c>
      <c r="I255" s="49" t="s">
        <v>70</v>
      </c>
      <c r="J255" s="486">
        <v>46127</v>
      </c>
      <c r="K255" s="144"/>
      <c r="L255" s="67"/>
      <c r="M255" s="89"/>
    </row>
    <row r="256" spans="1:13" s="3" customFormat="1" ht="18.75" customHeight="1" x14ac:dyDescent="0.4">
      <c r="A256" s="482">
        <v>46133</v>
      </c>
      <c r="B256" s="106" t="s">
        <v>61</v>
      </c>
      <c r="C256" s="29" t="s">
        <v>290</v>
      </c>
      <c r="D256" s="110" t="s">
        <v>291</v>
      </c>
      <c r="E256" s="110"/>
      <c r="F256" s="81">
        <v>2</v>
      </c>
      <c r="G256" s="49">
        <v>129000</v>
      </c>
      <c r="H256" s="525">
        <v>258000</v>
      </c>
      <c r="I256" s="49" t="s">
        <v>70</v>
      </c>
      <c r="J256" s="486">
        <v>46127</v>
      </c>
      <c r="K256" s="144"/>
      <c r="L256" s="67"/>
      <c r="M256" s="89"/>
    </row>
    <row r="257" spans="1:13" s="3" customFormat="1" ht="18.75" customHeight="1" x14ac:dyDescent="0.4">
      <c r="A257" s="482">
        <v>46133</v>
      </c>
      <c r="B257" s="106" t="s">
        <v>61</v>
      </c>
      <c r="C257" s="29" t="s">
        <v>99</v>
      </c>
      <c r="D257" s="110" t="s">
        <v>100</v>
      </c>
      <c r="E257" s="110"/>
      <c r="F257" s="81">
        <v>4</v>
      </c>
      <c r="G257" s="49">
        <v>543000</v>
      </c>
      <c r="H257" s="525">
        <v>2172000</v>
      </c>
      <c r="I257" s="49" t="s">
        <v>70</v>
      </c>
      <c r="J257" s="486">
        <v>46001</v>
      </c>
      <c r="K257" s="144"/>
      <c r="L257" s="67"/>
      <c r="M257" s="89"/>
    </row>
    <row r="258" spans="1:13" s="3" customFormat="1" ht="18.75" customHeight="1" x14ac:dyDescent="0.4">
      <c r="A258" s="482">
        <v>46134</v>
      </c>
      <c r="B258" s="106" t="s">
        <v>61</v>
      </c>
      <c r="C258" s="29" t="s">
        <v>73</v>
      </c>
      <c r="D258" s="110" t="s">
        <v>74</v>
      </c>
      <c r="E258" s="110"/>
      <c r="F258" s="81">
        <v>3</v>
      </c>
      <c r="G258" s="49">
        <v>442000</v>
      </c>
      <c r="H258" s="525">
        <v>1326000</v>
      </c>
      <c r="I258" s="49" t="s">
        <v>1077</v>
      </c>
      <c r="J258" s="486">
        <v>46090</v>
      </c>
      <c r="K258" s="144"/>
      <c r="L258" s="67"/>
      <c r="M258" s="89"/>
    </row>
    <row r="259" spans="1:13" s="3" customFormat="1" ht="18.75" customHeight="1" x14ac:dyDescent="0.4">
      <c r="A259" s="482">
        <v>46134</v>
      </c>
      <c r="B259" s="106" t="s">
        <v>61</v>
      </c>
      <c r="C259" s="29" t="s">
        <v>73</v>
      </c>
      <c r="D259" s="110" t="s">
        <v>74</v>
      </c>
      <c r="E259" s="110"/>
      <c r="F259" s="81">
        <v>3</v>
      </c>
      <c r="G259" s="49">
        <v>442000</v>
      </c>
      <c r="H259" s="525">
        <v>1326000</v>
      </c>
      <c r="I259" s="49" t="s">
        <v>1084</v>
      </c>
      <c r="J259" s="486">
        <v>46104</v>
      </c>
      <c r="K259" s="144"/>
      <c r="L259" s="67"/>
      <c r="M259" s="89"/>
    </row>
    <row r="260" spans="1:13" s="3" customFormat="1" ht="18.75" customHeight="1" x14ac:dyDescent="0.4">
      <c r="A260" s="482">
        <v>46134</v>
      </c>
      <c r="B260" s="106" t="s">
        <v>61</v>
      </c>
      <c r="C260" s="29" t="s">
        <v>73</v>
      </c>
      <c r="D260" s="110" t="s">
        <v>74</v>
      </c>
      <c r="E260" s="110"/>
      <c r="F260" s="81">
        <v>3</v>
      </c>
      <c r="G260" s="49">
        <v>442000</v>
      </c>
      <c r="H260" s="525">
        <v>1326000</v>
      </c>
      <c r="I260" s="49" t="s">
        <v>1280</v>
      </c>
      <c r="J260" s="486">
        <v>46121</v>
      </c>
      <c r="K260" s="144"/>
      <c r="L260" s="67"/>
      <c r="M260" s="89"/>
    </row>
    <row r="261" spans="1:13" s="3" customFormat="1" ht="18.75" customHeight="1" x14ac:dyDescent="0.4">
      <c r="A261" s="482">
        <v>46134</v>
      </c>
      <c r="B261" s="106" t="s">
        <v>61</v>
      </c>
      <c r="C261" s="29" t="s">
        <v>68</v>
      </c>
      <c r="D261" s="110" t="s">
        <v>69</v>
      </c>
      <c r="E261" s="110"/>
      <c r="F261" s="81">
        <v>19</v>
      </c>
      <c r="G261" s="49">
        <v>359000</v>
      </c>
      <c r="H261" s="525">
        <v>6821000</v>
      </c>
      <c r="I261" s="49" t="s">
        <v>1082</v>
      </c>
      <c r="J261" s="486">
        <v>46101</v>
      </c>
      <c r="K261" s="144"/>
      <c r="L261" s="67"/>
      <c r="M261" s="89"/>
    </row>
    <row r="262" spans="1:13" s="3" customFormat="1" ht="18.75" customHeight="1" x14ac:dyDescent="0.4">
      <c r="A262" s="482">
        <v>46134</v>
      </c>
      <c r="B262" s="106" t="s">
        <v>61</v>
      </c>
      <c r="C262" s="29" t="s">
        <v>68</v>
      </c>
      <c r="D262" s="110" t="s">
        <v>191</v>
      </c>
      <c r="E262" s="110"/>
      <c r="F262" s="81">
        <v>19</v>
      </c>
      <c r="G262" s="49">
        <v>352000</v>
      </c>
      <c r="H262" s="525">
        <v>6688000</v>
      </c>
      <c r="I262" s="49" t="s">
        <v>1082</v>
      </c>
      <c r="J262" s="486">
        <v>46101</v>
      </c>
      <c r="K262" s="144"/>
      <c r="L262" s="67"/>
      <c r="M262" s="89"/>
    </row>
    <row r="263" spans="1:13" s="3" customFormat="1" ht="18.75" customHeight="1" x14ac:dyDescent="0.4">
      <c r="A263" s="482">
        <v>46135</v>
      </c>
      <c r="B263" s="106" t="s">
        <v>61</v>
      </c>
      <c r="C263" s="29" t="s">
        <v>198</v>
      </c>
      <c r="D263" s="110" t="s">
        <v>286</v>
      </c>
      <c r="E263" s="110"/>
      <c r="F263" s="81">
        <v>10</v>
      </c>
      <c r="G263" s="49">
        <v>54000</v>
      </c>
      <c r="H263" s="525">
        <v>540000</v>
      </c>
      <c r="I263" s="49" t="s">
        <v>1271</v>
      </c>
      <c r="J263" s="486">
        <v>46141</v>
      </c>
      <c r="K263" s="144"/>
      <c r="L263" s="67"/>
      <c r="M263" s="89"/>
    </row>
    <row r="264" spans="1:13" s="3" customFormat="1" ht="18.75" customHeight="1" x14ac:dyDescent="0.4">
      <c r="A264" s="482">
        <v>46135</v>
      </c>
      <c r="B264" s="106" t="s">
        <v>61</v>
      </c>
      <c r="C264" s="29" t="s">
        <v>204</v>
      </c>
      <c r="D264" s="110" t="s">
        <v>205</v>
      </c>
      <c r="E264" s="110"/>
      <c r="F264" s="81">
        <v>9</v>
      </c>
      <c r="G264" s="49">
        <v>1295000</v>
      </c>
      <c r="H264" s="525">
        <v>11655000</v>
      </c>
      <c r="I264" s="49" t="s">
        <v>1076</v>
      </c>
      <c r="J264" s="486">
        <v>46092</v>
      </c>
      <c r="K264" s="144"/>
      <c r="L264" s="67"/>
      <c r="M264" s="89"/>
    </row>
    <row r="265" spans="1:13" s="3" customFormat="1" ht="18.75" customHeight="1" x14ac:dyDescent="0.4">
      <c r="A265" s="482">
        <v>46136</v>
      </c>
      <c r="B265" s="106" t="s">
        <v>61</v>
      </c>
      <c r="C265" s="29" t="s">
        <v>889</v>
      </c>
      <c r="D265" s="110" t="s">
        <v>890</v>
      </c>
      <c r="E265" s="110"/>
      <c r="F265" s="49">
        <v>1</v>
      </c>
      <c r="G265" s="49">
        <v>323420</v>
      </c>
      <c r="H265" s="525">
        <v>323420</v>
      </c>
      <c r="I265" s="49" t="s">
        <v>891</v>
      </c>
      <c r="J265" s="486">
        <v>46084</v>
      </c>
      <c r="K265" s="144"/>
      <c r="L265" s="67"/>
      <c r="M265" s="89"/>
    </row>
    <row r="266" spans="1:13" s="3" customFormat="1" ht="18.75" customHeight="1" x14ac:dyDescent="0.4">
      <c r="A266" s="482">
        <v>46136</v>
      </c>
      <c r="B266" s="106" t="s">
        <v>61</v>
      </c>
      <c r="C266" s="29" t="s">
        <v>889</v>
      </c>
      <c r="D266" s="110" t="s">
        <v>890</v>
      </c>
      <c r="E266" s="110"/>
      <c r="F266" s="49">
        <v>2</v>
      </c>
      <c r="G266" s="49">
        <v>323420</v>
      </c>
      <c r="H266" s="525">
        <v>646840</v>
      </c>
      <c r="I266" s="49" t="s">
        <v>1081</v>
      </c>
      <c r="J266" s="486">
        <v>46108</v>
      </c>
      <c r="K266" s="144"/>
      <c r="L266" s="67"/>
      <c r="M266" s="89"/>
    </row>
    <row r="267" spans="1:13" s="3" customFormat="1" ht="18.75" customHeight="1" x14ac:dyDescent="0.4">
      <c r="A267" s="482">
        <v>46136</v>
      </c>
      <c r="B267" s="106" t="s">
        <v>61</v>
      </c>
      <c r="C267" s="29" t="s">
        <v>103</v>
      </c>
      <c r="D267" s="110" t="s">
        <v>907</v>
      </c>
      <c r="E267" s="110"/>
      <c r="F267" s="49">
        <v>1</v>
      </c>
      <c r="G267" s="49">
        <v>399350</v>
      </c>
      <c r="H267" s="525">
        <v>399350</v>
      </c>
      <c r="I267" s="49" t="s">
        <v>1081</v>
      </c>
      <c r="J267" s="486">
        <v>46108</v>
      </c>
      <c r="K267" s="144"/>
      <c r="L267" s="67"/>
      <c r="M267" s="89"/>
    </row>
    <row r="268" spans="1:13" s="3" customFormat="1" ht="18.75" customHeight="1" x14ac:dyDescent="0.4">
      <c r="A268" s="482">
        <v>46139</v>
      </c>
      <c r="B268" s="106" t="s">
        <v>61</v>
      </c>
      <c r="C268" s="29" t="s">
        <v>190</v>
      </c>
      <c r="D268" s="110" t="s">
        <v>214</v>
      </c>
      <c r="E268" s="110"/>
      <c r="F268" s="49">
        <v>1</v>
      </c>
      <c r="G268" s="49">
        <v>181000</v>
      </c>
      <c r="H268" s="525">
        <v>181000</v>
      </c>
      <c r="I268" s="49" t="s">
        <v>213</v>
      </c>
      <c r="J268" s="486">
        <v>46142</v>
      </c>
      <c r="K268" s="144"/>
      <c r="L268" s="67"/>
      <c r="M268" s="89"/>
    </row>
    <row r="269" spans="1:13" s="3" customFormat="1" ht="18.75" customHeight="1" x14ac:dyDescent="0.4">
      <c r="A269" s="482">
        <v>46139</v>
      </c>
      <c r="B269" s="106" t="s">
        <v>61</v>
      </c>
      <c r="C269" s="29" t="s">
        <v>106</v>
      </c>
      <c r="D269" s="110" t="s">
        <v>107</v>
      </c>
      <c r="E269" s="110"/>
      <c r="F269" s="49">
        <v>1</v>
      </c>
      <c r="G269" s="49">
        <v>333000</v>
      </c>
      <c r="H269" s="525">
        <v>333000</v>
      </c>
      <c r="I269" s="49" t="s">
        <v>213</v>
      </c>
      <c r="J269" s="486">
        <v>46142</v>
      </c>
      <c r="K269" s="144"/>
      <c r="L269" s="67"/>
      <c r="M269" s="89"/>
    </row>
    <row r="270" spans="1:13" s="3" customFormat="1" ht="18.75" customHeight="1" x14ac:dyDescent="0.4">
      <c r="A270" s="482">
        <v>46139</v>
      </c>
      <c r="B270" s="106" t="s">
        <v>61</v>
      </c>
      <c r="C270" s="29" t="s">
        <v>83</v>
      </c>
      <c r="D270" s="110" t="s">
        <v>84</v>
      </c>
      <c r="E270" s="110"/>
      <c r="F270" s="81">
        <v>2</v>
      </c>
      <c r="G270" s="49">
        <v>76500</v>
      </c>
      <c r="H270" s="525">
        <v>153000</v>
      </c>
      <c r="I270" s="49" t="s">
        <v>70</v>
      </c>
      <c r="J270" s="486">
        <v>46147</v>
      </c>
      <c r="K270" s="144"/>
      <c r="L270" s="67"/>
      <c r="M270" s="89"/>
    </row>
    <row r="271" spans="1:13" s="3" customFormat="1" ht="18.75" customHeight="1" x14ac:dyDescent="0.4">
      <c r="A271" s="482">
        <v>46139</v>
      </c>
      <c r="B271" s="106" t="s">
        <v>61</v>
      </c>
      <c r="C271" s="29" t="s">
        <v>83</v>
      </c>
      <c r="D271" s="110" t="s">
        <v>84</v>
      </c>
      <c r="E271" s="110"/>
      <c r="F271" s="81">
        <v>2</v>
      </c>
      <c r="G271" s="49">
        <v>76500</v>
      </c>
      <c r="H271" s="525">
        <v>153000</v>
      </c>
      <c r="I271" s="49" t="s">
        <v>70</v>
      </c>
      <c r="J271" s="486">
        <v>46147</v>
      </c>
      <c r="K271" s="144"/>
      <c r="L271" s="67"/>
      <c r="M271" s="89"/>
    </row>
    <row r="272" spans="1:13" s="3" customFormat="1" ht="18.75" customHeight="1" x14ac:dyDescent="0.4">
      <c r="A272" s="482">
        <v>46139</v>
      </c>
      <c r="B272" s="106" t="s">
        <v>61</v>
      </c>
      <c r="C272" s="29" t="s">
        <v>85</v>
      </c>
      <c r="D272" s="110" t="s">
        <v>86</v>
      </c>
      <c r="E272" s="110"/>
      <c r="F272" s="81">
        <v>2</v>
      </c>
      <c r="G272" s="49">
        <v>37700</v>
      </c>
      <c r="H272" s="525">
        <v>75400</v>
      </c>
      <c r="I272" s="49" t="s">
        <v>70</v>
      </c>
      <c r="J272" s="486">
        <v>46147</v>
      </c>
      <c r="K272" s="144"/>
      <c r="L272" s="67"/>
      <c r="M272" s="89"/>
    </row>
    <row r="273" spans="1:13" s="3" customFormat="1" ht="18.75" customHeight="1" x14ac:dyDescent="0.4">
      <c r="A273" s="482">
        <v>46139</v>
      </c>
      <c r="B273" s="106" t="s">
        <v>61</v>
      </c>
      <c r="C273" s="29" t="s">
        <v>85</v>
      </c>
      <c r="D273" s="110" t="s">
        <v>86</v>
      </c>
      <c r="E273" s="110"/>
      <c r="F273" s="81">
        <v>2</v>
      </c>
      <c r="G273" s="49">
        <v>37700</v>
      </c>
      <c r="H273" s="525">
        <v>75400</v>
      </c>
      <c r="I273" s="49" t="s">
        <v>70</v>
      </c>
      <c r="J273" s="486">
        <v>46147</v>
      </c>
      <c r="K273" s="144"/>
      <c r="L273" s="67"/>
      <c r="M273" s="89"/>
    </row>
    <row r="274" spans="1:13" s="3" customFormat="1" ht="18.75" customHeight="1" x14ac:dyDescent="0.4">
      <c r="A274" s="482">
        <v>46139</v>
      </c>
      <c r="B274" s="106" t="s">
        <v>61</v>
      </c>
      <c r="C274" s="29" t="s">
        <v>83</v>
      </c>
      <c r="D274" s="110" t="s">
        <v>87</v>
      </c>
      <c r="E274" s="110"/>
      <c r="F274" s="81">
        <v>2</v>
      </c>
      <c r="G274" s="49">
        <v>75300</v>
      </c>
      <c r="H274" s="525">
        <v>150600</v>
      </c>
      <c r="I274" s="49" t="s">
        <v>70</v>
      </c>
      <c r="J274" s="486">
        <v>46147</v>
      </c>
      <c r="K274" s="144"/>
      <c r="L274" s="67"/>
      <c r="M274" s="89"/>
    </row>
    <row r="275" spans="1:13" s="3" customFormat="1" ht="18.75" customHeight="1" x14ac:dyDescent="0.4">
      <c r="A275" s="482">
        <v>46139</v>
      </c>
      <c r="B275" s="106" t="s">
        <v>61</v>
      </c>
      <c r="C275" s="29" t="s">
        <v>83</v>
      </c>
      <c r="D275" s="110" t="s">
        <v>87</v>
      </c>
      <c r="E275" s="110"/>
      <c r="F275" s="81">
        <v>2</v>
      </c>
      <c r="G275" s="49">
        <v>75300</v>
      </c>
      <c r="H275" s="525">
        <v>150600</v>
      </c>
      <c r="I275" s="49" t="s">
        <v>70</v>
      </c>
      <c r="J275" s="486">
        <v>46147</v>
      </c>
      <c r="K275" s="144"/>
      <c r="L275" s="67"/>
      <c r="M275" s="89"/>
    </row>
    <row r="276" spans="1:13" s="3" customFormat="1" ht="18.75" customHeight="1" x14ac:dyDescent="0.4">
      <c r="A276" s="482">
        <v>46139</v>
      </c>
      <c r="B276" s="106" t="s">
        <v>61</v>
      </c>
      <c r="C276" s="29" t="s">
        <v>88</v>
      </c>
      <c r="D276" s="110" t="s">
        <v>89</v>
      </c>
      <c r="E276" s="110"/>
      <c r="F276" s="81">
        <v>4</v>
      </c>
      <c r="G276" s="49">
        <v>64000</v>
      </c>
      <c r="H276" s="525">
        <v>256000</v>
      </c>
      <c r="I276" s="49" t="s">
        <v>70</v>
      </c>
      <c r="J276" s="486">
        <v>46147</v>
      </c>
      <c r="K276" s="144"/>
      <c r="L276" s="67"/>
      <c r="M276" s="89"/>
    </row>
    <row r="277" spans="1:13" s="3" customFormat="1" ht="18.75" customHeight="1" x14ac:dyDescent="0.4">
      <c r="A277" s="482">
        <v>46139</v>
      </c>
      <c r="B277" s="106" t="s">
        <v>61</v>
      </c>
      <c r="C277" s="29" t="s">
        <v>88</v>
      </c>
      <c r="D277" s="110" t="s">
        <v>89</v>
      </c>
      <c r="E277" s="110"/>
      <c r="F277" s="81">
        <v>4</v>
      </c>
      <c r="G277" s="49">
        <v>64000</v>
      </c>
      <c r="H277" s="525">
        <v>256000</v>
      </c>
      <c r="I277" s="49" t="s">
        <v>70</v>
      </c>
      <c r="J277" s="486">
        <v>46147</v>
      </c>
      <c r="K277" s="144"/>
      <c r="L277" s="67"/>
      <c r="M277" s="89"/>
    </row>
    <row r="278" spans="1:13" s="3" customFormat="1" ht="18.75" customHeight="1" x14ac:dyDescent="0.4">
      <c r="A278" s="482">
        <v>46139</v>
      </c>
      <c r="B278" s="106" t="s">
        <v>61</v>
      </c>
      <c r="C278" s="29" t="s">
        <v>290</v>
      </c>
      <c r="D278" s="110" t="s">
        <v>291</v>
      </c>
      <c r="E278" s="110"/>
      <c r="F278" s="81">
        <v>2</v>
      </c>
      <c r="G278" s="49">
        <v>129000</v>
      </c>
      <c r="H278" s="525">
        <v>258000</v>
      </c>
      <c r="I278" s="49" t="s">
        <v>70</v>
      </c>
      <c r="J278" s="486">
        <v>46147</v>
      </c>
      <c r="K278" s="144"/>
      <c r="L278" s="67"/>
      <c r="M278" s="89"/>
    </row>
    <row r="279" spans="1:13" s="3" customFormat="1" ht="18.75" customHeight="1" x14ac:dyDescent="0.4">
      <c r="A279" s="482">
        <v>46139</v>
      </c>
      <c r="B279" s="106" t="s">
        <v>61</v>
      </c>
      <c r="C279" s="29" t="s">
        <v>290</v>
      </c>
      <c r="D279" s="110" t="s">
        <v>291</v>
      </c>
      <c r="E279" s="110"/>
      <c r="F279" s="81">
        <v>2</v>
      </c>
      <c r="G279" s="49">
        <v>129000</v>
      </c>
      <c r="H279" s="525">
        <v>258000</v>
      </c>
      <c r="I279" s="49" t="s">
        <v>70</v>
      </c>
      <c r="J279" s="486">
        <v>46147</v>
      </c>
      <c r="K279" s="144"/>
      <c r="L279" s="67"/>
      <c r="M279" s="89"/>
    </row>
    <row r="280" spans="1:13" s="3" customFormat="1" ht="18.75" customHeight="1" x14ac:dyDescent="0.4">
      <c r="A280" s="482">
        <v>46139</v>
      </c>
      <c r="B280" s="106" t="s">
        <v>61</v>
      </c>
      <c r="C280" s="29" t="s">
        <v>103</v>
      </c>
      <c r="D280" s="110" t="s">
        <v>104</v>
      </c>
      <c r="E280" s="110"/>
      <c r="F280" s="81">
        <v>2</v>
      </c>
      <c r="G280" s="49">
        <v>220000</v>
      </c>
      <c r="H280" s="525">
        <v>440000</v>
      </c>
      <c r="I280" s="49" t="s">
        <v>213</v>
      </c>
      <c r="J280" s="486">
        <v>46143</v>
      </c>
      <c r="K280" s="144"/>
      <c r="L280" s="67"/>
      <c r="M280" s="89"/>
    </row>
    <row r="281" spans="1:13" s="3" customFormat="1" ht="18.75" customHeight="1" x14ac:dyDescent="0.4">
      <c r="A281" s="482">
        <v>46139</v>
      </c>
      <c r="B281" s="106" t="s">
        <v>61</v>
      </c>
      <c r="C281" s="29" t="s">
        <v>190</v>
      </c>
      <c r="D281" s="110" t="s">
        <v>214</v>
      </c>
      <c r="E281" s="110"/>
      <c r="F281" s="81">
        <v>2</v>
      </c>
      <c r="G281" s="49">
        <v>181000</v>
      </c>
      <c r="H281" s="525">
        <v>362000</v>
      </c>
      <c r="I281" s="49" t="s">
        <v>213</v>
      </c>
      <c r="J281" s="486">
        <v>46143</v>
      </c>
      <c r="K281" s="144"/>
      <c r="L281" s="67"/>
      <c r="M281" s="89"/>
    </row>
    <row r="282" spans="1:13" s="3" customFormat="1" ht="18.75" customHeight="1" x14ac:dyDescent="0.4">
      <c r="A282" s="482">
        <v>46139</v>
      </c>
      <c r="B282" s="106" t="s">
        <v>61</v>
      </c>
      <c r="C282" s="29" t="s">
        <v>106</v>
      </c>
      <c r="D282" s="110" t="s">
        <v>107</v>
      </c>
      <c r="E282" s="110"/>
      <c r="F282" s="81">
        <v>2</v>
      </c>
      <c r="G282" s="49">
        <v>333000</v>
      </c>
      <c r="H282" s="525">
        <v>666000</v>
      </c>
      <c r="I282" s="49" t="s">
        <v>213</v>
      </c>
      <c r="J282" s="486">
        <v>46143</v>
      </c>
      <c r="K282" s="144"/>
      <c r="L282" s="67"/>
      <c r="M282" s="89"/>
    </row>
    <row r="283" spans="1:13" s="3" customFormat="1" ht="18.75" customHeight="1" x14ac:dyDescent="0.4">
      <c r="A283" s="482">
        <v>46139</v>
      </c>
      <c r="B283" s="106" t="s">
        <v>61</v>
      </c>
      <c r="C283" s="29" t="s">
        <v>103</v>
      </c>
      <c r="D283" s="110" t="s">
        <v>913</v>
      </c>
      <c r="E283" s="110"/>
      <c r="F283" s="81">
        <v>1</v>
      </c>
      <c r="G283" s="49">
        <v>350000</v>
      </c>
      <c r="H283" s="525">
        <v>350000</v>
      </c>
      <c r="I283" s="49" t="s">
        <v>213</v>
      </c>
      <c r="J283" s="486">
        <v>46143</v>
      </c>
      <c r="K283" s="144"/>
      <c r="L283" s="67"/>
      <c r="M283" s="89"/>
    </row>
    <row r="284" spans="1:13" s="3" customFormat="1" ht="18.75" customHeight="1" x14ac:dyDescent="0.4">
      <c r="A284" s="482">
        <v>46139</v>
      </c>
      <c r="B284" s="106" t="s">
        <v>61</v>
      </c>
      <c r="C284" s="29" t="s">
        <v>110</v>
      </c>
      <c r="D284" s="110" t="s">
        <v>111</v>
      </c>
      <c r="E284" s="110"/>
      <c r="F284" s="81">
        <v>1</v>
      </c>
      <c r="G284" s="49">
        <v>102070</v>
      </c>
      <c r="H284" s="525">
        <v>102070</v>
      </c>
      <c r="I284" s="49" t="s">
        <v>213</v>
      </c>
      <c r="J284" s="486">
        <v>46143</v>
      </c>
      <c r="K284" s="144"/>
      <c r="L284" s="67"/>
      <c r="M284" s="89"/>
    </row>
    <row r="285" spans="1:13" s="3" customFormat="1" ht="18.75" customHeight="1" x14ac:dyDescent="0.4">
      <c r="A285" s="482">
        <v>46141</v>
      </c>
      <c r="B285" s="106" t="s">
        <v>61</v>
      </c>
      <c r="C285" s="29" t="s">
        <v>66</v>
      </c>
      <c r="D285" s="110" t="s">
        <v>1080</v>
      </c>
      <c r="E285" s="110"/>
      <c r="F285" s="81">
        <v>12</v>
      </c>
      <c r="G285" s="49">
        <v>1766050</v>
      </c>
      <c r="H285" s="525">
        <v>21192600</v>
      </c>
      <c r="I285" s="49" t="s">
        <v>1089</v>
      </c>
      <c r="J285" s="486">
        <v>46106</v>
      </c>
      <c r="K285" s="144"/>
      <c r="L285" s="67"/>
      <c r="M285" s="89"/>
    </row>
    <row r="286" spans="1:13" s="3" customFormat="1" ht="18.75" customHeight="1" x14ac:dyDescent="0.4">
      <c r="A286" s="482">
        <v>46141</v>
      </c>
      <c r="B286" s="106" t="s">
        <v>61</v>
      </c>
      <c r="C286" s="29" t="s">
        <v>105</v>
      </c>
      <c r="D286" s="110" t="s">
        <v>364</v>
      </c>
      <c r="E286" s="110"/>
      <c r="F286" s="81">
        <v>12</v>
      </c>
      <c r="G286" s="49">
        <v>227050</v>
      </c>
      <c r="H286" s="525">
        <v>2724600</v>
      </c>
      <c r="I286" s="49" t="s">
        <v>1089</v>
      </c>
      <c r="J286" s="486">
        <v>46106</v>
      </c>
      <c r="K286" s="144"/>
      <c r="L286" s="67"/>
      <c r="M286" s="89"/>
    </row>
    <row r="287" spans="1:13" s="3" customFormat="1" ht="18.75" customHeight="1" x14ac:dyDescent="0.4">
      <c r="A287" s="482">
        <v>46141</v>
      </c>
      <c r="B287" s="106" t="s">
        <v>61</v>
      </c>
      <c r="C287" s="29" t="s">
        <v>81</v>
      </c>
      <c r="D287" s="110" t="s">
        <v>196</v>
      </c>
      <c r="E287" s="110"/>
      <c r="F287" s="81">
        <v>1</v>
      </c>
      <c r="G287" s="49">
        <v>78850</v>
      </c>
      <c r="H287" s="525">
        <v>78850</v>
      </c>
      <c r="I287" s="49" t="s">
        <v>1089</v>
      </c>
      <c r="J287" s="486">
        <v>46106</v>
      </c>
      <c r="K287" s="144"/>
      <c r="L287" s="67"/>
      <c r="M287" s="89"/>
    </row>
    <row r="288" spans="1:13" s="3" customFormat="1" ht="18.75" customHeight="1" x14ac:dyDescent="0.4">
      <c r="A288" s="482">
        <v>46141</v>
      </c>
      <c r="B288" s="106" t="s">
        <v>61</v>
      </c>
      <c r="C288" s="29" t="s">
        <v>202</v>
      </c>
      <c r="D288" s="110" t="s">
        <v>921</v>
      </c>
      <c r="E288" s="110"/>
      <c r="F288" s="81">
        <v>12</v>
      </c>
      <c r="G288" s="49">
        <v>351500</v>
      </c>
      <c r="H288" s="525">
        <v>4218000</v>
      </c>
      <c r="I288" s="49" t="s">
        <v>1089</v>
      </c>
      <c r="J288" s="486">
        <v>46106</v>
      </c>
      <c r="K288" s="144"/>
      <c r="L288" s="67"/>
      <c r="M288" s="89"/>
    </row>
    <row r="289" spans="1:13" s="78" customFormat="1" ht="18.75" customHeight="1" x14ac:dyDescent="0.4">
      <c r="A289" s="484">
        <v>46141</v>
      </c>
      <c r="B289" s="106" t="s">
        <v>61</v>
      </c>
      <c r="C289" s="61" t="s">
        <v>67</v>
      </c>
      <c r="D289" s="59" t="s">
        <v>197</v>
      </c>
      <c r="E289" s="59"/>
      <c r="F289" s="49">
        <v>1</v>
      </c>
      <c r="G289" s="49">
        <v>364800</v>
      </c>
      <c r="H289" s="525">
        <v>364800</v>
      </c>
      <c r="I289" s="49" t="s">
        <v>1089</v>
      </c>
      <c r="J289" s="486">
        <v>46106</v>
      </c>
      <c r="K289" s="144"/>
      <c r="L289" s="67"/>
      <c r="M289" s="365"/>
    </row>
    <row r="290" spans="1:13" s="78" customFormat="1" ht="18.75" customHeight="1" x14ac:dyDescent="0.4">
      <c r="A290" s="484">
        <v>46141</v>
      </c>
      <c r="B290" s="106" t="s">
        <v>61</v>
      </c>
      <c r="C290" s="61" t="s">
        <v>428</v>
      </c>
      <c r="D290" s="59" t="s">
        <v>289</v>
      </c>
      <c r="E290" s="59"/>
      <c r="F290" s="49">
        <v>3</v>
      </c>
      <c r="G290" s="49">
        <v>390000</v>
      </c>
      <c r="H290" s="525">
        <v>1170000</v>
      </c>
      <c r="I290" s="49" t="s">
        <v>1089</v>
      </c>
      <c r="J290" s="486">
        <v>46106</v>
      </c>
      <c r="K290" s="144"/>
      <c r="L290" s="67"/>
      <c r="M290" s="365"/>
    </row>
    <row r="291" spans="1:13" s="78" customFormat="1" ht="18.75" customHeight="1" x14ac:dyDescent="0.4">
      <c r="A291" s="484">
        <v>46141</v>
      </c>
      <c r="B291" s="106" t="s">
        <v>61</v>
      </c>
      <c r="C291" s="61" t="s">
        <v>63</v>
      </c>
      <c r="D291" s="59" t="s">
        <v>922</v>
      </c>
      <c r="E291" s="59"/>
      <c r="F291" s="49">
        <v>12</v>
      </c>
      <c r="G291" s="49">
        <v>125400</v>
      </c>
      <c r="H291" s="525">
        <v>1504800</v>
      </c>
      <c r="I291" s="49" t="s">
        <v>1089</v>
      </c>
      <c r="J291" s="486">
        <v>46106</v>
      </c>
      <c r="K291" s="144"/>
      <c r="L291" s="67"/>
      <c r="M291" s="365"/>
    </row>
    <row r="292" spans="1:13" s="78" customFormat="1" ht="18.75" customHeight="1" x14ac:dyDescent="0.4">
      <c r="A292" s="484">
        <v>46141</v>
      </c>
      <c r="B292" s="106" t="s">
        <v>61</v>
      </c>
      <c r="C292" s="61" t="s">
        <v>202</v>
      </c>
      <c r="D292" s="59" t="s">
        <v>203</v>
      </c>
      <c r="E292" s="59"/>
      <c r="F292" s="49">
        <v>3</v>
      </c>
      <c r="G292" s="49">
        <v>384000</v>
      </c>
      <c r="H292" s="525">
        <v>1152000</v>
      </c>
      <c r="I292" s="49" t="s">
        <v>1276</v>
      </c>
      <c r="J292" s="486">
        <v>46136</v>
      </c>
      <c r="K292" s="144"/>
      <c r="L292" s="67"/>
      <c r="M292" s="365"/>
    </row>
    <row r="293" spans="1:13" s="78" customFormat="1" ht="18.75" customHeight="1" x14ac:dyDescent="0.4">
      <c r="A293" s="484">
        <v>46141</v>
      </c>
      <c r="B293" s="106" t="s">
        <v>61</v>
      </c>
      <c r="C293" s="61" t="s">
        <v>78</v>
      </c>
      <c r="D293" s="59" t="s">
        <v>79</v>
      </c>
      <c r="E293" s="59"/>
      <c r="F293" s="49">
        <v>3</v>
      </c>
      <c r="G293" s="49">
        <v>90500</v>
      </c>
      <c r="H293" s="525">
        <v>271500</v>
      </c>
      <c r="I293" s="49" t="s">
        <v>1280</v>
      </c>
      <c r="J293" s="486">
        <v>46121</v>
      </c>
      <c r="K293" s="144"/>
      <c r="L293" s="67"/>
      <c r="M293" s="365"/>
    </row>
    <row r="294" spans="1:13" s="3" customFormat="1" ht="18.75" customHeight="1" x14ac:dyDescent="0.4">
      <c r="A294" s="482">
        <v>46141</v>
      </c>
      <c r="B294" s="106" t="s">
        <v>61</v>
      </c>
      <c r="C294" s="29" t="s">
        <v>67</v>
      </c>
      <c r="D294" s="110" t="s">
        <v>80</v>
      </c>
      <c r="E294" s="110"/>
      <c r="F294" s="81">
        <v>3</v>
      </c>
      <c r="G294" s="49">
        <v>384000</v>
      </c>
      <c r="H294" s="525">
        <v>1152000</v>
      </c>
      <c r="I294" s="49" t="s">
        <v>1084</v>
      </c>
      <c r="J294" s="486">
        <v>46104</v>
      </c>
      <c r="K294" s="144"/>
      <c r="L294" s="67"/>
      <c r="M294" s="89"/>
    </row>
    <row r="295" spans="1:13" s="3" customFormat="1" ht="18.75" customHeight="1" x14ac:dyDescent="0.4">
      <c r="A295" s="482">
        <v>46141</v>
      </c>
      <c r="B295" s="106" t="s">
        <v>61</v>
      </c>
      <c r="C295" s="29" t="s">
        <v>202</v>
      </c>
      <c r="D295" s="110" t="s">
        <v>203</v>
      </c>
      <c r="E295" s="110"/>
      <c r="F295" s="81">
        <v>3</v>
      </c>
      <c r="G295" s="49">
        <v>384000</v>
      </c>
      <c r="H295" s="525">
        <v>1152000</v>
      </c>
      <c r="I295" s="49" t="s">
        <v>1277</v>
      </c>
      <c r="J295" s="486">
        <v>46135</v>
      </c>
      <c r="K295" s="144"/>
      <c r="L295" s="67"/>
      <c r="M295" s="89"/>
    </row>
    <row r="296" spans="1:13" s="3" customFormat="1" ht="18.75" customHeight="1" x14ac:dyDescent="0.4">
      <c r="A296" s="482">
        <v>46141</v>
      </c>
      <c r="B296" s="106" t="s">
        <v>61</v>
      </c>
      <c r="C296" s="29" t="s">
        <v>67</v>
      </c>
      <c r="D296" s="110" t="s">
        <v>80</v>
      </c>
      <c r="E296" s="110"/>
      <c r="F296" s="81">
        <v>8</v>
      </c>
      <c r="G296" s="49">
        <v>384000</v>
      </c>
      <c r="H296" s="525">
        <v>3072000</v>
      </c>
      <c r="I296" s="49" t="s">
        <v>1088</v>
      </c>
      <c r="J296" s="486">
        <v>46113</v>
      </c>
      <c r="K296" s="144"/>
      <c r="L296" s="67"/>
      <c r="M296" s="89"/>
    </row>
    <row r="297" spans="1:13" s="3" customFormat="1" ht="18.75" customHeight="1" x14ac:dyDescent="0.4">
      <c r="A297" s="482">
        <v>46141</v>
      </c>
      <c r="B297" s="106" t="s">
        <v>61</v>
      </c>
      <c r="C297" s="29" t="s">
        <v>64</v>
      </c>
      <c r="D297" s="110" t="s">
        <v>65</v>
      </c>
      <c r="E297" s="110"/>
      <c r="F297" s="81">
        <v>8</v>
      </c>
      <c r="G297" s="49">
        <v>1568700</v>
      </c>
      <c r="H297" s="525">
        <v>12549600</v>
      </c>
      <c r="I297" s="49" t="s">
        <v>1088</v>
      </c>
      <c r="J297" s="486">
        <v>46113</v>
      </c>
      <c r="K297" s="144"/>
      <c r="L297" s="67"/>
      <c r="M297" s="89"/>
    </row>
    <row r="298" spans="1:13" s="3" customFormat="1" ht="18.75" customHeight="1" x14ac:dyDescent="0.4">
      <c r="A298" s="482">
        <v>46141</v>
      </c>
      <c r="B298" s="106" t="s">
        <v>61</v>
      </c>
      <c r="C298" s="29" t="s">
        <v>64</v>
      </c>
      <c r="D298" s="110" t="s">
        <v>65</v>
      </c>
      <c r="E298" s="110"/>
      <c r="F298" s="81">
        <v>4</v>
      </c>
      <c r="G298" s="49">
        <v>1568700</v>
      </c>
      <c r="H298" s="525">
        <v>6274800</v>
      </c>
      <c r="I298" s="49" t="s">
        <v>1274</v>
      </c>
      <c r="J298" s="486">
        <v>46128</v>
      </c>
      <c r="K298" s="144"/>
      <c r="L298" s="67"/>
      <c r="M298" s="89"/>
    </row>
    <row r="299" spans="1:13" s="3" customFormat="1" ht="18.75" customHeight="1" x14ac:dyDescent="0.4">
      <c r="A299" s="482">
        <v>46141</v>
      </c>
      <c r="B299" s="106" t="s">
        <v>61</v>
      </c>
      <c r="C299" s="29" t="s">
        <v>64</v>
      </c>
      <c r="D299" s="110" t="s">
        <v>65</v>
      </c>
      <c r="E299" s="110"/>
      <c r="F299" s="81">
        <v>6</v>
      </c>
      <c r="G299" s="49">
        <v>1568700</v>
      </c>
      <c r="H299" s="525">
        <v>9412200</v>
      </c>
      <c r="I299" s="49" t="s">
        <v>1275</v>
      </c>
      <c r="J299" s="486">
        <v>46128</v>
      </c>
      <c r="K299" s="144"/>
      <c r="L299" s="67"/>
      <c r="M299" s="89"/>
    </row>
    <row r="300" spans="1:13" s="3" customFormat="1" ht="18.75" customHeight="1" x14ac:dyDescent="0.4">
      <c r="A300" s="482">
        <v>46141</v>
      </c>
      <c r="B300" s="106" t="s">
        <v>61</v>
      </c>
      <c r="C300" s="29" t="s">
        <v>64</v>
      </c>
      <c r="D300" s="110" t="s">
        <v>65</v>
      </c>
      <c r="E300" s="110"/>
      <c r="F300" s="81">
        <v>3</v>
      </c>
      <c r="G300" s="49">
        <v>1568700</v>
      </c>
      <c r="H300" s="525">
        <v>4706100</v>
      </c>
      <c r="I300" s="49" t="s">
        <v>1077</v>
      </c>
      <c r="J300" s="486">
        <v>46090</v>
      </c>
      <c r="K300" s="144"/>
      <c r="L300" s="67"/>
      <c r="M300" s="89"/>
    </row>
    <row r="301" spans="1:13" s="3" customFormat="1" ht="18.75" customHeight="1" x14ac:dyDescent="0.4">
      <c r="A301" s="482">
        <v>46141</v>
      </c>
      <c r="B301" s="106" t="s">
        <v>61</v>
      </c>
      <c r="C301" s="29" t="s">
        <v>64</v>
      </c>
      <c r="D301" s="110" t="s">
        <v>65</v>
      </c>
      <c r="E301" s="110"/>
      <c r="F301" s="81">
        <v>3</v>
      </c>
      <c r="G301" s="49">
        <v>1568700</v>
      </c>
      <c r="H301" s="525">
        <v>4706100</v>
      </c>
      <c r="I301" s="49" t="s">
        <v>1084</v>
      </c>
      <c r="J301" s="486">
        <v>46104</v>
      </c>
      <c r="K301" s="144"/>
      <c r="L301" s="67"/>
      <c r="M301" s="89"/>
    </row>
    <row r="302" spans="1:13" s="3" customFormat="1" ht="18.75" customHeight="1" x14ac:dyDescent="0.4">
      <c r="A302" s="482">
        <v>46141</v>
      </c>
      <c r="B302" s="106" t="s">
        <v>61</v>
      </c>
      <c r="C302" s="29" t="s">
        <v>64</v>
      </c>
      <c r="D302" s="110" t="s">
        <v>65</v>
      </c>
      <c r="E302" s="110"/>
      <c r="F302" s="81">
        <v>3</v>
      </c>
      <c r="G302" s="49">
        <v>1568700</v>
      </c>
      <c r="H302" s="525">
        <v>4706100</v>
      </c>
      <c r="I302" s="49" t="s">
        <v>1280</v>
      </c>
      <c r="J302" s="486">
        <v>46121</v>
      </c>
      <c r="K302" s="144"/>
      <c r="L302" s="67"/>
      <c r="M302" s="89"/>
    </row>
    <row r="303" spans="1:13" s="3" customFormat="1" ht="18.75" customHeight="1" x14ac:dyDescent="0.4">
      <c r="A303" s="482">
        <v>46141</v>
      </c>
      <c r="B303" s="106" t="s">
        <v>61</v>
      </c>
      <c r="C303" s="29" t="s">
        <v>64</v>
      </c>
      <c r="D303" s="110" t="s">
        <v>65</v>
      </c>
      <c r="E303" s="110"/>
      <c r="F303" s="81">
        <v>3</v>
      </c>
      <c r="G303" s="49">
        <v>1568700</v>
      </c>
      <c r="H303" s="525">
        <v>4706100</v>
      </c>
      <c r="I303" s="49" t="s">
        <v>1277</v>
      </c>
      <c r="J303" s="486">
        <v>46135</v>
      </c>
      <c r="K303" s="144"/>
      <c r="L303" s="67"/>
      <c r="M303" s="89"/>
    </row>
    <row r="304" spans="1:13" s="3" customFormat="1" ht="18.75" customHeight="1" x14ac:dyDescent="0.4">
      <c r="A304" s="482">
        <v>46141</v>
      </c>
      <c r="B304" s="106" t="s">
        <v>61</v>
      </c>
      <c r="C304" s="29" t="s">
        <v>103</v>
      </c>
      <c r="D304" s="110" t="s">
        <v>1285</v>
      </c>
      <c r="E304" s="110"/>
      <c r="F304" s="81">
        <v>1</v>
      </c>
      <c r="G304" s="49">
        <v>362890</v>
      </c>
      <c r="H304" s="525">
        <v>362890</v>
      </c>
      <c r="I304" s="49" t="s">
        <v>891</v>
      </c>
      <c r="J304" s="486">
        <v>46136</v>
      </c>
      <c r="K304" s="144"/>
      <c r="L304" s="67"/>
      <c r="M304" s="89"/>
    </row>
    <row r="305" spans="1:13" s="3" customFormat="1" ht="18.75" customHeight="1" x14ac:dyDescent="0.4">
      <c r="A305" s="482">
        <v>46141</v>
      </c>
      <c r="B305" s="106" t="s">
        <v>61</v>
      </c>
      <c r="C305" s="29" t="s">
        <v>103</v>
      </c>
      <c r="D305" s="110" t="s">
        <v>1285</v>
      </c>
      <c r="E305" s="110"/>
      <c r="F305" s="81">
        <v>1</v>
      </c>
      <c r="G305" s="49">
        <v>362890</v>
      </c>
      <c r="H305" s="525">
        <v>362890</v>
      </c>
      <c r="I305" s="49" t="s">
        <v>891</v>
      </c>
      <c r="J305" s="486">
        <v>46136</v>
      </c>
      <c r="K305" s="144"/>
      <c r="L305" s="67"/>
      <c r="M305" s="89"/>
    </row>
    <row r="306" spans="1:13" s="3" customFormat="1" ht="18.75" customHeight="1" x14ac:dyDescent="0.4">
      <c r="A306" s="482">
        <v>46141</v>
      </c>
      <c r="B306" s="106" t="s">
        <v>61</v>
      </c>
      <c r="C306" s="29" t="s">
        <v>103</v>
      </c>
      <c r="D306" s="110" t="s">
        <v>1285</v>
      </c>
      <c r="E306" s="110"/>
      <c r="F306" s="81">
        <v>2</v>
      </c>
      <c r="G306" s="49">
        <v>362890</v>
      </c>
      <c r="H306" s="525">
        <v>725780</v>
      </c>
      <c r="I306" s="49" t="s">
        <v>1081</v>
      </c>
      <c r="J306" s="486">
        <v>46108</v>
      </c>
      <c r="K306" s="144"/>
      <c r="L306" s="67"/>
      <c r="M306" s="89"/>
    </row>
    <row r="307" spans="1:13" s="3" customFormat="1" ht="18.75" customHeight="1" x14ac:dyDescent="0.4">
      <c r="A307" s="482">
        <v>46141</v>
      </c>
      <c r="B307" s="106" t="s">
        <v>61</v>
      </c>
      <c r="C307" s="29" t="s">
        <v>908</v>
      </c>
      <c r="D307" s="110" t="s">
        <v>909</v>
      </c>
      <c r="E307" s="110"/>
      <c r="F307" s="81">
        <v>2</v>
      </c>
      <c r="G307" s="49">
        <v>2330910</v>
      </c>
      <c r="H307" s="525">
        <v>4661820</v>
      </c>
      <c r="I307" s="49" t="s">
        <v>1081</v>
      </c>
      <c r="J307" s="486">
        <v>46108</v>
      </c>
      <c r="K307" s="144"/>
      <c r="L307" s="67"/>
      <c r="M307" s="89"/>
    </row>
    <row r="308" spans="1:13" s="3" customFormat="1" ht="18.75" customHeight="1" x14ac:dyDescent="0.4">
      <c r="A308" s="482">
        <v>46141</v>
      </c>
      <c r="B308" s="106" t="s">
        <v>61</v>
      </c>
      <c r="C308" s="29" t="s">
        <v>910</v>
      </c>
      <c r="D308" s="110" t="s">
        <v>911</v>
      </c>
      <c r="E308" s="110"/>
      <c r="F308" s="81">
        <v>2</v>
      </c>
      <c r="G308" s="49">
        <v>2335340</v>
      </c>
      <c r="H308" s="525">
        <v>4670680</v>
      </c>
      <c r="I308" s="49" t="s">
        <v>1081</v>
      </c>
      <c r="J308" s="486">
        <v>46108</v>
      </c>
      <c r="K308" s="144"/>
      <c r="L308" s="67"/>
      <c r="M308" s="89"/>
    </row>
    <row r="309" spans="1:13" s="3" customFormat="1" ht="18.75" customHeight="1" x14ac:dyDescent="0.4">
      <c r="A309" s="482">
        <v>46141</v>
      </c>
      <c r="B309" s="106" t="s">
        <v>61</v>
      </c>
      <c r="C309" s="29" t="s">
        <v>306</v>
      </c>
      <c r="D309" s="110" t="s">
        <v>307</v>
      </c>
      <c r="E309" s="110"/>
      <c r="F309" s="81">
        <v>92</v>
      </c>
      <c r="G309" s="49">
        <v>520000</v>
      </c>
      <c r="H309" s="525">
        <v>47840000</v>
      </c>
      <c r="I309" s="49" t="s">
        <v>1082</v>
      </c>
      <c r="J309" s="486">
        <v>46101</v>
      </c>
      <c r="K309" s="144"/>
      <c r="L309" s="67"/>
      <c r="M309" s="89"/>
    </row>
    <row r="310" spans="1:13" s="3" customFormat="1" ht="18.75" customHeight="1" x14ac:dyDescent="0.4">
      <c r="A310" s="482">
        <v>46141</v>
      </c>
      <c r="B310" s="106" t="s">
        <v>61</v>
      </c>
      <c r="C310" s="29" t="s">
        <v>1286</v>
      </c>
      <c r="D310" s="110" t="s">
        <v>1287</v>
      </c>
      <c r="E310" s="110"/>
      <c r="F310" s="81">
        <v>4</v>
      </c>
      <c r="G310" s="49">
        <v>560000</v>
      </c>
      <c r="H310" s="525">
        <v>2240000</v>
      </c>
      <c r="I310" s="49" t="s">
        <v>1078</v>
      </c>
      <c r="J310" s="486">
        <v>46121</v>
      </c>
      <c r="K310" s="144"/>
      <c r="L310" s="67"/>
      <c r="M310" s="89"/>
    </row>
    <row r="311" spans="1:13" s="3" customFormat="1" ht="18.75" customHeight="1" x14ac:dyDescent="0.4">
      <c r="A311" s="482">
        <v>46141</v>
      </c>
      <c r="B311" s="106" t="s">
        <v>61</v>
      </c>
      <c r="C311" s="29" t="s">
        <v>1288</v>
      </c>
      <c r="D311" s="110" t="s">
        <v>1289</v>
      </c>
      <c r="E311" s="110"/>
      <c r="F311" s="81">
        <v>4</v>
      </c>
      <c r="G311" s="49">
        <v>590000</v>
      </c>
      <c r="H311" s="525">
        <v>2360000</v>
      </c>
      <c r="I311" s="49" t="s">
        <v>1078</v>
      </c>
      <c r="J311" s="486">
        <v>46121</v>
      </c>
      <c r="K311" s="144"/>
      <c r="L311" s="67"/>
      <c r="M311" s="89"/>
    </row>
    <row r="312" spans="1:13" s="3" customFormat="1" ht="18.75" customHeight="1" x14ac:dyDescent="0.4">
      <c r="A312" s="482">
        <v>46141</v>
      </c>
      <c r="B312" s="106" t="s">
        <v>61</v>
      </c>
      <c r="C312" s="29" t="s">
        <v>1290</v>
      </c>
      <c r="D312" s="110" t="s">
        <v>1291</v>
      </c>
      <c r="E312" s="110"/>
      <c r="F312" s="81">
        <v>4</v>
      </c>
      <c r="G312" s="49">
        <v>385000</v>
      </c>
      <c r="H312" s="525">
        <v>1540000</v>
      </c>
      <c r="I312" s="49" t="s">
        <v>1078</v>
      </c>
      <c r="J312" s="486">
        <v>46121</v>
      </c>
      <c r="K312" s="144"/>
      <c r="L312" s="67"/>
      <c r="M312" s="89"/>
    </row>
    <row r="313" spans="1:13" s="3" customFormat="1" ht="18.75" customHeight="1" x14ac:dyDescent="0.4">
      <c r="A313" s="482">
        <v>46141</v>
      </c>
      <c r="B313" s="106" t="s">
        <v>61</v>
      </c>
      <c r="C313" s="29" t="s">
        <v>1294</v>
      </c>
      <c r="D313" s="110" t="s">
        <v>1295</v>
      </c>
      <c r="E313" s="110"/>
      <c r="F313" s="81">
        <v>6</v>
      </c>
      <c r="G313" s="49">
        <v>930000</v>
      </c>
      <c r="H313" s="525">
        <v>5580000</v>
      </c>
      <c r="I313" s="49" t="s">
        <v>1082</v>
      </c>
      <c r="J313" s="486">
        <v>46101</v>
      </c>
      <c r="K313" s="144"/>
      <c r="L313" s="67"/>
      <c r="M313" s="89"/>
    </row>
    <row r="314" spans="1:13" s="3" customFormat="1" ht="18.75" customHeight="1" x14ac:dyDescent="0.4">
      <c r="A314" s="482">
        <v>46141</v>
      </c>
      <c r="B314" s="106" t="s">
        <v>61</v>
      </c>
      <c r="C314" s="29" t="s">
        <v>910</v>
      </c>
      <c r="D314" s="110" t="s">
        <v>911</v>
      </c>
      <c r="E314" s="110"/>
      <c r="F314" s="81">
        <v>1</v>
      </c>
      <c r="G314" s="49">
        <v>2566000</v>
      </c>
      <c r="H314" s="525">
        <v>2566000</v>
      </c>
      <c r="I314" s="49" t="s">
        <v>891</v>
      </c>
      <c r="J314" s="486">
        <v>46084</v>
      </c>
      <c r="K314" s="144"/>
      <c r="L314" s="67"/>
      <c r="M314" s="89"/>
    </row>
    <row r="315" spans="1:13" s="3" customFormat="1" ht="18.75" customHeight="1" x14ac:dyDescent="0.4">
      <c r="A315" s="482">
        <v>46141</v>
      </c>
      <c r="B315" s="106" t="s">
        <v>61</v>
      </c>
      <c r="C315" s="29" t="s">
        <v>103</v>
      </c>
      <c r="D315" s="110" t="s">
        <v>914</v>
      </c>
      <c r="E315" s="110"/>
      <c r="F315" s="81">
        <v>1</v>
      </c>
      <c r="G315" s="49">
        <v>155000</v>
      </c>
      <c r="H315" s="525">
        <v>155000</v>
      </c>
      <c r="I315" s="49" t="s">
        <v>213</v>
      </c>
      <c r="J315" s="486">
        <v>46142</v>
      </c>
      <c r="K315" s="144"/>
      <c r="L315" s="67"/>
      <c r="M315" s="89"/>
    </row>
    <row r="316" spans="1:13" s="3" customFormat="1" ht="18.75" customHeight="1" x14ac:dyDescent="0.4">
      <c r="A316" s="482">
        <v>46141</v>
      </c>
      <c r="B316" s="106" t="s">
        <v>61</v>
      </c>
      <c r="C316" s="29" t="s">
        <v>103</v>
      </c>
      <c r="D316" s="110" t="s">
        <v>915</v>
      </c>
      <c r="E316" s="110"/>
      <c r="F316" s="81">
        <v>1</v>
      </c>
      <c r="G316" s="49">
        <v>170000</v>
      </c>
      <c r="H316" s="525">
        <v>170000</v>
      </c>
      <c r="I316" s="49" t="s">
        <v>213</v>
      </c>
      <c r="J316" s="486">
        <v>46142</v>
      </c>
      <c r="K316" s="144"/>
      <c r="L316" s="67"/>
      <c r="M316" s="89"/>
    </row>
    <row r="317" spans="1:13" s="3" customFormat="1" ht="18.75" customHeight="1" x14ac:dyDescent="0.4">
      <c r="A317" s="482">
        <v>46141</v>
      </c>
      <c r="B317" s="106" t="s">
        <v>61</v>
      </c>
      <c r="C317" s="29" t="s">
        <v>68</v>
      </c>
      <c r="D317" s="110" t="s">
        <v>191</v>
      </c>
      <c r="E317" s="110"/>
      <c r="F317" s="81">
        <v>5</v>
      </c>
      <c r="G317" s="49">
        <v>352000</v>
      </c>
      <c r="H317" s="525">
        <v>1760000</v>
      </c>
      <c r="I317" s="49" t="s">
        <v>70</v>
      </c>
      <c r="J317" s="486">
        <v>46122</v>
      </c>
      <c r="K317" s="144"/>
      <c r="L317" s="67"/>
      <c r="M317" s="89"/>
    </row>
    <row r="318" spans="1:13" s="3" customFormat="1" ht="18.75" customHeight="1" x14ac:dyDescent="0.4">
      <c r="A318" s="482">
        <v>46141</v>
      </c>
      <c r="B318" s="106" t="s">
        <v>61</v>
      </c>
      <c r="C318" s="29" t="s">
        <v>380</v>
      </c>
      <c r="D318" s="110" t="s">
        <v>504</v>
      </c>
      <c r="E318" s="110"/>
      <c r="F318" s="81">
        <v>5</v>
      </c>
      <c r="G318" s="49">
        <v>37700</v>
      </c>
      <c r="H318" s="525">
        <v>188500</v>
      </c>
      <c r="I318" s="49" t="s">
        <v>70</v>
      </c>
      <c r="J318" s="486">
        <v>46148</v>
      </c>
      <c r="K318" s="144"/>
      <c r="L318" s="67"/>
      <c r="M318" s="89"/>
    </row>
    <row r="319" spans="1:13" s="3" customFormat="1" ht="18.75" customHeight="1" x14ac:dyDescent="0.4">
      <c r="A319" s="482">
        <v>46141</v>
      </c>
      <c r="B319" s="106" t="s">
        <v>61</v>
      </c>
      <c r="C319" s="29" t="s">
        <v>32</v>
      </c>
      <c r="D319" s="110" t="s">
        <v>451</v>
      </c>
      <c r="E319" s="110"/>
      <c r="F319" s="81">
        <v>3</v>
      </c>
      <c r="G319" s="49">
        <v>58300</v>
      </c>
      <c r="H319" s="525">
        <v>174900</v>
      </c>
      <c r="I319" s="49" t="s">
        <v>70</v>
      </c>
      <c r="J319" s="486">
        <v>46148</v>
      </c>
      <c r="K319" s="144"/>
      <c r="L319" s="67"/>
      <c r="M319" s="89"/>
    </row>
    <row r="320" spans="1:13" s="3" customFormat="1" ht="18.75" customHeight="1" x14ac:dyDescent="0.4">
      <c r="A320" s="482">
        <v>46141</v>
      </c>
      <c r="B320" s="106" t="s">
        <v>61</v>
      </c>
      <c r="C320" s="29" t="s">
        <v>113</v>
      </c>
      <c r="D320" s="110" t="s">
        <v>114</v>
      </c>
      <c r="E320" s="110"/>
      <c r="F320" s="81">
        <v>2</v>
      </c>
      <c r="G320" s="49">
        <v>36500</v>
      </c>
      <c r="H320" s="525">
        <v>73000</v>
      </c>
      <c r="I320" s="49" t="s">
        <v>70</v>
      </c>
      <c r="J320" s="486">
        <v>46148</v>
      </c>
      <c r="K320" s="144"/>
      <c r="L320" s="67"/>
      <c r="M320" s="89"/>
    </row>
    <row r="321" spans="1:13" s="3" customFormat="1" ht="18.75" customHeight="1" x14ac:dyDescent="0.4">
      <c r="A321" s="482">
        <v>46141</v>
      </c>
      <c r="B321" s="106" t="s">
        <v>61</v>
      </c>
      <c r="C321" s="29" t="s">
        <v>614</v>
      </c>
      <c r="D321" s="110" t="s">
        <v>615</v>
      </c>
      <c r="E321" s="110"/>
      <c r="F321" s="81">
        <v>2</v>
      </c>
      <c r="G321" s="49">
        <v>95000</v>
      </c>
      <c r="H321" s="525">
        <v>190000</v>
      </c>
      <c r="I321" s="49" t="s">
        <v>70</v>
      </c>
      <c r="J321" s="486">
        <v>46148</v>
      </c>
      <c r="K321" s="144"/>
      <c r="L321" s="67"/>
      <c r="M321" s="89"/>
    </row>
    <row r="322" spans="1:13" s="3" customFormat="1" ht="18.75" customHeight="1" x14ac:dyDescent="0.4">
      <c r="A322" s="482">
        <v>46141</v>
      </c>
      <c r="B322" s="106" t="s">
        <v>61</v>
      </c>
      <c r="C322" s="29" t="s">
        <v>105</v>
      </c>
      <c r="D322" s="110" t="s">
        <v>505</v>
      </c>
      <c r="E322" s="110"/>
      <c r="F322" s="81">
        <v>1</v>
      </c>
      <c r="G322" s="49">
        <v>54300</v>
      </c>
      <c r="H322" s="525">
        <v>54300</v>
      </c>
      <c r="I322" s="49" t="s">
        <v>70</v>
      </c>
      <c r="J322" s="486">
        <v>46148</v>
      </c>
      <c r="K322" s="144"/>
      <c r="L322" s="67"/>
      <c r="M322" s="89"/>
    </row>
    <row r="323" spans="1:13" s="3" customFormat="1" ht="18.75" customHeight="1" x14ac:dyDescent="0.4">
      <c r="A323" s="482">
        <v>46141</v>
      </c>
      <c r="B323" s="106" t="s">
        <v>61</v>
      </c>
      <c r="C323" s="29" t="s">
        <v>448</v>
      </c>
      <c r="D323" s="110" t="s">
        <v>563</v>
      </c>
      <c r="E323" s="110"/>
      <c r="F323" s="81">
        <v>2</v>
      </c>
      <c r="G323" s="49">
        <v>110500</v>
      </c>
      <c r="H323" s="525">
        <v>221000</v>
      </c>
      <c r="I323" s="49" t="s">
        <v>70</v>
      </c>
      <c r="J323" s="486">
        <v>46148</v>
      </c>
      <c r="K323" s="144"/>
      <c r="L323" s="67"/>
      <c r="M323" s="89"/>
    </row>
    <row r="324" spans="1:13" s="3" customFormat="1" ht="18.75" customHeight="1" x14ac:dyDescent="0.4">
      <c r="A324" s="482">
        <v>46141</v>
      </c>
      <c r="B324" s="106" t="s">
        <v>61</v>
      </c>
      <c r="C324" s="29" t="s">
        <v>92</v>
      </c>
      <c r="D324" s="110" t="s">
        <v>200</v>
      </c>
      <c r="E324" s="110"/>
      <c r="F324" s="81">
        <v>4</v>
      </c>
      <c r="G324" s="49">
        <v>348500</v>
      </c>
      <c r="H324" s="525">
        <v>1394000</v>
      </c>
      <c r="I324" s="49" t="s">
        <v>70</v>
      </c>
      <c r="J324" s="486">
        <v>46148</v>
      </c>
      <c r="K324" s="144"/>
      <c r="L324" s="67"/>
      <c r="M324" s="89"/>
    </row>
    <row r="325" spans="1:13" s="3" customFormat="1" ht="18.75" customHeight="1" x14ac:dyDescent="0.4">
      <c r="A325" s="482">
        <v>46141</v>
      </c>
      <c r="B325" s="106" t="s">
        <v>61</v>
      </c>
      <c r="C325" s="29" t="s">
        <v>429</v>
      </c>
      <c r="D325" s="110" t="s">
        <v>430</v>
      </c>
      <c r="E325" s="110"/>
      <c r="F325" s="81">
        <v>3</v>
      </c>
      <c r="G325" s="49">
        <v>368000</v>
      </c>
      <c r="H325" s="525">
        <v>1104000</v>
      </c>
      <c r="I325" s="49" t="s">
        <v>70</v>
      </c>
      <c r="J325" s="486">
        <v>46148</v>
      </c>
      <c r="K325" s="144"/>
      <c r="L325" s="67"/>
      <c r="M325" s="89"/>
    </row>
    <row r="326" spans="1:13" s="3" customFormat="1" ht="18.75" customHeight="1" x14ac:dyDescent="0.4">
      <c r="A326" s="482">
        <v>46141</v>
      </c>
      <c r="B326" s="106" t="s">
        <v>61</v>
      </c>
      <c r="C326" s="29" t="s">
        <v>115</v>
      </c>
      <c r="D326" s="110" t="s">
        <v>194</v>
      </c>
      <c r="E326" s="110"/>
      <c r="F326" s="81">
        <v>4</v>
      </c>
      <c r="G326" s="49">
        <v>158000</v>
      </c>
      <c r="H326" s="525">
        <v>632000</v>
      </c>
      <c r="I326" s="49" t="s">
        <v>70</v>
      </c>
      <c r="J326" s="486">
        <v>46148</v>
      </c>
      <c r="K326" s="144"/>
      <c r="L326" s="67"/>
      <c r="M326" s="89"/>
    </row>
    <row r="327" spans="1:13" s="3" customFormat="1" ht="18.75" customHeight="1" x14ac:dyDescent="0.4">
      <c r="A327" s="482">
        <v>46141</v>
      </c>
      <c r="B327" s="106" t="s">
        <v>61</v>
      </c>
      <c r="C327" s="29" t="s">
        <v>95</v>
      </c>
      <c r="D327" s="110" t="s">
        <v>96</v>
      </c>
      <c r="E327" s="110"/>
      <c r="F327" s="81">
        <v>12</v>
      </c>
      <c r="G327" s="49">
        <v>12000</v>
      </c>
      <c r="H327" s="525">
        <v>144000</v>
      </c>
      <c r="I327" s="49" t="s">
        <v>70</v>
      </c>
      <c r="J327" s="486">
        <v>46127</v>
      </c>
      <c r="K327" s="144"/>
      <c r="L327" s="67"/>
      <c r="M327" s="89"/>
    </row>
    <row r="328" spans="1:13" s="3" customFormat="1" ht="18.75" customHeight="1" x14ac:dyDescent="0.4">
      <c r="A328" s="482">
        <v>46141</v>
      </c>
      <c r="B328" s="106" t="s">
        <v>61</v>
      </c>
      <c r="C328" s="29" t="s">
        <v>95</v>
      </c>
      <c r="D328" s="110" t="s">
        <v>96</v>
      </c>
      <c r="E328" s="110"/>
      <c r="F328" s="81">
        <v>12</v>
      </c>
      <c r="G328" s="49">
        <v>12000</v>
      </c>
      <c r="H328" s="525">
        <v>144000</v>
      </c>
      <c r="I328" s="49" t="s">
        <v>70</v>
      </c>
      <c r="J328" s="486">
        <v>46127</v>
      </c>
      <c r="K328" s="144"/>
      <c r="L328" s="67"/>
      <c r="M328" s="89"/>
    </row>
    <row r="329" spans="1:13" s="3" customFormat="1" ht="18.75" customHeight="1" x14ac:dyDescent="0.4">
      <c r="A329" s="482">
        <v>46141</v>
      </c>
      <c r="B329" s="106" t="s">
        <v>61</v>
      </c>
      <c r="C329" s="29" t="s">
        <v>95</v>
      </c>
      <c r="D329" s="110" t="s">
        <v>96</v>
      </c>
      <c r="E329" s="110"/>
      <c r="F329" s="81">
        <v>12</v>
      </c>
      <c r="G329" s="49">
        <v>12000</v>
      </c>
      <c r="H329" s="525">
        <v>144000</v>
      </c>
      <c r="I329" s="49" t="s">
        <v>70</v>
      </c>
      <c r="J329" s="486">
        <v>46147</v>
      </c>
      <c r="K329" s="144"/>
      <c r="L329" s="67"/>
      <c r="M329" s="89"/>
    </row>
    <row r="330" spans="1:13" s="3" customFormat="1" ht="18.75" customHeight="1" x14ac:dyDescent="0.4">
      <c r="A330" s="482">
        <v>46141</v>
      </c>
      <c r="B330" s="106" t="s">
        <v>61</v>
      </c>
      <c r="C330" s="29" t="s">
        <v>95</v>
      </c>
      <c r="D330" s="110" t="s">
        <v>96</v>
      </c>
      <c r="E330" s="110"/>
      <c r="F330" s="81">
        <v>12</v>
      </c>
      <c r="G330" s="49">
        <v>12000</v>
      </c>
      <c r="H330" s="525">
        <v>144000</v>
      </c>
      <c r="I330" s="49" t="s">
        <v>70</v>
      </c>
      <c r="J330" s="486">
        <v>46147</v>
      </c>
      <c r="K330" s="144"/>
      <c r="L330" s="67"/>
      <c r="M330" s="89"/>
    </row>
    <row r="331" spans="1:13" s="3" customFormat="1" ht="18.75" customHeight="1" x14ac:dyDescent="0.4">
      <c r="A331" s="482">
        <v>46141</v>
      </c>
      <c r="B331" s="106" t="s">
        <v>61</v>
      </c>
      <c r="C331" s="29" t="s">
        <v>898</v>
      </c>
      <c r="D331" s="110" t="s">
        <v>899</v>
      </c>
      <c r="E331" s="110"/>
      <c r="F331" s="81">
        <v>2</v>
      </c>
      <c r="G331" s="49">
        <v>350000</v>
      </c>
      <c r="H331" s="525">
        <v>700000</v>
      </c>
      <c r="I331" s="49" t="s">
        <v>213</v>
      </c>
      <c r="J331" s="486">
        <v>46143</v>
      </c>
      <c r="K331" s="144"/>
      <c r="L331" s="67"/>
      <c r="M331" s="89"/>
    </row>
    <row r="332" spans="1:13" s="3" customFormat="1" ht="18.75" customHeight="1" x14ac:dyDescent="0.4">
      <c r="A332" s="482">
        <v>46141</v>
      </c>
      <c r="B332" s="106" t="s">
        <v>61</v>
      </c>
      <c r="C332" s="29" t="s">
        <v>103</v>
      </c>
      <c r="D332" s="110" t="s">
        <v>415</v>
      </c>
      <c r="E332" s="110"/>
      <c r="F332" s="81">
        <v>1</v>
      </c>
      <c r="G332" s="49">
        <v>225000</v>
      </c>
      <c r="H332" s="525">
        <v>225000</v>
      </c>
      <c r="I332" s="49" t="s">
        <v>213</v>
      </c>
      <c r="J332" s="486">
        <v>46143</v>
      </c>
      <c r="K332" s="144"/>
      <c r="L332" s="67"/>
      <c r="M332" s="89"/>
    </row>
    <row r="333" spans="1:13" s="3" customFormat="1" ht="18.75" customHeight="1" x14ac:dyDescent="0.4">
      <c r="A333" s="482">
        <v>46141</v>
      </c>
      <c r="B333" s="106" t="s">
        <v>61</v>
      </c>
      <c r="C333" s="29" t="s">
        <v>92</v>
      </c>
      <c r="D333" s="110" t="s">
        <v>200</v>
      </c>
      <c r="E333" s="110"/>
      <c r="F333" s="81">
        <v>14</v>
      </c>
      <c r="G333" s="49">
        <v>348500</v>
      </c>
      <c r="H333" s="525">
        <v>4879000</v>
      </c>
      <c r="I333" s="49" t="s">
        <v>1082</v>
      </c>
      <c r="J333" s="486">
        <v>46101</v>
      </c>
      <c r="K333" s="144"/>
      <c r="L333" s="67"/>
      <c r="M333" s="89"/>
    </row>
    <row r="334" spans="1:13" s="3" customFormat="1" ht="18.75" customHeight="1" x14ac:dyDescent="0.4">
      <c r="A334" s="482">
        <v>46141</v>
      </c>
      <c r="B334" s="106" t="s">
        <v>61</v>
      </c>
      <c r="C334" s="29" t="s">
        <v>1292</v>
      </c>
      <c r="D334" s="110" t="s">
        <v>1379</v>
      </c>
      <c r="E334" s="110"/>
      <c r="F334" s="81">
        <v>8</v>
      </c>
      <c r="G334" s="49">
        <v>590000</v>
      </c>
      <c r="H334" s="525">
        <v>4720000</v>
      </c>
      <c r="I334" s="49" t="s">
        <v>1293</v>
      </c>
      <c r="J334" s="486">
        <v>46101</v>
      </c>
      <c r="K334" s="144"/>
      <c r="L334" s="67"/>
      <c r="M334" s="89"/>
    </row>
    <row r="335" spans="1:13" s="3" customFormat="1" ht="18.75" customHeight="1" x14ac:dyDescent="0.4">
      <c r="A335" s="482">
        <v>46142</v>
      </c>
      <c r="B335" s="106" t="s">
        <v>61</v>
      </c>
      <c r="C335" s="29" t="s">
        <v>121</v>
      </c>
      <c r="D335" s="110" t="s">
        <v>122</v>
      </c>
      <c r="E335" s="110"/>
      <c r="F335" s="81">
        <v>10</v>
      </c>
      <c r="G335" s="49">
        <v>7010050</v>
      </c>
      <c r="H335" s="525">
        <v>70100500</v>
      </c>
      <c r="I335" s="49" t="s">
        <v>120</v>
      </c>
      <c r="J335" s="486">
        <v>46120</v>
      </c>
      <c r="K335" s="144"/>
      <c r="L335" s="67"/>
      <c r="M335" s="89"/>
    </row>
    <row r="336" spans="1:13" s="3" customFormat="1" ht="18.75" customHeight="1" x14ac:dyDescent="0.4">
      <c r="A336" s="482">
        <v>46142</v>
      </c>
      <c r="B336" s="106" t="s">
        <v>61</v>
      </c>
      <c r="C336" s="29" t="s">
        <v>78</v>
      </c>
      <c r="D336" s="110" t="s">
        <v>79</v>
      </c>
      <c r="E336" s="110"/>
      <c r="F336" s="81">
        <v>8</v>
      </c>
      <c r="G336" s="49">
        <v>90500</v>
      </c>
      <c r="H336" s="525">
        <v>724000</v>
      </c>
      <c r="I336" s="49" t="s">
        <v>1279</v>
      </c>
      <c r="J336" s="486">
        <v>46150</v>
      </c>
      <c r="K336" s="144"/>
      <c r="L336" s="67"/>
      <c r="M336" s="89"/>
    </row>
    <row r="337" spans="1:13" s="3" customFormat="1" ht="18.75" customHeight="1" x14ac:dyDescent="0.4">
      <c r="A337" s="482">
        <v>46142</v>
      </c>
      <c r="B337" s="106" t="s">
        <v>61</v>
      </c>
      <c r="C337" s="29" t="s">
        <v>78</v>
      </c>
      <c r="D337" s="110" t="s">
        <v>79</v>
      </c>
      <c r="E337" s="110"/>
      <c r="F337" s="81">
        <v>3</v>
      </c>
      <c r="G337" s="49">
        <v>90500</v>
      </c>
      <c r="H337" s="525">
        <v>271500</v>
      </c>
      <c r="I337" s="49" t="s">
        <v>1278</v>
      </c>
      <c r="J337" s="486">
        <v>46150</v>
      </c>
      <c r="K337" s="144"/>
      <c r="L337" s="67"/>
      <c r="M337" s="89"/>
    </row>
    <row r="338" spans="1:13" s="3" customFormat="1" ht="18.75" customHeight="1" x14ac:dyDescent="0.4">
      <c r="A338" s="482">
        <v>46142</v>
      </c>
      <c r="B338" s="106" t="s">
        <v>61</v>
      </c>
      <c r="C338" s="29" t="s">
        <v>118</v>
      </c>
      <c r="D338" s="110" t="s">
        <v>119</v>
      </c>
      <c r="E338" s="110"/>
      <c r="F338" s="81">
        <v>10</v>
      </c>
      <c r="G338" s="49">
        <v>7790000</v>
      </c>
      <c r="H338" s="525">
        <v>77900000</v>
      </c>
      <c r="I338" s="49" t="s">
        <v>120</v>
      </c>
      <c r="J338" s="486">
        <v>46120</v>
      </c>
      <c r="K338" s="144"/>
      <c r="L338" s="67"/>
      <c r="M338" s="89"/>
    </row>
    <row r="339" spans="1:13" s="3" customFormat="1" ht="18.75" customHeight="1" x14ac:dyDescent="0.4">
      <c r="A339" s="482">
        <v>46142</v>
      </c>
      <c r="B339" s="106" t="s">
        <v>61</v>
      </c>
      <c r="C339" s="29" t="s">
        <v>78</v>
      </c>
      <c r="D339" s="110" t="s">
        <v>79</v>
      </c>
      <c r="E339" s="110"/>
      <c r="F339" s="81">
        <v>4</v>
      </c>
      <c r="G339" s="49">
        <v>90500</v>
      </c>
      <c r="H339" s="525">
        <v>362000</v>
      </c>
      <c r="I339" s="49" t="s">
        <v>1281</v>
      </c>
      <c r="J339" s="486">
        <v>46149</v>
      </c>
      <c r="K339" s="144"/>
      <c r="L339" s="67"/>
      <c r="M339" s="89"/>
    </row>
    <row r="340" spans="1:13" s="3" customFormat="1" ht="18.75" customHeight="1" x14ac:dyDescent="0.4">
      <c r="A340" s="482">
        <v>46133</v>
      </c>
      <c r="B340" s="106" t="s">
        <v>61</v>
      </c>
      <c r="C340" s="29" t="s">
        <v>68</v>
      </c>
      <c r="D340" s="110" t="s">
        <v>69</v>
      </c>
      <c r="E340" s="110"/>
      <c r="F340" s="49">
        <v>7</v>
      </c>
      <c r="G340" s="49">
        <v>359000</v>
      </c>
      <c r="H340" s="17" t="s">
        <v>186</v>
      </c>
      <c r="I340" s="49"/>
      <c r="J340" s="486">
        <v>46136</v>
      </c>
      <c r="K340" s="144"/>
      <c r="L340" s="67"/>
      <c r="M340" s="89"/>
    </row>
    <row r="341" spans="1:13" s="3" customFormat="1" ht="18.75" customHeight="1" x14ac:dyDescent="0.4">
      <c r="A341" s="482">
        <v>46122</v>
      </c>
      <c r="B341" s="106" t="s">
        <v>61</v>
      </c>
      <c r="C341" s="29" t="s">
        <v>71</v>
      </c>
      <c r="D341" s="110" t="s">
        <v>207</v>
      </c>
      <c r="E341" s="110"/>
      <c r="F341" s="81">
        <v>1</v>
      </c>
      <c r="G341" s="49">
        <v>520600</v>
      </c>
      <c r="H341" s="36" t="s">
        <v>186</v>
      </c>
      <c r="I341" s="49"/>
      <c r="J341" s="486"/>
      <c r="K341" s="59"/>
      <c r="L341" s="67"/>
      <c r="M341" s="89"/>
    </row>
    <row r="342" spans="1:13" s="3" customFormat="1" ht="18.75" customHeight="1" x14ac:dyDescent="0.4">
      <c r="A342" s="482">
        <v>46106</v>
      </c>
      <c r="B342" s="103" t="s">
        <v>61</v>
      </c>
      <c r="C342" s="29" t="s">
        <v>407</v>
      </c>
      <c r="D342" s="110" t="s">
        <v>531</v>
      </c>
      <c r="E342" s="110"/>
      <c r="F342" s="81">
        <v>4</v>
      </c>
      <c r="G342" s="81">
        <v>239000</v>
      </c>
      <c r="H342" s="36">
        <f>F342*G342</f>
        <v>956000</v>
      </c>
      <c r="I342" s="81" t="s">
        <v>1378</v>
      </c>
      <c r="J342" s="487"/>
      <c r="K342" s="196"/>
      <c r="L342" s="196"/>
      <c r="M342" s="89"/>
    </row>
    <row r="343" spans="1:13" s="3" customFormat="1" ht="18.75" customHeight="1" x14ac:dyDescent="0.4">
      <c r="A343" s="483"/>
      <c r="B343" s="194" t="s">
        <v>218</v>
      </c>
      <c r="C343" s="40"/>
      <c r="D343" s="194"/>
      <c r="E343" s="194"/>
      <c r="F343" s="528"/>
      <c r="G343" s="529"/>
      <c r="H343" s="529">
        <f>SUM(H138:H339)</f>
        <v>756072320</v>
      </c>
      <c r="I343" s="529"/>
      <c r="J343" s="530"/>
      <c r="K343" s="145"/>
      <c r="L343" s="145"/>
      <c r="M343" s="89"/>
    </row>
    <row r="344" spans="1:13" s="3" customFormat="1" ht="18.75" customHeight="1" x14ac:dyDescent="0.4">
      <c r="A344" s="482">
        <v>46112</v>
      </c>
      <c r="B344" s="110" t="s">
        <v>1101</v>
      </c>
      <c r="C344" s="29" t="s">
        <v>680</v>
      </c>
      <c r="D344" s="110" t="s">
        <v>1102</v>
      </c>
      <c r="E344" s="110"/>
      <c r="F344" s="347">
        <v>100</v>
      </c>
      <c r="G344" s="49">
        <v>55800</v>
      </c>
      <c r="H344" s="36">
        <f>F344*G344</f>
        <v>5580000</v>
      </c>
      <c r="I344" s="49"/>
      <c r="J344" s="144"/>
      <c r="K344" s="144"/>
      <c r="L344" s="144"/>
      <c r="M344" s="89"/>
    </row>
    <row r="345" spans="1:13" s="3" customFormat="1" ht="18.75" customHeight="1" x14ac:dyDescent="0.4">
      <c r="A345" s="482">
        <v>46115</v>
      </c>
      <c r="B345" s="110" t="s">
        <v>1101</v>
      </c>
      <c r="C345" s="29" t="s">
        <v>105</v>
      </c>
      <c r="D345" s="110" t="s">
        <v>126</v>
      </c>
      <c r="E345" s="110"/>
      <c r="F345" s="81">
        <v>49</v>
      </c>
      <c r="G345" s="49">
        <v>55800</v>
      </c>
      <c r="H345" s="36">
        <f>F345*G345</f>
        <v>2734200</v>
      </c>
      <c r="I345" s="49"/>
      <c r="J345" s="144"/>
      <c r="K345" s="144"/>
      <c r="L345" s="144"/>
      <c r="M345" s="89"/>
    </row>
    <row r="346" spans="1:13" s="3" customFormat="1" ht="18.75" customHeight="1" x14ac:dyDescent="0.4">
      <c r="A346" s="482">
        <v>46115</v>
      </c>
      <c r="B346" s="110" t="s">
        <v>1101</v>
      </c>
      <c r="C346" s="29" t="s">
        <v>105</v>
      </c>
      <c r="D346" s="110" t="s">
        <v>126</v>
      </c>
      <c r="E346" s="110"/>
      <c r="F346" s="81">
        <v>2</v>
      </c>
      <c r="G346" s="49">
        <v>55800</v>
      </c>
      <c r="H346" s="36" t="s">
        <v>186</v>
      </c>
      <c r="I346" s="49"/>
      <c r="J346" s="144"/>
      <c r="K346" s="144"/>
      <c r="L346" s="144"/>
      <c r="M346" s="89"/>
    </row>
    <row r="347" spans="1:13" s="3" customFormat="1" ht="18.75" customHeight="1" x14ac:dyDescent="0.4">
      <c r="A347" s="483"/>
      <c r="B347" s="194"/>
      <c r="C347" s="40"/>
      <c r="D347" s="194"/>
      <c r="E347" s="194"/>
      <c r="F347" s="91"/>
      <c r="G347" s="138"/>
      <c r="H347" s="138">
        <f>SUM(H344:H345)</f>
        <v>8314200</v>
      </c>
      <c r="I347" s="138"/>
      <c r="J347" s="145"/>
      <c r="K347" s="145"/>
      <c r="L347" s="145"/>
      <c r="M347" s="89"/>
    </row>
    <row r="348" spans="1:13" s="3" customFormat="1" ht="18.75" customHeight="1" x14ac:dyDescent="0.4">
      <c r="A348" s="482">
        <v>46136</v>
      </c>
      <c r="B348" s="106" t="s">
        <v>221</v>
      </c>
      <c r="C348" s="29" t="s">
        <v>123</v>
      </c>
      <c r="D348" s="110" t="s">
        <v>124</v>
      </c>
      <c r="E348" s="110"/>
      <c r="F348" s="81">
        <v>8</v>
      </c>
      <c r="G348" s="49">
        <v>155840</v>
      </c>
      <c r="H348" s="36">
        <f t="shared" ref="H348:H356" si="6">F348*G348</f>
        <v>1246720</v>
      </c>
      <c r="I348" s="49" t="s">
        <v>365</v>
      </c>
      <c r="J348" s="109">
        <v>46052</v>
      </c>
      <c r="K348" s="144"/>
      <c r="L348" s="67" t="s">
        <v>1247</v>
      </c>
      <c r="M348" s="89"/>
    </row>
    <row r="349" spans="1:13" s="3" customFormat="1" ht="18.75" customHeight="1" x14ac:dyDescent="0.4">
      <c r="A349" s="482">
        <v>46136</v>
      </c>
      <c r="B349" s="106" t="s">
        <v>221</v>
      </c>
      <c r="C349" s="29" t="s">
        <v>1296</v>
      </c>
      <c r="D349" s="110" t="s">
        <v>1297</v>
      </c>
      <c r="E349" s="110"/>
      <c r="F349" s="81">
        <v>2</v>
      </c>
      <c r="G349" s="49">
        <v>417300</v>
      </c>
      <c r="H349" s="36">
        <f t="shared" si="6"/>
        <v>834600</v>
      </c>
      <c r="I349" s="49" t="s">
        <v>1298</v>
      </c>
      <c r="J349" s="109">
        <v>46111</v>
      </c>
      <c r="K349" s="144"/>
      <c r="L349" s="67" t="s">
        <v>1247</v>
      </c>
      <c r="M349" s="89"/>
    </row>
    <row r="350" spans="1:13" s="3" customFormat="1" ht="18.75" customHeight="1" x14ac:dyDescent="0.4">
      <c r="A350" s="482">
        <v>46136</v>
      </c>
      <c r="B350" s="106" t="s">
        <v>221</v>
      </c>
      <c r="C350" s="29" t="s">
        <v>123</v>
      </c>
      <c r="D350" s="110" t="s">
        <v>124</v>
      </c>
      <c r="E350" s="110"/>
      <c r="F350" s="81">
        <v>2</v>
      </c>
      <c r="G350" s="49">
        <v>155840</v>
      </c>
      <c r="H350" s="36">
        <f t="shared" si="6"/>
        <v>311680</v>
      </c>
      <c r="I350" s="49" t="s">
        <v>1298</v>
      </c>
      <c r="J350" s="109">
        <v>46111</v>
      </c>
      <c r="K350" s="144"/>
      <c r="L350" s="67" t="s">
        <v>1247</v>
      </c>
      <c r="M350" s="89"/>
    </row>
    <row r="351" spans="1:13" s="3" customFormat="1" ht="18.75" customHeight="1" x14ac:dyDescent="0.4">
      <c r="A351" s="482">
        <v>46136</v>
      </c>
      <c r="B351" s="106" t="s">
        <v>221</v>
      </c>
      <c r="C351" s="29" t="s">
        <v>1296</v>
      </c>
      <c r="D351" s="110" t="s">
        <v>1297</v>
      </c>
      <c r="E351" s="110"/>
      <c r="F351" s="81">
        <v>2</v>
      </c>
      <c r="G351" s="49">
        <v>417300</v>
      </c>
      <c r="H351" s="36">
        <f t="shared" si="6"/>
        <v>834600</v>
      </c>
      <c r="I351" s="49" t="s">
        <v>1299</v>
      </c>
      <c r="J351" s="109">
        <v>46118</v>
      </c>
      <c r="K351" s="144"/>
      <c r="L351" s="67" t="s">
        <v>1247</v>
      </c>
      <c r="M351" s="89"/>
    </row>
    <row r="352" spans="1:13" s="3" customFormat="1" ht="18.75" customHeight="1" x14ac:dyDescent="0.4">
      <c r="A352" s="482">
        <v>46136</v>
      </c>
      <c r="B352" s="106" t="s">
        <v>221</v>
      </c>
      <c r="C352" s="29" t="s">
        <v>123</v>
      </c>
      <c r="D352" s="110" t="s">
        <v>124</v>
      </c>
      <c r="E352" s="110"/>
      <c r="F352" s="81">
        <v>2</v>
      </c>
      <c r="G352" s="49">
        <v>155840</v>
      </c>
      <c r="H352" s="36">
        <f t="shared" si="6"/>
        <v>311680</v>
      </c>
      <c r="I352" s="49" t="s">
        <v>1299</v>
      </c>
      <c r="J352" s="109">
        <v>46118</v>
      </c>
      <c r="K352" s="144"/>
      <c r="L352" s="67" t="s">
        <v>1247</v>
      </c>
      <c r="M352" s="89"/>
    </row>
    <row r="353" spans="1:13" s="3" customFormat="1" ht="18.75" customHeight="1" x14ac:dyDescent="0.4">
      <c r="A353" s="482">
        <v>46136</v>
      </c>
      <c r="B353" s="106" t="s">
        <v>221</v>
      </c>
      <c r="C353" s="29" t="s">
        <v>1296</v>
      </c>
      <c r="D353" s="110" t="s">
        <v>1297</v>
      </c>
      <c r="E353" s="110"/>
      <c r="F353" s="81">
        <v>2</v>
      </c>
      <c r="G353" s="49">
        <v>417300</v>
      </c>
      <c r="H353" s="36">
        <f t="shared" si="6"/>
        <v>834600</v>
      </c>
      <c r="I353" s="49" t="s">
        <v>1300</v>
      </c>
      <c r="J353" s="109">
        <v>46122</v>
      </c>
      <c r="K353" s="144"/>
      <c r="L353" s="67" t="s">
        <v>1247</v>
      </c>
      <c r="M353" s="89"/>
    </row>
    <row r="354" spans="1:13" s="3" customFormat="1" ht="18.75" customHeight="1" x14ac:dyDescent="0.4">
      <c r="A354" s="482">
        <v>46136</v>
      </c>
      <c r="B354" s="106" t="s">
        <v>221</v>
      </c>
      <c r="C354" s="29" t="s">
        <v>123</v>
      </c>
      <c r="D354" s="110" t="s">
        <v>124</v>
      </c>
      <c r="E354" s="110"/>
      <c r="F354" s="81">
        <v>2</v>
      </c>
      <c r="G354" s="49">
        <v>155840</v>
      </c>
      <c r="H354" s="36">
        <f t="shared" si="6"/>
        <v>311680</v>
      </c>
      <c r="I354" s="49" t="s">
        <v>1300</v>
      </c>
      <c r="J354" s="109">
        <v>46122</v>
      </c>
      <c r="K354" s="144"/>
      <c r="L354" s="67" t="s">
        <v>1247</v>
      </c>
      <c r="M354" s="89"/>
    </row>
    <row r="355" spans="1:13" s="3" customFormat="1" ht="18.75" customHeight="1" x14ac:dyDescent="0.4">
      <c r="A355" s="482">
        <v>46136</v>
      </c>
      <c r="B355" s="106" t="s">
        <v>221</v>
      </c>
      <c r="C355" s="29" t="s">
        <v>1296</v>
      </c>
      <c r="D355" s="110" t="s">
        <v>1297</v>
      </c>
      <c r="E355" s="110"/>
      <c r="F355" s="81">
        <v>2</v>
      </c>
      <c r="G355" s="49">
        <v>417300</v>
      </c>
      <c r="H355" s="36">
        <f t="shared" si="6"/>
        <v>834600</v>
      </c>
      <c r="I355" s="49" t="s">
        <v>1301</v>
      </c>
      <c r="J355" s="109">
        <v>46161</v>
      </c>
      <c r="K355" s="144"/>
      <c r="L355" s="67" t="s">
        <v>1247</v>
      </c>
      <c r="M355" s="89"/>
    </row>
    <row r="356" spans="1:13" s="3" customFormat="1" ht="18.75" customHeight="1" x14ac:dyDescent="0.4">
      <c r="A356" s="482">
        <v>46136</v>
      </c>
      <c r="B356" s="106" t="s">
        <v>221</v>
      </c>
      <c r="C356" s="29" t="s">
        <v>123</v>
      </c>
      <c r="D356" s="110" t="s">
        <v>124</v>
      </c>
      <c r="E356" s="110"/>
      <c r="F356" s="81">
        <v>2</v>
      </c>
      <c r="G356" s="49">
        <v>155840</v>
      </c>
      <c r="H356" s="36">
        <f t="shared" si="6"/>
        <v>311680</v>
      </c>
      <c r="I356" s="49" t="s">
        <v>1301</v>
      </c>
      <c r="J356" s="109">
        <v>46161</v>
      </c>
      <c r="K356" s="144"/>
      <c r="L356" s="67" t="s">
        <v>1247</v>
      </c>
      <c r="M356" s="89"/>
    </row>
    <row r="357" spans="1:13" s="3" customFormat="1" ht="18.75" customHeight="1" x14ac:dyDescent="0.4">
      <c r="A357" s="483"/>
      <c r="B357" s="194"/>
      <c r="C357" s="40"/>
      <c r="D357" s="194"/>
      <c r="E357" s="194"/>
      <c r="F357" s="91"/>
      <c r="G357" s="138"/>
      <c r="H357" s="138">
        <f>SUM(H348:H356)</f>
        <v>5831840</v>
      </c>
      <c r="I357" s="138"/>
      <c r="J357" s="145"/>
      <c r="K357" s="145"/>
      <c r="L357" s="145"/>
      <c r="M357" s="89"/>
    </row>
    <row r="358" spans="1:13" s="3" customFormat="1" ht="18.75" customHeight="1" x14ac:dyDescent="0.4">
      <c r="A358" s="482">
        <v>46105</v>
      </c>
      <c r="B358" s="110" t="s">
        <v>1103</v>
      </c>
      <c r="C358" s="29" t="s">
        <v>1376</v>
      </c>
      <c r="D358" s="110" t="s">
        <v>1377</v>
      </c>
      <c r="E358" s="110" t="s">
        <v>13</v>
      </c>
      <c r="F358" s="81">
        <v>13</v>
      </c>
      <c r="G358" s="49">
        <v>130000</v>
      </c>
      <c r="H358" s="36">
        <f>F358*G358</f>
        <v>1690000</v>
      </c>
      <c r="I358" s="49"/>
      <c r="J358" s="144"/>
      <c r="K358" s="144"/>
      <c r="L358" s="144"/>
      <c r="M358" s="89"/>
    </row>
    <row r="359" spans="1:13" s="3" customFormat="1" ht="18.75" customHeight="1" x14ac:dyDescent="0.4">
      <c r="A359" s="482">
        <v>46111</v>
      </c>
      <c r="B359" s="110" t="s">
        <v>1375</v>
      </c>
      <c r="C359" s="29" t="s">
        <v>1104</v>
      </c>
      <c r="D359" s="110" t="s">
        <v>1105</v>
      </c>
      <c r="E359" s="110" t="s">
        <v>13</v>
      </c>
      <c r="F359" s="81">
        <v>24</v>
      </c>
      <c r="G359" s="49">
        <v>130000</v>
      </c>
      <c r="H359" s="36">
        <f>F359*G359</f>
        <v>3120000</v>
      </c>
      <c r="I359" s="49"/>
      <c r="J359" s="144"/>
      <c r="K359" s="144"/>
      <c r="L359" s="144"/>
      <c r="M359" s="89"/>
    </row>
    <row r="360" spans="1:13" s="3" customFormat="1" ht="18.75" customHeight="1" x14ac:dyDescent="0.4">
      <c r="A360" s="483"/>
      <c r="B360" s="194" t="s">
        <v>1375</v>
      </c>
      <c r="C360" s="40"/>
      <c r="D360" s="194"/>
      <c r="E360" s="194"/>
      <c r="F360" s="91"/>
      <c r="G360" s="138"/>
      <c r="H360" s="138">
        <f>SUM(H358:H359)</f>
        <v>4810000</v>
      </c>
      <c r="I360" s="138"/>
      <c r="J360" s="145"/>
      <c r="K360" s="145"/>
      <c r="L360" s="145"/>
      <c r="M360" s="89"/>
    </row>
    <row r="361" spans="1:13" s="50" customFormat="1" ht="18.75" customHeight="1" x14ac:dyDescent="0.4">
      <c r="A361" s="540">
        <v>46129</v>
      </c>
      <c r="B361" s="548" t="s">
        <v>134</v>
      </c>
      <c r="C361" s="547" t="s">
        <v>228</v>
      </c>
      <c r="D361" s="549" t="s">
        <v>1304</v>
      </c>
      <c r="E361" s="550" t="s">
        <v>17</v>
      </c>
      <c r="F361" s="551">
        <v>148</v>
      </c>
      <c r="G361" s="546">
        <v>399640</v>
      </c>
      <c r="H361" s="546">
        <f t="shared" ref="H361:H367" si="7">F361*G361</f>
        <v>59146720</v>
      </c>
      <c r="I361" s="67" t="s">
        <v>1385</v>
      </c>
      <c r="J361" s="67"/>
      <c r="K361" s="67"/>
      <c r="L361" s="67" t="s">
        <v>1247</v>
      </c>
    </row>
    <row r="362" spans="1:13" s="50" customFormat="1" ht="18.75" customHeight="1" x14ac:dyDescent="0.4">
      <c r="A362" s="540">
        <v>46139</v>
      </c>
      <c r="B362" s="548" t="s">
        <v>134</v>
      </c>
      <c r="C362" s="547" t="s">
        <v>367</v>
      </c>
      <c r="D362" s="543" t="s">
        <v>368</v>
      </c>
      <c r="E362" s="544" t="s">
        <v>17</v>
      </c>
      <c r="F362" s="545">
        <v>65</v>
      </c>
      <c r="G362" s="546">
        <v>96490</v>
      </c>
      <c r="H362" s="546">
        <f t="shared" si="7"/>
        <v>6271850</v>
      </c>
      <c r="I362" s="67" t="s">
        <v>1385</v>
      </c>
      <c r="J362" s="67"/>
      <c r="K362" s="67"/>
      <c r="L362" s="67"/>
    </row>
    <row r="363" spans="1:13" s="50" customFormat="1" ht="18.75" customHeight="1" x14ac:dyDescent="0.4">
      <c r="A363" s="552">
        <v>46106</v>
      </c>
      <c r="B363" s="548" t="s">
        <v>134</v>
      </c>
      <c r="C363" s="547" t="s">
        <v>136</v>
      </c>
      <c r="D363" s="543" t="s">
        <v>947</v>
      </c>
      <c r="E363" s="544" t="s">
        <v>13</v>
      </c>
      <c r="F363" s="545">
        <v>47</v>
      </c>
      <c r="G363" s="546">
        <v>597880</v>
      </c>
      <c r="H363" s="546">
        <f t="shared" si="7"/>
        <v>28100360</v>
      </c>
      <c r="I363" s="67" t="s">
        <v>1385</v>
      </c>
      <c r="J363" s="67"/>
      <c r="K363" s="67"/>
      <c r="L363" s="67"/>
    </row>
    <row r="364" spans="1:13" s="50" customFormat="1" ht="18.75" customHeight="1" x14ac:dyDescent="0.4">
      <c r="A364" s="540">
        <v>46128</v>
      </c>
      <c r="B364" s="548" t="s">
        <v>134</v>
      </c>
      <c r="C364" s="547" t="s">
        <v>136</v>
      </c>
      <c r="D364" s="549" t="s">
        <v>947</v>
      </c>
      <c r="E364" s="550" t="s">
        <v>13</v>
      </c>
      <c r="F364" s="551">
        <v>25</v>
      </c>
      <c r="G364" s="546">
        <v>597880</v>
      </c>
      <c r="H364" s="546">
        <f t="shared" si="7"/>
        <v>14947000</v>
      </c>
      <c r="I364" s="67" t="s">
        <v>1385</v>
      </c>
      <c r="J364" s="67"/>
      <c r="K364" s="67"/>
      <c r="L364" s="67" t="s">
        <v>1247</v>
      </c>
    </row>
    <row r="365" spans="1:13" s="50" customFormat="1" ht="18.75" customHeight="1" x14ac:dyDescent="0.4">
      <c r="A365" s="552">
        <v>46106</v>
      </c>
      <c r="B365" s="548" t="s">
        <v>134</v>
      </c>
      <c r="C365" s="547" t="s">
        <v>181</v>
      </c>
      <c r="D365" s="553" t="s">
        <v>371</v>
      </c>
      <c r="E365" s="547" t="s">
        <v>13</v>
      </c>
      <c r="F365" s="547">
        <v>2</v>
      </c>
      <c r="G365" s="546">
        <v>2163000</v>
      </c>
      <c r="H365" s="546">
        <f t="shared" si="7"/>
        <v>4326000</v>
      </c>
      <c r="I365" s="67" t="s">
        <v>1385</v>
      </c>
      <c r="J365" s="67"/>
      <c r="K365" s="67"/>
      <c r="L365" s="67"/>
    </row>
    <row r="366" spans="1:13" s="50" customFormat="1" ht="18.75" customHeight="1" x14ac:dyDescent="0.4">
      <c r="A366" s="552">
        <v>46106</v>
      </c>
      <c r="B366" s="548" t="s">
        <v>134</v>
      </c>
      <c r="C366" s="547" t="s">
        <v>182</v>
      </c>
      <c r="D366" s="553" t="s">
        <v>372</v>
      </c>
      <c r="E366" s="547" t="s">
        <v>13</v>
      </c>
      <c r="F366" s="547">
        <v>2</v>
      </c>
      <c r="G366" s="546">
        <v>2163000</v>
      </c>
      <c r="H366" s="546">
        <f t="shared" si="7"/>
        <v>4326000</v>
      </c>
      <c r="I366" s="67" t="s">
        <v>1385</v>
      </c>
      <c r="J366" s="67"/>
      <c r="K366" s="67"/>
      <c r="L366" s="67"/>
    </row>
    <row r="367" spans="1:13" s="50" customFormat="1" ht="18.75" customHeight="1" x14ac:dyDescent="0.4">
      <c r="A367" s="552">
        <v>46104</v>
      </c>
      <c r="B367" s="548" t="s">
        <v>134</v>
      </c>
      <c r="C367" s="542" t="s">
        <v>129</v>
      </c>
      <c r="D367" s="544" t="s">
        <v>130</v>
      </c>
      <c r="E367" s="544" t="s">
        <v>131</v>
      </c>
      <c r="F367" s="545">
        <v>11</v>
      </c>
      <c r="G367" s="546">
        <v>52326</v>
      </c>
      <c r="H367" s="546">
        <f t="shared" si="7"/>
        <v>575586</v>
      </c>
      <c r="I367" s="67" t="s">
        <v>1385</v>
      </c>
      <c r="J367" s="67"/>
      <c r="K367" s="67"/>
      <c r="L367" s="67"/>
    </row>
    <row r="368" spans="1:13" s="50" customFormat="1" ht="18.75" customHeight="1" x14ac:dyDescent="0.4">
      <c r="A368" s="540">
        <v>46118</v>
      </c>
      <c r="B368" s="548" t="s">
        <v>134</v>
      </c>
      <c r="C368" s="542" t="s">
        <v>129</v>
      </c>
      <c r="D368" s="544" t="s">
        <v>130</v>
      </c>
      <c r="E368" s="544" t="s">
        <v>131</v>
      </c>
      <c r="F368" s="545">
        <v>12</v>
      </c>
      <c r="G368" s="546">
        <v>52326</v>
      </c>
      <c r="H368" s="546">
        <f t="shared" ref="H368:H412" si="8">F368*G368</f>
        <v>627912</v>
      </c>
      <c r="I368" s="67" t="s">
        <v>1385</v>
      </c>
      <c r="J368" s="67"/>
      <c r="K368" s="67"/>
      <c r="L368" s="67" t="s">
        <v>1247</v>
      </c>
    </row>
    <row r="369" spans="1:12" s="50" customFormat="1" ht="18.75" customHeight="1" x14ac:dyDescent="0.4">
      <c r="A369" s="540">
        <v>46126</v>
      </c>
      <c r="B369" s="548" t="s">
        <v>134</v>
      </c>
      <c r="C369" s="542" t="s">
        <v>129</v>
      </c>
      <c r="D369" s="550" t="s">
        <v>130</v>
      </c>
      <c r="E369" s="550" t="s">
        <v>131</v>
      </c>
      <c r="F369" s="551">
        <v>8</v>
      </c>
      <c r="G369" s="546">
        <v>52326</v>
      </c>
      <c r="H369" s="546">
        <f>F369*G369</f>
        <v>418608</v>
      </c>
      <c r="I369" s="67" t="s">
        <v>1385</v>
      </c>
      <c r="J369" s="67"/>
      <c r="K369" s="67"/>
      <c r="L369" s="67" t="s">
        <v>1247</v>
      </c>
    </row>
    <row r="370" spans="1:12" s="50" customFormat="1" ht="18.75" customHeight="1" x14ac:dyDescent="0.4">
      <c r="A370" s="540">
        <v>46118</v>
      </c>
      <c r="B370" s="548" t="s">
        <v>134</v>
      </c>
      <c r="C370" s="542" t="s">
        <v>132</v>
      </c>
      <c r="D370" s="544" t="s">
        <v>1120</v>
      </c>
      <c r="E370" s="544" t="s">
        <v>343</v>
      </c>
      <c r="F370" s="545">
        <v>24</v>
      </c>
      <c r="G370" s="546">
        <v>3225880</v>
      </c>
      <c r="H370" s="546">
        <f t="shared" si="8"/>
        <v>77421120</v>
      </c>
      <c r="I370" s="67" t="s">
        <v>1385</v>
      </c>
      <c r="J370" s="67"/>
      <c r="K370" s="67"/>
      <c r="L370" s="67" t="s">
        <v>1247</v>
      </c>
    </row>
    <row r="371" spans="1:12" s="50" customFormat="1" ht="18.75" customHeight="1" x14ac:dyDescent="0.4">
      <c r="A371" s="540">
        <v>46125</v>
      </c>
      <c r="B371" s="548" t="s">
        <v>128</v>
      </c>
      <c r="C371" s="542" t="s">
        <v>132</v>
      </c>
      <c r="D371" s="550" t="s">
        <v>1120</v>
      </c>
      <c r="E371" s="550" t="s">
        <v>13</v>
      </c>
      <c r="F371" s="551">
        <v>15</v>
      </c>
      <c r="G371" s="546">
        <v>3225880</v>
      </c>
      <c r="H371" s="546">
        <f>F371*G371</f>
        <v>48388200</v>
      </c>
      <c r="I371" s="67" t="s">
        <v>1385</v>
      </c>
      <c r="J371" s="67"/>
      <c r="K371" s="67"/>
      <c r="L371" s="67" t="s">
        <v>1247</v>
      </c>
    </row>
    <row r="372" spans="1:12" s="50" customFormat="1" ht="18.75" customHeight="1" x14ac:dyDescent="0.4">
      <c r="A372" s="540">
        <v>46118</v>
      </c>
      <c r="B372" s="548" t="s">
        <v>128</v>
      </c>
      <c r="C372" s="542" t="s">
        <v>225</v>
      </c>
      <c r="D372" s="550" t="s">
        <v>631</v>
      </c>
      <c r="E372" s="550" t="s">
        <v>127</v>
      </c>
      <c r="F372" s="551">
        <v>91</v>
      </c>
      <c r="G372" s="546">
        <v>10850</v>
      </c>
      <c r="H372" s="546">
        <f t="shared" si="8"/>
        <v>987350</v>
      </c>
      <c r="I372" s="67" t="s">
        <v>1385</v>
      </c>
      <c r="J372" s="67"/>
      <c r="K372" s="67"/>
      <c r="L372" s="67" t="s">
        <v>1247</v>
      </c>
    </row>
    <row r="373" spans="1:12" s="50" customFormat="1" ht="18.75" customHeight="1" x14ac:dyDescent="0.4">
      <c r="A373" s="540">
        <v>46125</v>
      </c>
      <c r="B373" s="548" t="s">
        <v>128</v>
      </c>
      <c r="C373" s="547" t="s">
        <v>957</v>
      </c>
      <c r="D373" s="549" t="s">
        <v>329</v>
      </c>
      <c r="E373" s="550" t="s">
        <v>13</v>
      </c>
      <c r="F373" s="551">
        <v>4</v>
      </c>
      <c r="G373" s="546">
        <v>1364000</v>
      </c>
      <c r="H373" s="546">
        <f t="shared" si="8"/>
        <v>5456000</v>
      </c>
      <c r="I373" s="67" t="s">
        <v>1385</v>
      </c>
      <c r="J373" s="67"/>
      <c r="K373" s="67"/>
      <c r="L373" s="67" t="s">
        <v>1247</v>
      </c>
    </row>
    <row r="374" spans="1:12" s="50" customFormat="1" ht="18.75" customHeight="1" x14ac:dyDescent="0.4">
      <c r="A374" s="540">
        <v>46129</v>
      </c>
      <c r="B374" s="548" t="s">
        <v>134</v>
      </c>
      <c r="C374" s="542" t="s">
        <v>957</v>
      </c>
      <c r="D374" s="549" t="s">
        <v>329</v>
      </c>
      <c r="E374" s="550" t="s">
        <v>13</v>
      </c>
      <c r="F374" s="551">
        <v>3</v>
      </c>
      <c r="G374" s="546">
        <v>72800</v>
      </c>
      <c r="H374" s="546">
        <f t="shared" si="8"/>
        <v>218400</v>
      </c>
      <c r="I374" s="467" t="s">
        <v>1385</v>
      </c>
      <c r="J374" s="67"/>
      <c r="K374" s="67"/>
      <c r="L374" s="67" t="s">
        <v>1247</v>
      </c>
    </row>
    <row r="375" spans="1:12" s="50" customFormat="1" ht="18.75" customHeight="1" x14ac:dyDescent="0.4">
      <c r="A375" s="540">
        <v>46125</v>
      </c>
      <c r="B375" s="548" t="s">
        <v>128</v>
      </c>
      <c r="C375" s="547" t="s">
        <v>314</v>
      </c>
      <c r="D375" s="549" t="s">
        <v>434</v>
      </c>
      <c r="E375" s="550" t="s">
        <v>13</v>
      </c>
      <c r="F375" s="551">
        <v>16</v>
      </c>
      <c r="G375" s="546">
        <v>108000</v>
      </c>
      <c r="H375" s="546">
        <f t="shared" si="8"/>
        <v>1728000</v>
      </c>
      <c r="I375" s="67" t="s">
        <v>1385</v>
      </c>
      <c r="J375" s="67"/>
      <c r="K375" s="67"/>
      <c r="L375" s="67" t="s">
        <v>1247</v>
      </c>
    </row>
    <row r="376" spans="1:12" s="50" customFormat="1" ht="18.75" customHeight="1" x14ac:dyDescent="0.4">
      <c r="A376" s="540">
        <v>46125</v>
      </c>
      <c r="B376" s="548" t="s">
        <v>128</v>
      </c>
      <c r="C376" s="542" t="s">
        <v>310</v>
      </c>
      <c r="D376" s="549" t="s">
        <v>1302</v>
      </c>
      <c r="E376" s="550" t="s">
        <v>13</v>
      </c>
      <c r="F376" s="551">
        <v>22</v>
      </c>
      <c r="G376" s="546">
        <v>92000</v>
      </c>
      <c r="H376" s="546">
        <f t="shared" si="8"/>
        <v>2024000</v>
      </c>
      <c r="I376" s="67" t="s">
        <v>1385</v>
      </c>
      <c r="J376" s="67"/>
      <c r="K376" s="67"/>
      <c r="L376" s="67" t="s">
        <v>1247</v>
      </c>
    </row>
    <row r="377" spans="1:12" s="50" customFormat="1" ht="18.75" customHeight="1" x14ac:dyDescent="0.4">
      <c r="A377" s="540">
        <v>46125</v>
      </c>
      <c r="B377" s="548" t="s">
        <v>128</v>
      </c>
      <c r="C377" s="547" t="s">
        <v>314</v>
      </c>
      <c r="D377" s="549" t="s">
        <v>1121</v>
      </c>
      <c r="E377" s="550" t="s">
        <v>13</v>
      </c>
      <c r="F377" s="551">
        <v>31</v>
      </c>
      <c r="G377" s="546">
        <v>95700</v>
      </c>
      <c r="H377" s="546">
        <f t="shared" si="8"/>
        <v>2966700</v>
      </c>
      <c r="I377" s="67" t="s">
        <v>1385</v>
      </c>
      <c r="J377" s="67"/>
      <c r="K377" s="67"/>
      <c r="L377" s="67" t="s">
        <v>1247</v>
      </c>
    </row>
    <row r="378" spans="1:12" s="50" customFormat="1" ht="18.75" customHeight="1" x14ac:dyDescent="0.4">
      <c r="A378" s="540">
        <v>46139</v>
      </c>
      <c r="B378" s="548" t="s">
        <v>134</v>
      </c>
      <c r="C378" s="547" t="s">
        <v>314</v>
      </c>
      <c r="D378" s="543" t="s">
        <v>1121</v>
      </c>
      <c r="E378" s="544" t="s">
        <v>13</v>
      </c>
      <c r="F378" s="545">
        <v>7</v>
      </c>
      <c r="G378" s="546">
        <v>95700</v>
      </c>
      <c r="H378" s="546">
        <f>F378*G378</f>
        <v>669900</v>
      </c>
      <c r="I378" s="67" t="s">
        <v>1385</v>
      </c>
      <c r="J378" s="67"/>
      <c r="K378" s="67"/>
      <c r="L378" s="67"/>
    </row>
    <row r="379" spans="1:12" s="50" customFormat="1" ht="18.75" customHeight="1" x14ac:dyDescent="0.4">
      <c r="A379" s="540">
        <v>46125</v>
      </c>
      <c r="B379" s="548" t="s">
        <v>128</v>
      </c>
      <c r="C379" s="547" t="s">
        <v>314</v>
      </c>
      <c r="D379" s="549" t="s">
        <v>1122</v>
      </c>
      <c r="E379" s="550" t="s">
        <v>13</v>
      </c>
      <c r="F379" s="551">
        <v>24</v>
      </c>
      <c r="G379" s="546">
        <v>98600</v>
      </c>
      <c r="H379" s="546">
        <f t="shared" si="8"/>
        <v>2366400</v>
      </c>
      <c r="I379" s="67" t="s">
        <v>1385</v>
      </c>
      <c r="J379" s="67"/>
      <c r="K379" s="67"/>
      <c r="L379" s="67" t="s">
        <v>1247</v>
      </c>
    </row>
    <row r="380" spans="1:12" s="50" customFormat="1" ht="18.75" customHeight="1" x14ac:dyDescent="0.4">
      <c r="A380" s="540">
        <v>46125</v>
      </c>
      <c r="B380" s="548" t="s">
        <v>128</v>
      </c>
      <c r="C380" s="547" t="s">
        <v>330</v>
      </c>
      <c r="D380" s="550" t="s">
        <v>331</v>
      </c>
      <c r="E380" s="550" t="s">
        <v>17</v>
      </c>
      <c r="F380" s="551">
        <v>126</v>
      </c>
      <c r="G380" s="546">
        <v>329030</v>
      </c>
      <c r="H380" s="546">
        <f t="shared" si="8"/>
        <v>41457780</v>
      </c>
      <c r="I380" s="67" t="s">
        <v>1385</v>
      </c>
      <c r="J380" s="67"/>
      <c r="K380" s="67"/>
      <c r="L380" s="67" t="s">
        <v>1247</v>
      </c>
    </row>
    <row r="381" spans="1:12" s="50" customFormat="1" ht="18.75" customHeight="1" x14ac:dyDescent="0.4">
      <c r="A381" s="540">
        <v>46129</v>
      </c>
      <c r="B381" s="548" t="s">
        <v>134</v>
      </c>
      <c r="C381" s="542" t="s">
        <v>957</v>
      </c>
      <c r="D381" s="549" t="s">
        <v>328</v>
      </c>
      <c r="E381" s="550" t="s">
        <v>13</v>
      </c>
      <c r="F381" s="551">
        <v>8</v>
      </c>
      <c r="G381" s="546">
        <v>1364000</v>
      </c>
      <c r="H381" s="546">
        <f t="shared" si="8"/>
        <v>10912000</v>
      </c>
      <c r="I381" s="67" t="s">
        <v>1385</v>
      </c>
      <c r="J381" s="67"/>
      <c r="K381" s="67"/>
      <c r="L381" s="67" t="s">
        <v>1247</v>
      </c>
    </row>
    <row r="382" spans="1:12" s="50" customFormat="1" ht="18.75" customHeight="1" x14ac:dyDescent="0.4">
      <c r="A382" s="540">
        <v>46129</v>
      </c>
      <c r="B382" s="548" t="s">
        <v>134</v>
      </c>
      <c r="C382" s="547" t="s">
        <v>1305</v>
      </c>
      <c r="D382" s="543" t="s">
        <v>1306</v>
      </c>
      <c r="E382" s="544" t="s">
        <v>127</v>
      </c>
      <c r="F382" s="545">
        <v>30</v>
      </c>
      <c r="G382" s="554">
        <v>40000</v>
      </c>
      <c r="H382" s="554">
        <f t="shared" si="8"/>
        <v>1200000</v>
      </c>
      <c r="I382" s="67" t="s">
        <v>1385</v>
      </c>
      <c r="J382" s="67"/>
      <c r="K382" s="67"/>
      <c r="L382" s="67" t="s">
        <v>1247</v>
      </c>
    </row>
    <row r="383" spans="1:12" s="50" customFormat="1" ht="18.75" customHeight="1" x14ac:dyDescent="0.4">
      <c r="A383" s="540">
        <v>46129</v>
      </c>
      <c r="B383" s="548" t="s">
        <v>134</v>
      </c>
      <c r="C383" s="547" t="s">
        <v>312</v>
      </c>
      <c r="D383" s="543" t="s">
        <v>316</v>
      </c>
      <c r="E383" s="544" t="s">
        <v>13</v>
      </c>
      <c r="F383" s="545">
        <v>22</v>
      </c>
      <c r="G383" s="554">
        <v>96000</v>
      </c>
      <c r="H383" s="554">
        <f t="shared" si="8"/>
        <v>2112000</v>
      </c>
      <c r="I383" s="67" t="s">
        <v>1385</v>
      </c>
      <c r="J383" s="67"/>
      <c r="K383" s="67"/>
      <c r="L383" s="67" t="s">
        <v>1247</v>
      </c>
    </row>
    <row r="384" spans="1:12" s="50" customFormat="1" ht="18.75" customHeight="1" x14ac:dyDescent="0.4">
      <c r="A384" s="540">
        <v>46129</v>
      </c>
      <c r="B384" s="548" t="s">
        <v>134</v>
      </c>
      <c r="C384" s="547" t="s">
        <v>314</v>
      </c>
      <c r="D384" s="543" t="s">
        <v>434</v>
      </c>
      <c r="E384" s="544" t="s">
        <v>13</v>
      </c>
      <c r="F384" s="545">
        <v>18</v>
      </c>
      <c r="G384" s="554">
        <v>108000</v>
      </c>
      <c r="H384" s="554">
        <f t="shared" si="8"/>
        <v>1944000</v>
      </c>
      <c r="I384" s="67" t="s">
        <v>1385</v>
      </c>
      <c r="J384" s="67"/>
      <c r="K384" s="67"/>
      <c r="L384" s="67" t="s">
        <v>1247</v>
      </c>
    </row>
    <row r="385" spans="1:12" s="50" customFormat="1" ht="18.75" customHeight="1" x14ac:dyDescent="0.4">
      <c r="A385" s="540">
        <v>46129</v>
      </c>
      <c r="B385" s="548" t="s">
        <v>134</v>
      </c>
      <c r="C385" s="547" t="s">
        <v>314</v>
      </c>
      <c r="D385" s="543" t="s">
        <v>387</v>
      </c>
      <c r="E385" s="544" t="s">
        <v>13</v>
      </c>
      <c r="F385" s="545">
        <v>13</v>
      </c>
      <c r="G385" s="554">
        <v>200000</v>
      </c>
      <c r="H385" s="554">
        <f t="shared" si="8"/>
        <v>2600000</v>
      </c>
      <c r="I385" s="67" t="s">
        <v>1385</v>
      </c>
      <c r="J385" s="67"/>
      <c r="K385" s="67"/>
      <c r="L385" s="67" t="s">
        <v>1247</v>
      </c>
    </row>
    <row r="386" spans="1:12" s="50" customFormat="1" ht="18.75" customHeight="1" x14ac:dyDescent="0.4">
      <c r="A386" s="540">
        <v>46129</v>
      </c>
      <c r="B386" s="548" t="s">
        <v>134</v>
      </c>
      <c r="C386" s="547" t="s">
        <v>319</v>
      </c>
      <c r="D386" s="543" t="s">
        <v>1307</v>
      </c>
      <c r="E386" s="544" t="s">
        <v>13</v>
      </c>
      <c r="F386" s="545">
        <v>20</v>
      </c>
      <c r="G386" s="546">
        <v>94000</v>
      </c>
      <c r="H386" s="546">
        <f t="shared" si="8"/>
        <v>1880000</v>
      </c>
      <c r="I386" s="67" t="s">
        <v>1385</v>
      </c>
      <c r="J386" s="67"/>
      <c r="K386" s="67"/>
      <c r="L386" s="67" t="s">
        <v>1247</v>
      </c>
    </row>
    <row r="387" spans="1:12" s="50" customFormat="1" ht="18.75" customHeight="1" x14ac:dyDescent="0.4">
      <c r="A387" s="540">
        <v>46139</v>
      </c>
      <c r="B387" s="548" t="s">
        <v>134</v>
      </c>
      <c r="C387" s="547" t="s">
        <v>1117</v>
      </c>
      <c r="D387" s="543" t="s">
        <v>1308</v>
      </c>
      <c r="E387" s="544" t="s">
        <v>17</v>
      </c>
      <c r="F387" s="545">
        <v>50</v>
      </c>
      <c r="G387" s="546">
        <v>214160</v>
      </c>
      <c r="H387" s="546">
        <f t="shared" si="8"/>
        <v>10708000</v>
      </c>
      <c r="I387" s="67" t="s">
        <v>1385</v>
      </c>
      <c r="J387" s="67"/>
      <c r="K387" s="67"/>
      <c r="L387" s="67"/>
    </row>
    <row r="388" spans="1:12" s="50" customFormat="1" ht="18.75" customHeight="1" x14ac:dyDescent="0.4">
      <c r="A388" s="540">
        <v>46139</v>
      </c>
      <c r="B388" s="548" t="s">
        <v>134</v>
      </c>
      <c r="C388" s="547" t="s">
        <v>311</v>
      </c>
      <c r="D388" s="543" t="s">
        <v>431</v>
      </c>
      <c r="E388" s="544" t="s">
        <v>127</v>
      </c>
      <c r="F388" s="545">
        <v>7</v>
      </c>
      <c r="G388" s="546">
        <v>27000</v>
      </c>
      <c r="H388" s="546">
        <f t="shared" si="8"/>
        <v>189000</v>
      </c>
      <c r="I388" s="67" t="s">
        <v>1385</v>
      </c>
      <c r="J388" s="67"/>
      <c r="K388" s="67"/>
      <c r="L388" s="67"/>
    </row>
    <row r="389" spans="1:12" s="50" customFormat="1" ht="18.75" customHeight="1" x14ac:dyDescent="0.4">
      <c r="A389" s="540">
        <v>46139</v>
      </c>
      <c r="B389" s="548" t="s">
        <v>134</v>
      </c>
      <c r="C389" s="547" t="s">
        <v>311</v>
      </c>
      <c r="D389" s="543" t="s">
        <v>323</v>
      </c>
      <c r="E389" s="544" t="s">
        <v>127</v>
      </c>
      <c r="F389" s="545">
        <v>5</v>
      </c>
      <c r="G389" s="546">
        <v>18470</v>
      </c>
      <c r="H389" s="546">
        <f t="shared" si="8"/>
        <v>92350</v>
      </c>
      <c r="I389" s="67" t="s">
        <v>1385</v>
      </c>
      <c r="J389" s="67"/>
      <c r="K389" s="67"/>
      <c r="L389" s="67"/>
    </row>
    <row r="390" spans="1:12" s="50" customFormat="1" ht="18.75" customHeight="1" x14ac:dyDescent="0.4">
      <c r="A390" s="540">
        <v>46139</v>
      </c>
      <c r="B390" s="548" t="s">
        <v>134</v>
      </c>
      <c r="C390" s="547" t="s">
        <v>1309</v>
      </c>
      <c r="D390" s="543" t="s">
        <v>1310</v>
      </c>
      <c r="E390" s="544" t="s">
        <v>127</v>
      </c>
      <c r="F390" s="545">
        <v>45</v>
      </c>
      <c r="G390" s="546">
        <v>13200</v>
      </c>
      <c r="H390" s="546">
        <f t="shared" si="8"/>
        <v>594000</v>
      </c>
      <c r="I390" s="67" t="s">
        <v>1385</v>
      </c>
      <c r="J390" s="67"/>
      <c r="K390" s="67"/>
      <c r="L390" s="67"/>
    </row>
    <row r="391" spans="1:12" s="50" customFormat="1" ht="18.75" customHeight="1" x14ac:dyDescent="0.4">
      <c r="A391" s="540">
        <v>46139</v>
      </c>
      <c r="B391" s="548" t="s">
        <v>134</v>
      </c>
      <c r="C391" s="547" t="s">
        <v>941</v>
      </c>
      <c r="D391" s="543" t="s">
        <v>1311</v>
      </c>
      <c r="E391" s="544" t="s">
        <v>13</v>
      </c>
      <c r="F391" s="545">
        <v>7</v>
      </c>
      <c r="G391" s="546">
        <v>290000</v>
      </c>
      <c r="H391" s="546">
        <f t="shared" si="8"/>
        <v>2030000</v>
      </c>
      <c r="I391" s="67" t="s">
        <v>1385</v>
      </c>
      <c r="J391" s="67"/>
      <c r="K391" s="67"/>
      <c r="L391" s="67"/>
    </row>
    <row r="392" spans="1:12" s="50" customFormat="1" ht="18.75" customHeight="1" x14ac:dyDescent="0.4">
      <c r="A392" s="540">
        <v>46139</v>
      </c>
      <c r="B392" s="548" t="s">
        <v>134</v>
      </c>
      <c r="C392" s="547" t="s">
        <v>945</v>
      </c>
      <c r="D392" s="543" t="s">
        <v>1312</v>
      </c>
      <c r="E392" s="544" t="s">
        <v>13</v>
      </c>
      <c r="F392" s="545">
        <v>9</v>
      </c>
      <c r="G392" s="546">
        <v>225000</v>
      </c>
      <c r="H392" s="546">
        <f t="shared" si="8"/>
        <v>2025000</v>
      </c>
      <c r="I392" s="67" t="s">
        <v>1385</v>
      </c>
      <c r="J392" s="67"/>
      <c r="K392" s="67"/>
      <c r="L392" s="67"/>
    </row>
    <row r="393" spans="1:12" s="50" customFormat="1" ht="18.75" customHeight="1" x14ac:dyDescent="0.4">
      <c r="A393" s="540">
        <v>46139</v>
      </c>
      <c r="B393" s="548" t="s">
        <v>134</v>
      </c>
      <c r="C393" s="547" t="s">
        <v>319</v>
      </c>
      <c r="D393" s="543" t="s">
        <v>432</v>
      </c>
      <c r="E393" s="544" t="s">
        <v>127</v>
      </c>
      <c r="F393" s="545">
        <v>47</v>
      </c>
      <c r="G393" s="546">
        <v>26000</v>
      </c>
      <c r="H393" s="546">
        <f t="shared" si="8"/>
        <v>1222000</v>
      </c>
      <c r="I393" s="67" t="s">
        <v>1385</v>
      </c>
      <c r="J393" s="67"/>
      <c r="K393" s="67"/>
      <c r="L393" s="67"/>
    </row>
    <row r="394" spans="1:12" s="50" customFormat="1" ht="18.75" customHeight="1" x14ac:dyDescent="0.4">
      <c r="A394" s="540">
        <v>46139</v>
      </c>
      <c r="B394" s="548" t="s">
        <v>134</v>
      </c>
      <c r="C394" s="547" t="s">
        <v>319</v>
      </c>
      <c r="D394" s="543" t="s">
        <v>960</v>
      </c>
      <c r="E394" s="544" t="s">
        <v>13</v>
      </c>
      <c r="F394" s="545">
        <v>19</v>
      </c>
      <c r="G394" s="546">
        <v>142700</v>
      </c>
      <c r="H394" s="546">
        <f t="shared" si="8"/>
        <v>2711300</v>
      </c>
      <c r="I394" s="67" t="s">
        <v>1385</v>
      </c>
      <c r="J394" s="67"/>
      <c r="K394" s="67"/>
      <c r="L394" s="67"/>
    </row>
    <row r="395" spans="1:12" s="50" customFormat="1" ht="18.75" customHeight="1" x14ac:dyDescent="0.4">
      <c r="A395" s="540">
        <v>46139</v>
      </c>
      <c r="B395" s="548" t="s">
        <v>134</v>
      </c>
      <c r="C395" s="547" t="s">
        <v>319</v>
      </c>
      <c r="D395" s="543" t="s">
        <v>1313</v>
      </c>
      <c r="E395" s="544" t="s">
        <v>127</v>
      </c>
      <c r="F395" s="545">
        <v>25</v>
      </c>
      <c r="G395" s="546">
        <v>20400</v>
      </c>
      <c r="H395" s="546">
        <f t="shared" si="8"/>
        <v>510000</v>
      </c>
      <c r="I395" s="67" t="s">
        <v>1385</v>
      </c>
      <c r="J395" s="67"/>
      <c r="K395" s="67"/>
      <c r="L395" s="67"/>
    </row>
    <row r="396" spans="1:12" s="618" customFormat="1" ht="18.75" customHeight="1" x14ac:dyDescent="0.4">
      <c r="A396" s="612">
        <v>46133</v>
      </c>
      <c r="B396" s="613" t="s">
        <v>134</v>
      </c>
      <c r="C396" s="614" t="s">
        <v>129</v>
      </c>
      <c r="D396" s="615" t="s">
        <v>130</v>
      </c>
      <c r="E396" s="615" t="s">
        <v>131</v>
      </c>
      <c r="F396" s="616">
        <v>16</v>
      </c>
      <c r="G396" s="617">
        <v>52326</v>
      </c>
      <c r="H396" s="617">
        <f>F396*G396</f>
        <v>837216</v>
      </c>
      <c r="I396" s="67" t="s">
        <v>1386</v>
      </c>
      <c r="J396" s="429"/>
      <c r="K396" s="429"/>
      <c r="L396" s="429"/>
    </row>
    <row r="397" spans="1:12" s="50" customFormat="1" ht="18.75" customHeight="1" x14ac:dyDescent="0.4">
      <c r="A397" s="485">
        <v>46125</v>
      </c>
      <c r="B397" s="5" t="s">
        <v>128</v>
      </c>
      <c r="C397" s="67" t="s">
        <v>314</v>
      </c>
      <c r="D397" s="76" t="s">
        <v>434</v>
      </c>
      <c r="E397" s="16" t="s">
        <v>13</v>
      </c>
      <c r="F397" s="17">
        <v>4</v>
      </c>
      <c r="G397" s="7">
        <v>108000</v>
      </c>
      <c r="H397" s="7"/>
      <c r="I397" s="67" t="s">
        <v>186</v>
      </c>
      <c r="J397" s="67"/>
      <c r="K397" s="67"/>
      <c r="L397" s="67" t="s">
        <v>1247</v>
      </c>
    </row>
    <row r="398" spans="1:12" s="50" customFormat="1" ht="18.75" customHeight="1" x14ac:dyDescent="0.4">
      <c r="A398" s="485">
        <v>46125</v>
      </c>
      <c r="B398" s="5" t="s">
        <v>128</v>
      </c>
      <c r="C398" s="67" t="s">
        <v>330</v>
      </c>
      <c r="D398" s="16" t="s">
        <v>331</v>
      </c>
      <c r="E398" s="16" t="s">
        <v>17</v>
      </c>
      <c r="F398" s="17">
        <v>12</v>
      </c>
      <c r="G398" s="7">
        <v>329030</v>
      </c>
      <c r="H398" s="7"/>
      <c r="I398" s="67" t="s">
        <v>186</v>
      </c>
      <c r="J398" s="67"/>
      <c r="K398" s="67"/>
      <c r="L398" s="67" t="s">
        <v>1247</v>
      </c>
    </row>
    <row r="399" spans="1:12" s="50" customFormat="1" ht="18.75" customHeight="1" x14ac:dyDescent="0.4">
      <c r="A399" s="485">
        <v>46125</v>
      </c>
      <c r="B399" s="5" t="s">
        <v>128</v>
      </c>
      <c r="C399" s="531" t="s">
        <v>369</v>
      </c>
      <c r="D399" s="16" t="s">
        <v>1303</v>
      </c>
      <c r="E399" s="76" t="s">
        <v>17</v>
      </c>
      <c r="F399" s="532">
        <v>95</v>
      </c>
      <c r="G399" s="108">
        <v>99220</v>
      </c>
      <c r="H399" s="7"/>
      <c r="I399" s="67" t="s">
        <v>186</v>
      </c>
      <c r="J399" s="67"/>
      <c r="K399" s="67"/>
      <c r="L399" s="67" t="s">
        <v>1247</v>
      </c>
    </row>
    <row r="400" spans="1:12" s="50" customFormat="1" ht="18.75" customHeight="1" x14ac:dyDescent="0.4">
      <c r="A400" s="485">
        <v>46129</v>
      </c>
      <c r="B400" s="5" t="s">
        <v>134</v>
      </c>
      <c r="C400" s="6" t="s">
        <v>957</v>
      </c>
      <c r="D400" s="76" t="s">
        <v>329</v>
      </c>
      <c r="E400" s="16" t="s">
        <v>13</v>
      </c>
      <c r="F400" s="17">
        <v>3</v>
      </c>
      <c r="G400" s="7">
        <v>1364000</v>
      </c>
      <c r="H400" s="7">
        <f t="shared" ref="H400:H405" si="9">F400*G400</f>
        <v>4092000</v>
      </c>
      <c r="I400" s="67" t="s">
        <v>1386</v>
      </c>
      <c r="J400" s="67"/>
      <c r="K400" s="67"/>
      <c r="L400" s="67" t="s">
        <v>1247</v>
      </c>
    </row>
    <row r="401" spans="1:13" s="19" customFormat="1" ht="19.2" customHeight="1" x14ac:dyDescent="0.4">
      <c r="A401" s="485">
        <v>46051</v>
      </c>
      <c r="B401" s="5" t="s">
        <v>134</v>
      </c>
      <c r="C401" s="6" t="s">
        <v>132</v>
      </c>
      <c r="D401" s="1" t="s">
        <v>133</v>
      </c>
      <c r="E401" s="1" t="s">
        <v>13</v>
      </c>
      <c r="F401" s="36">
        <v>22</v>
      </c>
      <c r="G401" s="7">
        <v>3225880</v>
      </c>
      <c r="H401" s="7">
        <f t="shared" si="9"/>
        <v>70969360</v>
      </c>
      <c r="I401" s="142" t="s">
        <v>1386</v>
      </c>
      <c r="J401" s="66"/>
      <c r="K401" s="66"/>
      <c r="L401" s="408"/>
      <c r="M401" s="200"/>
    </row>
    <row r="402" spans="1:13" s="50" customFormat="1" ht="18.75" customHeight="1" x14ac:dyDescent="0.4">
      <c r="A402" s="485">
        <v>46062</v>
      </c>
      <c r="B402" s="5" t="s">
        <v>134</v>
      </c>
      <c r="C402" s="67" t="s">
        <v>508</v>
      </c>
      <c r="D402" s="42" t="s">
        <v>327</v>
      </c>
      <c r="E402" s="1" t="s">
        <v>13</v>
      </c>
      <c r="F402" s="36">
        <v>2</v>
      </c>
      <c r="G402" s="7">
        <v>1364000</v>
      </c>
      <c r="H402" s="7">
        <f t="shared" si="9"/>
        <v>2728000</v>
      </c>
      <c r="I402" s="142" t="s">
        <v>1386</v>
      </c>
      <c r="J402" s="67"/>
      <c r="K402" s="67"/>
      <c r="L402" s="67"/>
    </row>
    <row r="403" spans="1:13" s="50" customFormat="1" ht="18.75" customHeight="1" x14ac:dyDescent="0.4">
      <c r="A403" s="484">
        <v>46093</v>
      </c>
      <c r="B403" s="5" t="s">
        <v>134</v>
      </c>
      <c r="C403" s="6" t="s">
        <v>129</v>
      </c>
      <c r="D403" s="1" t="s">
        <v>130</v>
      </c>
      <c r="E403" s="1" t="s">
        <v>131</v>
      </c>
      <c r="F403" s="36">
        <v>11</v>
      </c>
      <c r="G403" s="7">
        <v>52326</v>
      </c>
      <c r="H403" s="7">
        <f t="shared" si="9"/>
        <v>575586</v>
      </c>
      <c r="I403" s="142" t="s">
        <v>1386</v>
      </c>
      <c r="J403" s="67"/>
      <c r="K403" s="67"/>
      <c r="L403" s="67"/>
    </row>
    <row r="404" spans="1:13" s="50" customFormat="1" ht="18.75" customHeight="1" x14ac:dyDescent="0.4">
      <c r="A404" s="484">
        <v>46106</v>
      </c>
      <c r="B404" s="5" t="s">
        <v>134</v>
      </c>
      <c r="C404" s="67" t="s">
        <v>181</v>
      </c>
      <c r="D404" s="468" t="s">
        <v>371</v>
      </c>
      <c r="E404" s="67" t="s">
        <v>13</v>
      </c>
      <c r="F404" s="67">
        <v>3</v>
      </c>
      <c r="G404" s="7">
        <v>2163000</v>
      </c>
      <c r="H404" s="7">
        <f t="shared" si="9"/>
        <v>6489000</v>
      </c>
      <c r="I404" s="142" t="s">
        <v>1387</v>
      </c>
      <c r="J404" s="67"/>
      <c r="K404" s="67"/>
      <c r="L404" s="67"/>
    </row>
    <row r="405" spans="1:13" s="50" customFormat="1" ht="18.75" customHeight="1" x14ac:dyDescent="0.4">
      <c r="A405" s="484">
        <v>46106</v>
      </c>
      <c r="B405" s="5" t="s">
        <v>134</v>
      </c>
      <c r="C405" s="67" t="s">
        <v>182</v>
      </c>
      <c r="D405" s="468" t="s">
        <v>372</v>
      </c>
      <c r="E405" s="67" t="s">
        <v>13</v>
      </c>
      <c r="F405" s="67">
        <v>3</v>
      </c>
      <c r="G405" s="7">
        <v>2163000</v>
      </c>
      <c r="H405" s="7">
        <f t="shared" si="9"/>
        <v>6489000</v>
      </c>
      <c r="I405" s="142" t="s">
        <v>1387</v>
      </c>
      <c r="J405" s="67"/>
      <c r="K405" s="67"/>
      <c r="L405" s="67"/>
    </row>
    <row r="406" spans="1:13" s="50" customFormat="1" ht="18.75" customHeight="1" x14ac:dyDescent="0.4">
      <c r="A406" s="485">
        <v>46142</v>
      </c>
      <c r="B406" s="5" t="s">
        <v>128</v>
      </c>
      <c r="C406" s="6" t="s">
        <v>132</v>
      </c>
      <c r="D406" s="1" t="s">
        <v>1120</v>
      </c>
      <c r="E406" s="1" t="s">
        <v>13</v>
      </c>
      <c r="F406" s="36">
        <v>12</v>
      </c>
      <c r="G406" s="7">
        <v>3225880</v>
      </c>
      <c r="H406" s="7">
        <f t="shared" si="8"/>
        <v>38710560</v>
      </c>
      <c r="I406" s="142" t="s">
        <v>1386</v>
      </c>
      <c r="J406" s="67"/>
      <c r="K406" s="67"/>
      <c r="L406" s="67" t="s">
        <v>1247</v>
      </c>
    </row>
    <row r="407" spans="1:13" s="50" customFormat="1" ht="18.75" customHeight="1" x14ac:dyDescent="0.4">
      <c r="A407" s="485">
        <v>46142</v>
      </c>
      <c r="B407" s="5" t="s">
        <v>128</v>
      </c>
      <c r="C407" s="67" t="s">
        <v>941</v>
      </c>
      <c r="D407" s="42" t="s">
        <v>1311</v>
      </c>
      <c r="E407" s="1" t="s">
        <v>13</v>
      </c>
      <c r="F407" s="36">
        <v>8</v>
      </c>
      <c r="G407" s="7">
        <v>290000</v>
      </c>
      <c r="H407" s="7">
        <f t="shared" si="8"/>
        <v>2320000</v>
      </c>
      <c r="I407" s="142" t="s">
        <v>1386</v>
      </c>
      <c r="J407" s="67"/>
      <c r="K407" s="67"/>
      <c r="L407" s="67" t="s">
        <v>1247</v>
      </c>
    </row>
    <row r="408" spans="1:13" s="50" customFormat="1" ht="18.75" customHeight="1" x14ac:dyDescent="0.4">
      <c r="A408" s="485">
        <v>46142</v>
      </c>
      <c r="B408" s="5" t="s">
        <v>128</v>
      </c>
      <c r="C408" s="67" t="s">
        <v>945</v>
      </c>
      <c r="D408" s="42" t="s">
        <v>1312</v>
      </c>
      <c r="E408" s="1" t="s">
        <v>13</v>
      </c>
      <c r="F408" s="36">
        <v>22</v>
      </c>
      <c r="G408" s="7">
        <v>225000</v>
      </c>
      <c r="H408" s="7">
        <f t="shared" si="8"/>
        <v>4950000</v>
      </c>
      <c r="I408" s="142" t="s">
        <v>1386</v>
      </c>
      <c r="J408" s="67"/>
      <c r="K408" s="67"/>
      <c r="L408" s="67" t="s">
        <v>1247</v>
      </c>
    </row>
    <row r="409" spans="1:13" s="50" customFormat="1" ht="18.75" customHeight="1" x14ac:dyDescent="0.4">
      <c r="A409" s="485">
        <v>46142</v>
      </c>
      <c r="B409" s="5" t="s">
        <v>128</v>
      </c>
      <c r="C409" s="6" t="s">
        <v>310</v>
      </c>
      <c r="D409" s="42" t="s">
        <v>1302</v>
      </c>
      <c r="E409" s="1" t="s">
        <v>13</v>
      </c>
      <c r="F409" s="36">
        <v>22</v>
      </c>
      <c r="G409" s="7">
        <v>92000</v>
      </c>
      <c r="H409" s="7">
        <f t="shared" si="8"/>
        <v>2024000</v>
      </c>
      <c r="I409" s="142" t="s">
        <v>1386</v>
      </c>
      <c r="J409" s="67"/>
      <c r="K409" s="67"/>
      <c r="L409" s="67" t="s">
        <v>1247</v>
      </c>
    </row>
    <row r="410" spans="1:13" s="50" customFormat="1" ht="18.75" customHeight="1" x14ac:dyDescent="0.4">
      <c r="A410" s="485">
        <v>46142</v>
      </c>
      <c r="B410" s="5" t="s">
        <v>128</v>
      </c>
      <c r="C410" s="67" t="s">
        <v>963</v>
      </c>
      <c r="D410" s="42" t="s">
        <v>964</v>
      </c>
      <c r="E410" s="1" t="s">
        <v>127</v>
      </c>
      <c r="F410" s="36">
        <v>54</v>
      </c>
      <c r="G410" s="7">
        <v>16100</v>
      </c>
      <c r="H410" s="7">
        <f t="shared" si="8"/>
        <v>869400</v>
      </c>
      <c r="I410" s="142" t="s">
        <v>1386</v>
      </c>
      <c r="J410" s="67"/>
      <c r="K410" s="67"/>
      <c r="L410" s="67" t="s">
        <v>1247</v>
      </c>
    </row>
    <row r="411" spans="1:13" s="50" customFormat="1" ht="18.75" customHeight="1" x14ac:dyDescent="0.4">
      <c r="A411" s="485">
        <v>46142</v>
      </c>
      <c r="B411" s="5" t="s">
        <v>128</v>
      </c>
      <c r="C411" s="67" t="s">
        <v>1314</v>
      </c>
      <c r="D411" s="42" t="s">
        <v>1315</v>
      </c>
      <c r="E411" s="1" t="s">
        <v>13</v>
      </c>
      <c r="F411" s="36">
        <v>43</v>
      </c>
      <c r="G411" s="7">
        <v>65860</v>
      </c>
      <c r="H411" s="7">
        <f t="shared" si="8"/>
        <v>2831980</v>
      </c>
      <c r="I411" s="142" t="s">
        <v>1386</v>
      </c>
      <c r="J411" s="67"/>
      <c r="K411" s="67"/>
      <c r="L411" s="67" t="s">
        <v>1247</v>
      </c>
    </row>
    <row r="412" spans="1:13" s="50" customFormat="1" ht="18.75" customHeight="1" x14ac:dyDescent="0.4">
      <c r="A412" s="485">
        <v>46142</v>
      </c>
      <c r="B412" s="5" t="s">
        <v>134</v>
      </c>
      <c r="C412" s="67" t="s">
        <v>312</v>
      </c>
      <c r="D412" s="42" t="s">
        <v>961</v>
      </c>
      <c r="E412" s="1" t="s">
        <v>13</v>
      </c>
      <c r="F412" s="36">
        <v>20</v>
      </c>
      <c r="G412" s="7">
        <v>67900</v>
      </c>
      <c r="H412" s="7">
        <f t="shared" si="8"/>
        <v>1358000</v>
      </c>
      <c r="I412" s="142" t="s">
        <v>1386</v>
      </c>
      <c r="J412" s="67"/>
      <c r="K412" s="67"/>
      <c r="L412" s="67" t="s">
        <v>1247</v>
      </c>
    </row>
    <row r="413" spans="1:13" s="3" customFormat="1" ht="18.75" customHeight="1" x14ac:dyDescent="0.4">
      <c r="A413" s="483"/>
      <c r="B413" s="194"/>
      <c r="C413" s="40"/>
      <c r="D413" s="194"/>
      <c r="E413" s="194"/>
      <c r="F413" s="528"/>
      <c r="G413" s="529"/>
      <c r="H413" s="529">
        <f>SUM(H361:H395)</f>
        <v>343153536</v>
      </c>
      <c r="I413" s="529"/>
      <c r="J413" s="530"/>
      <c r="K413" s="145"/>
      <c r="L413" s="145"/>
      <c r="M413" s="89"/>
    </row>
    <row r="414" spans="1:13" s="3" customFormat="1" ht="18.75" customHeight="1" x14ac:dyDescent="0.4">
      <c r="A414" s="482">
        <v>46121</v>
      </c>
      <c r="B414" s="5" t="s">
        <v>137</v>
      </c>
      <c r="C414" s="29" t="s">
        <v>241</v>
      </c>
      <c r="D414" s="110" t="s">
        <v>373</v>
      </c>
      <c r="E414" s="110"/>
      <c r="F414" s="533">
        <v>31</v>
      </c>
      <c r="G414" s="525">
        <v>195700</v>
      </c>
      <c r="H414" s="7">
        <f t="shared" ref="H414:H426" si="10">F414*G414</f>
        <v>6066700</v>
      </c>
      <c r="I414" s="525" t="s">
        <v>1126</v>
      </c>
      <c r="J414" s="534"/>
      <c r="K414" s="144"/>
      <c r="L414" s="144"/>
      <c r="M414" s="89"/>
    </row>
    <row r="415" spans="1:13" s="3" customFormat="1" ht="18.75" customHeight="1" x14ac:dyDescent="0.4">
      <c r="A415" s="482">
        <v>46121</v>
      </c>
      <c r="B415" s="5" t="s">
        <v>137</v>
      </c>
      <c r="C415" s="29" t="s">
        <v>241</v>
      </c>
      <c r="D415" s="110" t="s">
        <v>373</v>
      </c>
      <c r="E415" s="110"/>
      <c r="F415" s="533">
        <v>23</v>
      </c>
      <c r="G415" s="525">
        <v>195700</v>
      </c>
      <c r="H415" s="7">
        <f t="shared" si="10"/>
        <v>4501100</v>
      </c>
      <c r="I415" s="525" t="s">
        <v>1316</v>
      </c>
      <c r="J415" s="534"/>
      <c r="K415" s="144"/>
      <c r="L415" s="144"/>
      <c r="M415" s="89"/>
    </row>
    <row r="416" spans="1:13" s="3" customFormat="1" ht="18.75" customHeight="1" x14ac:dyDescent="0.4">
      <c r="A416" s="482">
        <v>46121</v>
      </c>
      <c r="B416" s="5" t="s">
        <v>137</v>
      </c>
      <c r="C416" s="29" t="s">
        <v>237</v>
      </c>
      <c r="D416" s="110" t="s">
        <v>238</v>
      </c>
      <c r="E416" s="110"/>
      <c r="F416" s="533">
        <v>41</v>
      </c>
      <c r="G416" s="525">
        <v>137000</v>
      </c>
      <c r="H416" s="7">
        <f t="shared" si="10"/>
        <v>5617000</v>
      </c>
      <c r="I416" s="525" t="s">
        <v>1130</v>
      </c>
      <c r="J416" s="534"/>
      <c r="K416" s="144"/>
      <c r="L416" s="144"/>
      <c r="M416" s="89"/>
    </row>
    <row r="417" spans="1:13" s="3" customFormat="1" ht="18.75" customHeight="1" x14ac:dyDescent="0.4">
      <c r="A417" s="482">
        <v>46121</v>
      </c>
      <c r="B417" s="5" t="s">
        <v>137</v>
      </c>
      <c r="C417" s="29" t="s">
        <v>241</v>
      </c>
      <c r="D417" s="110" t="s">
        <v>1317</v>
      </c>
      <c r="E417" s="110"/>
      <c r="F417" s="533">
        <v>58</v>
      </c>
      <c r="G417" s="525">
        <v>251400</v>
      </c>
      <c r="H417" s="7">
        <f t="shared" si="10"/>
        <v>14581200</v>
      </c>
      <c r="I417" s="525" t="s">
        <v>1318</v>
      </c>
      <c r="J417" s="534"/>
      <c r="K417" s="144"/>
      <c r="L417" s="144"/>
      <c r="M417" s="89"/>
    </row>
    <row r="418" spans="1:13" s="3" customFormat="1" ht="18.75" customHeight="1" x14ac:dyDescent="0.4">
      <c r="A418" s="482">
        <v>46121</v>
      </c>
      <c r="B418" s="5" t="s">
        <v>137</v>
      </c>
      <c r="C418" s="29" t="s">
        <v>241</v>
      </c>
      <c r="D418" s="110" t="s">
        <v>1317</v>
      </c>
      <c r="E418" s="110"/>
      <c r="F418" s="533">
        <v>38</v>
      </c>
      <c r="G418" s="525">
        <v>251400</v>
      </c>
      <c r="H418" s="7">
        <f t="shared" si="10"/>
        <v>9553200</v>
      </c>
      <c r="I418" s="525" t="s">
        <v>1319</v>
      </c>
      <c r="J418" s="534"/>
      <c r="K418" s="144"/>
      <c r="L418" s="144"/>
      <c r="M418" s="89"/>
    </row>
    <row r="419" spans="1:13" s="3" customFormat="1" ht="18.75" customHeight="1" x14ac:dyDescent="0.4">
      <c r="A419" s="482">
        <v>46121</v>
      </c>
      <c r="B419" s="5" t="s">
        <v>137</v>
      </c>
      <c r="C419" s="29" t="s">
        <v>241</v>
      </c>
      <c r="D419" s="110" t="s">
        <v>240</v>
      </c>
      <c r="E419" s="110"/>
      <c r="F419" s="533">
        <v>20</v>
      </c>
      <c r="G419" s="525">
        <v>256600</v>
      </c>
      <c r="H419" s="7">
        <f t="shared" si="10"/>
        <v>5132000</v>
      </c>
      <c r="I419" s="525" t="s">
        <v>1134</v>
      </c>
      <c r="J419" s="534"/>
      <c r="K419" s="144"/>
      <c r="L419" s="144"/>
      <c r="M419" s="89"/>
    </row>
    <row r="420" spans="1:13" s="3" customFormat="1" ht="18.75" customHeight="1" x14ac:dyDescent="0.4">
      <c r="A420" s="482">
        <v>46134</v>
      </c>
      <c r="B420" s="5" t="s">
        <v>137</v>
      </c>
      <c r="C420" s="29" t="s">
        <v>241</v>
      </c>
      <c r="D420" s="110" t="s">
        <v>1317</v>
      </c>
      <c r="E420" s="110"/>
      <c r="F420" s="533">
        <v>12</v>
      </c>
      <c r="G420" s="525">
        <v>251400</v>
      </c>
      <c r="H420" s="7">
        <f t="shared" si="10"/>
        <v>3016800</v>
      </c>
      <c r="I420" s="525" t="s">
        <v>1319</v>
      </c>
      <c r="J420" s="534"/>
      <c r="K420" s="144"/>
      <c r="L420" s="144"/>
      <c r="M420" s="89"/>
    </row>
    <row r="421" spans="1:13" s="3" customFormat="1" ht="18.75" customHeight="1" x14ac:dyDescent="0.4">
      <c r="A421" s="482">
        <v>46134</v>
      </c>
      <c r="B421" s="5" t="s">
        <v>137</v>
      </c>
      <c r="C421" s="29" t="s">
        <v>241</v>
      </c>
      <c r="D421" s="110" t="s">
        <v>1317</v>
      </c>
      <c r="E421" s="110"/>
      <c r="F421" s="533">
        <v>4</v>
      </c>
      <c r="G421" s="525">
        <v>251400</v>
      </c>
      <c r="H421" s="7">
        <f t="shared" si="10"/>
        <v>1005600</v>
      </c>
      <c r="I421" s="525" t="s">
        <v>1320</v>
      </c>
      <c r="J421" s="534"/>
      <c r="K421" s="144"/>
      <c r="L421" s="144"/>
      <c r="M421" s="89"/>
    </row>
    <row r="422" spans="1:13" s="3" customFormat="1" ht="18.75" customHeight="1" x14ac:dyDescent="0.4">
      <c r="A422" s="482">
        <v>46134</v>
      </c>
      <c r="B422" s="5" t="s">
        <v>137</v>
      </c>
      <c r="C422" s="29" t="s">
        <v>241</v>
      </c>
      <c r="D422" s="110" t="s">
        <v>1317</v>
      </c>
      <c r="E422" s="110"/>
      <c r="F422" s="533">
        <v>16</v>
      </c>
      <c r="G422" s="525">
        <v>251400</v>
      </c>
      <c r="H422" s="7">
        <f t="shared" si="10"/>
        <v>4022400</v>
      </c>
      <c r="I422" s="525" t="s">
        <v>1320</v>
      </c>
      <c r="J422" s="534"/>
      <c r="K422" s="144"/>
      <c r="L422" s="144"/>
      <c r="M422" s="89"/>
    </row>
    <row r="423" spans="1:13" s="3" customFormat="1" ht="18.75" customHeight="1" x14ac:dyDescent="0.4">
      <c r="A423" s="482">
        <v>46134</v>
      </c>
      <c r="B423" s="5" t="s">
        <v>137</v>
      </c>
      <c r="C423" s="29" t="s">
        <v>241</v>
      </c>
      <c r="D423" s="110" t="s">
        <v>1317</v>
      </c>
      <c r="E423" s="110"/>
      <c r="F423" s="533">
        <v>16</v>
      </c>
      <c r="G423" s="525">
        <v>251400</v>
      </c>
      <c r="H423" s="7">
        <f t="shared" si="10"/>
        <v>4022400</v>
      </c>
      <c r="I423" s="525" t="s">
        <v>1320</v>
      </c>
      <c r="J423" s="534"/>
      <c r="K423" s="144"/>
      <c r="L423" s="144"/>
      <c r="M423" s="89"/>
    </row>
    <row r="424" spans="1:13" s="3" customFormat="1" ht="18.75" customHeight="1" x14ac:dyDescent="0.4">
      <c r="A424" s="482">
        <v>46134</v>
      </c>
      <c r="B424" s="5" t="s">
        <v>137</v>
      </c>
      <c r="C424" s="29" t="s">
        <v>234</v>
      </c>
      <c r="D424" s="110" t="s">
        <v>333</v>
      </c>
      <c r="E424" s="110"/>
      <c r="F424" s="533">
        <v>79</v>
      </c>
      <c r="G424" s="525">
        <v>69400</v>
      </c>
      <c r="H424" s="7">
        <f t="shared" si="10"/>
        <v>5482600</v>
      </c>
      <c r="I424" s="525" t="s">
        <v>1133</v>
      </c>
      <c r="J424" s="534"/>
      <c r="K424" s="144"/>
      <c r="L424" s="144"/>
      <c r="M424" s="89"/>
    </row>
    <row r="425" spans="1:13" s="3" customFormat="1" ht="18.75" customHeight="1" x14ac:dyDescent="0.4">
      <c r="A425" s="482">
        <v>46134</v>
      </c>
      <c r="B425" s="5" t="s">
        <v>137</v>
      </c>
      <c r="C425" s="29" t="s">
        <v>234</v>
      </c>
      <c r="D425" s="110" t="s">
        <v>333</v>
      </c>
      <c r="E425" s="110"/>
      <c r="F425" s="533">
        <v>18</v>
      </c>
      <c r="G425" s="525">
        <v>69400</v>
      </c>
      <c r="H425" s="7">
        <f t="shared" si="10"/>
        <v>1249200</v>
      </c>
      <c r="I425" s="525" t="s">
        <v>1321</v>
      </c>
      <c r="J425" s="534"/>
      <c r="K425" s="144"/>
      <c r="L425" s="144"/>
      <c r="M425" s="89"/>
    </row>
    <row r="426" spans="1:13" s="3" customFormat="1" ht="18.75" customHeight="1" x14ac:dyDescent="0.4">
      <c r="A426" s="482">
        <v>46134</v>
      </c>
      <c r="B426" s="5" t="s">
        <v>137</v>
      </c>
      <c r="C426" s="29" t="s">
        <v>241</v>
      </c>
      <c r="D426" s="110" t="s">
        <v>1322</v>
      </c>
      <c r="E426" s="110"/>
      <c r="F426" s="533">
        <v>10</v>
      </c>
      <c r="G426" s="525">
        <v>181500</v>
      </c>
      <c r="H426" s="7">
        <f t="shared" si="10"/>
        <v>1815000</v>
      </c>
      <c r="I426" s="525" t="s">
        <v>973</v>
      </c>
      <c r="J426" s="534"/>
      <c r="K426" s="144"/>
      <c r="L426" s="144"/>
      <c r="M426" s="89"/>
    </row>
    <row r="427" spans="1:13" s="3" customFormat="1" ht="18.75" customHeight="1" x14ac:dyDescent="0.4">
      <c r="A427" s="483"/>
      <c r="B427" s="194"/>
      <c r="C427" s="40"/>
      <c r="D427" s="194"/>
      <c r="E427" s="194"/>
      <c r="F427" s="528"/>
      <c r="G427" s="529"/>
      <c r="H427" s="529">
        <f>SUM(H414:H426)</f>
        <v>66065200</v>
      </c>
      <c r="I427" s="529"/>
      <c r="J427" s="530"/>
      <c r="K427" s="145"/>
      <c r="L427" s="145"/>
      <c r="M427" s="89"/>
    </row>
    <row r="428" spans="1:13" s="261" customFormat="1" ht="19.5" customHeight="1" x14ac:dyDescent="0.4">
      <c r="A428" s="555">
        <v>45993</v>
      </c>
      <c r="B428" s="475" t="s">
        <v>140</v>
      </c>
      <c r="C428" s="476" t="s">
        <v>473</v>
      </c>
      <c r="D428" s="477" t="s">
        <v>246</v>
      </c>
      <c r="E428" s="477" t="s">
        <v>13</v>
      </c>
      <c r="F428" s="476">
        <v>2</v>
      </c>
      <c r="G428" s="476">
        <v>393500</v>
      </c>
      <c r="H428" s="476">
        <f t="shared" ref="H428:H451" si="11">F428*G428</f>
        <v>787000</v>
      </c>
      <c r="I428" s="474" t="s">
        <v>1385</v>
      </c>
      <c r="J428" s="258"/>
      <c r="K428" s="258"/>
      <c r="L428" s="258"/>
    </row>
    <row r="429" spans="1:13" s="3" customFormat="1" ht="19.5" customHeight="1" x14ac:dyDescent="0.4">
      <c r="A429" s="556">
        <v>46045</v>
      </c>
      <c r="B429" s="471" t="s">
        <v>140</v>
      </c>
      <c r="C429" s="557" t="s">
        <v>473</v>
      </c>
      <c r="D429" s="558" t="s">
        <v>246</v>
      </c>
      <c r="E429" s="558" t="s">
        <v>13</v>
      </c>
      <c r="F429" s="472">
        <v>2</v>
      </c>
      <c r="G429" s="472">
        <v>393500</v>
      </c>
      <c r="H429" s="466">
        <f t="shared" si="11"/>
        <v>787000</v>
      </c>
      <c r="I429" s="474" t="s">
        <v>1385</v>
      </c>
      <c r="J429" s="196"/>
      <c r="K429" s="196"/>
      <c r="L429" s="196"/>
      <c r="M429" s="89"/>
    </row>
    <row r="430" spans="1:13" s="261" customFormat="1" ht="19.5" customHeight="1" x14ac:dyDescent="0.4">
      <c r="A430" s="555">
        <v>45993</v>
      </c>
      <c r="B430" s="475" t="s">
        <v>140</v>
      </c>
      <c r="C430" s="476" t="s">
        <v>1239</v>
      </c>
      <c r="D430" s="477" t="s">
        <v>475</v>
      </c>
      <c r="E430" s="477" t="s">
        <v>11</v>
      </c>
      <c r="F430" s="476">
        <v>7</v>
      </c>
      <c r="G430" s="476">
        <v>652000</v>
      </c>
      <c r="H430" s="476">
        <f t="shared" si="11"/>
        <v>4564000</v>
      </c>
      <c r="I430" s="474" t="s">
        <v>1385</v>
      </c>
      <c r="J430" s="258"/>
      <c r="K430" s="258"/>
      <c r="L430" s="258"/>
    </row>
    <row r="431" spans="1:13" s="3" customFormat="1" ht="19.5" customHeight="1" x14ac:dyDescent="0.4">
      <c r="A431" s="556">
        <v>46030</v>
      </c>
      <c r="B431" s="471" t="s">
        <v>140</v>
      </c>
      <c r="C431" s="470" t="s">
        <v>553</v>
      </c>
      <c r="D431" s="471" t="s">
        <v>244</v>
      </c>
      <c r="E431" s="471" t="s">
        <v>13</v>
      </c>
      <c r="F431" s="472">
        <v>2</v>
      </c>
      <c r="G431" s="473">
        <v>973200</v>
      </c>
      <c r="H431" s="466">
        <f t="shared" si="11"/>
        <v>1946400</v>
      </c>
      <c r="I431" s="474" t="s">
        <v>1385</v>
      </c>
      <c r="J431" s="144"/>
      <c r="K431" s="144"/>
      <c r="L431" s="144"/>
      <c r="M431" s="89"/>
    </row>
    <row r="432" spans="1:13" s="3" customFormat="1" ht="19.5" customHeight="1" x14ac:dyDescent="0.4">
      <c r="A432" s="556">
        <v>46052</v>
      </c>
      <c r="B432" s="471" t="s">
        <v>140</v>
      </c>
      <c r="C432" s="470" t="s">
        <v>553</v>
      </c>
      <c r="D432" s="471" t="s">
        <v>778</v>
      </c>
      <c r="E432" s="471" t="s">
        <v>13</v>
      </c>
      <c r="F432" s="472">
        <v>9</v>
      </c>
      <c r="G432" s="472">
        <v>973200</v>
      </c>
      <c r="H432" s="466">
        <f t="shared" si="11"/>
        <v>8758800</v>
      </c>
      <c r="I432" s="474" t="s">
        <v>1385</v>
      </c>
      <c r="J432" s="196"/>
      <c r="K432" s="196"/>
      <c r="L432" s="196"/>
      <c r="M432" s="89"/>
    </row>
    <row r="433" spans="1:12" s="50" customFormat="1" ht="18.75" customHeight="1" x14ac:dyDescent="0.4">
      <c r="A433" s="559">
        <v>46063</v>
      </c>
      <c r="B433" s="560" t="s">
        <v>140</v>
      </c>
      <c r="C433" s="561" t="s">
        <v>553</v>
      </c>
      <c r="D433" s="562" t="s">
        <v>244</v>
      </c>
      <c r="E433" s="562" t="s">
        <v>13</v>
      </c>
      <c r="F433" s="563">
        <v>4</v>
      </c>
      <c r="G433" s="466">
        <v>973200</v>
      </c>
      <c r="H433" s="466">
        <f t="shared" si="11"/>
        <v>3892800</v>
      </c>
      <c r="I433" s="474" t="s">
        <v>1385</v>
      </c>
      <c r="J433" s="67"/>
      <c r="K433" s="67"/>
      <c r="L433" s="67"/>
    </row>
    <row r="434" spans="1:12" s="50" customFormat="1" ht="18.75" customHeight="1" x14ac:dyDescent="0.4">
      <c r="A434" s="559">
        <v>46064</v>
      </c>
      <c r="B434" s="560" t="s">
        <v>140</v>
      </c>
      <c r="C434" s="561" t="s">
        <v>553</v>
      </c>
      <c r="D434" s="562" t="s">
        <v>244</v>
      </c>
      <c r="E434" s="562" t="s">
        <v>13</v>
      </c>
      <c r="F434" s="563">
        <v>3</v>
      </c>
      <c r="G434" s="466">
        <v>973200</v>
      </c>
      <c r="H434" s="466">
        <f t="shared" si="11"/>
        <v>2919600</v>
      </c>
      <c r="I434" s="474" t="s">
        <v>1385</v>
      </c>
      <c r="J434" s="67"/>
      <c r="K434" s="67"/>
      <c r="L434" s="67"/>
    </row>
    <row r="435" spans="1:12" s="50" customFormat="1" ht="18.75" customHeight="1" x14ac:dyDescent="0.4">
      <c r="A435" s="559">
        <v>46073</v>
      </c>
      <c r="B435" s="471" t="s">
        <v>140</v>
      </c>
      <c r="C435" s="561" t="s">
        <v>553</v>
      </c>
      <c r="D435" s="562" t="s">
        <v>244</v>
      </c>
      <c r="E435" s="562" t="s">
        <v>13</v>
      </c>
      <c r="F435" s="563">
        <v>2</v>
      </c>
      <c r="G435" s="466">
        <v>973200</v>
      </c>
      <c r="H435" s="466">
        <f t="shared" si="11"/>
        <v>1946400</v>
      </c>
      <c r="I435" s="474" t="s">
        <v>1385</v>
      </c>
      <c r="J435" s="67"/>
      <c r="K435" s="67"/>
      <c r="L435" s="67"/>
    </row>
    <row r="436" spans="1:12" s="50" customFormat="1" ht="18.75" customHeight="1" x14ac:dyDescent="0.4">
      <c r="A436" s="559">
        <v>46076</v>
      </c>
      <c r="B436" s="471" t="s">
        <v>140</v>
      </c>
      <c r="C436" s="561" t="s">
        <v>553</v>
      </c>
      <c r="D436" s="562" t="s">
        <v>244</v>
      </c>
      <c r="E436" s="562" t="s">
        <v>13</v>
      </c>
      <c r="F436" s="563">
        <v>6</v>
      </c>
      <c r="G436" s="466">
        <v>973200</v>
      </c>
      <c r="H436" s="466">
        <f t="shared" si="11"/>
        <v>5839200</v>
      </c>
      <c r="I436" s="474" t="s">
        <v>1385</v>
      </c>
      <c r="J436" s="67"/>
      <c r="K436" s="67"/>
      <c r="L436" s="67"/>
    </row>
    <row r="437" spans="1:12" s="50" customFormat="1" ht="18.75" customHeight="1" x14ac:dyDescent="0.4">
      <c r="A437" s="559">
        <v>46079</v>
      </c>
      <c r="B437" s="471" t="s">
        <v>140</v>
      </c>
      <c r="C437" s="561" t="s">
        <v>553</v>
      </c>
      <c r="D437" s="562" t="s">
        <v>244</v>
      </c>
      <c r="E437" s="562" t="s">
        <v>13</v>
      </c>
      <c r="F437" s="563">
        <v>3</v>
      </c>
      <c r="G437" s="466">
        <v>973200</v>
      </c>
      <c r="H437" s="466">
        <f t="shared" si="11"/>
        <v>2919600</v>
      </c>
      <c r="I437" s="474" t="s">
        <v>1385</v>
      </c>
      <c r="J437" s="67"/>
      <c r="K437" s="67"/>
      <c r="L437" s="67"/>
    </row>
    <row r="438" spans="1:12" s="261" customFormat="1" ht="19.5" customHeight="1" x14ac:dyDescent="0.4">
      <c r="A438" s="555">
        <v>45993</v>
      </c>
      <c r="B438" s="475" t="s">
        <v>140</v>
      </c>
      <c r="C438" s="476" t="s">
        <v>553</v>
      </c>
      <c r="D438" s="477" t="s">
        <v>244</v>
      </c>
      <c r="E438" s="477" t="s">
        <v>13</v>
      </c>
      <c r="F438" s="476">
        <v>2</v>
      </c>
      <c r="G438" s="476">
        <v>973200</v>
      </c>
      <c r="H438" s="476">
        <f t="shared" si="11"/>
        <v>1946400</v>
      </c>
      <c r="I438" s="474" t="s">
        <v>1385</v>
      </c>
      <c r="J438" s="258"/>
      <c r="K438" s="258"/>
      <c r="L438" s="258"/>
    </row>
    <row r="439" spans="1:12" s="261" customFormat="1" ht="19.5" customHeight="1" x14ac:dyDescent="0.4">
      <c r="A439" s="555">
        <v>46009</v>
      </c>
      <c r="B439" s="475" t="s">
        <v>140</v>
      </c>
      <c r="C439" s="476" t="s">
        <v>580</v>
      </c>
      <c r="D439" s="477" t="s">
        <v>581</v>
      </c>
      <c r="E439" s="477" t="s">
        <v>13</v>
      </c>
      <c r="F439" s="476">
        <v>2</v>
      </c>
      <c r="G439" s="476">
        <v>984000</v>
      </c>
      <c r="H439" s="476">
        <f t="shared" si="11"/>
        <v>1968000</v>
      </c>
      <c r="I439" s="474" t="s">
        <v>1385</v>
      </c>
      <c r="J439" s="258"/>
      <c r="K439" s="258"/>
      <c r="L439" s="258"/>
    </row>
    <row r="440" spans="1:12" s="50" customFormat="1" ht="18.75" customHeight="1" x14ac:dyDescent="0.4">
      <c r="A440" s="559">
        <v>46076</v>
      </c>
      <c r="B440" s="471" t="s">
        <v>140</v>
      </c>
      <c r="C440" s="470" t="s">
        <v>476</v>
      </c>
      <c r="D440" s="471" t="s">
        <v>477</v>
      </c>
      <c r="E440" s="471" t="s">
        <v>11</v>
      </c>
      <c r="F440" s="472">
        <v>6</v>
      </c>
      <c r="G440" s="473">
        <v>271000</v>
      </c>
      <c r="H440" s="466">
        <f t="shared" si="11"/>
        <v>1626000</v>
      </c>
      <c r="I440" s="474" t="s">
        <v>1385</v>
      </c>
      <c r="J440" s="67"/>
      <c r="K440" s="67"/>
      <c r="L440" s="67"/>
    </row>
    <row r="441" spans="1:12" s="50" customFormat="1" ht="18.75" customHeight="1" x14ac:dyDescent="0.4">
      <c r="A441" s="559">
        <v>46100</v>
      </c>
      <c r="B441" s="560" t="s">
        <v>140</v>
      </c>
      <c r="C441" s="561" t="s">
        <v>476</v>
      </c>
      <c r="D441" s="562" t="s">
        <v>477</v>
      </c>
      <c r="E441" s="562" t="s">
        <v>11</v>
      </c>
      <c r="F441" s="563">
        <v>1</v>
      </c>
      <c r="G441" s="563">
        <v>271000</v>
      </c>
      <c r="H441" s="466">
        <f t="shared" si="11"/>
        <v>271000</v>
      </c>
      <c r="I441" s="474" t="s">
        <v>1385</v>
      </c>
      <c r="J441" s="67"/>
      <c r="K441" s="67"/>
      <c r="L441" s="67" t="s">
        <v>1068</v>
      </c>
    </row>
    <row r="442" spans="1:12" s="50" customFormat="1" ht="18.75" customHeight="1" x14ac:dyDescent="0.4">
      <c r="A442" s="559">
        <v>46065</v>
      </c>
      <c r="B442" s="560" t="s">
        <v>140</v>
      </c>
      <c r="C442" s="561" t="s">
        <v>554</v>
      </c>
      <c r="D442" s="562" t="s">
        <v>245</v>
      </c>
      <c r="E442" s="562" t="s">
        <v>13</v>
      </c>
      <c r="F442" s="563">
        <v>6</v>
      </c>
      <c r="G442" s="466">
        <v>630500</v>
      </c>
      <c r="H442" s="466">
        <f t="shared" si="11"/>
        <v>3783000</v>
      </c>
      <c r="I442" s="474" t="s">
        <v>1385</v>
      </c>
      <c r="J442" s="67"/>
      <c r="K442" s="67"/>
      <c r="L442" s="67"/>
    </row>
    <row r="443" spans="1:12" s="50" customFormat="1" ht="18.75" customHeight="1" x14ac:dyDescent="0.4">
      <c r="A443" s="559">
        <v>46073</v>
      </c>
      <c r="B443" s="471" t="s">
        <v>140</v>
      </c>
      <c r="C443" s="561" t="s">
        <v>554</v>
      </c>
      <c r="D443" s="562" t="s">
        <v>245</v>
      </c>
      <c r="E443" s="562" t="s">
        <v>13</v>
      </c>
      <c r="F443" s="563">
        <v>4</v>
      </c>
      <c r="G443" s="466">
        <v>630500</v>
      </c>
      <c r="H443" s="466">
        <f t="shared" si="11"/>
        <v>2522000</v>
      </c>
      <c r="I443" s="474" t="s">
        <v>1385</v>
      </c>
      <c r="J443" s="67"/>
      <c r="K443" s="67"/>
      <c r="L443" s="67"/>
    </row>
    <row r="444" spans="1:12" s="50" customFormat="1" ht="18.75" customHeight="1" x14ac:dyDescent="0.4">
      <c r="A444" s="559">
        <v>46077</v>
      </c>
      <c r="B444" s="471" t="s">
        <v>140</v>
      </c>
      <c r="C444" s="561" t="s">
        <v>554</v>
      </c>
      <c r="D444" s="562" t="s">
        <v>245</v>
      </c>
      <c r="E444" s="562" t="s">
        <v>13</v>
      </c>
      <c r="F444" s="563">
        <v>5</v>
      </c>
      <c r="G444" s="466">
        <v>630500</v>
      </c>
      <c r="H444" s="466">
        <f t="shared" si="11"/>
        <v>3152500</v>
      </c>
      <c r="I444" s="474" t="s">
        <v>1385</v>
      </c>
      <c r="J444" s="67"/>
      <c r="K444" s="67"/>
      <c r="L444" s="67"/>
    </row>
    <row r="445" spans="1:12" s="50" customFormat="1" ht="18.75" customHeight="1" x14ac:dyDescent="0.4">
      <c r="A445" s="559">
        <v>46084</v>
      </c>
      <c r="B445" s="560" t="s">
        <v>140</v>
      </c>
      <c r="C445" s="561" t="s">
        <v>554</v>
      </c>
      <c r="D445" s="562" t="s">
        <v>245</v>
      </c>
      <c r="E445" s="562" t="s">
        <v>13</v>
      </c>
      <c r="F445" s="563">
        <v>6</v>
      </c>
      <c r="G445" s="466">
        <v>630500</v>
      </c>
      <c r="H445" s="466">
        <f t="shared" si="11"/>
        <v>3783000</v>
      </c>
      <c r="I445" s="474" t="s">
        <v>1385</v>
      </c>
      <c r="J445" s="67"/>
      <c r="K445" s="67"/>
      <c r="L445" s="67" t="s">
        <v>1068</v>
      </c>
    </row>
    <row r="446" spans="1:12" s="50" customFormat="1" ht="18.75" customHeight="1" x14ac:dyDescent="0.4">
      <c r="A446" s="559">
        <v>46091</v>
      </c>
      <c r="B446" s="560" t="s">
        <v>140</v>
      </c>
      <c r="C446" s="561" t="s">
        <v>554</v>
      </c>
      <c r="D446" s="562" t="s">
        <v>779</v>
      </c>
      <c r="E446" s="562" t="s">
        <v>13</v>
      </c>
      <c r="F446" s="563">
        <v>2</v>
      </c>
      <c r="G446" s="466">
        <v>630500</v>
      </c>
      <c r="H446" s="466">
        <f t="shared" si="11"/>
        <v>1261000</v>
      </c>
      <c r="I446" s="474" t="s">
        <v>1385</v>
      </c>
      <c r="J446" s="67"/>
      <c r="K446" s="67"/>
      <c r="L446" s="67" t="s">
        <v>1068</v>
      </c>
    </row>
    <row r="447" spans="1:12" s="50" customFormat="1" ht="18.75" customHeight="1" x14ac:dyDescent="0.4">
      <c r="A447" s="559">
        <v>46101</v>
      </c>
      <c r="B447" s="560" t="s">
        <v>140</v>
      </c>
      <c r="C447" s="561" t="s">
        <v>554</v>
      </c>
      <c r="D447" s="562" t="s">
        <v>245</v>
      </c>
      <c r="E447" s="562" t="s">
        <v>13</v>
      </c>
      <c r="F447" s="563">
        <v>11</v>
      </c>
      <c r="G447" s="563">
        <v>630500</v>
      </c>
      <c r="H447" s="466">
        <f t="shared" si="11"/>
        <v>6935500</v>
      </c>
      <c r="I447" s="474" t="s">
        <v>1385</v>
      </c>
      <c r="J447" s="67"/>
      <c r="K447" s="67"/>
      <c r="L447" s="493" t="s">
        <v>1068</v>
      </c>
    </row>
    <row r="448" spans="1:12" s="50" customFormat="1" ht="18.75" customHeight="1" x14ac:dyDescent="0.4">
      <c r="A448" s="559">
        <v>46060</v>
      </c>
      <c r="B448" s="471" t="s">
        <v>140</v>
      </c>
      <c r="C448" s="470" t="s">
        <v>771</v>
      </c>
      <c r="D448" s="471" t="s">
        <v>772</v>
      </c>
      <c r="E448" s="471" t="s">
        <v>13</v>
      </c>
      <c r="F448" s="472">
        <v>2</v>
      </c>
      <c r="G448" s="473">
        <v>633000</v>
      </c>
      <c r="H448" s="466">
        <f t="shared" si="11"/>
        <v>1266000</v>
      </c>
      <c r="I448" s="474" t="s">
        <v>1385</v>
      </c>
      <c r="J448" s="67"/>
      <c r="K448" s="67"/>
      <c r="L448" s="67"/>
    </row>
    <row r="449" spans="1:13" s="50" customFormat="1" ht="18.75" customHeight="1" x14ac:dyDescent="0.4">
      <c r="A449" s="559">
        <v>46065</v>
      </c>
      <c r="B449" s="471" t="s">
        <v>140</v>
      </c>
      <c r="C449" s="470" t="s">
        <v>771</v>
      </c>
      <c r="D449" s="471" t="s">
        <v>772</v>
      </c>
      <c r="E449" s="471" t="s">
        <v>13</v>
      </c>
      <c r="F449" s="472">
        <v>1</v>
      </c>
      <c r="G449" s="473">
        <v>633000</v>
      </c>
      <c r="H449" s="466">
        <f t="shared" si="11"/>
        <v>633000</v>
      </c>
      <c r="I449" s="474" t="s">
        <v>1385</v>
      </c>
      <c r="J449" s="67"/>
      <c r="K449" s="67"/>
      <c r="L449" s="67"/>
    </row>
    <row r="450" spans="1:13" s="50" customFormat="1" ht="18.75" customHeight="1" x14ac:dyDescent="0.4">
      <c r="A450" s="559">
        <v>46073</v>
      </c>
      <c r="B450" s="471" t="s">
        <v>140</v>
      </c>
      <c r="C450" s="470" t="s">
        <v>771</v>
      </c>
      <c r="D450" s="471" t="s">
        <v>772</v>
      </c>
      <c r="E450" s="471" t="s">
        <v>13</v>
      </c>
      <c r="F450" s="472">
        <v>3</v>
      </c>
      <c r="G450" s="473">
        <v>633000</v>
      </c>
      <c r="H450" s="466">
        <f t="shared" si="11"/>
        <v>1899000</v>
      </c>
      <c r="I450" s="474" t="s">
        <v>1385</v>
      </c>
      <c r="J450" s="67"/>
      <c r="K450" s="67"/>
      <c r="L450" s="67"/>
    </row>
    <row r="451" spans="1:13" s="50" customFormat="1" ht="18.75" customHeight="1" x14ac:dyDescent="0.4">
      <c r="A451" s="559">
        <v>46077</v>
      </c>
      <c r="B451" s="471" t="s">
        <v>140</v>
      </c>
      <c r="C451" s="470" t="s">
        <v>771</v>
      </c>
      <c r="D451" s="471" t="s">
        <v>772</v>
      </c>
      <c r="E451" s="471" t="s">
        <v>13</v>
      </c>
      <c r="F451" s="472">
        <v>3</v>
      </c>
      <c r="G451" s="473">
        <v>633000</v>
      </c>
      <c r="H451" s="466">
        <f t="shared" si="11"/>
        <v>1899000</v>
      </c>
      <c r="I451" s="474" t="s">
        <v>1385</v>
      </c>
      <c r="J451" s="67"/>
      <c r="K451" s="67"/>
      <c r="L451" s="67"/>
    </row>
    <row r="452" spans="1:13" s="50" customFormat="1" ht="18.75" customHeight="1" x14ac:dyDescent="0.4">
      <c r="A452" s="559">
        <v>46080</v>
      </c>
      <c r="B452" s="471" t="s">
        <v>140</v>
      </c>
      <c r="C452" s="470" t="s">
        <v>771</v>
      </c>
      <c r="D452" s="471" t="s">
        <v>772</v>
      </c>
      <c r="E452" s="471" t="s">
        <v>13</v>
      </c>
      <c r="F452" s="472">
        <v>2</v>
      </c>
      <c r="G452" s="473">
        <v>633000</v>
      </c>
      <c r="H452" s="466">
        <f t="shared" ref="H452:H469" si="12">F452*G452</f>
        <v>1266000</v>
      </c>
      <c r="I452" s="474" t="s">
        <v>1385</v>
      </c>
      <c r="J452" s="67"/>
      <c r="K452" s="67"/>
      <c r="L452" s="67"/>
    </row>
    <row r="453" spans="1:13" s="113" customFormat="1" ht="20.25" customHeight="1" x14ac:dyDescent="0.4">
      <c r="A453" s="555"/>
      <c r="B453" s="466" t="s">
        <v>140</v>
      </c>
      <c r="C453" s="470" t="s">
        <v>540</v>
      </c>
      <c r="D453" s="471" t="s">
        <v>541</v>
      </c>
      <c r="E453" s="471" t="s">
        <v>13</v>
      </c>
      <c r="F453" s="472">
        <v>3</v>
      </c>
      <c r="G453" s="472">
        <v>102000</v>
      </c>
      <c r="H453" s="473">
        <f t="shared" si="12"/>
        <v>306000</v>
      </c>
      <c r="I453" s="474" t="s">
        <v>1385</v>
      </c>
      <c r="J453" s="111"/>
      <c r="K453" s="111"/>
      <c r="L453" s="25"/>
    </row>
    <row r="454" spans="1:13" s="3" customFormat="1" ht="19.5" customHeight="1" x14ac:dyDescent="0.4">
      <c r="A454" s="556">
        <v>46030</v>
      </c>
      <c r="B454" s="471" t="s">
        <v>140</v>
      </c>
      <c r="C454" s="470" t="s">
        <v>643</v>
      </c>
      <c r="D454" s="471" t="s">
        <v>644</v>
      </c>
      <c r="E454" s="471" t="s">
        <v>13</v>
      </c>
      <c r="F454" s="472">
        <v>1</v>
      </c>
      <c r="G454" s="473">
        <v>202000</v>
      </c>
      <c r="H454" s="466">
        <f t="shared" si="12"/>
        <v>202000</v>
      </c>
      <c r="I454" s="474" t="s">
        <v>1385</v>
      </c>
      <c r="J454" s="144"/>
      <c r="K454" s="144"/>
      <c r="L454" s="144"/>
      <c r="M454" s="89"/>
    </row>
    <row r="455" spans="1:13" s="3" customFormat="1" ht="19.5" customHeight="1" x14ac:dyDescent="0.4">
      <c r="A455" s="556">
        <v>46052</v>
      </c>
      <c r="B455" s="471" t="s">
        <v>140</v>
      </c>
      <c r="C455" s="470" t="s">
        <v>552</v>
      </c>
      <c r="D455" s="471" t="s">
        <v>776</v>
      </c>
      <c r="E455" s="471" t="s">
        <v>13</v>
      </c>
      <c r="F455" s="472">
        <v>1</v>
      </c>
      <c r="G455" s="473">
        <v>202000</v>
      </c>
      <c r="H455" s="466">
        <f t="shared" si="12"/>
        <v>202000</v>
      </c>
      <c r="I455" s="474" t="s">
        <v>1385</v>
      </c>
      <c r="J455" s="196"/>
      <c r="K455" s="196"/>
      <c r="L455" s="196"/>
      <c r="M455" s="89"/>
    </row>
    <row r="456" spans="1:13" s="50" customFormat="1" ht="18.600000000000001" customHeight="1" x14ac:dyDescent="0.4">
      <c r="A456" s="559">
        <v>46057</v>
      </c>
      <c r="B456" s="471" t="s">
        <v>140</v>
      </c>
      <c r="C456" s="470" t="s">
        <v>552</v>
      </c>
      <c r="D456" s="471" t="s">
        <v>776</v>
      </c>
      <c r="E456" s="471" t="s">
        <v>13</v>
      </c>
      <c r="F456" s="472">
        <v>11</v>
      </c>
      <c r="G456" s="473">
        <v>202000</v>
      </c>
      <c r="H456" s="466">
        <f t="shared" si="12"/>
        <v>2222000</v>
      </c>
      <c r="I456" s="474" t="s">
        <v>1385</v>
      </c>
      <c r="J456" s="67"/>
      <c r="K456" s="67"/>
      <c r="L456" s="67"/>
    </row>
    <row r="457" spans="1:13" s="50" customFormat="1" ht="18.75" customHeight="1" x14ac:dyDescent="0.4">
      <c r="A457" s="559">
        <v>46077</v>
      </c>
      <c r="B457" s="471" t="s">
        <v>140</v>
      </c>
      <c r="C457" s="470" t="s">
        <v>552</v>
      </c>
      <c r="D457" s="471" t="s">
        <v>776</v>
      </c>
      <c r="E457" s="471" t="s">
        <v>13</v>
      </c>
      <c r="F457" s="472">
        <v>10</v>
      </c>
      <c r="G457" s="473">
        <v>202000</v>
      </c>
      <c r="H457" s="466">
        <f t="shared" si="12"/>
        <v>2020000</v>
      </c>
      <c r="I457" s="474" t="s">
        <v>1385</v>
      </c>
      <c r="J457" s="67"/>
      <c r="K457" s="67"/>
      <c r="L457" s="67"/>
    </row>
    <row r="458" spans="1:13" s="50" customFormat="1" ht="18.75" customHeight="1" x14ac:dyDescent="0.4">
      <c r="A458" s="559">
        <v>46101</v>
      </c>
      <c r="B458" s="560" t="s">
        <v>140</v>
      </c>
      <c r="C458" s="561" t="s">
        <v>552</v>
      </c>
      <c r="D458" s="562" t="s">
        <v>243</v>
      </c>
      <c r="E458" s="562" t="s">
        <v>13</v>
      </c>
      <c r="F458" s="563">
        <v>8</v>
      </c>
      <c r="G458" s="563">
        <v>202000</v>
      </c>
      <c r="H458" s="466">
        <f t="shared" si="12"/>
        <v>1616000</v>
      </c>
      <c r="I458" s="474" t="s">
        <v>1385</v>
      </c>
      <c r="J458" s="67"/>
      <c r="K458" s="67"/>
      <c r="L458" s="493" t="s">
        <v>1068</v>
      </c>
    </row>
    <row r="459" spans="1:13" s="3" customFormat="1" ht="18.75" customHeight="1" x14ac:dyDescent="0.4">
      <c r="A459" s="556">
        <v>46114</v>
      </c>
      <c r="B459" s="471" t="s">
        <v>140</v>
      </c>
      <c r="C459" s="470" t="s">
        <v>552</v>
      </c>
      <c r="D459" s="471" t="s">
        <v>243</v>
      </c>
      <c r="E459" s="471" t="s">
        <v>13</v>
      </c>
      <c r="F459" s="564">
        <v>1</v>
      </c>
      <c r="G459" s="565">
        <v>202000</v>
      </c>
      <c r="H459" s="466">
        <f t="shared" si="12"/>
        <v>202000</v>
      </c>
      <c r="I459" s="474" t="s">
        <v>1385</v>
      </c>
      <c r="J459" s="534"/>
      <c r="K459" s="144"/>
      <c r="L459" s="144"/>
      <c r="M459" s="89"/>
    </row>
    <row r="460" spans="1:13" s="113" customFormat="1" ht="20.25" customHeight="1" x14ac:dyDescent="0.4">
      <c r="A460" s="501"/>
      <c r="B460" s="7" t="s">
        <v>140</v>
      </c>
      <c r="C460" s="29" t="s">
        <v>555</v>
      </c>
      <c r="D460" s="110" t="s">
        <v>248</v>
      </c>
      <c r="E460" s="110" t="s">
        <v>13</v>
      </c>
      <c r="F460" s="81">
        <v>3</v>
      </c>
      <c r="G460" s="81">
        <v>227500</v>
      </c>
      <c r="H460" s="49">
        <f t="shared" si="12"/>
        <v>682500</v>
      </c>
      <c r="I460" s="111" t="s">
        <v>1382</v>
      </c>
      <c r="J460" s="111"/>
      <c r="K460" s="111"/>
      <c r="L460" s="25"/>
    </row>
    <row r="461" spans="1:13" s="113" customFormat="1" ht="20.25" customHeight="1" x14ac:dyDescent="0.4">
      <c r="A461" s="501"/>
      <c r="B461" s="7" t="s">
        <v>140</v>
      </c>
      <c r="C461" s="29" t="s">
        <v>595</v>
      </c>
      <c r="D461" s="110" t="s">
        <v>247</v>
      </c>
      <c r="E461" s="110" t="s">
        <v>13</v>
      </c>
      <c r="F461" s="81">
        <v>3</v>
      </c>
      <c r="G461" s="81">
        <v>56100</v>
      </c>
      <c r="H461" s="49">
        <f t="shared" si="12"/>
        <v>168300</v>
      </c>
      <c r="I461" s="111" t="s">
        <v>1382</v>
      </c>
      <c r="J461" s="111" t="s">
        <v>598</v>
      </c>
      <c r="K461" s="111"/>
      <c r="L461" s="25"/>
    </row>
    <row r="462" spans="1:13" s="113" customFormat="1" ht="20.25" customHeight="1" x14ac:dyDescent="0.4">
      <c r="A462" s="501"/>
      <c r="B462" s="7" t="s">
        <v>140</v>
      </c>
      <c r="C462" s="29" t="s">
        <v>474</v>
      </c>
      <c r="D462" s="110" t="s">
        <v>475</v>
      </c>
      <c r="E462" s="110" t="s">
        <v>11</v>
      </c>
      <c r="F462" s="81">
        <v>10</v>
      </c>
      <c r="G462" s="81">
        <v>652000</v>
      </c>
      <c r="H462" s="49">
        <f t="shared" si="12"/>
        <v>6520000</v>
      </c>
      <c r="I462" s="111" t="s">
        <v>1382</v>
      </c>
      <c r="J462" s="111"/>
      <c r="K462" s="111"/>
      <c r="L462" s="25"/>
    </row>
    <row r="463" spans="1:13" s="113" customFormat="1" ht="20.25" customHeight="1" x14ac:dyDescent="0.4">
      <c r="A463" s="501"/>
      <c r="B463" s="7" t="s">
        <v>140</v>
      </c>
      <c r="C463" s="29" t="s">
        <v>540</v>
      </c>
      <c r="D463" s="110" t="s">
        <v>541</v>
      </c>
      <c r="E463" s="110" t="s">
        <v>13</v>
      </c>
      <c r="F463" s="81">
        <v>3</v>
      </c>
      <c r="G463" s="81">
        <v>102000</v>
      </c>
      <c r="H463" s="49">
        <f t="shared" si="12"/>
        <v>306000</v>
      </c>
      <c r="I463" s="111" t="s">
        <v>1382</v>
      </c>
      <c r="J463" s="111"/>
      <c r="K463" s="111"/>
      <c r="L463" s="25"/>
    </row>
    <row r="464" spans="1:13" s="113" customFormat="1" ht="20.25" customHeight="1" x14ac:dyDescent="0.4">
      <c r="A464" s="501"/>
      <c r="B464" s="7" t="s">
        <v>140</v>
      </c>
      <c r="C464" s="29" t="s">
        <v>540</v>
      </c>
      <c r="D464" s="110" t="s">
        <v>541</v>
      </c>
      <c r="E464" s="110" t="s">
        <v>13</v>
      </c>
      <c r="F464" s="81">
        <v>7</v>
      </c>
      <c r="G464" s="81">
        <v>102000</v>
      </c>
      <c r="H464" s="49">
        <f t="shared" si="12"/>
        <v>714000</v>
      </c>
      <c r="I464" s="111" t="s">
        <v>1382</v>
      </c>
      <c r="J464" s="111"/>
      <c r="K464" s="111"/>
      <c r="L464" s="25"/>
    </row>
    <row r="465" spans="1:13" s="50" customFormat="1" ht="18.75" customHeight="1" x14ac:dyDescent="0.4">
      <c r="A465" s="485">
        <v>46064</v>
      </c>
      <c r="B465" s="110" t="s">
        <v>140</v>
      </c>
      <c r="C465" s="29" t="s">
        <v>580</v>
      </c>
      <c r="D465" s="110" t="s">
        <v>780</v>
      </c>
      <c r="E465" s="110" t="s">
        <v>13</v>
      </c>
      <c r="F465" s="81">
        <v>2</v>
      </c>
      <c r="G465" s="81">
        <v>984000</v>
      </c>
      <c r="H465" s="7">
        <f>F465*G465</f>
        <v>1968000</v>
      </c>
      <c r="I465" s="111" t="s">
        <v>1382</v>
      </c>
      <c r="J465" s="67"/>
      <c r="K465" s="67"/>
      <c r="L465" s="67"/>
    </row>
    <row r="466" spans="1:13" s="261" customFormat="1" ht="19.2" customHeight="1" x14ac:dyDescent="0.4">
      <c r="A466" s="501">
        <v>45993</v>
      </c>
      <c r="B466" s="275" t="s">
        <v>140</v>
      </c>
      <c r="C466" s="259" t="s">
        <v>1239</v>
      </c>
      <c r="D466" s="257" t="s">
        <v>475</v>
      </c>
      <c r="E466" s="257" t="s">
        <v>11</v>
      </c>
      <c r="F466" s="259">
        <v>3</v>
      </c>
      <c r="G466" s="259">
        <v>652000</v>
      </c>
      <c r="H466" s="259">
        <f t="shared" si="12"/>
        <v>1956000</v>
      </c>
      <c r="I466" s="111" t="s">
        <v>1382</v>
      </c>
      <c r="J466" s="258"/>
      <c r="K466" s="258"/>
      <c r="L466" s="258"/>
    </row>
    <row r="467" spans="1:13" s="261" customFormat="1" ht="19.5" customHeight="1" x14ac:dyDescent="0.4">
      <c r="A467" s="501">
        <v>45993</v>
      </c>
      <c r="B467" s="275" t="s">
        <v>140</v>
      </c>
      <c r="C467" s="259" t="s">
        <v>553</v>
      </c>
      <c r="D467" s="257" t="s">
        <v>244</v>
      </c>
      <c r="E467" s="257" t="s">
        <v>13</v>
      </c>
      <c r="F467" s="476">
        <v>2</v>
      </c>
      <c r="G467" s="259">
        <v>973200</v>
      </c>
      <c r="H467" s="259">
        <f t="shared" si="12"/>
        <v>1946400</v>
      </c>
      <c r="I467" s="111" t="s">
        <v>1382</v>
      </c>
      <c r="J467" s="258"/>
      <c r="K467" s="258"/>
      <c r="L467" s="258"/>
    </row>
    <row r="468" spans="1:13" s="261" customFormat="1" ht="19.5" customHeight="1" x14ac:dyDescent="0.4">
      <c r="A468" s="501">
        <v>45993</v>
      </c>
      <c r="B468" s="275" t="s">
        <v>140</v>
      </c>
      <c r="C468" s="259" t="s">
        <v>553</v>
      </c>
      <c r="D468" s="257" t="s">
        <v>244</v>
      </c>
      <c r="E468" s="257" t="s">
        <v>13</v>
      </c>
      <c r="F468" s="259">
        <v>1</v>
      </c>
      <c r="G468" s="259">
        <v>973200</v>
      </c>
      <c r="H468" s="259">
        <f t="shared" si="12"/>
        <v>973200</v>
      </c>
      <c r="I468" s="111" t="s">
        <v>1382</v>
      </c>
      <c r="J468" s="258"/>
      <c r="K468" s="258"/>
      <c r="L468" s="258"/>
    </row>
    <row r="469" spans="1:13" s="261" customFormat="1" ht="19.5" customHeight="1" x14ac:dyDescent="0.4">
      <c r="A469" s="501">
        <v>46009</v>
      </c>
      <c r="B469" s="275" t="s">
        <v>140</v>
      </c>
      <c r="C469" s="259" t="s">
        <v>580</v>
      </c>
      <c r="D469" s="257" t="s">
        <v>581</v>
      </c>
      <c r="E469" s="257" t="s">
        <v>13</v>
      </c>
      <c r="F469" s="259">
        <v>6</v>
      </c>
      <c r="G469" s="259">
        <v>984000</v>
      </c>
      <c r="H469" s="256">
        <f t="shared" si="12"/>
        <v>5904000</v>
      </c>
      <c r="I469" s="111" t="s">
        <v>1382</v>
      </c>
      <c r="J469" s="258"/>
      <c r="K469" s="258"/>
      <c r="L469" s="258"/>
    </row>
    <row r="470" spans="1:13" s="3" customFormat="1" ht="19.5" customHeight="1" x14ac:dyDescent="0.4">
      <c r="A470" s="482">
        <v>46038</v>
      </c>
      <c r="B470" s="110" t="s">
        <v>140</v>
      </c>
      <c r="C470" s="29" t="s">
        <v>580</v>
      </c>
      <c r="D470" s="110" t="s">
        <v>581</v>
      </c>
      <c r="E470" s="110" t="s">
        <v>13</v>
      </c>
      <c r="F470" s="81">
        <v>2</v>
      </c>
      <c r="G470" s="81">
        <v>984000</v>
      </c>
      <c r="H470" s="8">
        <f t="shared" ref="H470:H480" si="13">F470*G470</f>
        <v>1968000</v>
      </c>
      <c r="I470" s="111" t="s">
        <v>1382</v>
      </c>
      <c r="J470" s="196"/>
      <c r="K470" s="196"/>
      <c r="L470" s="196"/>
      <c r="M470" s="89"/>
    </row>
    <row r="471" spans="1:13" s="3" customFormat="1" ht="19.5" customHeight="1" x14ac:dyDescent="0.4">
      <c r="A471" s="482">
        <v>46052</v>
      </c>
      <c r="B471" s="110" t="s">
        <v>140</v>
      </c>
      <c r="C471" s="29" t="s">
        <v>473</v>
      </c>
      <c r="D471" s="110" t="s">
        <v>777</v>
      </c>
      <c r="E471" s="110" t="s">
        <v>13</v>
      </c>
      <c r="F471" s="81">
        <v>6</v>
      </c>
      <c r="G471" s="49">
        <v>393500</v>
      </c>
      <c r="H471" s="7">
        <f t="shared" si="13"/>
        <v>2361000</v>
      </c>
      <c r="I471" s="111" t="s">
        <v>1382</v>
      </c>
      <c r="J471" s="196"/>
      <c r="K471" s="196"/>
      <c r="L471" s="196"/>
      <c r="M471" s="89"/>
    </row>
    <row r="472" spans="1:13" s="50" customFormat="1" ht="18.75" customHeight="1" x14ac:dyDescent="0.4">
      <c r="A472" s="485">
        <v>46057</v>
      </c>
      <c r="B472" s="110" t="s">
        <v>140</v>
      </c>
      <c r="C472" s="29" t="s">
        <v>580</v>
      </c>
      <c r="D472" s="110" t="s">
        <v>780</v>
      </c>
      <c r="E472" s="110" t="s">
        <v>13</v>
      </c>
      <c r="F472" s="81">
        <v>2</v>
      </c>
      <c r="G472" s="81">
        <v>984000</v>
      </c>
      <c r="H472" s="7">
        <f t="shared" si="13"/>
        <v>1968000</v>
      </c>
      <c r="I472" s="111" t="s">
        <v>1382</v>
      </c>
      <c r="J472" s="67"/>
      <c r="K472" s="67"/>
      <c r="L472" s="67"/>
    </row>
    <row r="473" spans="1:13" s="50" customFormat="1" ht="18.75" customHeight="1" x14ac:dyDescent="0.4">
      <c r="A473" s="485">
        <v>46057</v>
      </c>
      <c r="B473" s="110" t="s">
        <v>140</v>
      </c>
      <c r="C473" s="29" t="s">
        <v>773</v>
      </c>
      <c r="D473" s="110" t="s">
        <v>774</v>
      </c>
      <c r="E473" s="110" t="s">
        <v>775</v>
      </c>
      <c r="F473" s="81">
        <v>2</v>
      </c>
      <c r="G473" s="49">
        <v>69700</v>
      </c>
      <c r="H473" s="7">
        <f t="shared" si="13"/>
        <v>139400</v>
      </c>
      <c r="I473" s="111" t="s">
        <v>1382</v>
      </c>
      <c r="J473" s="67"/>
      <c r="K473" s="67"/>
      <c r="L473" s="67"/>
    </row>
    <row r="474" spans="1:13" s="50" customFormat="1" ht="18.75" customHeight="1" x14ac:dyDescent="0.4">
      <c r="A474" s="485">
        <v>46058</v>
      </c>
      <c r="B474" s="110" t="s">
        <v>140</v>
      </c>
      <c r="C474" s="29" t="s">
        <v>580</v>
      </c>
      <c r="D474" s="110" t="s">
        <v>780</v>
      </c>
      <c r="E474" s="110" t="s">
        <v>13</v>
      </c>
      <c r="F474" s="81">
        <v>4</v>
      </c>
      <c r="G474" s="81">
        <v>984000</v>
      </c>
      <c r="H474" s="7">
        <f t="shared" si="13"/>
        <v>3936000</v>
      </c>
      <c r="I474" s="111" t="s">
        <v>1382</v>
      </c>
      <c r="J474" s="67"/>
      <c r="K474" s="67"/>
      <c r="L474" s="67"/>
    </row>
    <row r="475" spans="1:13" s="50" customFormat="1" ht="18.75" customHeight="1" x14ac:dyDescent="0.4">
      <c r="A475" s="485">
        <v>46058</v>
      </c>
      <c r="B475" s="110" t="s">
        <v>140</v>
      </c>
      <c r="C475" s="29" t="s">
        <v>473</v>
      </c>
      <c r="D475" s="110" t="s">
        <v>777</v>
      </c>
      <c r="E475" s="110" t="s">
        <v>13</v>
      </c>
      <c r="F475" s="81">
        <v>1</v>
      </c>
      <c r="G475" s="49">
        <v>393500</v>
      </c>
      <c r="H475" s="7">
        <f t="shared" si="13"/>
        <v>393500</v>
      </c>
      <c r="I475" s="111" t="s">
        <v>1382</v>
      </c>
      <c r="J475" s="67"/>
      <c r="K475" s="67"/>
      <c r="L475" s="67"/>
    </row>
    <row r="476" spans="1:13" s="50" customFormat="1" ht="18.75" customHeight="1" x14ac:dyDescent="0.4">
      <c r="A476" s="485">
        <v>46076</v>
      </c>
      <c r="B476" s="110" t="s">
        <v>140</v>
      </c>
      <c r="C476" s="29" t="s">
        <v>540</v>
      </c>
      <c r="D476" s="110" t="s">
        <v>541</v>
      </c>
      <c r="E476" s="110" t="s">
        <v>343</v>
      </c>
      <c r="F476" s="81">
        <v>4</v>
      </c>
      <c r="G476" s="49">
        <v>102000</v>
      </c>
      <c r="H476" s="7">
        <f t="shared" si="13"/>
        <v>408000</v>
      </c>
      <c r="I476" s="111" t="s">
        <v>1382</v>
      </c>
      <c r="J476" s="67"/>
      <c r="K476" s="67"/>
      <c r="L476" s="67"/>
    </row>
    <row r="477" spans="1:13" s="50" customFormat="1" ht="18.75" customHeight="1" x14ac:dyDescent="0.4">
      <c r="A477" s="485">
        <v>46076</v>
      </c>
      <c r="B477" s="110" t="s">
        <v>140</v>
      </c>
      <c r="C477" s="29" t="s">
        <v>474</v>
      </c>
      <c r="D477" s="110" t="s">
        <v>475</v>
      </c>
      <c r="E477" s="110" t="s">
        <v>11</v>
      </c>
      <c r="F477" s="81">
        <v>6</v>
      </c>
      <c r="G477" s="49">
        <v>652000</v>
      </c>
      <c r="H477" s="7">
        <f t="shared" si="13"/>
        <v>3912000</v>
      </c>
      <c r="I477" s="111" t="s">
        <v>1382</v>
      </c>
      <c r="J477" s="67"/>
      <c r="K477" s="67"/>
      <c r="L477" s="67"/>
    </row>
    <row r="478" spans="1:13" s="50" customFormat="1" ht="18.75" customHeight="1" x14ac:dyDescent="0.4">
      <c r="A478" s="485">
        <v>46077</v>
      </c>
      <c r="B478" s="110" t="s">
        <v>140</v>
      </c>
      <c r="C478" s="29" t="s">
        <v>773</v>
      </c>
      <c r="D478" s="110" t="s">
        <v>774</v>
      </c>
      <c r="E478" s="110" t="s">
        <v>775</v>
      </c>
      <c r="F478" s="81">
        <v>10</v>
      </c>
      <c r="G478" s="49">
        <v>69700</v>
      </c>
      <c r="H478" s="7">
        <f t="shared" si="13"/>
        <v>697000</v>
      </c>
      <c r="I478" s="111" t="s">
        <v>1382</v>
      </c>
      <c r="J478" s="67"/>
      <c r="K478" s="67"/>
      <c r="L478" s="67"/>
    </row>
    <row r="479" spans="1:13" s="50" customFormat="1" ht="18.75" customHeight="1" x14ac:dyDescent="0.4">
      <c r="A479" s="485">
        <v>46079</v>
      </c>
      <c r="B479" s="110" t="s">
        <v>140</v>
      </c>
      <c r="C479" s="6" t="s">
        <v>553</v>
      </c>
      <c r="D479" s="1" t="s">
        <v>244</v>
      </c>
      <c r="E479" s="1" t="s">
        <v>13</v>
      </c>
      <c r="F479" s="36">
        <v>2</v>
      </c>
      <c r="G479" s="7">
        <v>973200</v>
      </c>
      <c r="H479" s="7">
        <f t="shared" si="13"/>
        <v>1946400</v>
      </c>
      <c r="I479" s="111" t="s">
        <v>1382</v>
      </c>
      <c r="J479" s="67"/>
      <c r="K479" s="67"/>
      <c r="L479" s="67"/>
    </row>
    <row r="480" spans="1:13" s="50" customFormat="1" ht="18.75" customHeight="1" x14ac:dyDescent="0.4">
      <c r="A480" s="485">
        <v>46080</v>
      </c>
      <c r="B480" s="110" t="s">
        <v>140</v>
      </c>
      <c r="C480" s="29" t="s">
        <v>771</v>
      </c>
      <c r="D480" s="110" t="s">
        <v>772</v>
      </c>
      <c r="E480" s="110" t="s">
        <v>13</v>
      </c>
      <c r="F480" s="81">
        <v>1</v>
      </c>
      <c r="G480" s="49">
        <v>633000</v>
      </c>
      <c r="H480" s="7">
        <f t="shared" si="13"/>
        <v>633000</v>
      </c>
      <c r="I480" s="111" t="s">
        <v>1382</v>
      </c>
      <c r="J480" s="67"/>
      <c r="K480" s="67"/>
      <c r="L480" s="67"/>
    </row>
    <row r="481" spans="1:13" s="50" customFormat="1" ht="18.75" customHeight="1" x14ac:dyDescent="0.4">
      <c r="A481" s="485">
        <v>46084</v>
      </c>
      <c r="B481" s="110" t="s">
        <v>140</v>
      </c>
      <c r="C481" s="29" t="s">
        <v>771</v>
      </c>
      <c r="D481" s="110" t="s">
        <v>772</v>
      </c>
      <c r="E481" s="110" t="s">
        <v>13</v>
      </c>
      <c r="F481" s="81">
        <v>3</v>
      </c>
      <c r="G481" s="49">
        <v>633000</v>
      </c>
      <c r="H481" s="7"/>
      <c r="I481" s="111" t="s">
        <v>1382</v>
      </c>
      <c r="J481" s="67"/>
      <c r="K481" s="67"/>
      <c r="L481" s="67" t="s">
        <v>1068</v>
      </c>
    </row>
    <row r="482" spans="1:13" s="50" customFormat="1" ht="18.75" customHeight="1" x14ac:dyDescent="0.4">
      <c r="A482" s="485">
        <v>46084</v>
      </c>
      <c r="B482" s="110" t="s">
        <v>140</v>
      </c>
      <c r="C482" s="29" t="s">
        <v>473</v>
      </c>
      <c r="D482" s="110" t="s">
        <v>777</v>
      </c>
      <c r="E482" s="110" t="s">
        <v>13</v>
      </c>
      <c r="F482" s="81">
        <v>1</v>
      </c>
      <c r="G482" s="49">
        <v>393500</v>
      </c>
      <c r="H482" s="7">
        <f t="shared" ref="H482:H508" si="14">F482*G482</f>
        <v>393500</v>
      </c>
      <c r="I482" s="111" t="s">
        <v>1382</v>
      </c>
      <c r="J482" s="67"/>
      <c r="K482" s="67"/>
      <c r="L482" s="67" t="s">
        <v>1068</v>
      </c>
    </row>
    <row r="483" spans="1:13" s="50" customFormat="1" ht="18.75" customHeight="1" x14ac:dyDescent="0.4">
      <c r="A483" s="485">
        <v>46084</v>
      </c>
      <c r="B483" s="5" t="s">
        <v>140</v>
      </c>
      <c r="C483" s="6" t="s">
        <v>553</v>
      </c>
      <c r="D483" s="1" t="s">
        <v>244</v>
      </c>
      <c r="E483" s="1" t="s">
        <v>13</v>
      </c>
      <c r="F483" s="36">
        <v>5</v>
      </c>
      <c r="G483" s="7">
        <v>973200</v>
      </c>
      <c r="H483" s="7">
        <f t="shared" si="14"/>
        <v>4866000</v>
      </c>
      <c r="I483" s="111" t="s">
        <v>1382</v>
      </c>
      <c r="J483" s="67"/>
      <c r="K483" s="67"/>
      <c r="L483" s="67" t="s">
        <v>1068</v>
      </c>
    </row>
    <row r="484" spans="1:13" s="50" customFormat="1" ht="18.75" customHeight="1" x14ac:dyDescent="0.4">
      <c r="A484" s="485">
        <v>46090</v>
      </c>
      <c r="B484" s="5" t="s">
        <v>140</v>
      </c>
      <c r="C484" s="6" t="s">
        <v>553</v>
      </c>
      <c r="D484" s="1" t="s">
        <v>244</v>
      </c>
      <c r="E484" s="1" t="s">
        <v>13</v>
      </c>
      <c r="F484" s="36">
        <v>1</v>
      </c>
      <c r="G484" s="7">
        <v>973200</v>
      </c>
      <c r="H484" s="7">
        <f t="shared" si="14"/>
        <v>973200</v>
      </c>
      <c r="I484" s="111" t="s">
        <v>1382</v>
      </c>
      <c r="J484" s="67"/>
      <c r="K484" s="67"/>
      <c r="L484" s="67" t="s">
        <v>1068</v>
      </c>
    </row>
    <row r="485" spans="1:13" s="50" customFormat="1" ht="18.75" customHeight="1" x14ac:dyDescent="0.4">
      <c r="A485" s="485">
        <v>46090</v>
      </c>
      <c r="B485" s="5" t="s">
        <v>140</v>
      </c>
      <c r="C485" s="6" t="s">
        <v>771</v>
      </c>
      <c r="D485" s="1" t="s">
        <v>1137</v>
      </c>
      <c r="E485" s="1" t="s">
        <v>13</v>
      </c>
      <c r="F485" s="36">
        <v>4</v>
      </c>
      <c r="G485" s="7">
        <v>633000</v>
      </c>
      <c r="H485" s="7">
        <f t="shared" si="14"/>
        <v>2532000</v>
      </c>
      <c r="I485" s="111" t="s">
        <v>1382</v>
      </c>
      <c r="J485" s="67"/>
      <c r="K485" s="67"/>
      <c r="L485" s="67" t="s">
        <v>1068</v>
      </c>
    </row>
    <row r="486" spans="1:13" s="50" customFormat="1" ht="18.75" customHeight="1" x14ac:dyDescent="0.4">
      <c r="A486" s="485">
        <v>46100</v>
      </c>
      <c r="B486" s="5" t="s">
        <v>140</v>
      </c>
      <c r="C486" s="6" t="s">
        <v>476</v>
      </c>
      <c r="D486" s="1" t="s">
        <v>477</v>
      </c>
      <c r="E486" s="1" t="s">
        <v>11</v>
      </c>
      <c r="F486" s="36">
        <v>2</v>
      </c>
      <c r="G486" s="36">
        <v>271000</v>
      </c>
      <c r="H486" s="7">
        <f t="shared" si="14"/>
        <v>542000</v>
      </c>
      <c r="I486" s="111" t="s">
        <v>1382</v>
      </c>
      <c r="J486" s="67"/>
      <c r="K486" s="67"/>
      <c r="L486" s="67" t="s">
        <v>1068</v>
      </c>
    </row>
    <row r="487" spans="1:13" s="50" customFormat="1" ht="18.75" customHeight="1" x14ac:dyDescent="0.4">
      <c r="A487" s="485">
        <v>46101</v>
      </c>
      <c r="B487" s="5" t="s">
        <v>140</v>
      </c>
      <c r="C487" s="6" t="s">
        <v>553</v>
      </c>
      <c r="D487" s="1" t="s">
        <v>244</v>
      </c>
      <c r="E487" s="1" t="s">
        <v>13</v>
      </c>
      <c r="F487" s="36">
        <v>3</v>
      </c>
      <c r="G487" s="36">
        <v>973200</v>
      </c>
      <c r="H487" s="7">
        <f t="shared" si="14"/>
        <v>2919600</v>
      </c>
      <c r="I487" s="111" t="s">
        <v>1382</v>
      </c>
      <c r="J487" s="67"/>
      <c r="K487" s="67"/>
      <c r="L487" s="493" t="s">
        <v>1068</v>
      </c>
    </row>
    <row r="488" spans="1:13" s="50" customFormat="1" ht="18.75" customHeight="1" x14ac:dyDescent="0.4">
      <c r="A488" s="485">
        <v>46101</v>
      </c>
      <c r="B488" s="5" t="s">
        <v>140</v>
      </c>
      <c r="C488" s="6" t="s">
        <v>554</v>
      </c>
      <c r="D488" s="1" t="s">
        <v>245</v>
      </c>
      <c r="E488" s="1" t="s">
        <v>13</v>
      </c>
      <c r="F488" s="36">
        <v>2</v>
      </c>
      <c r="G488" s="36">
        <v>630500</v>
      </c>
      <c r="H488" s="7">
        <f t="shared" si="14"/>
        <v>1261000</v>
      </c>
      <c r="I488" s="111" t="s">
        <v>1382</v>
      </c>
      <c r="J488" s="67"/>
      <c r="K488" s="67"/>
      <c r="L488" s="493" t="s">
        <v>1068</v>
      </c>
    </row>
    <row r="489" spans="1:13" s="50" customFormat="1" ht="18.75" customHeight="1" x14ac:dyDescent="0.4">
      <c r="A489" s="485">
        <v>46111</v>
      </c>
      <c r="B489" s="110" t="s">
        <v>140</v>
      </c>
      <c r="C489" s="29" t="s">
        <v>474</v>
      </c>
      <c r="D489" s="110" t="s">
        <v>475</v>
      </c>
      <c r="E489" s="110" t="s">
        <v>11</v>
      </c>
      <c r="F489" s="81">
        <v>3</v>
      </c>
      <c r="G489" s="49">
        <v>652000</v>
      </c>
      <c r="H489" s="7">
        <f t="shared" si="14"/>
        <v>1956000</v>
      </c>
      <c r="I489" s="111" t="s">
        <v>1382</v>
      </c>
      <c r="J489" s="67"/>
      <c r="K489" s="67"/>
      <c r="L489" s="67" t="s">
        <v>1068</v>
      </c>
    </row>
    <row r="490" spans="1:13" s="50" customFormat="1" ht="18.75" customHeight="1" x14ac:dyDescent="0.4">
      <c r="A490" s="485">
        <v>46112</v>
      </c>
      <c r="B490" s="5" t="s">
        <v>140</v>
      </c>
      <c r="C490" s="6" t="s">
        <v>553</v>
      </c>
      <c r="D490" s="1" t="s">
        <v>244</v>
      </c>
      <c r="E490" s="1" t="s">
        <v>13</v>
      </c>
      <c r="F490" s="36">
        <v>7</v>
      </c>
      <c r="G490" s="36">
        <v>973200</v>
      </c>
      <c r="H490" s="7">
        <f t="shared" si="14"/>
        <v>6812400</v>
      </c>
      <c r="I490" s="111" t="s">
        <v>1382</v>
      </c>
      <c r="J490" s="67"/>
      <c r="K490" s="67"/>
      <c r="L490" s="494"/>
    </row>
    <row r="491" spans="1:13" s="3" customFormat="1" ht="18.75" customHeight="1" x14ac:dyDescent="0.4">
      <c r="A491" s="482">
        <v>46114</v>
      </c>
      <c r="B491" s="110" t="s">
        <v>140</v>
      </c>
      <c r="C491" s="29" t="s">
        <v>553</v>
      </c>
      <c r="D491" s="110" t="s">
        <v>244</v>
      </c>
      <c r="E491" s="110" t="s">
        <v>13</v>
      </c>
      <c r="F491" s="533">
        <v>6</v>
      </c>
      <c r="G491" s="525">
        <v>973200</v>
      </c>
      <c r="H491" s="7">
        <f t="shared" si="14"/>
        <v>5839200</v>
      </c>
      <c r="I491" s="111" t="s">
        <v>1382</v>
      </c>
      <c r="J491" s="534"/>
      <c r="K491" s="144"/>
      <c r="L491" s="144"/>
      <c r="M491" s="89"/>
    </row>
    <row r="492" spans="1:13" s="3" customFormat="1" ht="18.75" customHeight="1" x14ac:dyDescent="0.4">
      <c r="A492" s="482">
        <v>46114</v>
      </c>
      <c r="B492" s="110" t="s">
        <v>140</v>
      </c>
      <c r="C492" s="29" t="s">
        <v>552</v>
      </c>
      <c r="D492" s="110" t="s">
        <v>243</v>
      </c>
      <c r="E492" s="110" t="s">
        <v>13</v>
      </c>
      <c r="F492" s="533">
        <v>3</v>
      </c>
      <c r="G492" s="525">
        <v>202000</v>
      </c>
      <c r="H492" s="7">
        <f t="shared" si="14"/>
        <v>606000</v>
      </c>
      <c r="I492" s="111" t="s">
        <v>1382</v>
      </c>
      <c r="J492" s="534"/>
      <c r="K492" s="144"/>
      <c r="L492" s="144"/>
      <c r="M492" s="89"/>
    </row>
    <row r="493" spans="1:13" s="3" customFormat="1" ht="18.75" customHeight="1" x14ac:dyDescent="0.4">
      <c r="A493" s="482">
        <v>46115</v>
      </c>
      <c r="B493" s="110" t="s">
        <v>140</v>
      </c>
      <c r="C493" s="29" t="s">
        <v>553</v>
      </c>
      <c r="D493" s="110" t="s">
        <v>244</v>
      </c>
      <c r="E493" s="110" t="s">
        <v>13</v>
      </c>
      <c r="F493" s="533">
        <v>5</v>
      </c>
      <c r="G493" s="525">
        <v>973200</v>
      </c>
      <c r="H493" s="7">
        <f t="shared" si="14"/>
        <v>4866000</v>
      </c>
      <c r="I493" s="111" t="s">
        <v>1382</v>
      </c>
      <c r="J493" s="534"/>
      <c r="K493" s="144"/>
      <c r="L493" s="144"/>
      <c r="M493" s="89"/>
    </row>
    <row r="494" spans="1:13" s="3" customFormat="1" ht="18.75" customHeight="1" x14ac:dyDescent="0.4">
      <c r="A494" s="482">
        <v>46115</v>
      </c>
      <c r="B494" s="110" t="s">
        <v>140</v>
      </c>
      <c r="C494" s="29" t="s">
        <v>1135</v>
      </c>
      <c r="D494" s="110" t="s">
        <v>1136</v>
      </c>
      <c r="E494" s="110" t="s">
        <v>13</v>
      </c>
      <c r="F494" s="533">
        <v>8</v>
      </c>
      <c r="G494" s="525">
        <v>193500</v>
      </c>
      <c r="H494" s="7">
        <f t="shared" si="14"/>
        <v>1548000</v>
      </c>
      <c r="I494" s="111" t="s">
        <v>1382</v>
      </c>
      <c r="J494" s="534"/>
      <c r="K494" s="144"/>
      <c r="L494" s="144"/>
      <c r="M494" s="89"/>
    </row>
    <row r="495" spans="1:13" s="50" customFormat="1" ht="18.75" customHeight="1" x14ac:dyDescent="0.4">
      <c r="A495" s="482">
        <v>46115</v>
      </c>
      <c r="B495" s="5" t="s">
        <v>140</v>
      </c>
      <c r="C495" s="6" t="s">
        <v>553</v>
      </c>
      <c r="D495" s="1" t="s">
        <v>244</v>
      </c>
      <c r="E495" s="1" t="s">
        <v>13</v>
      </c>
      <c r="F495" s="36">
        <v>5</v>
      </c>
      <c r="G495" s="36">
        <v>973200</v>
      </c>
      <c r="H495" s="7">
        <f t="shared" si="14"/>
        <v>4866000</v>
      </c>
      <c r="I495" s="111" t="s">
        <v>1382</v>
      </c>
      <c r="J495" s="67"/>
      <c r="K495" s="67"/>
      <c r="L495" s="67" t="s">
        <v>1247</v>
      </c>
    </row>
    <row r="496" spans="1:13" s="50" customFormat="1" ht="18.75" customHeight="1" x14ac:dyDescent="0.4">
      <c r="A496" s="482">
        <v>46115</v>
      </c>
      <c r="B496" s="5" t="s">
        <v>140</v>
      </c>
      <c r="C496" s="6" t="s">
        <v>1135</v>
      </c>
      <c r="D496" s="1" t="s">
        <v>1136</v>
      </c>
      <c r="E496" s="1" t="s">
        <v>13</v>
      </c>
      <c r="F496" s="36">
        <v>5</v>
      </c>
      <c r="G496" s="7">
        <v>193500</v>
      </c>
      <c r="H496" s="7">
        <f t="shared" si="14"/>
        <v>967500</v>
      </c>
      <c r="I496" s="111" t="s">
        <v>1382</v>
      </c>
      <c r="J496" s="67"/>
      <c r="K496" s="67"/>
      <c r="L496" s="67" t="s">
        <v>1247</v>
      </c>
    </row>
    <row r="497" spans="1:13" s="50" customFormat="1" ht="18.75" customHeight="1" x14ac:dyDescent="0.4">
      <c r="A497" s="485">
        <v>46125</v>
      </c>
      <c r="B497" s="5" t="s">
        <v>140</v>
      </c>
      <c r="C497" s="6" t="s">
        <v>553</v>
      </c>
      <c r="D497" s="1" t="s">
        <v>244</v>
      </c>
      <c r="E497" s="1" t="s">
        <v>13</v>
      </c>
      <c r="F497" s="36">
        <v>14</v>
      </c>
      <c r="G497" s="36">
        <v>973200</v>
      </c>
      <c r="H497" s="7">
        <f t="shared" si="14"/>
        <v>13624800</v>
      </c>
      <c r="I497" s="111" t="s">
        <v>1382</v>
      </c>
      <c r="J497" s="67"/>
      <c r="K497" s="67"/>
      <c r="L497" s="67" t="s">
        <v>1247</v>
      </c>
    </row>
    <row r="498" spans="1:13" s="50" customFormat="1" ht="18.75" customHeight="1" x14ac:dyDescent="0.4">
      <c r="A498" s="485">
        <v>46128</v>
      </c>
      <c r="B498" s="5" t="s">
        <v>140</v>
      </c>
      <c r="C498" s="6" t="s">
        <v>552</v>
      </c>
      <c r="D498" s="1" t="s">
        <v>243</v>
      </c>
      <c r="E498" s="1" t="s">
        <v>13</v>
      </c>
      <c r="F498" s="36">
        <v>24</v>
      </c>
      <c r="G498" s="36">
        <v>202000</v>
      </c>
      <c r="H498" s="7">
        <f t="shared" si="14"/>
        <v>4848000</v>
      </c>
      <c r="I498" s="111" t="s">
        <v>1382</v>
      </c>
      <c r="J498" s="67"/>
      <c r="K498" s="67"/>
      <c r="L498" s="67" t="s">
        <v>1068</v>
      </c>
    </row>
    <row r="499" spans="1:13" s="50" customFormat="1" ht="18.75" customHeight="1" x14ac:dyDescent="0.4">
      <c r="A499" s="485">
        <v>46128</v>
      </c>
      <c r="B499" s="5" t="s">
        <v>140</v>
      </c>
      <c r="C499" s="6" t="s">
        <v>554</v>
      </c>
      <c r="D499" s="1" t="s">
        <v>245</v>
      </c>
      <c r="E499" s="1" t="s">
        <v>13</v>
      </c>
      <c r="F499" s="36">
        <v>6</v>
      </c>
      <c r="G499" s="7">
        <v>630500</v>
      </c>
      <c r="H499" s="7">
        <f t="shared" si="14"/>
        <v>3783000</v>
      </c>
      <c r="I499" s="111" t="s">
        <v>1382</v>
      </c>
      <c r="J499" s="67"/>
      <c r="K499" s="67"/>
      <c r="L499" s="67" t="s">
        <v>1068</v>
      </c>
    </row>
    <row r="500" spans="1:13" s="50" customFormat="1" ht="18.75" customHeight="1" x14ac:dyDescent="0.4">
      <c r="A500" s="485">
        <v>46129</v>
      </c>
      <c r="B500" s="110" t="s">
        <v>140</v>
      </c>
      <c r="C500" s="395" t="s">
        <v>773</v>
      </c>
      <c r="D500" s="46" t="s">
        <v>774</v>
      </c>
      <c r="E500" s="46" t="s">
        <v>775</v>
      </c>
      <c r="F500" s="81">
        <v>5</v>
      </c>
      <c r="G500" s="81">
        <v>69700</v>
      </c>
      <c r="H500" s="7">
        <f t="shared" si="14"/>
        <v>348500</v>
      </c>
      <c r="I500" s="111" t="s">
        <v>1382</v>
      </c>
      <c r="J500" s="67"/>
      <c r="K500" s="67"/>
      <c r="L500" s="67" t="s">
        <v>1068</v>
      </c>
    </row>
    <row r="501" spans="1:13" s="50" customFormat="1" ht="18.75" customHeight="1" x14ac:dyDescent="0.4">
      <c r="A501" s="485">
        <v>46135</v>
      </c>
      <c r="B501" s="110" t="s">
        <v>140</v>
      </c>
      <c r="C501" s="29" t="s">
        <v>473</v>
      </c>
      <c r="D501" s="110" t="s">
        <v>777</v>
      </c>
      <c r="E501" s="110" t="s">
        <v>13</v>
      </c>
      <c r="F501" s="81">
        <v>5</v>
      </c>
      <c r="G501" s="49">
        <v>393500</v>
      </c>
      <c r="H501" s="7">
        <f t="shared" si="14"/>
        <v>1967500</v>
      </c>
      <c r="I501" s="111" t="s">
        <v>1382</v>
      </c>
      <c r="J501" s="67"/>
      <c r="K501" s="67"/>
      <c r="L501" s="67" t="s">
        <v>1068</v>
      </c>
    </row>
    <row r="502" spans="1:13" s="50" customFormat="1" ht="18.75" customHeight="1" x14ac:dyDescent="0.4">
      <c r="A502" s="485">
        <v>46135</v>
      </c>
      <c r="B502" s="5" t="s">
        <v>140</v>
      </c>
      <c r="C502" s="6" t="s">
        <v>1135</v>
      </c>
      <c r="D502" s="1" t="s">
        <v>1136</v>
      </c>
      <c r="E502" s="1" t="s">
        <v>13</v>
      </c>
      <c r="F502" s="36">
        <v>3</v>
      </c>
      <c r="G502" s="7">
        <v>193500</v>
      </c>
      <c r="H502" s="7">
        <f t="shared" si="14"/>
        <v>580500</v>
      </c>
      <c r="I502" s="111" t="s">
        <v>1382</v>
      </c>
      <c r="J502" s="67"/>
      <c r="K502" s="67"/>
      <c r="L502" s="67" t="s">
        <v>1068</v>
      </c>
    </row>
    <row r="503" spans="1:13" s="50" customFormat="1" ht="18.75" customHeight="1" x14ac:dyDescent="0.4">
      <c r="A503" s="485">
        <v>46139</v>
      </c>
      <c r="B503" s="110" t="s">
        <v>140</v>
      </c>
      <c r="C503" s="29" t="s">
        <v>473</v>
      </c>
      <c r="D503" s="110" t="s">
        <v>777</v>
      </c>
      <c r="E503" s="110" t="s">
        <v>13</v>
      </c>
      <c r="F503" s="81">
        <v>6</v>
      </c>
      <c r="G503" s="49">
        <v>393500</v>
      </c>
      <c r="H503" s="7">
        <f t="shared" si="14"/>
        <v>2361000</v>
      </c>
      <c r="I503" s="111" t="s">
        <v>1382</v>
      </c>
      <c r="J503" s="67"/>
      <c r="K503" s="67"/>
      <c r="L503" s="67" t="s">
        <v>1068</v>
      </c>
    </row>
    <row r="504" spans="1:13" s="50" customFormat="1" ht="18.75" customHeight="1" x14ac:dyDescent="0.4">
      <c r="A504" s="485">
        <v>46139</v>
      </c>
      <c r="B504" s="7" t="s">
        <v>140</v>
      </c>
      <c r="C504" s="49" t="s">
        <v>539</v>
      </c>
      <c r="D504" s="59" t="s">
        <v>242</v>
      </c>
      <c r="E504" s="59" t="s">
        <v>13</v>
      </c>
      <c r="F504" s="49">
        <v>1</v>
      </c>
      <c r="G504" s="49">
        <v>175300</v>
      </c>
      <c r="H504" s="49">
        <f t="shared" si="14"/>
        <v>175300</v>
      </c>
      <c r="I504" s="111" t="s">
        <v>1382</v>
      </c>
      <c r="J504" s="67"/>
      <c r="K504" s="67"/>
      <c r="L504" s="67" t="s">
        <v>1068</v>
      </c>
    </row>
    <row r="505" spans="1:13" s="50" customFormat="1" ht="18.75" customHeight="1" x14ac:dyDescent="0.4">
      <c r="A505" s="485">
        <v>46139</v>
      </c>
      <c r="B505" s="5" t="s">
        <v>140</v>
      </c>
      <c r="C505" s="6" t="s">
        <v>552</v>
      </c>
      <c r="D505" s="1" t="s">
        <v>243</v>
      </c>
      <c r="E505" s="1" t="s">
        <v>13</v>
      </c>
      <c r="F505" s="36">
        <v>13</v>
      </c>
      <c r="G505" s="36">
        <v>202000</v>
      </c>
      <c r="H505" s="7">
        <f t="shared" si="14"/>
        <v>2626000</v>
      </c>
      <c r="I505" s="111" t="s">
        <v>1382</v>
      </c>
      <c r="J505" s="67"/>
      <c r="K505" s="67"/>
      <c r="L505" s="67" t="s">
        <v>1068</v>
      </c>
    </row>
    <row r="506" spans="1:13" s="50" customFormat="1" ht="18.75" customHeight="1" x14ac:dyDescent="0.4">
      <c r="A506" s="485">
        <v>46139</v>
      </c>
      <c r="B506" s="5" t="s">
        <v>140</v>
      </c>
      <c r="C506" s="6" t="s">
        <v>553</v>
      </c>
      <c r="D506" s="1" t="s">
        <v>244</v>
      </c>
      <c r="E506" s="1" t="s">
        <v>13</v>
      </c>
      <c r="F506" s="36">
        <v>5</v>
      </c>
      <c r="G506" s="36">
        <v>973200</v>
      </c>
      <c r="H506" s="7">
        <f t="shared" si="14"/>
        <v>4866000</v>
      </c>
      <c r="I506" s="111" t="s">
        <v>1382</v>
      </c>
      <c r="J506" s="67"/>
      <c r="K506" s="67"/>
      <c r="L506" s="67" t="s">
        <v>1068</v>
      </c>
    </row>
    <row r="507" spans="1:13" s="50" customFormat="1" ht="18.75" customHeight="1" x14ac:dyDescent="0.4">
      <c r="A507" s="485">
        <v>46142</v>
      </c>
      <c r="B507" s="7" t="s">
        <v>140</v>
      </c>
      <c r="C507" s="49" t="s">
        <v>539</v>
      </c>
      <c r="D507" s="59" t="s">
        <v>242</v>
      </c>
      <c r="E507" s="59" t="s">
        <v>13</v>
      </c>
      <c r="F507" s="49">
        <v>1</v>
      </c>
      <c r="G507" s="49">
        <v>175300</v>
      </c>
      <c r="H507" s="49">
        <f t="shared" si="14"/>
        <v>175300</v>
      </c>
      <c r="I507" s="111" t="s">
        <v>1382</v>
      </c>
      <c r="J507" s="67"/>
      <c r="K507" s="67"/>
      <c r="L507" s="67" t="s">
        <v>1068</v>
      </c>
    </row>
    <row r="508" spans="1:13" s="50" customFormat="1" ht="18.75" customHeight="1" x14ac:dyDescent="0.4">
      <c r="A508" s="485">
        <v>46142</v>
      </c>
      <c r="B508" s="5" t="s">
        <v>140</v>
      </c>
      <c r="C508" s="6" t="s">
        <v>554</v>
      </c>
      <c r="D508" s="1" t="s">
        <v>245</v>
      </c>
      <c r="E508" s="1" t="s">
        <v>13</v>
      </c>
      <c r="F508" s="36">
        <v>6</v>
      </c>
      <c r="G508" s="7">
        <v>630500</v>
      </c>
      <c r="H508" s="7">
        <f t="shared" si="14"/>
        <v>3783000</v>
      </c>
      <c r="I508" s="111" t="s">
        <v>1382</v>
      </c>
      <c r="J508" s="67"/>
      <c r="K508" s="67"/>
      <c r="L508" s="67" t="s">
        <v>1068</v>
      </c>
    </row>
    <row r="509" spans="1:13" s="3" customFormat="1" ht="18.75" customHeight="1" x14ac:dyDescent="0.4">
      <c r="A509" s="483"/>
      <c r="B509" s="194"/>
      <c r="C509" s="40"/>
      <c r="D509" s="194"/>
      <c r="E509" s="194"/>
      <c r="F509" s="528"/>
      <c r="G509" s="529"/>
      <c r="H509" s="529">
        <f>SUM(H428:H459)</f>
        <v>75342200</v>
      </c>
      <c r="I509" s="529">
        <f>SUM(H460:H508)</f>
        <v>119588000</v>
      </c>
      <c r="J509" s="530"/>
      <c r="K509" s="145"/>
      <c r="L509" s="145"/>
      <c r="M509" s="89"/>
    </row>
    <row r="510" spans="1:13" s="3" customFormat="1" ht="18.75" customHeight="1" x14ac:dyDescent="0.4">
      <c r="A510" s="482">
        <v>46125</v>
      </c>
      <c r="B510" s="110" t="s">
        <v>141</v>
      </c>
      <c r="C510" s="29" t="s">
        <v>984</v>
      </c>
      <c r="D510" s="110">
        <v>40220977</v>
      </c>
      <c r="E510" s="110" t="s">
        <v>17</v>
      </c>
      <c r="F510" s="533">
        <v>211</v>
      </c>
      <c r="G510" s="525">
        <v>46089</v>
      </c>
      <c r="H510" s="7">
        <f>F510*G510</f>
        <v>9724779</v>
      </c>
      <c r="I510" s="525"/>
      <c r="J510" s="534"/>
      <c r="K510" s="144"/>
      <c r="L510" s="140" t="s">
        <v>1247</v>
      </c>
      <c r="M510" s="89"/>
    </row>
    <row r="511" spans="1:13" s="50" customFormat="1" ht="18.75" customHeight="1" x14ac:dyDescent="0.4">
      <c r="A511" s="484">
        <v>46137</v>
      </c>
      <c r="B511" s="59" t="s">
        <v>141</v>
      </c>
      <c r="C511" s="49" t="s">
        <v>142</v>
      </c>
      <c r="D511" s="59">
        <v>40220976</v>
      </c>
      <c r="E511" s="59" t="s">
        <v>17</v>
      </c>
      <c r="F511" s="7">
        <f>36*3</f>
        <v>108</v>
      </c>
      <c r="G511" s="49">
        <v>176943</v>
      </c>
      <c r="H511" s="36">
        <f>F511*G511</f>
        <v>19109844</v>
      </c>
      <c r="I511" s="67"/>
      <c r="J511" s="67"/>
      <c r="K511" s="67"/>
      <c r="L511" s="67" t="s">
        <v>1247</v>
      </c>
    </row>
    <row r="512" spans="1:13" s="3" customFormat="1" ht="18.75" customHeight="1" x14ac:dyDescent="0.4">
      <c r="A512" s="482">
        <v>46125</v>
      </c>
      <c r="B512" s="110" t="s">
        <v>141</v>
      </c>
      <c r="C512" s="29" t="s">
        <v>984</v>
      </c>
      <c r="D512" s="110">
        <v>40220977</v>
      </c>
      <c r="E512" s="110" t="s">
        <v>17</v>
      </c>
      <c r="F512" s="533">
        <v>1</v>
      </c>
      <c r="G512" s="525">
        <v>46089</v>
      </c>
      <c r="H512" s="7" t="s">
        <v>1389</v>
      </c>
      <c r="I512" s="525"/>
      <c r="J512" s="534"/>
      <c r="K512" s="144"/>
      <c r="L512" s="140" t="s">
        <v>1247</v>
      </c>
      <c r="M512" s="89"/>
    </row>
    <row r="513" spans="1:13" s="50" customFormat="1" ht="18.75" customHeight="1" x14ac:dyDescent="0.4">
      <c r="A513" s="484">
        <v>46141</v>
      </c>
      <c r="B513" s="59" t="s">
        <v>141</v>
      </c>
      <c r="C513" s="49" t="s">
        <v>142</v>
      </c>
      <c r="D513" s="59">
        <v>40220976</v>
      </c>
      <c r="E513" s="59" t="s">
        <v>17</v>
      </c>
      <c r="F513" s="7">
        <v>36</v>
      </c>
      <c r="G513" s="49">
        <v>176943</v>
      </c>
      <c r="H513" s="36">
        <f>F513*G513</f>
        <v>6369948</v>
      </c>
      <c r="I513" s="111" t="s">
        <v>1382</v>
      </c>
      <c r="J513" s="67"/>
      <c r="K513" s="67"/>
      <c r="L513" s="67" t="s">
        <v>1247</v>
      </c>
    </row>
    <row r="514" spans="1:13" s="3" customFormat="1" ht="18.75" customHeight="1" x14ac:dyDescent="0.4">
      <c r="A514" s="483"/>
      <c r="B514" s="194"/>
      <c r="C514" s="40"/>
      <c r="D514" s="194"/>
      <c r="E514" s="194"/>
      <c r="F514" s="528"/>
      <c r="G514" s="529"/>
      <c r="H514" s="529">
        <f>SUM(H510:H511)</f>
        <v>28834623</v>
      </c>
      <c r="I514" s="529"/>
      <c r="J514" s="530"/>
      <c r="K514" s="145"/>
      <c r="L514" s="145"/>
      <c r="M514" s="89"/>
    </row>
    <row r="515" spans="1:13" s="50" customFormat="1" ht="18.75" customHeight="1" x14ac:dyDescent="0.4">
      <c r="A515" s="482">
        <v>46112</v>
      </c>
      <c r="B515" s="110" t="s">
        <v>1138</v>
      </c>
      <c r="C515" s="29" t="s">
        <v>1139</v>
      </c>
      <c r="D515" s="110" t="s">
        <v>1140</v>
      </c>
      <c r="E515" s="110" t="s">
        <v>17</v>
      </c>
      <c r="F515" s="81">
        <v>63</v>
      </c>
      <c r="G515" s="49">
        <v>48000</v>
      </c>
      <c r="H515" s="36">
        <f t="shared" ref="H515:H520" si="15">F515*G515</f>
        <v>3024000</v>
      </c>
      <c r="I515" s="49"/>
      <c r="J515" s="144"/>
      <c r="K515" s="144"/>
      <c r="L515" s="428"/>
    </row>
    <row r="516" spans="1:13" s="50" customFormat="1" ht="18.75" customHeight="1" x14ac:dyDescent="0.4">
      <c r="A516" s="482">
        <v>46112</v>
      </c>
      <c r="B516" s="110" t="s">
        <v>1138</v>
      </c>
      <c r="C516" s="29" t="s">
        <v>1141</v>
      </c>
      <c r="D516" s="110" t="s">
        <v>1142</v>
      </c>
      <c r="E516" s="110" t="s">
        <v>11</v>
      </c>
      <c r="F516" s="81">
        <v>63</v>
      </c>
      <c r="G516" s="49">
        <v>1052000</v>
      </c>
      <c r="H516" s="36">
        <f t="shared" si="15"/>
        <v>66276000</v>
      </c>
      <c r="I516" s="49"/>
      <c r="J516" s="144"/>
      <c r="K516" s="144"/>
      <c r="L516" s="428"/>
    </row>
    <row r="517" spans="1:13" s="50" customFormat="1" ht="18.75" customHeight="1" x14ac:dyDescent="0.4">
      <c r="A517" s="482">
        <v>46112</v>
      </c>
      <c r="B517" s="110" t="s">
        <v>1138</v>
      </c>
      <c r="C517" s="29" t="s">
        <v>1139</v>
      </c>
      <c r="D517" s="110" t="s">
        <v>1140</v>
      </c>
      <c r="E517" s="110" t="s">
        <v>17</v>
      </c>
      <c r="F517" s="347">
        <v>20</v>
      </c>
      <c r="G517" s="49">
        <v>48000</v>
      </c>
      <c r="H517" s="36">
        <f t="shared" si="15"/>
        <v>960000</v>
      </c>
      <c r="I517" s="49" t="s">
        <v>1388</v>
      </c>
      <c r="J517" s="144"/>
      <c r="K517" s="144"/>
      <c r="L517" s="428"/>
    </row>
    <row r="518" spans="1:13" s="50" customFormat="1" ht="18.75" customHeight="1" x14ac:dyDescent="0.4">
      <c r="A518" s="482">
        <v>46112</v>
      </c>
      <c r="B518" s="110" t="s">
        <v>1138</v>
      </c>
      <c r="C518" s="29" t="s">
        <v>1141</v>
      </c>
      <c r="D518" s="110" t="s">
        <v>1142</v>
      </c>
      <c r="E518" s="110" t="s">
        <v>11</v>
      </c>
      <c r="F518" s="347">
        <v>20</v>
      </c>
      <c r="G518" s="49">
        <v>1052000</v>
      </c>
      <c r="H518" s="36">
        <f t="shared" si="15"/>
        <v>21040000</v>
      </c>
      <c r="I518" s="49" t="s">
        <v>1388</v>
      </c>
      <c r="J518" s="144"/>
      <c r="K518" s="144"/>
      <c r="L518" s="428"/>
    </row>
    <row r="519" spans="1:13" s="50" customFormat="1" ht="18.75" customHeight="1" x14ac:dyDescent="0.4">
      <c r="A519" s="482">
        <v>46142</v>
      </c>
      <c r="B519" s="110" t="s">
        <v>1138</v>
      </c>
      <c r="C519" s="29" t="s">
        <v>1139</v>
      </c>
      <c r="D519" s="110" t="s">
        <v>1140</v>
      </c>
      <c r="E519" s="110" t="s">
        <v>17</v>
      </c>
      <c r="F519" s="347">
        <v>10</v>
      </c>
      <c r="G519" s="49">
        <v>48000</v>
      </c>
      <c r="H519" s="36">
        <f t="shared" si="15"/>
        <v>480000</v>
      </c>
      <c r="I519" s="49" t="s">
        <v>1388</v>
      </c>
      <c r="J519" s="144"/>
      <c r="K519" s="144"/>
      <c r="L519" s="428"/>
    </row>
    <row r="520" spans="1:13" s="50" customFormat="1" ht="18.75" customHeight="1" x14ac:dyDescent="0.4">
      <c r="A520" s="482">
        <v>46142</v>
      </c>
      <c r="B520" s="110" t="s">
        <v>1138</v>
      </c>
      <c r="C520" s="29" t="s">
        <v>1141</v>
      </c>
      <c r="D520" s="110" t="s">
        <v>1142</v>
      </c>
      <c r="E520" s="110" t="s">
        <v>11</v>
      </c>
      <c r="F520" s="347">
        <v>10</v>
      </c>
      <c r="G520" s="49">
        <v>1052000</v>
      </c>
      <c r="H520" s="36">
        <f t="shared" si="15"/>
        <v>10520000</v>
      </c>
      <c r="I520" s="49" t="s">
        <v>1388</v>
      </c>
      <c r="J520" s="144"/>
      <c r="K520" s="144"/>
      <c r="L520" s="428"/>
    </row>
    <row r="521" spans="1:13" s="50" customFormat="1" ht="18.75" customHeight="1" x14ac:dyDescent="0.4">
      <c r="A521" s="483"/>
      <c r="B521" s="194"/>
      <c r="C521" s="40"/>
      <c r="D521" s="194"/>
      <c r="E521" s="194"/>
      <c r="F521" s="91"/>
      <c r="G521" s="138"/>
      <c r="H521" s="138">
        <f>SUM(H515:H516)</f>
        <v>69300000</v>
      </c>
      <c r="I521" s="138"/>
      <c r="J521" s="145"/>
      <c r="K521" s="145"/>
      <c r="L521" s="370"/>
    </row>
    <row r="522" spans="1:13" s="50" customFormat="1" ht="20.25" customHeight="1" x14ac:dyDescent="0.4">
      <c r="A522" s="482">
        <v>46112</v>
      </c>
      <c r="B522" s="59" t="s">
        <v>782</v>
      </c>
      <c r="C522" s="68" t="s">
        <v>161</v>
      </c>
      <c r="D522" s="59" t="s">
        <v>265</v>
      </c>
      <c r="E522" s="67"/>
      <c r="F522" s="49">
        <v>4</v>
      </c>
      <c r="G522" s="49">
        <f>J522*K522</f>
        <v>257355.33300000001</v>
      </c>
      <c r="H522" s="36">
        <f t="shared" ref="H522:H585" si="16">F522*G522</f>
        <v>1029421.3320000001</v>
      </c>
      <c r="I522" s="67" t="s">
        <v>1173</v>
      </c>
      <c r="J522" s="67">
        <v>27030</v>
      </c>
      <c r="K522" s="610">
        <v>9.5211000000000006</v>
      </c>
      <c r="L522" s="67" t="s">
        <v>1205</v>
      </c>
      <c r="M522" s="439"/>
    </row>
    <row r="523" spans="1:13" s="50" customFormat="1" ht="20.25" customHeight="1" x14ac:dyDescent="0.4">
      <c r="A523" s="482">
        <v>46112</v>
      </c>
      <c r="B523" s="59" t="s">
        <v>782</v>
      </c>
      <c r="C523" s="68" t="s">
        <v>150</v>
      </c>
      <c r="D523" s="59" t="s">
        <v>334</v>
      </c>
      <c r="E523" s="67"/>
      <c r="F523" s="49">
        <v>4</v>
      </c>
      <c r="G523" s="49">
        <f t="shared" ref="G523:G586" si="17">J523*K523</f>
        <v>312672.924</v>
      </c>
      <c r="H523" s="36">
        <f t="shared" si="16"/>
        <v>1250691.696</v>
      </c>
      <c r="I523" s="67" t="s">
        <v>1176</v>
      </c>
      <c r="J523" s="67">
        <v>32840</v>
      </c>
      <c r="K523" s="610">
        <v>9.5211000000000006</v>
      </c>
      <c r="L523" s="67" t="s">
        <v>1205</v>
      </c>
      <c r="M523" s="439"/>
    </row>
    <row r="524" spans="1:13" s="50" customFormat="1" ht="20.25" customHeight="1" x14ac:dyDescent="0.4">
      <c r="A524" s="482">
        <v>46112</v>
      </c>
      <c r="B524" s="59" t="s">
        <v>782</v>
      </c>
      <c r="C524" s="68" t="s">
        <v>161</v>
      </c>
      <c r="D524" s="59" t="s">
        <v>990</v>
      </c>
      <c r="E524" s="67"/>
      <c r="F524" s="49">
        <v>4</v>
      </c>
      <c r="G524" s="49">
        <f t="shared" si="17"/>
        <v>257355.33300000001</v>
      </c>
      <c r="H524" s="36">
        <f t="shared" si="16"/>
        <v>1029421.3320000001</v>
      </c>
      <c r="I524" s="67" t="s">
        <v>1176</v>
      </c>
      <c r="J524" s="67">
        <v>27030</v>
      </c>
      <c r="K524" s="610">
        <v>9.5211000000000006</v>
      </c>
      <c r="L524" s="67" t="s">
        <v>1205</v>
      </c>
      <c r="M524" s="439"/>
    </row>
    <row r="525" spans="1:13" s="50" customFormat="1" ht="20.25" customHeight="1" x14ac:dyDescent="0.4">
      <c r="A525" s="482">
        <v>46112</v>
      </c>
      <c r="B525" s="59" t="s">
        <v>782</v>
      </c>
      <c r="C525" s="68" t="s">
        <v>150</v>
      </c>
      <c r="D525" s="59" t="s">
        <v>335</v>
      </c>
      <c r="E525" s="67"/>
      <c r="F525" s="49">
        <v>4</v>
      </c>
      <c r="G525" s="49">
        <f t="shared" si="17"/>
        <v>312672.924</v>
      </c>
      <c r="H525" s="36">
        <f t="shared" si="16"/>
        <v>1250691.696</v>
      </c>
      <c r="I525" s="67" t="s">
        <v>1179</v>
      </c>
      <c r="J525" s="67">
        <v>32840</v>
      </c>
      <c r="K525" s="610">
        <v>9.5211000000000006</v>
      </c>
      <c r="L525" s="67" t="s">
        <v>1205</v>
      </c>
      <c r="M525" s="439"/>
    </row>
    <row r="526" spans="1:13" s="50" customFormat="1" ht="20.25" customHeight="1" x14ac:dyDescent="0.4">
      <c r="A526" s="482">
        <v>46112</v>
      </c>
      <c r="B526" s="59" t="s">
        <v>782</v>
      </c>
      <c r="C526" s="68" t="s">
        <v>161</v>
      </c>
      <c r="D526" s="59" t="s">
        <v>990</v>
      </c>
      <c r="E526" s="67"/>
      <c r="F526" s="49">
        <v>4</v>
      </c>
      <c r="G526" s="49">
        <f t="shared" si="17"/>
        <v>257355.33300000001</v>
      </c>
      <c r="H526" s="36">
        <f t="shared" si="16"/>
        <v>1029421.3320000001</v>
      </c>
      <c r="I526" s="67" t="s">
        <v>1179</v>
      </c>
      <c r="J526" s="67">
        <v>27030</v>
      </c>
      <c r="K526" s="610">
        <v>9.5211000000000006</v>
      </c>
      <c r="L526" s="67" t="s">
        <v>1205</v>
      </c>
      <c r="M526" s="439"/>
    </row>
    <row r="527" spans="1:13" s="50" customFormat="1" ht="20.25" customHeight="1" x14ac:dyDescent="0.4">
      <c r="A527" s="482">
        <v>46112</v>
      </c>
      <c r="B527" s="59" t="s">
        <v>782</v>
      </c>
      <c r="C527" s="68" t="s">
        <v>150</v>
      </c>
      <c r="D527" s="59" t="s">
        <v>335</v>
      </c>
      <c r="E527" s="67"/>
      <c r="F527" s="49">
        <v>4</v>
      </c>
      <c r="G527" s="49">
        <f t="shared" si="17"/>
        <v>312672.924</v>
      </c>
      <c r="H527" s="36">
        <f t="shared" si="16"/>
        <v>1250691.696</v>
      </c>
      <c r="I527" s="67" t="s">
        <v>1181</v>
      </c>
      <c r="J527" s="67">
        <v>32840</v>
      </c>
      <c r="K527" s="610">
        <v>9.5211000000000006</v>
      </c>
      <c r="L527" s="67" t="s">
        <v>1205</v>
      </c>
      <c r="M527" s="439"/>
    </row>
    <row r="528" spans="1:13" s="50" customFormat="1" ht="20.25" customHeight="1" x14ac:dyDescent="0.4">
      <c r="A528" s="482">
        <v>46112</v>
      </c>
      <c r="B528" s="59" t="s">
        <v>782</v>
      </c>
      <c r="C528" s="68" t="s">
        <v>161</v>
      </c>
      <c r="D528" s="59" t="s">
        <v>990</v>
      </c>
      <c r="E528" s="67"/>
      <c r="F528" s="49">
        <v>4</v>
      </c>
      <c r="G528" s="49">
        <f t="shared" si="17"/>
        <v>257355.33300000001</v>
      </c>
      <c r="H528" s="36">
        <f t="shared" si="16"/>
        <v>1029421.3320000001</v>
      </c>
      <c r="I528" s="67" t="s">
        <v>1181</v>
      </c>
      <c r="J528" s="67">
        <v>27030</v>
      </c>
      <c r="K528" s="610">
        <v>9.5211000000000006</v>
      </c>
      <c r="L528" s="67" t="s">
        <v>1205</v>
      </c>
      <c r="M528" s="439"/>
    </row>
    <row r="529" spans="1:13" s="50" customFormat="1" ht="20.25" customHeight="1" x14ac:dyDescent="0.4">
      <c r="A529" s="482">
        <v>46112</v>
      </c>
      <c r="B529" s="59" t="s">
        <v>782</v>
      </c>
      <c r="C529" s="68" t="s">
        <v>157</v>
      </c>
      <c r="D529" s="59" t="s">
        <v>259</v>
      </c>
      <c r="E529" s="67"/>
      <c r="F529" s="49">
        <v>8</v>
      </c>
      <c r="G529" s="49">
        <f t="shared" si="17"/>
        <v>3439687.7970000003</v>
      </c>
      <c r="H529" s="36">
        <f t="shared" si="16"/>
        <v>27517502.376000002</v>
      </c>
      <c r="I529" s="67" t="s">
        <v>1195</v>
      </c>
      <c r="J529" s="67">
        <v>361270</v>
      </c>
      <c r="K529" s="610">
        <v>9.5211000000000006</v>
      </c>
      <c r="L529" s="67" t="s">
        <v>1205</v>
      </c>
      <c r="M529" s="439"/>
    </row>
    <row r="530" spans="1:13" s="50" customFormat="1" ht="20.25" customHeight="1" x14ac:dyDescent="0.4">
      <c r="A530" s="482">
        <v>46112</v>
      </c>
      <c r="B530" s="59" t="s">
        <v>782</v>
      </c>
      <c r="C530" s="68" t="s">
        <v>154</v>
      </c>
      <c r="D530" s="59" t="s">
        <v>652</v>
      </c>
      <c r="E530" s="67"/>
      <c r="F530" s="49">
        <v>1</v>
      </c>
      <c r="G530" s="49">
        <f t="shared" si="17"/>
        <v>1512141.1020000002</v>
      </c>
      <c r="H530" s="36">
        <f t="shared" si="16"/>
        <v>1512141.1020000002</v>
      </c>
      <c r="I530" s="67" t="s">
        <v>1206</v>
      </c>
      <c r="J530" s="67">
        <v>158820</v>
      </c>
      <c r="K530" s="610">
        <v>9.5211000000000006</v>
      </c>
      <c r="L530" s="67" t="s">
        <v>1205</v>
      </c>
      <c r="M530" s="439"/>
    </row>
    <row r="531" spans="1:13" s="50" customFormat="1" ht="20.25" customHeight="1" x14ac:dyDescent="0.4">
      <c r="A531" s="482">
        <v>46112</v>
      </c>
      <c r="B531" s="59" t="s">
        <v>782</v>
      </c>
      <c r="C531" s="68" t="s">
        <v>157</v>
      </c>
      <c r="D531" s="59" t="s">
        <v>270</v>
      </c>
      <c r="E531" s="67"/>
      <c r="F531" s="49">
        <v>3</v>
      </c>
      <c r="G531" s="49">
        <f t="shared" si="17"/>
        <v>3439687.7970000003</v>
      </c>
      <c r="H531" s="36">
        <f t="shared" si="16"/>
        <v>10319063.391000001</v>
      </c>
      <c r="I531" s="67" t="s">
        <v>1197</v>
      </c>
      <c r="J531" s="67">
        <v>361270</v>
      </c>
      <c r="K531" s="610">
        <v>9.5211000000000006</v>
      </c>
      <c r="L531" s="67" t="s">
        <v>1205</v>
      </c>
      <c r="M531" s="439"/>
    </row>
    <row r="532" spans="1:13" s="50" customFormat="1" ht="20.25" customHeight="1" x14ac:dyDescent="0.4">
      <c r="A532" s="482">
        <v>46112</v>
      </c>
      <c r="B532" s="59" t="s">
        <v>782</v>
      </c>
      <c r="C532" s="68" t="s">
        <v>154</v>
      </c>
      <c r="D532" s="59" t="s">
        <v>267</v>
      </c>
      <c r="E532" s="67"/>
      <c r="F532" s="49">
        <v>8</v>
      </c>
      <c r="G532" s="49">
        <f t="shared" si="17"/>
        <v>3972202.9200000004</v>
      </c>
      <c r="H532" s="36">
        <f t="shared" si="16"/>
        <v>31777623.360000003</v>
      </c>
      <c r="I532" s="67" t="s">
        <v>1207</v>
      </c>
      <c r="J532" s="67">
        <v>417200</v>
      </c>
      <c r="K532" s="610">
        <v>9.5211000000000006</v>
      </c>
      <c r="L532" s="67" t="s">
        <v>1205</v>
      </c>
      <c r="M532" s="439"/>
    </row>
    <row r="533" spans="1:13" s="50" customFormat="1" ht="20.25" customHeight="1" x14ac:dyDescent="0.4">
      <c r="A533" s="482">
        <v>46112</v>
      </c>
      <c r="B533" s="59" t="s">
        <v>782</v>
      </c>
      <c r="C533" s="68" t="s">
        <v>153</v>
      </c>
      <c r="D533" s="59" t="s">
        <v>337</v>
      </c>
      <c r="E533" s="67"/>
      <c r="F533" s="49">
        <v>2</v>
      </c>
      <c r="G533" s="49">
        <f t="shared" si="17"/>
        <v>2106543.375</v>
      </c>
      <c r="H533" s="36">
        <f t="shared" si="16"/>
        <v>4213086.75</v>
      </c>
      <c r="I533" s="67" t="s">
        <v>1198</v>
      </c>
      <c r="J533" s="67">
        <v>221250</v>
      </c>
      <c r="K533" s="610">
        <v>9.5211000000000006</v>
      </c>
      <c r="L533" s="67" t="s">
        <v>1205</v>
      </c>
      <c r="M533" s="439"/>
    </row>
    <row r="534" spans="1:13" s="50" customFormat="1" ht="20.25" customHeight="1" x14ac:dyDescent="0.4">
      <c r="A534" s="482">
        <v>46112</v>
      </c>
      <c r="B534" s="59" t="s">
        <v>782</v>
      </c>
      <c r="C534" s="68" t="s">
        <v>157</v>
      </c>
      <c r="D534" s="59" t="s">
        <v>270</v>
      </c>
      <c r="E534" s="67"/>
      <c r="F534" s="49">
        <v>5</v>
      </c>
      <c r="G534" s="49">
        <f t="shared" si="17"/>
        <v>3490816.1040000003</v>
      </c>
      <c r="H534" s="36">
        <f t="shared" si="16"/>
        <v>17454080.520000003</v>
      </c>
      <c r="I534" s="67" t="s">
        <v>1198</v>
      </c>
      <c r="J534" s="67">
        <v>366640</v>
      </c>
      <c r="K534" s="610">
        <v>9.5211000000000006</v>
      </c>
      <c r="L534" s="67" t="s">
        <v>1205</v>
      </c>
      <c r="M534" s="439"/>
    </row>
    <row r="535" spans="1:13" s="50" customFormat="1" ht="20.25" customHeight="1" x14ac:dyDescent="0.4">
      <c r="A535" s="482">
        <v>46112</v>
      </c>
      <c r="B535" s="59" t="s">
        <v>782</v>
      </c>
      <c r="C535" s="68" t="s">
        <v>161</v>
      </c>
      <c r="D535" s="59" t="s">
        <v>1208</v>
      </c>
      <c r="E535" s="67"/>
      <c r="F535" s="49">
        <v>4</v>
      </c>
      <c r="G535" s="49">
        <f t="shared" si="17"/>
        <v>259830.81900000002</v>
      </c>
      <c r="H535" s="36">
        <f t="shared" si="16"/>
        <v>1039323.2760000001</v>
      </c>
      <c r="I535" s="67" t="s">
        <v>1183</v>
      </c>
      <c r="J535" s="67">
        <v>27290</v>
      </c>
      <c r="K535" s="610">
        <v>9.5211000000000006</v>
      </c>
      <c r="L535" s="67" t="s">
        <v>1205</v>
      </c>
      <c r="M535" s="439"/>
    </row>
    <row r="536" spans="1:13" s="50" customFormat="1" ht="20.25" customHeight="1" x14ac:dyDescent="0.4">
      <c r="A536" s="482">
        <v>46112</v>
      </c>
      <c r="B536" s="59" t="s">
        <v>782</v>
      </c>
      <c r="C536" s="68" t="s">
        <v>155</v>
      </c>
      <c r="D536" s="59" t="s">
        <v>253</v>
      </c>
      <c r="E536" s="67"/>
      <c r="F536" s="49">
        <v>2</v>
      </c>
      <c r="G536" s="49">
        <f t="shared" si="17"/>
        <v>3729034.0260000001</v>
      </c>
      <c r="H536" s="36">
        <f t="shared" si="16"/>
        <v>7458068.0520000001</v>
      </c>
      <c r="I536" s="67" t="s">
        <v>1209</v>
      </c>
      <c r="J536" s="67">
        <v>391660</v>
      </c>
      <c r="K536" s="610">
        <v>9.5211000000000006</v>
      </c>
      <c r="L536" s="67" t="s">
        <v>1205</v>
      </c>
      <c r="M536" s="439"/>
    </row>
    <row r="537" spans="1:13" s="50" customFormat="1" ht="20.25" customHeight="1" x14ac:dyDescent="0.4">
      <c r="A537" s="482">
        <v>46112</v>
      </c>
      <c r="B537" s="59" t="s">
        <v>782</v>
      </c>
      <c r="C537" s="68" t="s">
        <v>154</v>
      </c>
      <c r="D537" s="59" t="s">
        <v>266</v>
      </c>
      <c r="E537" s="67"/>
      <c r="F537" s="49">
        <v>4</v>
      </c>
      <c r="G537" s="49">
        <f t="shared" si="17"/>
        <v>3992292.4410000001</v>
      </c>
      <c r="H537" s="36">
        <f t="shared" si="16"/>
        <v>15969169.764</v>
      </c>
      <c r="I537" s="67" t="s">
        <v>1210</v>
      </c>
      <c r="J537" s="67">
        <v>419310</v>
      </c>
      <c r="K537" s="610">
        <v>9.5211000000000006</v>
      </c>
      <c r="L537" s="67" t="s">
        <v>1205</v>
      </c>
      <c r="M537" s="439"/>
    </row>
    <row r="538" spans="1:13" s="50" customFormat="1" ht="20.25" customHeight="1" x14ac:dyDescent="0.4">
      <c r="A538" s="482">
        <v>46112</v>
      </c>
      <c r="B538" s="59" t="s">
        <v>782</v>
      </c>
      <c r="C538" s="68" t="s">
        <v>158</v>
      </c>
      <c r="D538" s="59" t="s">
        <v>252</v>
      </c>
      <c r="E538" s="67"/>
      <c r="F538" s="49">
        <v>8</v>
      </c>
      <c r="G538" s="49">
        <f t="shared" si="17"/>
        <v>3591358.9200000004</v>
      </c>
      <c r="H538" s="36">
        <f t="shared" si="16"/>
        <v>28730871.360000003</v>
      </c>
      <c r="I538" s="67" t="s">
        <v>1211</v>
      </c>
      <c r="J538" s="67">
        <v>377200</v>
      </c>
      <c r="K538" s="610">
        <v>9.5211000000000006</v>
      </c>
      <c r="L538" s="67" t="s">
        <v>1205</v>
      </c>
      <c r="M538" s="439"/>
    </row>
    <row r="539" spans="1:13" s="50" customFormat="1" ht="20.25" customHeight="1" x14ac:dyDescent="0.4">
      <c r="A539" s="482">
        <v>46112</v>
      </c>
      <c r="B539" s="59" t="s">
        <v>782</v>
      </c>
      <c r="C539" s="68" t="s">
        <v>156</v>
      </c>
      <c r="D539" s="59" t="s">
        <v>271</v>
      </c>
      <c r="E539" s="67"/>
      <c r="F539" s="49">
        <v>4</v>
      </c>
      <c r="G539" s="49">
        <f t="shared" si="17"/>
        <v>1110350.682</v>
      </c>
      <c r="H539" s="36">
        <f t="shared" si="16"/>
        <v>4441402.7280000001</v>
      </c>
      <c r="I539" s="67" t="s">
        <v>1212</v>
      </c>
      <c r="J539" s="67">
        <v>116620</v>
      </c>
      <c r="K539" s="610">
        <v>9.5211000000000006</v>
      </c>
      <c r="L539" s="67" t="s">
        <v>1205</v>
      </c>
      <c r="M539" s="439"/>
    </row>
    <row r="540" spans="1:13" s="50" customFormat="1" ht="20.25" customHeight="1" x14ac:dyDescent="0.4">
      <c r="A540" s="482">
        <v>46112</v>
      </c>
      <c r="B540" s="59" t="s">
        <v>782</v>
      </c>
      <c r="C540" s="68" t="s">
        <v>150</v>
      </c>
      <c r="D540" s="59" t="s">
        <v>275</v>
      </c>
      <c r="E540" s="67"/>
      <c r="F540" s="49">
        <v>1</v>
      </c>
      <c r="G540" s="49">
        <f t="shared" si="17"/>
        <v>556698.71700000006</v>
      </c>
      <c r="H540" s="36">
        <f t="shared" si="16"/>
        <v>556698.71700000006</v>
      </c>
      <c r="I540" s="67" t="s">
        <v>1213</v>
      </c>
      <c r="J540" s="67">
        <v>58470</v>
      </c>
      <c r="K540" s="610">
        <v>9.5211000000000006</v>
      </c>
      <c r="L540" s="67" t="s">
        <v>1205</v>
      </c>
      <c r="M540" s="439"/>
    </row>
    <row r="541" spans="1:13" s="50" customFormat="1" ht="20.25" customHeight="1" x14ac:dyDescent="0.4">
      <c r="A541" s="482">
        <v>46112</v>
      </c>
      <c r="B541" s="59" t="s">
        <v>782</v>
      </c>
      <c r="C541" s="68" t="s">
        <v>158</v>
      </c>
      <c r="D541" s="59" t="s">
        <v>339</v>
      </c>
      <c r="E541" s="67"/>
      <c r="F541" s="49">
        <v>8</v>
      </c>
      <c r="G541" s="49">
        <f t="shared" si="17"/>
        <v>3591358.9200000004</v>
      </c>
      <c r="H541" s="36">
        <f t="shared" si="16"/>
        <v>28730871.360000003</v>
      </c>
      <c r="I541" s="67" t="s">
        <v>1214</v>
      </c>
      <c r="J541" s="67">
        <v>377200</v>
      </c>
      <c r="K541" s="610">
        <v>9.5211000000000006</v>
      </c>
      <c r="L541" s="67" t="s">
        <v>1205</v>
      </c>
      <c r="M541" s="439"/>
    </row>
    <row r="542" spans="1:13" s="50" customFormat="1" ht="20.25" customHeight="1" x14ac:dyDescent="0.4">
      <c r="A542" s="482">
        <v>46112</v>
      </c>
      <c r="B542" s="59" t="s">
        <v>782</v>
      </c>
      <c r="C542" s="68" t="s">
        <v>150</v>
      </c>
      <c r="D542" s="59" t="s">
        <v>275</v>
      </c>
      <c r="E542" s="67"/>
      <c r="F542" s="49">
        <v>1</v>
      </c>
      <c r="G542" s="49">
        <f t="shared" si="17"/>
        <v>556698.71700000006</v>
      </c>
      <c r="H542" s="36">
        <f t="shared" si="16"/>
        <v>556698.71700000006</v>
      </c>
      <c r="I542" s="67" t="s">
        <v>1215</v>
      </c>
      <c r="J542" s="67">
        <v>58470</v>
      </c>
      <c r="K542" s="610">
        <v>9.5211000000000006</v>
      </c>
      <c r="L542" s="67" t="s">
        <v>1205</v>
      </c>
      <c r="M542" s="439"/>
    </row>
    <row r="543" spans="1:13" s="50" customFormat="1" ht="20.25" customHeight="1" x14ac:dyDescent="0.4">
      <c r="A543" s="482">
        <v>46112</v>
      </c>
      <c r="B543" s="59" t="s">
        <v>782</v>
      </c>
      <c r="C543" s="68" t="s">
        <v>150</v>
      </c>
      <c r="D543" s="59" t="s">
        <v>256</v>
      </c>
      <c r="E543" s="67"/>
      <c r="F543" s="49">
        <v>1</v>
      </c>
      <c r="G543" s="49">
        <f t="shared" si="17"/>
        <v>138817.63800000001</v>
      </c>
      <c r="H543" s="36">
        <f t="shared" si="16"/>
        <v>138817.63800000001</v>
      </c>
      <c r="I543" s="67" t="s">
        <v>1001</v>
      </c>
      <c r="J543" s="67">
        <v>14580</v>
      </c>
      <c r="K543" s="610">
        <v>9.5211000000000006</v>
      </c>
      <c r="L543" s="67" t="s">
        <v>1205</v>
      </c>
      <c r="M543" s="439"/>
    </row>
    <row r="544" spans="1:13" s="50" customFormat="1" ht="20.25" customHeight="1" x14ac:dyDescent="0.4">
      <c r="A544" s="482">
        <v>46112</v>
      </c>
      <c r="B544" s="59" t="s">
        <v>782</v>
      </c>
      <c r="C544" s="68" t="s">
        <v>160</v>
      </c>
      <c r="D544" s="59" t="s">
        <v>255</v>
      </c>
      <c r="E544" s="67"/>
      <c r="F544" s="49">
        <v>1</v>
      </c>
      <c r="G544" s="49">
        <f t="shared" si="17"/>
        <v>53470.497600000002</v>
      </c>
      <c r="H544" s="36">
        <f t="shared" si="16"/>
        <v>53470.497600000002</v>
      </c>
      <c r="I544" s="67" t="s">
        <v>1216</v>
      </c>
      <c r="J544" s="67">
        <v>5616</v>
      </c>
      <c r="K544" s="610">
        <v>9.5211000000000006</v>
      </c>
      <c r="L544" s="67" t="s">
        <v>1205</v>
      </c>
      <c r="M544" s="439"/>
    </row>
    <row r="545" spans="1:13" s="3" customFormat="1" ht="18.75" customHeight="1" x14ac:dyDescent="0.4">
      <c r="A545" s="482">
        <v>46115</v>
      </c>
      <c r="B545" s="110" t="s">
        <v>782</v>
      </c>
      <c r="C545" s="29" t="s">
        <v>150</v>
      </c>
      <c r="D545" s="110" t="s">
        <v>257</v>
      </c>
      <c r="E545" s="110"/>
      <c r="F545" s="533">
        <v>8</v>
      </c>
      <c r="G545" s="49">
        <f t="shared" si="17"/>
        <v>1183091.8860000002</v>
      </c>
      <c r="H545" s="36">
        <f t="shared" si="16"/>
        <v>9464735.0880000014</v>
      </c>
      <c r="I545" s="525" t="s">
        <v>1178</v>
      </c>
      <c r="J545" s="534">
        <v>124260</v>
      </c>
      <c r="K545" s="610">
        <v>9.5211000000000006</v>
      </c>
      <c r="L545" s="144" t="s">
        <v>1323</v>
      </c>
      <c r="M545" s="89">
        <v>1</v>
      </c>
    </row>
    <row r="546" spans="1:13" s="3" customFormat="1" ht="18.75" customHeight="1" x14ac:dyDescent="0.4">
      <c r="A546" s="482">
        <v>46115</v>
      </c>
      <c r="B546" s="110" t="s">
        <v>782</v>
      </c>
      <c r="C546" s="29" t="s">
        <v>150</v>
      </c>
      <c r="D546" s="110" t="s">
        <v>258</v>
      </c>
      <c r="E546" s="110"/>
      <c r="F546" s="533">
        <v>1</v>
      </c>
      <c r="G546" s="49">
        <f t="shared" si="17"/>
        <v>1198516.068</v>
      </c>
      <c r="H546" s="36">
        <f t="shared" si="16"/>
        <v>1198516.068</v>
      </c>
      <c r="I546" s="525" t="s">
        <v>1324</v>
      </c>
      <c r="J546" s="534">
        <v>125880</v>
      </c>
      <c r="K546" s="610">
        <v>9.5211000000000006</v>
      </c>
      <c r="L546" s="144" t="s">
        <v>1323</v>
      </c>
      <c r="M546" s="89">
        <v>2</v>
      </c>
    </row>
    <row r="547" spans="1:13" s="3" customFormat="1" ht="18.75" customHeight="1" x14ac:dyDescent="0.4">
      <c r="A547" s="482">
        <v>46115</v>
      </c>
      <c r="B547" s="110" t="s">
        <v>782</v>
      </c>
      <c r="C547" s="29" t="s">
        <v>150</v>
      </c>
      <c r="D547" s="110" t="s">
        <v>258</v>
      </c>
      <c r="E547" s="110"/>
      <c r="F547" s="533">
        <v>1</v>
      </c>
      <c r="G547" s="49">
        <f t="shared" si="17"/>
        <v>1198516.068</v>
      </c>
      <c r="H547" s="36">
        <f t="shared" si="16"/>
        <v>1198516.068</v>
      </c>
      <c r="I547" s="525" t="s">
        <v>1325</v>
      </c>
      <c r="J547" s="534">
        <v>125880</v>
      </c>
      <c r="K547" s="610">
        <v>9.5211000000000006</v>
      </c>
      <c r="L547" s="144" t="s">
        <v>1323</v>
      </c>
      <c r="M547" s="89">
        <v>3</v>
      </c>
    </row>
    <row r="548" spans="1:13" s="3" customFormat="1" ht="18.75" customHeight="1" x14ac:dyDescent="0.4">
      <c r="A548" s="482">
        <v>46115</v>
      </c>
      <c r="B548" s="110" t="s">
        <v>782</v>
      </c>
      <c r="C548" s="29" t="s">
        <v>153</v>
      </c>
      <c r="D548" s="110" t="s">
        <v>337</v>
      </c>
      <c r="E548" s="110"/>
      <c r="F548" s="533">
        <v>2</v>
      </c>
      <c r="G548" s="49">
        <f t="shared" si="17"/>
        <v>2106543.375</v>
      </c>
      <c r="H548" s="36">
        <f t="shared" si="16"/>
        <v>4213086.75</v>
      </c>
      <c r="I548" s="525" t="s">
        <v>1198</v>
      </c>
      <c r="J548" s="534">
        <v>221250</v>
      </c>
      <c r="K548" s="610">
        <v>9.5211000000000006</v>
      </c>
      <c r="L548" s="144" t="s">
        <v>1323</v>
      </c>
      <c r="M548" s="89">
        <v>4</v>
      </c>
    </row>
    <row r="549" spans="1:13" s="3" customFormat="1" ht="18.75" customHeight="1" x14ac:dyDescent="0.4">
      <c r="A549" s="482">
        <v>46115</v>
      </c>
      <c r="B549" s="110" t="s">
        <v>782</v>
      </c>
      <c r="C549" s="29" t="s">
        <v>157</v>
      </c>
      <c r="D549" s="110" t="s">
        <v>259</v>
      </c>
      <c r="E549" s="110"/>
      <c r="F549" s="533">
        <v>2</v>
      </c>
      <c r="G549" s="49">
        <f t="shared" si="17"/>
        <v>3490816.1040000003</v>
      </c>
      <c r="H549" s="36">
        <f t="shared" si="16"/>
        <v>6981632.2080000006</v>
      </c>
      <c r="I549" s="525" t="s">
        <v>1198</v>
      </c>
      <c r="J549" s="534">
        <v>366640</v>
      </c>
      <c r="K549" s="610">
        <v>9.5211000000000006</v>
      </c>
      <c r="L549" s="144" t="s">
        <v>1323</v>
      </c>
      <c r="M549" s="89">
        <v>5</v>
      </c>
    </row>
    <row r="550" spans="1:13" s="3" customFormat="1" ht="18.75" customHeight="1" x14ac:dyDescent="0.4">
      <c r="A550" s="482">
        <v>46115</v>
      </c>
      <c r="B550" s="110" t="s">
        <v>782</v>
      </c>
      <c r="C550" s="29" t="s">
        <v>155</v>
      </c>
      <c r="D550" s="110" t="s">
        <v>253</v>
      </c>
      <c r="E550" s="110"/>
      <c r="F550" s="533">
        <v>6</v>
      </c>
      <c r="G550" s="49">
        <f t="shared" si="17"/>
        <v>3729034.0260000001</v>
      </c>
      <c r="H550" s="36">
        <f t="shared" si="16"/>
        <v>22374204.155999999</v>
      </c>
      <c r="I550" s="525" t="s">
        <v>1209</v>
      </c>
      <c r="J550" s="534">
        <v>391660</v>
      </c>
      <c r="K550" s="610">
        <v>9.5211000000000006</v>
      </c>
      <c r="L550" s="144" t="s">
        <v>1323</v>
      </c>
      <c r="M550" s="89">
        <v>6</v>
      </c>
    </row>
    <row r="551" spans="1:13" s="3" customFormat="1" ht="18.75" customHeight="1" x14ac:dyDescent="0.4">
      <c r="A551" s="482">
        <v>46115</v>
      </c>
      <c r="B551" s="110" t="s">
        <v>782</v>
      </c>
      <c r="C551" s="29" t="s">
        <v>153</v>
      </c>
      <c r="D551" s="110" t="s">
        <v>1326</v>
      </c>
      <c r="E551" s="110"/>
      <c r="F551" s="533">
        <v>4</v>
      </c>
      <c r="G551" s="49">
        <f t="shared" si="17"/>
        <v>2106543.375</v>
      </c>
      <c r="H551" s="36">
        <f t="shared" si="16"/>
        <v>8426173.5</v>
      </c>
      <c r="I551" s="525" t="s">
        <v>1209</v>
      </c>
      <c r="J551" s="534">
        <v>221250</v>
      </c>
      <c r="K551" s="610">
        <v>9.5211000000000006</v>
      </c>
      <c r="L551" s="144" t="s">
        <v>1323</v>
      </c>
      <c r="M551" s="89">
        <v>7</v>
      </c>
    </row>
    <row r="552" spans="1:13" s="3" customFormat="1" ht="18.75" customHeight="1" x14ac:dyDescent="0.4">
      <c r="A552" s="482">
        <v>46115</v>
      </c>
      <c r="B552" s="110" t="s">
        <v>782</v>
      </c>
      <c r="C552" s="29" t="s">
        <v>156</v>
      </c>
      <c r="D552" s="110" t="s">
        <v>271</v>
      </c>
      <c r="E552" s="110"/>
      <c r="F552" s="533">
        <v>4</v>
      </c>
      <c r="G552" s="49">
        <f t="shared" si="17"/>
        <v>1110350.682</v>
      </c>
      <c r="H552" s="36">
        <f t="shared" si="16"/>
        <v>4441402.7280000001</v>
      </c>
      <c r="I552" s="525" t="s">
        <v>1327</v>
      </c>
      <c r="J552" s="534">
        <v>116620</v>
      </c>
      <c r="K552" s="610">
        <v>9.5211000000000006</v>
      </c>
      <c r="L552" s="144" t="s">
        <v>1323</v>
      </c>
      <c r="M552" s="89">
        <v>8</v>
      </c>
    </row>
    <row r="553" spans="1:13" s="3" customFormat="1" ht="18.75" customHeight="1" x14ac:dyDescent="0.4">
      <c r="A553" s="482">
        <v>46115</v>
      </c>
      <c r="B553" s="110" t="s">
        <v>782</v>
      </c>
      <c r="C553" s="29" t="s">
        <v>154</v>
      </c>
      <c r="D553" s="110" t="s">
        <v>1328</v>
      </c>
      <c r="E553" s="110"/>
      <c r="F553" s="533">
        <v>1</v>
      </c>
      <c r="G553" s="49">
        <f t="shared" si="17"/>
        <v>77635.049400000004</v>
      </c>
      <c r="H553" s="36">
        <f t="shared" si="16"/>
        <v>77635.049400000004</v>
      </c>
      <c r="I553" s="525" t="s">
        <v>1329</v>
      </c>
      <c r="J553" s="534">
        <v>8154</v>
      </c>
      <c r="K553" s="610">
        <v>9.5211000000000006</v>
      </c>
      <c r="L553" s="144" t="s">
        <v>1323</v>
      </c>
      <c r="M553" s="89">
        <v>9</v>
      </c>
    </row>
    <row r="554" spans="1:13" s="3" customFormat="1" ht="18.75" customHeight="1" x14ac:dyDescent="0.4">
      <c r="A554" s="482">
        <v>46115</v>
      </c>
      <c r="B554" s="110" t="s">
        <v>782</v>
      </c>
      <c r="C554" s="29" t="s">
        <v>160</v>
      </c>
      <c r="D554" s="110" t="s">
        <v>1330</v>
      </c>
      <c r="E554" s="110"/>
      <c r="F554" s="533">
        <v>6</v>
      </c>
      <c r="G554" s="49">
        <f t="shared" si="17"/>
        <v>402171.26400000002</v>
      </c>
      <c r="H554" s="36">
        <f t="shared" si="16"/>
        <v>2413027.5840000003</v>
      </c>
      <c r="I554" s="525" t="s">
        <v>992</v>
      </c>
      <c r="J554" s="534">
        <v>42240</v>
      </c>
      <c r="K554" s="610">
        <v>9.5211000000000006</v>
      </c>
      <c r="L554" s="144" t="s">
        <v>1323</v>
      </c>
      <c r="M554" s="89">
        <v>10</v>
      </c>
    </row>
    <row r="555" spans="1:13" s="3" customFormat="1" ht="18.75" customHeight="1" x14ac:dyDescent="0.4">
      <c r="A555" s="482">
        <v>46122</v>
      </c>
      <c r="B555" s="110" t="s">
        <v>782</v>
      </c>
      <c r="C555" s="29" t="s">
        <v>154</v>
      </c>
      <c r="D555" s="110" t="s">
        <v>267</v>
      </c>
      <c r="E555" s="110"/>
      <c r="F555" s="533">
        <v>8</v>
      </c>
      <c r="G555" s="49">
        <f t="shared" si="17"/>
        <v>3862562.7600000002</v>
      </c>
      <c r="H555" s="36">
        <f t="shared" si="16"/>
        <v>30900502.080000002</v>
      </c>
      <c r="I555" s="525" t="s">
        <v>1331</v>
      </c>
      <c r="J555" s="534">
        <v>417200</v>
      </c>
      <c r="K555" s="610">
        <v>9.2583000000000002</v>
      </c>
      <c r="L555" s="144" t="s">
        <v>1332</v>
      </c>
      <c r="M555" s="89">
        <v>1</v>
      </c>
    </row>
    <row r="556" spans="1:13" s="3" customFormat="1" ht="18.75" customHeight="1" x14ac:dyDescent="0.4">
      <c r="A556" s="482">
        <v>46122</v>
      </c>
      <c r="B556" s="110" t="s">
        <v>782</v>
      </c>
      <c r="C556" s="29" t="s">
        <v>158</v>
      </c>
      <c r="D556" s="110" t="s">
        <v>252</v>
      </c>
      <c r="E556" s="110"/>
      <c r="F556" s="533">
        <v>8</v>
      </c>
      <c r="G556" s="49">
        <f t="shared" si="17"/>
        <v>3492230.7600000002</v>
      </c>
      <c r="H556" s="36">
        <f t="shared" si="16"/>
        <v>27937846.080000002</v>
      </c>
      <c r="I556" s="525" t="s">
        <v>1333</v>
      </c>
      <c r="J556" s="534">
        <v>377200</v>
      </c>
      <c r="K556" s="610">
        <v>9.2583000000000002</v>
      </c>
      <c r="L556" s="144" t="s">
        <v>1332</v>
      </c>
      <c r="M556" s="89">
        <v>2</v>
      </c>
    </row>
    <row r="557" spans="1:13" s="3" customFormat="1" ht="18.75" customHeight="1" x14ac:dyDescent="0.4">
      <c r="A557" s="482">
        <v>46122</v>
      </c>
      <c r="B557" s="110" t="s">
        <v>782</v>
      </c>
      <c r="C557" s="29" t="s">
        <v>152</v>
      </c>
      <c r="D557" s="110" t="s">
        <v>263</v>
      </c>
      <c r="E557" s="110"/>
      <c r="F557" s="533">
        <v>4</v>
      </c>
      <c r="G557" s="49">
        <f t="shared" si="17"/>
        <v>924626.42099999997</v>
      </c>
      <c r="H557" s="36">
        <f t="shared" si="16"/>
        <v>3698505.6839999999</v>
      </c>
      <c r="I557" s="525" t="s">
        <v>1334</v>
      </c>
      <c r="J557" s="534">
        <v>99870</v>
      </c>
      <c r="K557" s="610">
        <v>9.2583000000000002</v>
      </c>
      <c r="L557" s="144" t="s">
        <v>1335</v>
      </c>
      <c r="M557" s="89">
        <v>3</v>
      </c>
    </row>
    <row r="558" spans="1:13" s="3" customFormat="1" ht="18.75" customHeight="1" x14ac:dyDescent="0.4">
      <c r="A558" s="482">
        <v>46122</v>
      </c>
      <c r="B558" s="110" t="s">
        <v>782</v>
      </c>
      <c r="C558" s="29" t="s">
        <v>153</v>
      </c>
      <c r="D558" s="110" t="s">
        <v>264</v>
      </c>
      <c r="E558" s="110"/>
      <c r="F558" s="533">
        <v>3</v>
      </c>
      <c r="G558" s="49">
        <f t="shared" si="17"/>
        <v>2765639.3760000002</v>
      </c>
      <c r="H558" s="36">
        <f t="shared" si="16"/>
        <v>8296918.1280000005</v>
      </c>
      <c r="I558" s="525" t="s">
        <v>1178</v>
      </c>
      <c r="J558" s="534">
        <v>298720</v>
      </c>
      <c r="K558" s="610">
        <v>9.2583000000000002</v>
      </c>
      <c r="L558" s="144" t="s">
        <v>1335</v>
      </c>
      <c r="M558" s="89">
        <v>4</v>
      </c>
    </row>
    <row r="559" spans="1:13" s="3" customFormat="1" ht="18.75" customHeight="1" x14ac:dyDescent="0.4">
      <c r="A559" s="482">
        <v>46122</v>
      </c>
      <c r="B559" s="110" t="s">
        <v>782</v>
      </c>
      <c r="C559" s="29" t="s">
        <v>157</v>
      </c>
      <c r="D559" s="110" t="s">
        <v>259</v>
      </c>
      <c r="E559" s="110"/>
      <c r="F559" s="533">
        <v>1</v>
      </c>
      <c r="G559" s="49">
        <f t="shared" si="17"/>
        <v>3394463.1120000002</v>
      </c>
      <c r="H559" s="36">
        <f t="shared" si="16"/>
        <v>3394463.1120000002</v>
      </c>
      <c r="I559" s="525" t="s">
        <v>1198</v>
      </c>
      <c r="J559" s="534">
        <v>366640</v>
      </c>
      <c r="K559" s="610">
        <v>9.2583000000000002</v>
      </c>
      <c r="L559" s="144" t="s">
        <v>1335</v>
      </c>
      <c r="M559" s="89">
        <v>5</v>
      </c>
    </row>
    <row r="560" spans="1:13" s="3" customFormat="1" ht="18.75" customHeight="1" x14ac:dyDescent="0.4">
      <c r="A560" s="482">
        <v>46122</v>
      </c>
      <c r="B560" s="110" t="s">
        <v>782</v>
      </c>
      <c r="C560" s="29" t="s">
        <v>150</v>
      </c>
      <c r="D560" s="110" t="s">
        <v>334</v>
      </c>
      <c r="E560" s="110"/>
      <c r="F560" s="533">
        <v>4</v>
      </c>
      <c r="G560" s="49">
        <f t="shared" si="17"/>
        <v>306449.73</v>
      </c>
      <c r="H560" s="36">
        <f t="shared" si="16"/>
        <v>1225798.92</v>
      </c>
      <c r="I560" s="525" t="s">
        <v>1183</v>
      </c>
      <c r="J560" s="534">
        <v>33100</v>
      </c>
      <c r="K560" s="610">
        <v>9.2583000000000002</v>
      </c>
      <c r="L560" s="144" t="s">
        <v>1335</v>
      </c>
      <c r="M560" s="89">
        <v>6</v>
      </c>
    </row>
    <row r="561" spans="1:13" s="3" customFormat="1" ht="18.75" customHeight="1" x14ac:dyDescent="0.4">
      <c r="A561" s="482">
        <v>46122</v>
      </c>
      <c r="B561" s="110" t="s">
        <v>782</v>
      </c>
      <c r="C561" s="29" t="s">
        <v>154</v>
      </c>
      <c r="D561" s="110" t="s">
        <v>1328</v>
      </c>
      <c r="E561" s="110"/>
      <c r="F561" s="533">
        <v>4</v>
      </c>
      <c r="G561" s="49">
        <f t="shared" si="17"/>
        <v>722702.89800000004</v>
      </c>
      <c r="H561" s="36">
        <f t="shared" si="16"/>
        <v>2890811.5920000002</v>
      </c>
      <c r="I561" s="525" t="s">
        <v>1183</v>
      </c>
      <c r="J561" s="534">
        <v>78060</v>
      </c>
      <c r="K561" s="610">
        <v>9.2583000000000002</v>
      </c>
      <c r="L561" s="144" t="s">
        <v>1335</v>
      </c>
      <c r="M561" s="89">
        <v>7</v>
      </c>
    </row>
    <row r="562" spans="1:13" s="3" customFormat="1" ht="18.75" customHeight="1" x14ac:dyDescent="0.4">
      <c r="A562" s="482">
        <v>46122</v>
      </c>
      <c r="B562" s="110" t="s">
        <v>782</v>
      </c>
      <c r="C562" s="29" t="s">
        <v>153</v>
      </c>
      <c r="D562" s="110" t="s">
        <v>337</v>
      </c>
      <c r="E562" s="110"/>
      <c r="F562" s="533">
        <v>4</v>
      </c>
      <c r="G562" s="49">
        <f t="shared" si="17"/>
        <v>2048398.875</v>
      </c>
      <c r="H562" s="36">
        <f t="shared" si="16"/>
        <v>8193595.5</v>
      </c>
      <c r="I562" s="525" t="s">
        <v>1209</v>
      </c>
      <c r="J562" s="534">
        <v>221250</v>
      </c>
      <c r="K562" s="610">
        <v>9.2583000000000002</v>
      </c>
      <c r="L562" s="144" t="s">
        <v>1335</v>
      </c>
      <c r="M562" s="89">
        <v>8</v>
      </c>
    </row>
    <row r="563" spans="1:13" s="3" customFormat="1" ht="18.75" customHeight="1" x14ac:dyDescent="0.4">
      <c r="A563" s="482">
        <v>46122</v>
      </c>
      <c r="B563" s="110" t="s">
        <v>782</v>
      </c>
      <c r="C563" s="29" t="s">
        <v>157</v>
      </c>
      <c r="D563" s="110" t="s">
        <v>270</v>
      </c>
      <c r="E563" s="110"/>
      <c r="F563" s="533">
        <v>8</v>
      </c>
      <c r="G563" s="49">
        <f t="shared" si="17"/>
        <v>3394463.1120000002</v>
      </c>
      <c r="H563" s="36">
        <f t="shared" si="16"/>
        <v>27155704.896000002</v>
      </c>
      <c r="I563" s="525" t="s">
        <v>1209</v>
      </c>
      <c r="J563" s="534">
        <v>366640</v>
      </c>
      <c r="K563" s="610">
        <v>9.2583000000000002</v>
      </c>
      <c r="L563" s="144" t="s">
        <v>1335</v>
      </c>
      <c r="M563" s="89">
        <v>9</v>
      </c>
    </row>
    <row r="564" spans="1:13" s="3" customFormat="1" ht="18.75" customHeight="1" x14ac:dyDescent="0.4">
      <c r="A564" s="482">
        <v>46122</v>
      </c>
      <c r="B564" s="110" t="s">
        <v>782</v>
      </c>
      <c r="C564" s="29" t="s">
        <v>154</v>
      </c>
      <c r="D564" s="110" t="s">
        <v>1336</v>
      </c>
      <c r="E564" s="110"/>
      <c r="F564" s="533">
        <v>4</v>
      </c>
      <c r="G564" s="49">
        <f t="shared" si="17"/>
        <v>722702.89800000004</v>
      </c>
      <c r="H564" s="36">
        <f t="shared" si="16"/>
        <v>2890811.5920000002</v>
      </c>
      <c r="I564" s="525" t="s">
        <v>1337</v>
      </c>
      <c r="J564" s="534">
        <v>78060</v>
      </c>
      <c r="K564" s="610">
        <v>9.2583000000000002</v>
      </c>
      <c r="L564" s="144" t="s">
        <v>1335</v>
      </c>
      <c r="M564" s="89">
        <v>10</v>
      </c>
    </row>
    <row r="565" spans="1:13" s="3" customFormat="1" ht="18.75" customHeight="1" x14ac:dyDescent="0.4">
      <c r="A565" s="482">
        <v>46122</v>
      </c>
      <c r="B565" s="110" t="s">
        <v>782</v>
      </c>
      <c r="C565" s="29" t="s">
        <v>154</v>
      </c>
      <c r="D565" s="110" t="s">
        <v>1336</v>
      </c>
      <c r="E565" s="110"/>
      <c r="F565" s="533">
        <v>4</v>
      </c>
      <c r="G565" s="49">
        <f t="shared" si="17"/>
        <v>722702.89800000004</v>
      </c>
      <c r="H565" s="36">
        <f t="shared" si="16"/>
        <v>2890811.5920000002</v>
      </c>
      <c r="I565" s="525" t="s">
        <v>1338</v>
      </c>
      <c r="J565" s="534">
        <v>78060</v>
      </c>
      <c r="K565" s="610">
        <v>9.2583000000000002</v>
      </c>
      <c r="L565" s="144" t="s">
        <v>1335</v>
      </c>
      <c r="M565" s="89">
        <v>11</v>
      </c>
    </row>
    <row r="566" spans="1:13" s="3" customFormat="1" ht="18.75" customHeight="1" x14ac:dyDescent="0.4">
      <c r="A566" s="482">
        <v>46122</v>
      </c>
      <c r="B566" s="110" t="s">
        <v>782</v>
      </c>
      <c r="C566" s="29" t="s">
        <v>160</v>
      </c>
      <c r="D566" s="110" t="s">
        <v>274</v>
      </c>
      <c r="E566" s="110"/>
      <c r="F566" s="533">
        <v>8</v>
      </c>
      <c r="G566" s="49">
        <f t="shared" si="17"/>
        <v>504299.60100000002</v>
      </c>
      <c r="H566" s="36">
        <f t="shared" si="16"/>
        <v>4034396.8080000002</v>
      </c>
      <c r="I566" s="525" t="s">
        <v>1339</v>
      </c>
      <c r="J566" s="534">
        <v>54470</v>
      </c>
      <c r="K566" s="610">
        <v>9.2583000000000002</v>
      </c>
      <c r="L566" s="144" t="s">
        <v>1335</v>
      </c>
      <c r="M566" s="89">
        <v>12</v>
      </c>
    </row>
    <row r="567" spans="1:13" s="3" customFormat="1" ht="18.75" customHeight="1" x14ac:dyDescent="0.4">
      <c r="A567" s="482">
        <v>46122</v>
      </c>
      <c r="B567" s="110" t="s">
        <v>782</v>
      </c>
      <c r="C567" s="29" t="s">
        <v>154</v>
      </c>
      <c r="D567" s="110" t="s">
        <v>266</v>
      </c>
      <c r="E567" s="110"/>
      <c r="F567" s="533">
        <v>4</v>
      </c>
      <c r="G567" s="49">
        <f t="shared" si="17"/>
        <v>3882097.773</v>
      </c>
      <c r="H567" s="36">
        <f t="shared" si="16"/>
        <v>15528391.092</v>
      </c>
      <c r="I567" s="525" t="s">
        <v>1339</v>
      </c>
      <c r="J567" s="534">
        <v>419310</v>
      </c>
      <c r="K567" s="610">
        <v>9.2583000000000002</v>
      </c>
      <c r="L567" s="144" t="s">
        <v>1335</v>
      </c>
      <c r="M567" s="89">
        <v>13</v>
      </c>
    </row>
    <row r="568" spans="1:13" s="3" customFormat="1" ht="18.75" customHeight="1" x14ac:dyDescent="0.4">
      <c r="A568" s="482">
        <v>46122</v>
      </c>
      <c r="B568" s="110" t="s">
        <v>782</v>
      </c>
      <c r="C568" s="29" t="s">
        <v>155</v>
      </c>
      <c r="D568" s="110" t="s">
        <v>253</v>
      </c>
      <c r="E568" s="110"/>
      <c r="F568" s="533">
        <v>8</v>
      </c>
      <c r="G568" s="49">
        <f t="shared" si="17"/>
        <v>3626105.7779999999</v>
      </c>
      <c r="H568" s="36">
        <f t="shared" si="16"/>
        <v>29008846.223999999</v>
      </c>
      <c r="I568" s="525" t="s">
        <v>1210</v>
      </c>
      <c r="J568" s="534">
        <v>391660</v>
      </c>
      <c r="K568" s="610">
        <v>9.2583000000000002</v>
      </c>
      <c r="L568" s="144" t="s">
        <v>1335</v>
      </c>
      <c r="M568" s="89">
        <v>14</v>
      </c>
    </row>
    <row r="569" spans="1:13" s="3" customFormat="1" ht="18.75" customHeight="1" x14ac:dyDescent="0.4">
      <c r="A569" s="482">
        <v>46122</v>
      </c>
      <c r="B569" s="110" t="s">
        <v>782</v>
      </c>
      <c r="C569" s="29" t="s">
        <v>153</v>
      </c>
      <c r="D569" s="110" t="s">
        <v>337</v>
      </c>
      <c r="E569" s="110"/>
      <c r="F569" s="533">
        <v>1</v>
      </c>
      <c r="G569" s="49">
        <f t="shared" si="17"/>
        <v>2048398.875</v>
      </c>
      <c r="H569" s="36">
        <f t="shared" si="16"/>
        <v>2048398.875</v>
      </c>
      <c r="I569" s="525" t="s">
        <v>1210</v>
      </c>
      <c r="J569" s="534">
        <v>221250</v>
      </c>
      <c r="K569" s="610">
        <v>9.2583000000000002</v>
      </c>
      <c r="L569" s="144" t="s">
        <v>1335</v>
      </c>
      <c r="M569" s="89">
        <v>15</v>
      </c>
    </row>
    <row r="570" spans="1:13" s="3" customFormat="1" ht="18.75" customHeight="1" x14ac:dyDescent="0.4">
      <c r="A570" s="482">
        <v>46122</v>
      </c>
      <c r="B570" s="110" t="s">
        <v>782</v>
      </c>
      <c r="C570" s="29" t="s">
        <v>157</v>
      </c>
      <c r="D570" s="110" t="s">
        <v>259</v>
      </c>
      <c r="E570" s="110"/>
      <c r="F570" s="533">
        <v>2</v>
      </c>
      <c r="G570" s="49">
        <f t="shared" si="17"/>
        <v>3394463.1120000002</v>
      </c>
      <c r="H570" s="36">
        <f t="shared" si="16"/>
        <v>6788926.2240000004</v>
      </c>
      <c r="I570" s="525" t="s">
        <v>1210</v>
      </c>
      <c r="J570" s="534">
        <v>366640</v>
      </c>
      <c r="K570" s="610">
        <v>9.2583000000000002</v>
      </c>
      <c r="L570" s="144" t="s">
        <v>1335</v>
      </c>
      <c r="M570" s="89">
        <v>16</v>
      </c>
    </row>
    <row r="571" spans="1:13" s="3" customFormat="1" ht="18.75" customHeight="1" x14ac:dyDescent="0.4">
      <c r="A571" s="482">
        <v>46122</v>
      </c>
      <c r="B571" s="110" t="s">
        <v>782</v>
      </c>
      <c r="C571" s="29" t="s">
        <v>154</v>
      </c>
      <c r="D571" s="110" t="s">
        <v>1336</v>
      </c>
      <c r="E571" s="110"/>
      <c r="F571" s="533">
        <v>4</v>
      </c>
      <c r="G571" s="49">
        <f t="shared" si="17"/>
        <v>722702.89800000004</v>
      </c>
      <c r="H571" s="36">
        <f t="shared" si="16"/>
        <v>2890811.5920000002</v>
      </c>
      <c r="I571" s="525" t="s">
        <v>1199</v>
      </c>
      <c r="J571" s="534">
        <v>78060</v>
      </c>
      <c r="K571" s="610">
        <v>9.2583000000000002</v>
      </c>
      <c r="L571" s="144" t="s">
        <v>1335</v>
      </c>
      <c r="M571" s="89">
        <v>17</v>
      </c>
    </row>
    <row r="572" spans="1:13" s="3" customFormat="1" ht="18.75" customHeight="1" x14ac:dyDescent="0.4">
      <c r="A572" s="482">
        <v>46122</v>
      </c>
      <c r="B572" s="110" t="s">
        <v>782</v>
      </c>
      <c r="C572" s="29" t="s">
        <v>155</v>
      </c>
      <c r="D572" s="110" t="s">
        <v>253</v>
      </c>
      <c r="E572" s="110"/>
      <c r="F572" s="533">
        <v>2</v>
      </c>
      <c r="G572" s="49">
        <f t="shared" si="17"/>
        <v>3626105.7779999999</v>
      </c>
      <c r="H572" s="36">
        <f t="shared" si="16"/>
        <v>7252211.5559999999</v>
      </c>
      <c r="I572" s="525" t="s">
        <v>1340</v>
      </c>
      <c r="J572" s="534">
        <v>391660</v>
      </c>
      <c r="K572" s="610">
        <v>9.2583000000000002</v>
      </c>
      <c r="L572" s="144" t="s">
        <v>1335</v>
      </c>
      <c r="M572" s="89">
        <v>18</v>
      </c>
    </row>
    <row r="573" spans="1:13" s="3" customFormat="1" ht="18.75" customHeight="1" x14ac:dyDescent="0.4">
      <c r="A573" s="482">
        <v>46122</v>
      </c>
      <c r="B573" s="110" t="s">
        <v>782</v>
      </c>
      <c r="C573" s="29" t="s">
        <v>154</v>
      </c>
      <c r="D573" s="110" t="s">
        <v>1336</v>
      </c>
      <c r="E573" s="110"/>
      <c r="F573" s="533">
        <v>4</v>
      </c>
      <c r="G573" s="49">
        <f t="shared" si="17"/>
        <v>722702.89800000004</v>
      </c>
      <c r="H573" s="36">
        <f t="shared" si="16"/>
        <v>2890811.5920000002</v>
      </c>
      <c r="I573" s="525" t="s">
        <v>1201</v>
      </c>
      <c r="J573" s="534">
        <v>78060</v>
      </c>
      <c r="K573" s="610">
        <v>9.2583000000000002</v>
      </c>
      <c r="L573" s="144" t="s">
        <v>1335</v>
      </c>
      <c r="M573" s="89">
        <v>19</v>
      </c>
    </row>
    <row r="574" spans="1:13" s="3" customFormat="1" ht="18.75" customHeight="1" x14ac:dyDescent="0.4">
      <c r="A574" s="482">
        <v>46122</v>
      </c>
      <c r="B574" s="110" t="s">
        <v>782</v>
      </c>
      <c r="C574" s="29" t="s">
        <v>153</v>
      </c>
      <c r="D574" s="110" t="s">
        <v>269</v>
      </c>
      <c r="E574" s="110"/>
      <c r="F574" s="533">
        <v>8</v>
      </c>
      <c r="G574" s="49">
        <f t="shared" si="17"/>
        <v>1921189.8330000001</v>
      </c>
      <c r="H574" s="36">
        <f t="shared" si="16"/>
        <v>15369518.664000001</v>
      </c>
      <c r="I574" s="525" t="s">
        <v>1211</v>
      </c>
      <c r="J574" s="534">
        <v>207510</v>
      </c>
      <c r="K574" s="610">
        <v>9.2583000000000002</v>
      </c>
      <c r="L574" s="144" t="s">
        <v>1335</v>
      </c>
      <c r="M574" s="89">
        <v>20</v>
      </c>
    </row>
    <row r="575" spans="1:13" s="3" customFormat="1" ht="18.75" customHeight="1" x14ac:dyDescent="0.4">
      <c r="A575" s="482">
        <v>46122</v>
      </c>
      <c r="B575" s="110" t="s">
        <v>782</v>
      </c>
      <c r="C575" s="29" t="s">
        <v>154</v>
      </c>
      <c r="D575" s="110" t="s">
        <v>1336</v>
      </c>
      <c r="E575" s="110"/>
      <c r="F575" s="533">
        <v>4</v>
      </c>
      <c r="G575" s="49">
        <f t="shared" si="17"/>
        <v>722702.89800000004</v>
      </c>
      <c r="H575" s="36">
        <f t="shared" si="16"/>
        <v>2890811.5920000002</v>
      </c>
      <c r="I575" s="525" t="s">
        <v>1212</v>
      </c>
      <c r="J575" s="534">
        <v>78060</v>
      </c>
      <c r="K575" s="610">
        <v>9.2583000000000002</v>
      </c>
      <c r="L575" s="144" t="s">
        <v>1335</v>
      </c>
      <c r="M575" s="89">
        <v>21</v>
      </c>
    </row>
    <row r="576" spans="1:13" s="3" customFormat="1" ht="18.75" customHeight="1" x14ac:dyDescent="0.4">
      <c r="A576" s="482">
        <v>46122</v>
      </c>
      <c r="B576" s="110" t="s">
        <v>782</v>
      </c>
      <c r="C576" s="29" t="s">
        <v>156</v>
      </c>
      <c r="D576" s="110" t="s">
        <v>261</v>
      </c>
      <c r="E576" s="110"/>
      <c r="F576" s="533">
        <v>1</v>
      </c>
      <c r="G576" s="49">
        <f t="shared" si="17"/>
        <v>2076914.439</v>
      </c>
      <c r="H576" s="36">
        <f t="shared" si="16"/>
        <v>2076914.439</v>
      </c>
      <c r="I576" s="525" t="s">
        <v>1213</v>
      </c>
      <c r="J576" s="534">
        <v>224330</v>
      </c>
      <c r="K576" s="610">
        <v>9.2583000000000002</v>
      </c>
      <c r="L576" s="144" t="s">
        <v>1335</v>
      </c>
      <c r="M576" s="89">
        <v>22</v>
      </c>
    </row>
    <row r="577" spans="1:13" s="3" customFormat="1" ht="18.75" customHeight="1" x14ac:dyDescent="0.4">
      <c r="A577" s="482">
        <v>46122</v>
      </c>
      <c r="B577" s="110" t="s">
        <v>782</v>
      </c>
      <c r="C577" s="29" t="s">
        <v>153</v>
      </c>
      <c r="D577" s="110" t="s">
        <v>1341</v>
      </c>
      <c r="E577" s="110"/>
      <c r="F577" s="533">
        <v>1</v>
      </c>
      <c r="G577" s="49">
        <f t="shared" si="17"/>
        <v>1921189.8330000001</v>
      </c>
      <c r="H577" s="36">
        <f t="shared" si="16"/>
        <v>1921189.8330000001</v>
      </c>
      <c r="I577" s="525" t="s">
        <v>1214</v>
      </c>
      <c r="J577" s="534">
        <v>207510</v>
      </c>
      <c r="K577" s="610">
        <v>9.2583000000000002</v>
      </c>
      <c r="L577" s="144" t="s">
        <v>1335</v>
      </c>
      <c r="M577" s="89">
        <v>23</v>
      </c>
    </row>
    <row r="578" spans="1:13" s="3" customFormat="1" ht="18.75" customHeight="1" x14ac:dyDescent="0.4">
      <c r="A578" s="482">
        <v>46122</v>
      </c>
      <c r="B578" s="110" t="s">
        <v>782</v>
      </c>
      <c r="C578" s="29" t="s">
        <v>154</v>
      </c>
      <c r="D578" s="110" t="s">
        <v>1336</v>
      </c>
      <c r="E578" s="110"/>
      <c r="F578" s="533">
        <v>4</v>
      </c>
      <c r="G578" s="49">
        <f t="shared" si="17"/>
        <v>722702.89800000004</v>
      </c>
      <c r="H578" s="36">
        <f t="shared" si="16"/>
        <v>2890811.5920000002</v>
      </c>
      <c r="I578" s="525" t="s">
        <v>1327</v>
      </c>
      <c r="J578" s="534">
        <v>78060</v>
      </c>
      <c r="K578" s="610">
        <v>9.2583000000000002</v>
      </c>
      <c r="L578" s="144" t="s">
        <v>1335</v>
      </c>
      <c r="M578" s="89">
        <v>24</v>
      </c>
    </row>
    <row r="579" spans="1:13" s="3" customFormat="1" ht="18.75" customHeight="1" x14ac:dyDescent="0.4">
      <c r="A579" s="482">
        <v>46122</v>
      </c>
      <c r="B579" s="110" t="s">
        <v>782</v>
      </c>
      <c r="C579" s="29" t="s">
        <v>154</v>
      </c>
      <c r="D579" s="110" t="s">
        <v>1336</v>
      </c>
      <c r="E579" s="110"/>
      <c r="F579" s="533">
        <v>4</v>
      </c>
      <c r="G579" s="49">
        <f t="shared" si="17"/>
        <v>722702.89800000004</v>
      </c>
      <c r="H579" s="36">
        <f t="shared" si="16"/>
        <v>2890811.5920000002</v>
      </c>
      <c r="I579" s="525" t="s">
        <v>1342</v>
      </c>
      <c r="J579" s="534">
        <v>78060</v>
      </c>
      <c r="K579" s="610">
        <v>9.2583000000000002</v>
      </c>
      <c r="L579" s="144" t="s">
        <v>1335</v>
      </c>
      <c r="M579" s="89">
        <v>25</v>
      </c>
    </row>
    <row r="580" spans="1:13" s="3" customFormat="1" ht="18.75" customHeight="1" x14ac:dyDescent="0.4">
      <c r="A580" s="482">
        <v>46122</v>
      </c>
      <c r="B580" s="110" t="s">
        <v>782</v>
      </c>
      <c r="C580" s="29" t="s">
        <v>150</v>
      </c>
      <c r="D580" s="110" t="s">
        <v>275</v>
      </c>
      <c r="E580" s="110"/>
      <c r="F580" s="533">
        <v>1</v>
      </c>
      <c r="G580" s="49">
        <f t="shared" si="17"/>
        <v>541332.80099999998</v>
      </c>
      <c r="H580" s="36">
        <f t="shared" si="16"/>
        <v>541332.80099999998</v>
      </c>
      <c r="I580" s="525" t="s">
        <v>1343</v>
      </c>
      <c r="J580" s="534">
        <v>58470</v>
      </c>
      <c r="K580" s="610">
        <v>9.2583000000000002</v>
      </c>
      <c r="L580" s="144" t="s">
        <v>1335</v>
      </c>
      <c r="M580" s="89">
        <v>26</v>
      </c>
    </row>
    <row r="581" spans="1:13" s="3" customFormat="1" ht="18.75" customHeight="1" x14ac:dyDescent="0.4">
      <c r="A581" s="482">
        <v>46129</v>
      </c>
      <c r="B581" s="110" t="s">
        <v>782</v>
      </c>
      <c r="C581" s="29" t="s">
        <v>161</v>
      </c>
      <c r="D581" s="110" t="s">
        <v>1344</v>
      </c>
      <c r="E581" s="110"/>
      <c r="F581" s="533">
        <v>2</v>
      </c>
      <c r="G581" s="49">
        <f t="shared" si="17"/>
        <v>249751.96500000003</v>
      </c>
      <c r="H581" s="36">
        <f t="shared" si="16"/>
        <v>499503.93000000005</v>
      </c>
      <c r="I581" s="525" t="s">
        <v>1345</v>
      </c>
      <c r="J581" s="534">
        <v>26990</v>
      </c>
      <c r="K581" s="610">
        <v>9.2535000000000007</v>
      </c>
      <c r="L581" s="144" t="s">
        <v>1346</v>
      </c>
      <c r="M581" s="89">
        <v>1</v>
      </c>
    </row>
    <row r="582" spans="1:13" s="3" customFormat="1" ht="18.75" customHeight="1" x14ac:dyDescent="0.4">
      <c r="A582" s="482">
        <v>46129</v>
      </c>
      <c r="B582" s="110" t="s">
        <v>782</v>
      </c>
      <c r="C582" s="29" t="s">
        <v>160</v>
      </c>
      <c r="D582" s="110" t="s">
        <v>274</v>
      </c>
      <c r="E582" s="110"/>
      <c r="F582" s="533">
        <v>8</v>
      </c>
      <c r="G582" s="49">
        <f t="shared" si="17"/>
        <v>496080.13500000007</v>
      </c>
      <c r="H582" s="36">
        <f t="shared" si="16"/>
        <v>3968641.0800000005</v>
      </c>
      <c r="I582" s="525" t="s">
        <v>1347</v>
      </c>
      <c r="J582" s="534">
        <v>53610</v>
      </c>
      <c r="K582" s="610">
        <v>9.2535000000000007</v>
      </c>
      <c r="L582" s="144" t="s">
        <v>1346</v>
      </c>
      <c r="M582" s="89">
        <v>2</v>
      </c>
    </row>
    <row r="583" spans="1:13" s="3" customFormat="1" ht="18.75" customHeight="1" x14ac:dyDescent="0.4">
      <c r="A583" s="482">
        <v>46129</v>
      </c>
      <c r="B583" s="110" t="s">
        <v>782</v>
      </c>
      <c r="C583" s="29" t="s">
        <v>152</v>
      </c>
      <c r="D583" s="110" t="s">
        <v>263</v>
      </c>
      <c r="E583" s="110"/>
      <c r="F583" s="533">
        <v>5</v>
      </c>
      <c r="G583" s="49">
        <f t="shared" si="17"/>
        <v>924147.04500000004</v>
      </c>
      <c r="H583" s="36">
        <f t="shared" si="16"/>
        <v>4620735.2250000006</v>
      </c>
      <c r="I583" s="525" t="s">
        <v>1348</v>
      </c>
      <c r="J583" s="534">
        <v>99870</v>
      </c>
      <c r="K583" s="610">
        <v>9.2535000000000007</v>
      </c>
      <c r="L583" s="144" t="s">
        <v>1346</v>
      </c>
      <c r="M583" s="89">
        <v>3</v>
      </c>
    </row>
    <row r="584" spans="1:13" s="3" customFormat="1" ht="18.75" customHeight="1" x14ac:dyDescent="0.4">
      <c r="A584" s="482">
        <v>46129</v>
      </c>
      <c r="B584" s="110" t="s">
        <v>782</v>
      </c>
      <c r="C584" s="29" t="s">
        <v>157</v>
      </c>
      <c r="D584" s="110" t="s">
        <v>273</v>
      </c>
      <c r="E584" s="110"/>
      <c r="F584" s="533">
        <v>4</v>
      </c>
      <c r="G584" s="49">
        <f t="shared" si="17"/>
        <v>316654.77</v>
      </c>
      <c r="H584" s="36">
        <f t="shared" si="16"/>
        <v>1266619.08</v>
      </c>
      <c r="I584" s="525" t="s">
        <v>1181</v>
      </c>
      <c r="J584" s="534">
        <v>34220</v>
      </c>
      <c r="K584" s="610">
        <v>9.2535000000000007</v>
      </c>
      <c r="L584" s="144" t="s">
        <v>1346</v>
      </c>
      <c r="M584" s="89">
        <v>4</v>
      </c>
    </row>
    <row r="585" spans="1:13" s="3" customFormat="1" ht="18.75" customHeight="1" x14ac:dyDescent="0.4">
      <c r="A585" s="482">
        <v>46129</v>
      </c>
      <c r="B585" s="110" t="s">
        <v>782</v>
      </c>
      <c r="C585" s="29" t="s">
        <v>154</v>
      </c>
      <c r="D585" s="110" t="s">
        <v>652</v>
      </c>
      <c r="E585" s="110"/>
      <c r="F585" s="533">
        <v>1</v>
      </c>
      <c r="G585" s="49">
        <f t="shared" si="17"/>
        <v>1469640.87</v>
      </c>
      <c r="H585" s="36">
        <f t="shared" si="16"/>
        <v>1469640.87</v>
      </c>
      <c r="I585" s="525" t="s">
        <v>1182</v>
      </c>
      <c r="J585" s="534">
        <v>158820</v>
      </c>
      <c r="K585" s="610">
        <v>9.2535000000000007</v>
      </c>
      <c r="L585" s="144" t="s">
        <v>1346</v>
      </c>
      <c r="M585" s="89">
        <v>5</v>
      </c>
    </row>
    <row r="586" spans="1:13" s="3" customFormat="1" ht="18.75" customHeight="1" x14ac:dyDescent="0.4">
      <c r="A586" s="482">
        <v>46129</v>
      </c>
      <c r="B586" s="110" t="s">
        <v>782</v>
      </c>
      <c r="C586" s="29" t="s">
        <v>150</v>
      </c>
      <c r="D586" s="110" t="s">
        <v>257</v>
      </c>
      <c r="E586" s="110"/>
      <c r="F586" s="533">
        <v>8</v>
      </c>
      <c r="G586" s="49">
        <f t="shared" si="17"/>
        <v>1164830.58</v>
      </c>
      <c r="H586" s="36">
        <f t="shared" ref="H586:H632" si="18">F586*G586</f>
        <v>9318644.6400000006</v>
      </c>
      <c r="I586" s="525" t="s">
        <v>1198</v>
      </c>
      <c r="J586" s="534">
        <v>125880</v>
      </c>
      <c r="K586" s="610">
        <v>9.2535000000000007</v>
      </c>
      <c r="L586" s="144" t="s">
        <v>1346</v>
      </c>
      <c r="M586" s="89">
        <v>6</v>
      </c>
    </row>
    <row r="587" spans="1:13" s="3" customFormat="1" ht="18.75" customHeight="1" x14ac:dyDescent="0.4">
      <c r="A587" s="482">
        <v>46129</v>
      </c>
      <c r="B587" s="110" t="s">
        <v>782</v>
      </c>
      <c r="C587" s="29" t="s">
        <v>157</v>
      </c>
      <c r="D587" s="110" t="s">
        <v>338</v>
      </c>
      <c r="E587" s="110"/>
      <c r="F587" s="533">
        <v>4</v>
      </c>
      <c r="G587" s="49">
        <f t="shared" ref="G587:G632" si="19">J587*K587</f>
        <v>320448.70500000002</v>
      </c>
      <c r="H587" s="36">
        <f t="shared" si="18"/>
        <v>1281794.82</v>
      </c>
      <c r="I587" s="525" t="s">
        <v>1183</v>
      </c>
      <c r="J587" s="534">
        <v>34630</v>
      </c>
      <c r="K587" s="610">
        <v>9.2535000000000007</v>
      </c>
      <c r="L587" s="144" t="s">
        <v>1346</v>
      </c>
      <c r="M587" s="89">
        <v>7</v>
      </c>
    </row>
    <row r="588" spans="1:13" s="3" customFormat="1" ht="18.75" customHeight="1" x14ac:dyDescent="0.4">
      <c r="A588" s="482">
        <v>46129</v>
      </c>
      <c r="B588" s="110" t="s">
        <v>782</v>
      </c>
      <c r="C588" s="29" t="s">
        <v>154</v>
      </c>
      <c r="D588" s="110" t="s">
        <v>653</v>
      </c>
      <c r="E588" s="110"/>
      <c r="F588" s="533">
        <v>1</v>
      </c>
      <c r="G588" s="49">
        <f t="shared" si="19"/>
        <v>1486667.31</v>
      </c>
      <c r="H588" s="36">
        <f t="shared" si="18"/>
        <v>1486667.31</v>
      </c>
      <c r="I588" s="525" t="s">
        <v>1184</v>
      </c>
      <c r="J588" s="534">
        <v>160660</v>
      </c>
      <c r="K588" s="610">
        <v>9.2535000000000007</v>
      </c>
      <c r="L588" s="144" t="s">
        <v>1346</v>
      </c>
      <c r="M588" s="89">
        <v>8</v>
      </c>
    </row>
    <row r="589" spans="1:13" s="3" customFormat="1" ht="18.75" customHeight="1" x14ac:dyDescent="0.4">
      <c r="A589" s="482">
        <v>46129</v>
      </c>
      <c r="B589" s="110" t="s">
        <v>782</v>
      </c>
      <c r="C589" s="29" t="s">
        <v>150</v>
      </c>
      <c r="D589" s="110" t="s">
        <v>258</v>
      </c>
      <c r="E589" s="110"/>
      <c r="F589" s="533">
        <v>8</v>
      </c>
      <c r="G589" s="49">
        <f t="shared" si="19"/>
        <v>1164830.58</v>
      </c>
      <c r="H589" s="36">
        <f t="shared" si="18"/>
        <v>9318644.6400000006</v>
      </c>
      <c r="I589" s="525" t="s">
        <v>1209</v>
      </c>
      <c r="J589" s="534">
        <v>125880</v>
      </c>
      <c r="K589" s="610">
        <v>9.2535000000000007</v>
      </c>
      <c r="L589" s="144" t="s">
        <v>1346</v>
      </c>
      <c r="M589" s="89">
        <v>9</v>
      </c>
    </row>
    <row r="590" spans="1:13" s="3" customFormat="1" ht="18.75" customHeight="1" x14ac:dyDescent="0.4">
      <c r="A590" s="482">
        <v>46129</v>
      </c>
      <c r="B590" s="110" t="s">
        <v>782</v>
      </c>
      <c r="C590" s="29" t="s">
        <v>161</v>
      </c>
      <c r="D590" s="110" t="s">
        <v>1005</v>
      </c>
      <c r="E590" s="110"/>
      <c r="F590" s="533">
        <v>4</v>
      </c>
      <c r="G590" s="49">
        <f t="shared" si="19"/>
        <v>252528.01500000001</v>
      </c>
      <c r="H590" s="36">
        <f t="shared" si="18"/>
        <v>1010112.06</v>
      </c>
      <c r="I590" s="525" t="s">
        <v>1337</v>
      </c>
      <c r="J590" s="534">
        <v>27290</v>
      </c>
      <c r="K590" s="610">
        <v>9.2535000000000007</v>
      </c>
      <c r="L590" s="144" t="s">
        <v>1346</v>
      </c>
      <c r="M590" s="89">
        <v>10</v>
      </c>
    </row>
    <row r="591" spans="1:13" s="3" customFormat="1" ht="18.75" customHeight="1" x14ac:dyDescent="0.4">
      <c r="A591" s="482">
        <v>46129</v>
      </c>
      <c r="B591" s="110" t="s">
        <v>782</v>
      </c>
      <c r="C591" s="29" t="s">
        <v>157</v>
      </c>
      <c r="D591" s="110" t="s">
        <v>338</v>
      </c>
      <c r="E591" s="110"/>
      <c r="F591" s="533">
        <v>4</v>
      </c>
      <c r="G591" s="49">
        <f t="shared" si="19"/>
        <v>320448.70500000002</v>
      </c>
      <c r="H591" s="36">
        <f t="shared" si="18"/>
        <v>1281794.82</v>
      </c>
      <c r="I591" s="525" t="s">
        <v>1337</v>
      </c>
      <c r="J591" s="534">
        <v>34630</v>
      </c>
      <c r="K591" s="610">
        <v>9.2535000000000007</v>
      </c>
      <c r="L591" s="144" t="s">
        <v>1346</v>
      </c>
      <c r="M591" s="89">
        <v>11</v>
      </c>
    </row>
    <row r="592" spans="1:13" s="3" customFormat="1" ht="18.75" customHeight="1" x14ac:dyDescent="0.4">
      <c r="A592" s="482">
        <v>46129</v>
      </c>
      <c r="B592" s="110" t="s">
        <v>782</v>
      </c>
      <c r="C592" s="29" t="s">
        <v>150</v>
      </c>
      <c r="D592" s="110" t="s">
        <v>258</v>
      </c>
      <c r="E592" s="110"/>
      <c r="F592" s="533">
        <v>8</v>
      </c>
      <c r="G592" s="49">
        <f t="shared" si="19"/>
        <v>1164830.58</v>
      </c>
      <c r="H592" s="36">
        <f t="shared" si="18"/>
        <v>9318644.6400000006</v>
      </c>
      <c r="I592" s="525" t="s">
        <v>1349</v>
      </c>
      <c r="J592" s="534">
        <v>125880</v>
      </c>
      <c r="K592" s="610">
        <v>9.2535000000000007</v>
      </c>
      <c r="L592" s="144" t="s">
        <v>1346</v>
      </c>
      <c r="M592" s="89">
        <v>12</v>
      </c>
    </row>
    <row r="593" spans="1:14" s="3" customFormat="1" ht="18.75" customHeight="1" x14ac:dyDescent="0.4">
      <c r="A593" s="482">
        <v>46129</v>
      </c>
      <c r="B593" s="110" t="s">
        <v>782</v>
      </c>
      <c r="C593" s="29" t="s">
        <v>161</v>
      </c>
      <c r="D593" s="110" t="s">
        <v>1208</v>
      </c>
      <c r="E593" s="110"/>
      <c r="F593" s="533">
        <v>4</v>
      </c>
      <c r="G593" s="49">
        <f t="shared" si="19"/>
        <v>252528.01500000001</v>
      </c>
      <c r="H593" s="36">
        <f t="shared" si="18"/>
        <v>1010112.06</v>
      </c>
      <c r="I593" s="525" t="s">
        <v>1338</v>
      </c>
      <c r="J593" s="534">
        <v>27290</v>
      </c>
      <c r="K593" s="610">
        <v>9.2535000000000007</v>
      </c>
      <c r="L593" s="144" t="s">
        <v>1346</v>
      </c>
      <c r="M593" s="89">
        <v>13</v>
      </c>
    </row>
    <row r="594" spans="1:14" s="3" customFormat="1" ht="18.75" customHeight="1" x14ac:dyDescent="0.4">
      <c r="A594" s="482">
        <v>46129</v>
      </c>
      <c r="B594" s="110" t="s">
        <v>782</v>
      </c>
      <c r="C594" s="29" t="s">
        <v>157</v>
      </c>
      <c r="D594" s="110" t="s">
        <v>338</v>
      </c>
      <c r="E594" s="110"/>
      <c r="F594" s="533">
        <v>4</v>
      </c>
      <c r="G594" s="49">
        <f t="shared" si="19"/>
        <v>320448.70500000002</v>
      </c>
      <c r="H594" s="36">
        <f t="shared" si="18"/>
        <v>1281794.82</v>
      </c>
      <c r="I594" s="525" t="s">
        <v>1338</v>
      </c>
      <c r="J594" s="534">
        <v>34630</v>
      </c>
      <c r="K594" s="610">
        <v>9.2535000000000007</v>
      </c>
      <c r="L594" s="144" t="s">
        <v>1346</v>
      </c>
      <c r="M594" s="89">
        <v>14</v>
      </c>
    </row>
    <row r="595" spans="1:14" s="3" customFormat="1" ht="18.75" customHeight="1" x14ac:dyDescent="0.4">
      <c r="A595" s="482">
        <v>46129</v>
      </c>
      <c r="B595" s="110" t="s">
        <v>782</v>
      </c>
      <c r="C595" s="29" t="s">
        <v>157</v>
      </c>
      <c r="D595" s="110" t="s">
        <v>259</v>
      </c>
      <c r="E595" s="110"/>
      <c r="F595" s="533">
        <v>6</v>
      </c>
      <c r="G595" s="49">
        <f t="shared" si="19"/>
        <v>3392703.24</v>
      </c>
      <c r="H595" s="36">
        <f t="shared" si="18"/>
        <v>20356219.440000001</v>
      </c>
      <c r="I595" s="525" t="s">
        <v>1210</v>
      </c>
      <c r="J595" s="534">
        <v>366640</v>
      </c>
      <c r="K595" s="610">
        <v>9.2535000000000007</v>
      </c>
      <c r="L595" s="144" t="s">
        <v>1346</v>
      </c>
      <c r="M595" s="89">
        <v>15</v>
      </c>
    </row>
    <row r="596" spans="1:14" s="3" customFormat="1" ht="18.75" customHeight="1" x14ac:dyDescent="0.4">
      <c r="A596" s="482">
        <v>46129</v>
      </c>
      <c r="B596" s="110" t="s">
        <v>782</v>
      </c>
      <c r="C596" s="29" t="s">
        <v>157</v>
      </c>
      <c r="D596" s="110" t="s">
        <v>338</v>
      </c>
      <c r="E596" s="110"/>
      <c r="F596" s="533">
        <v>4</v>
      </c>
      <c r="G596" s="49">
        <f t="shared" si="19"/>
        <v>320448.70500000002</v>
      </c>
      <c r="H596" s="36">
        <f t="shared" si="18"/>
        <v>1281794.82</v>
      </c>
      <c r="I596" s="525" t="s">
        <v>1199</v>
      </c>
      <c r="J596" s="534">
        <v>34630</v>
      </c>
      <c r="K596" s="610">
        <v>9.2535000000000007</v>
      </c>
      <c r="L596" s="144" t="s">
        <v>1346</v>
      </c>
      <c r="M596" s="89">
        <v>16</v>
      </c>
    </row>
    <row r="597" spans="1:14" s="3" customFormat="1" ht="18.75" customHeight="1" x14ac:dyDescent="0.4">
      <c r="A597" s="482">
        <v>46129</v>
      </c>
      <c r="B597" s="110" t="s">
        <v>782</v>
      </c>
      <c r="C597" s="29" t="s">
        <v>155</v>
      </c>
      <c r="D597" s="110" t="s">
        <v>253</v>
      </c>
      <c r="E597" s="110"/>
      <c r="F597" s="533">
        <v>5</v>
      </c>
      <c r="G597" s="49">
        <f t="shared" si="19"/>
        <v>3624225.81</v>
      </c>
      <c r="H597" s="36">
        <f t="shared" si="18"/>
        <v>18121129.050000001</v>
      </c>
      <c r="I597" s="525" t="s">
        <v>1340</v>
      </c>
      <c r="J597" s="534">
        <v>391660</v>
      </c>
      <c r="K597" s="610">
        <v>9.2535000000000007</v>
      </c>
      <c r="L597" s="144" t="s">
        <v>1346</v>
      </c>
      <c r="M597" s="89">
        <v>17</v>
      </c>
    </row>
    <row r="598" spans="1:14" s="3" customFormat="1" ht="18.75" customHeight="1" x14ac:dyDescent="0.4">
      <c r="A598" s="482">
        <v>46129</v>
      </c>
      <c r="B598" s="110" t="s">
        <v>782</v>
      </c>
      <c r="C598" s="29" t="s">
        <v>157</v>
      </c>
      <c r="D598" s="110" t="s">
        <v>270</v>
      </c>
      <c r="E598" s="110"/>
      <c r="F598" s="533">
        <v>1</v>
      </c>
      <c r="G598" s="49">
        <f t="shared" si="19"/>
        <v>3392703.24</v>
      </c>
      <c r="H598" s="36">
        <f t="shared" si="18"/>
        <v>3392703.24</v>
      </c>
      <c r="I598" s="525" t="s">
        <v>1340</v>
      </c>
      <c r="J598" s="534">
        <v>366640</v>
      </c>
      <c r="K598" s="610">
        <v>9.2535000000000007</v>
      </c>
      <c r="L598" s="144" t="s">
        <v>1346</v>
      </c>
      <c r="M598" s="89">
        <v>18</v>
      </c>
    </row>
    <row r="599" spans="1:14" s="3" customFormat="1" ht="18.75" customHeight="1" x14ac:dyDescent="0.4">
      <c r="A599" s="482">
        <v>46129</v>
      </c>
      <c r="B599" s="110" t="s">
        <v>782</v>
      </c>
      <c r="C599" s="29" t="s">
        <v>153</v>
      </c>
      <c r="D599" s="110" t="s">
        <v>269</v>
      </c>
      <c r="E599" s="110"/>
      <c r="F599" s="533">
        <v>7</v>
      </c>
      <c r="G599" s="49">
        <f t="shared" si="19"/>
        <v>1920193.7850000001</v>
      </c>
      <c r="H599" s="36">
        <f t="shared" si="18"/>
        <v>13441356.495000001</v>
      </c>
      <c r="I599" s="525" t="s">
        <v>1214</v>
      </c>
      <c r="J599" s="534">
        <v>207510</v>
      </c>
      <c r="K599" s="610">
        <v>9.2535000000000007</v>
      </c>
      <c r="L599" s="144" t="s">
        <v>1346</v>
      </c>
      <c r="M599" s="89">
        <v>19</v>
      </c>
    </row>
    <row r="600" spans="1:14" s="3" customFormat="1" ht="18.75" customHeight="1" x14ac:dyDescent="0.4">
      <c r="A600" s="482">
        <v>46129</v>
      </c>
      <c r="B600" s="110" t="s">
        <v>782</v>
      </c>
      <c r="C600" s="29" t="s">
        <v>156</v>
      </c>
      <c r="D600" s="110" t="s">
        <v>261</v>
      </c>
      <c r="E600" s="110"/>
      <c r="F600" s="533">
        <v>1</v>
      </c>
      <c r="G600" s="49">
        <f t="shared" si="19"/>
        <v>2075837.6550000003</v>
      </c>
      <c r="H600" s="36">
        <f t="shared" si="18"/>
        <v>2075837.6550000003</v>
      </c>
      <c r="I600" s="525" t="s">
        <v>1215</v>
      </c>
      <c r="J600" s="534">
        <v>224330</v>
      </c>
      <c r="K600" s="610">
        <v>9.2535000000000007</v>
      </c>
      <c r="L600" s="144" t="s">
        <v>1346</v>
      </c>
      <c r="M600" s="89">
        <v>20</v>
      </c>
    </row>
    <row r="601" spans="1:14" s="3" customFormat="1" ht="18.75" customHeight="1" x14ac:dyDescent="0.4">
      <c r="A601" s="482">
        <v>46129</v>
      </c>
      <c r="B601" s="110" t="s">
        <v>782</v>
      </c>
      <c r="C601" s="29" t="s">
        <v>156</v>
      </c>
      <c r="D601" s="110" t="s">
        <v>262</v>
      </c>
      <c r="E601" s="110"/>
      <c r="F601" s="533">
        <v>1</v>
      </c>
      <c r="G601" s="49">
        <f t="shared" si="19"/>
        <v>2075837.6550000003</v>
      </c>
      <c r="H601" s="36">
        <f t="shared" si="18"/>
        <v>2075837.6550000003</v>
      </c>
      <c r="I601" s="525" t="s">
        <v>1343</v>
      </c>
      <c r="J601" s="534">
        <v>224330</v>
      </c>
      <c r="K601" s="610">
        <v>9.2535000000000007</v>
      </c>
      <c r="L601" s="144" t="s">
        <v>1346</v>
      </c>
      <c r="M601" s="89">
        <v>21</v>
      </c>
    </row>
    <row r="602" spans="1:14" s="3" customFormat="1" ht="18.75" customHeight="1" x14ac:dyDescent="0.4">
      <c r="A602" s="482">
        <v>46129</v>
      </c>
      <c r="B602" s="110" t="s">
        <v>782</v>
      </c>
      <c r="C602" s="29" t="s">
        <v>153</v>
      </c>
      <c r="D602" s="110" t="s">
        <v>1341</v>
      </c>
      <c r="E602" s="110"/>
      <c r="F602" s="533">
        <v>8</v>
      </c>
      <c r="G602" s="49">
        <f t="shared" si="19"/>
        <v>1920193.7850000001</v>
      </c>
      <c r="H602" s="36">
        <f t="shared" si="18"/>
        <v>15361550.280000001</v>
      </c>
      <c r="I602" s="525" t="s">
        <v>1350</v>
      </c>
      <c r="J602" s="534">
        <v>207510</v>
      </c>
      <c r="K602" s="610">
        <v>9.2535000000000007</v>
      </c>
      <c r="L602" s="144" t="s">
        <v>1346</v>
      </c>
      <c r="M602" s="89">
        <v>22</v>
      </c>
    </row>
    <row r="603" spans="1:14" s="3" customFormat="1" ht="18.75" customHeight="1" x14ac:dyDescent="0.4">
      <c r="A603" s="482">
        <v>46129</v>
      </c>
      <c r="B603" s="110" t="s">
        <v>782</v>
      </c>
      <c r="C603" s="29" t="s">
        <v>158</v>
      </c>
      <c r="D603" s="110" t="s">
        <v>252</v>
      </c>
      <c r="E603" s="110"/>
      <c r="F603" s="533">
        <v>8</v>
      </c>
      <c r="G603" s="49">
        <f t="shared" si="19"/>
        <v>3490420.2</v>
      </c>
      <c r="H603" s="36">
        <f t="shared" si="18"/>
        <v>27923361.600000001</v>
      </c>
      <c r="I603" s="525" t="s">
        <v>1350</v>
      </c>
      <c r="J603" s="534">
        <v>377200</v>
      </c>
      <c r="K603" s="610">
        <v>9.2535000000000007</v>
      </c>
      <c r="L603" s="144" t="s">
        <v>1346</v>
      </c>
      <c r="M603" s="89">
        <v>23</v>
      </c>
    </row>
    <row r="604" spans="1:14" s="3" customFormat="1" ht="18.75" customHeight="1" x14ac:dyDescent="0.4">
      <c r="A604" s="482">
        <v>46129</v>
      </c>
      <c r="B604" s="110" t="s">
        <v>782</v>
      </c>
      <c r="C604" s="29" t="s">
        <v>150</v>
      </c>
      <c r="D604" s="110" t="s">
        <v>275</v>
      </c>
      <c r="E604" s="110"/>
      <c r="F604" s="533">
        <v>1</v>
      </c>
      <c r="G604" s="49">
        <f t="shared" si="19"/>
        <v>541052.14500000002</v>
      </c>
      <c r="H604" s="36">
        <f t="shared" si="18"/>
        <v>541052.14500000002</v>
      </c>
      <c r="I604" s="525" t="s">
        <v>1351</v>
      </c>
      <c r="J604" s="534">
        <v>58470</v>
      </c>
      <c r="K604" s="610">
        <v>9.2535000000000007</v>
      </c>
      <c r="L604" s="144" t="s">
        <v>1346</v>
      </c>
      <c r="M604" s="89">
        <v>24</v>
      </c>
    </row>
    <row r="605" spans="1:14" s="3" customFormat="1" ht="18.75" customHeight="1" x14ac:dyDescent="0.4">
      <c r="A605" s="482">
        <v>46142</v>
      </c>
      <c r="B605" s="110" t="s">
        <v>782</v>
      </c>
      <c r="C605" s="29" t="s">
        <v>160</v>
      </c>
      <c r="D605" s="110" t="s">
        <v>274</v>
      </c>
      <c r="E605" s="110"/>
      <c r="F605" s="533">
        <v>8</v>
      </c>
      <c r="G605" s="49">
        <f t="shared" si="19"/>
        <v>493522.93800000002</v>
      </c>
      <c r="H605" s="36">
        <f t="shared" si="18"/>
        <v>3948183.5040000002</v>
      </c>
      <c r="I605" s="525" t="s">
        <v>1357</v>
      </c>
      <c r="J605" s="534">
        <v>53610</v>
      </c>
      <c r="K605" s="610">
        <v>9.2058</v>
      </c>
      <c r="L605" s="144" t="s">
        <v>1353</v>
      </c>
      <c r="M605" s="89"/>
      <c r="N605" s="22" t="s">
        <v>1388</v>
      </c>
    </row>
    <row r="606" spans="1:14" s="3" customFormat="1" ht="18.75" customHeight="1" x14ac:dyDescent="0.4">
      <c r="A606" s="482">
        <v>46142</v>
      </c>
      <c r="B606" s="110" t="s">
        <v>782</v>
      </c>
      <c r="C606" s="29" t="s">
        <v>152</v>
      </c>
      <c r="D606" s="110" t="s">
        <v>263</v>
      </c>
      <c r="E606" s="110"/>
      <c r="F606" s="533">
        <v>4</v>
      </c>
      <c r="G606" s="49">
        <f t="shared" si="19"/>
        <v>919383.24600000004</v>
      </c>
      <c r="H606" s="36">
        <f t="shared" si="18"/>
        <v>3677532.9840000002</v>
      </c>
      <c r="I606" s="525" t="s">
        <v>1363</v>
      </c>
      <c r="J606" s="534">
        <v>99870</v>
      </c>
      <c r="K606" s="610">
        <v>9.2058</v>
      </c>
      <c r="L606" s="144" t="s">
        <v>1353</v>
      </c>
      <c r="M606" s="89"/>
      <c r="N606" s="22" t="s">
        <v>1388</v>
      </c>
    </row>
    <row r="607" spans="1:14" s="3" customFormat="1" ht="18.75" customHeight="1" x14ac:dyDescent="0.4">
      <c r="A607" s="482">
        <v>46142</v>
      </c>
      <c r="B607" s="110" t="s">
        <v>782</v>
      </c>
      <c r="C607" s="29" t="s">
        <v>154</v>
      </c>
      <c r="D607" s="110" t="s">
        <v>652</v>
      </c>
      <c r="E607" s="110"/>
      <c r="F607" s="533">
        <v>1</v>
      </c>
      <c r="G607" s="49">
        <f t="shared" si="19"/>
        <v>1479003.828</v>
      </c>
      <c r="H607" s="36">
        <f t="shared" si="18"/>
        <v>1479003.828</v>
      </c>
      <c r="I607" s="525" t="s">
        <v>1185</v>
      </c>
      <c r="J607" s="534">
        <v>160660</v>
      </c>
      <c r="K607" s="610">
        <v>9.2058</v>
      </c>
      <c r="L607" s="144" t="s">
        <v>1353</v>
      </c>
      <c r="M607" s="89"/>
      <c r="N607" s="22" t="s">
        <v>1388</v>
      </c>
    </row>
    <row r="608" spans="1:14" s="3" customFormat="1" ht="18.75" customHeight="1" x14ac:dyDescent="0.4">
      <c r="A608" s="482">
        <v>46142</v>
      </c>
      <c r="B608" s="110" t="s">
        <v>782</v>
      </c>
      <c r="C608" s="29" t="s">
        <v>154</v>
      </c>
      <c r="D608" s="110" t="s">
        <v>653</v>
      </c>
      <c r="E608" s="110"/>
      <c r="F608" s="533">
        <v>1</v>
      </c>
      <c r="G608" s="49">
        <f t="shared" si="19"/>
        <v>1479003.828</v>
      </c>
      <c r="H608" s="36">
        <f t="shared" si="18"/>
        <v>1479003.828</v>
      </c>
      <c r="I608" s="525" t="s">
        <v>1359</v>
      </c>
      <c r="J608" s="534">
        <v>160660</v>
      </c>
      <c r="K608" s="610">
        <v>9.2058</v>
      </c>
      <c r="L608" s="144" t="s">
        <v>1353</v>
      </c>
      <c r="M608" s="89"/>
      <c r="N608" s="22" t="s">
        <v>1388</v>
      </c>
    </row>
    <row r="609" spans="1:14" s="3" customFormat="1" ht="18.75" customHeight="1" x14ac:dyDescent="0.4">
      <c r="A609" s="482">
        <v>46142</v>
      </c>
      <c r="B609" s="110" t="s">
        <v>782</v>
      </c>
      <c r="C609" s="29" t="s">
        <v>153</v>
      </c>
      <c r="D609" s="110" t="s">
        <v>264</v>
      </c>
      <c r="E609" s="110"/>
      <c r="F609" s="533">
        <v>8</v>
      </c>
      <c r="G609" s="49">
        <f t="shared" si="19"/>
        <v>2794420.59</v>
      </c>
      <c r="H609" s="36">
        <f t="shared" si="18"/>
        <v>22355364.719999999</v>
      </c>
      <c r="I609" s="525" t="s">
        <v>1356</v>
      </c>
      <c r="J609" s="534">
        <v>303550</v>
      </c>
      <c r="K609" s="610">
        <v>9.2058</v>
      </c>
      <c r="L609" s="144" t="s">
        <v>1353</v>
      </c>
      <c r="M609" s="89"/>
      <c r="N609" s="22" t="s">
        <v>1388</v>
      </c>
    </row>
    <row r="610" spans="1:14" s="3" customFormat="1" ht="18.75" customHeight="1" x14ac:dyDescent="0.4">
      <c r="A610" s="482">
        <v>46142</v>
      </c>
      <c r="B610" s="110" t="s">
        <v>782</v>
      </c>
      <c r="C610" s="29" t="s">
        <v>157</v>
      </c>
      <c r="D610" s="110" t="s">
        <v>259</v>
      </c>
      <c r="E610" s="110"/>
      <c r="F610" s="533">
        <v>8</v>
      </c>
      <c r="G610" s="49">
        <f t="shared" si="19"/>
        <v>3375214.5120000001</v>
      </c>
      <c r="H610" s="36">
        <f t="shared" si="18"/>
        <v>27001716.096000001</v>
      </c>
      <c r="I610" s="525" t="s">
        <v>1356</v>
      </c>
      <c r="J610" s="534">
        <v>366640</v>
      </c>
      <c r="K610" s="610">
        <v>9.2058</v>
      </c>
      <c r="L610" s="144" t="s">
        <v>1353</v>
      </c>
      <c r="M610" s="89"/>
      <c r="N610" s="22" t="s">
        <v>1388</v>
      </c>
    </row>
    <row r="611" spans="1:14" s="3" customFormat="1" ht="18.75" customHeight="1" x14ac:dyDescent="0.4">
      <c r="A611" s="482">
        <v>46142</v>
      </c>
      <c r="B611" s="110" t="s">
        <v>782</v>
      </c>
      <c r="C611" s="29" t="s">
        <v>156</v>
      </c>
      <c r="D611" s="110" t="s">
        <v>271</v>
      </c>
      <c r="E611" s="110"/>
      <c r="F611" s="533">
        <v>4</v>
      </c>
      <c r="G611" s="49">
        <f t="shared" si="19"/>
        <v>1073580.3959999999</v>
      </c>
      <c r="H611" s="36">
        <f t="shared" si="18"/>
        <v>4294321.5839999998</v>
      </c>
      <c r="I611" s="525" t="s">
        <v>1352</v>
      </c>
      <c r="J611" s="534">
        <v>116620</v>
      </c>
      <c r="K611" s="610">
        <v>9.2058</v>
      </c>
      <c r="L611" s="144" t="s">
        <v>1353</v>
      </c>
      <c r="M611" s="89"/>
      <c r="N611" s="22" t="s">
        <v>1388</v>
      </c>
    </row>
    <row r="612" spans="1:14" s="3" customFormat="1" ht="18.75" customHeight="1" x14ac:dyDescent="0.4">
      <c r="A612" s="482">
        <v>46142</v>
      </c>
      <c r="B612" s="110" t="s">
        <v>782</v>
      </c>
      <c r="C612" s="29" t="s">
        <v>161</v>
      </c>
      <c r="D612" s="110" t="s">
        <v>1005</v>
      </c>
      <c r="E612" s="110"/>
      <c r="F612" s="533">
        <v>4</v>
      </c>
      <c r="G612" s="49">
        <f t="shared" si="19"/>
        <v>251226.28200000001</v>
      </c>
      <c r="H612" s="36">
        <f t="shared" si="18"/>
        <v>1004905.128</v>
      </c>
      <c r="I612" s="525" t="s">
        <v>1352</v>
      </c>
      <c r="J612" s="534">
        <v>27290</v>
      </c>
      <c r="K612" s="610">
        <v>9.2058</v>
      </c>
      <c r="L612" s="144" t="s">
        <v>1353</v>
      </c>
      <c r="M612" s="89"/>
      <c r="N612" s="22" t="s">
        <v>1388</v>
      </c>
    </row>
    <row r="613" spans="1:14" s="3" customFormat="1" ht="18.75" customHeight="1" x14ac:dyDescent="0.4">
      <c r="A613" s="482">
        <v>46142</v>
      </c>
      <c r="B613" s="110" t="s">
        <v>782</v>
      </c>
      <c r="C613" s="29" t="s">
        <v>157</v>
      </c>
      <c r="D613" s="110" t="s">
        <v>273</v>
      </c>
      <c r="E613" s="110"/>
      <c r="F613" s="533">
        <v>4</v>
      </c>
      <c r="G613" s="49">
        <f t="shared" si="19"/>
        <v>318796.85399999999</v>
      </c>
      <c r="H613" s="36">
        <f t="shared" si="18"/>
        <v>1275187.416</v>
      </c>
      <c r="I613" s="525" t="s">
        <v>1352</v>
      </c>
      <c r="J613" s="534">
        <v>34630</v>
      </c>
      <c r="K613" s="610">
        <v>9.2058</v>
      </c>
      <c r="L613" s="144" t="s">
        <v>1353</v>
      </c>
      <c r="M613" s="89"/>
      <c r="N613" s="22" t="s">
        <v>1388</v>
      </c>
    </row>
    <row r="614" spans="1:14" s="3" customFormat="1" ht="18.75" customHeight="1" x14ac:dyDescent="0.4">
      <c r="A614" s="482">
        <v>46142</v>
      </c>
      <c r="B614" s="110" t="s">
        <v>782</v>
      </c>
      <c r="C614" s="29" t="s">
        <v>156</v>
      </c>
      <c r="D614" s="110" t="s">
        <v>261</v>
      </c>
      <c r="E614" s="110"/>
      <c r="F614" s="533">
        <v>1</v>
      </c>
      <c r="G614" s="49">
        <f t="shared" si="19"/>
        <v>2065137.1140000001</v>
      </c>
      <c r="H614" s="36">
        <f t="shared" si="18"/>
        <v>2065137.1140000001</v>
      </c>
      <c r="I614" s="525" t="s">
        <v>1360</v>
      </c>
      <c r="J614" s="534">
        <v>224330</v>
      </c>
      <c r="K614" s="610">
        <v>9.2058</v>
      </c>
      <c r="L614" s="144" t="s">
        <v>1353</v>
      </c>
      <c r="M614" s="89"/>
      <c r="N614" s="22" t="s">
        <v>1388</v>
      </c>
    </row>
    <row r="615" spans="1:14" s="3" customFormat="1" ht="18.75" customHeight="1" x14ac:dyDescent="0.4">
      <c r="A615" s="482">
        <v>46142</v>
      </c>
      <c r="B615" s="110" t="s">
        <v>782</v>
      </c>
      <c r="C615" s="29" t="s">
        <v>150</v>
      </c>
      <c r="D615" s="110" t="s">
        <v>275</v>
      </c>
      <c r="E615" s="110"/>
      <c r="F615" s="533">
        <v>1</v>
      </c>
      <c r="G615" s="49">
        <f t="shared" si="19"/>
        <v>538263.12600000005</v>
      </c>
      <c r="H615" s="36">
        <f t="shared" si="18"/>
        <v>538263.12600000005</v>
      </c>
      <c r="I615" s="525" t="s">
        <v>1360</v>
      </c>
      <c r="J615" s="534">
        <v>58470</v>
      </c>
      <c r="K615" s="610">
        <v>9.2058</v>
      </c>
      <c r="L615" s="144" t="s">
        <v>1353</v>
      </c>
      <c r="M615" s="89"/>
      <c r="N615" s="22" t="s">
        <v>1388</v>
      </c>
    </row>
    <row r="616" spans="1:14" s="3" customFormat="1" ht="18.75" customHeight="1" x14ac:dyDescent="0.4">
      <c r="A616" s="482">
        <v>46142</v>
      </c>
      <c r="B616" s="110" t="s">
        <v>782</v>
      </c>
      <c r="C616" s="29" t="s">
        <v>154</v>
      </c>
      <c r="D616" s="110" t="s">
        <v>653</v>
      </c>
      <c r="E616" s="110"/>
      <c r="F616" s="533">
        <v>1</v>
      </c>
      <c r="G616" s="49">
        <f t="shared" si="19"/>
        <v>1479003.828</v>
      </c>
      <c r="H616" s="36">
        <f t="shared" si="18"/>
        <v>1479003.828</v>
      </c>
      <c r="I616" s="525" t="s">
        <v>1360</v>
      </c>
      <c r="J616" s="534">
        <v>160660</v>
      </c>
      <c r="K616" s="610">
        <v>9.2058</v>
      </c>
      <c r="L616" s="144" t="s">
        <v>1353</v>
      </c>
      <c r="M616" s="89"/>
      <c r="N616" s="22" t="s">
        <v>1388</v>
      </c>
    </row>
    <row r="617" spans="1:14" s="3" customFormat="1" ht="18.75" customHeight="1" x14ac:dyDescent="0.4">
      <c r="A617" s="482">
        <v>46142</v>
      </c>
      <c r="B617" s="110" t="s">
        <v>782</v>
      </c>
      <c r="C617" s="29" t="s">
        <v>150</v>
      </c>
      <c r="D617" s="110" t="s">
        <v>256</v>
      </c>
      <c r="E617" s="110"/>
      <c r="F617" s="533">
        <v>8</v>
      </c>
      <c r="G617" s="49">
        <f t="shared" si="19"/>
        <v>1158826.1040000001</v>
      </c>
      <c r="H617" s="36">
        <f t="shared" si="18"/>
        <v>9270608.8320000004</v>
      </c>
      <c r="I617" s="525" t="s">
        <v>1358</v>
      </c>
      <c r="J617" s="534">
        <v>125880</v>
      </c>
      <c r="K617" s="610">
        <v>9.2058</v>
      </c>
      <c r="L617" s="144" t="s">
        <v>1353</v>
      </c>
      <c r="M617" s="89"/>
      <c r="N617" s="22" t="s">
        <v>1388</v>
      </c>
    </row>
    <row r="618" spans="1:14" s="3" customFormat="1" ht="18.75" customHeight="1" x14ac:dyDescent="0.4">
      <c r="A618" s="482">
        <v>46142</v>
      </c>
      <c r="B618" s="110" t="s">
        <v>782</v>
      </c>
      <c r="C618" s="29" t="s">
        <v>156</v>
      </c>
      <c r="D618" s="110" t="s">
        <v>272</v>
      </c>
      <c r="E618" s="110"/>
      <c r="F618" s="533">
        <v>4</v>
      </c>
      <c r="G618" s="49">
        <f t="shared" si="19"/>
        <v>1073580.3959999999</v>
      </c>
      <c r="H618" s="36">
        <f t="shared" si="18"/>
        <v>4294321.5839999998</v>
      </c>
      <c r="I618" s="525" t="s">
        <v>1354</v>
      </c>
      <c r="J618" s="534">
        <v>116620</v>
      </c>
      <c r="K618" s="610">
        <v>9.2058</v>
      </c>
      <c r="L618" s="144" t="s">
        <v>1353</v>
      </c>
      <c r="M618" s="89"/>
      <c r="N618" s="22" t="s">
        <v>1388</v>
      </c>
    </row>
    <row r="619" spans="1:14" s="3" customFormat="1" ht="18.75" customHeight="1" x14ac:dyDescent="0.4">
      <c r="A619" s="482">
        <v>46142</v>
      </c>
      <c r="B619" s="110" t="s">
        <v>782</v>
      </c>
      <c r="C619" s="29" t="s">
        <v>156</v>
      </c>
      <c r="D619" s="110" t="s">
        <v>262</v>
      </c>
      <c r="E619" s="110"/>
      <c r="F619" s="533">
        <v>1</v>
      </c>
      <c r="G619" s="49">
        <f t="shared" si="19"/>
        <v>2065137.1140000001</v>
      </c>
      <c r="H619" s="36">
        <f t="shared" si="18"/>
        <v>2065137.1140000001</v>
      </c>
      <c r="I619" s="525" t="s">
        <v>1361</v>
      </c>
      <c r="J619" s="534">
        <v>224330</v>
      </c>
      <c r="K619" s="610">
        <v>9.2058</v>
      </c>
      <c r="L619" s="144" t="s">
        <v>1353</v>
      </c>
      <c r="M619" s="89"/>
      <c r="N619" s="22" t="s">
        <v>1388</v>
      </c>
    </row>
    <row r="620" spans="1:14" s="3" customFormat="1" ht="18.75" customHeight="1" x14ac:dyDescent="0.4">
      <c r="A620" s="482">
        <v>46142</v>
      </c>
      <c r="B620" s="110" t="s">
        <v>782</v>
      </c>
      <c r="C620" s="29" t="s">
        <v>150</v>
      </c>
      <c r="D620" s="110" t="s">
        <v>275</v>
      </c>
      <c r="E620" s="110"/>
      <c r="F620" s="533">
        <v>1</v>
      </c>
      <c r="G620" s="49">
        <f t="shared" si="19"/>
        <v>538263.12600000005</v>
      </c>
      <c r="H620" s="36">
        <f t="shared" si="18"/>
        <v>538263.12600000005</v>
      </c>
      <c r="I620" s="525" t="s">
        <v>1361</v>
      </c>
      <c r="J620" s="534">
        <v>58470</v>
      </c>
      <c r="K620" s="610">
        <v>9.2058</v>
      </c>
      <c r="L620" s="144" t="s">
        <v>1353</v>
      </c>
      <c r="M620" s="89"/>
      <c r="N620" s="22" t="s">
        <v>1388</v>
      </c>
    </row>
    <row r="621" spans="1:14" s="3" customFormat="1" ht="18.75" customHeight="1" x14ac:dyDescent="0.4">
      <c r="A621" s="482">
        <v>46142</v>
      </c>
      <c r="B621" s="110" t="s">
        <v>782</v>
      </c>
      <c r="C621" s="29" t="s">
        <v>154</v>
      </c>
      <c r="D621" s="110" t="s">
        <v>653</v>
      </c>
      <c r="E621" s="110"/>
      <c r="F621" s="533">
        <v>1</v>
      </c>
      <c r="G621" s="49">
        <f t="shared" si="19"/>
        <v>1479003.828</v>
      </c>
      <c r="H621" s="36">
        <f t="shared" si="18"/>
        <v>1479003.828</v>
      </c>
      <c r="I621" s="525" t="s">
        <v>1361</v>
      </c>
      <c r="J621" s="534">
        <v>160660</v>
      </c>
      <c r="K621" s="610">
        <v>9.2058</v>
      </c>
      <c r="L621" s="144" t="s">
        <v>1353</v>
      </c>
      <c r="M621" s="89"/>
      <c r="N621" s="22" t="s">
        <v>1388</v>
      </c>
    </row>
    <row r="622" spans="1:14" s="3" customFormat="1" ht="18.75" customHeight="1" x14ac:dyDescent="0.4">
      <c r="A622" s="482">
        <v>46142</v>
      </c>
      <c r="B622" s="110" t="s">
        <v>782</v>
      </c>
      <c r="C622" s="29" t="s">
        <v>154</v>
      </c>
      <c r="D622" s="110" t="s">
        <v>266</v>
      </c>
      <c r="E622" s="110"/>
      <c r="F622" s="533">
        <v>3</v>
      </c>
      <c r="G622" s="49">
        <f t="shared" si="19"/>
        <v>3860083.9980000001</v>
      </c>
      <c r="H622" s="36">
        <f t="shared" si="18"/>
        <v>11580251.994000001</v>
      </c>
      <c r="I622" s="525" t="s">
        <v>1210</v>
      </c>
      <c r="J622" s="534">
        <v>419310</v>
      </c>
      <c r="K622" s="610">
        <v>9.2058</v>
      </c>
      <c r="L622" s="144" t="s">
        <v>1353</v>
      </c>
      <c r="M622" s="89"/>
      <c r="N622" s="22" t="s">
        <v>1388</v>
      </c>
    </row>
    <row r="623" spans="1:14" s="3" customFormat="1" ht="18.75" customHeight="1" x14ac:dyDescent="0.4">
      <c r="A623" s="482">
        <v>46142</v>
      </c>
      <c r="B623" s="110" t="s">
        <v>782</v>
      </c>
      <c r="C623" s="29" t="s">
        <v>153</v>
      </c>
      <c r="D623" s="110" t="s">
        <v>1326</v>
      </c>
      <c r="E623" s="110"/>
      <c r="F623" s="533">
        <v>3</v>
      </c>
      <c r="G623" s="49">
        <f t="shared" si="19"/>
        <v>2036783.25</v>
      </c>
      <c r="H623" s="36">
        <f t="shared" si="18"/>
        <v>6110349.75</v>
      </c>
      <c r="I623" s="525" t="s">
        <v>1210</v>
      </c>
      <c r="J623" s="534">
        <v>221250</v>
      </c>
      <c r="K623" s="610">
        <v>9.2058</v>
      </c>
      <c r="L623" s="144" t="s">
        <v>1353</v>
      </c>
      <c r="M623" s="89"/>
      <c r="N623" s="22" t="s">
        <v>1388</v>
      </c>
    </row>
    <row r="624" spans="1:14" s="3" customFormat="1" ht="18.75" customHeight="1" x14ac:dyDescent="0.4">
      <c r="A624" s="482">
        <v>46142</v>
      </c>
      <c r="B624" s="110" t="s">
        <v>782</v>
      </c>
      <c r="C624" s="29" t="s">
        <v>154</v>
      </c>
      <c r="D624" s="110" t="s">
        <v>653</v>
      </c>
      <c r="E624" s="110"/>
      <c r="F624" s="533">
        <v>1</v>
      </c>
      <c r="G624" s="49">
        <f t="shared" si="19"/>
        <v>1479003.828</v>
      </c>
      <c r="H624" s="36">
        <f t="shared" si="18"/>
        <v>1479003.828</v>
      </c>
      <c r="I624" s="525" t="s">
        <v>1200</v>
      </c>
      <c r="J624" s="534">
        <v>160660</v>
      </c>
      <c r="K624" s="610">
        <v>9.2058</v>
      </c>
      <c r="L624" s="144" t="s">
        <v>1353</v>
      </c>
      <c r="M624" s="89"/>
      <c r="N624" s="22" t="s">
        <v>1388</v>
      </c>
    </row>
    <row r="625" spans="1:14" s="3" customFormat="1" ht="18.75" customHeight="1" x14ac:dyDescent="0.4">
      <c r="A625" s="482">
        <v>46142</v>
      </c>
      <c r="B625" s="110" t="s">
        <v>782</v>
      </c>
      <c r="C625" s="29" t="s">
        <v>155</v>
      </c>
      <c r="D625" s="110" t="s">
        <v>253</v>
      </c>
      <c r="E625" s="110"/>
      <c r="F625" s="533">
        <v>1</v>
      </c>
      <c r="G625" s="49">
        <f t="shared" si="19"/>
        <v>3605543.628</v>
      </c>
      <c r="H625" s="36">
        <f t="shared" si="18"/>
        <v>3605543.628</v>
      </c>
      <c r="I625" s="525" t="s">
        <v>1340</v>
      </c>
      <c r="J625" s="534">
        <v>391660</v>
      </c>
      <c r="K625" s="610">
        <v>9.2058</v>
      </c>
      <c r="L625" s="144" t="s">
        <v>1353</v>
      </c>
      <c r="M625" s="89"/>
      <c r="N625" s="22" t="s">
        <v>1388</v>
      </c>
    </row>
    <row r="626" spans="1:14" s="3" customFormat="1" ht="18.75" customHeight="1" x14ac:dyDescent="0.4">
      <c r="A626" s="482">
        <v>46142</v>
      </c>
      <c r="B626" s="110" t="s">
        <v>782</v>
      </c>
      <c r="C626" s="29" t="s">
        <v>154</v>
      </c>
      <c r="D626" s="110" t="s">
        <v>653</v>
      </c>
      <c r="E626" s="110"/>
      <c r="F626" s="533">
        <v>1</v>
      </c>
      <c r="G626" s="49">
        <f>J626*K626</f>
        <v>1479003.828</v>
      </c>
      <c r="H626" s="36">
        <f t="shared" si="18"/>
        <v>1479003.828</v>
      </c>
      <c r="I626" s="525" t="s">
        <v>1202</v>
      </c>
      <c r="J626" s="534">
        <v>160660</v>
      </c>
      <c r="K626" s="610">
        <v>9.2058</v>
      </c>
      <c r="L626" s="144" t="s">
        <v>1353</v>
      </c>
      <c r="M626" s="89"/>
      <c r="N626" s="22" t="s">
        <v>1388</v>
      </c>
    </row>
    <row r="627" spans="1:14" s="3" customFormat="1" ht="18.75" customHeight="1" x14ac:dyDescent="0.4">
      <c r="A627" s="482">
        <v>46142</v>
      </c>
      <c r="B627" s="110" t="s">
        <v>782</v>
      </c>
      <c r="C627" s="29" t="s">
        <v>155</v>
      </c>
      <c r="D627" s="110" t="s">
        <v>254</v>
      </c>
      <c r="E627" s="110"/>
      <c r="F627" s="533">
        <v>4</v>
      </c>
      <c r="G627" s="49">
        <f t="shared" si="19"/>
        <v>3605543.628</v>
      </c>
      <c r="H627" s="36">
        <f t="shared" si="18"/>
        <v>14422174.512</v>
      </c>
      <c r="I627" s="525" t="s">
        <v>1211</v>
      </c>
      <c r="J627" s="534">
        <v>391660</v>
      </c>
      <c r="K627" s="610">
        <v>9.2058</v>
      </c>
      <c r="L627" s="144" t="s">
        <v>1353</v>
      </c>
      <c r="M627" s="89"/>
      <c r="N627" s="22" t="s">
        <v>1388</v>
      </c>
    </row>
    <row r="628" spans="1:14" s="3" customFormat="1" ht="18.75" customHeight="1" x14ac:dyDescent="0.4">
      <c r="A628" s="482">
        <v>46142</v>
      </c>
      <c r="B628" s="110" t="s">
        <v>782</v>
      </c>
      <c r="C628" s="29" t="s">
        <v>150</v>
      </c>
      <c r="D628" s="110" t="s">
        <v>391</v>
      </c>
      <c r="E628" s="110"/>
      <c r="F628" s="533">
        <v>8</v>
      </c>
      <c r="G628" s="49">
        <f t="shared" si="19"/>
        <v>1158826.1040000001</v>
      </c>
      <c r="H628" s="36">
        <f t="shared" si="18"/>
        <v>9270608.8320000004</v>
      </c>
      <c r="I628" s="525" t="s">
        <v>1211</v>
      </c>
      <c r="J628" s="534">
        <v>125880</v>
      </c>
      <c r="K628" s="610">
        <v>9.2058</v>
      </c>
      <c r="L628" s="144" t="s">
        <v>1353</v>
      </c>
      <c r="M628" s="89"/>
      <c r="N628" s="22" t="s">
        <v>1388</v>
      </c>
    </row>
    <row r="629" spans="1:14" s="3" customFormat="1" ht="18.75" customHeight="1" x14ac:dyDescent="0.4">
      <c r="A629" s="482">
        <v>46142</v>
      </c>
      <c r="B629" s="110" t="s">
        <v>782</v>
      </c>
      <c r="C629" s="29" t="s">
        <v>150</v>
      </c>
      <c r="D629" s="110" t="s">
        <v>391</v>
      </c>
      <c r="E629" s="110"/>
      <c r="F629" s="533">
        <v>8</v>
      </c>
      <c r="G629" s="49">
        <f t="shared" si="19"/>
        <v>1158826.1040000001</v>
      </c>
      <c r="H629" s="36">
        <f t="shared" si="18"/>
        <v>9270608.8320000004</v>
      </c>
      <c r="I629" s="525" t="s">
        <v>1214</v>
      </c>
      <c r="J629" s="534">
        <v>125880</v>
      </c>
      <c r="K629" s="610">
        <v>9.2058</v>
      </c>
      <c r="L629" s="144" t="s">
        <v>1353</v>
      </c>
      <c r="M629" s="89"/>
      <c r="N629" s="22" t="s">
        <v>1388</v>
      </c>
    </row>
    <row r="630" spans="1:14" s="3" customFormat="1" ht="18.75" customHeight="1" x14ac:dyDescent="0.4">
      <c r="A630" s="482">
        <v>46142</v>
      </c>
      <c r="B630" s="110" t="s">
        <v>782</v>
      </c>
      <c r="C630" s="29" t="s">
        <v>150</v>
      </c>
      <c r="D630" s="110" t="s">
        <v>391</v>
      </c>
      <c r="E630" s="110"/>
      <c r="F630" s="533">
        <v>8</v>
      </c>
      <c r="G630" s="49">
        <f t="shared" si="19"/>
        <v>1158826.1040000001</v>
      </c>
      <c r="H630" s="36">
        <f t="shared" si="18"/>
        <v>9270608.8320000004</v>
      </c>
      <c r="I630" s="525" t="s">
        <v>1350</v>
      </c>
      <c r="J630" s="534">
        <v>125880</v>
      </c>
      <c r="K630" s="610">
        <v>9.2058</v>
      </c>
      <c r="L630" s="144" t="s">
        <v>1353</v>
      </c>
      <c r="M630" s="89"/>
      <c r="N630" s="22" t="s">
        <v>1388</v>
      </c>
    </row>
    <row r="631" spans="1:14" s="3" customFormat="1" ht="18.75" customHeight="1" x14ac:dyDescent="0.4">
      <c r="A631" s="482">
        <v>46142</v>
      </c>
      <c r="B631" s="110" t="s">
        <v>782</v>
      </c>
      <c r="C631" s="29" t="s">
        <v>156</v>
      </c>
      <c r="D631" s="110" t="s">
        <v>262</v>
      </c>
      <c r="E631" s="110"/>
      <c r="F631" s="533">
        <v>1</v>
      </c>
      <c r="G631" s="49">
        <f t="shared" si="19"/>
        <v>2065137.1140000001</v>
      </c>
      <c r="H631" s="36">
        <f t="shared" si="18"/>
        <v>2065137.1140000001</v>
      </c>
      <c r="I631" s="525" t="s">
        <v>1362</v>
      </c>
      <c r="J631" s="534">
        <v>224330</v>
      </c>
      <c r="K631" s="610">
        <v>9.2058</v>
      </c>
      <c r="L631" s="144" t="s">
        <v>1353</v>
      </c>
      <c r="M631" s="89"/>
      <c r="N631" s="22" t="s">
        <v>1388</v>
      </c>
    </row>
    <row r="632" spans="1:14" s="3" customFormat="1" ht="18.75" customHeight="1" x14ac:dyDescent="0.4">
      <c r="A632" s="482">
        <v>46142</v>
      </c>
      <c r="B632" s="110" t="s">
        <v>782</v>
      </c>
      <c r="C632" s="29" t="s">
        <v>153</v>
      </c>
      <c r="D632" s="110" t="s">
        <v>1326</v>
      </c>
      <c r="E632" s="110"/>
      <c r="F632" s="533">
        <v>2</v>
      </c>
      <c r="G632" s="49">
        <f t="shared" si="19"/>
        <v>2103065.0099999998</v>
      </c>
      <c r="H632" s="36">
        <f t="shared" si="18"/>
        <v>4206130.0199999996</v>
      </c>
      <c r="I632" s="525" t="s">
        <v>1355</v>
      </c>
      <c r="J632" s="534">
        <v>228450</v>
      </c>
      <c r="K632" s="610">
        <v>9.2058</v>
      </c>
      <c r="L632" s="144" t="s">
        <v>1353</v>
      </c>
      <c r="M632" s="89"/>
      <c r="N632" s="22" t="s">
        <v>1388</v>
      </c>
    </row>
    <row r="633" spans="1:14" s="3" customFormat="1" ht="18.75" customHeight="1" x14ac:dyDescent="0.4">
      <c r="A633" s="483"/>
      <c r="B633" s="194"/>
      <c r="C633" s="40"/>
      <c r="D633" s="194"/>
      <c r="E633" s="194"/>
      <c r="F633" s="528"/>
      <c r="G633" s="529">
        <v>115672</v>
      </c>
      <c r="H633" s="529">
        <f>SUM(H522:H604)-1</f>
        <v>619331724.25099993</v>
      </c>
      <c r="I633" s="535"/>
      <c r="J633" s="530"/>
      <c r="K633" s="611"/>
      <c r="L633" s="145"/>
      <c r="M633" s="89"/>
    </row>
    <row r="634" spans="1:14" s="3" customFormat="1" ht="18.75" customHeight="1" x14ac:dyDescent="0.4">
      <c r="A634" s="482">
        <v>46107</v>
      </c>
      <c r="B634" s="110" t="s">
        <v>861</v>
      </c>
      <c r="C634" s="29" t="s">
        <v>1371</v>
      </c>
      <c r="D634" s="110" t="s">
        <v>1373</v>
      </c>
      <c r="E634" s="110"/>
      <c r="F634" s="533">
        <v>10300</v>
      </c>
      <c r="G634" s="525">
        <v>550</v>
      </c>
      <c r="H634" s="527">
        <f>F634*G634</f>
        <v>5665000</v>
      </c>
      <c r="I634" s="538"/>
      <c r="J634" s="534"/>
      <c r="K634" s="144"/>
      <c r="L634" s="144"/>
      <c r="M634" s="89"/>
    </row>
    <row r="635" spans="1:14" s="3" customFormat="1" ht="18.75" customHeight="1" x14ac:dyDescent="0.4">
      <c r="A635" s="482">
        <v>46113</v>
      </c>
      <c r="B635" s="110" t="s">
        <v>861</v>
      </c>
      <c r="C635" s="29" t="s">
        <v>1372</v>
      </c>
      <c r="D635" s="110" t="s">
        <v>1374</v>
      </c>
      <c r="E635" s="110"/>
      <c r="F635" s="533">
        <v>4480</v>
      </c>
      <c r="G635" s="525">
        <v>270</v>
      </c>
      <c r="H635" s="527">
        <f>F635*G635</f>
        <v>1209600</v>
      </c>
      <c r="I635" s="538"/>
      <c r="J635" s="534"/>
      <c r="K635" s="144"/>
      <c r="L635" s="144"/>
      <c r="M635" s="89"/>
    </row>
    <row r="636" spans="1:14" s="3" customFormat="1" ht="18.75" customHeight="1" x14ac:dyDescent="0.4">
      <c r="A636" s="482" t="s">
        <v>1402</v>
      </c>
      <c r="B636" s="110" t="s">
        <v>861</v>
      </c>
      <c r="C636" s="29" t="s">
        <v>1401</v>
      </c>
      <c r="D636" s="110"/>
      <c r="E636" s="110"/>
      <c r="F636" s="533">
        <v>-1</v>
      </c>
      <c r="G636" s="525">
        <v>25000</v>
      </c>
      <c r="H636" s="527">
        <f>F636*G636</f>
        <v>-25000</v>
      </c>
      <c r="I636" s="538"/>
      <c r="J636" s="534"/>
      <c r="K636" s="144"/>
      <c r="L636" s="144"/>
      <c r="M636" s="89"/>
    </row>
    <row r="637" spans="1:14" s="3" customFormat="1" ht="18.75" customHeight="1" x14ac:dyDescent="0.4">
      <c r="A637" s="483"/>
      <c r="B637" s="194"/>
      <c r="C637" s="40"/>
      <c r="D637" s="194"/>
      <c r="E637" s="194"/>
      <c r="F637" s="528"/>
      <c r="G637" s="529"/>
      <c r="H637" s="529">
        <f>SUM(H634:H636)</f>
        <v>6849600</v>
      </c>
      <c r="I637" s="535"/>
      <c r="J637" s="530"/>
      <c r="K637" s="145"/>
      <c r="L637" s="145"/>
      <c r="M637" s="89"/>
    </row>
    <row r="638" spans="1:14" x14ac:dyDescent="0.4">
      <c r="A638" s="118">
        <v>46113</v>
      </c>
      <c r="B638" s="103" t="s">
        <v>823</v>
      </c>
      <c r="C638" s="115" t="s">
        <v>602</v>
      </c>
      <c r="D638" s="115"/>
      <c r="E638" s="115"/>
      <c r="F638" s="117">
        <v>60</v>
      </c>
      <c r="G638" s="8">
        <v>111422</v>
      </c>
      <c r="H638" s="8">
        <f t="shared" ref="H638:H664" si="20">+G638*F638</f>
        <v>6685320</v>
      </c>
      <c r="I638" s="191"/>
      <c r="J638" s="607"/>
      <c r="K638" s="607"/>
      <c r="L638" s="607"/>
    </row>
    <row r="639" spans="1:14" x14ac:dyDescent="0.4">
      <c r="A639" s="118">
        <v>46114</v>
      </c>
      <c r="B639" s="103" t="s">
        <v>823</v>
      </c>
      <c r="C639" s="115" t="s">
        <v>602</v>
      </c>
      <c r="D639" s="115"/>
      <c r="E639" s="115"/>
      <c r="F639" s="117">
        <v>60</v>
      </c>
      <c r="G639" s="8">
        <v>111422</v>
      </c>
      <c r="H639" s="8">
        <f t="shared" si="20"/>
        <v>6685320</v>
      </c>
      <c r="I639" s="191"/>
      <c r="J639" s="607"/>
      <c r="K639" s="607"/>
      <c r="L639" s="607"/>
    </row>
    <row r="640" spans="1:14" x14ac:dyDescent="0.4">
      <c r="A640" s="118">
        <v>46115</v>
      </c>
      <c r="B640" s="103" t="s">
        <v>823</v>
      </c>
      <c r="C640" s="115" t="s">
        <v>602</v>
      </c>
      <c r="D640" s="115"/>
      <c r="E640" s="115"/>
      <c r="F640" s="117">
        <v>60</v>
      </c>
      <c r="G640" s="8">
        <v>111422</v>
      </c>
      <c r="H640" s="8">
        <f t="shared" si="20"/>
        <v>6685320</v>
      </c>
      <c r="I640" s="191"/>
      <c r="J640" s="607"/>
      <c r="K640" s="607"/>
      <c r="L640" s="607"/>
    </row>
    <row r="641" spans="1:12" x14ac:dyDescent="0.4">
      <c r="A641" s="118">
        <v>46119</v>
      </c>
      <c r="B641" s="103" t="s">
        <v>823</v>
      </c>
      <c r="C641" s="115" t="s">
        <v>602</v>
      </c>
      <c r="D641" s="115"/>
      <c r="E641" s="115"/>
      <c r="F641" s="117">
        <v>71</v>
      </c>
      <c r="G641" s="8">
        <v>111422</v>
      </c>
      <c r="H641" s="8">
        <f t="shared" si="20"/>
        <v>7910962</v>
      </c>
      <c r="I641" s="191"/>
      <c r="J641" s="607"/>
      <c r="K641" s="607"/>
      <c r="L641" s="607"/>
    </row>
    <row r="642" spans="1:12" x14ac:dyDescent="0.4">
      <c r="A642" s="118">
        <v>46120</v>
      </c>
      <c r="B642" s="103" t="s">
        <v>823</v>
      </c>
      <c r="C642" s="115" t="s">
        <v>602</v>
      </c>
      <c r="D642" s="115"/>
      <c r="E642" s="115"/>
      <c r="F642" s="117">
        <v>90</v>
      </c>
      <c r="G642" s="8">
        <v>111422</v>
      </c>
      <c r="H642" s="8">
        <f t="shared" si="20"/>
        <v>10027980</v>
      </c>
      <c r="I642" s="191"/>
      <c r="J642" s="607"/>
      <c r="K642" s="607"/>
      <c r="L642" s="607"/>
    </row>
    <row r="643" spans="1:12" x14ac:dyDescent="0.4">
      <c r="A643" s="118">
        <v>46121</v>
      </c>
      <c r="B643" s="103" t="s">
        <v>823</v>
      </c>
      <c r="C643" s="115" t="s">
        <v>602</v>
      </c>
      <c r="D643" s="115"/>
      <c r="E643" s="115"/>
      <c r="F643" s="117">
        <v>90</v>
      </c>
      <c r="G643" s="8">
        <v>111422</v>
      </c>
      <c r="H643" s="8">
        <f t="shared" si="20"/>
        <v>10027980</v>
      </c>
      <c r="I643" s="191"/>
      <c r="J643" s="607"/>
      <c r="K643" s="607"/>
      <c r="L643" s="607"/>
    </row>
    <row r="644" spans="1:12" x14ac:dyDescent="0.4">
      <c r="A644" s="118">
        <v>46122</v>
      </c>
      <c r="B644" s="103" t="s">
        <v>823</v>
      </c>
      <c r="C644" s="115" t="s">
        <v>602</v>
      </c>
      <c r="D644" s="115"/>
      <c r="E644" s="115"/>
      <c r="F644" s="117">
        <v>60</v>
      </c>
      <c r="G644" s="8">
        <v>111422</v>
      </c>
      <c r="H644" s="8">
        <f t="shared" si="20"/>
        <v>6685320</v>
      </c>
      <c r="I644" s="191"/>
      <c r="J644" s="607"/>
      <c r="K644" s="607"/>
      <c r="L644" s="607"/>
    </row>
    <row r="645" spans="1:12" x14ac:dyDescent="0.4">
      <c r="A645" s="118">
        <v>46123</v>
      </c>
      <c r="B645" s="103" t="s">
        <v>823</v>
      </c>
      <c r="C645" s="115" t="s">
        <v>602</v>
      </c>
      <c r="D645" s="115"/>
      <c r="E645" s="115"/>
      <c r="F645" s="117">
        <v>30</v>
      </c>
      <c r="G645" s="8">
        <v>111422</v>
      </c>
      <c r="H645" s="8">
        <f t="shared" si="20"/>
        <v>3342660</v>
      </c>
      <c r="I645" s="191"/>
      <c r="J645" s="607"/>
      <c r="K645" s="607"/>
      <c r="L645" s="607"/>
    </row>
    <row r="646" spans="1:12" x14ac:dyDescent="0.4">
      <c r="A646" s="118">
        <v>46125</v>
      </c>
      <c r="B646" s="103" t="s">
        <v>823</v>
      </c>
      <c r="C646" s="115" t="s">
        <v>602</v>
      </c>
      <c r="D646" s="115"/>
      <c r="E646" s="115"/>
      <c r="F646" s="117">
        <v>120</v>
      </c>
      <c r="G646" s="8">
        <v>111422</v>
      </c>
      <c r="H646" s="8">
        <f t="shared" si="20"/>
        <v>13370640</v>
      </c>
      <c r="I646" s="191"/>
      <c r="J646" s="607"/>
      <c r="K646" s="607"/>
      <c r="L646" s="607"/>
    </row>
    <row r="647" spans="1:12" x14ac:dyDescent="0.4">
      <c r="A647" s="118">
        <v>46126</v>
      </c>
      <c r="B647" s="103" t="s">
        <v>823</v>
      </c>
      <c r="C647" s="115" t="s">
        <v>602</v>
      </c>
      <c r="D647" s="115"/>
      <c r="E647" s="115"/>
      <c r="F647" s="117">
        <v>88</v>
      </c>
      <c r="G647" s="8">
        <v>111422</v>
      </c>
      <c r="H647" s="8">
        <f t="shared" si="20"/>
        <v>9805136</v>
      </c>
      <c r="I647" s="191"/>
      <c r="J647" s="607"/>
      <c r="K647" s="607"/>
      <c r="L647" s="607"/>
    </row>
    <row r="648" spans="1:12" x14ac:dyDescent="0.4">
      <c r="A648" s="118">
        <v>46127</v>
      </c>
      <c r="B648" s="103" t="s">
        <v>823</v>
      </c>
      <c r="C648" s="115" t="s">
        <v>602</v>
      </c>
      <c r="D648" s="115"/>
      <c r="E648" s="115"/>
      <c r="F648" s="117">
        <v>60</v>
      </c>
      <c r="G648" s="8">
        <v>111422</v>
      </c>
      <c r="H648" s="8">
        <f t="shared" si="20"/>
        <v>6685320</v>
      </c>
      <c r="I648" s="191"/>
      <c r="J648" s="607"/>
      <c r="K648" s="607"/>
      <c r="L648" s="607"/>
    </row>
    <row r="649" spans="1:12" x14ac:dyDescent="0.4">
      <c r="A649" s="118">
        <v>46128</v>
      </c>
      <c r="B649" s="103" t="s">
        <v>823</v>
      </c>
      <c r="C649" s="115" t="s">
        <v>602</v>
      </c>
      <c r="D649" s="115"/>
      <c r="E649" s="115"/>
      <c r="F649" s="117">
        <v>60</v>
      </c>
      <c r="G649" s="8">
        <v>111422</v>
      </c>
      <c r="H649" s="8">
        <f t="shared" si="20"/>
        <v>6685320</v>
      </c>
      <c r="I649" s="191"/>
      <c r="J649" s="607"/>
      <c r="K649" s="607"/>
      <c r="L649" s="607"/>
    </row>
    <row r="650" spans="1:12" x14ac:dyDescent="0.4">
      <c r="A650" s="118">
        <v>46129</v>
      </c>
      <c r="B650" s="103" t="s">
        <v>823</v>
      </c>
      <c r="C650" s="115" t="s">
        <v>602</v>
      </c>
      <c r="D650" s="115"/>
      <c r="E650" s="115"/>
      <c r="F650" s="117">
        <v>60</v>
      </c>
      <c r="G650" s="8">
        <v>111422</v>
      </c>
      <c r="H650" s="8">
        <f t="shared" si="20"/>
        <v>6685320</v>
      </c>
      <c r="I650" s="191"/>
      <c r="J650" s="607"/>
      <c r="K650" s="607"/>
      <c r="L650" s="607"/>
    </row>
    <row r="651" spans="1:12" x14ac:dyDescent="0.4">
      <c r="A651" s="118">
        <v>46130</v>
      </c>
      <c r="B651" s="103" t="s">
        <v>823</v>
      </c>
      <c r="C651" s="115" t="s">
        <v>602</v>
      </c>
      <c r="D651" s="115"/>
      <c r="E651" s="115"/>
      <c r="F651" s="117">
        <v>90</v>
      </c>
      <c r="G651" s="8">
        <v>111422</v>
      </c>
      <c r="H651" s="8">
        <f t="shared" si="20"/>
        <v>10027980</v>
      </c>
      <c r="I651" s="191"/>
      <c r="J651" s="607"/>
      <c r="K651" s="607"/>
      <c r="L651" s="607"/>
    </row>
    <row r="652" spans="1:12" x14ac:dyDescent="0.4">
      <c r="A652" s="118">
        <v>46132</v>
      </c>
      <c r="B652" s="103" t="s">
        <v>823</v>
      </c>
      <c r="C652" s="115" t="s">
        <v>602</v>
      </c>
      <c r="D652" s="115"/>
      <c r="E652" s="115"/>
      <c r="F652" s="117">
        <v>60</v>
      </c>
      <c r="G652" s="8">
        <v>111422</v>
      </c>
      <c r="H652" s="8">
        <f t="shared" si="20"/>
        <v>6685320</v>
      </c>
      <c r="I652" s="191"/>
      <c r="J652" s="607"/>
      <c r="K652" s="607"/>
      <c r="L652" s="607"/>
    </row>
    <row r="653" spans="1:12" x14ac:dyDescent="0.4">
      <c r="A653" s="118">
        <v>46132</v>
      </c>
      <c r="B653" s="103" t="s">
        <v>823</v>
      </c>
      <c r="C653" s="115" t="s">
        <v>602</v>
      </c>
      <c r="D653" s="115"/>
      <c r="E653" s="115"/>
      <c r="F653" s="117">
        <v>36</v>
      </c>
      <c r="G653" s="8">
        <v>111422</v>
      </c>
      <c r="H653" s="8">
        <f t="shared" si="20"/>
        <v>4011192</v>
      </c>
      <c r="I653" s="191" t="s">
        <v>344</v>
      </c>
      <c r="J653" s="607"/>
      <c r="K653" s="607"/>
      <c r="L653" s="607"/>
    </row>
    <row r="654" spans="1:12" x14ac:dyDescent="0.4">
      <c r="A654" s="118">
        <v>46133</v>
      </c>
      <c r="B654" s="103" t="s">
        <v>823</v>
      </c>
      <c r="C654" s="115" t="s">
        <v>602</v>
      </c>
      <c r="D654" s="115"/>
      <c r="E654" s="115"/>
      <c r="F654" s="117">
        <v>27</v>
      </c>
      <c r="G654" s="8">
        <v>111422</v>
      </c>
      <c r="H654" s="8">
        <f t="shared" si="20"/>
        <v>3008394</v>
      </c>
      <c r="I654" s="191"/>
      <c r="J654" s="607"/>
      <c r="K654" s="607"/>
      <c r="L654" s="607"/>
    </row>
    <row r="655" spans="1:12" x14ac:dyDescent="0.4">
      <c r="A655" s="118">
        <v>46134</v>
      </c>
      <c r="B655" s="103" t="s">
        <v>823</v>
      </c>
      <c r="C655" s="115" t="s">
        <v>602</v>
      </c>
      <c r="D655" s="115"/>
      <c r="E655" s="115"/>
      <c r="F655" s="117">
        <v>19</v>
      </c>
      <c r="G655" s="8">
        <v>111422</v>
      </c>
      <c r="H655" s="8">
        <f t="shared" si="20"/>
        <v>2117018</v>
      </c>
      <c r="I655" s="191"/>
      <c r="J655" s="607"/>
      <c r="K655" s="607"/>
      <c r="L655" s="607"/>
    </row>
    <row r="656" spans="1:12" x14ac:dyDescent="0.4">
      <c r="A656" s="118">
        <v>46134</v>
      </c>
      <c r="B656" s="103" t="s">
        <v>823</v>
      </c>
      <c r="C656" s="115" t="s">
        <v>602</v>
      </c>
      <c r="D656" s="115"/>
      <c r="E656" s="115"/>
      <c r="F656" s="117">
        <v>30</v>
      </c>
      <c r="G656" s="8">
        <v>111422</v>
      </c>
      <c r="H656" s="8">
        <f t="shared" si="20"/>
        <v>3342660</v>
      </c>
      <c r="I656" s="191"/>
      <c r="J656" s="607"/>
      <c r="K656" s="607"/>
      <c r="L656" s="607"/>
    </row>
    <row r="657" spans="1:12" x14ac:dyDescent="0.4">
      <c r="A657" s="118">
        <v>46135</v>
      </c>
      <c r="B657" s="103" t="s">
        <v>823</v>
      </c>
      <c r="C657" s="115" t="s">
        <v>602</v>
      </c>
      <c r="D657" s="115"/>
      <c r="E657" s="115"/>
      <c r="F657" s="117">
        <v>46</v>
      </c>
      <c r="G657" s="8">
        <v>111422</v>
      </c>
      <c r="H657" s="8">
        <f t="shared" si="20"/>
        <v>5125412</v>
      </c>
      <c r="I657" s="191"/>
      <c r="J657" s="607"/>
      <c r="K657" s="607"/>
      <c r="L657" s="607"/>
    </row>
    <row r="658" spans="1:12" x14ac:dyDescent="0.4">
      <c r="A658" s="118">
        <v>46135</v>
      </c>
      <c r="B658" s="103" t="s">
        <v>823</v>
      </c>
      <c r="C658" s="115" t="s">
        <v>602</v>
      </c>
      <c r="D658" s="115"/>
      <c r="E658" s="115"/>
      <c r="F658" s="117">
        <v>60</v>
      </c>
      <c r="G658" s="8">
        <v>111422</v>
      </c>
      <c r="H658" s="8">
        <f t="shared" si="20"/>
        <v>6685320</v>
      </c>
      <c r="I658" s="191"/>
      <c r="J658" s="607"/>
      <c r="K658" s="607"/>
      <c r="L658" s="607"/>
    </row>
    <row r="659" spans="1:12" x14ac:dyDescent="0.4">
      <c r="A659" s="118">
        <v>46136</v>
      </c>
      <c r="B659" s="103" t="s">
        <v>823</v>
      </c>
      <c r="C659" s="115" t="s">
        <v>602</v>
      </c>
      <c r="D659" s="115"/>
      <c r="E659" s="115"/>
      <c r="F659" s="117">
        <v>90</v>
      </c>
      <c r="G659" s="8">
        <v>111422</v>
      </c>
      <c r="H659" s="8">
        <f t="shared" si="20"/>
        <v>10027980</v>
      </c>
      <c r="I659" s="191"/>
      <c r="J659" s="607"/>
      <c r="K659" s="607"/>
      <c r="L659" s="607"/>
    </row>
    <row r="660" spans="1:12" x14ac:dyDescent="0.4">
      <c r="A660" s="118">
        <v>46137</v>
      </c>
      <c r="B660" s="103" t="s">
        <v>823</v>
      </c>
      <c r="C660" s="115" t="s">
        <v>602</v>
      </c>
      <c r="D660" s="115"/>
      <c r="E660" s="115"/>
      <c r="F660" s="117">
        <v>90</v>
      </c>
      <c r="G660" s="8">
        <v>111422</v>
      </c>
      <c r="H660" s="8">
        <f t="shared" si="20"/>
        <v>10027980</v>
      </c>
      <c r="I660" s="191"/>
      <c r="J660" s="607"/>
      <c r="K660" s="607"/>
      <c r="L660" s="607"/>
    </row>
    <row r="661" spans="1:12" x14ac:dyDescent="0.4">
      <c r="A661" s="118">
        <v>46139</v>
      </c>
      <c r="B661" s="103" t="s">
        <v>823</v>
      </c>
      <c r="C661" s="115" t="s">
        <v>602</v>
      </c>
      <c r="D661" s="115"/>
      <c r="E661" s="115"/>
      <c r="F661" s="117">
        <v>90</v>
      </c>
      <c r="G661" s="8">
        <v>111422</v>
      </c>
      <c r="H661" s="8">
        <f t="shared" si="20"/>
        <v>10027980</v>
      </c>
      <c r="I661" s="191"/>
      <c r="J661" s="607"/>
      <c r="K661" s="607"/>
      <c r="L661" s="607"/>
    </row>
    <row r="662" spans="1:12" x14ac:dyDescent="0.4">
      <c r="A662" s="118">
        <v>46140</v>
      </c>
      <c r="B662" s="103" t="s">
        <v>823</v>
      </c>
      <c r="C662" s="115" t="s">
        <v>602</v>
      </c>
      <c r="D662" s="115"/>
      <c r="E662" s="115"/>
      <c r="F662" s="117">
        <v>90</v>
      </c>
      <c r="G662" s="8">
        <v>111422</v>
      </c>
      <c r="H662" s="8">
        <f t="shared" si="20"/>
        <v>10027980</v>
      </c>
      <c r="I662" s="191"/>
      <c r="J662" s="607"/>
      <c r="K662" s="607"/>
      <c r="L662" s="607"/>
    </row>
    <row r="663" spans="1:12" x14ac:dyDescent="0.4">
      <c r="A663" s="118">
        <v>46141</v>
      </c>
      <c r="B663" s="103" t="s">
        <v>823</v>
      </c>
      <c r="C663" s="115" t="s">
        <v>602</v>
      </c>
      <c r="D663" s="115"/>
      <c r="E663" s="115"/>
      <c r="F663" s="117">
        <v>90</v>
      </c>
      <c r="G663" s="8">
        <v>111422</v>
      </c>
      <c r="H663" s="8">
        <f t="shared" si="20"/>
        <v>10027980</v>
      </c>
      <c r="I663" s="191"/>
      <c r="J663" s="607"/>
      <c r="K663" s="607"/>
      <c r="L663" s="607"/>
    </row>
    <row r="664" spans="1:12" x14ac:dyDescent="0.4">
      <c r="A664" s="118">
        <v>46142</v>
      </c>
      <c r="B664" s="103" t="s">
        <v>823</v>
      </c>
      <c r="C664" s="115" t="s">
        <v>602</v>
      </c>
      <c r="D664" s="115"/>
      <c r="E664" s="115"/>
      <c r="F664" s="117">
        <v>60</v>
      </c>
      <c r="G664" s="8">
        <v>111422</v>
      </c>
      <c r="H664" s="8">
        <f t="shared" si="20"/>
        <v>6685320</v>
      </c>
      <c r="I664" s="191"/>
      <c r="J664" s="607"/>
      <c r="K664" s="607"/>
      <c r="L664" s="607"/>
    </row>
    <row r="665" spans="1:12" x14ac:dyDescent="0.4">
      <c r="A665" s="606"/>
      <c r="B665" s="606"/>
      <c r="C665" s="606"/>
      <c r="D665" s="605"/>
      <c r="E665" s="605"/>
      <c r="F665" s="64">
        <f>SUM(F638:F664)</f>
        <v>1787</v>
      </c>
      <c r="G665" s="122"/>
      <c r="H665" s="208">
        <f>SUM(H638:H664)</f>
        <v>199111114</v>
      </c>
      <c r="I665" s="122"/>
      <c r="J665" s="122"/>
      <c r="K665" s="122"/>
      <c r="L665" s="122"/>
    </row>
    <row r="666" spans="1:12" x14ac:dyDescent="0.4">
      <c r="A666" s="4">
        <v>46113</v>
      </c>
      <c r="B666" s="110" t="s">
        <v>163</v>
      </c>
      <c r="C666" s="6" t="s">
        <v>276</v>
      </c>
      <c r="D666" s="6"/>
      <c r="E666" s="6"/>
      <c r="F666" s="8">
        <v>-11</v>
      </c>
      <c r="G666" s="8">
        <v>111422</v>
      </c>
      <c r="H666" s="36">
        <f t="shared" ref="H666:H678" si="21">F666*G666</f>
        <v>-1225642</v>
      </c>
      <c r="I666" s="139" t="s">
        <v>1235</v>
      </c>
      <c r="J666" s="607"/>
      <c r="K666" s="607"/>
      <c r="L666" s="607"/>
    </row>
    <row r="667" spans="1:12" x14ac:dyDescent="0.4">
      <c r="A667" s="4">
        <v>46113</v>
      </c>
      <c r="B667" s="110" t="s">
        <v>163</v>
      </c>
      <c r="C667" s="6" t="s">
        <v>276</v>
      </c>
      <c r="D667" s="6"/>
      <c r="E667" s="6"/>
      <c r="F667" s="8">
        <v>-30</v>
      </c>
      <c r="G667" s="8">
        <v>111422</v>
      </c>
      <c r="H667" s="36">
        <f t="shared" si="21"/>
        <v>-3342660</v>
      </c>
      <c r="I667" s="139" t="s">
        <v>1031</v>
      </c>
      <c r="J667" s="607"/>
      <c r="K667" s="607"/>
      <c r="L667" s="607"/>
    </row>
    <row r="668" spans="1:12" x14ac:dyDescent="0.4">
      <c r="A668" s="4">
        <v>46115</v>
      </c>
      <c r="B668" s="110" t="s">
        <v>163</v>
      </c>
      <c r="C668" s="6" t="s">
        <v>276</v>
      </c>
      <c r="D668" s="6"/>
      <c r="E668" s="6"/>
      <c r="F668" s="8">
        <v>-30</v>
      </c>
      <c r="G668" s="8">
        <v>111422</v>
      </c>
      <c r="H668" s="36">
        <f t="shared" si="21"/>
        <v>-3342660</v>
      </c>
      <c r="I668" s="139" t="s">
        <v>1031</v>
      </c>
      <c r="J668" s="607"/>
      <c r="K668" s="607"/>
      <c r="L668" s="607"/>
    </row>
    <row r="669" spans="1:12" x14ac:dyDescent="0.4">
      <c r="A669" s="4">
        <v>46120</v>
      </c>
      <c r="B669" s="110" t="s">
        <v>163</v>
      </c>
      <c r="C669" s="6" t="s">
        <v>276</v>
      </c>
      <c r="D669" s="6"/>
      <c r="E669" s="6"/>
      <c r="F669" s="8">
        <v>-12</v>
      </c>
      <c r="G669" s="8">
        <v>111422</v>
      </c>
      <c r="H669" s="36">
        <f t="shared" si="21"/>
        <v>-1337064</v>
      </c>
      <c r="I669" s="139" t="s">
        <v>1235</v>
      </c>
      <c r="J669" s="607"/>
      <c r="K669" s="607"/>
      <c r="L669" s="607"/>
    </row>
    <row r="670" spans="1:12" x14ac:dyDescent="0.4">
      <c r="A670" s="4">
        <v>46120</v>
      </c>
      <c r="B670" s="110" t="s">
        <v>163</v>
      </c>
      <c r="C670" s="6" t="s">
        <v>276</v>
      </c>
      <c r="D670" s="6"/>
      <c r="E670" s="6"/>
      <c r="F670" s="8">
        <v>-45</v>
      </c>
      <c r="G670" s="8">
        <v>111422</v>
      </c>
      <c r="H670" s="36">
        <f t="shared" si="21"/>
        <v>-5013990</v>
      </c>
      <c r="I670" s="139" t="s">
        <v>1031</v>
      </c>
      <c r="J670" s="607"/>
      <c r="K670" s="607"/>
      <c r="L670" s="607"/>
    </row>
    <row r="671" spans="1:12" x14ac:dyDescent="0.4">
      <c r="A671" s="4">
        <v>46122</v>
      </c>
      <c r="B671" s="110" t="s">
        <v>163</v>
      </c>
      <c r="C671" s="6" t="s">
        <v>276</v>
      </c>
      <c r="D671" s="6"/>
      <c r="E671" s="6"/>
      <c r="F671" s="8">
        <v>-30</v>
      </c>
      <c r="G671" s="8">
        <v>111422</v>
      </c>
      <c r="H671" s="36">
        <f t="shared" si="21"/>
        <v>-3342660</v>
      </c>
      <c r="I671" s="139" t="s">
        <v>1031</v>
      </c>
      <c r="J671" s="607"/>
      <c r="K671" s="607"/>
      <c r="L671" s="607"/>
    </row>
    <row r="672" spans="1:12" x14ac:dyDescent="0.4">
      <c r="A672" s="4">
        <v>46128</v>
      </c>
      <c r="B672" s="110" t="s">
        <v>163</v>
      </c>
      <c r="C672" s="6" t="s">
        <v>276</v>
      </c>
      <c r="D672" s="6"/>
      <c r="E672" s="6"/>
      <c r="F672" s="8">
        <v>-36</v>
      </c>
      <c r="G672" s="8">
        <v>111422</v>
      </c>
      <c r="H672" s="36">
        <f t="shared" si="21"/>
        <v>-4011192</v>
      </c>
      <c r="I672" s="139" t="s">
        <v>1235</v>
      </c>
      <c r="J672" s="607"/>
      <c r="K672" s="607"/>
      <c r="L672" s="607"/>
    </row>
    <row r="673" spans="1:14" x14ac:dyDescent="0.4">
      <c r="A673" s="4">
        <v>46128</v>
      </c>
      <c r="B673" s="110" t="s">
        <v>163</v>
      </c>
      <c r="C673" s="6" t="s">
        <v>276</v>
      </c>
      <c r="D673" s="6"/>
      <c r="E673" s="6"/>
      <c r="F673" s="8">
        <v>-59</v>
      </c>
      <c r="G673" s="8">
        <v>111422</v>
      </c>
      <c r="H673" s="36">
        <f t="shared" si="21"/>
        <v>-6573898</v>
      </c>
      <c r="I673" s="139" t="s">
        <v>1031</v>
      </c>
      <c r="J673" s="607"/>
      <c r="K673" s="607"/>
      <c r="L673" s="607"/>
    </row>
    <row r="674" spans="1:14" x14ac:dyDescent="0.4">
      <c r="A674" s="4">
        <v>46130</v>
      </c>
      <c r="B674" s="110" t="s">
        <v>163</v>
      </c>
      <c r="C674" s="6" t="s">
        <v>276</v>
      </c>
      <c r="D674" s="6"/>
      <c r="E674" s="6"/>
      <c r="F674" s="8">
        <v>-30</v>
      </c>
      <c r="G674" s="8">
        <v>111422</v>
      </c>
      <c r="H674" s="36">
        <f t="shared" si="21"/>
        <v>-3342660</v>
      </c>
      <c r="I674" s="139" t="s">
        <v>1031</v>
      </c>
      <c r="J674" s="607"/>
      <c r="K674" s="607"/>
      <c r="L674" s="607"/>
    </row>
    <row r="675" spans="1:14" x14ac:dyDescent="0.4">
      <c r="A675" s="4">
        <v>46133</v>
      </c>
      <c r="B675" s="110" t="s">
        <v>163</v>
      </c>
      <c r="C675" s="6" t="s">
        <v>276</v>
      </c>
      <c r="D675" s="6"/>
      <c r="E675" s="6"/>
      <c r="F675" s="8">
        <v>-30</v>
      </c>
      <c r="G675" s="8">
        <v>111422</v>
      </c>
      <c r="H675" s="36">
        <f t="shared" si="21"/>
        <v>-3342660</v>
      </c>
      <c r="I675" s="139" t="s">
        <v>1031</v>
      </c>
      <c r="J675" s="607"/>
      <c r="K675" s="607"/>
      <c r="L675" s="607"/>
    </row>
    <row r="676" spans="1:14" x14ac:dyDescent="0.4">
      <c r="A676" s="4">
        <v>46135</v>
      </c>
      <c r="B676" s="110" t="s">
        <v>163</v>
      </c>
      <c r="C676" s="6" t="s">
        <v>276</v>
      </c>
      <c r="D676" s="6"/>
      <c r="E676" s="6"/>
      <c r="F676" s="8">
        <v>-30</v>
      </c>
      <c r="G676" s="8">
        <v>111422</v>
      </c>
      <c r="H676" s="36">
        <f t="shared" si="21"/>
        <v>-3342660</v>
      </c>
      <c r="I676" s="139" t="s">
        <v>1031</v>
      </c>
      <c r="J676" s="607"/>
      <c r="K676" s="607"/>
      <c r="L676" s="607"/>
    </row>
    <row r="677" spans="1:14" x14ac:dyDescent="0.4">
      <c r="A677" s="4">
        <v>46137</v>
      </c>
      <c r="B677" s="110" t="s">
        <v>163</v>
      </c>
      <c r="C677" s="6" t="s">
        <v>276</v>
      </c>
      <c r="D677" s="6"/>
      <c r="E677" s="6"/>
      <c r="F677" s="8">
        <v>-30</v>
      </c>
      <c r="G677" s="8">
        <v>111422</v>
      </c>
      <c r="H677" s="36">
        <f t="shared" si="21"/>
        <v>-3342660</v>
      </c>
      <c r="I677" s="139" t="s">
        <v>1031</v>
      </c>
      <c r="J677" s="607"/>
      <c r="K677" s="607"/>
      <c r="L677" s="607"/>
    </row>
    <row r="678" spans="1:14" x14ac:dyDescent="0.4">
      <c r="A678" s="4">
        <v>46141</v>
      </c>
      <c r="B678" s="110" t="s">
        <v>163</v>
      </c>
      <c r="C678" s="6" t="s">
        <v>276</v>
      </c>
      <c r="D678" s="6"/>
      <c r="E678" s="6"/>
      <c r="F678" s="8">
        <v>-28</v>
      </c>
      <c r="G678" s="8">
        <v>111422</v>
      </c>
      <c r="H678" s="36">
        <f t="shared" si="21"/>
        <v>-3119816</v>
      </c>
      <c r="I678" s="139" t="s">
        <v>1031</v>
      </c>
      <c r="J678" s="607"/>
      <c r="K678" s="607"/>
      <c r="L678" s="607"/>
    </row>
    <row r="679" spans="1:14" x14ac:dyDescent="0.4">
      <c r="A679" s="606"/>
      <c r="B679" s="606"/>
      <c r="C679" s="606"/>
      <c r="D679" s="605"/>
      <c r="E679" s="605"/>
      <c r="F679" s="64">
        <f>SUM(F666:F678)</f>
        <v>-401</v>
      </c>
      <c r="G679" s="63"/>
      <c r="H679" s="64">
        <f>SUM(H666:H678)</f>
        <v>-44680222</v>
      </c>
      <c r="I679" s="65"/>
      <c r="J679" s="65"/>
      <c r="K679" s="65"/>
      <c r="L679" s="65"/>
    </row>
    <row r="680" spans="1:14" s="50" customFormat="1" ht="18.75" customHeight="1" x14ac:dyDescent="0.4">
      <c r="A680" s="492"/>
      <c r="B680" s="97"/>
      <c r="C680" s="138"/>
      <c r="D680" s="97"/>
      <c r="E680" s="536"/>
      <c r="F680" s="138">
        <f>SUM(F665,F679)</f>
        <v>1386</v>
      </c>
      <c r="G680" s="138"/>
      <c r="H680" s="138">
        <f>SUM(H665,H679)</f>
        <v>154430892</v>
      </c>
      <c r="I680" s="123"/>
      <c r="J680" s="123"/>
      <c r="K680" s="123"/>
      <c r="L680" s="123"/>
      <c r="N680" s="441"/>
    </row>
    <row r="681" spans="1:14" s="50" customFormat="1" ht="18.75" customHeight="1" x14ac:dyDescent="0.4">
      <c r="A681" s="484"/>
      <c r="B681" s="110" t="s">
        <v>163</v>
      </c>
      <c r="C681" s="49" t="s">
        <v>1393</v>
      </c>
      <c r="D681" s="59"/>
      <c r="E681" s="608"/>
      <c r="F681" s="49">
        <v>1620</v>
      </c>
      <c r="G681" s="49">
        <v>17618</v>
      </c>
      <c r="H681" s="36">
        <f>F681*G681</f>
        <v>28541160</v>
      </c>
      <c r="I681" s="453">
        <v>110116</v>
      </c>
      <c r="J681" s="453">
        <v>127734</v>
      </c>
      <c r="K681" s="144"/>
      <c r="L681" s="67"/>
      <c r="N681" s="441"/>
    </row>
    <row r="682" spans="1:14" s="50" customFormat="1" ht="18.75" customHeight="1" x14ac:dyDescent="0.4">
      <c r="A682" s="484"/>
      <c r="B682" s="110" t="s">
        <v>163</v>
      </c>
      <c r="C682" s="49" t="s">
        <v>1394</v>
      </c>
      <c r="D682" s="59"/>
      <c r="E682" s="608"/>
      <c r="F682" s="49">
        <v>1258</v>
      </c>
      <c r="G682" s="49">
        <v>17618</v>
      </c>
      <c r="H682" s="36">
        <f>F682*G682</f>
        <v>22163444</v>
      </c>
      <c r="I682" s="453">
        <v>111422</v>
      </c>
      <c r="J682" s="453">
        <v>129040</v>
      </c>
      <c r="K682" s="144"/>
      <c r="L682" s="67"/>
      <c r="N682" s="441"/>
    </row>
    <row r="683" spans="1:14" s="50" customFormat="1" ht="18.75" customHeight="1" x14ac:dyDescent="0.4">
      <c r="A683" s="484"/>
      <c r="B683" s="110" t="s">
        <v>163</v>
      </c>
      <c r="C683" s="49" t="s">
        <v>1395</v>
      </c>
      <c r="D683" s="59"/>
      <c r="E683" s="608"/>
      <c r="F683" s="49">
        <v>1365</v>
      </c>
      <c r="G683" s="49">
        <v>21868</v>
      </c>
      <c r="H683" s="36">
        <f>F683*G683</f>
        <v>29849820</v>
      </c>
      <c r="I683" s="453">
        <v>111422</v>
      </c>
      <c r="J683" s="453">
        <v>133290</v>
      </c>
      <c r="K683" s="144"/>
      <c r="L683" s="67"/>
      <c r="N683" s="441"/>
    </row>
    <row r="684" spans="1:14" s="50" customFormat="1" ht="18.75" customHeight="1" x14ac:dyDescent="0.4">
      <c r="A684" s="484"/>
      <c r="B684" s="110" t="s">
        <v>163</v>
      </c>
      <c r="C684" s="49" t="s">
        <v>1396</v>
      </c>
      <c r="D684" s="59"/>
      <c r="E684" s="608"/>
      <c r="F684" s="49">
        <v>1386</v>
      </c>
      <c r="G684" s="49">
        <v>21868</v>
      </c>
      <c r="H684" s="36">
        <f>F684*G684</f>
        <v>30309048</v>
      </c>
      <c r="I684" s="453">
        <v>111422</v>
      </c>
      <c r="J684" s="453">
        <v>133290</v>
      </c>
      <c r="K684" s="144"/>
      <c r="L684" s="67"/>
      <c r="N684" s="441"/>
    </row>
    <row r="685" spans="1:14" s="50" customFormat="1" ht="18.75" customHeight="1" x14ac:dyDescent="0.4">
      <c r="A685" s="492"/>
      <c r="B685" s="97"/>
      <c r="C685" s="138"/>
      <c r="D685" s="97"/>
      <c r="E685" s="536"/>
      <c r="F685" s="138"/>
      <c r="G685" s="138"/>
      <c r="H685" s="138">
        <f>SUM(H681:H684)</f>
        <v>110863472</v>
      </c>
      <c r="I685" s="609" t="s">
        <v>1397</v>
      </c>
      <c r="J685" s="97" t="s">
        <v>1398</v>
      </c>
      <c r="K685" s="123"/>
      <c r="L685" s="123"/>
      <c r="N685" s="441"/>
    </row>
    <row r="686" spans="1:14" s="50" customFormat="1" ht="18.75" customHeight="1" x14ac:dyDescent="0.4">
      <c r="A686" s="485">
        <v>46119</v>
      </c>
      <c r="B686" s="8" t="s">
        <v>395</v>
      </c>
      <c r="C686" s="49" t="s">
        <v>1032</v>
      </c>
      <c r="D686" s="59" t="s">
        <v>1033</v>
      </c>
      <c r="E686" s="67"/>
      <c r="F686" s="81">
        <v>27</v>
      </c>
      <c r="G686" s="49">
        <f>I686*J686</f>
        <v>2319417.8432</v>
      </c>
      <c r="H686" s="36">
        <f>F686*G686</f>
        <v>62624281.766400002</v>
      </c>
      <c r="I686" s="67">
        <v>9.3087999999999997</v>
      </c>
      <c r="J686" s="67">
        <v>249164</v>
      </c>
      <c r="K686" s="67"/>
      <c r="L686" s="67" t="s">
        <v>1399</v>
      </c>
    </row>
    <row r="687" spans="1:14" s="50" customFormat="1" ht="18.75" customHeight="1" x14ac:dyDescent="0.4">
      <c r="A687" s="485">
        <v>46136</v>
      </c>
      <c r="B687" s="8" t="s">
        <v>395</v>
      </c>
      <c r="C687" s="49" t="s">
        <v>1032</v>
      </c>
      <c r="D687" s="59" t="s">
        <v>1033</v>
      </c>
      <c r="E687" s="67"/>
      <c r="F687" s="81">
        <v>27</v>
      </c>
      <c r="G687" s="49">
        <f>I687*J687</f>
        <v>2302873.3536</v>
      </c>
      <c r="H687" s="36">
        <f>F687*G687</f>
        <v>62177580.547200002</v>
      </c>
      <c r="I687" s="67">
        <v>9.2423999999999999</v>
      </c>
      <c r="J687" s="67">
        <v>249164</v>
      </c>
      <c r="K687" s="67"/>
      <c r="L687" s="67" t="s">
        <v>1400</v>
      </c>
    </row>
    <row r="688" spans="1:14" s="50" customFormat="1" ht="18.75" customHeight="1" x14ac:dyDescent="0.4">
      <c r="A688" s="492"/>
      <c r="B688" s="123"/>
      <c r="C688" s="138"/>
      <c r="D688" s="97"/>
      <c r="E688" s="123"/>
      <c r="F688" s="380"/>
      <c r="G688" s="138"/>
      <c r="H688" s="138">
        <f>INT(SUM(H686:H687)-1)</f>
        <v>124801861</v>
      </c>
      <c r="I688" s="123"/>
      <c r="J688" s="123"/>
      <c r="K688" s="123"/>
      <c r="L688" s="123"/>
    </row>
    <row r="689" spans="1:12" s="19" customFormat="1" ht="21.75" customHeight="1" x14ac:dyDescent="0.4">
      <c r="A689" s="501">
        <v>46112</v>
      </c>
      <c r="B689" s="7" t="s">
        <v>164</v>
      </c>
      <c r="C689" s="6" t="s">
        <v>512</v>
      </c>
      <c r="D689" s="42" t="s">
        <v>551</v>
      </c>
      <c r="E689" s="1" t="s">
        <v>13</v>
      </c>
      <c r="F689" s="92">
        <v>2</v>
      </c>
      <c r="G689" s="8">
        <v>1270000</v>
      </c>
      <c r="H689" s="8">
        <f t="shared" ref="H689:H694" si="22">F689*G689</f>
        <v>2540000</v>
      </c>
      <c r="I689" s="142"/>
      <c r="J689" s="43"/>
      <c r="K689" s="81"/>
      <c r="L689" s="73"/>
    </row>
    <row r="690" spans="1:12" s="19" customFormat="1" ht="21.75" customHeight="1" x14ac:dyDescent="0.4">
      <c r="A690" s="501">
        <v>46112</v>
      </c>
      <c r="B690" s="7" t="s">
        <v>164</v>
      </c>
      <c r="C690" s="60" t="s">
        <v>165</v>
      </c>
      <c r="D690" s="71" t="s">
        <v>510</v>
      </c>
      <c r="E690" s="7" t="s">
        <v>13</v>
      </c>
      <c r="F690" s="7">
        <v>2</v>
      </c>
      <c r="G690" s="17">
        <v>3720000</v>
      </c>
      <c r="H690" s="36">
        <f t="shared" si="22"/>
        <v>7440000</v>
      </c>
      <c r="I690" s="142"/>
      <c r="J690" s="43"/>
      <c r="K690" s="81"/>
      <c r="L690" s="73"/>
    </row>
    <row r="691" spans="1:12" s="19" customFormat="1" ht="18.75" customHeight="1" x14ac:dyDescent="0.4">
      <c r="A691" s="501">
        <v>46112</v>
      </c>
      <c r="B691" s="7" t="s">
        <v>164</v>
      </c>
      <c r="C691" s="6" t="s">
        <v>277</v>
      </c>
      <c r="D691" s="42" t="s">
        <v>278</v>
      </c>
      <c r="E691" s="1" t="s">
        <v>13</v>
      </c>
      <c r="F691" s="36">
        <v>10</v>
      </c>
      <c r="G691" s="8">
        <v>240000</v>
      </c>
      <c r="H691" s="36">
        <f t="shared" si="22"/>
        <v>2400000</v>
      </c>
      <c r="I691" s="137"/>
      <c r="J691" s="43"/>
      <c r="K691" s="81"/>
      <c r="L691" s="405"/>
    </row>
    <row r="692" spans="1:12" s="19" customFormat="1" ht="21.75" customHeight="1" x14ac:dyDescent="0.4">
      <c r="A692" s="501">
        <v>46123</v>
      </c>
      <c r="B692" s="7" t="s">
        <v>164</v>
      </c>
      <c r="C692" s="6" t="s">
        <v>512</v>
      </c>
      <c r="D692" s="42" t="s">
        <v>551</v>
      </c>
      <c r="E692" s="1" t="s">
        <v>13</v>
      </c>
      <c r="F692" s="92">
        <v>8</v>
      </c>
      <c r="G692" s="8">
        <v>1270000</v>
      </c>
      <c r="H692" s="8">
        <f t="shared" si="22"/>
        <v>10160000</v>
      </c>
      <c r="I692" s="142"/>
      <c r="J692" s="43"/>
      <c r="K692" s="81"/>
      <c r="L692" s="73"/>
    </row>
    <row r="693" spans="1:12" s="19" customFormat="1" ht="21.75" customHeight="1" x14ac:dyDescent="0.4">
      <c r="A693" s="501">
        <v>46123</v>
      </c>
      <c r="B693" s="7" t="s">
        <v>164</v>
      </c>
      <c r="C693" s="60" t="s">
        <v>165</v>
      </c>
      <c r="D693" s="71" t="s">
        <v>510</v>
      </c>
      <c r="E693" s="7" t="s">
        <v>13</v>
      </c>
      <c r="F693" s="7">
        <v>2</v>
      </c>
      <c r="G693" s="17">
        <v>3720000</v>
      </c>
      <c r="H693" s="36">
        <f t="shared" si="22"/>
        <v>7440000</v>
      </c>
      <c r="I693" s="142"/>
      <c r="J693" s="43"/>
      <c r="K693" s="81"/>
      <c r="L693" s="73"/>
    </row>
    <row r="694" spans="1:12" s="19" customFormat="1" ht="18.75" customHeight="1" x14ac:dyDescent="0.4">
      <c r="A694" s="501">
        <v>46123</v>
      </c>
      <c r="B694" s="7" t="s">
        <v>164</v>
      </c>
      <c r="C694" s="6" t="s">
        <v>277</v>
      </c>
      <c r="D694" s="42" t="s">
        <v>278</v>
      </c>
      <c r="E694" s="1" t="s">
        <v>13</v>
      </c>
      <c r="F694" s="36">
        <v>8</v>
      </c>
      <c r="G694" s="8">
        <v>240000</v>
      </c>
      <c r="H694" s="36">
        <f t="shared" si="22"/>
        <v>1920000</v>
      </c>
      <c r="I694" s="142"/>
      <c r="J694" s="43"/>
      <c r="K694" s="81"/>
      <c r="L694" s="405"/>
    </row>
    <row r="695" spans="1:12" s="19" customFormat="1" ht="18.75" customHeight="1" x14ac:dyDescent="0.4">
      <c r="A695" s="501">
        <v>46129</v>
      </c>
      <c r="B695" s="7" t="s">
        <v>164</v>
      </c>
      <c r="C695" s="6" t="s">
        <v>166</v>
      </c>
      <c r="D695" s="42" t="s">
        <v>167</v>
      </c>
      <c r="E695" s="1" t="s">
        <v>13</v>
      </c>
      <c r="F695" s="92">
        <v>7</v>
      </c>
      <c r="G695" s="8">
        <v>650000</v>
      </c>
      <c r="H695" s="36">
        <f t="shared" ref="H695:H701" si="23">F695*G695</f>
        <v>4550000</v>
      </c>
      <c r="I695" s="142"/>
      <c r="J695" s="43"/>
      <c r="K695" s="81"/>
      <c r="L695" s="405"/>
    </row>
    <row r="696" spans="1:12" s="19" customFormat="1" ht="18.75" customHeight="1" x14ac:dyDescent="0.4">
      <c r="A696" s="501">
        <v>46129</v>
      </c>
      <c r="B696" s="7" t="s">
        <v>164</v>
      </c>
      <c r="C696" s="60" t="s">
        <v>165</v>
      </c>
      <c r="D696" s="71" t="s">
        <v>510</v>
      </c>
      <c r="E696" s="7" t="s">
        <v>13</v>
      </c>
      <c r="F696" s="7">
        <v>2</v>
      </c>
      <c r="G696" s="17">
        <v>3720000</v>
      </c>
      <c r="H696" s="36">
        <f t="shared" si="23"/>
        <v>7440000</v>
      </c>
      <c r="I696" s="142"/>
      <c r="J696" s="43"/>
      <c r="K696" s="81"/>
      <c r="L696" s="405"/>
    </row>
    <row r="697" spans="1:12" s="19" customFormat="1" ht="18.75" customHeight="1" x14ac:dyDescent="0.4">
      <c r="A697" s="501">
        <v>46129</v>
      </c>
      <c r="B697" s="7" t="s">
        <v>164</v>
      </c>
      <c r="C697" s="6" t="s">
        <v>512</v>
      </c>
      <c r="D697" s="42" t="s">
        <v>551</v>
      </c>
      <c r="E697" s="1" t="s">
        <v>13</v>
      </c>
      <c r="F697" s="92">
        <v>2</v>
      </c>
      <c r="G697" s="8">
        <v>1270000</v>
      </c>
      <c r="H697" s="8">
        <f t="shared" si="23"/>
        <v>2540000</v>
      </c>
      <c r="I697" s="142"/>
      <c r="J697" s="43"/>
      <c r="K697" s="81"/>
      <c r="L697" s="405"/>
    </row>
    <row r="698" spans="1:12" s="19" customFormat="1" ht="18.75" customHeight="1" x14ac:dyDescent="0.4">
      <c r="A698" s="501">
        <v>46139</v>
      </c>
      <c r="B698" s="7" t="s">
        <v>164</v>
      </c>
      <c r="C698" s="6" t="s">
        <v>170</v>
      </c>
      <c r="D698" s="42" t="s">
        <v>511</v>
      </c>
      <c r="E698" s="1" t="s">
        <v>13</v>
      </c>
      <c r="F698" s="36">
        <v>2</v>
      </c>
      <c r="G698" s="8">
        <v>1300000</v>
      </c>
      <c r="H698" s="36">
        <f t="shared" si="23"/>
        <v>2600000</v>
      </c>
      <c r="I698" s="36"/>
      <c r="J698" s="43"/>
      <c r="K698" s="81"/>
      <c r="L698" s="405"/>
    </row>
    <row r="699" spans="1:12" s="19" customFormat="1" ht="18.75" customHeight="1" x14ac:dyDescent="0.4">
      <c r="A699" s="501">
        <v>46139</v>
      </c>
      <c r="B699" s="7" t="s">
        <v>164</v>
      </c>
      <c r="C699" s="6" t="s">
        <v>166</v>
      </c>
      <c r="D699" s="42" t="s">
        <v>167</v>
      </c>
      <c r="E699" s="1" t="s">
        <v>13</v>
      </c>
      <c r="F699" s="92">
        <v>5</v>
      </c>
      <c r="G699" s="8">
        <v>650000</v>
      </c>
      <c r="H699" s="36">
        <f t="shared" si="23"/>
        <v>3250000</v>
      </c>
      <c r="I699" s="142"/>
      <c r="J699" s="43"/>
      <c r="K699" s="81"/>
      <c r="L699" s="405"/>
    </row>
    <row r="700" spans="1:12" s="19" customFormat="1" ht="18.75" customHeight="1" x14ac:dyDescent="0.4">
      <c r="A700" s="571">
        <v>46142</v>
      </c>
      <c r="B700" s="572" t="s">
        <v>164</v>
      </c>
      <c r="C700" s="573" t="s">
        <v>170</v>
      </c>
      <c r="D700" s="461" t="s">
        <v>511</v>
      </c>
      <c r="E700" s="574" t="s">
        <v>13</v>
      </c>
      <c r="F700" s="575">
        <v>2</v>
      </c>
      <c r="G700" s="463">
        <v>1300000</v>
      </c>
      <c r="H700" s="575">
        <f t="shared" si="23"/>
        <v>2600000</v>
      </c>
      <c r="I700" s="576"/>
      <c r="J700" s="577"/>
      <c r="K700" s="578"/>
      <c r="L700" s="464" t="s">
        <v>1382</v>
      </c>
    </row>
    <row r="701" spans="1:12" s="19" customFormat="1" ht="18.75" customHeight="1" x14ac:dyDescent="0.4">
      <c r="A701" s="571">
        <v>46142</v>
      </c>
      <c r="B701" s="572" t="s">
        <v>164</v>
      </c>
      <c r="C701" s="579" t="s">
        <v>165</v>
      </c>
      <c r="D701" s="580" t="s">
        <v>510</v>
      </c>
      <c r="E701" s="572" t="s">
        <v>13</v>
      </c>
      <c r="F701" s="572">
        <v>3</v>
      </c>
      <c r="G701" s="581">
        <v>3720000</v>
      </c>
      <c r="H701" s="575">
        <f t="shared" si="23"/>
        <v>11160000</v>
      </c>
      <c r="I701" s="576"/>
      <c r="J701" s="577"/>
      <c r="K701" s="578"/>
      <c r="L701" s="464" t="s">
        <v>1382</v>
      </c>
    </row>
    <row r="702" spans="1:12" s="19" customFormat="1" ht="18.75" customHeight="1" x14ac:dyDescent="0.4">
      <c r="A702" s="501"/>
      <c r="B702" s="7"/>
      <c r="C702" s="6"/>
      <c r="D702" s="42"/>
      <c r="E702" s="1"/>
      <c r="F702" s="36"/>
      <c r="G702" s="8"/>
      <c r="H702" s="36"/>
      <c r="I702" s="142"/>
      <c r="J702" s="43"/>
      <c r="K702" s="81"/>
      <c r="L702" s="405"/>
    </row>
    <row r="703" spans="1:12" s="50" customFormat="1" ht="18.75" customHeight="1" x14ac:dyDescent="0.4">
      <c r="A703" s="492"/>
      <c r="B703" s="123" t="s">
        <v>164</v>
      </c>
      <c r="C703" s="138"/>
      <c r="D703" s="97"/>
      <c r="E703" s="123"/>
      <c r="F703" s="380"/>
      <c r="G703" s="138"/>
      <c r="H703" s="138">
        <f>SUM(H689:H699)</f>
        <v>52280000</v>
      </c>
      <c r="I703" s="123"/>
      <c r="J703" s="123"/>
      <c r="K703" s="123"/>
      <c r="L703" s="123"/>
    </row>
    <row r="704" spans="1:12" s="113" customFormat="1" ht="19.5" customHeight="1" x14ac:dyDescent="0.4">
      <c r="A704" s="566">
        <v>46120</v>
      </c>
      <c r="B704" s="554" t="s">
        <v>483</v>
      </c>
      <c r="C704" s="542" t="s">
        <v>486</v>
      </c>
      <c r="D704" s="567" t="s">
        <v>513</v>
      </c>
      <c r="E704" s="554" t="s">
        <v>13</v>
      </c>
      <c r="F704" s="554">
        <v>1</v>
      </c>
      <c r="G704" s="545">
        <v>9741800</v>
      </c>
      <c r="H704" s="545">
        <f>F704*G704</f>
        <v>9741800</v>
      </c>
      <c r="I704" s="111"/>
      <c r="J704" s="111"/>
      <c r="K704" s="111"/>
      <c r="L704" s="81" t="s">
        <v>1068</v>
      </c>
    </row>
    <row r="705" spans="1:12" s="113" customFormat="1" ht="19.5" customHeight="1" x14ac:dyDescent="0.4">
      <c r="A705" s="566">
        <v>46120</v>
      </c>
      <c r="B705" s="554" t="s">
        <v>483</v>
      </c>
      <c r="C705" s="542" t="s">
        <v>1219</v>
      </c>
      <c r="D705" s="567" t="s">
        <v>1220</v>
      </c>
      <c r="E705" s="554" t="s">
        <v>13</v>
      </c>
      <c r="F705" s="554">
        <v>3</v>
      </c>
      <c r="G705" s="545">
        <v>1123200</v>
      </c>
      <c r="H705" s="545">
        <f t="shared" ref="H705:H713" si="24">F705*G705</f>
        <v>3369600</v>
      </c>
      <c r="I705" s="111"/>
      <c r="J705" s="111"/>
      <c r="K705" s="111"/>
      <c r="L705" s="81" t="s">
        <v>1068</v>
      </c>
    </row>
    <row r="706" spans="1:12" s="113" customFormat="1" ht="19.5" customHeight="1" x14ac:dyDescent="0.4">
      <c r="A706" s="566">
        <v>46120</v>
      </c>
      <c r="B706" s="554" t="s">
        <v>483</v>
      </c>
      <c r="C706" s="568" t="s">
        <v>1364</v>
      </c>
      <c r="D706" s="569" t="s">
        <v>1365</v>
      </c>
      <c r="E706" s="569"/>
      <c r="F706" s="570">
        <v>1</v>
      </c>
      <c r="G706" s="570">
        <v>7037000</v>
      </c>
      <c r="H706" s="545">
        <f t="shared" si="24"/>
        <v>7037000</v>
      </c>
      <c r="I706" s="111"/>
      <c r="J706" s="111"/>
      <c r="K706" s="111"/>
      <c r="L706" s="81" t="s">
        <v>1068</v>
      </c>
    </row>
    <row r="707" spans="1:12" s="113" customFormat="1" ht="19.5" customHeight="1" x14ac:dyDescent="0.4">
      <c r="A707" s="566">
        <v>46125</v>
      </c>
      <c r="B707" s="554" t="s">
        <v>483</v>
      </c>
      <c r="C707" s="542" t="s">
        <v>1219</v>
      </c>
      <c r="D707" s="567" t="s">
        <v>1220</v>
      </c>
      <c r="E707" s="554" t="s">
        <v>13</v>
      </c>
      <c r="F707" s="554">
        <v>2</v>
      </c>
      <c r="G707" s="545">
        <v>1123200</v>
      </c>
      <c r="H707" s="545">
        <f t="shared" si="24"/>
        <v>2246400</v>
      </c>
      <c r="I707" s="111"/>
      <c r="J707" s="111"/>
      <c r="K707" s="111"/>
      <c r="L707" s="81"/>
    </row>
    <row r="708" spans="1:12" s="113" customFormat="1" ht="19.5" customHeight="1" x14ac:dyDescent="0.4">
      <c r="A708" s="566">
        <v>46125</v>
      </c>
      <c r="B708" s="554" t="s">
        <v>483</v>
      </c>
      <c r="C708" s="570" t="s">
        <v>1366</v>
      </c>
      <c r="D708" s="569" t="s">
        <v>1367</v>
      </c>
      <c r="E708" s="569"/>
      <c r="F708" s="570">
        <v>2</v>
      </c>
      <c r="G708" s="570">
        <v>3764000</v>
      </c>
      <c r="H708" s="545">
        <f t="shared" si="24"/>
        <v>7528000</v>
      </c>
      <c r="I708" s="111"/>
      <c r="J708" s="111"/>
      <c r="K708" s="111"/>
      <c r="L708" s="81"/>
    </row>
    <row r="709" spans="1:12" s="113" customFormat="1" ht="19.5" customHeight="1" x14ac:dyDescent="0.4">
      <c r="A709" s="566">
        <v>46125</v>
      </c>
      <c r="B709" s="554" t="s">
        <v>483</v>
      </c>
      <c r="C709" s="568" t="s">
        <v>1364</v>
      </c>
      <c r="D709" s="569" t="s">
        <v>1365</v>
      </c>
      <c r="E709" s="569"/>
      <c r="F709" s="570">
        <v>1</v>
      </c>
      <c r="G709" s="570">
        <v>7037000</v>
      </c>
      <c r="H709" s="545">
        <f t="shared" si="24"/>
        <v>7037000</v>
      </c>
      <c r="I709" s="111"/>
      <c r="J709" s="111"/>
      <c r="K709" s="111"/>
      <c r="L709" s="81"/>
    </row>
    <row r="710" spans="1:12" s="113" customFormat="1" ht="19.5" customHeight="1" x14ac:dyDescent="0.4">
      <c r="A710" s="566">
        <v>46125</v>
      </c>
      <c r="B710" s="554" t="s">
        <v>483</v>
      </c>
      <c r="C710" s="542" t="s">
        <v>486</v>
      </c>
      <c r="D710" s="567" t="s">
        <v>513</v>
      </c>
      <c r="E710" s="554" t="s">
        <v>13</v>
      </c>
      <c r="F710" s="554">
        <v>1</v>
      </c>
      <c r="G710" s="545">
        <v>9741800</v>
      </c>
      <c r="H710" s="545">
        <f t="shared" si="24"/>
        <v>9741800</v>
      </c>
      <c r="I710" s="111"/>
      <c r="J710" s="111"/>
      <c r="K710" s="111"/>
      <c r="L710" s="81"/>
    </row>
    <row r="711" spans="1:12" s="50" customFormat="1" ht="19.2" customHeight="1" x14ac:dyDescent="0.4">
      <c r="A711" s="552">
        <v>46134</v>
      </c>
      <c r="B711" s="554" t="s">
        <v>483</v>
      </c>
      <c r="C711" s="542" t="s">
        <v>489</v>
      </c>
      <c r="D711" s="567" t="s">
        <v>1034</v>
      </c>
      <c r="E711" s="554" t="s">
        <v>13</v>
      </c>
      <c r="F711" s="554">
        <v>1</v>
      </c>
      <c r="G711" s="545">
        <v>9379400</v>
      </c>
      <c r="H711" s="545">
        <f t="shared" si="24"/>
        <v>9379400</v>
      </c>
      <c r="I711" s="67"/>
      <c r="J711" s="67"/>
      <c r="K711" s="67"/>
      <c r="L711" s="68" t="s">
        <v>1068</v>
      </c>
    </row>
    <row r="712" spans="1:12" s="50" customFormat="1" ht="19.2" customHeight="1" x14ac:dyDescent="0.4">
      <c r="A712" s="552">
        <v>46134</v>
      </c>
      <c r="B712" s="554" t="s">
        <v>483</v>
      </c>
      <c r="C712" s="542" t="s">
        <v>1368</v>
      </c>
      <c r="D712" s="567"/>
      <c r="E712" s="554"/>
      <c r="F712" s="554">
        <v>1</v>
      </c>
      <c r="G712" s="545">
        <v>12255000</v>
      </c>
      <c r="H712" s="545">
        <f t="shared" si="24"/>
        <v>12255000</v>
      </c>
      <c r="I712" s="67" t="s">
        <v>1369</v>
      </c>
      <c r="J712" s="67"/>
      <c r="K712" s="67"/>
      <c r="L712" s="68"/>
    </row>
    <row r="713" spans="1:12" s="50" customFormat="1" ht="19.2" customHeight="1" x14ac:dyDescent="0.4">
      <c r="A713" s="552">
        <v>46134</v>
      </c>
      <c r="B713" s="554" t="s">
        <v>483</v>
      </c>
      <c r="C713" s="542" t="s">
        <v>1370</v>
      </c>
      <c r="D713" s="567"/>
      <c r="E713" s="554"/>
      <c r="F713" s="554">
        <v>1</v>
      </c>
      <c r="G713" s="545">
        <v>22325000</v>
      </c>
      <c r="H713" s="545">
        <f t="shared" si="24"/>
        <v>22325000</v>
      </c>
      <c r="I713" s="67" t="s">
        <v>1369</v>
      </c>
      <c r="J713" s="67"/>
      <c r="K713" s="67"/>
      <c r="L713" s="68"/>
    </row>
    <row r="714" spans="1:12" s="50" customFormat="1" ht="19.5" customHeight="1" x14ac:dyDescent="0.4">
      <c r="A714" s="492"/>
      <c r="B714" s="123"/>
      <c r="C714" s="138"/>
      <c r="D714" s="97"/>
      <c r="E714" s="123"/>
      <c r="F714" s="138"/>
      <c r="G714" s="138"/>
      <c r="H714" s="138">
        <f>SUM(H704:H713)</f>
        <v>90661000</v>
      </c>
      <c r="I714" s="123"/>
      <c r="J714" s="123"/>
      <c r="K714" s="123"/>
      <c r="L714" s="123"/>
    </row>
    <row r="715" spans="1:12" s="50" customFormat="1" ht="20.25" customHeight="1" x14ac:dyDescent="0.4">
      <c r="A715" s="504"/>
      <c r="B715" s="384"/>
      <c r="C715" s="385"/>
      <c r="D715" s="386"/>
      <c r="E715" s="385"/>
      <c r="F715" s="387"/>
      <c r="G715" s="388"/>
      <c r="H715" s="389">
        <f>SUM(H5,H17,H25,H59,H70,H87,H132,H137,H343,H347,H357,H360,H413,H427,H509,H514,H521,H633,H637,H680,H685,H688,H703,H714)</f>
        <v>3334644579.2509999</v>
      </c>
      <c r="I715" s="388"/>
      <c r="J715" s="390"/>
      <c r="K715" s="390"/>
      <c r="L715" s="391"/>
    </row>
    <row r="717" spans="1:12" x14ac:dyDescent="0.4">
      <c r="G717" s="539"/>
    </row>
    <row r="718" spans="1:12" x14ac:dyDescent="0.4">
      <c r="A718" s="15">
        <v>45960</v>
      </c>
      <c r="B718" s="165" t="s">
        <v>483</v>
      </c>
      <c r="C718" s="173" t="s">
        <v>484</v>
      </c>
      <c r="D718" s="174" t="s">
        <v>485</v>
      </c>
      <c r="E718" s="165" t="s">
        <v>13</v>
      </c>
      <c r="F718" s="165">
        <v>3</v>
      </c>
      <c r="G718" s="156">
        <v>1123200</v>
      </c>
      <c r="H718" s="175">
        <f>F718*G718</f>
        <v>3369600</v>
      </c>
    </row>
    <row r="719" spans="1:12" x14ac:dyDescent="0.4">
      <c r="A719" s="4">
        <v>45967</v>
      </c>
      <c r="B719" s="8" t="s">
        <v>483</v>
      </c>
      <c r="C719" s="6" t="s">
        <v>487</v>
      </c>
      <c r="D719" s="69" t="s">
        <v>488</v>
      </c>
      <c r="E719" s="8" t="s">
        <v>13</v>
      </c>
      <c r="F719" s="8">
        <v>1</v>
      </c>
      <c r="G719" s="36">
        <v>1233600</v>
      </c>
      <c r="H719" s="17">
        <f>F719*G719</f>
        <v>1233600</v>
      </c>
    </row>
    <row r="720" spans="1:12" x14ac:dyDescent="0.4">
      <c r="A720" s="4">
        <v>46064</v>
      </c>
      <c r="B720" s="8" t="s">
        <v>483</v>
      </c>
      <c r="C720" s="6" t="s">
        <v>489</v>
      </c>
      <c r="D720" s="69" t="s">
        <v>1034</v>
      </c>
      <c r="E720" s="8" t="s">
        <v>13</v>
      </c>
      <c r="F720" s="8">
        <v>1</v>
      </c>
      <c r="G720" s="36">
        <v>9379400</v>
      </c>
      <c r="H720" s="36">
        <f>F720*G720</f>
        <v>9379400</v>
      </c>
    </row>
    <row r="721" spans="1:8" x14ac:dyDescent="0.4">
      <c r="A721" s="501">
        <v>46099</v>
      </c>
      <c r="B721" s="7" t="s">
        <v>483</v>
      </c>
      <c r="C721" s="60" t="s">
        <v>489</v>
      </c>
      <c r="D721" s="71" t="s">
        <v>1034</v>
      </c>
      <c r="E721" s="7" t="s">
        <v>13</v>
      </c>
      <c r="F721" s="7">
        <v>1</v>
      </c>
      <c r="G721" s="17">
        <v>9379400</v>
      </c>
      <c r="H721" s="17">
        <f>F721*G721</f>
        <v>9379400</v>
      </c>
    </row>
    <row r="722" spans="1:8" x14ac:dyDescent="0.4">
      <c r="A722" s="501">
        <v>46112</v>
      </c>
      <c r="B722" s="7" t="s">
        <v>483</v>
      </c>
      <c r="C722" s="60" t="s">
        <v>489</v>
      </c>
      <c r="D722" s="71" t="s">
        <v>490</v>
      </c>
      <c r="E722" s="7" t="s">
        <v>13</v>
      </c>
      <c r="F722" s="7">
        <v>1</v>
      </c>
      <c r="G722" s="17">
        <v>9379400</v>
      </c>
      <c r="H722" s="17">
        <f>F722*G722</f>
        <v>9379400</v>
      </c>
    </row>
  </sheetData>
  <autoFilter ref="A1:Q722" xr:uid="{250E30C5-A14B-4719-A844-3161A06E662F}"/>
  <sortState ref="A605:N632">
    <sortCondition ref="K605:K632"/>
  </sortState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B2C7E-72AC-4AE3-A7CE-969C35347D91}">
  <dimension ref="A1:N638"/>
  <sheetViews>
    <sheetView workbookViewId="0">
      <pane ySplit="1" topLeftCell="A40" activePane="bottomLeft" state="frozen"/>
      <selection pane="bottomLeft" activeCell="B53" sqref="B53"/>
    </sheetView>
  </sheetViews>
  <sheetFormatPr defaultRowHeight="19.5" customHeight="1" x14ac:dyDescent="0.4"/>
  <cols>
    <col min="1" max="1" width="11.09765625" style="638" bestFit="1" customWidth="1"/>
    <col min="2" max="2" width="20.09765625" customWidth="1"/>
    <col min="3" max="3" width="28.59765625" customWidth="1"/>
    <col min="4" max="4" width="21.69921875" bestFit="1" customWidth="1"/>
    <col min="5" max="5" width="7.3984375" customWidth="1"/>
    <col min="6" max="6" width="8.3984375" customWidth="1"/>
    <col min="7" max="7" width="11.3984375" customWidth="1"/>
    <col min="8" max="8" width="16.19921875" customWidth="1"/>
    <col min="9" max="9" width="39.69921875" customWidth="1"/>
    <col min="10" max="10" width="11.19921875" style="537" customWidth="1"/>
    <col min="12" max="12" width="24.09765625" style="640" bestFit="1" customWidth="1"/>
  </cols>
  <sheetData>
    <row r="1" spans="1:13" ht="19.5" customHeight="1" x14ac:dyDescent="0.4">
      <c r="A1" s="481" t="s">
        <v>0</v>
      </c>
      <c r="B1" s="100" t="s">
        <v>1</v>
      </c>
      <c r="C1" s="101" t="s">
        <v>2</v>
      </c>
      <c r="D1" s="102" t="s">
        <v>3</v>
      </c>
      <c r="E1" s="102" t="s">
        <v>4</v>
      </c>
      <c r="F1" s="120" t="s">
        <v>5</v>
      </c>
      <c r="G1" s="87" t="s">
        <v>6</v>
      </c>
      <c r="H1" s="87" t="s">
        <v>7</v>
      </c>
      <c r="I1" s="136" t="s">
        <v>8</v>
      </c>
      <c r="J1" s="360"/>
      <c r="K1" s="87"/>
      <c r="L1" s="619" t="s">
        <v>9</v>
      </c>
    </row>
    <row r="2" spans="1:13" s="3" customFormat="1" ht="19.5" customHeight="1" x14ac:dyDescent="0.4">
      <c r="A2" s="482">
        <v>46141</v>
      </c>
      <c r="B2" s="110" t="s">
        <v>16</v>
      </c>
      <c r="C2" s="29" t="s">
        <v>18</v>
      </c>
      <c r="D2" s="110" t="s">
        <v>836</v>
      </c>
      <c r="E2" s="110" t="s">
        <v>17</v>
      </c>
      <c r="F2" s="81">
        <f>27*7</f>
        <v>189</v>
      </c>
      <c r="G2" s="49">
        <v>251112</v>
      </c>
      <c r="H2" s="8">
        <f>+G2*F2</f>
        <v>47460168</v>
      </c>
      <c r="I2" s="49"/>
      <c r="J2" s="144"/>
      <c r="K2" s="144"/>
      <c r="L2" s="140" t="s">
        <v>1247</v>
      </c>
      <c r="M2" s="89"/>
    </row>
    <row r="3" spans="1:13" s="3" customFormat="1" ht="19.5" customHeight="1" x14ac:dyDescent="0.4">
      <c r="A3" s="482">
        <v>46141</v>
      </c>
      <c r="B3" s="110" t="s">
        <v>16</v>
      </c>
      <c r="C3" s="29" t="s">
        <v>18</v>
      </c>
      <c r="D3" s="110" t="s">
        <v>19</v>
      </c>
      <c r="E3" s="110" t="s">
        <v>17</v>
      </c>
      <c r="F3" s="81">
        <v>30</v>
      </c>
      <c r="G3" s="49">
        <v>266245</v>
      </c>
      <c r="H3" s="8">
        <f>+G3*F3</f>
        <v>7987350</v>
      </c>
      <c r="I3" s="49"/>
      <c r="J3" s="144"/>
      <c r="K3" s="144"/>
      <c r="L3" s="140" t="s">
        <v>1247</v>
      </c>
      <c r="M3" s="89"/>
    </row>
    <row r="4" spans="1:13" s="3" customFormat="1" ht="19.5" customHeight="1" x14ac:dyDescent="0.4">
      <c r="A4" s="482">
        <v>46142</v>
      </c>
      <c r="B4" s="110" t="s">
        <v>16</v>
      </c>
      <c r="C4" s="29" t="s">
        <v>18</v>
      </c>
      <c r="D4" s="110" t="s">
        <v>19</v>
      </c>
      <c r="E4" s="110" t="s">
        <v>17</v>
      </c>
      <c r="F4" s="81">
        <v>37</v>
      </c>
      <c r="G4" s="49">
        <v>266245</v>
      </c>
      <c r="H4" s="8">
        <f>+G4*F4</f>
        <v>9851065</v>
      </c>
      <c r="I4" s="49"/>
      <c r="J4" s="144"/>
      <c r="K4" s="144"/>
      <c r="L4" s="140"/>
      <c r="M4" s="89"/>
    </row>
    <row r="5" spans="1:13" ht="19.5" customHeight="1" x14ac:dyDescent="0.4">
      <c r="A5" s="482">
        <v>46148</v>
      </c>
      <c r="B5" s="110" t="s">
        <v>16</v>
      </c>
      <c r="C5" s="29" t="s">
        <v>18</v>
      </c>
      <c r="D5" s="110" t="s">
        <v>836</v>
      </c>
      <c r="E5" s="110" t="s">
        <v>17</v>
      </c>
      <c r="F5" s="81">
        <f>27*7</f>
        <v>189</v>
      </c>
      <c r="G5" s="49">
        <v>251112</v>
      </c>
      <c r="H5" s="8">
        <f t="shared" ref="H5:H15" si="0">+G5*F5</f>
        <v>47460168</v>
      </c>
      <c r="I5" s="49"/>
      <c r="J5" s="144"/>
      <c r="K5" s="144"/>
      <c r="L5" s="140">
        <v>0</v>
      </c>
    </row>
    <row r="6" spans="1:13" ht="19.5" customHeight="1" x14ac:dyDescent="0.4">
      <c r="A6" s="482">
        <v>46167</v>
      </c>
      <c r="B6" s="110" t="s">
        <v>16</v>
      </c>
      <c r="C6" s="29" t="s">
        <v>18</v>
      </c>
      <c r="D6" s="110" t="s">
        <v>836</v>
      </c>
      <c r="E6" s="110" t="s">
        <v>17</v>
      </c>
      <c r="F6" s="81">
        <f>27*6</f>
        <v>162</v>
      </c>
      <c r="G6" s="49">
        <v>251112</v>
      </c>
      <c r="H6" s="8">
        <f t="shared" si="0"/>
        <v>40680144</v>
      </c>
      <c r="I6" s="49"/>
      <c r="J6" s="144"/>
      <c r="K6" s="144"/>
      <c r="L6" s="140">
        <v>0</v>
      </c>
    </row>
    <row r="7" spans="1:13" ht="19.5" customHeight="1" x14ac:dyDescent="0.4">
      <c r="A7" s="482">
        <v>46167</v>
      </c>
      <c r="B7" s="110" t="s">
        <v>16</v>
      </c>
      <c r="C7" s="29" t="s">
        <v>1404</v>
      </c>
      <c r="D7" s="110" t="s">
        <v>1405</v>
      </c>
      <c r="E7" s="110" t="s">
        <v>17</v>
      </c>
      <c r="F7" s="81">
        <f>28+24</f>
        <v>52</v>
      </c>
      <c r="G7" s="49">
        <v>153365</v>
      </c>
      <c r="H7" s="8">
        <f t="shared" si="0"/>
        <v>7974980</v>
      </c>
      <c r="I7" s="49"/>
      <c r="J7" s="144"/>
      <c r="K7" s="144"/>
      <c r="L7" s="140">
        <v>0</v>
      </c>
    </row>
    <row r="8" spans="1:13" ht="19.5" customHeight="1" x14ac:dyDescent="0.4">
      <c r="A8" s="482">
        <v>46167</v>
      </c>
      <c r="B8" s="110" t="s">
        <v>16</v>
      </c>
      <c r="C8" s="29" t="s">
        <v>18</v>
      </c>
      <c r="D8" s="110" t="s">
        <v>19</v>
      </c>
      <c r="E8" s="110" t="s">
        <v>17</v>
      </c>
      <c r="F8" s="81">
        <v>30</v>
      </c>
      <c r="G8" s="49">
        <v>266245</v>
      </c>
      <c r="H8" s="8">
        <f t="shared" si="0"/>
        <v>7987350</v>
      </c>
      <c r="I8" s="49"/>
      <c r="J8" s="144"/>
      <c r="K8" s="144"/>
      <c r="L8" s="140">
        <v>0</v>
      </c>
    </row>
    <row r="9" spans="1:13" ht="19.5" customHeight="1" x14ac:dyDescent="0.4">
      <c r="A9" s="482">
        <v>46171</v>
      </c>
      <c r="B9" s="110" t="s">
        <v>16</v>
      </c>
      <c r="C9" s="29" t="s">
        <v>1512</v>
      </c>
      <c r="D9" s="110" t="s">
        <v>1511</v>
      </c>
      <c r="E9" s="110" t="s">
        <v>1513</v>
      </c>
      <c r="F9" s="81">
        <v>-3</v>
      </c>
      <c r="G9" s="49">
        <v>140223</v>
      </c>
      <c r="H9" s="8">
        <f t="shared" si="0"/>
        <v>-420669</v>
      </c>
      <c r="I9" s="49"/>
      <c r="J9" s="144"/>
      <c r="K9" s="144"/>
      <c r="L9" s="140"/>
    </row>
    <row r="10" spans="1:13" ht="19.5" customHeight="1" x14ac:dyDescent="0.4">
      <c r="A10" s="482">
        <v>46171</v>
      </c>
      <c r="B10" s="110" t="s">
        <v>16</v>
      </c>
      <c r="C10" s="29" t="s">
        <v>18</v>
      </c>
      <c r="D10" s="110" t="s">
        <v>836</v>
      </c>
      <c r="E10" s="110" t="s">
        <v>17</v>
      </c>
      <c r="F10" s="81">
        <v>-2</v>
      </c>
      <c r="G10" s="49">
        <v>251112</v>
      </c>
      <c r="H10" s="8">
        <f t="shared" si="0"/>
        <v>-502224</v>
      </c>
      <c r="I10" s="49"/>
      <c r="J10" s="144"/>
      <c r="K10" s="144"/>
      <c r="L10" s="140"/>
    </row>
    <row r="11" spans="1:13" ht="19.5" customHeight="1" x14ac:dyDescent="0.4">
      <c r="A11" s="482">
        <v>46170</v>
      </c>
      <c r="B11" s="110" t="s">
        <v>16</v>
      </c>
      <c r="C11" s="29" t="s">
        <v>18</v>
      </c>
      <c r="D11" s="110" t="s">
        <v>836</v>
      </c>
      <c r="E11" s="110" t="s">
        <v>17</v>
      </c>
      <c r="F11" s="81">
        <f>27*5</f>
        <v>135</v>
      </c>
      <c r="G11" s="49">
        <v>251112</v>
      </c>
      <c r="H11" s="8">
        <f t="shared" si="0"/>
        <v>33900120</v>
      </c>
      <c r="I11" s="49" t="s">
        <v>1510</v>
      </c>
      <c r="J11" s="144"/>
      <c r="K11" s="144"/>
      <c r="L11" s="140"/>
    </row>
    <row r="12" spans="1:13" ht="19.5" customHeight="1" x14ac:dyDescent="0.4">
      <c r="A12" s="482">
        <v>46170</v>
      </c>
      <c r="B12" s="110" t="s">
        <v>16</v>
      </c>
      <c r="C12" s="29" t="s">
        <v>18</v>
      </c>
      <c r="D12" s="110" t="s">
        <v>19</v>
      </c>
      <c r="E12" s="110" t="s">
        <v>17</v>
      </c>
      <c r="F12" s="81">
        <v>30</v>
      </c>
      <c r="G12" s="49">
        <v>266245</v>
      </c>
      <c r="H12" s="8">
        <f t="shared" si="0"/>
        <v>7987350</v>
      </c>
      <c r="I12" s="49" t="s">
        <v>1510</v>
      </c>
      <c r="J12" s="144"/>
      <c r="K12" s="144"/>
      <c r="L12" s="140">
        <v>0</v>
      </c>
    </row>
    <row r="13" spans="1:13" ht="19.5" customHeight="1" x14ac:dyDescent="0.4">
      <c r="A13" s="483"/>
      <c r="B13" s="194"/>
      <c r="C13" s="40"/>
      <c r="D13" s="194"/>
      <c r="E13" s="194"/>
      <c r="F13" s="91"/>
      <c r="G13" s="138"/>
      <c r="H13" s="138">
        <f>SUM(H2:H10)</f>
        <v>168478332</v>
      </c>
      <c r="I13" s="138"/>
      <c r="J13" s="620"/>
      <c r="K13" s="145"/>
      <c r="L13" s="621"/>
    </row>
    <row r="14" spans="1:13" ht="19.5" customHeight="1" x14ac:dyDescent="0.4">
      <c r="A14" s="482">
        <v>46161</v>
      </c>
      <c r="B14" s="110" t="s">
        <v>24</v>
      </c>
      <c r="C14" s="29" t="s">
        <v>29</v>
      </c>
      <c r="D14" s="110" t="s">
        <v>30</v>
      </c>
      <c r="E14" s="110" t="s">
        <v>17</v>
      </c>
      <c r="F14" s="81">
        <f>27*4</f>
        <v>108</v>
      </c>
      <c r="G14" s="49">
        <v>206710</v>
      </c>
      <c r="H14" s="8">
        <f t="shared" si="0"/>
        <v>22324680</v>
      </c>
      <c r="I14" s="49"/>
      <c r="J14" s="109"/>
      <c r="K14" s="144"/>
      <c r="L14" s="409">
        <v>0</v>
      </c>
    </row>
    <row r="15" spans="1:13" ht="19.5" customHeight="1" x14ac:dyDescent="0.4">
      <c r="A15" s="482">
        <v>46161</v>
      </c>
      <c r="B15" s="110" t="s">
        <v>24</v>
      </c>
      <c r="C15" s="29" t="s">
        <v>716</v>
      </c>
      <c r="D15" s="110" t="s">
        <v>717</v>
      </c>
      <c r="E15" s="110" t="s">
        <v>17</v>
      </c>
      <c r="F15" s="81">
        <v>65</v>
      </c>
      <c r="G15" s="49">
        <v>122010</v>
      </c>
      <c r="H15" s="8">
        <f t="shared" si="0"/>
        <v>7930650</v>
      </c>
      <c r="I15" s="49"/>
      <c r="J15" s="109"/>
      <c r="K15" s="144"/>
      <c r="L15" s="409">
        <v>0</v>
      </c>
    </row>
    <row r="16" spans="1:13" ht="19.5" customHeight="1" x14ac:dyDescent="0.4">
      <c r="A16" s="482">
        <v>46171</v>
      </c>
      <c r="B16" s="110" t="s">
        <v>24</v>
      </c>
      <c r="C16" s="29" t="s">
        <v>29</v>
      </c>
      <c r="D16" s="110" t="s">
        <v>30</v>
      </c>
      <c r="E16" s="110" t="s">
        <v>17</v>
      </c>
      <c r="F16" s="81">
        <v>-6</v>
      </c>
      <c r="G16" s="49">
        <v>206710</v>
      </c>
      <c r="H16" s="8">
        <f>+G16*F16</f>
        <v>-1240260</v>
      </c>
      <c r="I16" s="49"/>
      <c r="J16" s="109"/>
      <c r="K16" s="144"/>
      <c r="L16" s="409">
        <v>0</v>
      </c>
    </row>
    <row r="17" spans="1:13" s="19" customFormat="1" ht="19.5" customHeight="1" x14ac:dyDescent="0.3">
      <c r="A17" s="482">
        <v>46171</v>
      </c>
      <c r="B17" s="5" t="s">
        <v>24</v>
      </c>
      <c r="C17" s="401" t="s">
        <v>27</v>
      </c>
      <c r="D17" s="1" t="s">
        <v>839</v>
      </c>
      <c r="E17" s="1" t="s">
        <v>840</v>
      </c>
      <c r="F17" s="402">
        <v>-10</v>
      </c>
      <c r="G17" s="403" ph="1">
        <v>9149</v>
      </c>
      <c r="H17" s="7">
        <f>F17*G17</f>
        <v>-91490</v>
      </c>
      <c r="I17" s="404"/>
      <c r="J17" s="398"/>
      <c r="K17" s="400"/>
      <c r="L17" s="405"/>
      <c r="M17" s="406"/>
    </row>
    <row r="18" spans="1:13" s="19" customFormat="1" ht="19.5" customHeight="1" x14ac:dyDescent="0.4">
      <c r="A18" s="482">
        <v>46171</v>
      </c>
      <c r="B18" s="5" t="s">
        <v>24</v>
      </c>
      <c r="C18" s="401" t="s">
        <v>841</v>
      </c>
      <c r="D18" s="1" t="s">
        <v>28</v>
      </c>
      <c r="E18" s="1" t="s">
        <v>840</v>
      </c>
      <c r="F18" s="402">
        <v>-17</v>
      </c>
      <c r="G18" s="403">
        <v>9081</v>
      </c>
      <c r="H18" s="7">
        <f>F18*G18</f>
        <v>-154377</v>
      </c>
      <c r="I18" s="404"/>
      <c r="J18" s="398"/>
      <c r="K18" s="400"/>
      <c r="L18" s="405"/>
      <c r="M18" s="406"/>
    </row>
    <row r="19" spans="1:13" s="19" customFormat="1" ht="19.5" customHeight="1" x14ac:dyDescent="0.4">
      <c r="A19" s="482">
        <v>46171</v>
      </c>
      <c r="B19" s="23" t="s">
        <v>24</v>
      </c>
      <c r="C19" s="24" t="s">
        <v>29</v>
      </c>
      <c r="D19" s="11" t="s">
        <v>30</v>
      </c>
      <c r="E19" s="11" t="s">
        <v>17</v>
      </c>
      <c r="F19" s="396">
        <v>-7</v>
      </c>
      <c r="G19" s="396">
        <v>206710</v>
      </c>
      <c r="H19" s="7">
        <f>F19*G19</f>
        <v>-1446970</v>
      </c>
      <c r="I19" s="397"/>
      <c r="J19" s="398"/>
      <c r="K19" s="398"/>
      <c r="L19" s="104"/>
      <c r="M19" s="399"/>
    </row>
    <row r="20" spans="1:13" s="3" customFormat="1" ht="19.5" customHeight="1" x14ac:dyDescent="0.4">
      <c r="A20" s="482">
        <v>46171</v>
      </c>
      <c r="B20" s="110" t="s">
        <v>24</v>
      </c>
      <c r="C20" s="29" t="s">
        <v>25</v>
      </c>
      <c r="D20" s="110" t="s">
        <v>26</v>
      </c>
      <c r="E20" s="110" t="s">
        <v>17</v>
      </c>
      <c r="F20" s="81">
        <v>-10</v>
      </c>
      <c r="G20" s="49">
        <v>122010</v>
      </c>
      <c r="H20" s="8">
        <f>+G20*F20</f>
        <v>-1220100</v>
      </c>
      <c r="I20" s="49"/>
      <c r="J20" s="144"/>
      <c r="K20" s="144"/>
      <c r="L20" s="144"/>
      <c r="M20" s="89"/>
    </row>
    <row r="21" spans="1:13" s="3" customFormat="1" ht="19.5" customHeight="1" x14ac:dyDescent="0.4">
      <c r="A21" s="482">
        <v>46171</v>
      </c>
      <c r="B21" s="110" t="s">
        <v>24</v>
      </c>
      <c r="C21" s="29" t="s">
        <v>716</v>
      </c>
      <c r="D21" s="110" t="s">
        <v>865</v>
      </c>
      <c r="E21" s="110" t="s">
        <v>17</v>
      </c>
      <c r="F21" s="81">
        <v>-7</v>
      </c>
      <c r="G21" s="49">
        <v>122010</v>
      </c>
      <c r="H21" s="8">
        <f>+G21*F21</f>
        <v>-854070</v>
      </c>
      <c r="I21" s="49"/>
      <c r="J21" s="144"/>
      <c r="K21" s="144"/>
      <c r="L21" s="144"/>
      <c r="M21" s="89"/>
    </row>
    <row r="22" spans="1:13" ht="19.5" customHeight="1" x14ac:dyDescent="0.4">
      <c r="A22" s="483"/>
      <c r="B22" s="194"/>
      <c r="C22" s="40"/>
      <c r="D22" s="194"/>
      <c r="E22" s="194"/>
      <c r="F22" s="91"/>
      <c r="G22" s="138"/>
      <c r="H22" s="138">
        <f>SUM(H14:H21)</f>
        <v>25248063</v>
      </c>
      <c r="I22" s="138"/>
      <c r="J22" s="620"/>
      <c r="K22" s="145"/>
      <c r="L22" s="621"/>
    </row>
    <row r="23" spans="1:13" s="3" customFormat="1" ht="19.5" customHeight="1" x14ac:dyDescent="0.4">
      <c r="A23" s="482">
        <v>46142</v>
      </c>
      <c r="B23" s="110" t="s">
        <v>556</v>
      </c>
      <c r="C23" s="29" t="s">
        <v>1248</v>
      </c>
      <c r="D23" s="110" t="s">
        <v>1249</v>
      </c>
      <c r="E23" s="110" t="s">
        <v>17</v>
      </c>
      <c r="F23" s="656">
        <v>80</v>
      </c>
      <c r="G23" s="657">
        <v>174080</v>
      </c>
      <c r="H23" s="658">
        <f>+G23*F23</f>
        <v>13926400</v>
      </c>
      <c r="I23" s="49"/>
      <c r="J23" s="144"/>
      <c r="K23" s="144"/>
      <c r="L23" s="144"/>
      <c r="M23" s="89"/>
    </row>
    <row r="24" spans="1:13" s="3" customFormat="1" ht="19.5" customHeight="1" x14ac:dyDescent="0.4">
      <c r="A24" s="482">
        <v>46142</v>
      </c>
      <c r="B24" s="110" t="s">
        <v>556</v>
      </c>
      <c r="C24" s="29" t="s">
        <v>1250</v>
      </c>
      <c r="D24" s="110" t="s">
        <v>1251</v>
      </c>
      <c r="E24" s="110" t="s">
        <v>17</v>
      </c>
      <c r="F24" s="656">
        <v>83</v>
      </c>
      <c r="G24" s="657">
        <v>231760</v>
      </c>
      <c r="H24" s="658">
        <f>+G24*F24</f>
        <v>19236080</v>
      </c>
      <c r="I24" s="49"/>
      <c r="J24" s="144"/>
      <c r="K24" s="144"/>
      <c r="L24" s="144"/>
      <c r="M24" s="89"/>
    </row>
    <row r="25" spans="1:13" s="3" customFormat="1" ht="19.5" customHeight="1" x14ac:dyDescent="0.4">
      <c r="A25" s="482">
        <v>46142</v>
      </c>
      <c r="B25" s="110" t="s">
        <v>556</v>
      </c>
      <c r="C25" s="29" t="s">
        <v>1252</v>
      </c>
      <c r="D25" s="110" t="s">
        <v>1253</v>
      </c>
      <c r="E25" s="110" t="s">
        <v>13</v>
      </c>
      <c r="F25" s="656">
        <v>6</v>
      </c>
      <c r="G25" s="657">
        <v>1259290</v>
      </c>
      <c r="H25" s="658">
        <f>+G25*F25</f>
        <v>7555740</v>
      </c>
      <c r="I25" s="49"/>
      <c r="J25" s="144"/>
      <c r="K25" s="144"/>
      <c r="L25" s="144"/>
      <c r="M25" s="89"/>
    </row>
    <row r="26" spans="1:13" s="3" customFormat="1" ht="19.5" customHeight="1" x14ac:dyDescent="0.4">
      <c r="A26" s="482">
        <v>46142</v>
      </c>
      <c r="B26" s="110" t="s">
        <v>556</v>
      </c>
      <c r="C26" s="29" t="s">
        <v>1252</v>
      </c>
      <c r="D26" s="110" t="s">
        <v>1253</v>
      </c>
      <c r="E26" s="110" t="s">
        <v>13</v>
      </c>
      <c r="F26" s="656">
        <v>-1</v>
      </c>
      <c r="G26" s="657">
        <v>1259290</v>
      </c>
      <c r="H26" s="658">
        <f>+G26*F26</f>
        <v>-1259290</v>
      </c>
      <c r="I26" s="49">
        <v>1259290</v>
      </c>
      <c r="J26" s="144"/>
      <c r="K26" s="144"/>
      <c r="L26" s="144"/>
      <c r="M26" s="89"/>
    </row>
    <row r="27" spans="1:13" s="3" customFormat="1" ht="19.5" customHeight="1" x14ac:dyDescent="0.4">
      <c r="A27" s="482">
        <v>46142</v>
      </c>
      <c r="B27" s="110" t="s">
        <v>556</v>
      </c>
      <c r="C27" s="29" t="s">
        <v>1254</v>
      </c>
      <c r="D27" s="110">
        <v>7060740317</v>
      </c>
      <c r="E27" s="110" t="s">
        <v>13</v>
      </c>
      <c r="F27" s="656">
        <v>38</v>
      </c>
      <c r="G27" s="657">
        <v>437000</v>
      </c>
      <c r="H27" s="658">
        <f>+G27*F27</f>
        <v>16606000</v>
      </c>
      <c r="I27" s="49"/>
      <c r="J27" s="144"/>
      <c r="K27" s="144"/>
      <c r="L27" s="144"/>
      <c r="M27" s="89"/>
    </row>
    <row r="28" spans="1:13" ht="19.5" customHeight="1" x14ac:dyDescent="0.4">
      <c r="A28" s="482">
        <v>46154</v>
      </c>
      <c r="B28" s="110" t="s">
        <v>556</v>
      </c>
      <c r="C28" s="29" t="s">
        <v>43</v>
      </c>
      <c r="D28" s="110" t="s">
        <v>44</v>
      </c>
      <c r="E28" s="110"/>
      <c r="F28" s="49">
        <v>4</v>
      </c>
      <c r="G28" s="49">
        <v>220800</v>
      </c>
      <c r="H28" s="8" t="s">
        <v>1240</v>
      </c>
      <c r="I28" s="49">
        <f>G28*F28</f>
        <v>883200</v>
      </c>
      <c r="J28" s="109"/>
      <c r="K28" s="144"/>
      <c r="L28" s="409"/>
    </row>
    <row r="29" spans="1:13" ht="19.5" customHeight="1" x14ac:dyDescent="0.4">
      <c r="A29" s="482">
        <v>46154</v>
      </c>
      <c r="B29" s="110" t="s">
        <v>556</v>
      </c>
      <c r="C29" s="29" t="s">
        <v>444</v>
      </c>
      <c r="D29" s="110">
        <v>7061532839</v>
      </c>
      <c r="E29" s="110" t="s">
        <v>127</v>
      </c>
      <c r="F29" s="49">
        <v>4</v>
      </c>
      <c r="G29" s="49">
        <v>65710</v>
      </c>
      <c r="H29" s="8" t="s">
        <v>186</v>
      </c>
      <c r="I29" s="49">
        <f>G29*F29</f>
        <v>262840</v>
      </c>
      <c r="J29" s="109"/>
      <c r="K29" s="144"/>
      <c r="L29" s="409"/>
    </row>
    <row r="30" spans="1:13" ht="19.5" customHeight="1" x14ac:dyDescent="0.4">
      <c r="A30" s="482">
        <v>46154</v>
      </c>
      <c r="B30" s="110" t="s">
        <v>556</v>
      </c>
      <c r="C30" s="29" t="s">
        <v>1406</v>
      </c>
      <c r="D30" s="110" t="s">
        <v>1407</v>
      </c>
      <c r="E30" s="110" t="s">
        <v>17</v>
      </c>
      <c r="F30" s="49">
        <v>1</v>
      </c>
      <c r="G30" s="49">
        <v>237450</v>
      </c>
      <c r="H30" s="8" t="s">
        <v>186</v>
      </c>
      <c r="I30" s="49">
        <f>G30*F30</f>
        <v>237450</v>
      </c>
      <c r="J30" s="109"/>
      <c r="K30" s="144"/>
      <c r="L30" s="409"/>
    </row>
    <row r="31" spans="1:13" ht="19.5" customHeight="1" x14ac:dyDescent="0.4">
      <c r="A31" s="484">
        <v>46163</v>
      </c>
      <c r="B31" s="59" t="s">
        <v>556</v>
      </c>
      <c r="C31" s="61" t="s">
        <v>37</v>
      </c>
      <c r="D31" s="59" t="s">
        <v>38</v>
      </c>
      <c r="E31" s="59"/>
      <c r="F31" s="657">
        <v>14</v>
      </c>
      <c r="G31" s="657">
        <v>1418400</v>
      </c>
      <c r="H31" s="659">
        <f t="shared" ref="H31:H51" si="1">+G31*F31</f>
        <v>19857600</v>
      </c>
      <c r="I31" s="49"/>
      <c r="J31" s="109"/>
      <c r="K31" s="144"/>
      <c r="L31" s="409"/>
    </row>
    <row r="32" spans="1:13" ht="19.5" customHeight="1" x14ac:dyDescent="0.4">
      <c r="A32" s="484">
        <v>46163</v>
      </c>
      <c r="B32" s="59" t="s">
        <v>556</v>
      </c>
      <c r="C32" s="61" t="s">
        <v>43</v>
      </c>
      <c r="D32" s="59" t="s">
        <v>44</v>
      </c>
      <c r="E32" s="59"/>
      <c r="F32" s="657">
        <v>27</v>
      </c>
      <c r="G32" s="657">
        <v>174080</v>
      </c>
      <c r="H32" s="659">
        <f t="shared" si="1"/>
        <v>4700160</v>
      </c>
      <c r="I32" s="49"/>
      <c r="J32" s="109"/>
      <c r="K32" s="144"/>
      <c r="L32" s="409"/>
    </row>
    <row r="33" spans="1:13" ht="19.5" customHeight="1" x14ac:dyDescent="0.4">
      <c r="A33" s="484">
        <v>46163</v>
      </c>
      <c r="B33" s="59" t="s">
        <v>556</v>
      </c>
      <c r="C33" s="61" t="s">
        <v>43</v>
      </c>
      <c r="D33" s="59" t="s">
        <v>44</v>
      </c>
      <c r="E33" s="59"/>
      <c r="F33" s="657">
        <v>3</v>
      </c>
      <c r="G33" s="657">
        <v>174080</v>
      </c>
      <c r="H33" s="659">
        <f t="shared" si="1"/>
        <v>522240</v>
      </c>
      <c r="I33" s="49"/>
      <c r="J33" s="109"/>
      <c r="K33" s="144"/>
      <c r="L33" s="409"/>
    </row>
    <row r="34" spans="1:13" ht="19.5" customHeight="1" x14ac:dyDescent="0.4">
      <c r="A34" s="484">
        <v>46163</v>
      </c>
      <c r="B34" s="59" t="s">
        <v>556</v>
      </c>
      <c r="C34" s="61" t="s">
        <v>43</v>
      </c>
      <c r="D34" s="59" t="s">
        <v>44</v>
      </c>
      <c r="E34" s="59"/>
      <c r="F34" s="657">
        <v>12</v>
      </c>
      <c r="G34" s="657">
        <v>220800</v>
      </c>
      <c r="H34" s="659">
        <f t="shared" si="1"/>
        <v>2649600</v>
      </c>
      <c r="I34" s="49"/>
      <c r="J34" s="109"/>
      <c r="K34" s="144"/>
      <c r="L34" s="409"/>
    </row>
    <row r="35" spans="1:13" ht="19.5" customHeight="1" x14ac:dyDescent="0.4">
      <c r="A35" s="484">
        <v>46163</v>
      </c>
      <c r="B35" s="59" t="s">
        <v>556</v>
      </c>
      <c r="C35" s="61" t="s">
        <v>43</v>
      </c>
      <c r="D35" s="59" t="s">
        <v>44</v>
      </c>
      <c r="E35" s="59"/>
      <c r="F35" s="657">
        <v>42</v>
      </c>
      <c r="G35" s="657">
        <v>220800</v>
      </c>
      <c r="H35" s="659">
        <f t="shared" si="1"/>
        <v>9273600</v>
      </c>
      <c r="I35" s="49"/>
      <c r="J35" s="109"/>
      <c r="K35" s="144"/>
      <c r="L35" s="409"/>
    </row>
    <row r="36" spans="1:13" ht="19.5" customHeight="1" x14ac:dyDescent="0.4">
      <c r="A36" s="484">
        <v>46163</v>
      </c>
      <c r="B36" s="59" t="s">
        <v>556</v>
      </c>
      <c r="C36" s="61" t="s">
        <v>177</v>
      </c>
      <c r="D36" s="59" t="s">
        <v>178</v>
      </c>
      <c r="E36" s="59"/>
      <c r="F36" s="657">
        <v>62</v>
      </c>
      <c r="G36" s="657">
        <v>176840</v>
      </c>
      <c r="H36" s="659">
        <f t="shared" si="1"/>
        <v>10964080</v>
      </c>
      <c r="I36" s="49"/>
      <c r="J36" s="109"/>
      <c r="K36" s="144"/>
      <c r="L36" s="409"/>
    </row>
    <row r="37" spans="1:13" ht="19.5" customHeight="1" x14ac:dyDescent="0.4">
      <c r="A37" s="484">
        <v>46163</v>
      </c>
      <c r="B37" s="59" t="s">
        <v>556</v>
      </c>
      <c r="C37" s="61" t="s">
        <v>53</v>
      </c>
      <c r="D37" s="59" t="s">
        <v>54</v>
      </c>
      <c r="E37" s="59"/>
      <c r="F37" s="657">
        <v>38</v>
      </c>
      <c r="G37" s="657">
        <v>237450</v>
      </c>
      <c r="H37" s="659">
        <f t="shared" si="1"/>
        <v>9023100</v>
      </c>
      <c r="I37" s="49"/>
      <c r="J37" s="109"/>
      <c r="K37" s="144"/>
      <c r="L37" s="409"/>
    </row>
    <row r="38" spans="1:13" ht="19.5" customHeight="1" x14ac:dyDescent="0.4">
      <c r="A38" s="484">
        <v>46163</v>
      </c>
      <c r="B38" s="59" t="s">
        <v>556</v>
      </c>
      <c r="C38" s="61" t="s">
        <v>53</v>
      </c>
      <c r="D38" s="59" t="s">
        <v>54</v>
      </c>
      <c r="E38" s="59"/>
      <c r="F38" s="657">
        <v>3</v>
      </c>
      <c r="G38" s="657">
        <v>237450</v>
      </c>
      <c r="H38" s="659">
        <f t="shared" si="1"/>
        <v>712350</v>
      </c>
      <c r="I38" s="49"/>
      <c r="J38" s="109"/>
      <c r="K38" s="144"/>
      <c r="L38" s="409"/>
    </row>
    <row r="39" spans="1:13" ht="19.5" customHeight="1" x14ac:dyDescent="0.4">
      <c r="A39" s="484">
        <v>46163</v>
      </c>
      <c r="B39" s="59" t="s">
        <v>556</v>
      </c>
      <c r="C39" s="61" t="s">
        <v>53</v>
      </c>
      <c r="D39" s="59" t="s">
        <v>54</v>
      </c>
      <c r="E39" s="59"/>
      <c r="F39" s="657">
        <v>1</v>
      </c>
      <c r="G39" s="657">
        <v>237450</v>
      </c>
      <c r="H39" s="659">
        <f t="shared" si="1"/>
        <v>237450</v>
      </c>
      <c r="I39" s="49"/>
      <c r="J39" s="109"/>
      <c r="K39" s="144"/>
      <c r="L39" s="409"/>
    </row>
    <row r="40" spans="1:13" ht="19.5" customHeight="1" x14ac:dyDescent="0.4">
      <c r="A40" s="484">
        <v>46163</v>
      </c>
      <c r="B40" s="59" t="s">
        <v>556</v>
      </c>
      <c r="C40" s="61" t="s">
        <v>53</v>
      </c>
      <c r="D40" s="59" t="s">
        <v>54</v>
      </c>
      <c r="E40" s="59"/>
      <c r="F40" s="657">
        <v>6</v>
      </c>
      <c r="G40" s="657">
        <v>259000</v>
      </c>
      <c r="H40" s="659">
        <f t="shared" si="1"/>
        <v>1554000</v>
      </c>
      <c r="I40" s="49"/>
      <c r="J40" s="109"/>
      <c r="K40" s="144"/>
      <c r="L40" s="409"/>
    </row>
    <row r="41" spans="1:13" ht="19.5" customHeight="1" x14ac:dyDescent="0.4">
      <c r="A41" s="484">
        <v>46163</v>
      </c>
      <c r="B41" s="59" t="s">
        <v>556</v>
      </c>
      <c r="C41" s="61" t="s">
        <v>41</v>
      </c>
      <c r="D41" s="59" t="s">
        <v>42</v>
      </c>
      <c r="E41" s="59"/>
      <c r="F41" s="657">
        <v>11</v>
      </c>
      <c r="G41" s="657">
        <v>203030</v>
      </c>
      <c r="H41" s="659">
        <f t="shared" si="1"/>
        <v>2233330</v>
      </c>
      <c r="I41" s="49"/>
      <c r="J41" s="109"/>
      <c r="K41" s="144"/>
      <c r="L41" s="409"/>
    </row>
    <row r="42" spans="1:13" ht="19.5" customHeight="1" x14ac:dyDescent="0.4">
      <c r="A42" s="484">
        <v>46163</v>
      </c>
      <c r="B42" s="59" t="s">
        <v>556</v>
      </c>
      <c r="C42" s="61" t="s">
        <v>41</v>
      </c>
      <c r="D42" s="59" t="s">
        <v>42</v>
      </c>
      <c r="E42" s="59"/>
      <c r="F42" s="657">
        <v>12</v>
      </c>
      <c r="G42" s="657">
        <v>205300</v>
      </c>
      <c r="H42" s="659">
        <f t="shared" si="1"/>
        <v>2463600</v>
      </c>
      <c r="I42" s="49"/>
      <c r="J42" s="109"/>
      <c r="K42" s="144"/>
      <c r="L42" s="409"/>
    </row>
    <row r="43" spans="1:13" ht="19.5" customHeight="1" x14ac:dyDescent="0.4">
      <c r="A43" s="484">
        <v>46163</v>
      </c>
      <c r="B43" s="59" t="s">
        <v>556</v>
      </c>
      <c r="C43" s="61" t="s">
        <v>41</v>
      </c>
      <c r="D43" s="59" t="s">
        <v>42</v>
      </c>
      <c r="E43" s="59"/>
      <c r="F43" s="657">
        <v>77</v>
      </c>
      <c r="G43" s="657">
        <v>205300</v>
      </c>
      <c r="H43" s="659">
        <f t="shared" si="1"/>
        <v>15808100</v>
      </c>
      <c r="I43" s="49"/>
      <c r="J43" s="109"/>
      <c r="K43" s="144"/>
      <c r="L43" s="409"/>
    </row>
    <row r="44" spans="1:13" ht="19.5" customHeight="1" x14ac:dyDescent="0.4">
      <c r="A44" s="484">
        <v>46163</v>
      </c>
      <c r="B44" s="59" t="s">
        <v>556</v>
      </c>
      <c r="C44" s="61" t="s">
        <v>45</v>
      </c>
      <c r="D44" s="59" t="s">
        <v>46</v>
      </c>
      <c r="E44" s="59"/>
      <c r="F44" s="657">
        <v>74</v>
      </c>
      <c r="G44" s="657">
        <v>148400</v>
      </c>
      <c r="H44" s="659">
        <f t="shared" si="1"/>
        <v>10981600</v>
      </c>
      <c r="I44" s="49"/>
      <c r="J44" s="109"/>
      <c r="K44" s="144"/>
      <c r="L44" s="409"/>
    </row>
    <row r="45" spans="1:13" ht="19.5" customHeight="1" x14ac:dyDescent="0.4">
      <c r="A45" s="484">
        <v>46163</v>
      </c>
      <c r="B45" s="59" t="s">
        <v>556</v>
      </c>
      <c r="C45" s="61" t="s">
        <v>45</v>
      </c>
      <c r="D45" s="59" t="s">
        <v>46</v>
      </c>
      <c r="E45" s="59"/>
      <c r="F45" s="657">
        <v>89</v>
      </c>
      <c r="G45" s="657">
        <v>148400</v>
      </c>
      <c r="H45" s="659">
        <f>+G45*F45</f>
        <v>13207600</v>
      </c>
      <c r="I45" s="49"/>
      <c r="J45" s="109"/>
      <c r="K45" s="144"/>
      <c r="L45" s="409"/>
    </row>
    <row r="46" spans="1:13" s="3" customFormat="1" ht="19.5" customHeight="1" x14ac:dyDescent="0.4">
      <c r="A46" s="482">
        <v>46142</v>
      </c>
      <c r="B46" s="110" t="s">
        <v>556</v>
      </c>
      <c r="C46" s="29" t="s">
        <v>1255</v>
      </c>
      <c r="D46" s="110">
        <v>7060741009</v>
      </c>
      <c r="E46" s="110" t="s">
        <v>13</v>
      </c>
      <c r="F46" s="81">
        <v>35</v>
      </c>
      <c r="G46" s="49">
        <v>524800</v>
      </c>
      <c r="H46" s="8">
        <f>+G46*F46</f>
        <v>18368000</v>
      </c>
      <c r="I46" s="49" t="s">
        <v>1502</v>
      </c>
      <c r="J46" s="144"/>
      <c r="K46" s="144"/>
      <c r="L46" s="144"/>
      <c r="M46" s="89"/>
    </row>
    <row r="47" spans="1:13" ht="19.5" customHeight="1" x14ac:dyDescent="0.4">
      <c r="A47" s="484">
        <v>46163</v>
      </c>
      <c r="B47" s="59" t="s">
        <v>556</v>
      </c>
      <c r="C47" s="61" t="s">
        <v>45</v>
      </c>
      <c r="D47" s="59" t="s">
        <v>46</v>
      </c>
      <c r="E47" s="59"/>
      <c r="F47" s="49">
        <v>1</v>
      </c>
      <c r="G47" s="49">
        <v>148400</v>
      </c>
      <c r="H47" s="7" t="s">
        <v>1240</v>
      </c>
      <c r="I47" s="49" t="s">
        <v>1502</v>
      </c>
      <c r="J47" s="109"/>
      <c r="K47" s="144"/>
      <c r="L47" s="409"/>
    </row>
    <row r="48" spans="1:13" ht="19.5" customHeight="1" x14ac:dyDescent="0.4">
      <c r="A48" s="482">
        <v>46171</v>
      </c>
      <c r="B48" s="110" t="s">
        <v>556</v>
      </c>
      <c r="C48" s="29" t="s">
        <v>39</v>
      </c>
      <c r="D48" s="110" t="s">
        <v>40</v>
      </c>
      <c r="E48" s="110"/>
      <c r="F48" s="81">
        <v>39</v>
      </c>
      <c r="G48" s="49">
        <v>1380450</v>
      </c>
      <c r="H48" s="8">
        <f t="shared" si="1"/>
        <v>53837550</v>
      </c>
      <c r="I48" s="49" t="s">
        <v>1502</v>
      </c>
      <c r="J48" s="144"/>
      <c r="K48" s="144"/>
      <c r="L48" s="409"/>
    </row>
    <row r="49" spans="1:13" ht="19.5" customHeight="1" x14ac:dyDescent="0.4">
      <c r="A49" s="482">
        <v>46171</v>
      </c>
      <c r="B49" s="110" t="s">
        <v>556</v>
      </c>
      <c r="C49" s="29" t="s">
        <v>401</v>
      </c>
      <c r="D49" s="110" t="s">
        <v>402</v>
      </c>
      <c r="E49" s="110"/>
      <c r="F49" s="347">
        <v>9</v>
      </c>
      <c r="G49" s="49">
        <v>6099100</v>
      </c>
      <c r="H49" s="8">
        <f t="shared" si="1"/>
        <v>54891900</v>
      </c>
      <c r="I49" s="49" t="s">
        <v>1502</v>
      </c>
      <c r="J49" s="144"/>
      <c r="K49" s="144"/>
      <c r="L49" s="409"/>
    </row>
    <row r="50" spans="1:13" ht="19.5" customHeight="1" x14ac:dyDescent="0.4">
      <c r="A50" s="482">
        <v>46171</v>
      </c>
      <c r="B50" s="110" t="s">
        <v>556</v>
      </c>
      <c r="C50" s="29" t="s">
        <v>1408</v>
      </c>
      <c r="D50" s="110" t="s">
        <v>1409</v>
      </c>
      <c r="E50" s="110"/>
      <c r="F50" s="347">
        <v>31</v>
      </c>
      <c r="G50" s="49">
        <v>607000</v>
      </c>
      <c r="H50" s="8">
        <f t="shared" si="1"/>
        <v>18817000</v>
      </c>
      <c r="I50" s="49" t="s">
        <v>1502</v>
      </c>
      <c r="J50" s="144"/>
      <c r="K50" s="144"/>
      <c r="L50" s="144"/>
    </row>
    <row r="51" spans="1:13" ht="19.5" customHeight="1" x14ac:dyDescent="0.4">
      <c r="A51" s="482">
        <v>46171</v>
      </c>
      <c r="B51" s="110" t="s">
        <v>556</v>
      </c>
      <c r="C51" s="29" t="s">
        <v>1255</v>
      </c>
      <c r="D51" s="110" t="s">
        <v>1410</v>
      </c>
      <c r="E51" s="110"/>
      <c r="F51" s="347">
        <v>11</v>
      </c>
      <c r="G51" s="49">
        <v>524800</v>
      </c>
      <c r="H51" s="8">
        <f t="shared" si="1"/>
        <v>5772800</v>
      </c>
      <c r="I51" s="49" t="s">
        <v>1502</v>
      </c>
      <c r="J51" s="144"/>
      <c r="K51" s="144"/>
      <c r="L51" s="144"/>
    </row>
    <row r="52" spans="1:13" ht="19.5" customHeight="1" x14ac:dyDescent="0.4">
      <c r="A52" s="483"/>
      <c r="B52" s="194"/>
      <c r="C52" s="40"/>
      <c r="D52" s="194"/>
      <c r="E52" s="194"/>
      <c r="F52" s="91"/>
      <c r="G52" s="138"/>
      <c r="H52" s="138">
        <f>SUM(H23:H45)</f>
        <v>160253340</v>
      </c>
      <c r="I52" s="138"/>
      <c r="J52" s="620"/>
      <c r="K52" s="145"/>
      <c r="L52" s="621"/>
    </row>
    <row r="53" spans="1:13" ht="19.5" customHeight="1" x14ac:dyDescent="0.4">
      <c r="A53" s="482">
        <v>46161</v>
      </c>
      <c r="B53" s="110" t="s">
        <v>55</v>
      </c>
      <c r="C53" s="29" t="s">
        <v>345</v>
      </c>
      <c r="D53" s="110" t="s">
        <v>677</v>
      </c>
      <c r="E53" s="110" t="s">
        <v>17</v>
      </c>
      <c r="F53" s="660">
        <v>24</v>
      </c>
      <c r="G53" s="49">
        <v>293447</v>
      </c>
      <c r="H53" s="8">
        <f t="shared" ref="H53:H59" si="2">+G53*F53</f>
        <v>7042728</v>
      </c>
      <c r="I53" s="49"/>
      <c r="J53" s="109"/>
      <c r="K53" s="144"/>
      <c r="L53" s="409"/>
    </row>
    <row r="54" spans="1:13" ht="19.5" customHeight="1" x14ac:dyDescent="0.4">
      <c r="A54" s="482">
        <v>46163</v>
      </c>
      <c r="B54" s="110" t="s">
        <v>55</v>
      </c>
      <c r="C54" s="29" t="s">
        <v>56</v>
      </c>
      <c r="D54" s="110" t="s">
        <v>1259</v>
      </c>
      <c r="E54" s="110" t="s">
        <v>17</v>
      </c>
      <c r="F54" s="660">
        <v>32</v>
      </c>
      <c r="G54" s="49">
        <v>293447</v>
      </c>
      <c r="H54" s="8">
        <f t="shared" si="2"/>
        <v>9390304</v>
      </c>
      <c r="I54" s="49"/>
      <c r="J54" s="109"/>
      <c r="K54" s="144"/>
      <c r="L54" s="409"/>
    </row>
    <row r="55" spans="1:13" ht="19.5" customHeight="1" x14ac:dyDescent="0.4">
      <c r="A55" s="482">
        <v>46163</v>
      </c>
      <c r="B55" s="110" t="s">
        <v>55</v>
      </c>
      <c r="C55" s="29" t="s">
        <v>56</v>
      </c>
      <c r="D55" s="110" t="s">
        <v>678</v>
      </c>
      <c r="E55" s="110" t="s">
        <v>17</v>
      </c>
      <c r="F55" s="660">
        <f>36*4</f>
        <v>144</v>
      </c>
      <c r="G55" s="49">
        <v>263208</v>
      </c>
      <c r="H55" s="8">
        <f t="shared" si="2"/>
        <v>37901952</v>
      </c>
      <c r="I55" s="49"/>
      <c r="J55" s="109"/>
      <c r="K55" s="144"/>
      <c r="L55" s="409"/>
    </row>
    <row r="56" spans="1:13" ht="19.5" customHeight="1" x14ac:dyDescent="0.4">
      <c r="A56" s="482">
        <v>46169</v>
      </c>
      <c r="B56" s="110" t="s">
        <v>55</v>
      </c>
      <c r="C56" s="29" t="s">
        <v>56</v>
      </c>
      <c r="D56" s="110" t="s">
        <v>1259</v>
      </c>
      <c r="E56" s="110" t="s">
        <v>17</v>
      </c>
      <c r="F56" s="660">
        <v>39</v>
      </c>
      <c r="G56" s="49">
        <v>293447</v>
      </c>
      <c r="H56" s="8">
        <f t="shared" si="2"/>
        <v>11444433</v>
      </c>
      <c r="I56" s="49"/>
      <c r="J56" s="109"/>
      <c r="K56" s="144"/>
      <c r="L56" s="409">
        <v>0</v>
      </c>
    </row>
    <row r="57" spans="1:13" ht="19.5" customHeight="1" x14ac:dyDescent="0.4">
      <c r="A57" s="482">
        <v>46169</v>
      </c>
      <c r="B57" s="110" t="s">
        <v>55</v>
      </c>
      <c r="C57" s="29" t="s">
        <v>56</v>
      </c>
      <c r="D57" s="110" t="s">
        <v>1411</v>
      </c>
      <c r="E57" s="110" t="s">
        <v>17</v>
      </c>
      <c r="F57" s="660">
        <v>72</v>
      </c>
      <c r="G57" s="49">
        <v>263208</v>
      </c>
      <c r="H57" s="8">
        <f t="shared" si="2"/>
        <v>18950976</v>
      </c>
      <c r="I57" s="49"/>
      <c r="J57" s="109"/>
      <c r="K57" s="144"/>
      <c r="L57" s="409">
        <v>0</v>
      </c>
    </row>
    <row r="58" spans="1:13" s="3" customFormat="1" ht="19.5" customHeight="1" x14ac:dyDescent="0.4">
      <c r="A58" s="482">
        <v>46173</v>
      </c>
      <c r="B58" s="110" t="s">
        <v>55</v>
      </c>
      <c r="C58" s="29" t="s">
        <v>56</v>
      </c>
      <c r="D58" s="110" t="s">
        <v>675</v>
      </c>
      <c r="E58" s="110" t="s">
        <v>17</v>
      </c>
      <c r="F58" s="81">
        <v>-7</v>
      </c>
      <c r="G58" s="49">
        <v>289120</v>
      </c>
      <c r="H58" s="8">
        <f t="shared" si="2"/>
        <v>-2023840</v>
      </c>
      <c r="I58" s="523"/>
      <c r="J58" s="144"/>
      <c r="K58" s="144"/>
      <c r="L58" s="140"/>
      <c r="M58" s="89"/>
    </row>
    <row r="59" spans="1:13" s="3" customFormat="1" ht="19.5" customHeight="1" x14ac:dyDescent="0.4">
      <c r="A59" s="482">
        <v>46173</v>
      </c>
      <c r="B59" s="110" t="s">
        <v>55</v>
      </c>
      <c r="C59" s="29" t="s">
        <v>345</v>
      </c>
      <c r="D59" s="110" t="s">
        <v>346</v>
      </c>
      <c r="E59" s="110" t="s">
        <v>17</v>
      </c>
      <c r="F59" s="81">
        <v>-5</v>
      </c>
      <c r="G59" s="49">
        <v>246573</v>
      </c>
      <c r="H59" s="8">
        <f t="shared" si="2"/>
        <v>-1232865</v>
      </c>
      <c r="I59" s="49"/>
      <c r="J59" s="144"/>
      <c r="K59" s="144"/>
      <c r="L59" s="140" t="s">
        <v>1247</v>
      </c>
      <c r="M59" s="89"/>
    </row>
    <row r="60" spans="1:13" ht="19.5" customHeight="1" x14ac:dyDescent="0.4">
      <c r="A60" s="482">
        <v>46173</v>
      </c>
      <c r="B60" s="110" t="s">
        <v>55</v>
      </c>
      <c r="C60" s="29" t="s">
        <v>56</v>
      </c>
      <c r="D60" s="110" t="s">
        <v>1411</v>
      </c>
      <c r="E60" s="110" t="s">
        <v>17</v>
      </c>
      <c r="F60" s="660">
        <v>-25</v>
      </c>
      <c r="G60" s="49">
        <v>263208</v>
      </c>
      <c r="H60" s="8">
        <f>+G60*F60</f>
        <v>-6580200</v>
      </c>
      <c r="I60" s="49"/>
      <c r="J60" s="109"/>
      <c r="K60" s="144"/>
      <c r="L60" s="409"/>
    </row>
    <row r="61" spans="1:13" ht="19.5" customHeight="1" x14ac:dyDescent="0.4">
      <c r="A61" s="483"/>
      <c r="B61" s="194"/>
      <c r="C61" s="40"/>
      <c r="D61" s="194"/>
      <c r="E61" s="194"/>
      <c r="F61" s="91"/>
      <c r="G61" s="138"/>
      <c r="H61" s="138">
        <f>SUM(H53:H60)</f>
        <v>74893488</v>
      </c>
      <c r="I61" s="138"/>
      <c r="J61" s="620"/>
      <c r="K61" s="145"/>
      <c r="L61" s="621"/>
    </row>
    <row r="62" spans="1:13" s="50" customFormat="1" ht="19.5" customHeight="1" x14ac:dyDescent="0.4">
      <c r="A62" s="484">
        <v>46142</v>
      </c>
      <c r="B62" s="46" t="s">
        <v>869</v>
      </c>
      <c r="C62" s="6" t="s">
        <v>181</v>
      </c>
      <c r="D62" s="42">
        <v>61541861</v>
      </c>
      <c r="E62" s="1" t="s">
        <v>13</v>
      </c>
      <c r="F62" s="36">
        <v>5</v>
      </c>
      <c r="G62" s="7">
        <v>2275670</v>
      </c>
      <c r="H62" s="36">
        <f t="shared" ref="H62:H71" si="3">F62*G62</f>
        <v>11378350</v>
      </c>
      <c r="I62" s="67" t="s">
        <v>1261</v>
      </c>
      <c r="J62" s="67"/>
      <c r="K62" s="67"/>
      <c r="L62" s="67" t="s">
        <v>1247</v>
      </c>
    </row>
    <row r="63" spans="1:13" s="50" customFormat="1" ht="19.5" customHeight="1" x14ac:dyDescent="0.4">
      <c r="A63" s="484">
        <v>46142</v>
      </c>
      <c r="B63" s="46" t="s">
        <v>869</v>
      </c>
      <c r="C63" s="6" t="s">
        <v>182</v>
      </c>
      <c r="D63" s="42">
        <v>61541862</v>
      </c>
      <c r="E63" s="1" t="s">
        <v>13</v>
      </c>
      <c r="F63" s="36">
        <v>5</v>
      </c>
      <c r="G63" s="7">
        <v>2275670</v>
      </c>
      <c r="H63" s="36">
        <f t="shared" si="3"/>
        <v>11378350</v>
      </c>
      <c r="I63" s="67" t="s">
        <v>1261</v>
      </c>
      <c r="J63" s="67"/>
      <c r="K63" s="67"/>
      <c r="L63" s="67" t="s">
        <v>1247</v>
      </c>
    </row>
    <row r="64" spans="1:13" s="50" customFormat="1" ht="19.5" customHeight="1" x14ac:dyDescent="0.4">
      <c r="A64" s="484">
        <v>46142</v>
      </c>
      <c r="B64" s="46" t="s">
        <v>869</v>
      </c>
      <c r="C64" s="67" t="s">
        <v>183</v>
      </c>
      <c r="D64" s="42">
        <v>61541863</v>
      </c>
      <c r="E64" s="1" t="s">
        <v>184</v>
      </c>
      <c r="F64" s="36">
        <v>5</v>
      </c>
      <c r="G64" s="7">
        <v>44000</v>
      </c>
      <c r="H64" s="36">
        <f t="shared" si="3"/>
        <v>220000</v>
      </c>
      <c r="I64" s="67" t="s">
        <v>1261</v>
      </c>
      <c r="J64" s="67"/>
      <c r="K64" s="67"/>
      <c r="L64" s="67" t="s">
        <v>1247</v>
      </c>
    </row>
    <row r="65" spans="1:13" s="50" customFormat="1" ht="19.5" customHeight="1" x14ac:dyDescent="0.4">
      <c r="A65" s="484">
        <v>46142</v>
      </c>
      <c r="B65" s="46" t="s">
        <v>869</v>
      </c>
      <c r="C65" s="67" t="s">
        <v>183</v>
      </c>
      <c r="D65" s="42">
        <v>61541864</v>
      </c>
      <c r="E65" s="1" t="s">
        <v>184</v>
      </c>
      <c r="F65" s="36">
        <v>5</v>
      </c>
      <c r="G65" s="7">
        <v>44000</v>
      </c>
      <c r="H65" s="36">
        <f t="shared" si="3"/>
        <v>220000</v>
      </c>
      <c r="I65" s="67" t="s">
        <v>1261</v>
      </c>
      <c r="J65" s="67"/>
      <c r="K65" s="67"/>
      <c r="L65" s="67" t="s">
        <v>1247</v>
      </c>
    </row>
    <row r="66" spans="1:13" s="50" customFormat="1" ht="19.5" customHeight="1" x14ac:dyDescent="0.4">
      <c r="A66" s="484">
        <v>46142</v>
      </c>
      <c r="B66" s="46" t="s">
        <v>869</v>
      </c>
      <c r="C66" s="67" t="s">
        <v>185</v>
      </c>
      <c r="D66" s="42">
        <v>61541865</v>
      </c>
      <c r="E66" s="1" t="s">
        <v>184</v>
      </c>
      <c r="F66" s="36">
        <v>10</v>
      </c>
      <c r="G66" s="7">
        <v>14700</v>
      </c>
      <c r="H66" s="36">
        <f t="shared" si="3"/>
        <v>147000</v>
      </c>
      <c r="I66" s="67" t="s">
        <v>1261</v>
      </c>
      <c r="J66" s="67"/>
      <c r="K66" s="67"/>
      <c r="L66" s="67" t="s">
        <v>1247</v>
      </c>
    </row>
    <row r="67" spans="1:13" ht="19.5" customHeight="1" x14ac:dyDescent="0.4">
      <c r="A67" s="484">
        <v>46164</v>
      </c>
      <c r="B67" s="413" t="s">
        <v>869</v>
      </c>
      <c r="C67" s="6" t="s">
        <v>181</v>
      </c>
      <c r="D67" s="42">
        <v>61541861</v>
      </c>
      <c r="E67" s="1" t="s">
        <v>13</v>
      </c>
      <c r="F67" s="36">
        <v>5</v>
      </c>
      <c r="G67" s="7">
        <v>2275670</v>
      </c>
      <c r="H67" s="36">
        <f t="shared" si="3"/>
        <v>11378350</v>
      </c>
      <c r="I67" s="150"/>
      <c r="J67" s="70"/>
      <c r="K67" s="29"/>
      <c r="L67" s="433"/>
    </row>
    <row r="68" spans="1:13" ht="19.5" customHeight="1" x14ac:dyDescent="0.4">
      <c r="A68" s="484">
        <v>46164</v>
      </c>
      <c r="B68" s="413" t="s">
        <v>869</v>
      </c>
      <c r="C68" s="6" t="s">
        <v>182</v>
      </c>
      <c r="D68" s="42">
        <v>61541862</v>
      </c>
      <c r="E68" s="1" t="s">
        <v>13</v>
      </c>
      <c r="F68" s="36">
        <v>5</v>
      </c>
      <c r="G68" s="7">
        <v>2275670</v>
      </c>
      <c r="H68" s="36">
        <f t="shared" si="3"/>
        <v>11378350</v>
      </c>
      <c r="I68" s="150"/>
      <c r="J68" s="70"/>
      <c r="K68" s="29"/>
      <c r="L68" s="433"/>
    </row>
    <row r="69" spans="1:13" ht="19.5" customHeight="1" x14ac:dyDescent="0.4">
      <c r="A69" s="484">
        <v>46164</v>
      </c>
      <c r="B69" s="413" t="s">
        <v>869</v>
      </c>
      <c r="C69" s="67" t="s">
        <v>183</v>
      </c>
      <c r="D69" s="42">
        <v>61541863</v>
      </c>
      <c r="E69" s="1" t="s">
        <v>184</v>
      </c>
      <c r="F69" s="36">
        <v>5</v>
      </c>
      <c r="G69" s="7">
        <v>44000</v>
      </c>
      <c r="H69" s="36">
        <f t="shared" si="3"/>
        <v>220000</v>
      </c>
      <c r="I69" s="150"/>
      <c r="J69" s="70"/>
      <c r="K69" s="29"/>
      <c r="L69" s="433"/>
    </row>
    <row r="70" spans="1:13" ht="19.5" customHeight="1" x14ac:dyDescent="0.4">
      <c r="A70" s="484">
        <v>46164</v>
      </c>
      <c r="B70" s="413" t="s">
        <v>869</v>
      </c>
      <c r="C70" s="67" t="s">
        <v>183</v>
      </c>
      <c r="D70" s="42">
        <v>61541864</v>
      </c>
      <c r="E70" s="1" t="s">
        <v>184</v>
      </c>
      <c r="F70" s="36">
        <v>5</v>
      </c>
      <c r="G70" s="7">
        <v>44000</v>
      </c>
      <c r="H70" s="36">
        <f t="shared" si="3"/>
        <v>220000</v>
      </c>
      <c r="I70" s="150"/>
      <c r="J70" s="70"/>
      <c r="K70" s="29"/>
      <c r="L70" s="433"/>
    </row>
    <row r="71" spans="1:13" ht="19.5" customHeight="1" x14ac:dyDescent="0.4">
      <c r="A71" s="484">
        <v>46164</v>
      </c>
      <c r="B71" s="413" t="s">
        <v>869</v>
      </c>
      <c r="C71" s="67" t="s">
        <v>185</v>
      </c>
      <c r="D71" s="42">
        <v>61541865</v>
      </c>
      <c r="E71" s="1" t="s">
        <v>184</v>
      </c>
      <c r="F71" s="36">
        <v>10</v>
      </c>
      <c r="G71" s="7">
        <v>14700</v>
      </c>
      <c r="H71" s="36">
        <f t="shared" si="3"/>
        <v>147000</v>
      </c>
      <c r="I71" s="150"/>
      <c r="J71" s="70"/>
      <c r="K71" s="29"/>
      <c r="L71" s="433"/>
    </row>
    <row r="72" spans="1:13" s="50" customFormat="1" ht="18.75" customHeight="1" x14ac:dyDescent="0.4">
      <c r="A72" s="484">
        <v>46152</v>
      </c>
      <c r="B72" s="413" t="s">
        <v>869</v>
      </c>
      <c r="C72" s="67" t="s">
        <v>844</v>
      </c>
      <c r="D72" s="42"/>
      <c r="E72" s="1"/>
      <c r="F72" s="36"/>
      <c r="G72" s="7"/>
      <c r="H72" s="36">
        <v>-9251387</v>
      </c>
      <c r="I72" s="67"/>
      <c r="J72" s="67"/>
      <c r="K72" s="67"/>
      <c r="L72" s="67"/>
    </row>
    <row r="73" spans="1:13" s="50" customFormat="1" ht="18.75" customHeight="1" x14ac:dyDescent="0.4">
      <c r="A73" s="484">
        <v>46171</v>
      </c>
      <c r="B73" s="413" t="s">
        <v>869</v>
      </c>
      <c r="C73" s="67" t="s">
        <v>844</v>
      </c>
      <c r="D73" s="42"/>
      <c r="E73" s="1"/>
      <c r="F73" s="36"/>
      <c r="G73" s="7"/>
      <c r="H73" s="36">
        <v>-9251388</v>
      </c>
      <c r="I73" s="67"/>
      <c r="J73" s="67"/>
      <c r="K73" s="67"/>
      <c r="L73" s="67"/>
    </row>
    <row r="74" spans="1:13" s="50" customFormat="1" ht="18.75" customHeight="1" x14ac:dyDescent="0.4">
      <c r="A74" s="484"/>
      <c r="B74" s="413"/>
      <c r="C74" s="67"/>
      <c r="D74" s="42"/>
      <c r="E74" s="1"/>
      <c r="F74" s="36"/>
      <c r="G74" s="7"/>
      <c r="H74" s="36"/>
      <c r="I74" s="67"/>
      <c r="J74" s="67"/>
      <c r="K74" s="67"/>
      <c r="L74" s="67"/>
    </row>
    <row r="75" spans="1:13" ht="19.5" customHeight="1" x14ac:dyDescent="0.4">
      <c r="A75" s="622"/>
      <c r="B75" s="39"/>
      <c r="C75" s="88"/>
      <c r="D75" s="434"/>
      <c r="E75" s="39"/>
      <c r="F75" s="39"/>
      <c r="G75" s="98"/>
      <c r="H75" s="98">
        <f>SUM(H62:H71)</f>
        <v>46687400</v>
      </c>
      <c r="I75" s="435"/>
      <c r="J75" s="436"/>
      <c r="K75" s="40"/>
      <c r="L75" s="437"/>
    </row>
    <row r="76" spans="1:13" s="19" customFormat="1" ht="18.75" customHeight="1" x14ac:dyDescent="0.4">
      <c r="A76" s="485">
        <v>46127</v>
      </c>
      <c r="B76" s="110" t="s">
        <v>58</v>
      </c>
      <c r="C76" s="29" t="s">
        <v>60</v>
      </c>
      <c r="D76" s="110" t="s">
        <v>498</v>
      </c>
      <c r="E76" s="110" t="s">
        <v>13</v>
      </c>
      <c r="F76" s="8">
        <v>18</v>
      </c>
      <c r="G76" s="81">
        <v>673000</v>
      </c>
      <c r="H76" s="8">
        <f>F76*G76</f>
        <v>12114000</v>
      </c>
      <c r="I76" s="111" t="s">
        <v>1263</v>
      </c>
      <c r="J76" s="404"/>
      <c r="K76" s="61"/>
      <c r="L76" s="126"/>
      <c r="M76" s="416"/>
    </row>
    <row r="77" spans="1:13" s="19" customFormat="1" ht="18.75" customHeight="1" x14ac:dyDescent="0.4">
      <c r="A77" s="485">
        <v>46120</v>
      </c>
      <c r="B77" s="110" t="s">
        <v>58</v>
      </c>
      <c r="C77" s="29" t="s">
        <v>60</v>
      </c>
      <c r="D77" s="110" t="s">
        <v>498</v>
      </c>
      <c r="E77" s="110" t="s">
        <v>13</v>
      </c>
      <c r="F77" s="8">
        <v>18</v>
      </c>
      <c r="G77" s="81">
        <v>673000</v>
      </c>
      <c r="H77" s="8">
        <f>F77*G77</f>
        <v>12114000</v>
      </c>
      <c r="I77" s="111" t="s">
        <v>1263</v>
      </c>
      <c r="J77" s="404"/>
      <c r="K77" s="61"/>
      <c r="L77" s="126"/>
      <c r="M77" s="416"/>
    </row>
    <row r="78" spans="1:13" s="113" customFormat="1" ht="20.25" customHeight="1" x14ac:dyDescent="0.4">
      <c r="A78" s="482">
        <v>46142</v>
      </c>
      <c r="B78" s="33" t="s">
        <v>58</v>
      </c>
      <c r="C78" s="192" t="s">
        <v>189</v>
      </c>
      <c r="D78" s="76" t="s">
        <v>729</v>
      </c>
      <c r="E78" s="110" t="s">
        <v>11</v>
      </c>
      <c r="F78" s="7">
        <v>44</v>
      </c>
      <c r="G78" s="7">
        <v>489000</v>
      </c>
      <c r="H78" s="8">
        <f>F78*G78</f>
        <v>21516000</v>
      </c>
      <c r="I78" s="111"/>
      <c r="J78" s="70"/>
      <c r="K78" s="61"/>
      <c r="L78" s="116"/>
    </row>
    <row r="79" spans="1:13" ht="17.399999999999999" x14ac:dyDescent="0.4">
      <c r="A79" s="482">
        <v>46165</v>
      </c>
      <c r="B79" s="33" t="s">
        <v>58</v>
      </c>
      <c r="C79" s="192" t="s">
        <v>189</v>
      </c>
      <c r="D79" s="76" t="s">
        <v>729</v>
      </c>
      <c r="E79" s="110" t="s">
        <v>11</v>
      </c>
      <c r="F79" s="7">
        <v>80</v>
      </c>
      <c r="G79" s="7">
        <v>489000</v>
      </c>
      <c r="H79" s="8">
        <f>F79*G79</f>
        <v>39120000</v>
      </c>
      <c r="I79" s="111"/>
      <c r="J79" s="70"/>
      <c r="K79" s="623"/>
      <c r="L79" s="116"/>
    </row>
    <row r="80" spans="1:13" s="3" customFormat="1" ht="19.5" customHeight="1" x14ac:dyDescent="0.4">
      <c r="A80" s="582">
        <v>46034</v>
      </c>
      <c r="B80" s="583" t="s">
        <v>58</v>
      </c>
      <c r="C80" s="584" t="s">
        <v>60</v>
      </c>
      <c r="D80" s="583" t="s">
        <v>722</v>
      </c>
      <c r="E80" s="583" t="s">
        <v>13</v>
      </c>
      <c r="F80" s="463">
        <v>1</v>
      </c>
      <c r="G80" s="578">
        <v>673000</v>
      </c>
      <c r="H80" s="463">
        <f>F80*G80</f>
        <v>673000</v>
      </c>
      <c r="I80" s="464"/>
      <c r="J80" s="585"/>
      <c r="K80" s="464" t="s">
        <v>1502</v>
      </c>
      <c r="L80" s="586"/>
      <c r="M80" s="89"/>
    </row>
    <row r="81" spans="1:13" s="3" customFormat="1" ht="19.5" customHeight="1" x14ac:dyDescent="0.4">
      <c r="A81" s="582">
        <v>46034</v>
      </c>
      <c r="B81" s="583" t="s">
        <v>58</v>
      </c>
      <c r="C81" s="584" t="s">
        <v>60</v>
      </c>
      <c r="D81" s="583" t="s">
        <v>723</v>
      </c>
      <c r="E81" s="583" t="s">
        <v>13</v>
      </c>
      <c r="F81" s="463">
        <v>1</v>
      </c>
      <c r="G81" s="578">
        <v>673000</v>
      </c>
      <c r="H81" s="463">
        <f t="shared" ref="H81:H108" si="4">F81*G81</f>
        <v>673000</v>
      </c>
      <c r="I81" s="464"/>
      <c r="J81" s="585"/>
      <c r="K81" s="464" t="s">
        <v>1502</v>
      </c>
      <c r="L81" s="586"/>
      <c r="M81" s="89"/>
    </row>
    <row r="82" spans="1:13" s="3" customFormat="1" ht="19.5" customHeight="1" x14ac:dyDescent="0.4">
      <c r="A82" s="582">
        <v>46034</v>
      </c>
      <c r="B82" s="583" t="s">
        <v>58</v>
      </c>
      <c r="C82" s="584" t="s">
        <v>60</v>
      </c>
      <c r="D82" s="583" t="s">
        <v>724</v>
      </c>
      <c r="E82" s="583" t="s">
        <v>13</v>
      </c>
      <c r="F82" s="463">
        <v>9</v>
      </c>
      <c r="G82" s="578">
        <v>188000</v>
      </c>
      <c r="H82" s="463">
        <f t="shared" si="4"/>
        <v>1692000</v>
      </c>
      <c r="I82" s="464"/>
      <c r="J82" s="585"/>
      <c r="K82" s="464" t="s">
        <v>1502</v>
      </c>
      <c r="L82" s="586"/>
      <c r="M82" s="89"/>
    </row>
    <row r="83" spans="1:13" s="3" customFormat="1" ht="19.5" customHeight="1" x14ac:dyDescent="0.4">
      <c r="A83" s="582">
        <v>46034</v>
      </c>
      <c r="B83" s="583" t="s">
        <v>725</v>
      </c>
      <c r="C83" s="584" t="s">
        <v>60</v>
      </c>
      <c r="D83" s="583" t="s">
        <v>726</v>
      </c>
      <c r="E83" s="583" t="s">
        <v>11</v>
      </c>
      <c r="F83" s="463">
        <v>6</v>
      </c>
      <c r="G83" s="578">
        <v>188000</v>
      </c>
      <c r="H83" s="463">
        <f t="shared" si="4"/>
        <v>1128000</v>
      </c>
      <c r="I83" s="464"/>
      <c r="J83" s="585"/>
      <c r="K83" s="464" t="s">
        <v>1502</v>
      </c>
      <c r="L83" s="586"/>
      <c r="M83" s="89"/>
    </row>
    <row r="84" spans="1:13" s="28" customFormat="1" ht="19.5" customHeight="1" x14ac:dyDescent="0.4">
      <c r="A84" s="587">
        <v>46052</v>
      </c>
      <c r="B84" s="588" t="s">
        <v>58</v>
      </c>
      <c r="C84" s="589" t="s">
        <v>445</v>
      </c>
      <c r="D84" s="590" t="s">
        <v>497</v>
      </c>
      <c r="E84" s="590"/>
      <c r="F84" s="591">
        <v>12</v>
      </c>
      <c r="G84" s="591">
        <v>1671500</v>
      </c>
      <c r="H84" s="463">
        <f t="shared" si="4"/>
        <v>20058000</v>
      </c>
      <c r="I84" s="464"/>
      <c r="J84" s="592"/>
      <c r="K84" s="464" t="s">
        <v>1502</v>
      </c>
      <c r="L84" s="593"/>
      <c r="M84" s="366"/>
    </row>
    <row r="85" spans="1:13" s="113" customFormat="1" ht="18.75" customHeight="1" x14ac:dyDescent="0.4">
      <c r="A85" s="582">
        <v>46059</v>
      </c>
      <c r="B85" s="583" t="s">
        <v>58</v>
      </c>
      <c r="C85" s="584" t="s">
        <v>60</v>
      </c>
      <c r="D85" s="583" t="s">
        <v>498</v>
      </c>
      <c r="E85" s="583" t="s">
        <v>13</v>
      </c>
      <c r="F85" s="463">
        <v>8</v>
      </c>
      <c r="G85" s="578">
        <v>673000</v>
      </c>
      <c r="H85" s="463">
        <f t="shared" si="4"/>
        <v>5384000</v>
      </c>
      <c r="I85" s="594" t="s">
        <v>870</v>
      </c>
      <c r="J85" s="594"/>
      <c r="K85" s="464" t="s">
        <v>1502</v>
      </c>
      <c r="L85" s="586"/>
    </row>
    <row r="86" spans="1:13" s="113" customFormat="1" ht="18.75" customHeight="1" x14ac:dyDescent="0.4">
      <c r="A86" s="582">
        <v>46066</v>
      </c>
      <c r="B86" s="583" t="s">
        <v>58</v>
      </c>
      <c r="C86" s="584" t="s">
        <v>60</v>
      </c>
      <c r="D86" s="583" t="s">
        <v>282</v>
      </c>
      <c r="E86" s="583" t="s">
        <v>11</v>
      </c>
      <c r="F86" s="463">
        <v>8</v>
      </c>
      <c r="G86" s="595">
        <v>246000</v>
      </c>
      <c r="H86" s="463">
        <f t="shared" si="4"/>
        <v>1968000</v>
      </c>
      <c r="I86" s="594" t="s">
        <v>870</v>
      </c>
      <c r="J86" s="594"/>
      <c r="K86" s="464" t="s">
        <v>1502</v>
      </c>
      <c r="L86" s="586"/>
    </row>
    <row r="87" spans="1:13" s="113" customFormat="1" ht="18.75" customHeight="1" x14ac:dyDescent="0.4">
      <c r="A87" s="582">
        <v>46066</v>
      </c>
      <c r="B87" s="583" t="s">
        <v>58</v>
      </c>
      <c r="C87" s="584" t="s">
        <v>60</v>
      </c>
      <c r="D87" s="583" t="s">
        <v>285</v>
      </c>
      <c r="E87" s="583" t="s">
        <v>11</v>
      </c>
      <c r="F87" s="463">
        <v>8</v>
      </c>
      <c r="G87" s="595">
        <v>188000</v>
      </c>
      <c r="H87" s="463">
        <f t="shared" si="4"/>
        <v>1504000</v>
      </c>
      <c r="I87" s="594" t="s">
        <v>870</v>
      </c>
      <c r="J87" s="594"/>
      <c r="K87" s="464" t="s">
        <v>1502</v>
      </c>
      <c r="L87" s="586"/>
    </row>
    <row r="88" spans="1:13" s="19" customFormat="1" ht="18.75" customHeight="1" x14ac:dyDescent="0.4">
      <c r="A88" s="587">
        <v>46066</v>
      </c>
      <c r="B88" s="588" t="s">
        <v>58</v>
      </c>
      <c r="C88" s="596" t="s">
        <v>445</v>
      </c>
      <c r="D88" s="574" t="s">
        <v>497</v>
      </c>
      <c r="E88" s="583" t="s">
        <v>11</v>
      </c>
      <c r="F88" s="463">
        <v>36</v>
      </c>
      <c r="G88" s="463">
        <v>1671500</v>
      </c>
      <c r="H88" s="463">
        <f t="shared" si="4"/>
        <v>60174000</v>
      </c>
      <c r="I88" s="594" t="s">
        <v>872</v>
      </c>
      <c r="J88" s="597"/>
      <c r="K88" s="464" t="s">
        <v>1502</v>
      </c>
      <c r="L88" s="593"/>
      <c r="M88" s="416"/>
    </row>
    <row r="89" spans="1:13" s="19" customFormat="1" ht="18.75" customHeight="1" x14ac:dyDescent="0.4">
      <c r="A89" s="587">
        <v>46072</v>
      </c>
      <c r="B89" s="583" t="s">
        <v>58</v>
      </c>
      <c r="C89" s="584" t="s">
        <v>60</v>
      </c>
      <c r="D89" s="583" t="s">
        <v>498</v>
      </c>
      <c r="E89" s="583" t="s">
        <v>13</v>
      </c>
      <c r="F89" s="463">
        <v>11</v>
      </c>
      <c r="G89" s="578">
        <v>673000</v>
      </c>
      <c r="H89" s="463">
        <f t="shared" si="4"/>
        <v>7403000</v>
      </c>
      <c r="I89" s="594" t="s">
        <v>1230</v>
      </c>
      <c r="J89" s="597"/>
      <c r="K89" s="464" t="s">
        <v>1502</v>
      </c>
      <c r="L89" s="593"/>
      <c r="M89" s="416"/>
    </row>
    <row r="90" spans="1:13" s="113" customFormat="1" ht="18.75" customHeight="1" x14ac:dyDescent="0.4">
      <c r="A90" s="582">
        <v>46077</v>
      </c>
      <c r="B90" s="583" t="s">
        <v>58</v>
      </c>
      <c r="C90" s="584" t="s">
        <v>60</v>
      </c>
      <c r="D90" s="583" t="s">
        <v>498</v>
      </c>
      <c r="E90" s="583" t="s">
        <v>13</v>
      </c>
      <c r="F90" s="463">
        <v>5</v>
      </c>
      <c r="G90" s="578">
        <v>673000</v>
      </c>
      <c r="H90" s="463">
        <f t="shared" si="4"/>
        <v>3365000</v>
      </c>
      <c r="I90" s="594" t="s">
        <v>1231</v>
      </c>
      <c r="J90" s="594"/>
      <c r="K90" s="464" t="s">
        <v>1502</v>
      </c>
      <c r="L90" s="586"/>
    </row>
    <row r="91" spans="1:13" s="19" customFormat="1" ht="18.75" customHeight="1" x14ac:dyDescent="0.4">
      <c r="A91" s="582">
        <v>46080</v>
      </c>
      <c r="B91" s="588" t="s">
        <v>58</v>
      </c>
      <c r="C91" s="596" t="s">
        <v>445</v>
      </c>
      <c r="D91" s="574" t="s">
        <v>497</v>
      </c>
      <c r="E91" s="583" t="s">
        <v>11</v>
      </c>
      <c r="F91" s="463">
        <v>24</v>
      </c>
      <c r="G91" s="463">
        <v>1671500</v>
      </c>
      <c r="H91" s="463">
        <f t="shared" si="4"/>
        <v>40116000</v>
      </c>
      <c r="I91" s="594" t="s">
        <v>877</v>
      </c>
      <c r="J91" s="597"/>
      <c r="K91" s="464" t="s">
        <v>1502</v>
      </c>
      <c r="L91" s="593"/>
      <c r="M91" s="416"/>
    </row>
    <row r="92" spans="1:13" s="19" customFormat="1" ht="18.75" customHeight="1" x14ac:dyDescent="0.4">
      <c r="A92" s="582">
        <v>46081</v>
      </c>
      <c r="B92" s="583" t="s">
        <v>58</v>
      </c>
      <c r="C92" s="584" t="s">
        <v>60</v>
      </c>
      <c r="D92" s="583" t="s">
        <v>498</v>
      </c>
      <c r="E92" s="583" t="s">
        <v>13</v>
      </c>
      <c r="F92" s="463">
        <v>18</v>
      </c>
      <c r="G92" s="578">
        <v>673000</v>
      </c>
      <c r="H92" s="463">
        <f t="shared" si="4"/>
        <v>12114000</v>
      </c>
      <c r="I92" s="594" t="s">
        <v>1232</v>
      </c>
      <c r="J92" s="597"/>
      <c r="K92" s="464" t="s">
        <v>1502</v>
      </c>
      <c r="L92" s="593"/>
      <c r="M92" s="416"/>
    </row>
    <row r="93" spans="1:13" s="19" customFormat="1" ht="18.75" customHeight="1" x14ac:dyDescent="0.4">
      <c r="A93" s="587">
        <v>46099</v>
      </c>
      <c r="B93" s="583" t="s">
        <v>58</v>
      </c>
      <c r="C93" s="584" t="s">
        <v>60</v>
      </c>
      <c r="D93" s="583" t="s">
        <v>498</v>
      </c>
      <c r="E93" s="583" t="s">
        <v>13</v>
      </c>
      <c r="F93" s="463">
        <v>5</v>
      </c>
      <c r="G93" s="578">
        <v>673000</v>
      </c>
      <c r="H93" s="463">
        <f t="shared" si="4"/>
        <v>3365000</v>
      </c>
      <c r="I93" s="594" t="s">
        <v>1233</v>
      </c>
      <c r="J93" s="597"/>
      <c r="K93" s="464" t="s">
        <v>1502</v>
      </c>
      <c r="L93" s="593"/>
      <c r="M93" s="416"/>
    </row>
    <row r="94" spans="1:13" s="113" customFormat="1" ht="18.75" customHeight="1" x14ac:dyDescent="0.4">
      <c r="A94" s="582">
        <v>46101</v>
      </c>
      <c r="B94" s="583" t="s">
        <v>58</v>
      </c>
      <c r="C94" s="584" t="s">
        <v>60</v>
      </c>
      <c r="D94" s="583" t="s">
        <v>282</v>
      </c>
      <c r="E94" s="583" t="s">
        <v>11</v>
      </c>
      <c r="F94" s="463">
        <v>199</v>
      </c>
      <c r="G94" s="578">
        <v>246000</v>
      </c>
      <c r="H94" s="463">
        <f t="shared" si="4"/>
        <v>48954000</v>
      </c>
      <c r="I94" s="594" t="s">
        <v>870</v>
      </c>
      <c r="J94" s="594"/>
      <c r="K94" s="464" t="s">
        <v>1502</v>
      </c>
      <c r="L94" s="586"/>
    </row>
    <row r="95" spans="1:13" s="113" customFormat="1" ht="18.75" customHeight="1" x14ac:dyDescent="0.4">
      <c r="A95" s="582">
        <v>46101</v>
      </c>
      <c r="B95" s="583" t="s">
        <v>58</v>
      </c>
      <c r="C95" s="584" t="s">
        <v>60</v>
      </c>
      <c r="D95" s="583" t="s">
        <v>285</v>
      </c>
      <c r="E95" s="583" t="s">
        <v>11</v>
      </c>
      <c r="F95" s="463">
        <v>100</v>
      </c>
      <c r="G95" s="578">
        <v>188000</v>
      </c>
      <c r="H95" s="463">
        <f t="shared" si="4"/>
        <v>18800000</v>
      </c>
      <c r="I95" s="594" t="s">
        <v>870</v>
      </c>
      <c r="J95" s="594"/>
      <c r="K95" s="464" t="s">
        <v>1502</v>
      </c>
      <c r="L95" s="586"/>
    </row>
    <row r="96" spans="1:13" s="19" customFormat="1" ht="18.75" customHeight="1" x14ac:dyDescent="0.4">
      <c r="A96" s="587">
        <v>46106</v>
      </c>
      <c r="B96" s="583" t="s">
        <v>58</v>
      </c>
      <c r="C96" s="584" t="s">
        <v>60</v>
      </c>
      <c r="D96" s="583" t="s">
        <v>498</v>
      </c>
      <c r="E96" s="583" t="s">
        <v>13</v>
      </c>
      <c r="F96" s="463">
        <v>15</v>
      </c>
      <c r="G96" s="578">
        <v>673000</v>
      </c>
      <c r="H96" s="463">
        <f t="shared" si="4"/>
        <v>10095000</v>
      </c>
      <c r="I96" s="594" t="s">
        <v>1232</v>
      </c>
      <c r="J96" s="597"/>
      <c r="K96" s="464" t="s">
        <v>1502</v>
      </c>
      <c r="L96" s="593"/>
      <c r="M96" s="416"/>
    </row>
    <row r="97" spans="1:13" s="19" customFormat="1" ht="18.75" customHeight="1" x14ac:dyDescent="0.4">
      <c r="A97" s="587">
        <v>46112</v>
      </c>
      <c r="B97" s="583" t="s">
        <v>58</v>
      </c>
      <c r="C97" s="584" t="s">
        <v>60</v>
      </c>
      <c r="D97" s="583" t="s">
        <v>498</v>
      </c>
      <c r="E97" s="583" t="s">
        <v>13</v>
      </c>
      <c r="F97" s="463">
        <v>11</v>
      </c>
      <c r="G97" s="578">
        <v>673000</v>
      </c>
      <c r="H97" s="463">
        <f t="shared" si="4"/>
        <v>7403000</v>
      </c>
      <c r="I97" s="594" t="s">
        <v>1232</v>
      </c>
      <c r="J97" s="597"/>
      <c r="K97" s="464" t="s">
        <v>1502</v>
      </c>
      <c r="L97" s="593"/>
      <c r="M97" s="416"/>
    </row>
    <row r="98" spans="1:13" s="113" customFormat="1" ht="18.75" customHeight="1" x14ac:dyDescent="0.4">
      <c r="A98" s="582">
        <v>46119</v>
      </c>
      <c r="B98" s="583" t="s">
        <v>58</v>
      </c>
      <c r="C98" s="584" t="s">
        <v>60</v>
      </c>
      <c r="D98" s="583" t="s">
        <v>282</v>
      </c>
      <c r="E98" s="583" t="s">
        <v>11</v>
      </c>
      <c r="F98" s="463">
        <v>149</v>
      </c>
      <c r="G98" s="578">
        <v>246000</v>
      </c>
      <c r="H98" s="463">
        <f t="shared" si="4"/>
        <v>36654000</v>
      </c>
      <c r="I98" s="594" t="s">
        <v>1262</v>
      </c>
      <c r="J98" s="594"/>
      <c r="K98" s="464" t="s">
        <v>1502</v>
      </c>
      <c r="L98" s="586"/>
    </row>
    <row r="99" spans="1:13" s="113" customFormat="1" ht="18.75" customHeight="1" x14ac:dyDescent="0.4">
      <c r="A99" s="582">
        <v>46119</v>
      </c>
      <c r="B99" s="583" t="s">
        <v>58</v>
      </c>
      <c r="C99" s="584" t="s">
        <v>60</v>
      </c>
      <c r="D99" s="583" t="s">
        <v>285</v>
      </c>
      <c r="E99" s="583" t="s">
        <v>11</v>
      </c>
      <c r="F99" s="463">
        <v>150</v>
      </c>
      <c r="G99" s="578">
        <v>188000</v>
      </c>
      <c r="H99" s="463">
        <f t="shared" si="4"/>
        <v>28200000</v>
      </c>
      <c r="I99" s="594" t="s">
        <v>1262</v>
      </c>
      <c r="J99" s="594"/>
      <c r="K99" s="464" t="s">
        <v>1502</v>
      </c>
      <c r="L99" s="586"/>
    </row>
    <row r="100" spans="1:13" s="19" customFormat="1" ht="18.75" customHeight="1" x14ac:dyDescent="0.4">
      <c r="A100" s="587">
        <v>46120</v>
      </c>
      <c r="B100" s="583" t="s">
        <v>58</v>
      </c>
      <c r="C100" s="584" t="s">
        <v>60</v>
      </c>
      <c r="D100" s="583" t="s">
        <v>498</v>
      </c>
      <c r="E100" s="583" t="s">
        <v>13</v>
      </c>
      <c r="F100" s="463">
        <v>13</v>
      </c>
      <c r="G100" s="578">
        <v>673000</v>
      </c>
      <c r="H100" s="463">
        <f t="shared" si="4"/>
        <v>8749000</v>
      </c>
      <c r="I100" s="594" t="s">
        <v>1262</v>
      </c>
      <c r="J100" s="597"/>
      <c r="K100" s="464" t="s">
        <v>1502</v>
      </c>
      <c r="L100" s="593"/>
      <c r="M100" s="416"/>
    </row>
    <row r="101" spans="1:13" s="19" customFormat="1" ht="18.75" customHeight="1" x14ac:dyDescent="0.4">
      <c r="A101" s="587">
        <v>46127</v>
      </c>
      <c r="B101" s="583" t="s">
        <v>58</v>
      </c>
      <c r="C101" s="584" t="s">
        <v>60</v>
      </c>
      <c r="D101" s="583" t="s">
        <v>498</v>
      </c>
      <c r="E101" s="583" t="s">
        <v>13</v>
      </c>
      <c r="F101" s="463">
        <v>3</v>
      </c>
      <c r="G101" s="578">
        <v>673000</v>
      </c>
      <c r="H101" s="463">
        <f t="shared" si="4"/>
        <v>2019000</v>
      </c>
      <c r="I101" s="594" t="s">
        <v>1262</v>
      </c>
      <c r="J101" s="597"/>
      <c r="K101" s="464" t="s">
        <v>1502</v>
      </c>
      <c r="L101" s="593"/>
      <c r="M101" s="416"/>
    </row>
    <row r="102" spans="1:13" s="3" customFormat="1" ht="19.5" customHeight="1" x14ac:dyDescent="0.4">
      <c r="A102" s="598">
        <v>46140</v>
      </c>
      <c r="B102" s="583" t="s">
        <v>58</v>
      </c>
      <c r="C102" s="584" t="s">
        <v>60</v>
      </c>
      <c r="D102" s="583" t="s">
        <v>498</v>
      </c>
      <c r="E102" s="583" t="s">
        <v>13</v>
      </c>
      <c r="F102" s="463">
        <v>27</v>
      </c>
      <c r="G102" s="578">
        <v>673000</v>
      </c>
      <c r="H102" s="463">
        <f t="shared" si="4"/>
        <v>18171000</v>
      </c>
      <c r="I102" s="594" t="s">
        <v>1262</v>
      </c>
      <c r="J102" s="585"/>
      <c r="K102" s="464" t="s">
        <v>1502</v>
      </c>
      <c r="L102" s="586"/>
      <c r="M102" s="89"/>
    </row>
    <row r="103" spans="1:13" s="3" customFormat="1" ht="19.5" customHeight="1" x14ac:dyDescent="0.4">
      <c r="A103" s="582">
        <v>46142</v>
      </c>
      <c r="B103" s="583" t="s">
        <v>58</v>
      </c>
      <c r="C103" s="584" t="s">
        <v>60</v>
      </c>
      <c r="D103" s="602" t="s">
        <v>1266</v>
      </c>
      <c r="E103" s="583" t="s">
        <v>13</v>
      </c>
      <c r="F103" s="603">
        <v>2</v>
      </c>
      <c r="G103" s="604">
        <v>2252000</v>
      </c>
      <c r="H103" s="463">
        <f t="shared" si="4"/>
        <v>4504000</v>
      </c>
      <c r="I103" s="594" t="s">
        <v>1267</v>
      </c>
      <c r="J103" s="585"/>
      <c r="K103" s="464" t="s">
        <v>1502</v>
      </c>
      <c r="L103" s="586"/>
      <c r="M103" s="89"/>
    </row>
    <row r="104" spans="1:13" ht="17.399999999999999" x14ac:dyDescent="0.4">
      <c r="A104" s="598">
        <v>46152</v>
      </c>
      <c r="B104" s="583" t="s">
        <v>58</v>
      </c>
      <c r="C104" s="584" t="s">
        <v>60</v>
      </c>
      <c r="D104" s="583" t="s">
        <v>498</v>
      </c>
      <c r="E104" s="583" t="s">
        <v>13</v>
      </c>
      <c r="F104" s="463">
        <v>27</v>
      </c>
      <c r="G104" s="578">
        <v>673000</v>
      </c>
      <c r="H104" s="463">
        <f t="shared" si="4"/>
        <v>18171000</v>
      </c>
      <c r="I104" s="594" t="s">
        <v>1262</v>
      </c>
      <c r="J104" s="585"/>
      <c r="K104" s="464" t="s">
        <v>1502</v>
      </c>
      <c r="L104" s="586"/>
    </row>
    <row r="105" spans="1:13" ht="17.399999999999999" x14ac:dyDescent="0.4">
      <c r="A105" s="598">
        <v>46158</v>
      </c>
      <c r="B105" s="583" t="s">
        <v>58</v>
      </c>
      <c r="C105" s="584" t="s">
        <v>60</v>
      </c>
      <c r="D105" s="583" t="s">
        <v>498</v>
      </c>
      <c r="E105" s="583" t="s">
        <v>13</v>
      </c>
      <c r="F105" s="463">
        <v>44</v>
      </c>
      <c r="G105" s="578">
        <v>673000</v>
      </c>
      <c r="H105" s="463">
        <f t="shared" si="4"/>
        <v>29612000</v>
      </c>
      <c r="I105" s="594" t="s">
        <v>1262</v>
      </c>
      <c r="J105" s="585"/>
      <c r="K105" s="464" t="s">
        <v>1502</v>
      </c>
      <c r="L105" s="586"/>
    </row>
    <row r="106" spans="1:13" ht="17.399999999999999" x14ac:dyDescent="0.4">
      <c r="A106" s="582">
        <v>46161</v>
      </c>
      <c r="B106" s="583" t="s">
        <v>58</v>
      </c>
      <c r="C106" s="584" t="s">
        <v>60</v>
      </c>
      <c r="D106" s="583" t="s">
        <v>282</v>
      </c>
      <c r="E106" s="583" t="s">
        <v>11</v>
      </c>
      <c r="F106" s="463">
        <v>148</v>
      </c>
      <c r="G106" s="578">
        <v>246000</v>
      </c>
      <c r="H106" s="463">
        <f t="shared" si="4"/>
        <v>36408000</v>
      </c>
      <c r="I106" s="594" t="s">
        <v>1262</v>
      </c>
      <c r="J106" s="594"/>
      <c r="K106" s="464" t="s">
        <v>1502</v>
      </c>
      <c r="L106" s="586"/>
    </row>
    <row r="107" spans="1:13" ht="17.399999999999999" x14ac:dyDescent="0.4">
      <c r="A107" s="582">
        <v>46161</v>
      </c>
      <c r="B107" s="583" t="s">
        <v>58</v>
      </c>
      <c r="C107" s="584" t="s">
        <v>60</v>
      </c>
      <c r="D107" s="583" t="s">
        <v>285</v>
      </c>
      <c r="E107" s="583" t="s">
        <v>11</v>
      </c>
      <c r="F107" s="463">
        <v>150</v>
      </c>
      <c r="G107" s="578">
        <v>188000</v>
      </c>
      <c r="H107" s="463">
        <f t="shared" si="4"/>
        <v>28200000</v>
      </c>
      <c r="I107" s="594" t="s">
        <v>1262</v>
      </c>
      <c r="J107" s="594"/>
      <c r="K107" s="464" t="s">
        <v>1502</v>
      </c>
      <c r="L107" s="586"/>
    </row>
    <row r="108" spans="1:13" ht="17.399999999999999" x14ac:dyDescent="0.4">
      <c r="A108" s="598">
        <v>46166</v>
      </c>
      <c r="B108" s="583" t="s">
        <v>58</v>
      </c>
      <c r="C108" s="584" t="s">
        <v>60</v>
      </c>
      <c r="D108" s="583" t="s">
        <v>498</v>
      </c>
      <c r="E108" s="583" t="s">
        <v>13</v>
      </c>
      <c r="F108" s="463">
        <v>27</v>
      </c>
      <c r="G108" s="578">
        <v>673000</v>
      </c>
      <c r="H108" s="463">
        <f t="shared" si="4"/>
        <v>18171000</v>
      </c>
      <c r="I108" s="594" t="s">
        <v>1262</v>
      </c>
      <c r="J108" s="585"/>
      <c r="K108" s="464" t="s">
        <v>1502</v>
      </c>
      <c r="L108" s="586"/>
    </row>
    <row r="109" spans="1:13" ht="17.399999999999999" x14ac:dyDescent="0.4">
      <c r="A109" s="598">
        <v>46172</v>
      </c>
      <c r="B109" s="583" t="s">
        <v>58</v>
      </c>
      <c r="C109" s="584" t="s">
        <v>720</v>
      </c>
      <c r="D109" s="583" t="s">
        <v>558</v>
      </c>
      <c r="E109" s="583" t="s">
        <v>11</v>
      </c>
      <c r="F109" s="463">
        <v>16</v>
      </c>
      <c r="G109" s="578">
        <v>700000</v>
      </c>
      <c r="H109" s="463">
        <f>F109*G109</f>
        <v>11200000</v>
      </c>
      <c r="I109" s="689" t="s">
        <v>1412</v>
      </c>
      <c r="J109" s="585" t="s">
        <v>1413</v>
      </c>
      <c r="K109" s="464" t="s">
        <v>1502</v>
      </c>
      <c r="L109" s="586"/>
    </row>
    <row r="110" spans="1:13" ht="17.399999999999999" x14ac:dyDescent="0.4">
      <c r="A110" s="598">
        <v>46172</v>
      </c>
      <c r="B110" s="583" t="s">
        <v>58</v>
      </c>
      <c r="C110" s="584" t="s">
        <v>720</v>
      </c>
      <c r="D110" s="583" t="s">
        <v>559</v>
      </c>
      <c r="E110" s="583" t="s">
        <v>11</v>
      </c>
      <c r="F110" s="463">
        <v>16</v>
      </c>
      <c r="G110" s="578">
        <v>700000</v>
      </c>
      <c r="H110" s="463">
        <f>F110*G110</f>
        <v>11200000</v>
      </c>
      <c r="I110" s="689" t="s">
        <v>1412</v>
      </c>
      <c r="J110" s="585" t="s">
        <v>1413</v>
      </c>
      <c r="K110" s="464" t="s">
        <v>1502</v>
      </c>
      <c r="L110" s="586"/>
    </row>
    <row r="111" spans="1:13" ht="17.399999999999999" x14ac:dyDescent="0.4">
      <c r="A111" s="598">
        <v>46172</v>
      </c>
      <c r="B111" s="583" t="s">
        <v>58</v>
      </c>
      <c r="C111" s="584" t="s">
        <v>60</v>
      </c>
      <c r="D111" s="583" t="s">
        <v>498</v>
      </c>
      <c r="E111" s="583" t="s">
        <v>13</v>
      </c>
      <c r="F111" s="463">
        <v>14</v>
      </c>
      <c r="G111" s="578">
        <v>673000</v>
      </c>
      <c r="H111" s="463">
        <f>F111*G111</f>
        <v>9422000</v>
      </c>
      <c r="I111" s="594"/>
      <c r="J111" s="585"/>
      <c r="K111" s="464" t="s">
        <v>1502</v>
      </c>
      <c r="L111" s="586"/>
    </row>
    <row r="112" spans="1:13" ht="19.5" customHeight="1" x14ac:dyDescent="0.4">
      <c r="A112" s="483"/>
      <c r="B112" s="194"/>
      <c r="C112" s="40"/>
      <c r="D112" s="194"/>
      <c r="E112" s="194"/>
      <c r="F112" s="91"/>
      <c r="G112" s="138"/>
      <c r="H112" s="138">
        <f>SUM(H76:H79)</f>
        <v>84864000</v>
      </c>
      <c r="I112" s="138">
        <v>78870000</v>
      </c>
      <c r="J112" s="145">
        <f>H112-I112</f>
        <v>5994000</v>
      </c>
      <c r="K112" s="145"/>
      <c r="L112" s="621"/>
    </row>
    <row r="113" spans="1:12" s="50" customFormat="1" ht="19.5" customHeight="1" x14ac:dyDescent="0.4">
      <c r="A113" s="484">
        <v>46142</v>
      </c>
      <c r="B113" s="59" t="s">
        <v>356</v>
      </c>
      <c r="C113" s="525" t="s">
        <v>345</v>
      </c>
      <c r="D113" s="59" t="s">
        <v>1531</v>
      </c>
      <c r="E113" s="59" t="s">
        <v>13</v>
      </c>
      <c r="F113" s="526">
        <v>20</v>
      </c>
      <c r="G113" s="525">
        <v>536960</v>
      </c>
      <c r="H113" s="525">
        <f>F113*G113</f>
        <v>10739200</v>
      </c>
      <c r="I113" s="409"/>
      <c r="J113" s="59"/>
      <c r="K113" s="67"/>
      <c r="L113" s="67"/>
    </row>
    <row r="114" spans="1:12" ht="19.5" customHeight="1" x14ac:dyDescent="0.4">
      <c r="A114" s="484">
        <v>46170</v>
      </c>
      <c r="B114" s="59" t="s">
        <v>356</v>
      </c>
      <c r="C114" s="525" t="s">
        <v>56</v>
      </c>
      <c r="D114" s="59" t="s">
        <v>1269</v>
      </c>
      <c r="E114" s="59" t="s">
        <v>13</v>
      </c>
      <c r="F114" s="526">
        <v>20</v>
      </c>
      <c r="G114" s="525">
        <v>536960</v>
      </c>
      <c r="H114" s="525">
        <f>F114*G114</f>
        <v>10739200</v>
      </c>
      <c r="I114" s="409" t="s">
        <v>1522</v>
      </c>
      <c r="J114" s="59"/>
      <c r="K114" s="67"/>
      <c r="L114" s="67"/>
    </row>
    <row r="115" spans="1:12" ht="19.5" customHeight="1" x14ac:dyDescent="0.4">
      <c r="A115" s="483"/>
      <c r="B115" s="194"/>
      <c r="C115" s="40"/>
      <c r="D115" s="194"/>
      <c r="E115" s="194"/>
      <c r="F115" s="91"/>
      <c r="G115" s="138"/>
      <c r="H115" s="138">
        <f>SUM(H113)</f>
        <v>10739200</v>
      </c>
      <c r="I115" s="138">
        <f>G112*27</f>
        <v>0</v>
      </c>
      <c r="J115" s="145"/>
      <c r="K115" s="145"/>
      <c r="L115" s="145"/>
    </row>
    <row r="116" spans="1:12" ht="19.5" customHeight="1" x14ac:dyDescent="0.4">
      <c r="A116" s="482">
        <v>46148</v>
      </c>
      <c r="B116" s="103" t="s">
        <v>61</v>
      </c>
      <c r="C116" s="29" t="s">
        <v>63</v>
      </c>
      <c r="D116" s="110" t="s">
        <v>97</v>
      </c>
      <c r="E116" s="110" t="s">
        <v>201</v>
      </c>
      <c r="F116" s="81">
        <v>6</v>
      </c>
      <c r="G116" s="81">
        <v>137000</v>
      </c>
      <c r="H116" s="8">
        <v>822000</v>
      </c>
      <c r="I116" s="81" t="s">
        <v>1275</v>
      </c>
      <c r="J116" s="112"/>
      <c r="K116" s="196"/>
      <c r="L116" s="140"/>
    </row>
    <row r="117" spans="1:12" ht="19.5" customHeight="1" x14ac:dyDescent="0.4">
      <c r="A117" s="482">
        <v>46148</v>
      </c>
      <c r="B117" s="103" t="s">
        <v>61</v>
      </c>
      <c r="C117" s="29" t="s">
        <v>63</v>
      </c>
      <c r="D117" s="110" t="s">
        <v>97</v>
      </c>
      <c r="E117" s="110" t="s">
        <v>201</v>
      </c>
      <c r="F117" s="81">
        <v>14</v>
      </c>
      <c r="G117" s="81">
        <v>137000</v>
      </c>
      <c r="H117" s="8">
        <v>1918000</v>
      </c>
      <c r="I117" s="81" t="s">
        <v>1276</v>
      </c>
      <c r="J117" s="112"/>
      <c r="K117" s="196"/>
      <c r="L117" s="140"/>
    </row>
    <row r="118" spans="1:12" ht="19.5" customHeight="1" x14ac:dyDescent="0.4">
      <c r="A118" s="482">
        <v>46148</v>
      </c>
      <c r="B118" s="103" t="s">
        <v>61</v>
      </c>
      <c r="C118" s="29" t="s">
        <v>63</v>
      </c>
      <c r="D118" s="110" t="s">
        <v>97</v>
      </c>
      <c r="E118" s="110" t="s">
        <v>201</v>
      </c>
      <c r="F118" s="81">
        <v>8</v>
      </c>
      <c r="G118" s="81">
        <v>137000</v>
      </c>
      <c r="H118" s="8">
        <v>1096000</v>
      </c>
      <c r="I118" s="81" t="s">
        <v>1279</v>
      </c>
      <c r="J118" s="112"/>
      <c r="K118" s="196"/>
      <c r="L118" s="140"/>
    </row>
    <row r="119" spans="1:12" ht="19.5" customHeight="1" x14ac:dyDescent="0.4">
      <c r="A119" s="482">
        <v>46148</v>
      </c>
      <c r="B119" s="103" t="s">
        <v>61</v>
      </c>
      <c r="C119" s="29" t="s">
        <v>71</v>
      </c>
      <c r="D119" s="110" t="s">
        <v>72</v>
      </c>
      <c r="E119" s="110" t="s">
        <v>201</v>
      </c>
      <c r="F119" s="81">
        <v>3</v>
      </c>
      <c r="G119" s="81">
        <v>548000</v>
      </c>
      <c r="H119" s="8">
        <v>1644000</v>
      </c>
      <c r="I119" s="81" t="s">
        <v>1084</v>
      </c>
      <c r="J119" s="112"/>
      <c r="K119" s="196"/>
      <c r="L119" s="140"/>
    </row>
    <row r="120" spans="1:12" ht="19.5" customHeight="1" x14ac:dyDescent="0.4">
      <c r="A120" s="482">
        <v>46148</v>
      </c>
      <c r="B120" s="103" t="s">
        <v>61</v>
      </c>
      <c r="C120" s="29" t="s">
        <v>71</v>
      </c>
      <c r="D120" s="110" t="s">
        <v>72</v>
      </c>
      <c r="E120" s="110" t="s">
        <v>201</v>
      </c>
      <c r="F120" s="81">
        <v>3</v>
      </c>
      <c r="G120" s="81">
        <v>548000</v>
      </c>
      <c r="H120" s="8">
        <v>1644000</v>
      </c>
      <c r="I120" s="81" t="s">
        <v>1280</v>
      </c>
      <c r="J120" s="112"/>
      <c r="K120" s="196"/>
      <c r="L120" s="140"/>
    </row>
    <row r="121" spans="1:12" ht="19.5" customHeight="1" x14ac:dyDescent="0.4">
      <c r="A121" s="482">
        <v>46148</v>
      </c>
      <c r="B121" s="103" t="s">
        <v>61</v>
      </c>
      <c r="C121" s="29" t="s">
        <v>63</v>
      </c>
      <c r="D121" s="110" t="s">
        <v>97</v>
      </c>
      <c r="E121" s="110" t="s">
        <v>201</v>
      </c>
      <c r="F121" s="81">
        <v>3</v>
      </c>
      <c r="G121" s="81">
        <v>137000</v>
      </c>
      <c r="H121" s="8">
        <v>411000</v>
      </c>
      <c r="I121" s="81" t="s">
        <v>1277</v>
      </c>
      <c r="J121" s="112"/>
      <c r="K121" s="196"/>
      <c r="L121" s="140"/>
    </row>
    <row r="122" spans="1:12" ht="19.5" customHeight="1" x14ac:dyDescent="0.4">
      <c r="A122" s="482">
        <v>46148</v>
      </c>
      <c r="B122" s="103" t="s">
        <v>61</v>
      </c>
      <c r="C122" s="29" t="s">
        <v>63</v>
      </c>
      <c r="D122" s="110" t="s">
        <v>97</v>
      </c>
      <c r="E122" s="110" t="s">
        <v>201</v>
      </c>
      <c r="F122" s="81">
        <v>3</v>
      </c>
      <c r="G122" s="81">
        <v>137000</v>
      </c>
      <c r="H122" s="8">
        <v>411000</v>
      </c>
      <c r="I122" s="81" t="s">
        <v>1278</v>
      </c>
      <c r="J122" s="112"/>
      <c r="K122" s="196"/>
      <c r="L122" s="140"/>
    </row>
    <row r="123" spans="1:12" ht="19.5" customHeight="1" x14ac:dyDescent="0.4">
      <c r="A123" s="482">
        <v>46148</v>
      </c>
      <c r="B123" s="103" t="s">
        <v>61</v>
      </c>
      <c r="C123" s="29" t="s">
        <v>105</v>
      </c>
      <c r="D123" s="110" t="s">
        <v>117</v>
      </c>
      <c r="E123" s="110" t="s">
        <v>201</v>
      </c>
      <c r="F123" s="81">
        <v>3</v>
      </c>
      <c r="G123" s="81">
        <v>248000</v>
      </c>
      <c r="H123" s="8">
        <v>744000</v>
      </c>
      <c r="I123" s="81" t="s">
        <v>1280</v>
      </c>
      <c r="J123" s="112"/>
      <c r="K123" s="196"/>
      <c r="L123" s="140"/>
    </row>
    <row r="124" spans="1:12" ht="19.5" customHeight="1" x14ac:dyDescent="0.4">
      <c r="A124" s="482">
        <v>46148</v>
      </c>
      <c r="B124" s="103" t="s">
        <v>61</v>
      </c>
      <c r="C124" s="29" t="s">
        <v>63</v>
      </c>
      <c r="D124" s="110" t="s">
        <v>97</v>
      </c>
      <c r="E124" s="110" t="s">
        <v>201</v>
      </c>
      <c r="F124" s="81">
        <v>4</v>
      </c>
      <c r="G124" s="81">
        <v>137000</v>
      </c>
      <c r="H124" s="8">
        <v>548000</v>
      </c>
      <c r="I124" s="81" t="s">
        <v>1281</v>
      </c>
      <c r="J124" s="112"/>
      <c r="K124" s="196"/>
      <c r="L124" s="140"/>
    </row>
    <row r="125" spans="1:12" ht="19.5" customHeight="1" x14ac:dyDescent="0.4">
      <c r="A125" s="482">
        <v>46148</v>
      </c>
      <c r="B125" s="103" t="s">
        <v>61</v>
      </c>
      <c r="C125" s="29" t="s">
        <v>71</v>
      </c>
      <c r="D125" s="110" t="s">
        <v>72</v>
      </c>
      <c r="E125" s="110" t="s">
        <v>201</v>
      </c>
      <c r="F125" s="81">
        <v>2</v>
      </c>
      <c r="G125" s="81">
        <v>548000</v>
      </c>
      <c r="H125" s="8">
        <v>1096000</v>
      </c>
      <c r="I125" s="81" t="s">
        <v>1088</v>
      </c>
      <c r="J125" s="112"/>
      <c r="K125" s="196"/>
      <c r="L125" s="140"/>
    </row>
    <row r="126" spans="1:12" ht="19.5" customHeight="1" x14ac:dyDescent="0.4">
      <c r="A126" s="482">
        <v>46148</v>
      </c>
      <c r="B126" s="103" t="s">
        <v>61</v>
      </c>
      <c r="C126" s="29" t="s">
        <v>71</v>
      </c>
      <c r="D126" s="110" t="s">
        <v>72</v>
      </c>
      <c r="E126" s="110" t="s">
        <v>201</v>
      </c>
      <c r="F126" s="81">
        <v>6</v>
      </c>
      <c r="G126" s="81">
        <v>548000</v>
      </c>
      <c r="H126" s="8">
        <v>3288000</v>
      </c>
      <c r="I126" s="81" t="s">
        <v>1088</v>
      </c>
      <c r="J126" s="112"/>
      <c r="K126" s="196"/>
      <c r="L126" s="140"/>
    </row>
    <row r="127" spans="1:12" ht="19.5" customHeight="1" x14ac:dyDescent="0.4">
      <c r="A127" s="482">
        <v>46148</v>
      </c>
      <c r="B127" s="103" t="s">
        <v>61</v>
      </c>
      <c r="C127" s="29" t="s">
        <v>63</v>
      </c>
      <c r="D127" s="110" t="s">
        <v>97</v>
      </c>
      <c r="E127" s="110" t="s">
        <v>201</v>
      </c>
      <c r="F127" s="81">
        <v>1</v>
      </c>
      <c r="G127" s="81">
        <v>137000</v>
      </c>
      <c r="H127" s="8">
        <v>137000</v>
      </c>
      <c r="I127" s="81" t="s">
        <v>1088</v>
      </c>
      <c r="J127" s="112"/>
      <c r="K127" s="196"/>
      <c r="L127" s="140"/>
    </row>
    <row r="128" spans="1:12" ht="19.5" customHeight="1" x14ac:dyDescent="0.4">
      <c r="A128" s="482">
        <v>46148</v>
      </c>
      <c r="B128" s="103" t="s">
        <v>61</v>
      </c>
      <c r="C128" s="29" t="s">
        <v>63</v>
      </c>
      <c r="D128" s="110" t="s">
        <v>97</v>
      </c>
      <c r="E128" s="110" t="s">
        <v>201</v>
      </c>
      <c r="F128" s="81">
        <v>4</v>
      </c>
      <c r="G128" s="81">
        <v>137000</v>
      </c>
      <c r="H128" s="8">
        <v>548000</v>
      </c>
      <c r="I128" s="81" t="s">
        <v>1274</v>
      </c>
      <c r="J128" s="112"/>
      <c r="K128" s="196"/>
      <c r="L128" s="140"/>
    </row>
    <row r="129" spans="1:12" ht="19.5" customHeight="1" x14ac:dyDescent="0.4">
      <c r="A129" s="482">
        <v>46148</v>
      </c>
      <c r="B129" s="103" t="s">
        <v>61</v>
      </c>
      <c r="C129" s="29" t="s">
        <v>62</v>
      </c>
      <c r="D129" s="110" t="s">
        <v>75</v>
      </c>
      <c r="E129" s="110" t="s">
        <v>201</v>
      </c>
      <c r="F129" s="81">
        <v>3</v>
      </c>
      <c r="G129" s="81">
        <v>442000</v>
      </c>
      <c r="H129" s="8">
        <v>1326000</v>
      </c>
      <c r="I129" s="81" t="s">
        <v>1088</v>
      </c>
      <c r="J129" s="112"/>
      <c r="K129" s="196"/>
      <c r="L129" s="140"/>
    </row>
    <row r="130" spans="1:12" ht="19.5" customHeight="1" x14ac:dyDescent="0.4">
      <c r="A130" s="482">
        <v>46148</v>
      </c>
      <c r="B130" s="103" t="s">
        <v>61</v>
      </c>
      <c r="C130" s="29" t="s">
        <v>81</v>
      </c>
      <c r="D130" s="110" t="s">
        <v>82</v>
      </c>
      <c r="E130" s="110" t="s">
        <v>201</v>
      </c>
      <c r="F130" s="81">
        <v>7</v>
      </c>
      <c r="G130" s="81">
        <v>86300</v>
      </c>
      <c r="H130" s="8">
        <v>604100</v>
      </c>
      <c r="I130" s="81" t="s">
        <v>1088</v>
      </c>
      <c r="J130" s="112"/>
      <c r="K130" s="196"/>
      <c r="L130" s="140"/>
    </row>
    <row r="131" spans="1:12" ht="19.5" customHeight="1" x14ac:dyDescent="0.4">
      <c r="A131" s="482">
        <v>46148</v>
      </c>
      <c r="B131" s="103" t="s">
        <v>61</v>
      </c>
      <c r="C131" s="29" t="s">
        <v>105</v>
      </c>
      <c r="D131" s="110" t="s">
        <v>117</v>
      </c>
      <c r="E131" s="110" t="s">
        <v>201</v>
      </c>
      <c r="F131" s="81">
        <v>8</v>
      </c>
      <c r="G131" s="81">
        <v>248000</v>
      </c>
      <c r="H131" s="8">
        <v>1984000</v>
      </c>
      <c r="I131" s="81" t="s">
        <v>1088</v>
      </c>
      <c r="J131" s="112"/>
      <c r="K131" s="196"/>
      <c r="L131" s="140"/>
    </row>
    <row r="132" spans="1:12" ht="19.5" customHeight="1" x14ac:dyDescent="0.4">
      <c r="A132" s="482">
        <v>46148</v>
      </c>
      <c r="B132" s="103" t="s">
        <v>61</v>
      </c>
      <c r="C132" s="29" t="s">
        <v>71</v>
      </c>
      <c r="D132" s="110" t="s">
        <v>72</v>
      </c>
      <c r="E132" s="110" t="s">
        <v>201</v>
      </c>
      <c r="F132" s="81">
        <v>3</v>
      </c>
      <c r="G132" s="81">
        <v>548000</v>
      </c>
      <c r="H132" s="8">
        <v>1644000</v>
      </c>
      <c r="I132" s="81" t="s">
        <v>1076</v>
      </c>
      <c r="J132" s="112"/>
      <c r="K132" s="196"/>
      <c r="L132" s="140"/>
    </row>
    <row r="133" spans="1:12" ht="19.5" customHeight="1" x14ac:dyDescent="0.4">
      <c r="A133" s="482">
        <v>46148</v>
      </c>
      <c r="B133" s="103" t="s">
        <v>61</v>
      </c>
      <c r="C133" s="29" t="s">
        <v>204</v>
      </c>
      <c r="D133" s="110" t="s">
        <v>205</v>
      </c>
      <c r="E133" s="110" t="s">
        <v>201</v>
      </c>
      <c r="F133" s="81">
        <v>8</v>
      </c>
      <c r="G133" s="81">
        <v>1295000</v>
      </c>
      <c r="H133" s="8">
        <v>10360000</v>
      </c>
      <c r="I133" s="81" t="s">
        <v>1088</v>
      </c>
      <c r="J133" s="112"/>
      <c r="K133" s="196"/>
      <c r="L133" s="140"/>
    </row>
    <row r="134" spans="1:12" ht="19.5" customHeight="1" x14ac:dyDescent="0.4">
      <c r="A134" s="482">
        <v>46148</v>
      </c>
      <c r="B134" s="103" t="s">
        <v>61</v>
      </c>
      <c r="C134" s="29" t="s">
        <v>204</v>
      </c>
      <c r="D134" s="110" t="s">
        <v>205</v>
      </c>
      <c r="E134" s="110" t="s">
        <v>201</v>
      </c>
      <c r="F134" s="81">
        <v>3</v>
      </c>
      <c r="G134" s="81">
        <v>1295000</v>
      </c>
      <c r="H134" s="8">
        <v>3885000</v>
      </c>
      <c r="I134" s="81" t="s">
        <v>1077</v>
      </c>
      <c r="J134" s="112"/>
      <c r="K134" s="196"/>
      <c r="L134" s="140"/>
    </row>
    <row r="135" spans="1:12" ht="19.5" customHeight="1" x14ac:dyDescent="0.4">
      <c r="A135" s="482">
        <v>46148</v>
      </c>
      <c r="B135" s="103" t="s">
        <v>61</v>
      </c>
      <c r="C135" s="29" t="s">
        <v>204</v>
      </c>
      <c r="D135" s="110" t="s">
        <v>205</v>
      </c>
      <c r="E135" s="110" t="s">
        <v>201</v>
      </c>
      <c r="F135" s="81">
        <v>3</v>
      </c>
      <c r="G135" s="81">
        <v>1295000</v>
      </c>
      <c r="H135" s="8">
        <v>3885000</v>
      </c>
      <c r="I135" s="81" t="s">
        <v>1084</v>
      </c>
      <c r="J135" s="112"/>
      <c r="K135" s="196"/>
      <c r="L135" s="140"/>
    </row>
    <row r="136" spans="1:12" ht="19.5" customHeight="1" x14ac:dyDescent="0.4">
      <c r="A136" s="482">
        <v>46148</v>
      </c>
      <c r="B136" s="103" t="s">
        <v>61</v>
      </c>
      <c r="C136" s="29" t="s">
        <v>204</v>
      </c>
      <c r="D136" s="110" t="s">
        <v>205</v>
      </c>
      <c r="E136" s="110" t="s">
        <v>201</v>
      </c>
      <c r="F136" s="81">
        <v>1</v>
      </c>
      <c r="G136" s="81">
        <v>1295000</v>
      </c>
      <c r="H136" s="8">
        <v>1295000</v>
      </c>
      <c r="I136" s="81" t="s">
        <v>1415</v>
      </c>
      <c r="J136" s="112"/>
      <c r="K136" s="196"/>
      <c r="L136" s="140"/>
    </row>
    <row r="137" spans="1:12" ht="19.5" customHeight="1" x14ac:dyDescent="0.4">
      <c r="A137" s="482">
        <v>46148</v>
      </c>
      <c r="B137" s="103" t="s">
        <v>61</v>
      </c>
      <c r="C137" s="29" t="s">
        <v>358</v>
      </c>
      <c r="D137" s="110" t="s">
        <v>359</v>
      </c>
      <c r="E137" s="110" t="s">
        <v>201</v>
      </c>
      <c r="F137" s="81">
        <v>9</v>
      </c>
      <c r="G137" s="81">
        <v>318000</v>
      </c>
      <c r="H137" s="8">
        <v>2862000</v>
      </c>
      <c r="I137" s="81" t="s">
        <v>1082</v>
      </c>
      <c r="J137" s="112"/>
      <c r="K137" s="196"/>
      <c r="L137" s="140"/>
    </row>
    <row r="138" spans="1:12" ht="19.5" customHeight="1" x14ac:dyDescent="0.4">
      <c r="A138" s="482">
        <v>46150</v>
      </c>
      <c r="B138" s="103" t="s">
        <v>61</v>
      </c>
      <c r="C138" s="29" t="s">
        <v>63</v>
      </c>
      <c r="D138" s="110" t="s">
        <v>97</v>
      </c>
      <c r="E138" s="110" t="s">
        <v>201</v>
      </c>
      <c r="F138" s="81">
        <v>7</v>
      </c>
      <c r="G138" s="81">
        <v>137000</v>
      </c>
      <c r="H138" s="8">
        <v>959000</v>
      </c>
      <c r="I138" s="81" t="s">
        <v>1414</v>
      </c>
      <c r="J138" s="112"/>
      <c r="K138" s="196"/>
      <c r="L138" s="140"/>
    </row>
    <row r="139" spans="1:12" ht="19.5" customHeight="1" x14ac:dyDescent="0.4">
      <c r="A139" s="482">
        <v>46153</v>
      </c>
      <c r="B139" s="103" t="s">
        <v>61</v>
      </c>
      <c r="C139" s="29" t="s">
        <v>67</v>
      </c>
      <c r="D139" s="110" t="s">
        <v>197</v>
      </c>
      <c r="E139" s="110" t="s">
        <v>201</v>
      </c>
      <c r="F139" s="81">
        <v>11</v>
      </c>
      <c r="G139" s="81">
        <v>364800</v>
      </c>
      <c r="H139" s="8">
        <v>4012800</v>
      </c>
      <c r="I139" s="81" t="s">
        <v>1089</v>
      </c>
      <c r="J139" s="112"/>
      <c r="K139" s="196"/>
      <c r="L139" s="140"/>
    </row>
    <row r="140" spans="1:12" ht="19.5" customHeight="1" x14ac:dyDescent="0.4">
      <c r="A140" s="482">
        <v>46153</v>
      </c>
      <c r="B140" s="103" t="s">
        <v>61</v>
      </c>
      <c r="C140" s="29" t="s">
        <v>73</v>
      </c>
      <c r="D140" s="110" t="s">
        <v>288</v>
      </c>
      <c r="E140" s="110" t="s">
        <v>201</v>
      </c>
      <c r="F140" s="81">
        <v>3</v>
      </c>
      <c r="G140" s="81">
        <v>390000</v>
      </c>
      <c r="H140" s="8">
        <v>1170000</v>
      </c>
      <c r="I140" s="81" t="s">
        <v>1089</v>
      </c>
      <c r="J140" s="112"/>
      <c r="K140" s="196"/>
      <c r="L140" s="140"/>
    </row>
    <row r="141" spans="1:12" ht="19.5" customHeight="1" x14ac:dyDescent="0.4">
      <c r="A141" s="482">
        <v>46153</v>
      </c>
      <c r="B141" s="103" t="s">
        <v>61</v>
      </c>
      <c r="C141" s="29" t="s">
        <v>428</v>
      </c>
      <c r="D141" s="110" t="s">
        <v>289</v>
      </c>
      <c r="E141" s="110" t="s">
        <v>201</v>
      </c>
      <c r="F141" s="81">
        <v>4</v>
      </c>
      <c r="G141" s="81">
        <v>390000</v>
      </c>
      <c r="H141" s="8">
        <v>1560000</v>
      </c>
      <c r="I141" s="81" t="s">
        <v>1089</v>
      </c>
      <c r="J141" s="112"/>
      <c r="K141" s="196"/>
      <c r="L141" s="140"/>
    </row>
    <row r="142" spans="1:12" ht="19.5" customHeight="1" x14ac:dyDescent="0.4">
      <c r="A142" s="482">
        <v>46153</v>
      </c>
      <c r="B142" s="103" t="s">
        <v>61</v>
      </c>
      <c r="C142" s="29" t="s">
        <v>78</v>
      </c>
      <c r="D142" s="110" t="s">
        <v>79</v>
      </c>
      <c r="E142" s="110" t="s">
        <v>201</v>
      </c>
      <c r="F142" s="81">
        <v>7</v>
      </c>
      <c r="G142" s="81">
        <v>90500</v>
      </c>
      <c r="H142" s="8">
        <v>633500</v>
      </c>
      <c r="I142" s="81" t="s">
        <v>1414</v>
      </c>
      <c r="J142" s="112"/>
      <c r="K142" s="196"/>
      <c r="L142" s="140"/>
    </row>
    <row r="143" spans="1:12" ht="19.5" customHeight="1" x14ac:dyDescent="0.4">
      <c r="A143" s="482">
        <v>46153</v>
      </c>
      <c r="B143" s="103" t="s">
        <v>61</v>
      </c>
      <c r="C143" s="29" t="s">
        <v>73</v>
      </c>
      <c r="D143" s="110" t="s">
        <v>74</v>
      </c>
      <c r="E143" s="110" t="s">
        <v>201</v>
      </c>
      <c r="F143" s="81">
        <v>6</v>
      </c>
      <c r="G143" s="81">
        <v>442000</v>
      </c>
      <c r="H143" s="8">
        <v>2652000</v>
      </c>
      <c r="I143" s="81" t="s">
        <v>1275</v>
      </c>
      <c r="J143" s="112"/>
      <c r="K143" s="196"/>
      <c r="L143" s="140"/>
    </row>
    <row r="144" spans="1:12" ht="19.5" customHeight="1" x14ac:dyDescent="0.4">
      <c r="A144" s="482">
        <v>46153</v>
      </c>
      <c r="B144" s="103" t="s">
        <v>61</v>
      </c>
      <c r="C144" s="29" t="s">
        <v>73</v>
      </c>
      <c r="D144" s="110" t="s">
        <v>74</v>
      </c>
      <c r="E144" s="110" t="s">
        <v>201</v>
      </c>
      <c r="F144" s="81">
        <v>13</v>
      </c>
      <c r="G144" s="81">
        <v>442000</v>
      </c>
      <c r="H144" s="8">
        <v>5746000</v>
      </c>
      <c r="I144" s="81" t="s">
        <v>1276</v>
      </c>
      <c r="J144" s="112"/>
      <c r="K144" s="196"/>
      <c r="L144" s="140"/>
    </row>
    <row r="145" spans="1:12" ht="19.5" customHeight="1" x14ac:dyDescent="0.4">
      <c r="A145" s="482">
        <v>46153</v>
      </c>
      <c r="B145" s="103" t="s">
        <v>61</v>
      </c>
      <c r="C145" s="29" t="s">
        <v>202</v>
      </c>
      <c r="D145" s="110" t="s">
        <v>203</v>
      </c>
      <c r="E145" s="110" t="s">
        <v>201</v>
      </c>
      <c r="F145" s="81">
        <v>2</v>
      </c>
      <c r="G145" s="81">
        <v>384000</v>
      </c>
      <c r="H145" s="8">
        <v>768000</v>
      </c>
      <c r="I145" s="81" t="s">
        <v>1276</v>
      </c>
      <c r="J145" s="112"/>
      <c r="K145" s="196"/>
      <c r="L145" s="140"/>
    </row>
    <row r="146" spans="1:12" ht="19.5" customHeight="1" x14ac:dyDescent="0.4">
      <c r="A146" s="482">
        <v>46153</v>
      </c>
      <c r="B146" s="103" t="s">
        <v>61</v>
      </c>
      <c r="C146" s="29" t="s">
        <v>73</v>
      </c>
      <c r="D146" s="110" t="s">
        <v>74</v>
      </c>
      <c r="E146" s="110" t="s">
        <v>201</v>
      </c>
      <c r="F146" s="81">
        <v>4</v>
      </c>
      <c r="G146" s="81">
        <v>442000</v>
      </c>
      <c r="H146" s="8">
        <v>1768000</v>
      </c>
      <c r="I146" s="81" t="s">
        <v>1274</v>
      </c>
      <c r="J146" s="112"/>
      <c r="K146" s="196"/>
      <c r="L146" s="140"/>
    </row>
    <row r="147" spans="1:12" ht="19.5" customHeight="1" x14ac:dyDescent="0.4">
      <c r="A147" s="482">
        <v>46153</v>
      </c>
      <c r="B147" s="103" t="s">
        <v>61</v>
      </c>
      <c r="C147" s="29" t="s">
        <v>62</v>
      </c>
      <c r="D147" s="110" t="s">
        <v>75</v>
      </c>
      <c r="E147" s="110" t="s">
        <v>201</v>
      </c>
      <c r="F147" s="81">
        <v>1</v>
      </c>
      <c r="G147" s="81">
        <v>442000</v>
      </c>
      <c r="H147" s="8">
        <v>442000</v>
      </c>
      <c r="I147" s="81" t="s">
        <v>1088</v>
      </c>
      <c r="J147" s="112"/>
      <c r="K147" s="196"/>
      <c r="L147" s="140"/>
    </row>
    <row r="148" spans="1:12" ht="19.5" customHeight="1" x14ac:dyDescent="0.4">
      <c r="A148" s="482">
        <v>46153</v>
      </c>
      <c r="B148" s="103" t="s">
        <v>61</v>
      </c>
      <c r="C148" s="29" t="s">
        <v>66</v>
      </c>
      <c r="D148" s="110" t="s">
        <v>195</v>
      </c>
      <c r="E148" s="110" t="s">
        <v>201</v>
      </c>
      <c r="F148" s="81">
        <v>3</v>
      </c>
      <c r="G148" s="81">
        <v>1917500</v>
      </c>
      <c r="H148" s="8">
        <v>5752500</v>
      </c>
      <c r="I148" s="81" t="s">
        <v>1088</v>
      </c>
      <c r="J148" s="112"/>
      <c r="K148" s="196"/>
      <c r="L148" s="140"/>
    </row>
    <row r="149" spans="1:12" ht="19.5" customHeight="1" x14ac:dyDescent="0.4">
      <c r="A149" s="482">
        <v>46153</v>
      </c>
      <c r="B149" s="103" t="s">
        <v>61</v>
      </c>
      <c r="C149" s="29" t="s">
        <v>66</v>
      </c>
      <c r="D149" s="110" t="s">
        <v>195</v>
      </c>
      <c r="E149" s="110" t="s">
        <v>201</v>
      </c>
      <c r="F149" s="81">
        <v>4</v>
      </c>
      <c r="G149" s="81">
        <v>1917500</v>
      </c>
      <c r="H149" s="8">
        <v>7670000</v>
      </c>
      <c r="I149" s="81" t="s">
        <v>1274</v>
      </c>
      <c r="J149" s="112"/>
      <c r="K149" s="196"/>
      <c r="L149" s="140"/>
    </row>
    <row r="150" spans="1:12" ht="19.5" customHeight="1" x14ac:dyDescent="0.4">
      <c r="A150" s="482">
        <v>46153</v>
      </c>
      <c r="B150" s="103" t="s">
        <v>61</v>
      </c>
      <c r="C150" s="29" t="s">
        <v>66</v>
      </c>
      <c r="D150" s="110" t="s">
        <v>195</v>
      </c>
      <c r="E150" s="110" t="s">
        <v>201</v>
      </c>
      <c r="F150" s="81">
        <v>6</v>
      </c>
      <c r="G150" s="81">
        <v>1917500</v>
      </c>
      <c r="H150" s="8">
        <v>11505000</v>
      </c>
      <c r="I150" s="81" t="s">
        <v>1275</v>
      </c>
      <c r="J150" s="112"/>
      <c r="K150" s="196"/>
      <c r="L150" s="140"/>
    </row>
    <row r="151" spans="1:12" ht="19.5" customHeight="1" x14ac:dyDescent="0.4">
      <c r="A151" s="482">
        <v>46153</v>
      </c>
      <c r="B151" s="103" t="s">
        <v>61</v>
      </c>
      <c r="C151" s="29" t="s">
        <v>64</v>
      </c>
      <c r="D151" s="110" t="s">
        <v>65</v>
      </c>
      <c r="E151" s="110" t="s">
        <v>201</v>
      </c>
      <c r="F151" s="81">
        <v>14</v>
      </c>
      <c r="G151" s="81">
        <v>1568700</v>
      </c>
      <c r="H151" s="8">
        <v>21961800</v>
      </c>
      <c r="I151" s="81" t="s">
        <v>1276</v>
      </c>
      <c r="J151" s="112"/>
      <c r="K151" s="196"/>
      <c r="L151" s="140"/>
    </row>
    <row r="152" spans="1:12" ht="19.5" customHeight="1" x14ac:dyDescent="0.4">
      <c r="A152" s="482">
        <v>46154</v>
      </c>
      <c r="B152" s="103" t="s">
        <v>61</v>
      </c>
      <c r="C152" s="29" t="s">
        <v>1294</v>
      </c>
      <c r="D152" s="110" t="s">
        <v>1295</v>
      </c>
      <c r="E152" s="110" t="s">
        <v>201</v>
      </c>
      <c r="F152" s="81">
        <v>1</v>
      </c>
      <c r="G152" s="81">
        <v>930000</v>
      </c>
      <c r="H152" s="8">
        <v>930000</v>
      </c>
      <c r="I152" s="81" t="s">
        <v>70</v>
      </c>
      <c r="J152" s="112"/>
      <c r="K152" s="196"/>
      <c r="L152" s="140"/>
    </row>
    <row r="153" spans="1:12" ht="19.5" customHeight="1" x14ac:dyDescent="0.4">
      <c r="A153" s="482">
        <v>46154</v>
      </c>
      <c r="B153" s="103" t="s">
        <v>61</v>
      </c>
      <c r="C153" s="29" t="s">
        <v>1294</v>
      </c>
      <c r="D153" s="110" t="s">
        <v>1295</v>
      </c>
      <c r="E153" s="110" t="s">
        <v>201</v>
      </c>
      <c r="F153" s="81">
        <v>2</v>
      </c>
      <c r="G153" s="81">
        <v>930000</v>
      </c>
      <c r="H153" s="8">
        <v>1860000</v>
      </c>
      <c r="I153" s="81" t="s">
        <v>70</v>
      </c>
      <c r="J153" s="112"/>
      <c r="K153" s="196"/>
      <c r="L153" s="140"/>
    </row>
    <row r="154" spans="1:12" ht="19.5" customHeight="1" x14ac:dyDescent="0.4">
      <c r="A154" s="482">
        <v>46154</v>
      </c>
      <c r="B154" s="103" t="s">
        <v>61</v>
      </c>
      <c r="C154" s="29" t="s">
        <v>1294</v>
      </c>
      <c r="D154" s="110" t="s">
        <v>1295</v>
      </c>
      <c r="E154" s="110" t="s">
        <v>201</v>
      </c>
      <c r="F154" s="81">
        <v>1</v>
      </c>
      <c r="G154" s="81">
        <v>930000</v>
      </c>
      <c r="H154" s="8">
        <v>930000</v>
      </c>
      <c r="I154" s="81" t="s">
        <v>70</v>
      </c>
      <c r="J154" s="112"/>
      <c r="K154" s="196"/>
      <c r="L154" s="140"/>
    </row>
    <row r="155" spans="1:12" ht="19.5" customHeight="1" x14ac:dyDescent="0.4">
      <c r="A155" s="482">
        <v>46154</v>
      </c>
      <c r="B155" s="103" t="s">
        <v>61</v>
      </c>
      <c r="C155" s="29" t="s">
        <v>306</v>
      </c>
      <c r="D155" s="110" t="s">
        <v>307</v>
      </c>
      <c r="E155" s="110" t="s">
        <v>201</v>
      </c>
      <c r="F155" s="81">
        <v>2</v>
      </c>
      <c r="G155" s="81">
        <v>520000</v>
      </c>
      <c r="H155" s="8">
        <v>1040000</v>
      </c>
      <c r="I155" s="81" t="s">
        <v>70</v>
      </c>
      <c r="J155" s="112"/>
      <c r="K155" s="196"/>
      <c r="L155" s="140"/>
    </row>
    <row r="156" spans="1:12" ht="19.5" customHeight="1" x14ac:dyDescent="0.4">
      <c r="A156" s="482">
        <v>46154</v>
      </c>
      <c r="B156" s="103" t="s">
        <v>61</v>
      </c>
      <c r="C156" s="29" t="s">
        <v>306</v>
      </c>
      <c r="D156" s="110" t="s">
        <v>307</v>
      </c>
      <c r="E156" s="110" t="s">
        <v>201</v>
      </c>
      <c r="F156" s="81">
        <v>8</v>
      </c>
      <c r="G156" s="81">
        <v>520000</v>
      </c>
      <c r="H156" s="8">
        <v>4160000</v>
      </c>
      <c r="I156" s="81" t="s">
        <v>70</v>
      </c>
      <c r="J156" s="112"/>
      <c r="K156" s="196"/>
      <c r="L156" s="140"/>
    </row>
    <row r="157" spans="1:12" ht="19.5" customHeight="1" x14ac:dyDescent="0.4">
      <c r="A157" s="482">
        <v>46154</v>
      </c>
      <c r="B157" s="103" t="s">
        <v>61</v>
      </c>
      <c r="C157" s="29" t="s">
        <v>92</v>
      </c>
      <c r="D157" s="110" t="s">
        <v>200</v>
      </c>
      <c r="E157" s="110" t="s">
        <v>201</v>
      </c>
      <c r="F157" s="81">
        <v>6</v>
      </c>
      <c r="G157" s="81">
        <v>348500</v>
      </c>
      <c r="H157" s="8">
        <v>2091000</v>
      </c>
      <c r="I157" s="81" t="s">
        <v>70</v>
      </c>
      <c r="J157" s="112"/>
      <c r="K157" s="196"/>
      <c r="L157" s="140"/>
    </row>
    <row r="158" spans="1:12" ht="19.5" customHeight="1" x14ac:dyDescent="0.4">
      <c r="A158" s="482">
        <v>46154</v>
      </c>
      <c r="B158" s="103" t="s">
        <v>61</v>
      </c>
      <c r="C158" s="29" t="s">
        <v>68</v>
      </c>
      <c r="D158" s="110" t="s">
        <v>69</v>
      </c>
      <c r="E158" s="110" t="s">
        <v>201</v>
      </c>
      <c r="F158" s="81">
        <v>6</v>
      </c>
      <c r="G158" s="81">
        <v>359000</v>
      </c>
      <c r="H158" s="8">
        <v>2154000</v>
      </c>
      <c r="I158" s="81" t="s">
        <v>70</v>
      </c>
      <c r="J158" s="112"/>
      <c r="K158" s="196"/>
      <c r="L158" s="140"/>
    </row>
    <row r="159" spans="1:12" ht="19.5" customHeight="1" x14ac:dyDescent="0.4">
      <c r="A159" s="482">
        <v>46154</v>
      </c>
      <c r="B159" s="103" t="s">
        <v>61</v>
      </c>
      <c r="C159" s="29" t="s">
        <v>115</v>
      </c>
      <c r="D159" s="110" t="s">
        <v>116</v>
      </c>
      <c r="E159" s="110" t="s">
        <v>201</v>
      </c>
      <c r="F159" s="81">
        <v>1</v>
      </c>
      <c r="G159" s="81">
        <v>187000</v>
      </c>
      <c r="H159" s="8">
        <v>187000</v>
      </c>
      <c r="I159" s="81" t="s">
        <v>70</v>
      </c>
      <c r="J159" s="112"/>
      <c r="K159" s="196"/>
      <c r="L159" s="140"/>
    </row>
    <row r="160" spans="1:12" ht="19.5" customHeight="1" x14ac:dyDescent="0.4">
      <c r="A160" s="482">
        <v>46154</v>
      </c>
      <c r="B160" s="103" t="s">
        <v>61</v>
      </c>
      <c r="C160" s="29" t="s">
        <v>115</v>
      </c>
      <c r="D160" s="110" t="s">
        <v>116</v>
      </c>
      <c r="E160" s="110" t="s">
        <v>201</v>
      </c>
      <c r="F160" s="81">
        <v>5</v>
      </c>
      <c r="G160" s="81">
        <v>187000</v>
      </c>
      <c r="H160" s="8">
        <v>935000</v>
      </c>
      <c r="I160" s="81" t="s">
        <v>70</v>
      </c>
      <c r="J160" s="112"/>
      <c r="K160" s="196"/>
      <c r="L160" s="140"/>
    </row>
    <row r="161" spans="1:12" ht="19.5" customHeight="1" x14ac:dyDescent="0.4">
      <c r="A161" s="482">
        <v>46154</v>
      </c>
      <c r="B161" s="103" t="s">
        <v>61</v>
      </c>
      <c r="C161" s="29" t="s">
        <v>192</v>
      </c>
      <c r="D161" s="110" t="s">
        <v>193</v>
      </c>
      <c r="E161" s="110" t="s">
        <v>201</v>
      </c>
      <c r="F161" s="81">
        <v>1</v>
      </c>
      <c r="G161" s="81">
        <v>218000</v>
      </c>
      <c r="H161" s="8">
        <v>218000</v>
      </c>
      <c r="I161" s="81" t="s">
        <v>70</v>
      </c>
      <c r="J161" s="112"/>
      <c r="K161" s="196"/>
      <c r="L161" s="140"/>
    </row>
    <row r="162" spans="1:12" ht="19.5" customHeight="1" x14ac:dyDescent="0.4">
      <c r="A162" s="482">
        <v>46154</v>
      </c>
      <c r="B162" s="103" t="s">
        <v>61</v>
      </c>
      <c r="C162" s="29" t="s">
        <v>192</v>
      </c>
      <c r="D162" s="110" t="s">
        <v>193</v>
      </c>
      <c r="E162" s="110" t="s">
        <v>201</v>
      </c>
      <c r="F162" s="81">
        <v>2</v>
      </c>
      <c r="G162" s="81">
        <v>218000</v>
      </c>
      <c r="H162" s="8">
        <v>436000</v>
      </c>
      <c r="I162" s="81" t="s">
        <v>70</v>
      </c>
      <c r="J162" s="112"/>
      <c r="K162" s="196"/>
      <c r="L162" s="140"/>
    </row>
    <row r="163" spans="1:12" ht="19.5" customHeight="1" x14ac:dyDescent="0.4">
      <c r="A163" s="482">
        <v>46154</v>
      </c>
      <c r="B163" s="103" t="s">
        <v>61</v>
      </c>
      <c r="C163" s="29" t="s">
        <v>192</v>
      </c>
      <c r="D163" s="110" t="s">
        <v>193</v>
      </c>
      <c r="E163" s="110" t="s">
        <v>201</v>
      </c>
      <c r="F163" s="81">
        <v>2</v>
      </c>
      <c r="G163" s="81">
        <v>218000</v>
      </c>
      <c r="H163" s="8">
        <v>436000</v>
      </c>
      <c r="I163" s="81" t="s">
        <v>70</v>
      </c>
      <c r="J163" s="112"/>
      <c r="K163" s="196"/>
      <c r="L163" s="140"/>
    </row>
    <row r="164" spans="1:12" ht="19.5" customHeight="1" x14ac:dyDescent="0.4">
      <c r="A164" s="482">
        <v>46155</v>
      </c>
      <c r="B164" s="103" t="s">
        <v>61</v>
      </c>
      <c r="C164" s="29" t="s">
        <v>67</v>
      </c>
      <c r="D164" s="110" t="s">
        <v>80</v>
      </c>
      <c r="E164" s="110" t="s">
        <v>201</v>
      </c>
      <c r="F164" s="81">
        <v>5</v>
      </c>
      <c r="G164" s="81">
        <v>384000</v>
      </c>
      <c r="H164" s="8">
        <v>1920000</v>
      </c>
      <c r="I164" s="81" t="s">
        <v>1275</v>
      </c>
      <c r="J164" s="112"/>
      <c r="K164" s="196"/>
      <c r="L164" s="140"/>
    </row>
    <row r="165" spans="1:12" ht="19.5" customHeight="1" x14ac:dyDescent="0.4">
      <c r="A165" s="482">
        <v>46155</v>
      </c>
      <c r="B165" s="103" t="s">
        <v>61</v>
      </c>
      <c r="C165" s="29" t="s">
        <v>67</v>
      </c>
      <c r="D165" s="110" t="s">
        <v>80</v>
      </c>
      <c r="E165" s="110" t="s">
        <v>201</v>
      </c>
      <c r="F165" s="81">
        <v>3</v>
      </c>
      <c r="G165" s="81">
        <v>384000</v>
      </c>
      <c r="H165" s="8">
        <v>1152000</v>
      </c>
      <c r="I165" s="81" t="s">
        <v>1280</v>
      </c>
      <c r="J165" s="112"/>
      <c r="K165" s="196"/>
      <c r="L165" s="140"/>
    </row>
    <row r="166" spans="1:12" ht="19.5" customHeight="1" x14ac:dyDescent="0.4">
      <c r="A166" s="482">
        <v>46155</v>
      </c>
      <c r="B166" s="103" t="s">
        <v>61</v>
      </c>
      <c r="C166" s="29" t="s">
        <v>67</v>
      </c>
      <c r="D166" s="110" t="s">
        <v>80</v>
      </c>
      <c r="E166" s="110" t="s">
        <v>201</v>
      </c>
      <c r="F166" s="81">
        <v>3</v>
      </c>
      <c r="G166" s="81">
        <v>384000</v>
      </c>
      <c r="H166" s="8">
        <v>1152000</v>
      </c>
      <c r="I166" s="81" t="s">
        <v>1277</v>
      </c>
      <c r="J166" s="112"/>
      <c r="K166" s="196"/>
      <c r="L166" s="140"/>
    </row>
    <row r="167" spans="1:12" ht="19.5" customHeight="1" x14ac:dyDescent="0.4">
      <c r="A167" s="482">
        <v>46155</v>
      </c>
      <c r="B167" s="103" t="s">
        <v>61</v>
      </c>
      <c r="C167" s="29" t="s">
        <v>73</v>
      </c>
      <c r="D167" s="110" t="s">
        <v>74</v>
      </c>
      <c r="E167" s="110" t="s">
        <v>201</v>
      </c>
      <c r="F167" s="81">
        <v>3</v>
      </c>
      <c r="G167" s="81">
        <v>442000</v>
      </c>
      <c r="H167" s="8">
        <v>1326000</v>
      </c>
      <c r="I167" s="81" t="s">
        <v>1277</v>
      </c>
      <c r="J167" s="112"/>
      <c r="K167" s="196"/>
      <c r="L167" s="140"/>
    </row>
    <row r="168" spans="1:12" ht="19.5" customHeight="1" x14ac:dyDescent="0.4">
      <c r="A168" s="482">
        <v>46155</v>
      </c>
      <c r="B168" s="103" t="s">
        <v>61</v>
      </c>
      <c r="C168" s="29" t="s">
        <v>67</v>
      </c>
      <c r="D168" s="110" t="s">
        <v>80</v>
      </c>
      <c r="E168" s="110" t="s">
        <v>201</v>
      </c>
      <c r="F168" s="81">
        <v>4</v>
      </c>
      <c r="G168" s="81">
        <v>384000</v>
      </c>
      <c r="H168" s="8">
        <v>1536000</v>
      </c>
      <c r="I168" s="81" t="s">
        <v>1274</v>
      </c>
      <c r="J168" s="112"/>
      <c r="K168" s="196"/>
      <c r="L168" s="140"/>
    </row>
    <row r="169" spans="1:12" ht="19.5" customHeight="1" x14ac:dyDescent="0.4">
      <c r="A169" s="482">
        <v>46155</v>
      </c>
      <c r="B169" s="103" t="s">
        <v>61</v>
      </c>
      <c r="C169" s="29" t="s">
        <v>62</v>
      </c>
      <c r="D169" s="110" t="s">
        <v>75</v>
      </c>
      <c r="E169" s="110" t="s">
        <v>201</v>
      </c>
      <c r="F169" s="81">
        <v>4</v>
      </c>
      <c r="G169" s="81">
        <v>442000</v>
      </c>
      <c r="H169" s="8">
        <v>1768000</v>
      </c>
      <c r="I169" s="81" t="s">
        <v>1088</v>
      </c>
      <c r="J169" s="112"/>
      <c r="K169" s="196"/>
      <c r="L169" s="140"/>
    </row>
    <row r="170" spans="1:12" ht="19.5" customHeight="1" x14ac:dyDescent="0.4">
      <c r="A170" s="482">
        <v>46155</v>
      </c>
      <c r="B170" s="103" t="s">
        <v>61</v>
      </c>
      <c r="C170" s="29" t="s">
        <v>62</v>
      </c>
      <c r="D170" s="110" t="s">
        <v>75</v>
      </c>
      <c r="E170" s="110" t="s">
        <v>201</v>
      </c>
      <c r="F170" s="81">
        <v>4</v>
      </c>
      <c r="G170" s="81">
        <v>442000</v>
      </c>
      <c r="H170" s="8">
        <v>1768000</v>
      </c>
      <c r="I170" s="81" t="s">
        <v>1274</v>
      </c>
      <c r="J170" s="112"/>
      <c r="K170" s="196"/>
      <c r="L170" s="140"/>
    </row>
    <row r="171" spans="1:12" ht="19.5" customHeight="1" x14ac:dyDescent="0.4">
      <c r="A171" s="482">
        <v>46155</v>
      </c>
      <c r="B171" s="103" t="s">
        <v>61</v>
      </c>
      <c r="C171" s="29" t="s">
        <v>290</v>
      </c>
      <c r="D171" s="110" t="s">
        <v>291</v>
      </c>
      <c r="E171" s="110" t="s">
        <v>201</v>
      </c>
      <c r="F171" s="81">
        <v>2</v>
      </c>
      <c r="G171" s="81">
        <v>129000</v>
      </c>
      <c r="H171" s="8">
        <v>258000</v>
      </c>
      <c r="I171" s="81" t="s">
        <v>70</v>
      </c>
      <c r="J171" s="112"/>
      <c r="K171" s="196"/>
      <c r="L171" s="140"/>
    </row>
    <row r="172" spans="1:12" ht="19.5" customHeight="1" x14ac:dyDescent="0.4">
      <c r="A172" s="482">
        <v>46155</v>
      </c>
      <c r="B172" s="103" t="s">
        <v>61</v>
      </c>
      <c r="C172" s="29" t="s">
        <v>290</v>
      </c>
      <c r="D172" s="110" t="s">
        <v>291</v>
      </c>
      <c r="E172" s="110" t="s">
        <v>201</v>
      </c>
      <c r="F172" s="81">
        <v>2</v>
      </c>
      <c r="G172" s="81">
        <v>129000</v>
      </c>
      <c r="H172" s="8">
        <v>258000</v>
      </c>
      <c r="I172" s="81" t="s">
        <v>70</v>
      </c>
      <c r="J172" s="112"/>
      <c r="K172" s="196"/>
      <c r="L172" s="140"/>
    </row>
    <row r="173" spans="1:12" ht="19.5" customHeight="1" x14ac:dyDescent="0.4">
      <c r="A173" s="482">
        <v>46155</v>
      </c>
      <c r="B173" s="103" t="s">
        <v>61</v>
      </c>
      <c r="C173" s="29" t="s">
        <v>1292</v>
      </c>
      <c r="D173" s="110" t="s">
        <v>1418</v>
      </c>
      <c r="E173" s="110" t="s">
        <v>201</v>
      </c>
      <c r="F173" s="81">
        <v>1</v>
      </c>
      <c r="G173" s="81">
        <v>590000</v>
      </c>
      <c r="H173" s="8">
        <v>590000</v>
      </c>
      <c r="I173" s="81" t="s">
        <v>1293</v>
      </c>
      <c r="J173" s="112"/>
      <c r="K173" s="196"/>
      <c r="L173" s="140"/>
    </row>
    <row r="174" spans="1:12" ht="19.5" customHeight="1" x14ac:dyDescent="0.4">
      <c r="A174" s="482">
        <v>46156</v>
      </c>
      <c r="B174" s="103" t="s">
        <v>61</v>
      </c>
      <c r="C174" s="29" t="s">
        <v>68</v>
      </c>
      <c r="D174" s="110" t="s">
        <v>69</v>
      </c>
      <c r="E174" s="110" t="s">
        <v>201</v>
      </c>
      <c r="F174" s="81">
        <v>2</v>
      </c>
      <c r="G174" s="81">
        <v>359000</v>
      </c>
      <c r="H174" s="8">
        <v>718000</v>
      </c>
      <c r="I174" s="81" t="s">
        <v>70</v>
      </c>
      <c r="J174" s="112"/>
      <c r="K174" s="196"/>
      <c r="L174" s="140"/>
    </row>
    <row r="175" spans="1:12" ht="19.5" customHeight="1" x14ac:dyDescent="0.4">
      <c r="A175" s="482">
        <v>46157</v>
      </c>
      <c r="B175" s="103" t="s">
        <v>61</v>
      </c>
      <c r="C175" s="29" t="s">
        <v>73</v>
      </c>
      <c r="D175" s="110" t="s">
        <v>288</v>
      </c>
      <c r="E175" s="110" t="s">
        <v>201</v>
      </c>
      <c r="F175" s="81">
        <v>6</v>
      </c>
      <c r="G175" s="81">
        <v>390000</v>
      </c>
      <c r="H175" s="8">
        <v>2340000</v>
      </c>
      <c r="I175" s="81" t="s">
        <v>1089</v>
      </c>
      <c r="J175" s="112"/>
      <c r="K175" s="196"/>
      <c r="L175" s="140"/>
    </row>
    <row r="176" spans="1:12" ht="19.5" customHeight="1" x14ac:dyDescent="0.4">
      <c r="A176" s="482">
        <v>46157</v>
      </c>
      <c r="B176" s="103" t="s">
        <v>61</v>
      </c>
      <c r="C176" s="29" t="s">
        <v>428</v>
      </c>
      <c r="D176" s="110" t="s">
        <v>289</v>
      </c>
      <c r="E176" s="110" t="s">
        <v>201</v>
      </c>
      <c r="F176" s="81">
        <v>5</v>
      </c>
      <c r="G176" s="81">
        <v>390000</v>
      </c>
      <c r="H176" s="8">
        <v>1950000</v>
      </c>
      <c r="I176" s="81" t="s">
        <v>1089</v>
      </c>
      <c r="J176" s="112"/>
      <c r="K176" s="196"/>
      <c r="L176" s="140"/>
    </row>
    <row r="177" spans="1:12" ht="19.5" customHeight="1" x14ac:dyDescent="0.4">
      <c r="A177" s="482">
        <v>46157</v>
      </c>
      <c r="B177" s="103" t="s">
        <v>61</v>
      </c>
      <c r="C177" s="29" t="s">
        <v>78</v>
      </c>
      <c r="D177" s="110" t="s">
        <v>79</v>
      </c>
      <c r="E177" s="110" t="s">
        <v>201</v>
      </c>
      <c r="F177" s="81">
        <v>3</v>
      </c>
      <c r="G177" s="81">
        <v>90500</v>
      </c>
      <c r="H177" s="8">
        <v>271500</v>
      </c>
      <c r="I177" s="81" t="s">
        <v>1417</v>
      </c>
      <c r="J177" s="112"/>
      <c r="K177" s="196"/>
      <c r="L177" s="140"/>
    </row>
    <row r="178" spans="1:12" ht="19.5" customHeight="1" x14ac:dyDescent="0.4">
      <c r="A178" s="482">
        <v>46157</v>
      </c>
      <c r="B178" s="103" t="s">
        <v>61</v>
      </c>
      <c r="C178" s="29" t="s">
        <v>78</v>
      </c>
      <c r="D178" s="110" t="s">
        <v>79</v>
      </c>
      <c r="E178" s="110" t="s">
        <v>201</v>
      </c>
      <c r="F178" s="81">
        <v>11</v>
      </c>
      <c r="G178" s="81">
        <v>90500</v>
      </c>
      <c r="H178" s="8">
        <v>995500</v>
      </c>
      <c r="I178" s="81" t="s">
        <v>1416</v>
      </c>
      <c r="J178" s="112"/>
      <c r="K178" s="196"/>
      <c r="L178" s="140"/>
    </row>
    <row r="179" spans="1:12" ht="19.5" customHeight="1" x14ac:dyDescent="0.4">
      <c r="A179" s="482">
        <v>46157</v>
      </c>
      <c r="B179" s="103" t="s">
        <v>61</v>
      </c>
      <c r="C179" s="29" t="s">
        <v>204</v>
      </c>
      <c r="D179" s="110" t="s">
        <v>205</v>
      </c>
      <c r="E179" s="110" t="s">
        <v>201</v>
      </c>
      <c r="F179" s="81">
        <v>4</v>
      </c>
      <c r="G179" s="81">
        <v>1295000</v>
      </c>
      <c r="H179" s="8">
        <v>5180000</v>
      </c>
      <c r="I179" s="81" t="s">
        <v>1274</v>
      </c>
      <c r="J179" s="112"/>
      <c r="K179" s="196"/>
      <c r="L179" s="140"/>
    </row>
    <row r="180" spans="1:12" ht="19.5" customHeight="1" x14ac:dyDescent="0.4">
      <c r="A180" s="482">
        <v>46160</v>
      </c>
      <c r="B180" s="103" t="s">
        <v>61</v>
      </c>
      <c r="C180" s="29" t="s">
        <v>71</v>
      </c>
      <c r="D180" s="110" t="s">
        <v>72</v>
      </c>
      <c r="E180" s="110" t="s">
        <v>201</v>
      </c>
      <c r="F180" s="81">
        <v>3</v>
      </c>
      <c r="G180" s="81">
        <v>548000</v>
      </c>
      <c r="H180" s="8">
        <v>1644000</v>
      </c>
      <c r="I180" s="81" t="s">
        <v>1275</v>
      </c>
      <c r="J180" s="112"/>
      <c r="K180" s="196"/>
      <c r="L180" s="140"/>
    </row>
    <row r="181" spans="1:12" ht="19.5" customHeight="1" x14ac:dyDescent="0.4">
      <c r="A181" s="482">
        <v>46160</v>
      </c>
      <c r="B181" s="103" t="s">
        <v>61</v>
      </c>
      <c r="C181" s="29" t="s">
        <v>67</v>
      </c>
      <c r="D181" s="110" t="s">
        <v>80</v>
      </c>
      <c r="E181" s="110" t="s">
        <v>201</v>
      </c>
      <c r="F181" s="81">
        <v>1</v>
      </c>
      <c r="G181" s="81">
        <v>384000</v>
      </c>
      <c r="H181" s="8">
        <v>384000</v>
      </c>
      <c r="I181" s="81" t="s">
        <v>1275</v>
      </c>
      <c r="J181" s="112"/>
      <c r="K181" s="196"/>
      <c r="L181" s="140"/>
    </row>
    <row r="182" spans="1:12" ht="19.5" customHeight="1" x14ac:dyDescent="0.4">
      <c r="A182" s="482">
        <v>46160</v>
      </c>
      <c r="B182" s="103" t="s">
        <v>61</v>
      </c>
      <c r="C182" s="29" t="s">
        <v>67</v>
      </c>
      <c r="D182" s="110" t="s">
        <v>80</v>
      </c>
      <c r="E182" s="110" t="s">
        <v>201</v>
      </c>
      <c r="F182" s="81">
        <v>14</v>
      </c>
      <c r="G182" s="81">
        <v>384000</v>
      </c>
      <c r="H182" s="8">
        <v>5376000</v>
      </c>
      <c r="I182" s="81" t="s">
        <v>1276</v>
      </c>
      <c r="J182" s="112"/>
      <c r="K182" s="196"/>
      <c r="L182" s="140"/>
    </row>
    <row r="183" spans="1:12" ht="19.5" customHeight="1" x14ac:dyDescent="0.4">
      <c r="A183" s="482">
        <v>46160</v>
      </c>
      <c r="B183" s="103" t="s">
        <v>61</v>
      </c>
      <c r="C183" s="29" t="s">
        <v>73</v>
      </c>
      <c r="D183" s="110" t="s">
        <v>74</v>
      </c>
      <c r="E183" s="110" t="s">
        <v>201</v>
      </c>
      <c r="F183" s="81">
        <v>1</v>
      </c>
      <c r="G183" s="81">
        <v>442000</v>
      </c>
      <c r="H183" s="8">
        <v>442000</v>
      </c>
      <c r="I183" s="81" t="s">
        <v>1276</v>
      </c>
      <c r="J183" s="112"/>
      <c r="K183" s="196"/>
      <c r="L183" s="140"/>
    </row>
    <row r="184" spans="1:12" ht="19.5" customHeight="1" x14ac:dyDescent="0.4">
      <c r="A184" s="482">
        <v>46160</v>
      </c>
      <c r="B184" s="103" t="s">
        <v>61</v>
      </c>
      <c r="C184" s="29" t="s">
        <v>62</v>
      </c>
      <c r="D184" s="110" t="s">
        <v>75</v>
      </c>
      <c r="E184" s="110" t="s">
        <v>201</v>
      </c>
      <c r="F184" s="81">
        <v>6</v>
      </c>
      <c r="G184" s="81">
        <v>442000</v>
      </c>
      <c r="H184" s="8">
        <v>2652000</v>
      </c>
      <c r="I184" s="81" t="s">
        <v>1275</v>
      </c>
      <c r="J184" s="112"/>
      <c r="K184" s="196"/>
      <c r="L184" s="140"/>
    </row>
    <row r="185" spans="1:12" ht="19.5" customHeight="1" x14ac:dyDescent="0.4">
      <c r="A185" s="482">
        <v>46160</v>
      </c>
      <c r="B185" s="103" t="s">
        <v>61</v>
      </c>
      <c r="C185" s="29" t="s">
        <v>81</v>
      </c>
      <c r="D185" s="110" t="s">
        <v>82</v>
      </c>
      <c r="E185" s="110" t="s">
        <v>201</v>
      </c>
      <c r="F185" s="81">
        <v>6</v>
      </c>
      <c r="G185" s="81">
        <v>86300</v>
      </c>
      <c r="H185" s="8">
        <v>517800</v>
      </c>
      <c r="I185" s="81" t="s">
        <v>1275</v>
      </c>
      <c r="J185" s="112"/>
      <c r="K185" s="196"/>
      <c r="L185" s="140"/>
    </row>
    <row r="186" spans="1:12" ht="19.5" customHeight="1" x14ac:dyDescent="0.4">
      <c r="A186" s="482">
        <v>46160</v>
      </c>
      <c r="B186" s="103" t="s">
        <v>61</v>
      </c>
      <c r="C186" s="29" t="s">
        <v>81</v>
      </c>
      <c r="D186" s="110" t="s">
        <v>82</v>
      </c>
      <c r="E186" s="110" t="s">
        <v>201</v>
      </c>
      <c r="F186" s="81">
        <v>14</v>
      </c>
      <c r="G186" s="81">
        <v>86300</v>
      </c>
      <c r="H186" s="8">
        <v>1208200</v>
      </c>
      <c r="I186" s="81" t="s">
        <v>1276</v>
      </c>
      <c r="J186" s="112"/>
      <c r="K186" s="196"/>
      <c r="L186" s="140"/>
    </row>
    <row r="187" spans="1:12" ht="19.5" customHeight="1" x14ac:dyDescent="0.4">
      <c r="A187" s="482">
        <v>46160</v>
      </c>
      <c r="B187" s="103" t="s">
        <v>61</v>
      </c>
      <c r="C187" s="29" t="s">
        <v>81</v>
      </c>
      <c r="D187" s="110" t="s">
        <v>82</v>
      </c>
      <c r="E187" s="110" t="s">
        <v>201</v>
      </c>
      <c r="F187" s="81">
        <v>7</v>
      </c>
      <c r="G187" s="81">
        <v>86300</v>
      </c>
      <c r="H187" s="8">
        <v>604100</v>
      </c>
      <c r="I187" s="81" t="s">
        <v>1414</v>
      </c>
      <c r="J187" s="112"/>
      <c r="K187" s="196"/>
      <c r="L187" s="140"/>
    </row>
    <row r="188" spans="1:12" ht="19.5" customHeight="1" x14ac:dyDescent="0.4">
      <c r="A188" s="482">
        <v>46160</v>
      </c>
      <c r="B188" s="103" t="s">
        <v>61</v>
      </c>
      <c r="C188" s="29" t="s">
        <v>81</v>
      </c>
      <c r="D188" s="110" t="s">
        <v>82</v>
      </c>
      <c r="E188" s="110" t="s">
        <v>201</v>
      </c>
      <c r="F188" s="81">
        <v>8</v>
      </c>
      <c r="G188" s="81">
        <v>86300</v>
      </c>
      <c r="H188" s="8">
        <v>690400</v>
      </c>
      <c r="I188" s="81" t="s">
        <v>1279</v>
      </c>
      <c r="J188" s="112"/>
      <c r="K188" s="196"/>
      <c r="L188" s="140"/>
    </row>
    <row r="189" spans="1:12" ht="19.5" customHeight="1" x14ac:dyDescent="0.4">
      <c r="A189" s="482">
        <v>46160</v>
      </c>
      <c r="B189" s="103" t="s">
        <v>61</v>
      </c>
      <c r="C189" s="29" t="s">
        <v>67</v>
      </c>
      <c r="D189" s="110" t="s">
        <v>80</v>
      </c>
      <c r="E189" s="110" t="s">
        <v>201</v>
      </c>
      <c r="F189" s="81">
        <v>4</v>
      </c>
      <c r="G189" s="81">
        <v>384000</v>
      </c>
      <c r="H189" s="8">
        <v>1536000</v>
      </c>
      <c r="I189" s="81" t="s">
        <v>1281</v>
      </c>
      <c r="J189" s="112"/>
      <c r="K189" s="196"/>
      <c r="L189" s="140"/>
    </row>
    <row r="190" spans="1:12" ht="19.5" customHeight="1" x14ac:dyDescent="0.4">
      <c r="A190" s="482">
        <v>46160</v>
      </c>
      <c r="B190" s="103" t="s">
        <v>61</v>
      </c>
      <c r="C190" s="29" t="s">
        <v>73</v>
      </c>
      <c r="D190" s="110" t="s">
        <v>74</v>
      </c>
      <c r="E190" s="110" t="s">
        <v>201</v>
      </c>
      <c r="F190" s="81">
        <v>4</v>
      </c>
      <c r="G190" s="81">
        <v>442000</v>
      </c>
      <c r="H190" s="8">
        <v>1768000</v>
      </c>
      <c r="I190" s="81" t="s">
        <v>1281</v>
      </c>
      <c r="J190" s="112"/>
      <c r="K190" s="196"/>
      <c r="L190" s="140"/>
    </row>
    <row r="191" spans="1:12" ht="19.5" customHeight="1" x14ac:dyDescent="0.4">
      <c r="A191" s="482">
        <v>46160</v>
      </c>
      <c r="B191" s="103" t="s">
        <v>61</v>
      </c>
      <c r="C191" s="29" t="s">
        <v>71</v>
      </c>
      <c r="D191" s="110" t="s">
        <v>72</v>
      </c>
      <c r="E191" s="110" t="s">
        <v>201</v>
      </c>
      <c r="F191" s="81">
        <v>4</v>
      </c>
      <c r="G191" s="81">
        <v>548000</v>
      </c>
      <c r="H191" s="8">
        <v>2192000</v>
      </c>
      <c r="I191" s="81" t="s">
        <v>1274</v>
      </c>
      <c r="J191" s="112"/>
      <c r="K191" s="196"/>
      <c r="L191" s="140"/>
    </row>
    <row r="192" spans="1:12" ht="19.5" customHeight="1" x14ac:dyDescent="0.4">
      <c r="A192" s="482">
        <v>46160</v>
      </c>
      <c r="B192" s="103" t="s">
        <v>61</v>
      </c>
      <c r="C192" s="29" t="s">
        <v>81</v>
      </c>
      <c r="D192" s="110" t="s">
        <v>82</v>
      </c>
      <c r="E192" s="110" t="s">
        <v>201</v>
      </c>
      <c r="F192" s="81">
        <v>4</v>
      </c>
      <c r="G192" s="81">
        <v>86300</v>
      </c>
      <c r="H192" s="8">
        <v>345200</v>
      </c>
      <c r="I192" s="81" t="s">
        <v>1274</v>
      </c>
      <c r="J192" s="112"/>
      <c r="K192" s="196"/>
      <c r="L192" s="140"/>
    </row>
    <row r="193" spans="1:12" ht="19.5" customHeight="1" x14ac:dyDescent="0.4">
      <c r="A193" s="482">
        <v>46160</v>
      </c>
      <c r="B193" s="103" t="s">
        <v>61</v>
      </c>
      <c r="C193" s="29" t="s">
        <v>105</v>
      </c>
      <c r="D193" s="110" t="s">
        <v>117</v>
      </c>
      <c r="E193" s="110" t="s">
        <v>201</v>
      </c>
      <c r="F193" s="81">
        <v>4</v>
      </c>
      <c r="G193" s="81">
        <v>248000</v>
      </c>
      <c r="H193" s="8">
        <v>992000</v>
      </c>
      <c r="I193" s="81" t="s">
        <v>1274</v>
      </c>
      <c r="J193" s="112"/>
      <c r="K193" s="196"/>
      <c r="L193" s="140"/>
    </row>
    <row r="194" spans="1:12" ht="19.5" customHeight="1" x14ac:dyDescent="0.4">
      <c r="A194" s="482">
        <v>46160</v>
      </c>
      <c r="B194" s="103" t="s">
        <v>61</v>
      </c>
      <c r="C194" s="29" t="s">
        <v>81</v>
      </c>
      <c r="D194" s="110" t="s">
        <v>82</v>
      </c>
      <c r="E194" s="110" t="s">
        <v>201</v>
      </c>
      <c r="F194" s="81">
        <v>11</v>
      </c>
      <c r="G194" s="81">
        <v>86300</v>
      </c>
      <c r="H194" s="8">
        <v>949300</v>
      </c>
      <c r="I194" s="81" t="s">
        <v>1416</v>
      </c>
      <c r="J194" s="112"/>
      <c r="K194" s="196"/>
      <c r="L194" s="140"/>
    </row>
    <row r="195" spans="1:12" ht="19.5" customHeight="1" x14ac:dyDescent="0.4">
      <c r="A195" s="482">
        <v>46160</v>
      </c>
      <c r="B195" s="103" t="s">
        <v>61</v>
      </c>
      <c r="C195" s="29" t="s">
        <v>204</v>
      </c>
      <c r="D195" s="110" t="s">
        <v>205</v>
      </c>
      <c r="E195" s="110" t="s">
        <v>201</v>
      </c>
      <c r="F195" s="81">
        <v>6</v>
      </c>
      <c r="G195" s="81">
        <v>1295000</v>
      </c>
      <c r="H195" s="8">
        <v>7770000</v>
      </c>
      <c r="I195" s="81" t="s">
        <v>1275</v>
      </c>
      <c r="J195" s="112"/>
      <c r="K195" s="196"/>
      <c r="L195" s="140"/>
    </row>
    <row r="196" spans="1:12" ht="19.5" customHeight="1" x14ac:dyDescent="0.4">
      <c r="A196" s="482">
        <v>46161</v>
      </c>
      <c r="B196" s="103" t="s">
        <v>61</v>
      </c>
      <c r="C196" s="29" t="s">
        <v>81</v>
      </c>
      <c r="D196" s="110" t="s">
        <v>82</v>
      </c>
      <c r="E196" s="110" t="s">
        <v>201</v>
      </c>
      <c r="F196" s="81">
        <v>3</v>
      </c>
      <c r="G196" s="81">
        <v>86300</v>
      </c>
      <c r="H196" s="8">
        <v>258900</v>
      </c>
      <c r="I196" s="81" t="s">
        <v>1280</v>
      </c>
      <c r="J196" s="112"/>
      <c r="K196" s="196"/>
      <c r="L196" s="140"/>
    </row>
    <row r="197" spans="1:12" ht="19.5" customHeight="1" x14ac:dyDescent="0.4">
      <c r="A197" s="482">
        <v>46161</v>
      </c>
      <c r="B197" s="103" t="s">
        <v>61</v>
      </c>
      <c r="C197" s="29" t="s">
        <v>81</v>
      </c>
      <c r="D197" s="110" t="s">
        <v>82</v>
      </c>
      <c r="E197" s="110" t="s">
        <v>201</v>
      </c>
      <c r="F197" s="81">
        <v>3</v>
      </c>
      <c r="G197" s="81">
        <v>86300</v>
      </c>
      <c r="H197" s="8">
        <v>258900</v>
      </c>
      <c r="I197" s="81" t="s">
        <v>1277</v>
      </c>
      <c r="J197" s="112"/>
      <c r="K197" s="196"/>
      <c r="L197" s="140"/>
    </row>
    <row r="198" spans="1:12" ht="19.5" customHeight="1" x14ac:dyDescent="0.4">
      <c r="A198" s="482">
        <v>46161</v>
      </c>
      <c r="B198" s="103" t="s">
        <v>61</v>
      </c>
      <c r="C198" s="29" t="s">
        <v>81</v>
      </c>
      <c r="D198" s="110" t="s">
        <v>82</v>
      </c>
      <c r="E198" s="110" t="s">
        <v>201</v>
      </c>
      <c r="F198" s="81">
        <v>3</v>
      </c>
      <c r="G198" s="81">
        <v>86300</v>
      </c>
      <c r="H198" s="8">
        <v>258900</v>
      </c>
      <c r="I198" s="81" t="s">
        <v>1278</v>
      </c>
      <c r="J198" s="112"/>
      <c r="K198" s="196"/>
      <c r="L198" s="140"/>
    </row>
    <row r="199" spans="1:12" ht="19.5" customHeight="1" x14ac:dyDescent="0.4">
      <c r="A199" s="482">
        <v>46161</v>
      </c>
      <c r="B199" s="103" t="s">
        <v>61</v>
      </c>
      <c r="C199" s="29" t="s">
        <v>81</v>
      </c>
      <c r="D199" s="110" t="s">
        <v>82</v>
      </c>
      <c r="E199" s="110" t="s">
        <v>201</v>
      </c>
      <c r="F199" s="81">
        <v>3</v>
      </c>
      <c r="G199" s="81">
        <v>86300</v>
      </c>
      <c r="H199" s="8">
        <v>258900</v>
      </c>
      <c r="I199" s="81" t="s">
        <v>1417</v>
      </c>
      <c r="J199" s="112"/>
      <c r="K199" s="196"/>
      <c r="L199" s="140"/>
    </row>
    <row r="200" spans="1:12" ht="19.5" customHeight="1" x14ac:dyDescent="0.4">
      <c r="A200" s="482">
        <v>46161</v>
      </c>
      <c r="B200" s="103" t="s">
        <v>61</v>
      </c>
      <c r="C200" s="29" t="s">
        <v>118</v>
      </c>
      <c r="D200" s="110" t="s">
        <v>119</v>
      </c>
      <c r="E200" s="110" t="s">
        <v>201</v>
      </c>
      <c r="F200" s="81">
        <v>10</v>
      </c>
      <c r="G200" s="81">
        <v>7790000</v>
      </c>
      <c r="H200" s="8">
        <v>77900000</v>
      </c>
      <c r="I200" s="81" t="s">
        <v>120</v>
      </c>
      <c r="J200" s="112"/>
      <c r="K200" s="196"/>
      <c r="L200" s="140"/>
    </row>
    <row r="201" spans="1:12" ht="19.5" customHeight="1" x14ac:dyDescent="0.4">
      <c r="A201" s="482">
        <v>46161</v>
      </c>
      <c r="B201" s="103" t="s">
        <v>61</v>
      </c>
      <c r="C201" s="29" t="s">
        <v>118</v>
      </c>
      <c r="D201" s="110" t="s">
        <v>119</v>
      </c>
      <c r="E201" s="110" t="s">
        <v>201</v>
      </c>
      <c r="F201" s="81">
        <v>10</v>
      </c>
      <c r="G201" s="81">
        <v>7790000</v>
      </c>
      <c r="H201" s="8">
        <v>77900000</v>
      </c>
      <c r="I201" s="81" t="s">
        <v>120</v>
      </c>
      <c r="J201" s="112"/>
      <c r="K201" s="196"/>
      <c r="L201" s="140"/>
    </row>
    <row r="202" spans="1:12" ht="19.5" customHeight="1" x14ac:dyDescent="0.4">
      <c r="A202" s="482">
        <v>46161</v>
      </c>
      <c r="B202" s="103" t="s">
        <v>61</v>
      </c>
      <c r="C202" s="29" t="s">
        <v>81</v>
      </c>
      <c r="D202" s="110" t="s">
        <v>82</v>
      </c>
      <c r="E202" s="110" t="s">
        <v>201</v>
      </c>
      <c r="F202" s="81">
        <v>4</v>
      </c>
      <c r="G202" s="81">
        <v>86300</v>
      </c>
      <c r="H202" s="8">
        <v>345200</v>
      </c>
      <c r="I202" s="81" t="s">
        <v>1281</v>
      </c>
      <c r="J202" s="112"/>
      <c r="K202" s="196"/>
      <c r="L202" s="140"/>
    </row>
    <row r="203" spans="1:12" ht="19.5" customHeight="1" x14ac:dyDescent="0.4">
      <c r="A203" s="482">
        <v>46161</v>
      </c>
      <c r="B203" s="103" t="s">
        <v>61</v>
      </c>
      <c r="C203" s="29" t="s">
        <v>66</v>
      </c>
      <c r="D203" s="110" t="s">
        <v>195</v>
      </c>
      <c r="E203" s="110" t="s">
        <v>201</v>
      </c>
      <c r="F203" s="81">
        <v>3</v>
      </c>
      <c r="G203" s="81">
        <v>1917500</v>
      </c>
      <c r="H203" s="8">
        <v>5752500</v>
      </c>
      <c r="I203" s="81" t="s">
        <v>1280</v>
      </c>
      <c r="J203" s="112"/>
      <c r="K203" s="196"/>
      <c r="L203" s="140"/>
    </row>
    <row r="204" spans="1:12" ht="19.5" customHeight="1" x14ac:dyDescent="0.4">
      <c r="A204" s="482">
        <v>46161</v>
      </c>
      <c r="B204" s="103" t="s">
        <v>61</v>
      </c>
      <c r="C204" s="29" t="s">
        <v>66</v>
      </c>
      <c r="D204" s="110" t="s">
        <v>195</v>
      </c>
      <c r="E204" s="110" t="s">
        <v>201</v>
      </c>
      <c r="F204" s="81">
        <v>3</v>
      </c>
      <c r="G204" s="81">
        <v>1917500</v>
      </c>
      <c r="H204" s="8">
        <v>5752500</v>
      </c>
      <c r="I204" s="81" t="s">
        <v>1277</v>
      </c>
      <c r="J204" s="112"/>
      <c r="K204" s="196"/>
      <c r="L204" s="140"/>
    </row>
    <row r="205" spans="1:12" ht="19.5" customHeight="1" x14ac:dyDescent="0.4">
      <c r="A205" s="482">
        <v>46161</v>
      </c>
      <c r="B205" s="103" t="s">
        <v>61</v>
      </c>
      <c r="C205" s="29" t="s">
        <v>448</v>
      </c>
      <c r="D205" s="110" t="s">
        <v>1049</v>
      </c>
      <c r="E205" s="110" t="s">
        <v>201</v>
      </c>
      <c r="F205" s="81">
        <v>1</v>
      </c>
      <c r="G205" s="81">
        <v>46000</v>
      </c>
      <c r="H205" s="8">
        <v>46000</v>
      </c>
      <c r="I205" s="81" t="s">
        <v>70</v>
      </c>
      <c r="J205" s="112"/>
      <c r="K205" s="196"/>
      <c r="L205" s="140"/>
    </row>
    <row r="206" spans="1:12" ht="19.5" customHeight="1" x14ac:dyDescent="0.4">
      <c r="A206" s="482">
        <v>46162</v>
      </c>
      <c r="B206" s="103" t="s">
        <v>61</v>
      </c>
      <c r="C206" s="29" t="s">
        <v>81</v>
      </c>
      <c r="D206" s="110" t="s">
        <v>82</v>
      </c>
      <c r="E206" s="110" t="s">
        <v>201</v>
      </c>
      <c r="F206" s="81">
        <v>6</v>
      </c>
      <c r="G206" s="81">
        <v>86300</v>
      </c>
      <c r="H206" s="8">
        <v>517800</v>
      </c>
      <c r="I206" s="81" t="s">
        <v>1419</v>
      </c>
      <c r="J206" s="112"/>
      <c r="K206" s="196"/>
      <c r="L206" s="140"/>
    </row>
    <row r="207" spans="1:12" ht="19.5" customHeight="1" x14ac:dyDescent="0.4">
      <c r="A207" s="482">
        <v>46164</v>
      </c>
      <c r="B207" s="103" t="s">
        <v>61</v>
      </c>
      <c r="C207" s="29" t="s">
        <v>68</v>
      </c>
      <c r="D207" s="110" t="s">
        <v>191</v>
      </c>
      <c r="E207" s="110" t="s">
        <v>201</v>
      </c>
      <c r="F207" s="81">
        <v>5</v>
      </c>
      <c r="G207" s="81">
        <v>352000</v>
      </c>
      <c r="H207" s="8">
        <v>1760000</v>
      </c>
      <c r="I207" s="81" t="s">
        <v>70</v>
      </c>
      <c r="J207" s="112"/>
      <c r="K207" s="196"/>
      <c r="L207" s="140"/>
    </row>
    <row r="208" spans="1:12" ht="19.5" customHeight="1" x14ac:dyDescent="0.4">
      <c r="A208" s="482">
        <v>46164</v>
      </c>
      <c r="B208" s="103" t="s">
        <v>61</v>
      </c>
      <c r="C208" s="29" t="s">
        <v>83</v>
      </c>
      <c r="D208" s="110" t="s">
        <v>84</v>
      </c>
      <c r="E208" s="110" t="s">
        <v>201</v>
      </c>
      <c r="F208" s="81">
        <v>1</v>
      </c>
      <c r="G208" s="81">
        <v>76500</v>
      </c>
      <c r="H208" s="8">
        <v>76500</v>
      </c>
      <c r="I208" s="81" t="s">
        <v>70</v>
      </c>
      <c r="J208" s="112"/>
      <c r="K208" s="196"/>
      <c r="L208" s="140"/>
    </row>
    <row r="209" spans="1:12" ht="19.5" customHeight="1" x14ac:dyDescent="0.4">
      <c r="A209" s="482">
        <v>46164</v>
      </c>
      <c r="B209" s="103" t="s">
        <v>61</v>
      </c>
      <c r="C209" s="29" t="s">
        <v>83</v>
      </c>
      <c r="D209" s="110" t="s">
        <v>87</v>
      </c>
      <c r="E209" s="110" t="s">
        <v>201</v>
      </c>
      <c r="F209" s="81">
        <v>2</v>
      </c>
      <c r="G209" s="81">
        <v>75300</v>
      </c>
      <c r="H209" s="8">
        <v>150600</v>
      </c>
      <c r="I209" s="81" t="s">
        <v>70</v>
      </c>
      <c r="J209" s="112"/>
      <c r="K209" s="196"/>
      <c r="L209" s="140"/>
    </row>
    <row r="210" spans="1:12" ht="19.5" customHeight="1" x14ac:dyDescent="0.4">
      <c r="A210" s="482">
        <v>46164</v>
      </c>
      <c r="B210" s="103" t="s">
        <v>61</v>
      </c>
      <c r="C210" s="29" t="s">
        <v>614</v>
      </c>
      <c r="D210" s="110" t="s">
        <v>615</v>
      </c>
      <c r="E210" s="110" t="s">
        <v>201</v>
      </c>
      <c r="F210" s="81">
        <v>3</v>
      </c>
      <c r="G210" s="81">
        <v>95000</v>
      </c>
      <c r="H210" s="8">
        <v>285000</v>
      </c>
      <c r="I210" s="81" t="s">
        <v>70</v>
      </c>
      <c r="J210" s="112"/>
      <c r="K210" s="196"/>
      <c r="L210" s="140"/>
    </row>
    <row r="211" spans="1:12" ht="19.5" customHeight="1" x14ac:dyDescent="0.4">
      <c r="A211" s="482">
        <v>46164</v>
      </c>
      <c r="B211" s="103" t="s">
        <v>61</v>
      </c>
      <c r="C211" s="29" t="s">
        <v>105</v>
      </c>
      <c r="D211" s="110" t="s">
        <v>505</v>
      </c>
      <c r="E211" s="110" t="s">
        <v>201</v>
      </c>
      <c r="F211" s="81">
        <v>1</v>
      </c>
      <c r="G211" s="81">
        <v>54300</v>
      </c>
      <c r="H211" s="8">
        <v>54300</v>
      </c>
      <c r="I211" s="81" t="s">
        <v>70</v>
      </c>
      <c r="J211" s="112"/>
      <c r="K211" s="196"/>
      <c r="L211" s="140"/>
    </row>
    <row r="212" spans="1:12" ht="19.5" customHeight="1" x14ac:dyDescent="0.4">
      <c r="A212" s="482">
        <v>46164</v>
      </c>
      <c r="B212" s="103" t="s">
        <v>61</v>
      </c>
      <c r="C212" s="29" t="s">
        <v>115</v>
      </c>
      <c r="D212" s="110" t="s">
        <v>194</v>
      </c>
      <c r="E212" s="110" t="s">
        <v>201</v>
      </c>
      <c r="F212" s="81">
        <v>3</v>
      </c>
      <c r="G212" s="81">
        <v>158000</v>
      </c>
      <c r="H212" s="8">
        <v>474000</v>
      </c>
      <c r="I212" s="81" t="s">
        <v>70</v>
      </c>
      <c r="J212" s="112"/>
      <c r="K212" s="196"/>
      <c r="L212" s="140"/>
    </row>
    <row r="213" spans="1:12" ht="19.5" customHeight="1" x14ac:dyDescent="0.4">
      <c r="A213" s="482">
        <v>46164</v>
      </c>
      <c r="B213" s="103" t="s">
        <v>61</v>
      </c>
      <c r="C213" s="29" t="s">
        <v>83</v>
      </c>
      <c r="D213" s="110" t="s">
        <v>84</v>
      </c>
      <c r="E213" s="110" t="s">
        <v>201</v>
      </c>
      <c r="F213" s="81">
        <v>1</v>
      </c>
      <c r="G213" s="81">
        <v>76500</v>
      </c>
      <c r="H213" s="8">
        <v>76500</v>
      </c>
      <c r="I213" s="81" t="s">
        <v>70</v>
      </c>
      <c r="J213" s="112"/>
      <c r="K213" s="196"/>
      <c r="L213" s="140"/>
    </row>
    <row r="214" spans="1:12" ht="19.5" customHeight="1" x14ac:dyDescent="0.4">
      <c r="A214" s="482">
        <v>46164</v>
      </c>
      <c r="B214" s="103" t="s">
        <v>61</v>
      </c>
      <c r="C214" s="29" t="s">
        <v>83</v>
      </c>
      <c r="D214" s="110" t="s">
        <v>87</v>
      </c>
      <c r="E214" s="110" t="s">
        <v>201</v>
      </c>
      <c r="F214" s="81">
        <v>2</v>
      </c>
      <c r="G214" s="81">
        <v>75300</v>
      </c>
      <c r="H214" s="8">
        <v>150600</v>
      </c>
      <c r="I214" s="81" t="s">
        <v>70</v>
      </c>
      <c r="J214" s="112"/>
      <c r="K214" s="196"/>
      <c r="L214" s="140"/>
    </row>
    <row r="215" spans="1:12" ht="19.5" customHeight="1" x14ac:dyDescent="0.4">
      <c r="A215" s="482">
        <v>46164</v>
      </c>
      <c r="B215" s="103" t="s">
        <v>61</v>
      </c>
      <c r="C215" s="29" t="s">
        <v>83</v>
      </c>
      <c r="D215" s="110" t="s">
        <v>84</v>
      </c>
      <c r="E215" s="110" t="s">
        <v>201</v>
      </c>
      <c r="F215" s="81">
        <v>2</v>
      </c>
      <c r="G215" s="81">
        <v>76500</v>
      </c>
      <c r="H215" s="8">
        <v>153000</v>
      </c>
      <c r="I215" s="81" t="s">
        <v>70</v>
      </c>
      <c r="J215" s="112"/>
      <c r="K215" s="196"/>
      <c r="L215" s="140"/>
    </row>
    <row r="216" spans="1:12" ht="19.5" customHeight="1" x14ac:dyDescent="0.4">
      <c r="A216" s="482">
        <v>46164</v>
      </c>
      <c r="B216" s="103" t="s">
        <v>61</v>
      </c>
      <c r="C216" s="29" t="s">
        <v>83</v>
      </c>
      <c r="D216" s="110" t="s">
        <v>84</v>
      </c>
      <c r="E216" s="110" t="s">
        <v>201</v>
      </c>
      <c r="F216" s="81">
        <v>2</v>
      </c>
      <c r="G216" s="81">
        <v>76500</v>
      </c>
      <c r="H216" s="8">
        <v>153000</v>
      </c>
      <c r="I216" s="81" t="s">
        <v>70</v>
      </c>
      <c r="J216" s="112"/>
      <c r="K216" s="196"/>
      <c r="L216" s="140"/>
    </row>
    <row r="217" spans="1:12" ht="19.5" customHeight="1" x14ac:dyDescent="0.4">
      <c r="A217" s="482">
        <v>46164</v>
      </c>
      <c r="B217" s="103" t="s">
        <v>61</v>
      </c>
      <c r="C217" s="29" t="s">
        <v>85</v>
      </c>
      <c r="D217" s="110" t="s">
        <v>86</v>
      </c>
      <c r="E217" s="110" t="s">
        <v>201</v>
      </c>
      <c r="F217" s="81">
        <v>2</v>
      </c>
      <c r="G217" s="81">
        <v>37700</v>
      </c>
      <c r="H217" s="8">
        <v>75400</v>
      </c>
      <c r="I217" s="81" t="s">
        <v>70</v>
      </c>
      <c r="J217" s="112"/>
      <c r="K217" s="196"/>
      <c r="L217" s="140"/>
    </row>
    <row r="218" spans="1:12" ht="19.5" customHeight="1" x14ac:dyDescent="0.4">
      <c r="A218" s="482">
        <v>46164</v>
      </c>
      <c r="B218" s="103" t="s">
        <v>61</v>
      </c>
      <c r="C218" s="29" t="s">
        <v>85</v>
      </c>
      <c r="D218" s="110" t="s">
        <v>86</v>
      </c>
      <c r="E218" s="110" t="s">
        <v>201</v>
      </c>
      <c r="F218" s="81">
        <v>2</v>
      </c>
      <c r="G218" s="81">
        <v>37700</v>
      </c>
      <c r="H218" s="8">
        <v>75400</v>
      </c>
      <c r="I218" s="81" t="s">
        <v>70</v>
      </c>
      <c r="J218" s="112"/>
      <c r="K218" s="196"/>
      <c r="L218" s="140"/>
    </row>
    <row r="219" spans="1:12" ht="19.5" customHeight="1" x14ac:dyDescent="0.4">
      <c r="A219" s="482">
        <v>46164</v>
      </c>
      <c r="B219" s="103" t="s">
        <v>61</v>
      </c>
      <c r="C219" s="29" t="s">
        <v>83</v>
      </c>
      <c r="D219" s="110" t="s">
        <v>87</v>
      </c>
      <c r="E219" s="110" t="s">
        <v>201</v>
      </c>
      <c r="F219" s="81">
        <v>2</v>
      </c>
      <c r="G219" s="81">
        <v>75300</v>
      </c>
      <c r="H219" s="8">
        <v>150600</v>
      </c>
      <c r="I219" s="81" t="s">
        <v>70</v>
      </c>
      <c r="J219" s="112"/>
      <c r="K219" s="196"/>
      <c r="L219" s="140"/>
    </row>
    <row r="220" spans="1:12" ht="19.5" customHeight="1" x14ac:dyDescent="0.4">
      <c r="A220" s="482">
        <v>46164</v>
      </c>
      <c r="B220" s="103" t="s">
        <v>61</v>
      </c>
      <c r="C220" s="29" t="s">
        <v>83</v>
      </c>
      <c r="D220" s="110" t="s">
        <v>87</v>
      </c>
      <c r="E220" s="110" t="s">
        <v>201</v>
      </c>
      <c r="F220" s="81">
        <v>2</v>
      </c>
      <c r="G220" s="81">
        <v>75300</v>
      </c>
      <c r="H220" s="8">
        <v>150600</v>
      </c>
      <c r="I220" s="81" t="s">
        <v>70</v>
      </c>
      <c r="J220" s="112"/>
      <c r="K220" s="196"/>
      <c r="L220" s="140"/>
    </row>
    <row r="221" spans="1:12" ht="19.5" customHeight="1" x14ac:dyDescent="0.4">
      <c r="A221" s="482">
        <v>46164</v>
      </c>
      <c r="B221" s="103" t="s">
        <v>61</v>
      </c>
      <c r="C221" s="29" t="s">
        <v>95</v>
      </c>
      <c r="D221" s="110" t="s">
        <v>96</v>
      </c>
      <c r="E221" s="110" t="s">
        <v>201</v>
      </c>
      <c r="F221" s="81">
        <v>12</v>
      </c>
      <c r="G221" s="81">
        <v>12000</v>
      </c>
      <c r="H221" s="8">
        <v>144000</v>
      </c>
      <c r="I221" s="81" t="s">
        <v>70</v>
      </c>
      <c r="J221" s="112"/>
      <c r="K221" s="196"/>
      <c r="L221" s="140"/>
    </row>
    <row r="222" spans="1:12" ht="19.5" customHeight="1" x14ac:dyDescent="0.4">
      <c r="A222" s="482">
        <v>46164</v>
      </c>
      <c r="B222" s="103" t="s">
        <v>61</v>
      </c>
      <c r="C222" s="29" t="s">
        <v>95</v>
      </c>
      <c r="D222" s="110" t="s">
        <v>96</v>
      </c>
      <c r="E222" s="110" t="s">
        <v>201</v>
      </c>
      <c r="F222" s="81">
        <v>12</v>
      </c>
      <c r="G222" s="81">
        <v>12000</v>
      </c>
      <c r="H222" s="8">
        <v>144000</v>
      </c>
      <c r="I222" s="81" t="s">
        <v>70</v>
      </c>
      <c r="J222" s="112"/>
      <c r="K222" s="196"/>
      <c r="L222" s="140"/>
    </row>
    <row r="223" spans="1:12" ht="19.5" customHeight="1" x14ac:dyDescent="0.4">
      <c r="A223" s="482">
        <v>46168</v>
      </c>
      <c r="B223" s="103" t="s">
        <v>61</v>
      </c>
      <c r="C223" s="29" t="s">
        <v>71</v>
      </c>
      <c r="D223" s="110" t="s">
        <v>72</v>
      </c>
      <c r="E223" s="110" t="s">
        <v>201</v>
      </c>
      <c r="F223" s="81">
        <v>3</v>
      </c>
      <c r="G223" s="81">
        <v>548000</v>
      </c>
      <c r="H223" s="8">
        <v>1644000</v>
      </c>
      <c r="I223" s="81" t="s">
        <v>1275</v>
      </c>
      <c r="J223" s="112"/>
      <c r="K223" s="196"/>
      <c r="L223" s="140"/>
    </row>
    <row r="224" spans="1:12" ht="19.5" customHeight="1" x14ac:dyDescent="0.4">
      <c r="A224" s="482">
        <v>46168</v>
      </c>
      <c r="B224" s="103" t="s">
        <v>61</v>
      </c>
      <c r="C224" s="29" t="s">
        <v>71</v>
      </c>
      <c r="D224" s="110" t="s">
        <v>72</v>
      </c>
      <c r="E224" s="110" t="s">
        <v>201</v>
      </c>
      <c r="F224" s="81">
        <v>14</v>
      </c>
      <c r="G224" s="81">
        <v>548000</v>
      </c>
      <c r="H224" s="8">
        <v>7672000</v>
      </c>
      <c r="I224" s="81" t="s">
        <v>1276</v>
      </c>
      <c r="J224" s="112"/>
      <c r="K224" s="196"/>
      <c r="L224" s="140"/>
    </row>
    <row r="225" spans="1:12" ht="19.5" customHeight="1" x14ac:dyDescent="0.4">
      <c r="A225" s="482">
        <v>46168</v>
      </c>
      <c r="B225" s="103" t="s">
        <v>61</v>
      </c>
      <c r="C225" s="29" t="s">
        <v>73</v>
      </c>
      <c r="D225" s="110" t="s">
        <v>74</v>
      </c>
      <c r="E225" s="110" t="s">
        <v>201</v>
      </c>
      <c r="F225" s="81">
        <v>7</v>
      </c>
      <c r="G225" s="81">
        <v>442000</v>
      </c>
      <c r="H225" s="8">
        <v>3094000</v>
      </c>
      <c r="I225" s="81" t="s">
        <v>1414</v>
      </c>
      <c r="J225" s="112"/>
      <c r="K225" s="196"/>
      <c r="L225" s="140"/>
    </row>
    <row r="226" spans="1:12" ht="19.5" customHeight="1" x14ac:dyDescent="0.4">
      <c r="A226" s="482">
        <v>46168</v>
      </c>
      <c r="B226" s="103" t="s">
        <v>61</v>
      </c>
      <c r="C226" s="29" t="s">
        <v>73</v>
      </c>
      <c r="D226" s="110" t="s">
        <v>74</v>
      </c>
      <c r="E226" s="110" t="s">
        <v>201</v>
      </c>
      <c r="F226" s="81">
        <v>8</v>
      </c>
      <c r="G226" s="81">
        <v>442000</v>
      </c>
      <c r="H226" s="8">
        <v>3536000</v>
      </c>
      <c r="I226" s="81" t="s">
        <v>1279</v>
      </c>
      <c r="J226" s="112"/>
      <c r="K226" s="196"/>
      <c r="L226" s="140"/>
    </row>
    <row r="227" spans="1:12" ht="19.5" customHeight="1" x14ac:dyDescent="0.4">
      <c r="A227" s="482">
        <v>46168</v>
      </c>
      <c r="B227" s="103" t="s">
        <v>61</v>
      </c>
      <c r="C227" s="29" t="s">
        <v>62</v>
      </c>
      <c r="D227" s="110" t="s">
        <v>75</v>
      </c>
      <c r="E227" s="110" t="s">
        <v>201</v>
      </c>
      <c r="F227" s="81">
        <v>12</v>
      </c>
      <c r="G227" s="81">
        <v>442000</v>
      </c>
      <c r="H227" s="8">
        <v>5304000</v>
      </c>
      <c r="I227" s="81" t="s">
        <v>1276</v>
      </c>
      <c r="J227" s="112"/>
      <c r="K227" s="196"/>
      <c r="L227" s="140"/>
    </row>
    <row r="228" spans="1:12" ht="19.5" customHeight="1" x14ac:dyDescent="0.4">
      <c r="A228" s="482">
        <v>46168</v>
      </c>
      <c r="B228" s="103" t="s">
        <v>61</v>
      </c>
      <c r="C228" s="29" t="s">
        <v>202</v>
      </c>
      <c r="D228" s="110" t="s">
        <v>203</v>
      </c>
      <c r="E228" s="110" t="s">
        <v>201</v>
      </c>
      <c r="F228" s="81">
        <v>9</v>
      </c>
      <c r="G228" s="81">
        <v>384000</v>
      </c>
      <c r="H228" s="8">
        <v>3456000</v>
      </c>
      <c r="I228" s="81" t="s">
        <v>1276</v>
      </c>
      <c r="J228" s="112"/>
      <c r="K228" s="196"/>
      <c r="L228" s="140"/>
    </row>
    <row r="229" spans="1:12" ht="19.5" customHeight="1" x14ac:dyDescent="0.4">
      <c r="A229" s="482">
        <v>46168</v>
      </c>
      <c r="B229" s="103" t="s">
        <v>61</v>
      </c>
      <c r="C229" s="29" t="s">
        <v>202</v>
      </c>
      <c r="D229" s="110" t="s">
        <v>203</v>
      </c>
      <c r="E229" s="110" t="s">
        <v>201</v>
      </c>
      <c r="F229" s="81">
        <v>8</v>
      </c>
      <c r="G229" s="81">
        <v>384000</v>
      </c>
      <c r="H229" s="8">
        <v>3072000</v>
      </c>
      <c r="I229" s="81" t="s">
        <v>1279</v>
      </c>
      <c r="J229" s="112"/>
      <c r="K229" s="196"/>
      <c r="L229" s="140"/>
    </row>
    <row r="230" spans="1:12" ht="19.5" customHeight="1" x14ac:dyDescent="0.4">
      <c r="A230" s="482">
        <v>46168</v>
      </c>
      <c r="B230" s="103" t="s">
        <v>61</v>
      </c>
      <c r="C230" s="29" t="s">
        <v>105</v>
      </c>
      <c r="D230" s="110" t="s">
        <v>117</v>
      </c>
      <c r="E230" s="110" t="s">
        <v>201</v>
      </c>
      <c r="F230" s="81">
        <v>6</v>
      </c>
      <c r="G230" s="81">
        <v>248000</v>
      </c>
      <c r="H230" s="8">
        <v>1488000</v>
      </c>
      <c r="I230" s="81" t="s">
        <v>1275</v>
      </c>
      <c r="J230" s="112"/>
      <c r="K230" s="196"/>
      <c r="L230" s="140"/>
    </row>
    <row r="231" spans="1:12" ht="19.5" customHeight="1" x14ac:dyDescent="0.4">
      <c r="A231" s="482">
        <v>46168</v>
      </c>
      <c r="B231" s="103" t="s">
        <v>61</v>
      </c>
      <c r="C231" s="29" t="s">
        <v>105</v>
      </c>
      <c r="D231" s="110" t="s">
        <v>117</v>
      </c>
      <c r="E231" s="110" t="s">
        <v>201</v>
      </c>
      <c r="F231" s="81">
        <v>14</v>
      </c>
      <c r="G231" s="81">
        <v>248000</v>
      </c>
      <c r="H231" s="8">
        <v>3472000</v>
      </c>
      <c r="I231" s="81" t="s">
        <v>1276</v>
      </c>
      <c r="J231" s="112"/>
      <c r="K231" s="196"/>
      <c r="L231" s="140"/>
    </row>
    <row r="232" spans="1:12" ht="19.5" customHeight="1" x14ac:dyDescent="0.4">
      <c r="A232" s="482">
        <v>46168</v>
      </c>
      <c r="B232" s="103" t="s">
        <v>61</v>
      </c>
      <c r="C232" s="29" t="s">
        <v>105</v>
      </c>
      <c r="D232" s="110" t="s">
        <v>117</v>
      </c>
      <c r="E232" s="110" t="s">
        <v>201</v>
      </c>
      <c r="F232" s="81">
        <v>8</v>
      </c>
      <c r="G232" s="81">
        <v>248000</v>
      </c>
      <c r="H232" s="8">
        <v>1984000</v>
      </c>
      <c r="I232" s="81" t="s">
        <v>1279</v>
      </c>
      <c r="J232" s="112"/>
      <c r="K232" s="196"/>
      <c r="L232" s="140"/>
    </row>
    <row r="233" spans="1:12" ht="19.5" customHeight="1" x14ac:dyDescent="0.4">
      <c r="A233" s="482">
        <v>46168</v>
      </c>
      <c r="B233" s="103" t="s">
        <v>61</v>
      </c>
      <c r="C233" s="29" t="s">
        <v>73</v>
      </c>
      <c r="D233" s="110" t="s">
        <v>74</v>
      </c>
      <c r="E233" s="110" t="s">
        <v>201</v>
      </c>
      <c r="F233" s="81">
        <v>3</v>
      </c>
      <c r="G233" s="81">
        <v>442000</v>
      </c>
      <c r="H233" s="8">
        <v>1326000</v>
      </c>
      <c r="I233" s="81" t="s">
        <v>1278</v>
      </c>
      <c r="J233" s="112"/>
      <c r="K233" s="196"/>
      <c r="L233" s="140"/>
    </row>
    <row r="234" spans="1:12" ht="19.5" customHeight="1" x14ac:dyDescent="0.4">
      <c r="A234" s="482">
        <v>46168</v>
      </c>
      <c r="B234" s="103" t="s">
        <v>61</v>
      </c>
      <c r="C234" s="29" t="s">
        <v>105</v>
      </c>
      <c r="D234" s="110" t="s">
        <v>117</v>
      </c>
      <c r="E234" s="110" t="s">
        <v>201</v>
      </c>
      <c r="F234" s="81">
        <v>3</v>
      </c>
      <c r="G234" s="81">
        <v>248000</v>
      </c>
      <c r="H234" s="8">
        <v>744000</v>
      </c>
      <c r="I234" s="81" t="s">
        <v>1277</v>
      </c>
      <c r="J234" s="112"/>
      <c r="K234" s="196"/>
      <c r="L234" s="140"/>
    </row>
    <row r="235" spans="1:12" ht="19.5" customHeight="1" x14ac:dyDescent="0.4">
      <c r="A235" s="482">
        <v>46168</v>
      </c>
      <c r="B235" s="103" t="s">
        <v>61</v>
      </c>
      <c r="C235" s="29" t="s">
        <v>202</v>
      </c>
      <c r="D235" s="110" t="s">
        <v>203</v>
      </c>
      <c r="E235" s="110" t="s">
        <v>201</v>
      </c>
      <c r="F235" s="81">
        <v>4</v>
      </c>
      <c r="G235" s="81">
        <v>384000</v>
      </c>
      <c r="H235" s="8">
        <v>1536000</v>
      </c>
      <c r="I235" s="81" t="s">
        <v>1281</v>
      </c>
      <c r="J235" s="112"/>
      <c r="K235" s="196"/>
      <c r="L235" s="140"/>
    </row>
    <row r="236" spans="1:12" ht="19.5" customHeight="1" x14ac:dyDescent="0.4">
      <c r="A236" s="482">
        <v>46168</v>
      </c>
      <c r="B236" s="103" t="s">
        <v>61</v>
      </c>
      <c r="C236" s="29" t="s">
        <v>105</v>
      </c>
      <c r="D236" s="110" t="s">
        <v>117</v>
      </c>
      <c r="E236" s="110" t="s">
        <v>201</v>
      </c>
      <c r="F236" s="81">
        <v>4</v>
      </c>
      <c r="G236" s="81">
        <v>248000</v>
      </c>
      <c r="H236" s="8">
        <v>992000</v>
      </c>
      <c r="I236" s="81" t="s">
        <v>1281</v>
      </c>
      <c r="J236" s="112"/>
      <c r="K236" s="196"/>
      <c r="L236" s="140"/>
    </row>
    <row r="237" spans="1:12" ht="19.5" customHeight="1" x14ac:dyDescent="0.4">
      <c r="A237" s="482">
        <v>46168</v>
      </c>
      <c r="B237" s="103" t="s">
        <v>61</v>
      </c>
      <c r="C237" s="29" t="s">
        <v>66</v>
      </c>
      <c r="D237" s="110" t="s">
        <v>195</v>
      </c>
      <c r="E237" s="110" t="s">
        <v>201</v>
      </c>
      <c r="F237" s="81">
        <v>14</v>
      </c>
      <c r="G237" s="81">
        <v>1917500</v>
      </c>
      <c r="H237" s="8">
        <v>26845000</v>
      </c>
      <c r="I237" s="81" t="s">
        <v>1276</v>
      </c>
      <c r="J237" s="112"/>
      <c r="K237" s="196"/>
      <c r="L237" s="140"/>
    </row>
    <row r="238" spans="1:12" ht="19.5" customHeight="1" x14ac:dyDescent="0.4">
      <c r="A238" s="482">
        <v>46168</v>
      </c>
      <c r="B238" s="103" t="s">
        <v>61</v>
      </c>
      <c r="C238" s="29" t="s">
        <v>204</v>
      </c>
      <c r="D238" s="110" t="s">
        <v>205</v>
      </c>
      <c r="E238" s="110" t="s">
        <v>201</v>
      </c>
      <c r="F238" s="81">
        <v>14</v>
      </c>
      <c r="G238" s="81">
        <v>1295000</v>
      </c>
      <c r="H238" s="8">
        <v>18130000</v>
      </c>
      <c r="I238" s="81" t="s">
        <v>1276</v>
      </c>
      <c r="J238" s="112"/>
      <c r="K238" s="196"/>
      <c r="L238" s="140"/>
    </row>
    <row r="239" spans="1:12" ht="19.5" customHeight="1" x14ac:dyDescent="0.4">
      <c r="A239" s="482">
        <v>46168</v>
      </c>
      <c r="B239" s="103" t="s">
        <v>61</v>
      </c>
      <c r="C239" s="29" t="s">
        <v>306</v>
      </c>
      <c r="D239" s="110" t="s">
        <v>307</v>
      </c>
      <c r="E239" s="110" t="s">
        <v>201</v>
      </c>
      <c r="F239" s="81">
        <v>6</v>
      </c>
      <c r="G239" s="81">
        <v>520000</v>
      </c>
      <c r="H239" s="8">
        <v>3120000</v>
      </c>
      <c r="I239" s="81" t="s">
        <v>70</v>
      </c>
      <c r="J239" s="112"/>
      <c r="K239" s="196"/>
      <c r="L239" s="140"/>
    </row>
    <row r="240" spans="1:12" ht="19.5" customHeight="1" x14ac:dyDescent="0.4">
      <c r="A240" s="482">
        <v>46168</v>
      </c>
      <c r="B240" s="103" t="s">
        <v>61</v>
      </c>
      <c r="C240" s="29" t="s">
        <v>306</v>
      </c>
      <c r="D240" s="110" t="s">
        <v>307</v>
      </c>
      <c r="E240" s="110" t="s">
        <v>201</v>
      </c>
      <c r="F240" s="81">
        <v>6</v>
      </c>
      <c r="G240" s="81">
        <v>520000</v>
      </c>
      <c r="H240" s="8">
        <v>3120000</v>
      </c>
      <c r="I240" s="81" t="s">
        <v>70</v>
      </c>
      <c r="J240" s="112"/>
      <c r="K240" s="196"/>
      <c r="L240" s="140"/>
    </row>
    <row r="241" spans="1:12" ht="19.5" customHeight="1" x14ac:dyDescent="0.4">
      <c r="A241" s="482">
        <v>46168</v>
      </c>
      <c r="B241" s="103" t="s">
        <v>61</v>
      </c>
      <c r="C241" s="29" t="s">
        <v>99</v>
      </c>
      <c r="D241" s="110" t="s">
        <v>100</v>
      </c>
      <c r="E241" s="110" t="s">
        <v>201</v>
      </c>
      <c r="F241" s="81">
        <v>6</v>
      </c>
      <c r="G241" s="81">
        <v>543000</v>
      </c>
      <c r="H241" s="8">
        <v>3258000</v>
      </c>
      <c r="I241" s="81" t="s">
        <v>70</v>
      </c>
      <c r="J241" s="112"/>
      <c r="K241" s="196"/>
      <c r="L241" s="140"/>
    </row>
    <row r="242" spans="1:12" ht="19.5" customHeight="1" x14ac:dyDescent="0.4">
      <c r="A242" s="482">
        <v>46168</v>
      </c>
      <c r="B242" s="103" t="s">
        <v>61</v>
      </c>
      <c r="C242" s="29" t="s">
        <v>99</v>
      </c>
      <c r="D242" s="110" t="s">
        <v>100</v>
      </c>
      <c r="E242" s="110" t="s">
        <v>201</v>
      </c>
      <c r="F242" s="81">
        <v>6</v>
      </c>
      <c r="G242" s="81">
        <v>543000</v>
      </c>
      <c r="H242" s="8">
        <v>3258000</v>
      </c>
      <c r="I242" s="81" t="s">
        <v>70</v>
      </c>
      <c r="J242" s="112"/>
      <c r="K242" s="196"/>
      <c r="L242" s="140"/>
    </row>
    <row r="243" spans="1:12" ht="19.5" customHeight="1" x14ac:dyDescent="0.4">
      <c r="A243" s="482">
        <v>46168</v>
      </c>
      <c r="B243" s="103" t="s">
        <v>61</v>
      </c>
      <c r="C243" s="29" t="s">
        <v>300</v>
      </c>
      <c r="D243" s="110" t="s">
        <v>1048</v>
      </c>
      <c r="E243" s="110" t="s">
        <v>201</v>
      </c>
      <c r="F243" s="81">
        <v>5</v>
      </c>
      <c r="G243" s="81">
        <v>232000</v>
      </c>
      <c r="H243" s="8">
        <v>1160000</v>
      </c>
      <c r="I243" s="81" t="s">
        <v>70</v>
      </c>
      <c r="J243" s="112"/>
      <c r="K243" s="196"/>
      <c r="L243" s="140"/>
    </row>
    <row r="244" spans="1:12" ht="19.5" customHeight="1" x14ac:dyDescent="0.4">
      <c r="A244" s="482">
        <v>46168</v>
      </c>
      <c r="B244" s="103" t="s">
        <v>61</v>
      </c>
      <c r="C244" s="29" t="s">
        <v>103</v>
      </c>
      <c r="D244" s="110" t="s">
        <v>1421</v>
      </c>
      <c r="E244" s="110" t="s">
        <v>201</v>
      </c>
      <c r="F244" s="81">
        <v>2</v>
      </c>
      <c r="G244" s="81">
        <v>124000</v>
      </c>
      <c r="H244" s="8">
        <v>248000</v>
      </c>
      <c r="I244" s="81" t="s">
        <v>70</v>
      </c>
      <c r="J244" s="112"/>
      <c r="K244" s="196"/>
      <c r="L244" s="140"/>
    </row>
    <row r="245" spans="1:12" ht="19.5" customHeight="1" x14ac:dyDescent="0.4">
      <c r="A245" s="482">
        <v>46168</v>
      </c>
      <c r="B245" s="103" t="s">
        <v>61</v>
      </c>
      <c r="C245" s="29" t="s">
        <v>103</v>
      </c>
      <c r="D245" s="110" t="s">
        <v>1421</v>
      </c>
      <c r="E245" s="110" t="s">
        <v>201</v>
      </c>
      <c r="F245" s="81">
        <v>1</v>
      </c>
      <c r="G245" s="81">
        <v>124000</v>
      </c>
      <c r="H245" s="8">
        <v>124000</v>
      </c>
      <c r="I245" s="81" t="s">
        <v>70</v>
      </c>
      <c r="J245" s="112"/>
      <c r="K245" s="196"/>
      <c r="L245" s="140"/>
    </row>
    <row r="246" spans="1:12" ht="19.5" customHeight="1" x14ac:dyDescent="0.4">
      <c r="A246" s="482">
        <v>46168</v>
      </c>
      <c r="B246" s="103" t="s">
        <v>61</v>
      </c>
      <c r="C246" s="29" t="s">
        <v>99</v>
      </c>
      <c r="D246" s="110" t="s">
        <v>100</v>
      </c>
      <c r="E246" s="110" t="s">
        <v>201</v>
      </c>
      <c r="F246" s="81">
        <v>2</v>
      </c>
      <c r="G246" s="81">
        <v>543000</v>
      </c>
      <c r="H246" s="8">
        <v>1086000</v>
      </c>
      <c r="I246" s="81" t="s">
        <v>70</v>
      </c>
      <c r="J246" s="112"/>
      <c r="K246" s="196"/>
      <c r="L246" s="140"/>
    </row>
    <row r="247" spans="1:12" ht="19.5" customHeight="1" x14ac:dyDescent="0.4">
      <c r="A247" s="482">
        <v>46168</v>
      </c>
      <c r="B247" s="103" t="s">
        <v>61</v>
      </c>
      <c r="C247" s="29" t="s">
        <v>105</v>
      </c>
      <c r="D247" s="110" t="s">
        <v>1282</v>
      </c>
      <c r="E247" s="110" t="s">
        <v>201</v>
      </c>
      <c r="F247" s="81">
        <v>1</v>
      </c>
      <c r="G247" s="81">
        <v>593000</v>
      </c>
      <c r="H247" s="8">
        <v>593000</v>
      </c>
      <c r="I247" s="81" t="s">
        <v>213</v>
      </c>
      <c r="J247" s="112"/>
      <c r="K247" s="196"/>
      <c r="L247" s="140"/>
    </row>
    <row r="248" spans="1:12" ht="19.5" customHeight="1" x14ac:dyDescent="0.4">
      <c r="A248" s="482">
        <v>46168</v>
      </c>
      <c r="B248" s="103" t="s">
        <v>61</v>
      </c>
      <c r="C248" s="29" t="s">
        <v>105</v>
      </c>
      <c r="D248" s="110" t="s">
        <v>1282</v>
      </c>
      <c r="E248" s="110" t="s">
        <v>201</v>
      </c>
      <c r="F248" s="81">
        <v>1</v>
      </c>
      <c r="G248" s="81">
        <v>593000</v>
      </c>
      <c r="H248" s="8">
        <v>593000</v>
      </c>
      <c r="I248" s="81" t="s">
        <v>213</v>
      </c>
      <c r="J248" s="112"/>
      <c r="K248" s="196"/>
      <c r="L248" s="140"/>
    </row>
    <row r="249" spans="1:12" ht="19.5" customHeight="1" x14ac:dyDescent="0.4">
      <c r="A249" s="482">
        <v>46170</v>
      </c>
      <c r="B249" s="103" t="s">
        <v>61</v>
      </c>
      <c r="C249" s="29" t="s">
        <v>105</v>
      </c>
      <c r="D249" s="110" t="s">
        <v>505</v>
      </c>
      <c r="E249" s="110" t="s">
        <v>201</v>
      </c>
      <c r="F249" s="81">
        <v>1</v>
      </c>
      <c r="G249" s="81">
        <v>54300</v>
      </c>
      <c r="H249" s="8">
        <v>54300</v>
      </c>
      <c r="I249" s="81" t="s">
        <v>70</v>
      </c>
      <c r="J249" s="112"/>
      <c r="K249" s="196"/>
      <c r="L249" s="140"/>
    </row>
    <row r="250" spans="1:12" ht="19.5" customHeight="1" x14ac:dyDescent="0.4">
      <c r="A250" s="482">
        <v>46171</v>
      </c>
      <c r="B250" s="103" t="s">
        <v>61</v>
      </c>
      <c r="C250" s="29" t="s">
        <v>71</v>
      </c>
      <c r="D250" s="110" t="s">
        <v>72</v>
      </c>
      <c r="E250" s="110" t="s">
        <v>201</v>
      </c>
      <c r="F250" s="81">
        <v>7</v>
      </c>
      <c r="G250" s="81">
        <v>548000</v>
      </c>
      <c r="H250" s="8">
        <v>3836000</v>
      </c>
      <c r="I250" s="81" t="s">
        <v>1279</v>
      </c>
      <c r="J250" s="112"/>
      <c r="K250" s="196"/>
      <c r="L250" s="140"/>
    </row>
    <row r="251" spans="1:12" ht="19.5" customHeight="1" x14ac:dyDescent="0.4">
      <c r="A251" s="482">
        <v>46171</v>
      </c>
      <c r="B251" s="103" t="s">
        <v>61</v>
      </c>
      <c r="C251" s="29" t="s">
        <v>67</v>
      </c>
      <c r="D251" s="110" t="s">
        <v>80</v>
      </c>
      <c r="E251" s="110" t="s">
        <v>201</v>
      </c>
      <c r="F251" s="81">
        <v>7</v>
      </c>
      <c r="G251" s="81">
        <v>384000</v>
      </c>
      <c r="H251" s="8">
        <v>2688000</v>
      </c>
      <c r="I251" s="81" t="s">
        <v>1414</v>
      </c>
      <c r="J251" s="112"/>
      <c r="K251" s="196"/>
      <c r="L251" s="140"/>
    </row>
    <row r="252" spans="1:12" ht="19.5" customHeight="1" x14ac:dyDescent="0.4">
      <c r="A252" s="482">
        <v>46171</v>
      </c>
      <c r="B252" s="103" t="s">
        <v>61</v>
      </c>
      <c r="C252" s="29" t="s">
        <v>67</v>
      </c>
      <c r="D252" s="110" t="s">
        <v>80</v>
      </c>
      <c r="E252" s="110" t="s">
        <v>201</v>
      </c>
      <c r="F252" s="81">
        <v>8</v>
      </c>
      <c r="G252" s="81">
        <v>384000</v>
      </c>
      <c r="H252" s="8">
        <v>3072000</v>
      </c>
      <c r="I252" s="81" t="s">
        <v>1279</v>
      </c>
      <c r="J252" s="112"/>
      <c r="K252" s="196"/>
      <c r="L252" s="140"/>
    </row>
    <row r="253" spans="1:12" ht="19.5" customHeight="1" x14ac:dyDescent="0.4">
      <c r="A253" s="482">
        <v>46171</v>
      </c>
      <c r="B253" s="103" t="s">
        <v>61</v>
      </c>
      <c r="C253" s="29" t="s">
        <v>62</v>
      </c>
      <c r="D253" s="110" t="s">
        <v>75</v>
      </c>
      <c r="E253" s="110" t="s">
        <v>201</v>
      </c>
      <c r="F253" s="81">
        <v>2</v>
      </c>
      <c r="G253" s="81">
        <v>442000</v>
      </c>
      <c r="H253" s="8">
        <v>884000</v>
      </c>
      <c r="I253" s="81" t="s">
        <v>1276</v>
      </c>
      <c r="J253" s="112"/>
      <c r="K253" s="196"/>
      <c r="L253" s="140"/>
    </row>
    <row r="254" spans="1:12" ht="19.5" customHeight="1" x14ac:dyDescent="0.4">
      <c r="A254" s="482">
        <v>46171</v>
      </c>
      <c r="B254" s="103" t="s">
        <v>61</v>
      </c>
      <c r="C254" s="29" t="s">
        <v>81</v>
      </c>
      <c r="D254" s="110" t="s">
        <v>82</v>
      </c>
      <c r="E254" s="110" t="s">
        <v>201</v>
      </c>
      <c r="F254" s="81">
        <v>13</v>
      </c>
      <c r="G254" s="81">
        <v>86300</v>
      </c>
      <c r="H254" s="8">
        <v>1121900</v>
      </c>
      <c r="I254" s="81" t="s">
        <v>1420</v>
      </c>
      <c r="J254" s="112"/>
      <c r="K254" s="196"/>
      <c r="L254" s="140"/>
    </row>
    <row r="255" spans="1:12" ht="19.5" customHeight="1" x14ac:dyDescent="0.4">
      <c r="A255" s="482">
        <v>46171</v>
      </c>
      <c r="B255" s="103" t="s">
        <v>61</v>
      </c>
      <c r="C255" s="29" t="s">
        <v>71</v>
      </c>
      <c r="D255" s="110" t="s">
        <v>72</v>
      </c>
      <c r="E255" s="110" t="s">
        <v>201</v>
      </c>
      <c r="F255" s="81">
        <v>3</v>
      </c>
      <c r="G255" s="81">
        <v>548000</v>
      </c>
      <c r="H255" s="8">
        <v>1644000</v>
      </c>
      <c r="I255" s="81" t="s">
        <v>1277</v>
      </c>
      <c r="J255" s="112"/>
      <c r="K255" s="196"/>
      <c r="L255" s="140"/>
    </row>
    <row r="256" spans="1:12" ht="19.5" customHeight="1" x14ac:dyDescent="0.4">
      <c r="A256" s="482">
        <v>46171</v>
      </c>
      <c r="B256" s="103" t="s">
        <v>61</v>
      </c>
      <c r="C256" s="29" t="s">
        <v>71</v>
      </c>
      <c r="D256" s="110" t="s">
        <v>72</v>
      </c>
      <c r="E256" s="110" t="s">
        <v>201</v>
      </c>
      <c r="F256" s="81">
        <v>3</v>
      </c>
      <c r="G256" s="81">
        <v>548000</v>
      </c>
      <c r="H256" s="8">
        <v>1644000</v>
      </c>
      <c r="I256" s="81" t="s">
        <v>1278</v>
      </c>
      <c r="J256" s="112"/>
      <c r="K256" s="196"/>
      <c r="L256" s="140"/>
    </row>
    <row r="257" spans="1:12" ht="19.5" customHeight="1" x14ac:dyDescent="0.4">
      <c r="A257" s="482">
        <v>46171</v>
      </c>
      <c r="B257" s="103" t="s">
        <v>61</v>
      </c>
      <c r="C257" s="29" t="s">
        <v>67</v>
      </c>
      <c r="D257" s="110" t="s">
        <v>80</v>
      </c>
      <c r="E257" s="110" t="s">
        <v>201</v>
      </c>
      <c r="F257" s="81">
        <v>3</v>
      </c>
      <c r="G257" s="81">
        <v>384000</v>
      </c>
      <c r="H257" s="8">
        <v>1152000</v>
      </c>
      <c r="I257" s="81" t="s">
        <v>1278</v>
      </c>
      <c r="J257" s="112"/>
      <c r="K257" s="196"/>
      <c r="L257" s="140"/>
    </row>
    <row r="258" spans="1:12" ht="19.5" customHeight="1" x14ac:dyDescent="0.4">
      <c r="A258" s="482">
        <v>46171</v>
      </c>
      <c r="B258" s="103" t="s">
        <v>61</v>
      </c>
      <c r="C258" s="29" t="s">
        <v>62</v>
      </c>
      <c r="D258" s="110" t="s">
        <v>75</v>
      </c>
      <c r="E258" s="110" t="s">
        <v>201</v>
      </c>
      <c r="F258" s="81">
        <v>3</v>
      </c>
      <c r="G258" s="81">
        <v>442000</v>
      </c>
      <c r="H258" s="8">
        <v>1326000</v>
      </c>
      <c r="I258" s="81" t="s">
        <v>1084</v>
      </c>
      <c r="J258" s="112"/>
      <c r="K258" s="196"/>
      <c r="L258" s="140"/>
    </row>
    <row r="259" spans="1:12" ht="19.5" customHeight="1" x14ac:dyDescent="0.4">
      <c r="A259" s="482">
        <v>46171</v>
      </c>
      <c r="B259" s="103" t="s">
        <v>61</v>
      </c>
      <c r="C259" s="29" t="s">
        <v>118</v>
      </c>
      <c r="D259" s="110" t="s">
        <v>119</v>
      </c>
      <c r="E259" s="110" t="s">
        <v>201</v>
      </c>
      <c r="F259" s="81">
        <v>10</v>
      </c>
      <c r="G259" s="81">
        <v>7790000</v>
      </c>
      <c r="H259" s="8">
        <v>77900000</v>
      </c>
      <c r="I259" s="81" t="s">
        <v>120</v>
      </c>
      <c r="J259" s="112"/>
      <c r="K259" s="196"/>
      <c r="L259" s="140"/>
    </row>
    <row r="260" spans="1:12" ht="19.5" customHeight="1" x14ac:dyDescent="0.4">
      <c r="A260" s="482">
        <v>46171</v>
      </c>
      <c r="B260" s="103" t="s">
        <v>61</v>
      </c>
      <c r="C260" s="29" t="s">
        <v>118</v>
      </c>
      <c r="D260" s="110" t="s">
        <v>119</v>
      </c>
      <c r="E260" s="110" t="s">
        <v>201</v>
      </c>
      <c r="F260" s="81">
        <v>10</v>
      </c>
      <c r="G260" s="81">
        <v>7790000</v>
      </c>
      <c r="H260" s="8">
        <v>77900000</v>
      </c>
      <c r="I260" s="81" t="s">
        <v>120</v>
      </c>
      <c r="J260" s="112"/>
      <c r="K260" s="196"/>
      <c r="L260" s="140"/>
    </row>
    <row r="261" spans="1:12" ht="19.5" customHeight="1" x14ac:dyDescent="0.4">
      <c r="A261" s="482">
        <v>46171</v>
      </c>
      <c r="B261" s="103" t="s">
        <v>61</v>
      </c>
      <c r="C261" s="29" t="s">
        <v>66</v>
      </c>
      <c r="D261" s="110" t="s">
        <v>195</v>
      </c>
      <c r="E261" s="110" t="s">
        <v>201</v>
      </c>
      <c r="F261" s="81">
        <v>6</v>
      </c>
      <c r="G261" s="81">
        <v>1917500</v>
      </c>
      <c r="H261" s="8">
        <v>11505000</v>
      </c>
      <c r="I261" s="81" t="s">
        <v>1414</v>
      </c>
      <c r="J261" s="112"/>
      <c r="K261" s="196"/>
      <c r="L261" s="140"/>
    </row>
    <row r="262" spans="1:12" ht="19.5" customHeight="1" x14ac:dyDescent="0.4">
      <c r="A262" s="482">
        <v>46171</v>
      </c>
      <c r="B262" s="103" t="s">
        <v>61</v>
      </c>
      <c r="C262" s="29" t="s">
        <v>66</v>
      </c>
      <c r="D262" s="110" t="s">
        <v>195</v>
      </c>
      <c r="E262" s="110" t="s">
        <v>201</v>
      </c>
      <c r="F262" s="81">
        <v>8</v>
      </c>
      <c r="G262" s="81">
        <v>1917500</v>
      </c>
      <c r="H262" s="8">
        <v>15340000</v>
      </c>
      <c r="I262" s="81" t="s">
        <v>1279</v>
      </c>
      <c r="J262" s="112"/>
      <c r="K262" s="196"/>
      <c r="L262" s="140"/>
    </row>
    <row r="263" spans="1:12" ht="19.5" customHeight="1" x14ac:dyDescent="0.4">
      <c r="A263" s="482">
        <v>46171</v>
      </c>
      <c r="B263" s="103" t="s">
        <v>61</v>
      </c>
      <c r="C263" s="29" t="s">
        <v>64</v>
      </c>
      <c r="D263" s="110" t="s">
        <v>65</v>
      </c>
      <c r="E263" s="110" t="s">
        <v>201</v>
      </c>
      <c r="F263" s="81">
        <v>5</v>
      </c>
      <c r="G263" s="81">
        <v>1568700</v>
      </c>
      <c r="H263" s="8">
        <v>7843500</v>
      </c>
      <c r="I263" s="81" t="s">
        <v>1279</v>
      </c>
      <c r="J263" s="112"/>
      <c r="K263" s="196"/>
      <c r="L263" s="140"/>
    </row>
    <row r="264" spans="1:12" ht="19.5" customHeight="1" x14ac:dyDescent="0.4">
      <c r="A264" s="482">
        <v>46171</v>
      </c>
      <c r="B264" s="103" t="s">
        <v>61</v>
      </c>
      <c r="C264" s="29" t="s">
        <v>204</v>
      </c>
      <c r="D264" s="110" t="s">
        <v>205</v>
      </c>
      <c r="E264" s="110" t="s">
        <v>201</v>
      </c>
      <c r="F264" s="81">
        <v>3</v>
      </c>
      <c r="G264" s="81">
        <v>1295000</v>
      </c>
      <c r="H264" s="8">
        <v>3885000</v>
      </c>
      <c r="I264" s="81" t="s">
        <v>1280</v>
      </c>
      <c r="J264" s="112"/>
      <c r="K264" s="196"/>
      <c r="L264" s="140"/>
    </row>
    <row r="265" spans="1:12" ht="19.5" customHeight="1" x14ac:dyDescent="0.4">
      <c r="A265" s="482">
        <v>46171</v>
      </c>
      <c r="B265" s="103" t="s">
        <v>61</v>
      </c>
      <c r="C265" s="29" t="s">
        <v>204</v>
      </c>
      <c r="D265" s="110" t="s">
        <v>205</v>
      </c>
      <c r="E265" s="110" t="s">
        <v>201</v>
      </c>
      <c r="F265" s="81">
        <v>3</v>
      </c>
      <c r="G265" s="81">
        <v>1295000</v>
      </c>
      <c r="H265" s="8">
        <v>3885000</v>
      </c>
      <c r="I265" s="81" t="s">
        <v>1277</v>
      </c>
      <c r="J265" s="112"/>
      <c r="K265" s="196"/>
      <c r="L265" s="140"/>
    </row>
    <row r="266" spans="1:12" ht="19.5" customHeight="1" x14ac:dyDescent="0.4">
      <c r="A266" s="482">
        <v>46171</v>
      </c>
      <c r="B266" s="103" t="s">
        <v>61</v>
      </c>
      <c r="C266" s="29" t="s">
        <v>66</v>
      </c>
      <c r="D266" s="110" t="s">
        <v>195</v>
      </c>
      <c r="E266" s="110" t="s">
        <v>201</v>
      </c>
      <c r="F266" s="81">
        <v>4</v>
      </c>
      <c r="G266" s="81">
        <v>1917500</v>
      </c>
      <c r="H266" s="8">
        <v>7670000</v>
      </c>
      <c r="I266" s="81" t="s">
        <v>1281</v>
      </c>
      <c r="J266" s="112"/>
      <c r="K266" s="196"/>
      <c r="L266" s="140"/>
    </row>
    <row r="267" spans="1:12" ht="19.5" customHeight="1" x14ac:dyDescent="0.4">
      <c r="A267" s="482">
        <v>46171</v>
      </c>
      <c r="B267" s="103" t="s">
        <v>61</v>
      </c>
      <c r="C267" s="29" t="s">
        <v>190</v>
      </c>
      <c r="D267" s="110" t="s">
        <v>214</v>
      </c>
      <c r="E267" s="110" t="s">
        <v>201</v>
      </c>
      <c r="F267" s="81">
        <v>1</v>
      </c>
      <c r="G267" s="81">
        <v>181000</v>
      </c>
      <c r="H267" s="8">
        <v>181000</v>
      </c>
      <c r="I267" s="81" t="s">
        <v>213</v>
      </c>
      <c r="J267" s="112"/>
      <c r="K267" s="196"/>
      <c r="L267" s="140"/>
    </row>
    <row r="268" spans="1:12" ht="19.5" customHeight="1" x14ac:dyDescent="0.4">
      <c r="A268" s="482">
        <v>46171</v>
      </c>
      <c r="B268" s="103" t="s">
        <v>61</v>
      </c>
      <c r="C268" s="29" t="s">
        <v>190</v>
      </c>
      <c r="D268" s="110" t="s">
        <v>214</v>
      </c>
      <c r="E268" s="110" t="s">
        <v>201</v>
      </c>
      <c r="F268" s="81">
        <v>1</v>
      </c>
      <c r="G268" s="81">
        <v>181000</v>
      </c>
      <c r="H268" s="8">
        <v>181000</v>
      </c>
      <c r="I268" s="81" t="s">
        <v>213</v>
      </c>
      <c r="J268" s="112"/>
      <c r="K268" s="196"/>
      <c r="L268" s="140"/>
    </row>
    <row r="269" spans="1:12" ht="19.5" customHeight="1" x14ac:dyDescent="0.4">
      <c r="A269" s="482">
        <v>46171</v>
      </c>
      <c r="B269" s="103" t="s">
        <v>61</v>
      </c>
      <c r="C269" s="29" t="s">
        <v>106</v>
      </c>
      <c r="D269" s="110" t="s">
        <v>107</v>
      </c>
      <c r="E269" s="110" t="s">
        <v>201</v>
      </c>
      <c r="F269" s="81">
        <v>1</v>
      </c>
      <c r="G269" s="81">
        <v>333000</v>
      </c>
      <c r="H269" s="8">
        <v>333000</v>
      </c>
      <c r="I269" s="81" t="s">
        <v>213</v>
      </c>
      <c r="J269" s="112"/>
      <c r="K269" s="196"/>
      <c r="L269" s="140"/>
    </row>
    <row r="270" spans="1:12" ht="19.5" customHeight="1" x14ac:dyDescent="0.4">
      <c r="A270" s="482">
        <v>46171</v>
      </c>
      <c r="B270" s="103" t="s">
        <v>61</v>
      </c>
      <c r="C270" s="29" t="s">
        <v>106</v>
      </c>
      <c r="D270" s="110" t="s">
        <v>107</v>
      </c>
      <c r="E270" s="110" t="s">
        <v>201</v>
      </c>
      <c r="F270" s="81">
        <v>1</v>
      </c>
      <c r="G270" s="81">
        <v>333000</v>
      </c>
      <c r="H270" s="8">
        <v>333000</v>
      </c>
      <c r="I270" s="81" t="s">
        <v>213</v>
      </c>
      <c r="J270" s="112"/>
      <c r="K270" s="196"/>
      <c r="L270" s="140"/>
    </row>
    <row r="271" spans="1:12" ht="19.5" customHeight="1" x14ac:dyDescent="0.4">
      <c r="A271" s="482">
        <v>46171</v>
      </c>
      <c r="B271" s="103" t="s">
        <v>61</v>
      </c>
      <c r="C271" s="29" t="s">
        <v>358</v>
      </c>
      <c r="D271" s="110" t="s">
        <v>359</v>
      </c>
      <c r="E271" s="110" t="s">
        <v>201</v>
      </c>
      <c r="F271" s="81">
        <v>5</v>
      </c>
      <c r="G271" s="81">
        <v>318000</v>
      </c>
      <c r="H271" s="8">
        <v>1590000</v>
      </c>
      <c r="I271" s="81" t="s">
        <v>70</v>
      </c>
      <c r="J271" s="112"/>
      <c r="K271" s="196"/>
      <c r="L271" s="140"/>
    </row>
    <row r="272" spans="1:12" ht="19.5" customHeight="1" x14ac:dyDescent="0.4">
      <c r="A272" s="482">
        <v>46171</v>
      </c>
      <c r="B272" s="103" t="s">
        <v>61</v>
      </c>
      <c r="C272" s="29" t="s">
        <v>108</v>
      </c>
      <c r="D272" s="110" t="s">
        <v>112</v>
      </c>
      <c r="E272" s="110" t="s">
        <v>201</v>
      </c>
      <c r="F272" s="81">
        <v>2</v>
      </c>
      <c r="G272" s="81">
        <v>150000</v>
      </c>
      <c r="H272" s="8">
        <v>300000</v>
      </c>
      <c r="I272" s="81" t="s">
        <v>212</v>
      </c>
      <c r="J272" s="112"/>
      <c r="K272" s="196"/>
      <c r="L272" s="140"/>
    </row>
    <row r="273" spans="1:13" ht="19.5" customHeight="1" x14ac:dyDescent="0.4">
      <c r="A273" s="482">
        <v>46171</v>
      </c>
      <c r="B273" s="103" t="s">
        <v>61</v>
      </c>
      <c r="C273" s="29" t="s">
        <v>358</v>
      </c>
      <c r="D273" s="110" t="s">
        <v>359</v>
      </c>
      <c r="E273" s="110" t="s">
        <v>201</v>
      </c>
      <c r="F273" s="81">
        <v>3</v>
      </c>
      <c r="G273" s="81">
        <v>318000</v>
      </c>
      <c r="H273" s="8">
        <v>954000</v>
      </c>
      <c r="I273" s="81" t="s">
        <v>70</v>
      </c>
      <c r="J273" s="112"/>
      <c r="K273" s="196"/>
      <c r="L273" s="140"/>
    </row>
    <row r="274" spans="1:13" ht="19.5" customHeight="1" x14ac:dyDescent="0.4">
      <c r="A274" s="482">
        <v>46171</v>
      </c>
      <c r="B274" s="103" t="s">
        <v>61</v>
      </c>
      <c r="C274" s="29" t="s">
        <v>95</v>
      </c>
      <c r="D274" s="110" t="s">
        <v>96</v>
      </c>
      <c r="E274" s="110" t="s">
        <v>201</v>
      </c>
      <c r="F274" s="81">
        <v>8</v>
      </c>
      <c r="G274" s="81">
        <v>12000</v>
      </c>
      <c r="H274" s="8">
        <v>96000</v>
      </c>
      <c r="I274" s="81" t="s">
        <v>70</v>
      </c>
      <c r="J274" s="112"/>
      <c r="K274" s="196"/>
      <c r="L274" s="140"/>
    </row>
    <row r="275" spans="1:13" ht="19.5" customHeight="1" x14ac:dyDescent="0.4">
      <c r="A275" s="482">
        <v>46171</v>
      </c>
      <c r="B275" s="103" t="s">
        <v>61</v>
      </c>
      <c r="C275" s="29" t="s">
        <v>358</v>
      </c>
      <c r="D275" s="110" t="s">
        <v>359</v>
      </c>
      <c r="E275" s="110" t="s">
        <v>201</v>
      </c>
      <c r="F275" s="81">
        <v>4</v>
      </c>
      <c r="G275" s="81">
        <v>318000</v>
      </c>
      <c r="H275" s="8">
        <v>1272000</v>
      </c>
      <c r="I275" s="81" t="s">
        <v>1082</v>
      </c>
      <c r="J275" s="112"/>
      <c r="K275" s="196"/>
      <c r="L275" s="140"/>
    </row>
    <row r="276" spans="1:13" s="3" customFormat="1" ht="19.5" customHeight="1" x14ac:dyDescent="0.4">
      <c r="A276" s="482">
        <v>46106</v>
      </c>
      <c r="B276" s="103" t="s">
        <v>61</v>
      </c>
      <c r="C276" s="29" t="s">
        <v>407</v>
      </c>
      <c r="D276" s="110" t="s">
        <v>531</v>
      </c>
      <c r="E276" s="110"/>
      <c r="F276" s="81">
        <v>4</v>
      </c>
      <c r="G276" s="81">
        <v>239000</v>
      </c>
      <c r="H276" s="36">
        <f>F276*G276</f>
        <v>956000</v>
      </c>
      <c r="I276" s="81" t="s">
        <v>1523</v>
      </c>
      <c r="J276" s="487"/>
      <c r="K276" s="196"/>
      <c r="L276" s="196"/>
      <c r="M276" s="89"/>
    </row>
    <row r="277" spans="1:13" ht="19.5" customHeight="1" x14ac:dyDescent="0.4">
      <c r="A277" s="484">
        <v>46171</v>
      </c>
      <c r="B277" s="59" t="s">
        <v>61</v>
      </c>
      <c r="C277" s="61" t="s">
        <v>81</v>
      </c>
      <c r="D277" s="59" t="s">
        <v>1422</v>
      </c>
      <c r="E277" s="59"/>
      <c r="F277" s="197">
        <v>22</v>
      </c>
      <c r="G277" s="49">
        <v>86300</v>
      </c>
      <c r="H277" s="7">
        <f>F277*G277</f>
        <v>1898600</v>
      </c>
      <c r="I277" s="624" t="s">
        <v>1524</v>
      </c>
      <c r="J277" s="109"/>
      <c r="K277" s="144"/>
      <c r="L277" s="140">
        <v>0</v>
      </c>
    </row>
    <row r="278" spans="1:13" ht="19.5" customHeight="1" x14ac:dyDescent="0.4">
      <c r="A278" s="484">
        <v>46171</v>
      </c>
      <c r="B278" s="59" t="s">
        <v>61</v>
      </c>
      <c r="C278" s="61" t="s">
        <v>105</v>
      </c>
      <c r="D278" s="59" t="s">
        <v>117</v>
      </c>
      <c r="E278" s="59"/>
      <c r="F278" s="197">
        <v>32</v>
      </c>
      <c r="G278" s="49">
        <v>248000</v>
      </c>
      <c r="H278" s="7">
        <f>F278*G278</f>
        <v>7936000</v>
      </c>
      <c r="I278" s="49" t="s">
        <v>1522</v>
      </c>
      <c r="J278" s="109"/>
      <c r="K278" s="144"/>
      <c r="L278" s="140">
        <v>0</v>
      </c>
    </row>
    <row r="279" spans="1:13" ht="19.5" customHeight="1" x14ac:dyDescent="0.4">
      <c r="A279" s="484">
        <v>46171</v>
      </c>
      <c r="B279" s="59" t="s">
        <v>61</v>
      </c>
      <c r="C279" s="61" t="s">
        <v>64</v>
      </c>
      <c r="D279" s="59" t="s">
        <v>888</v>
      </c>
      <c r="E279" s="59"/>
      <c r="F279" s="197">
        <v>9</v>
      </c>
      <c r="G279" s="49">
        <v>1568700</v>
      </c>
      <c r="H279" s="7">
        <f>F279*G279</f>
        <v>14118300</v>
      </c>
      <c r="I279" s="49" t="s">
        <v>1522</v>
      </c>
      <c r="J279" s="109"/>
      <c r="K279" s="144"/>
      <c r="L279" s="140">
        <v>0</v>
      </c>
    </row>
    <row r="280" spans="1:13" ht="19.5" customHeight="1" x14ac:dyDescent="0.4">
      <c r="A280" s="484">
        <v>46171</v>
      </c>
      <c r="B280" s="59" t="s">
        <v>61</v>
      </c>
      <c r="C280" s="61" t="s">
        <v>202</v>
      </c>
      <c r="D280" s="59" t="s">
        <v>203</v>
      </c>
      <c r="E280" s="59"/>
      <c r="F280" s="197">
        <v>24</v>
      </c>
      <c r="G280" s="49">
        <v>384000</v>
      </c>
      <c r="H280" s="7">
        <f>F280*G280</f>
        <v>9216000</v>
      </c>
      <c r="I280" s="49" t="s">
        <v>1522</v>
      </c>
      <c r="J280" s="109"/>
      <c r="K280" s="144"/>
      <c r="L280" s="140">
        <v>0</v>
      </c>
    </row>
    <row r="281" spans="1:13" ht="19.5" customHeight="1" x14ac:dyDescent="0.4">
      <c r="A281" s="483"/>
      <c r="B281" s="194"/>
      <c r="C281" s="40"/>
      <c r="D281" s="194"/>
      <c r="E281" s="194"/>
      <c r="F281" s="91"/>
      <c r="G281" s="138"/>
      <c r="H281" s="138">
        <f>SUM(H116:H275)</f>
        <v>679152500</v>
      </c>
      <c r="I281" s="138"/>
      <c r="J281" s="138"/>
      <c r="K281" s="145"/>
      <c r="L281" s="621"/>
    </row>
    <row r="282" spans="1:13" ht="17.399999999999999" x14ac:dyDescent="0.4">
      <c r="A282" s="540">
        <v>46164</v>
      </c>
      <c r="B282" s="548" t="s">
        <v>134</v>
      </c>
      <c r="C282" s="542" t="s">
        <v>418</v>
      </c>
      <c r="D282" s="544" t="s">
        <v>1119</v>
      </c>
      <c r="E282" s="544" t="s">
        <v>17</v>
      </c>
      <c r="F282" s="545">
        <v>107</v>
      </c>
      <c r="G282" s="545">
        <v>336730</v>
      </c>
      <c r="H282" s="546">
        <f t="shared" ref="H282:H328" si="5">F282*G282</f>
        <v>36030110</v>
      </c>
      <c r="I282" s="67" t="s">
        <v>1434</v>
      </c>
      <c r="J282" s="67"/>
      <c r="K282" s="67"/>
      <c r="L282" s="67" t="s">
        <v>1068</v>
      </c>
    </row>
    <row r="283" spans="1:13" ht="17.399999999999999" x14ac:dyDescent="0.4">
      <c r="A283" s="540">
        <v>46164</v>
      </c>
      <c r="B283" s="548" t="s">
        <v>134</v>
      </c>
      <c r="C283" s="542" t="s">
        <v>385</v>
      </c>
      <c r="D283" s="544" t="s">
        <v>386</v>
      </c>
      <c r="E283" s="544" t="s">
        <v>17</v>
      </c>
      <c r="F283" s="545">
        <v>66</v>
      </c>
      <c r="G283" s="545">
        <v>185800</v>
      </c>
      <c r="H283" s="546">
        <f t="shared" si="5"/>
        <v>12262800</v>
      </c>
      <c r="I283" s="67" t="s">
        <v>1434</v>
      </c>
      <c r="J283" s="67"/>
      <c r="K283" s="67"/>
      <c r="L283" s="67" t="s">
        <v>1068</v>
      </c>
    </row>
    <row r="284" spans="1:13" ht="17.399999999999999" x14ac:dyDescent="0.4">
      <c r="A284" s="540">
        <v>46150</v>
      </c>
      <c r="B284" s="548" t="s">
        <v>134</v>
      </c>
      <c r="C284" s="542" t="s">
        <v>1117</v>
      </c>
      <c r="D284" s="663" t="s">
        <v>1118</v>
      </c>
      <c r="E284" s="544" t="s">
        <v>17</v>
      </c>
      <c r="F284" s="664">
        <v>60</v>
      </c>
      <c r="G284" s="546">
        <v>214160</v>
      </c>
      <c r="H284" s="665">
        <f t="shared" si="5"/>
        <v>12849600</v>
      </c>
      <c r="I284" s="142" t="s">
        <v>1525</v>
      </c>
      <c r="J284" s="67"/>
      <c r="K284" s="67"/>
      <c r="L284" s="409"/>
    </row>
    <row r="285" spans="1:13" ht="17.399999999999999" x14ac:dyDescent="0.4">
      <c r="A285" s="540">
        <v>46150</v>
      </c>
      <c r="B285" s="569" t="s">
        <v>134</v>
      </c>
      <c r="C285" s="666" t="s">
        <v>369</v>
      </c>
      <c r="D285" s="667" t="s">
        <v>1427</v>
      </c>
      <c r="E285" s="541" t="s">
        <v>17</v>
      </c>
      <c r="F285" s="664">
        <v>122</v>
      </c>
      <c r="G285" s="570">
        <v>99220</v>
      </c>
      <c r="H285" s="665">
        <f t="shared" si="5"/>
        <v>12104840</v>
      </c>
      <c r="I285" s="142" t="s">
        <v>1525</v>
      </c>
      <c r="J285" s="67"/>
      <c r="K285" s="67"/>
      <c r="L285" s="409"/>
    </row>
    <row r="286" spans="1:13" ht="17.399999999999999" x14ac:dyDescent="0.4">
      <c r="A286" s="540">
        <v>46150</v>
      </c>
      <c r="B286" s="569" t="s">
        <v>134</v>
      </c>
      <c r="C286" s="664" t="s">
        <v>1428</v>
      </c>
      <c r="D286" s="668">
        <v>8351322</v>
      </c>
      <c r="E286" s="569" t="s">
        <v>13</v>
      </c>
      <c r="F286" s="664">
        <v>19</v>
      </c>
      <c r="G286" s="669">
        <v>136940</v>
      </c>
      <c r="H286" s="665">
        <f t="shared" si="5"/>
        <v>2601860</v>
      </c>
      <c r="I286" s="142" t="s">
        <v>1525</v>
      </c>
      <c r="J286" s="67"/>
      <c r="K286" s="67"/>
      <c r="L286" s="409"/>
    </row>
    <row r="287" spans="1:13" ht="17.399999999999999" x14ac:dyDescent="0.4">
      <c r="A287" s="670">
        <v>46157</v>
      </c>
      <c r="B287" s="548" t="s">
        <v>134</v>
      </c>
      <c r="C287" s="547" t="s">
        <v>367</v>
      </c>
      <c r="D287" s="671" t="s">
        <v>1432</v>
      </c>
      <c r="E287" s="672" t="s">
        <v>17</v>
      </c>
      <c r="F287" s="673">
        <v>87</v>
      </c>
      <c r="G287" s="674">
        <v>96490</v>
      </c>
      <c r="H287" s="665">
        <f t="shared" si="5"/>
        <v>8394630</v>
      </c>
      <c r="I287" s="142" t="s">
        <v>1525</v>
      </c>
      <c r="J287" s="67"/>
      <c r="K287" s="67"/>
      <c r="L287" s="67">
        <v>0</v>
      </c>
    </row>
    <row r="288" spans="1:13" s="50" customFormat="1" ht="18.75" customHeight="1" x14ac:dyDescent="0.4">
      <c r="A288" s="540">
        <v>46142</v>
      </c>
      <c r="B288" s="548" t="s">
        <v>128</v>
      </c>
      <c r="C288" s="542" t="s">
        <v>132</v>
      </c>
      <c r="D288" s="544" t="s">
        <v>1120</v>
      </c>
      <c r="E288" s="544" t="s">
        <v>13</v>
      </c>
      <c r="F288" s="545">
        <v>12</v>
      </c>
      <c r="G288" s="546">
        <v>3225880</v>
      </c>
      <c r="H288" s="546">
        <f t="shared" si="5"/>
        <v>38710560</v>
      </c>
      <c r="I288" s="142" t="s">
        <v>1525</v>
      </c>
      <c r="J288" s="67"/>
      <c r="K288" s="67"/>
      <c r="L288" s="67" t="s">
        <v>1247</v>
      </c>
    </row>
    <row r="289" spans="1:12" ht="26.4" x14ac:dyDescent="0.4">
      <c r="A289" s="540">
        <v>46157</v>
      </c>
      <c r="B289" s="548" t="s">
        <v>134</v>
      </c>
      <c r="C289" s="669" t="s">
        <v>132</v>
      </c>
      <c r="D289" s="553" t="s">
        <v>1431</v>
      </c>
      <c r="E289" s="544" t="s">
        <v>13</v>
      </c>
      <c r="F289" s="669">
        <v>5</v>
      </c>
      <c r="G289" s="669">
        <v>3225880</v>
      </c>
      <c r="H289" s="665">
        <f t="shared" si="5"/>
        <v>16129400</v>
      </c>
      <c r="I289" s="142" t="s">
        <v>1525</v>
      </c>
      <c r="J289" s="67"/>
      <c r="K289" s="67"/>
      <c r="L289" s="67"/>
    </row>
    <row r="290" spans="1:12" ht="26.4" x14ac:dyDescent="0.4">
      <c r="A290" s="670">
        <v>46157</v>
      </c>
      <c r="B290" s="548" t="s">
        <v>134</v>
      </c>
      <c r="C290" s="669" t="s">
        <v>132</v>
      </c>
      <c r="D290" s="675" t="s">
        <v>1431</v>
      </c>
      <c r="E290" s="672" t="s">
        <v>13</v>
      </c>
      <c r="F290" s="674">
        <v>10</v>
      </c>
      <c r="G290" s="674">
        <v>3225880</v>
      </c>
      <c r="H290" s="665">
        <f t="shared" si="5"/>
        <v>32258800</v>
      </c>
      <c r="I290" s="142" t="s">
        <v>1525</v>
      </c>
      <c r="J290" s="67"/>
      <c r="K290" s="67"/>
      <c r="L290" s="67">
        <v>0</v>
      </c>
    </row>
    <row r="291" spans="1:12" ht="17.399999999999999" x14ac:dyDescent="0.4">
      <c r="A291" s="540">
        <v>46164</v>
      </c>
      <c r="B291" s="548" t="s">
        <v>134</v>
      </c>
      <c r="C291" s="542" t="s">
        <v>132</v>
      </c>
      <c r="D291" s="544" t="s">
        <v>1120</v>
      </c>
      <c r="E291" s="544" t="s">
        <v>343</v>
      </c>
      <c r="F291" s="545">
        <v>6</v>
      </c>
      <c r="G291" s="546">
        <v>3225880</v>
      </c>
      <c r="H291" s="546">
        <f t="shared" si="5"/>
        <v>19355280</v>
      </c>
      <c r="I291" s="142" t="s">
        <v>1525</v>
      </c>
      <c r="J291" s="67"/>
      <c r="K291" s="67"/>
      <c r="L291" s="67" t="s">
        <v>1068</v>
      </c>
    </row>
    <row r="292" spans="1:12" s="50" customFormat="1" ht="18.75" customHeight="1" x14ac:dyDescent="0.4">
      <c r="A292" s="552">
        <v>46093</v>
      </c>
      <c r="B292" s="548" t="s">
        <v>134</v>
      </c>
      <c r="C292" s="542" t="s">
        <v>129</v>
      </c>
      <c r="D292" s="544" t="s">
        <v>130</v>
      </c>
      <c r="E292" s="544" t="s">
        <v>131</v>
      </c>
      <c r="F292" s="545">
        <v>9</v>
      </c>
      <c r="G292" s="546">
        <v>52326</v>
      </c>
      <c r="H292" s="546">
        <f t="shared" si="5"/>
        <v>470934</v>
      </c>
      <c r="I292" s="142" t="s">
        <v>1526</v>
      </c>
      <c r="J292" s="67"/>
      <c r="K292" s="67"/>
      <c r="L292" s="67"/>
    </row>
    <row r="293" spans="1:12" ht="17.399999999999999" x14ac:dyDescent="0.4">
      <c r="A293" s="540">
        <v>46157</v>
      </c>
      <c r="B293" s="548" t="s">
        <v>134</v>
      </c>
      <c r="C293" s="664" t="s">
        <v>129</v>
      </c>
      <c r="D293" s="569" t="s">
        <v>1429</v>
      </c>
      <c r="E293" s="569" t="s">
        <v>1430</v>
      </c>
      <c r="F293" s="570">
        <v>12</v>
      </c>
      <c r="G293" s="669">
        <v>52326</v>
      </c>
      <c r="H293" s="665">
        <f t="shared" si="5"/>
        <v>627912</v>
      </c>
      <c r="I293" s="142" t="s">
        <v>1525</v>
      </c>
      <c r="J293" s="67"/>
      <c r="K293" s="67"/>
      <c r="L293" s="67"/>
    </row>
    <row r="294" spans="1:12" ht="17.399999999999999" x14ac:dyDescent="0.4">
      <c r="A294" s="540">
        <v>46170</v>
      </c>
      <c r="B294" s="548" t="s">
        <v>134</v>
      </c>
      <c r="C294" s="542" t="s">
        <v>129</v>
      </c>
      <c r="D294" s="544" t="s">
        <v>1429</v>
      </c>
      <c r="E294" s="544" t="s">
        <v>1430</v>
      </c>
      <c r="F294" s="545">
        <v>7</v>
      </c>
      <c r="G294" s="545">
        <v>52326</v>
      </c>
      <c r="H294" s="546">
        <f t="shared" si="5"/>
        <v>366282</v>
      </c>
      <c r="I294" s="142" t="s">
        <v>1525</v>
      </c>
      <c r="J294" s="67"/>
      <c r="K294" s="67"/>
      <c r="L294" s="67"/>
    </row>
    <row r="295" spans="1:12" ht="17.399999999999999" x14ac:dyDescent="0.4">
      <c r="A295" s="540">
        <v>46150</v>
      </c>
      <c r="B295" s="548" t="s">
        <v>134</v>
      </c>
      <c r="C295" s="665" t="s">
        <v>136</v>
      </c>
      <c r="D295" s="676" t="s">
        <v>947</v>
      </c>
      <c r="E295" s="544" t="s">
        <v>13</v>
      </c>
      <c r="F295" s="664">
        <v>28</v>
      </c>
      <c r="G295" s="665">
        <v>597880</v>
      </c>
      <c r="H295" s="665">
        <f t="shared" si="5"/>
        <v>16740640</v>
      </c>
      <c r="I295" s="142" t="s">
        <v>1525</v>
      </c>
      <c r="J295" s="67"/>
      <c r="K295" s="67"/>
      <c r="L295" s="409"/>
    </row>
    <row r="296" spans="1:12" s="50" customFormat="1" ht="18.75" customHeight="1" x14ac:dyDescent="0.4">
      <c r="A296" s="540">
        <v>46142</v>
      </c>
      <c r="B296" s="548" t="s">
        <v>128</v>
      </c>
      <c r="C296" s="547" t="s">
        <v>1314</v>
      </c>
      <c r="D296" s="543" t="s">
        <v>1315</v>
      </c>
      <c r="E296" s="544" t="s">
        <v>13</v>
      </c>
      <c r="F296" s="545">
        <v>43</v>
      </c>
      <c r="G296" s="546">
        <v>65860</v>
      </c>
      <c r="H296" s="546">
        <f t="shared" si="5"/>
        <v>2831980</v>
      </c>
      <c r="I296" s="142" t="s">
        <v>1525</v>
      </c>
      <c r="J296" s="67"/>
      <c r="K296" s="67"/>
      <c r="L296" s="67" t="s">
        <v>1247</v>
      </c>
    </row>
    <row r="297" spans="1:12" ht="17.399999999999999" x14ac:dyDescent="0.4">
      <c r="A297" s="540">
        <v>46150</v>
      </c>
      <c r="B297" s="548" t="s">
        <v>134</v>
      </c>
      <c r="C297" s="542" t="s">
        <v>1425</v>
      </c>
      <c r="D297" s="663" t="s">
        <v>1426</v>
      </c>
      <c r="E297" s="544" t="s">
        <v>127</v>
      </c>
      <c r="F297" s="664">
        <v>72</v>
      </c>
      <c r="G297" s="545">
        <v>19400</v>
      </c>
      <c r="H297" s="665">
        <f t="shared" si="5"/>
        <v>1396800</v>
      </c>
      <c r="I297" s="142" t="s">
        <v>1525</v>
      </c>
      <c r="J297" s="67"/>
      <c r="K297" s="67"/>
      <c r="L297" s="409"/>
    </row>
    <row r="298" spans="1:12" s="50" customFormat="1" ht="18.75" customHeight="1" x14ac:dyDescent="0.4">
      <c r="A298" s="540">
        <v>46142</v>
      </c>
      <c r="B298" s="548" t="s">
        <v>128</v>
      </c>
      <c r="C298" s="547" t="s">
        <v>941</v>
      </c>
      <c r="D298" s="543" t="s">
        <v>1311</v>
      </c>
      <c r="E298" s="544" t="s">
        <v>13</v>
      </c>
      <c r="F298" s="545">
        <v>8</v>
      </c>
      <c r="G298" s="546">
        <v>290000</v>
      </c>
      <c r="H298" s="546">
        <f t="shared" si="5"/>
        <v>2320000</v>
      </c>
      <c r="I298" s="142" t="s">
        <v>1525</v>
      </c>
      <c r="J298" s="67"/>
      <c r="K298" s="67"/>
      <c r="L298" s="67" t="s">
        <v>1247</v>
      </c>
    </row>
    <row r="299" spans="1:12" s="50" customFormat="1" ht="18.75" customHeight="1" x14ac:dyDescent="0.4">
      <c r="A299" s="540">
        <v>46142</v>
      </c>
      <c r="B299" s="548" t="s">
        <v>128</v>
      </c>
      <c r="C299" s="547" t="s">
        <v>945</v>
      </c>
      <c r="D299" s="543" t="s">
        <v>1312</v>
      </c>
      <c r="E299" s="544" t="s">
        <v>13</v>
      </c>
      <c r="F299" s="545">
        <v>22</v>
      </c>
      <c r="G299" s="546">
        <v>225000</v>
      </c>
      <c r="H299" s="546">
        <f t="shared" si="5"/>
        <v>4950000</v>
      </c>
      <c r="I299" s="142" t="s">
        <v>1525</v>
      </c>
      <c r="J299" s="67"/>
      <c r="K299" s="67"/>
      <c r="L299" s="67" t="s">
        <v>1247</v>
      </c>
    </row>
    <row r="300" spans="1:12" ht="17.399999999999999" x14ac:dyDescent="0.4">
      <c r="A300" s="540">
        <v>46164</v>
      </c>
      <c r="B300" s="548" t="s">
        <v>134</v>
      </c>
      <c r="C300" s="542" t="s">
        <v>314</v>
      </c>
      <c r="D300" s="544" t="s">
        <v>1106</v>
      </c>
      <c r="E300" s="544" t="s">
        <v>13</v>
      </c>
      <c r="F300" s="545">
        <v>13</v>
      </c>
      <c r="G300" s="546">
        <v>85000</v>
      </c>
      <c r="H300" s="546">
        <f t="shared" si="5"/>
        <v>1105000</v>
      </c>
      <c r="I300" s="142" t="s">
        <v>1525</v>
      </c>
      <c r="J300" s="67"/>
      <c r="K300" s="67"/>
      <c r="L300" s="67" t="s">
        <v>1068</v>
      </c>
    </row>
    <row r="301" spans="1:12" ht="17.399999999999999" x14ac:dyDescent="0.4">
      <c r="A301" s="540">
        <v>46164</v>
      </c>
      <c r="B301" s="548" t="s">
        <v>134</v>
      </c>
      <c r="C301" s="542" t="s">
        <v>314</v>
      </c>
      <c r="D301" s="544" t="s">
        <v>387</v>
      </c>
      <c r="E301" s="544" t="s">
        <v>13</v>
      </c>
      <c r="F301" s="545">
        <v>15</v>
      </c>
      <c r="G301" s="546">
        <v>200000</v>
      </c>
      <c r="H301" s="546">
        <f t="shared" si="5"/>
        <v>3000000</v>
      </c>
      <c r="I301" s="142" t="s">
        <v>1525</v>
      </c>
      <c r="J301" s="67"/>
      <c r="K301" s="67"/>
      <c r="L301" s="67" t="s">
        <v>1068</v>
      </c>
    </row>
    <row r="302" spans="1:12" ht="17.399999999999999" x14ac:dyDescent="0.4">
      <c r="A302" s="540">
        <v>46150</v>
      </c>
      <c r="B302" s="548" t="s">
        <v>134</v>
      </c>
      <c r="C302" s="542" t="s">
        <v>310</v>
      </c>
      <c r="D302" s="663" t="s">
        <v>315</v>
      </c>
      <c r="E302" s="544" t="s">
        <v>13</v>
      </c>
      <c r="F302" s="664">
        <v>16</v>
      </c>
      <c r="G302" s="545">
        <v>84000</v>
      </c>
      <c r="H302" s="665">
        <f t="shared" si="5"/>
        <v>1344000</v>
      </c>
      <c r="I302" s="142" t="s">
        <v>1525</v>
      </c>
      <c r="J302" s="67"/>
      <c r="K302" s="67"/>
      <c r="L302" s="409"/>
    </row>
    <row r="303" spans="1:12" s="50" customFormat="1" ht="18.75" customHeight="1" x14ac:dyDescent="0.4">
      <c r="A303" s="540">
        <v>46142</v>
      </c>
      <c r="B303" s="548" t="s">
        <v>128</v>
      </c>
      <c r="C303" s="542" t="s">
        <v>310</v>
      </c>
      <c r="D303" s="543" t="s">
        <v>1302</v>
      </c>
      <c r="E303" s="544" t="s">
        <v>13</v>
      </c>
      <c r="F303" s="545">
        <v>22</v>
      </c>
      <c r="G303" s="546">
        <v>92000</v>
      </c>
      <c r="H303" s="546">
        <f t="shared" si="5"/>
        <v>2024000</v>
      </c>
      <c r="I303" s="142" t="s">
        <v>1525</v>
      </c>
      <c r="J303" s="67"/>
      <c r="K303" s="67"/>
      <c r="L303" s="67" t="s">
        <v>1247</v>
      </c>
    </row>
    <row r="304" spans="1:12" ht="17.399999999999999" x14ac:dyDescent="0.4">
      <c r="A304" s="540">
        <v>46164</v>
      </c>
      <c r="B304" s="548" t="s">
        <v>128</v>
      </c>
      <c r="C304" s="542" t="s">
        <v>310</v>
      </c>
      <c r="D304" s="543" t="s">
        <v>1302</v>
      </c>
      <c r="E304" s="544" t="s">
        <v>13</v>
      </c>
      <c r="F304" s="545">
        <v>26</v>
      </c>
      <c r="G304" s="546">
        <v>92000</v>
      </c>
      <c r="H304" s="546">
        <f t="shared" si="5"/>
        <v>2392000</v>
      </c>
      <c r="I304" s="142" t="s">
        <v>1525</v>
      </c>
      <c r="J304" s="67"/>
      <c r="K304" s="67"/>
      <c r="L304" s="67" t="s">
        <v>1068</v>
      </c>
    </row>
    <row r="305" spans="1:13" ht="17.399999999999999" x14ac:dyDescent="0.4">
      <c r="A305" s="540">
        <v>46164</v>
      </c>
      <c r="B305" s="548" t="s">
        <v>134</v>
      </c>
      <c r="C305" s="542" t="s">
        <v>319</v>
      </c>
      <c r="D305" s="544" t="s">
        <v>322</v>
      </c>
      <c r="E305" s="544" t="s">
        <v>127</v>
      </c>
      <c r="F305" s="545">
        <v>9</v>
      </c>
      <c r="G305" s="546">
        <v>30790</v>
      </c>
      <c r="H305" s="546">
        <f t="shared" si="5"/>
        <v>277110</v>
      </c>
      <c r="I305" s="67" t="s">
        <v>1434</v>
      </c>
      <c r="J305" s="67"/>
      <c r="K305" s="67"/>
      <c r="L305" s="67" t="s">
        <v>1068</v>
      </c>
    </row>
    <row r="306" spans="1:13" s="50" customFormat="1" ht="18.75" customHeight="1" x14ac:dyDescent="0.4">
      <c r="A306" s="540">
        <v>46142</v>
      </c>
      <c r="B306" s="548" t="s">
        <v>128</v>
      </c>
      <c r="C306" s="547" t="s">
        <v>963</v>
      </c>
      <c r="D306" s="543" t="s">
        <v>964</v>
      </c>
      <c r="E306" s="544" t="s">
        <v>127</v>
      </c>
      <c r="F306" s="545">
        <v>54</v>
      </c>
      <c r="G306" s="546">
        <v>16100</v>
      </c>
      <c r="H306" s="546">
        <f t="shared" si="5"/>
        <v>869400</v>
      </c>
      <c r="I306" s="142" t="s">
        <v>1386</v>
      </c>
      <c r="J306" s="67"/>
      <c r="K306" s="67"/>
      <c r="L306" s="67" t="s">
        <v>1247</v>
      </c>
    </row>
    <row r="307" spans="1:13" ht="17.399999999999999" x14ac:dyDescent="0.4">
      <c r="A307" s="540">
        <v>46164</v>
      </c>
      <c r="B307" s="548" t="s">
        <v>128</v>
      </c>
      <c r="C307" s="547" t="s">
        <v>963</v>
      </c>
      <c r="D307" s="543" t="s">
        <v>964</v>
      </c>
      <c r="E307" s="544" t="s">
        <v>127</v>
      </c>
      <c r="F307" s="545">
        <v>12</v>
      </c>
      <c r="G307" s="546">
        <v>16100</v>
      </c>
      <c r="H307" s="546">
        <f t="shared" si="5"/>
        <v>193200</v>
      </c>
      <c r="I307" s="67" t="s">
        <v>1434</v>
      </c>
      <c r="J307" s="67"/>
      <c r="K307" s="67"/>
      <c r="L307" s="67" t="s">
        <v>1068</v>
      </c>
    </row>
    <row r="308" spans="1:13" s="50" customFormat="1" ht="18.75" customHeight="1" x14ac:dyDescent="0.4">
      <c r="A308" s="540">
        <v>46129</v>
      </c>
      <c r="B308" s="548" t="s">
        <v>134</v>
      </c>
      <c r="C308" s="542" t="s">
        <v>957</v>
      </c>
      <c r="D308" s="549" t="s">
        <v>329</v>
      </c>
      <c r="E308" s="550" t="s">
        <v>13</v>
      </c>
      <c r="F308" s="551">
        <v>3</v>
      </c>
      <c r="G308" s="546">
        <v>1364000</v>
      </c>
      <c r="H308" s="546">
        <f t="shared" si="5"/>
        <v>4092000</v>
      </c>
      <c r="I308" s="67" t="s">
        <v>1386</v>
      </c>
      <c r="J308" s="67"/>
      <c r="K308" s="67"/>
      <c r="L308" s="67" t="s">
        <v>1247</v>
      </c>
    </row>
    <row r="309" spans="1:13" ht="17.399999999999999" x14ac:dyDescent="0.4">
      <c r="A309" s="540">
        <v>46150</v>
      </c>
      <c r="B309" s="548" t="s">
        <v>134</v>
      </c>
      <c r="C309" s="542" t="s">
        <v>508</v>
      </c>
      <c r="D309" s="663" t="s">
        <v>327</v>
      </c>
      <c r="E309" s="544" t="s">
        <v>13</v>
      </c>
      <c r="F309" s="664">
        <v>4</v>
      </c>
      <c r="G309" s="546">
        <v>1364000</v>
      </c>
      <c r="H309" s="665">
        <f t="shared" si="5"/>
        <v>5456000</v>
      </c>
      <c r="I309" s="67"/>
      <c r="J309" s="67"/>
      <c r="K309" s="67"/>
      <c r="L309" s="409"/>
    </row>
    <row r="310" spans="1:13" s="50" customFormat="1" ht="18.75" customHeight="1" x14ac:dyDescent="0.4">
      <c r="A310" s="540">
        <v>46142</v>
      </c>
      <c r="B310" s="548" t="s">
        <v>134</v>
      </c>
      <c r="C310" s="547" t="s">
        <v>312</v>
      </c>
      <c r="D310" s="543" t="s">
        <v>961</v>
      </c>
      <c r="E310" s="544" t="s">
        <v>13</v>
      </c>
      <c r="F310" s="545">
        <v>20</v>
      </c>
      <c r="G310" s="546">
        <v>67900</v>
      </c>
      <c r="H310" s="546">
        <f t="shared" si="5"/>
        <v>1358000</v>
      </c>
      <c r="I310" s="142" t="s">
        <v>1386</v>
      </c>
      <c r="J310" s="67"/>
      <c r="K310" s="67"/>
      <c r="L310" s="67" t="s">
        <v>1247</v>
      </c>
    </row>
    <row r="311" spans="1:13" ht="17.399999999999999" x14ac:dyDescent="0.4">
      <c r="A311" s="540">
        <v>46150</v>
      </c>
      <c r="B311" s="548" t="s">
        <v>134</v>
      </c>
      <c r="C311" s="542" t="s">
        <v>317</v>
      </c>
      <c r="D311" s="663" t="s">
        <v>850</v>
      </c>
      <c r="E311" s="544" t="s">
        <v>127</v>
      </c>
      <c r="F311" s="664">
        <v>30</v>
      </c>
      <c r="G311" s="545">
        <v>35000</v>
      </c>
      <c r="H311" s="665">
        <f t="shared" si="5"/>
        <v>1050000</v>
      </c>
      <c r="I311" s="67"/>
      <c r="J311" s="67"/>
      <c r="K311" s="67"/>
      <c r="L311" s="409"/>
    </row>
    <row r="312" spans="1:13" ht="17.399999999999999" x14ac:dyDescent="0.4">
      <c r="A312" s="540">
        <v>46150</v>
      </c>
      <c r="B312" s="548" t="s">
        <v>134</v>
      </c>
      <c r="C312" s="542" t="s">
        <v>314</v>
      </c>
      <c r="D312" s="663" t="s">
        <v>956</v>
      </c>
      <c r="E312" s="544" t="s">
        <v>13</v>
      </c>
      <c r="F312" s="664">
        <v>17</v>
      </c>
      <c r="G312" s="546">
        <v>79000</v>
      </c>
      <c r="H312" s="665">
        <f t="shared" si="5"/>
        <v>1343000</v>
      </c>
      <c r="I312" s="67"/>
      <c r="J312" s="67"/>
      <c r="K312" s="67"/>
      <c r="L312" s="409"/>
    </row>
    <row r="313" spans="1:13" ht="17.399999999999999" x14ac:dyDescent="0.4">
      <c r="A313" s="540">
        <v>46150</v>
      </c>
      <c r="B313" s="548" t="s">
        <v>134</v>
      </c>
      <c r="C313" s="542" t="s">
        <v>943</v>
      </c>
      <c r="D313" s="663" t="s">
        <v>1423</v>
      </c>
      <c r="E313" s="544" t="s">
        <v>13</v>
      </c>
      <c r="F313" s="664">
        <v>12</v>
      </c>
      <c r="G313" s="546">
        <v>108000</v>
      </c>
      <c r="H313" s="665"/>
      <c r="I313" s="626" t="s">
        <v>1424</v>
      </c>
      <c r="J313" s="67">
        <f>G313*F313</f>
        <v>1296000</v>
      </c>
      <c r="K313" s="67"/>
      <c r="L313" s="409"/>
    </row>
    <row r="314" spans="1:13" s="19" customFormat="1" ht="19.2" customHeight="1" x14ac:dyDescent="0.4">
      <c r="A314" s="485">
        <v>46051</v>
      </c>
      <c r="B314" s="5" t="s">
        <v>134</v>
      </c>
      <c r="C314" s="6" t="s">
        <v>132</v>
      </c>
      <c r="D314" s="42" t="s">
        <v>1527</v>
      </c>
      <c r="E314" s="1" t="s">
        <v>13</v>
      </c>
      <c r="F314" s="36">
        <v>22</v>
      </c>
      <c r="G314" s="7">
        <v>3225880</v>
      </c>
      <c r="H314" s="7">
        <f t="shared" si="5"/>
        <v>70969360</v>
      </c>
      <c r="I314" s="142" t="s">
        <v>1528</v>
      </c>
      <c r="J314" s="66"/>
      <c r="K314" s="66"/>
      <c r="L314" s="408"/>
      <c r="M314" s="200"/>
    </row>
    <row r="315" spans="1:13" s="50" customFormat="1" ht="18.75" customHeight="1" x14ac:dyDescent="0.4">
      <c r="A315" s="485">
        <v>46062</v>
      </c>
      <c r="B315" s="5" t="s">
        <v>134</v>
      </c>
      <c r="C315" s="67" t="s">
        <v>508</v>
      </c>
      <c r="D315" s="42" t="s">
        <v>327</v>
      </c>
      <c r="E315" s="1" t="s">
        <v>13</v>
      </c>
      <c r="F315" s="36">
        <v>2</v>
      </c>
      <c r="G315" s="7">
        <v>1364000</v>
      </c>
      <c r="H315" s="7">
        <f t="shared" si="5"/>
        <v>2728000</v>
      </c>
      <c r="I315" s="142" t="s">
        <v>1528</v>
      </c>
      <c r="J315" s="67"/>
      <c r="K315" s="67"/>
      <c r="L315" s="67"/>
    </row>
    <row r="316" spans="1:13" s="50" customFormat="1" ht="18.75" customHeight="1" x14ac:dyDescent="0.4">
      <c r="A316" s="484">
        <v>46106</v>
      </c>
      <c r="B316" s="5" t="s">
        <v>134</v>
      </c>
      <c r="C316" s="67" t="s">
        <v>181</v>
      </c>
      <c r="D316" s="468" t="s">
        <v>371</v>
      </c>
      <c r="E316" s="67" t="s">
        <v>13</v>
      </c>
      <c r="F316" s="67">
        <v>3</v>
      </c>
      <c r="G316" s="7">
        <v>2163000</v>
      </c>
      <c r="H316" s="7">
        <f t="shared" si="5"/>
        <v>6489000</v>
      </c>
      <c r="I316" s="142" t="s">
        <v>1529</v>
      </c>
      <c r="J316" s="67"/>
      <c r="K316" s="67"/>
      <c r="L316" s="67"/>
    </row>
    <row r="317" spans="1:13" s="50" customFormat="1" ht="18.75" customHeight="1" x14ac:dyDescent="0.4">
      <c r="A317" s="484">
        <v>46106</v>
      </c>
      <c r="B317" s="5" t="s">
        <v>134</v>
      </c>
      <c r="C317" s="67" t="s">
        <v>182</v>
      </c>
      <c r="D317" s="468" t="s">
        <v>372</v>
      </c>
      <c r="E317" s="67" t="s">
        <v>13</v>
      </c>
      <c r="F317" s="67">
        <v>3</v>
      </c>
      <c r="G317" s="7">
        <v>2163000</v>
      </c>
      <c r="H317" s="7">
        <f t="shared" si="5"/>
        <v>6489000</v>
      </c>
      <c r="I317" s="142" t="s">
        <v>1529</v>
      </c>
      <c r="J317" s="67"/>
      <c r="K317" s="67"/>
      <c r="L317" s="67"/>
    </row>
    <row r="318" spans="1:13" ht="17.399999999999999" x14ac:dyDescent="0.4">
      <c r="A318" s="485">
        <v>46150</v>
      </c>
      <c r="B318" s="5" t="s">
        <v>134</v>
      </c>
      <c r="C318" s="80" t="s">
        <v>181</v>
      </c>
      <c r="D318" s="625" t="s">
        <v>371</v>
      </c>
      <c r="E318" s="59" t="s">
        <v>13</v>
      </c>
      <c r="F318" s="80">
        <v>4</v>
      </c>
      <c r="G318" s="61">
        <v>2163000</v>
      </c>
      <c r="H318" s="61">
        <f t="shared" si="5"/>
        <v>8652000</v>
      </c>
      <c r="I318" s="142" t="s">
        <v>1529</v>
      </c>
      <c r="J318" s="67"/>
      <c r="K318" s="67"/>
      <c r="L318" s="409"/>
    </row>
    <row r="319" spans="1:13" ht="17.399999999999999" x14ac:dyDescent="0.4">
      <c r="A319" s="485">
        <v>46150</v>
      </c>
      <c r="B319" s="5" t="s">
        <v>134</v>
      </c>
      <c r="C319" s="80" t="s">
        <v>182</v>
      </c>
      <c r="D319" s="625" t="s">
        <v>372</v>
      </c>
      <c r="E319" s="59" t="s">
        <v>13</v>
      </c>
      <c r="F319" s="80">
        <v>4</v>
      </c>
      <c r="G319" s="61">
        <v>2163000</v>
      </c>
      <c r="H319" s="61">
        <f t="shared" si="5"/>
        <v>8652000</v>
      </c>
      <c r="I319" s="142" t="s">
        <v>1529</v>
      </c>
      <c r="J319" s="67"/>
      <c r="K319" s="67"/>
      <c r="L319" s="409"/>
    </row>
    <row r="320" spans="1:13" ht="17.399999999999999" x14ac:dyDescent="0.4">
      <c r="A320" s="485">
        <v>46170</v>
      </c>
      <c r="B320" s="5" t="s">
        <v>134</v>
      </c>
      <c r="C320" s="67" t="s">
        <v>181</v>
      </c>
      <c r="D320" s="468" t="s">
        <v>749</v>
      </c>
      <c r="E320" s="67" t="s">
        <v>13</v>
      </c>
      <c r="F320" s="67">
        <v>11</v>
      </c>
      <c r="G320" s="7">
        <v>2163000</v>
      </c>
      <c r="H320" s="7">
        <f t="shared" si="5"/>
        <v>23793000</v>
      </c>
      <c r="I320" s="67" t="s">
        <v>1433</v>
      </c>
      <c r="J320" s="67"/>
      <c r="K320" s="67"/>
      <c r="L320" s="67"/>
    </row>
    <row r="321" spans="1:12" ht="17.399999999999999" x14ac:dyDescent="0.4">
      <c r="A321" s="485">
        <v>46170</v>
      </c>
      <c r="B321" s="5" t="s">
        <v>134</v>
      </c>
      <c r="C321" s="67" t="s">
        <v>182</v>
      </c>
      <c r="D321" s="468" t="s">
        <v>372</v>
      </c>
      <c r="E321" s="67" t="s">
        <v>13</v>
      </c>
      <c r="F321" s="67">
        <v>11</v>
      </c>
      <c r="G321" s="7">
        <v>2163000</v>
      </c>
      <c r="H321" s="7">
        <f t="shared" si="5"/>
        <v>23793000</v>
      </c>
      <c r="I321" s="67" t="s">
        <v>1433</v>
      </c>
      <c r="J321" s="67"/>
      <c r="K321" s="67"/>
      <c r="L321" s="67"/>
    </row>
    <row r="322" spans="1:12" ht="17.399999999999999" x14ac:dyDescent="0.4">
      <c r="A322" s="485">
        <v>46170</v>
      </c>
      <c r="B322" s="5" t="s">
        <v>134</v>
      </c>
      <c r="C322" s="6" t="s">
        <v>136</v>
      </c>
      <c r="D322" s="405" t="s">
        <v>1435</v>
      </c>
      <c r="E322" s="1" t="s">
        <v>13</v>
      </c>
      <c r="F322" s="36">
        <v>25</v>
      </c>
      <c r="G322" s="36">
        <v>597880</v>
      </c>
      <c r="H322" s="7">
        <f t="shared" si="5"/>
        <v>14947000</v>
      </c>
      <c r="I322" s="142" t="s">
        <v>1528</v>
      </c>
      <c r="J322" s="67"/>
      <c r="K322" s="67"/>
      <c r="L322" s="67"/>
    </row>
    <row r="323" spans="1:12" ht="17.399999999999999" x14ac:dyDescent="0.4">
      <c r="A323" s="485">
        <v>46171</v>
      </c>
      <c r="B323" s="5" t="s">
        <v>134</v>
      </c>
      <c r="C323" s="6" t="s">
        <v>132</v>
      </c>
      <c r="D323" s="405" t="s">
        <v>1436</v>
      </c>
      <c r="E323" s="1" t="s">
        <v>13</v>
      </c>
      <c r="F323" s="36">
        <v>13</v>
      </c>
      <c r="G323" s="36">
        <v>3225880</v>
      </c>
      <c r="H323" s="7">
        <f t="shared" si="5"/>
        <v>41936440</v>
      </c>
      <c r="I323" s="142" t="s">
        <v>1528</v>
      </c>
      <c r="J323" s="67"/>
      <c r="K323" s="67"/>
      <c r="L323" s="67"/>
    </row>
    <row r="324" spans="1:12" ht="17.399999999999999" x14ac:dyDescent="0.4">
      <c r="A324" s="485">
        <v>46171</v>
      </c>
      <c r="B324" s="5" t="s">
        <v>134</v>
      </c>
      <c r="C324" s="6" t="s">
        <v>458</v>
      </c>
      <c r="D324" s="405" t="s">
        <v>1437</v>
      </c>
      <c r="E324" s="1" t="s">
        <v>127</v>
      </c>
      <c r="F324" s="36">
        <v>3</v>
      </c>
      <c r="G324" s="36">
        <v>70100</v>
      </c>
      <c r="H324" s="7">
        <f t="shared" si="5"/>
        <v>210300</v>
      </c>
      <c r="I324" s="142" t="s">
        <v>1528</v>
      </c>
      <c r="J324" s="67"/>
      <c r="K324" s="67"/>
      <c r="L324" s="67"/>
    </row>
    <row r="325" spans="1:12" ht="17.399999999999999" x14ac:dyDescent="0.4">
      <c r="A325" s="485">
        <v>46171</v>
      </c>
      <c r="B325" s="5" t="s">
        <v>134</v>
      </c>
      <c r="C325" s="6" t="s">
        <v>310</v>
      </c>
      <c r="D325" s="405" t="s">
        <v>315</v>
      </c>
      <c r="E325" s="1" t="s">
        <v>13</v>
      </c>
      <c r="F325" s="36">
        <v>16</v>
      </c>
      <c r="G325" s="36">
        <v>84000</v>
      </c>
      <c r="H325" s="7">
        <f t="shared" si="5"/>
        <v>1344000</v>
      </c>
      <c r="I325" s="142" t="s">
        <v>1528</v>
      </c>
      <c r="J325" s="67"/>
      <c r="K325" s="67"/>
      <c r="L325" s="67"/>
    </row>
    <row r="326" spans="1:12" ht="17.399999999999999" x14ac:dyDescent="0.4">
      <c r="A326" s="485">
        <v>46171</v>
      </c>
      <c r="B326" s="5" t="s">
        <v>134</v>
      </c>
      <c r="C326" s="6" t="s">
        <v>314</v>
      </c>
      <c r="D326" s="405" t="s">
        <v>956</v>
      </c>
      <c r="E326" s="1" t="s">
        <v>13</v>
      </c>
      <c r="F326" s="36">
        <v>17</v>
      </c>
      <c r="G326" s="36">
        <v>79000</v>
      </c>
      <c r="H326" s="7">
        <f t="shared" si="5"/>
        <v>1343000</v>
      </c>
      <c r="I326" s="142" t="s">
        <v>1528</v>
      </c>
      <c r="J326" s="67"/>
      <c r="K326" s="67"/>
      <c r="L326" s="67"/>
    </row>
    <row r="327" spans="1:12" ht="17.399999999999999" x14ac:dyDescent="0.4">
      <c r="A327" s="485">
        <v>46171</v>
      </c>
      <c r="B327" s="5" t="s">
        <v>134</v>
      </c>
      <c r="C327" s="6" t="s">
        <v>319</v>
      </c>
      <c r="D327" s="405" t="s">
        <v>1530</v>
      </c>
      <c r="E327" s="1" t="s">
        <v>13</v>
      </c>
      <c r="F327" s="36">
        <v>25</v>
      </c>
      <c r="G327" s="36">
        <v>94000</v>
      </c>
      <c r="H327" s="7">
        <f t="shared" si="5"/>
        <v>2350000</v>
      </c>
      <c r="I327" s="142" t="s">
        <v>1528</v>
      </c>
      <c r="J327" s="67"/>
      <c r="K327" s="67"/>
      <c r="L327" s="67"/>
    </row>
    <row r="328" spans="1:12" ht="17.399999999999999" x14ac:dyDescent="0.4">
      <c r="A328" s="485">
        <v>46171</v>
      </c>
      <c r="B328" s="5" t="s">
        <v>134</v>
      </c>
      <c r="C328" s="6" t="s">
        <v>319</v>
      </c>
      <c r="D328" s="405" t="s">
        <v>960</v>
      </c>
      <c r="E328" s="1" t="s">
        <v>13</v>
      </c>
      <c r="F328" s="36">
        <v>17</v>
      </c>
      <c r="G328" s="36">
        <v>142700</v>
      </c>
      <c r="H328" s="7">
        <f t="shared" si="5"/>
        <v>2425900</v>
      </c>
      <c r="I328" s="142" t="s">
        <v>1528</v>
      </c>
      <c r="J328" s="67"/>
      <c r="K328" s="67"/>
      <c r="L328" s="67"/>
    </row>
    <row r="329" spans="1:12" ht="19.5" customHeight="1" x14ac:dyDescent="0.4">
      <c r="A329" s="483"/>
      <c r="B329" s="194"/>
      <c r="C329" s="40"/>
      <c r="D329" s="194"/>
      <c r="E329" s="194"/>
      <c r="F329" s="91"/>
      <c r="G329" s="138"/>
      <c r="H329" s="138">
        <f>SUM(H282:H313)</f>
        <v>244906138</v>
      </c>
      <c r="I329" s="138"/>
      <c r="J329" s="620"/>
      <c r="K329" s="145"/>
      <c r="L329" s="621"/>
    </row>
    <row r="330" spans="1:12" ht="19.5" customHeight="1" x14ac:dyDescent="0.4">
      <c r="A330" s="482">
        <v>46156</v>
      </c>
      <c r="B330" s="110" t="s">
        <v>137</v>
      </c>
      <c r="C330" s="29" t="s">
        <v>241</v>
      </c>
      <c r="D330" s="110" t="s">
        <v>419</v>
      </c>
      <c r="E330" s="110"/>
      <c r="F330" s="8">
        <v>3</v>
      </c>
      <c r="G330" s="49">
        <v>171300</v>
      </c>
      <c r="H330" s="61">
        <f t="shared" ref="H330:H353" si="6">F330*G330</f>
        <v>513900</v>
      </c>
      <c r="I330" s="49" t="s">
        <v>1438</v>
      </c>
      <c r="J330" s="109"/>
      <c r="K330" s="144"/>
      <c r="L330" s="409"/>
    </row>
    <row r="331" spans="1:12" ht="19.5" customHeight="1" x14ac:dyDescent="0.4">
      <c r="A331" s="482">
        <v>46156</v>
      </c>
      <c r="B331" s="110" t="s">
        <v>137</v>
      </c>
      <c r="C331" s="29" t="s">
        <v>241</v>
      </c>
      <c r="D331" s="110" t="s">
        <v>419</v>
      </c>
      <c r="E331" s="110"/>
      <c r="F331" s="8">
        <v>21</v>
      </c>
      <c r="G331" s="49">
        <v>171300</v>
      </c>
      <c r="H331" s="61">
        <f t="shared" si="6"/>
        <v>3597300</v>
      </c>
      <c r="I331" s="49" t="s">
        <v>1439</v>
      </c>
      <c r="J331" s="109"/>
      <c r="K331" s="144"/>
      <c r="L331" s="409"/>
    </row>
    <row r="332" spans="1:12" ht="19.5" customHeight="1" x14ac:dyDescent="0.4">
      <c r="A332" s="482">
        <v>46156</v>
      </c>
      <c r="B332" s="110" t="s">
        <v>137</v>
      </c>
      <c r="C332" s="29" t="s">
        <v>241</v>
      </c>
      <c r="D332" s="110" t="s">
        <v>419</v>
      </c>
      <c r="E332" s="110"/>
      <c r="F332" s="8">
        <v>24</v>
      </c>
      <c r="G332" s="49">
        <v>171300</v>
      </c>
      <c r="H332" s="61">
        <f t="shared" si="6"/>
        <v>4111200</v>
      </c>
      <c r="I332" s="49" t="s">
        <v>1439</v>
      </c>
      <c r="J332" s="109"/>
      <c r="K332" s="144"/>
      <c r="L332" s="409"/>
    </row>
    <row r="333" spans="1:12" ht="19.5" customHeight="1" x14ac:dyDescent="0.4">
      <c r="A333" s="482">
        <v>46156</v>
      </c>
      <c r="B333" s="110" t="s">
        <v>137</v>
      </c>
      <c r="C333" s="29" t="s">
        <v>241</v>
      </c>
      <c r="D333" s="110" t="s">
        <v>419</v>
      </c>
      <c r="E333" s="110"/>
      <c r="F333" s="8">
        <v>24</v>
      </c>
      <c r="G333" s="49">
        <v>171300</v>
      </c>
      <c r="H333" s="61">
        <f t="shared" si="6"/>
        <v>4111200</v>
      </c>
      <c r="I333" s="49" t="s">
        <v>1439</v>
      </c>
      <c r="J333" s="109"/>
      <c r="K333" s="144"/>
      <c r="L333" s="409"/>
    </row>
    <row r="334" spans="1:12" ht="19.5" customHeight="1" x14ac:dyDescent="0.4">
      <c r="A334" s="482">
        <v>46156</v>
      </c>
      <c r="B334" s="110" t="s">
        <v>137</v>
      </c>
      <c r="C334" s="29" t="s">
        <v>241</v>
      </c>
      <c r="D334" s="110" t="s">
        <v>419</v>
      </c>
      <c r="E334" s="110"/>
      <c r="F334" s="8">
        <v>24</v>
      </c>
      <c r="G334" s="49">
        <v>171300</v>
      </c>
      <c r="H334" s="61">
        <f t="shared" si="6"/>
        <v>4111200</v>
      </c>
      <c r="I334" s="49" t="s">
        <v>1439</v>
      </c>
      <c r="J334" s="109"/>
      <c r="K334" s="144"/>
      <c r="L334" s="409"/>
    </row>
    <row r="335" spans="1:12" ht="19.5" customHeight="1" x14ac:dyDescent="0.4">
      <c r="A335" s="482">
        <v>46156</v>
      </c>
      <c r="B335" s="110" t="s">
        <v>137</v>
      </c>
      <c r="C335" s="29" t="s">
        <v>241</v>
      </c>
      <c r="D335" s="110" t="s">
        <v>373</v>
      </c>
      <c r="E335" s="110"/>
      <c r="F335" s="8">
        <v>32</v>
      </c>
      <c r="G335" s="49">
        <v>195700</v>
      </c>
      <c r="H335" s="61">
        <f t="shared" si="6"/>
        <v>6262400</v>
      </c>
      <c r="I335" s="49" t="s">
        <v>1316</v>
      </c>
      <c r="J335" s="109"/>
      <c r="K335" s="144"/>
      <c r="L335" s="409"/>
    </row>
    <row r="336" spans="1:12" ht="19.5" customHeight="1" x14ac:dyDescent="0.4">
      <c r="A336" s="482">
        <v>46156</v>
      </c>
      <c r="B336" s="110" t="s">
        <v>137</v>
      </c>
      <c r="C336" s="29" t="s">
        <v>241</v>
      </c>
      <c r="D336" s="110" t="s">
        <v>373</v>
      </c>
      <c r="E336" s="110"/>
      <c r="F336" s="8">
        <v>32</v>
      </c>
      <c r="G336" s="49">
        <v>195700</v>
      </c>
      <c r="H336" s="61">
        <f t="shared" si="6"/>
        <v>6262400</v>
      </c>
      <c r="I336" s="49" t="s">
        <v>1316</v>
      </c>
      <c r="J336" s="109"/>
      <c r="K336" s="144"/>
      <c r="L336" s="409"/>
    </row>
    <row r="337" spans="1:12" ht="19.5" customHeight="1" x14ac:dyDescent="0.4">
      <c r="A337" s="482">
        <v>46163</v>
      </c>
      <c r="B337" s="110" t="s">
        <v>137</v>
      </c>
      <c r="C337" s="627" t="s">
        <v>234</v>
      </c>
      <c r="D337" s="110" t="s">
        <v>333</v>
      </c>
      <c r="E337" s="110"/>
      <c r="F337" s="8">
        <v>82</v>
      </c>
      <c r="G337" s="49">
        <v>69400</v>
      </c>
      <c r="H337" s="61">
        <f t="shared" si="6"/>
        <v>5690800</v>
      </c>
      <c r="I337" s="49" t="s">
        <v>1321</v>
      </c>
      <c r="J337" s="109"/>
      <c r="K337" s="144"/>
      <c r="L337" s="409"/>
    </row>
    <row r="338" spans="1:12" ht="19.5" customHeight="1" x14ac:dyDescent="0.4">
      <c r="A338" s="482">
        <v>46163</v>
      </c>
      <c r="B338" s="110" t="s">
        <v>137</v>
      </c>
      <c r="C338" s="627" t="s">
        <v>234</v>
      </c>
      <c r="D338" s="110" t="s">
        <v>333</v>
      </c>
      <c r="E338" s="110"/>
      <c r="F338" s="8">
        <v>18</v>
      </c>
      <c r="G338" s="49">
        <v>69400</v>
      </c>
      <c r="H338" s="61">
        <f t="shared" si="6"/>
        <v>1249200</v>
      </c>
      <c r="I338" s="49" t="s">
        <v>1440</v>
      </c>
      <c r="J338" s="109"/>
      <c r="K338" s="144"/>
      <c r="L338" s="409"/>
    </row>
    <row r="339" spans="1:12" ht="19.5" customHeight="1" x14ac:dyDescent="0.4">
      <c r="A339" s="482">
        <v>46163</v>
      </c>
      <c r="B339" s="110" t="s">
        <v>137</v>
      </c>
      <c r="C339" s="627" t="s">
        <v>332</v>
      </c>
      <c r="D339" s="110" t="s">
        <v>238</v>
      </c>
      <c r="E339" s="110"/>
      <c r="F339" s="8">
        <v>60</v>
      </c>
      <c r="G339" s="49">
        <v>137000</v>
      </c>
      <c r="H339" s="61">
        <f t="shared" si="6"/>
        <v>8220000</v>
      </c>
      <c r="I339" s="49" t="s">
        <v>1439</v>
      </c>
      <c r="J339" s="109"/>
      <c r="K339" s="144"/>
      <c r="L339" s="409"/>
    </row>
    <row r="340" spans="1:12" ht="19.5" customHeight="1" x14ac:dyDescent="0.4">
      <c r="A340" s="482">
        <v>46163</v>
      </c>
      <c r="B340" s="110" t="s">
        <v>137</v>
      </c>
      <c r="C340" s="627" t="s">
        <v>635</v>
      </c>
      <c r="D340" s="110" t="s">
        <v>390</v>
      </c>
      <c r="E340" s="110"/>
      <c r="F340" s="8">
        <v>200</v>
      </c>
      <c r="G340" s="49">
        <v>27800</v>
      </c>
      <c r="H340" s="61">
        <f t="shared" si="6"/>
        <v>5560000</v>
      </c>
      <c r="I340" s="49" t="s">
        <v>1441</v>
      </c>
      <c r="J340" s="109"/>
      <c r="K340" s="144"/>
      <c r="L340" s="409"/>
    </row>
    <row r="341" spans="1:12" ht="19.5" customHeight="1" x14ac:dyDescent="0.4">
      <c r="A341" s="482">
        <v>46163</v>
      </c>
      <c r="B341" s="110" t="s">
        <v>137</v>
      </c>
      <c r="C341" s="627" t="s">
        <v>241</v>
      </c>
      <c r="D341" s="110" t="s">
        <v>1442</v>
      </c>
      <c r="E341" s="110"/>
      <c r="F341" s="8">
        <v>14</v>
      </c>
      <c r="G341" s="49">
        <v>251400</v>
      </c>
      <c r="H341" s="61">
        <f t="shared" si="6"/>
        <v>3519600</v>
      </c>
      <c r="I341" s="49" t="s">
        <v>1320</v>
      </c>
      <c r="J341" s="109"/>
      <c r="K341" s="144"/>
      <c r="L341" s="409"/>
    </row>
    <row r="342" spans="1:12" ht="19.5" customHeight="1" x14ac:dyDescent="0.4">
      <c r="A342" s="482">
        <v>46163</v>
      </c>
      <c r="B342" s="110" t="s">
        <v>137</v>
      </c>
      <c r="C342" s="627" t="s">
        <v>241</v>
      </c>
      <c r="D342" s="110" t="s">
        <v>240</v>
      </c>
      <c r="E342" s="110"/>
      <c r="F342" s="8">
        <v>21</v>
      </c>
      <c r="G342" s="49">
        <v>256600</v>
      </c>
      <c r="H342" s="61">
        <f t="shared" si="6"/>
        <v>5388600</v>
      </c>
      <c r="I342" s="49" t="s">
        <v>1134</v>
      </c>
      <c r="J342" s="109"/>
      <c r="K342" s="144"/>
      <c r="L342" s="409"/>
    </row>
    <row r="343" spans="1:12" ht="19.5" customHeight="1" x14ac:dyDescent="0.4">
      <c r="A343" s="482">
        <v>46169</v>
      </c>
      <c r="B343" s="110" t="s">
        <v>137</v>
      </c>
      <c r="C343" s="627" t="s">
        <v>241</v>
      </c>
      <c r="D343" s="110" t="s">
        <v>231</v>
      </c>
      <c r="E343" s="110"/>
      <c r="F343" s="8">
        <v>13</v>
      </c>
      <c r="G343" s="49">
        <v>195700</v>
      </c>
      <c r="H343" s="61">
        <f t="shared" si="6"/>
        <v>2544100</v>
      </c>
      <c r="I343" s="49" t="s">
        <v>1316</v>
      </c>
      <c r="J343" s="109"/>
      <c r="K343" s="144"/>
      <c r="L343" s="409"/>
    </row>
    <row r="344" spans="1:12" ht="19.5" customHeight="1" x14ac:dyDescent="0.4">
      <c r="A344" s="482">
        <v>46169</v>
      </c>
      <c r="B344" s="110" t="s">
        <v>137</v>
      </c>
      <c r="C344" s="627" t="s">
        <v>241</v>
      </c>
      <c r="D344" s="110" t="s">
        <v>373</v>
      </c>
      <c r="E344" s="110"/>
      <c r="F344" s="8">
        <v>19</v>
      </c>
      <c r="G344" s="49">
        <v>195700</v>
      </c>
      <c r="H344" s="61">
        <f t="shared" si="6"/>
        <v>3718300</v>
      </c>
      <c r="I344" s="49" t="s">
        <v>1443</v>
      </c>
      <c r="J344" s="109"/>
      <c r="K344" s="144"/>
      <c r="L344" s="409"/>
    </row>
    <row r="345" spans="1:12" ht="19.5" customHeight="1" x14ac:dyDescent="0.4">
      <c r="A345" s="482">
        <v>46169</v>
      </c>
      <c r="B345" s="110" t="s">
        <v>137</v>
      </c>
      <c r="C345" s="627" t="s">
        <v>241</v>
      </c>
      <c r="D345" s="110" t="s">
        <v>373</v>
      </c>
      <c r="E345" s="110"/>
      <c r="F345" s="8">
        <v>32</v>
      </c>
      <c r="G345" s="49">
        <v>195700</v>
      </c>
      <c r="H345" s="61">
        <f t="shared" si="6"/>
        <v>6262400</v>
      </c>
      <c r="I345" s="49" t="s">
        <v>1443</v>
      </c>
      <c r="J345" s="109"/>
      <c r="K345" s="144"/>
      <c r="L345" s="409"/>
    </row>
    <row r="346" spans="1:12" ht="19.5" customHeight="1" x14ac:dyDescent="0.4">
      <c r="A346" s="482">
        <v>46169</v>
      </c>
      <c r="B346" s="110" t="s">
        <v>137</v>
      </c>
      <c r="C346" s="627" t="s">
        <v>241</v>
      </c>
      <c r="D346" s="110" t="s">
        <v>980</v>
      </c>
      <c r="E346" s="110"/>
      <c r="F346" s="8">
        <v>1</v>
      </c>
      <c r="G346" s="49">
        <v>339000</v>
      </c>
      <c r="H346" s="61">
        <f t="shared" si="6"/>
        <v>339000</v>
      </c>
      <c r="I346" s="49" t="s">
        <v>983</v>
      </c>
      <c r="J346" s="109"/>
      <c r="K346" s="144"/>
      <c r="L346" s="409"/>
    </row>
    <row r="347" spans="1:12" ht="19.5" customHeight="1" x14ac:dyDescent="0.4">
      <c r="A347" s="482">
        <v>46169</v>
      </c>
      <c r="B347" s="110" t="s">
        <v>137</v>
      </c>
      <c r="C347" s="627" t="s">
        <v>241</v>
      </c>
      <c r="D347" s="110" t="s">
        <v>980</v>
      </c>
      <c r="E347" s="110"/>
      <c r="F347" s="8">
        <v>4</v>
      </c>
      <c r="G347" s="49">
        <v>339000</v>
      </c>
      <c r="H347" s="61">
        <f t="shared" si="6"/>
        <v>1356000</v>
      </c>
      <c r="I347" s="49" t="s">
        <v>1444</v>
      </c>
      <c r="J347" s="109"/>
      <c r="K347" s="144"/>
      <c r="L347" s="409"/>
    </row>
    <row r="348" spans="1:12" ht="19.5" customHeight="1" x14ac:dyDescent="0.4">
      <c r="A348" s="482">
        <v>46169</v>
      </c>
      <c r="B348" s="110" t="s">
        <v>137</v>
      </c>
      <c r="C348" s="627" t="s">
        <v>241</v>
      </c>
      <c r="D348" s="110" t="s">
        <v>1445</v>
      </c>
      <c r="E348" s="110"/>
      <c r="F348" s="8">
        <v>5</v>
      </c>
      <c r="G348" s="49">
        <v>339000</v>
      </c>
      <c r="H348" s="61">
        <f t="shared" si="6"/>
        <v>1695000</v>
      </c>
      <c r="I348" s="49" t="s">
        <v>1444</v>
      </c>
      <c r="J348" s="109"/>
      <c r="K348" s="144"/>
      <c r="L348" s="409"/>
    </row>
    <row r="349" spans="1:12" ht="19.5" customHeight="1" x14ac:dyDescent="0.4">
      <c r="A349" s="482">
        <v>46169</v>
      </c>
      <c r="B349" s="110" t="s">
        <v>137</v>
      </c>
      <c r="C349" s="627" t="s">
        <v>138</v>
      </c>
      <c r="D349" s="110" t="s">
        <v>236</v>
      </c>
      <c r="E349" s="110"/>
      <c r="F349" s="8">
        <v>60</v>
      </c>
      <c r="G349" s="49">
        <v>180900</v>
      </c>
      <c r="H349" s="61">
        <f t="shared" si="6"/>
        <v>10854000</v>
      </c>
      <c r="I349" s="49" t="s">
        <v>1127</v>
      </c>
      <c r="J349" s="109"/>
      <c r="K349" s="144"/>
      <c r="L349" s="409"/>
    </row>
    <row r="350" spans="1:12" ht="19.5" customHeight="1" x14ac:dyDescent="0.4">
      <c r="A350" s="482">
        <v>46169</v>
      </c>
      <c r="B350" s="110" t="s">
        <v>137</v>
      </c>
      <c r="C350" s="627" t="s">
        <v>233</v>
      </c>
      <c r="D350" s="110" t="s">
        <v>977</v>
      </c>
      <c r="E350" s="110"/>
      <c r="F350" s="8">
        <v>50</v>
      </c>
      <c r="G350" s="49">
        <v>133300</v>
      </c>
      <c r="H350" s="61">
        <f t="shared" si="6"/>
        <v>6665000</v>
      </c>
      <c r="I350" s="49" t="s">
        <v>1129</v>
      </c>
      <c r="J350" s="109"/>
      <c r="K350" s="144"/>
      <c r="L350" s="409"/>
    </row>
    <row r="351" spans="1:12" ht="19.5" customHeight="1" x14ac:dyDescent="0.4">
      <c r="A351" s="482">
        <v>46169</v>
      </c>
      <c r="B351" s="110" t="s">
        <v>137</v>
      </c>
      <c r="C351" s="627" t="s">
        <v>233</v>
      </c>
      <c r="D351" s="110" t="s">
        <v>472</v>
      </c>
      <c r="E351" s="110"/>
      <c r="F351" s="8">
        <v>10</v>
      </c>
      <c r="G351" s="49">
        <v>133300</v>
      </c>
      <c r="H351" s="61">
        <f t="shared" si="6"/>
        <v>1333000</v>
      </c>
      <c r="I351" s="49" t="s">
        <v>1446</v>
      </c>
      <c r="J351" s="109"/>
      <c r="K351" s="144"/>
      <c r="L351" s="409"/>
    </row>
    <row r="352" spans="1:12" ht="19.5" customHeight="1" x14ac:dyDescent="0.4">
      <c r="A352" s="482">
        <v>46169</v>
      </c>
      <c r="B352" s="110" t="s">
        <v>137</v>
      </c>
      <c r="C352" s="627" t="s">
        <v>233</v>
      </c>
      <c r="D352" s="110" t="s">
        <v>472</v>
      </c>
      <c r="E352" s="110"/>
      <c r="F352" s="8">
        <v>50</v>
      </c>
      <c r="G352" s="49">
        <v>133300</v>
      </c>
      <c r="H352" s="61">
        <f t="shared" si="6"/>
        <v>6665000</v>
      </c>
      <c r="I352" s="49" t="s">
        <v>1446</v>
      </c>
      <c r="J352" s="109"/>
      <c r="K352" s="144"/>
      <c r="L352" s="409"/>
    </row>
    <row r="353" spans="1:13" ht="19.5" customHeight="1" x14ac:dyDescent="0.4">
      <c r="A353" s="482">
        <v>46169</v>
      </c>
      <c r="B353" s="110" t="s">
        <v>137</v>
      </c>
      <c r="C353" s="627" t="s">
        <v>233</v>
      </c>
      <c r="D353" s="110" t="s">
        <v>472</v>
      </c>
      <c r="E353" s="110"/>
      <c r="F353" s="8">
        <v>10</v>
      </c>
      <c r="G353" s="49">
        <v>133300</v>
      </c>
      <c r="H353" s="61">
        <f t="shared" si="6"/>
        <v>1333000</v>
      </c>
      <c r="I353" s="49" t="s">
        <v>1447</v>
      </c>
      <c r="J353" s="109"/>
      <c r="K353" s="144"/>
      <c r="L353" s="409"/>
    </row>
    <row r="354" spans="1:13" ht="19.5" customHeight="1" x14ac:dyDescent="0.4">
      <c r="A354" s="483"/>
      <c r="B354" s="194"/>
      <c r="C354" s="40"/>
      <c r="D354" s="194"/>
      <c r="E354" s="194"/>
      <c r="F354" s="91"/>
      <c r="G354" s="138"/>
      <c r="H354" s="138">
        <f>SUM(H330:H353)</f>
        <v>101362600</v>
      </c>
      <c r="I354" s="138"/>
      <c r="J354" s="145"/>
      <c r="K354" s="145"/>
      <c r="L354" s="621"/>
    </row>
    <row r="355" spans="1:13" s="113" customFormat="1" ht="20.25" customHeight="1" x14ac:dyDescent="0.4">
      <c r="A355" s="677"/>
      <c r="B355" s="546" t="s">
        <v>140</v>
      </c>
      <c r="C355" s="664" t="s">
        <v>555</v>
      </c>
      <c r="D355" s="569" t="s">
        <v>248</v>
      </c>
      <c r="E355" s="569" t="s">
        <v>13</v>
      </c>
      <c r="F355" s="570">
        <v>3</v>
      </c>
      <c r="G355" s="570">
        <v>227500</v>
      </c>
      <c r="H355" s="669">
        <f t="shared" ref="H355:H395" si="7">F355*G355</f>
        <v>682500</v>
      </c>
      <c r="I355" s="678" t="s">
        <v>1532</v>
      </c>
      <c r="J355" s="111"/>
      <c r="K355" s="111"/>
      <c r="L355" s="25"/>
    </row>
    <row r="356" spans="1:13" ht="17.399999999999999" x14ac:dyDescent="0.4">
      <c r="A356" s="540">
        <v>46149</v>
      </c>
      <c r="B356" s="548" t="s">
        <v>140</v>
      </c>
      <c r="C356" s="665" t="s">
        <v>1449</v>
      </c>
      <c r="D356" s="543" t="s">
        <v>248</v>
      </c>
      <c r="E356" s="544" t="s">
        <v>13</v>
      </c>
      <c r="F356" s="545">
        <v>4</v>
      </c>
      <c r="G356" s="546">
        <v>227500</v>
      </c>
      <c r="H356" s="546">
        <f t="shared" si="7"/>
        <v>910000</v>
      </c>
      <c r="I356" s="678" t="s">
        <v>1532</v>
      </c>
      <c r="J356" s="67"/>
      <c r="K356" s="67"/>
      <c r="L356" s="409"/>
    </row>
    <row r="357" spans="1:13" s="3" customFormat="1" ht="19.5" customHeight="1" x14ac:dyDescent="0.4">
      <c r="A357" s="566">
        <v>46052</v>
      </c>
      <c r="B357" s="569" t="s">
        <v>140</v>
      </c>
      <c r="C357" s="664" t="s">
        <v>473</v>
      </c>
      <c r="D357" s="569" t="s">
        <v>777</v>
      </c>
      <c r="E357" s="569" t="s">
        <v>13</v>
      </c>
      <c r="F357" s="570">
        <v>3</v>
      </c>
      <c r="G357" s="669">
        <v>437172</v>
      </c>
      <c r="H357" s="546">
        <f t="shared" si="7"/>
        <v>1311516</v>
      </c>
      <c r="I357" s="678" t="s">
        <v>1532</v>
      </c>
      <c r="J357" s="196"/>
      <c r="K357" s="196"/>
      <c r="L357" s="196"/>
      <c r="M357" s="89"/>
    </row>
    <row r="358" spans="1:13" s="261" customFormat="1" ht="19.5" customHeight="1" x14ac:dyDescent="0.4">
      <c r="A358" s="677">
        <v>45993</v>
      </c>
      <c r="B358" s="679" t="s">
        <v>140</v>
      </c>
      <c r="C358" s="680" t="s">
        <v>553</v>
      </c>
      <c r="D358" s="681" t="s">
        <v>244</v>
      </c>
      <c r="E358" s="681" t="s">
        <v>13</v>
      </c>
      <c r="F358" s="680">
        <v>2</v>
      </c>
      <c r="G358" s="680">
        <v>973200</v>
      </c>
      <c r="H358" s="680">
        <f t="shared" si="7"/>
        <v>1946400</v>
      </c>
      <c r="I358" s="678" t="s">
        <v>1532</v>
      </c>
      <c r="J358" s="258"/>
      <c r="K358" s="258"/>
      <c r="L358" s="258"/>
    </row>
    <row r="359" spans="1:13" s="261" customFormat="1" ht="19.5" customHeight="1" x14ac:dyDescent="0.4">
      <c r="A359" s="677">
        <v>45993</v>
      </c>
      <c r="B359" s="679" t="s">
        <v>140</v>
      </c>
      <c r="C359" s="680" t="s">
        <v>553</v>
      </c>
      <c r="D359" s="681" t="s">
        <v>244</v>
      </c>
      <c r="E359" s="681" t="s">
        <v>13</v>
      </c>
      <c r="F359" s="680">
        <v>1</v>
      </c>
      <c r="G359" s="680">
        <v>973200</v>
      </c>
      <c r="H359" s="680">
        <f t="shared" si="7"/>
        <v>973200</v>
      </c>
      <c r="I359" s="678" t="s">
        <v>1532</v>
      </c>
      <c r="J359" s="258"/>
      <c r="K359" s="258"/>
      <c r="L359" s="258"/>
    </row>
    <row r="360" spans="1:13" s="50" customFormat="1" ht="18.75" customHeight="1" x14ac:dyDescent="0.4">
      <c r="A360" s="540">
        <v>46079</v>
      </c>
      <c r="B360" s="569" t="s">
        <v>140</v>
      </c>
      <c r="C360" s="542" t="s">
        <v>553</v>
      </c>
      <c r="D360" s="544" t="s">
        <v>244</v>
      </c>
      <c r="E360" s="544" t="s">
        <v>13</v>
      </c>
      <c r="F360" s="545">
        <v>2</v>
      </c>
      <c r="G360" s="546">
        <v>973200</v>
      </c>
      <c r="H360" s="546">
        <f t="shared" si="7"/>
        <v>1946400</v>
      </c>
      <c r="I360" s="678" t="s">
        <v>1532</v>
      </c>
      <c r="J360" s="67"/>
      <c r="K360" s="67"/>
      <c r="L360" s="67"/>
    </row>
    <row r="361" spans="1:13" s="50" customFormat="1" ht="18.75" customHeight="1" x14ac:dyDescent="0.4">
      <c r="A361" s="540">
        <v>46084</v>
      </c>
      <c r="B361" s="548" t="s">
        <v>140</v>
      </c>
      <c r="C361" s="542" t="s">
        <v>553</v>
      </c>
      <c r="D361" s="544" t="s">
        <v>244</v>
      </c>
      <c r="E361" s="544" t="s">
        <v>13</v>
      </c>
      <c r="F361" s="545">
        <v>5</v>
      </c>
      <c r="G361" s="546">
        <v>973200</v>
      </c>
      <c r="H361" s="546">
        <f t="shared" si="7"/>
        <v>4866000</v>
      </c>
      <c r="I361" s="678" t="s">
        <v>1532</v>
      </c>
      <c r="J361" s="67"/>
      <c r="K361" s="67"/>
      <c r="L361" s="67"/>
    </row>
    <row r="362" spans="1:13" s="50" customFormat="1" ht="18.75" customHeight="1" x14ac:dyDescent="0.4">
      <c r="A362" s="540">
        <v>46090</v>
      </c>
      <c r="B362" s="548" t="s">
        <v>140</v>
      </c>
      <c r="C362" s="542" t="s">
        <v>553</v>
      </c>
      <c r="D362" s="544" t="s">
        <v>244</v>
      </c>
      <c r="E362" s="544" t="s">
        <v>13</v>
      </c>
      <c r="F362" s="545">
        <v>1</v>
      </c>
      <c r="G362" s="546">
        <v>973200</v>
      </c>
      <c r="H362" s="546">
        <f t="shared" si="7"/>
        <v>973200</v>
      </c>
      <c r="I362" s="678" t="s">
        <v>1532</v>
      </c>
      <c r="J362" s="67"/>
      <c r="K362" s="67"/>
      <c r="L362" s="67"/>
    </row>
    <row r="363" spans="1:13" s="50" customFormat="1" ht="18.75" customHeight="1" x14ac:dyDescent="0.4">
      <c r="A363" s="540">
        <v>46101</v>
      </c>
      <c r="B363" s="548" t="s">
        <v>140</v>
      </c>
      <c r="C363" s="542" t="s">
        <v>553</v>
      </c>
      <c r="D363" s="544" t="s">
        <v>244</v>
      </c>
      <c r="E363" s="544" t="s">
        <v>13</v>
      </c>
      <c r="F363" s="545">
        <v>3</v>
      </c>
      <c r="G363" s="545">
        <v>973200</v>
      </c>
      <c r="H363" s="546">
        <f t="shared" si="7"/>
        <v>2919600</v>
      </c>
      <c r="I363" s="678" t="s">
        <v>1532</v>
      </c>
      <c r="J363" s="67"/>
      <c r="K363" s="67"/>
      <c r="L363" s="67"/>
    </row>
    <row r="364" spans="1:13" s="50" customFormat="1" ht="18.75" customHeight="1" x14ac:dyDescent="0.4">
      <c r="A364" s="540">
        <v>46112</v>
      </c>
      <c r="B364" s="548" t="s">
        <v>140</v>
      </c>
      <c r="C364" s="542" t="s">
        <v>553</v>
      </c>
      <c r="D364" s="544" t="s">
        <v>244</v>
      </c>
      <c r="E364" s="544" t="s">
        <v>13</v>
      </c>
      <c r="F364" s="545">
        <v>1</v>
      </c>
      <c r="G364" s="545">
        <v>973200</v>
      </c>
      <c r="H364" s="546">
        <f t="shared" si="7"/>
        <v>973200</v>
      </c>
      <c r="I364" s="678" t="s">
        <v>1532</v>
      </c>
      <c r="J364" s="67"/>
      <c r="K364" s="67"/>
      <c r="L364" s="67"/>
    </row>
    <row r="365" spans="1:13" s="50" customFormat="1" ht="18.75" customHeight="1" x14ac:dyDescent="0.4">
      <c r="A365" s="540">
        <v>46128</v>
      </c>
      <c r="B365" s="548" t="s">
        <v>140</v>
      </c>
      <c r="C365" s="542" t="s">
        <v>554</v>
      </c>
      <c r="D365" s="544" t="s">
        <v>245</v>
      </c>
      <c r="E365" s="544" t="s">
        <v>13</v>
      </c>
      <c r="F365" s="545">
        <v>3</v>
      </c>
      <c r="G365" s="546">
        <v>630500</v>
      </c>
      <c r="H365" s="546">
        <f t="shared" si="7"/>
        <v>1891500</v>
      </c>
      <c r="I365" s="678" t="s">
        <v>1532</v>
      </c>
      <c r="J365" s="67"/>
      <c r="K365" s="67"/>
      <c r="L365" s="67"/>
    </row>
    <row r="366" spans="1:13" s="50" customFormat="1" ht="18.75" customHeight="1" x14ac:dyDescent="0.4">
      <c r="A366" s="540">
        <v>46101</v>
      </c>
      <c r="B366" s="548" t="s">
        <v>140</v>
      </c>
      <c r="C366" s="542" t="s">
        <v>554</v>
      </c>
      <c r="D366" s="544" t="s">
        <v>245</v>
      </c>
      <c r="E366" s="544" t="s">
        <v>13</v>
      </c>
      <c r="F366" s="545">
        <v>2</v>
      </c>
      <c r="G366" s="545">
        <v>630500</v>
      </c>
      <c r="H366" s="546">
        <f t="shared" si="7"/>
        <v>1261000</v>
      </c>
      <c r="I366" s="678" t="s">
        <v>1532</v>
      </c>
      <c r="J366" s="67"/>
      <c r="K366" s="67"/>
      <c r="L366" s="67"/>
    </row>
    <row r="367" spans="1:13" s="50" customFormat="1" ht="18.75" customHeight="1" x14ac:dyDescent="0.4">
      <c r="A367" s="540">
        <v>46128</v>
      </c>
      <c r="B367" s="548" t="s">
        <v>140</v>
      </c>
      <c r="C367" s="542" t="s">
        <v>554</v>
      </c>
      <c r="D367" s="544" t="s">
        <v>245</v>
      </c>
      <c r="E367" s="544" t="s">
        <v>13</v>
      </c>
      <c r="F367" s="545">
        <v>3</v>
      </c>
      <c r="G367" s="546">
        <v>630500</v>
      </c>
      <c r="H367" s="546">
        <f t="shared" si="7"/>
        <v>1891500</v>
      </c>
      <c r="I367" s="678" t="s">
        <v>1532</v>
      </c>
      <c r="J367" s="67"/>
      <c r="K367" s="67"/>
      <c r="L367" s="67"/>
    </row>
    <row r="368" spans="1:13" ht="17.399999999999999" x14ac:dyDescent="0.4">
      <c r="A368" s="540">
        <v>46154</v>
      </c>
      <c r="B368" s="548" t="s">
        <v>140</v>
      </c>
      <c r="C368" s="674" t="s">
        <v>1450</v>
      </c>
      <c r="D368" s="543" t="s">
        <v>1451</v>
      </c>
      <c r="E368" s="544" t="s">
        <v>13</v>
      </c>
      <c r="F368" s="545">
        <v>8</v>
      </c>
      <c r="G368" s="546">
        <v>117700</v>
      </c>
      <c r="H368" s="546">
        <f t="shared" si="7"/>
        <v>941600</v>
      </c>
      <c r="I368" s="678" t="s">
        <v>1532</v>
      </c>
      <c r="J368" s="67"/>
      <c r="K368" s="67"/>
      <c r="L368" s="67"/>
    </row>
    <row r="369" spans="1:13" s="50" customFormat="1" ht="18.75" customHeight="1" x14ac:dyDescent="0.4">
      <c r="A369" s="540">
        <v>46139</v>
      </c>
      <c r="B369" s="546" t="s">
        <v>140</v>
      </c>
      <c r="C369" s="669" t="s">
        <v>539</v>
      </c>
      <c r="D369" s="682" t="s">
        <v>242</v>
      </c>
      <c r="E369" s="682" t="s">
        <v>13</v>
      </c>
      <c r="F369" s="669">
        <v>2</v>
      </c>
      <c r="G369" s="669">
        <v>198042</v>
      </c>
      <c r="H369" s="669">
        <f t="shared" si="7"/>
        <v>396084</v>
      </c>
      <c r="I369" s="678" t="s">
        <v>1532</v>
      </c>
      <c r="J369" s="67"/>
      <c r="K369" s="67"/>
      <c r="L369" s="67"/>
    </row>
    <row r="370" spans="1:13" s="50" customFormat="1" ht="18.75" customHeight="1" x14ac:dyDescent="0.4">
      <c r="A370" s="540">
        <v>46142</v>
      </c>
      <c r="B370" s="546" t="s">
        <v>140</v>
      </c>
      <c r="C370" s="669" t="s">
        <v>539</v>
      </c>
      <c r="D370" s="682" t="s">
        <v>242</v>
      </c>
      <c r="E370" s="682" t="s">
        <v>13</v>
      </c>
      <c r="F370" s="669">
        <v>2</v>
      </c>
      <c r="G370" s="669">
        <v>198042</v>
      </c>
      <c r="H370" s="669">
        <f t="shared" si="7"/>
        <v>396084</v>
      </c>
      <c r="I370" s="678" t="s">
        <v>1532</v>
      </c>
      <c r="J370" s="67"/>
      <c r="K370" s="67"/>
      <c r="L370" s="67"/>
    </row>
    <row r="371" spans="1:13" ht="17.399999999999999" x14ac:dyDescent="0.4">
      <c r="A371" s="540">
        <v>46154</v>
      </c>
      <c r="B371" s="548" t="s">
        <v>140</v>
      </c>
      <c r="C371" s="674" t="s">
        <v>539</v>
      </c>
      <c r="D371" s="682" t="s">
        <v>242</v>
      </c>
      <c r="E371" s="682" t="s">
        <v>13</v>
      </c>
      <c r="F371" s="669">
        <v>2</v>
      </c>
      <c r="G371" s="669">
        <v>198042</v>
      </c>
      <c r="H371" s="669">
        <f t="shared" si="7"/>
        <v>396084</v>
      </c>
      <c r="I371" s="678" t="s">
        <v>1532</v>
      </c>
      <c r="J371" s="67"/>
      <c r="K371" s="67"/>
      <c r="L371" s="67"/>
    </row>
    <row r="372" spans="1:13" ht="17.399999999999999" x14ac:dyDescent="0.4">
      <c r="A372" s="540">
        <v>46171</v>
      </c>
      <c r="B372" s="546" t="s">
        <v>140</v>
      </c>
      <c r="C372" s="674" t="s">
        <v>539</v>
      </c>
      <c r="D372" s="682" t="s">
        <v>242</v>
      </c>
      <c r="E372" s="682" t="s">
        <v>13</v>
      </c>
      <c r="F372" s="669">
        <v>9</v>
      </c>
      <c r="G372" s="669">
        <v>198042</v>
      </c>
      <c r="H372" s="545">
        <f>G372*F372</f>
        <v>1782378</v>
      </c>
      <c r="I372" s="678" t="s">
        <v>1532</v>
      </c>
      <c r="J372" s="631"/>
      <c r="K372" s="607"/>
      <c r="L372" s="632"/>
    </row>
    <row r="373" spans="1:13" s="3" customFormat="1" ht="18.75" customHeight="1" x14ac:dyDescent="0.4">
      <c r="A373" s="566">
        <v>46115</v>
      </c>
      <c r="B373" s="569" t="s">
        <v>140</v>
      </c>
      <c r="C373" s="664" t="s">
        <v>1135</v>
      </c>
      <c r="D373" s="569" t="s">
        <v>1136</v>
      </c>
      <c r="E373" s="569" t="s">
        <v>13</v>
      </c>
      <c r="F373" s="673">
        <v>2</v>
      </c>
      <c r="G373" s="674">
        <v>223988</v>
      </c>
      <c r="H373" s="546">
        <f t="shared" ref="H373:H381" si="8">F373*G373</f>
        <v>447976</v>
      </c>
      <c r="I373" s="678" t="s">
        <v>1532</v>
      </c>
      <c r="J373" s="683"/>
      <c r="K373" s="684"/>
      <c r="L373" s="144"/>
      <c r="M373" s="89"/>
    </row>
    <row r="374" spans="1:13" s="113" customFormat="1" ht="20.25" customHeight="1" x14ac:dyDescent="0.4">
      <c r="A374" s="677"/>
      <c r="B374" s="546" t="s">
        <v>140</v>
      </c>
      <c r="C374" s="664" t="s">
        <v>595</v>
      </c>
      <c r="D374" s="569" t="s">
        <v>247</v>
      </c>
      <c r="E374" s="569" t="s">
        <v>13</v>
      </c>
      <c r="F374" s="570">
        <v>3</v>
      </c>
      <c r="G374" s="570">
        <v>56100</v>
      </c>
      <c r="H374" s="669">
        <f t="shared" si="8"/>
        <v>168300</v>
      </c>
      <c r="I374" s="678" t="s">
        <v>1532</v>
      </c>
      <c r="J374" s="678"/>
      <c r="K374" s="678"/>
      <c r="L374" s="25"/>
    </row>
    <row r="375" spans="1:13" ht="17.399999999999999" x14ac:dyDescent="0.4">
      <c r="A375" s="540">
        <v>46154</v>
      </c>
      <c r="B375" s="548" t="s">
        <v>140</v>
      </c>
      <c r="C375" s="674" t="s">
        <v>595</v>
      </c>
      <c r="D375" s="543" t="s">
        <v>247</v>
      </c>
      <c r="E375" s="544" t="s">
        <v>13</v>
      </c>
      <c r="F375" s="545">
        <v>5</v>
      </c>
      <c r="G375" s="546">
        <v>56100</v>
      </c>
      <c r="H375" s="546">
        <f t="shared" si="8"/>
        <v>280500</v>
      </c>
      <c r="I375" s="678" t="s">
        <v>1532</v>
      </c>
      <c r="J375" s="67"/>
      <c r="K375" s="67"/>
      <c r="L375" s="67"/>
    </row>
    <row r="376" spans="1:13" s="50" customFormat="1" ht="18.75" customHeight="1" x14ac:dyDescent="0.4">
      <c r="A376" s="540">
        <v>46057</v>
      </c>
      <c r="B376" s="569" t="s">
        <v>140</v>
      </c>
      <c r="C376" s="664" t="s">
        <v>773</v>
      </c>
      <c r="D376" s="569" t="s">
        <v>774</v>
      </c>
      <c r="E376" s="569" t="s">
        <v>775</v>
      </c>
      <c r="F376" s="570">
        <v>2</v>
      </c>
      <c r="G376" s="669">
        <v>77265</v>
      </c>
      <c r="H376" s="546">
        <f t="shared" si="8"/>
        <v>154530</v>
      </c>
      <c r="I376" s="678" t="s">
        <v>1532</v>
      </c>
      <c r="J376" s="67"/>
      <c r="K376" s="67"/>
      <c r="L376" s="67"/>
    </row>
    <row r="377" spans="1:13" s="50" customFormat="1" ht="18.75" customHeight="1" x14ac:dyDescent="0.4">
      <c r="A377" s="540">
        <v>46077</v>
      </c>
      <c r="B377" s="569" t="s">
        <v>140</v>
      </c>
      <c r="C377" s="664" t="s">
        <v>773</v>
      </c>
      <c r="D377" s="569" t="s">
        <v>774</v>
      </c>
      <c r="E377" s="569" t="s">
        <v>775</v>
      </c>
      <c r="F377" s="570">
        <v>3</v>
      </c>
      <c r="G377" s="669">
        <v>77265</v>
      </c>
      <c r="H377" s="546">
        <f t="shared" si="8"/>
        <v>231795</v>
      </c>
      <c r="I377" s="678" t="s">
        <v>1532</v>
      </c>
      <c r="J377" s="67"/>
      <c r="K377" s="67"/>
      <c r="L377" s="67"/>
    </row>
    <row r="378" spans="1:13" s="50" customFormat="1" ht="18.75" customHeight="1" x14ac:dyDescent="0.4">
      <c r="A378" s="540">
        <v>46128</v>
      </c>
      <c r="B378" s="548" t="s">
        <v>140</v>
      </c>
      <c r="C378" s="542" t="s">
        <v>552</v>
      </c>
      <c r="D378" s="544" t="s">
        <v>243</v>
      </c>
      <c r="E378" s="544" t="s">
        <v>13</v>
      </c>
      <c r="F378" s="545">
        <v>10</v>
      </c>
      <c r="G378" s="545">
        <v>202000</v>
      </c>
      <c r="H378" s="546">
        <f t="shared" si="8"/>
        <v>2020000</v>
      </c>
      <c r="I378" s="678" t="s">
        <v>1382</v>
      </c>
      <c r="J378" s="67"/>
      <c r="K378" s="67"/>
      <c r="L378" s="67"/>
    </row>
    <row r="379" spans="1:13" s="50" customFormat="1" ht="18.75" customHeight="1" x14ac:dyDescent="0.4">
      <c r="A379" s="540">
        <v>46128</v>
      </c>
      <c r="B379" s="548" t="s">
        <v>140</v>
      </c>
      <c r="C379" s="542" t="s">
        <v>552</v>
      </c>
      <c r="D379" s="544" t="s">
        <v>243</v>
      </c>
      <c r="E379" s="544" t="s">
        <v>13</v>
      </c>
      <c r="F379" s="545">
        <v>10</v>
      </c>
      <c r="G379" s="545">
        <v>216997</v>
      </c>
      <c r="H379" s="546">
        <f t="shared" si="8"/>
        <v>2169970</v>
      </c>
      <c r="I379" s="678" t="s">
        <v>1382</v>
      </c>
      <c r="J379" s="67"/>
      <c r="K379" s="67"/>
      <c r="L379" s="67"/>
    </row>
    <row r="380" spans="1:13" s="3" customFormat="1" ht="19.5" customHeight="1" x14ac:dyDescent="0.4">
      <c r="A380" s="566">
        <v>46052</v>
      </c>
      <c r="B380" s="569" t="s">
        <v>140</v>
      </c>
      <c r="C380" s="664" t="s">
        <v>1533</v>
      </c>
      <c r="D380" s="569" t="s">
        <v>777</v>
      </c>
      <c r="E380" s="569" t="s">
        <v>13</v>
      </c>
      <c r="F380" s="570">
        <v>2</v>
      </c>
      <c r="G380" s="669">
        <v>465809</v>
      </c>
      <c r="H380" s="546">
        <f t="shared" si="8"/>
        <v>931618</v>
      </c>
      <c r="I380" s="678" t="s">
        <v>1382</v>
      </c>
      <c r="J380" s="196"/>
      <c r="K380" s="196"/>
      <c r="L380" s="196"/>
      <c r="M380" s="89"/>
    </row>
    <row r="381" spans="1:13" ht="17.399999999999999" x14ac:dyDescent="0.4">
      <c r="A381" s="485">
        <v>46149</v>
      </c>
      <c r="B381" s="5" t="s">
        <v>140</v>
      </c>
      <c r="C381" s="80" t="s">
        <v>1449</v>
      </c>
      <c r="D381" s="42" t="s">
        <v>248</v>
      </c>
      <c r="E381" s="1" t="s">
        <v>13</v>
      </c>
      <c r="F381" s="36">
        <v>2</v>
      </c>
      <c r="G381" s="7">
        <v>227500</v>
      </c>
      <c r="H381" s="7">
        <f t="shared" si="8"/>
        <v>455000</v>
      </c>
      <c r="I381" s="67" t="s">
        <v>1502</v>
      </c>
      <c r="J381" s="67"/>
      <c r="K381" s="67"/>
      <c r="L381" s="409"/>
    </row>
    <row r="382" spans="1:13" s="113" customFormat="1" ht="20.25" customHeight="1" x14ac:dyDescent="0.4">
      <c r="A382" s="501"/>
      <c r="B382" s="7" t="s">
        <v>140</v>
      </c>
      <c r="C382" s="29" t="s">
        <v>474</v>
      </c>
      <c r="D382" s="110" t="s">
        <v>475</v>
      </c>
      <c r="E382" s="110" t="s">
        <v>11</v>
      </c>
      <c r="F382" s="81">
        <v>10</v>
      </c>
      <c r="G382" s="81">
        <v>652000</v>
      </c>
      <c r="H382" s="49">
        <f t="shared" si="7"/>
        <v>6520000</v>
      </c>
      <c r="I382" s="67" t="s">
        <v>1502</v>
      </c>
      <c r="J382" s="111"/>
      <c r="K382" s="111"/>
      <c r="L382" s="25"/>
    </row>
    <row r="383" spans="1:13" s="113" customFormat="1" ht="20.25" customHeight="1" x14ac:dyDescent="0.4">
      <c r="A383" s="501"/>
      <c r="B383" s="7" t="s">
        <v>140</v>
      </c>
      <c r="C383" s="29" t="s">
        <v>540</v>
      </c>
      <c r="D383" s="110" t="s">
        <v>541</v>
      </c>
      <c r="E383" s="110" t="s">
        <v>13</v>
      </c>
      <c r="F383" s="81">
        <v>3</v>
      </c>
      <c r="G383" s="81">
        <v>102000</v>
      </c>
      <c r="H383" s="49">
        <f t="shared" si="7"/>
        <v>306000</v>
      </c>
      <c r="I383" s="67" t="s">
        <v>1502</v>
      </c>
      <c r="J383" s="111"/>
      <c r="K383" s="111"/>
      <c r="L383" s="25"/>
    </row>
    <row r="384" spans="1:13" s="113" customFormat="1" ht="20.25" customHeight="1" x14ac:dyDescent="0.4">
      <c r="A384" s="501"/>
      <c r="B384" s="7" t="s">
        <v>140</v>
      </c>
      <c r="C384" s="29" t="s">
        <v>540</v>
      </c>
      <c r="D384" s="110" t="s">
        <v>541</v>
      </c>
      <c r="E384" s="110" t="s">
        <v>13</v>
      </c>
      <c r="F384" s="81">
        <v>7</v>
      </c>
      <c r="G384" s="81">
        <v>102000</v>
      </c>
      <c r="H384" s="49">
        <f t="shared" si="7"/>
        <v>714000</v>
      </c>
      <c r="I384" s="67" t="s">
        <v>1502</v>
      </c>
      <c r="J384" s="111"/>
      <c r="K384" s="111"/>
      <c r="L384" s="25"/>
    </row>
    <row r="385" spans="1:13" s="50" customFormat="1" ht="18.75" customHeight="1" x14ac:dyDescent="0.4">
      <c r="A385" s="485">
        <v>46064</v>
      </c>
      <c r="B385" s="110" t="s">
        <v>140</v>
      </c>
      <c r="C385" s="29" t="s">
        <v>580</v>
      </c>
      <c r="D385" s="110" t="s">
        <v>780</v>
      </c>
      <c r="E385" s="110" t="s">
        <v>13</v>
      </c>
      <c r="F385" s="81">
        <v>2</v>
      </c>
      <c r="G385" s="81">
        <v>984000</v>
      </c>
      <c r="H385" s="7">
        <f>F385*G385</f>
        <v>1968000</v>
      </c>
      <c r="I385" s="67" t="s">
        <v>1502</v>
      </c>
      <c r="J385" s="67"/>
      <c r="K385" s="67"/>
      <c r="L385" s="67"/>
    </row>
    <row r="386" spans="1:13" s="261" customFormat="1" ht="19.2" customHeight="1" x14ac:dyDescent="0.4">
      <c r="A386" s="501">
        <v>45993</v>
      </c>
      <c r="B386" s="275" t="s">
        <v>140</v>
      </c>
      <c r="C386" s="259" t="s">
        <v>1239</v>
      </c>
      <c r="D386" s="257" t="s">
        <v>475</v>
      </c>
      <c r="E386" s="257" t="s">
        <v>11</v>
      </c>
      <c r="F386" s="259">
        <v>3</v>
      </c>
      <c r="G386" s="259">
        <v>652000</v>
      </c>
      <c r="H386" s="259">
        <f t="shared" si="7"/>
        <v>1956000</v>
      </c>
      <c r="I386" s="67" t="s">
        <v>1502</v>
      </c>
      <c r="J386" s="258"/>
      <c r="K386" s="258"/>
      <c r="L386" s="258"/>
    </row>
    <row r="387" spans="1:13" s="261" customFormat="1" ht="19.5" customHeight="1" x14ac:dyDescent="0.4">
      <c r="A387" s="501">
        <v>46009</v>
      </c>
      <c r="B387" s="275" t="s">
        <v>140</v>
      </c>
      <c r="C387" s="259" t="s">
        <v>580</v>
      </c>
      <c r="D387" s="257" t="s">
        <v>581</v>
      </c>
      <c r="E387" s="257" t="s">
        <v>13</v>
      </c>
      <c r="F387" s="259">
        <v>6</v>
      </c>
      <c r="G387" s="259">
        <v>984000</v>
      </c>
      <c r="H387" s="256">
        <f t="shared" si="7"/>
        <v>5904000</v>
      </c>
      <c r="I387" s="67" t="s">
        <v>1502</v>
      </c>
      <c r="J387" s="258"/>
      <c r="K387" s="258"/>
      <c r="L387" s="258"/>
    </row>
    <row r="388" spans="1:13" s="3" customFormat="1" ht="19.5" customHeight="1" x14ac:dyDescent="0.4">
      <c r="A388" s="482">
        <v>46038</v>
      </c>
      <c r="B388" s="110" t="s">
        <v>140</v>
      </c>
      <c r="C388" s="29" t="s">
        <v>580</v>
      </c>
      <c r="D388" s="110" t="s">
        <v>581</v>
      </c>
      <c r="E388" s="110" t="s">
        <v>13</v>
      </c>
      <c r="F388" s="81">
        <v>2</v>
      </c>
      <c r="G388" s="81">
        <v>984000</v>
      </c>
      <c r="H388" s="8">
        <f t="shared" si="7"/>
        <v>1968000</v>
      </c>
      <c r="I388" s="67" t="s">
        <v>1502</v>
      </c>
      <c r="J388" s="196"/>
      <c r="K388" s="196"/>
      <c r="L388" s="196"/>
      <c r="M388" s="89"/>
    </row>
    <row r="389" spans="1:13" s="50" customFormat="1" ht="18.75" customHeight="1" x14ac:dyDescent="0.4">
      <c r="A389" s="485">
        <v>46057</v>
      </c>
      <c r="B389" s="110" t="s">
        <v>140</v>
      </c>
      <c r="C389" s="29" t="s">
        <v>580</v>
      </c>
      <c r="D389" s="110" t="s">
        <v>780</v>
      </c>
      <c r="E389" s="110" t="s">
        <v>13</v>
      </c>
      <c r="F389" s="81">
        <v>2</v>
      </c>
      <c r="G389" s="81">
        <v>984000</v>
      </c>
      <c r="H389" s="7">
        <f t="shared" si="7"/>
        <v>1968000</v>
      </c>
      <c r="I389" s="67" t="s">
        <v>1502</v>
      </c>
      <c r="J389" s="67"/>
      <c r="K389" s="67"/>
      <c r="L389" s="67"/>
    </row>
    <row r="390" spans="1:13" s="50" customFormat="1" ht="18.75" customHeight="1" x14ac:dyDescent="0.4">
      <c r="A390" s="485">
        <v>46058</v>
      </c>
      <c r="B390" s="110" t="s">
        <v>140</v>
      </c>
      <c r="C390" s="29" t="s">
        <v>580</v>
      </c>
      <c r="D390" s="110" t="s">
        <v>780</v>
      </c>
      <c r="E390" s="110" t="s">
        <v>13</v>
      </c>
      <c r="F390" s="81">
        <v>4</v>
      </c>
      <c r="G390" s="81">
        <v>984000</v>
      </c>
      <c r="H390" s="7">
        <f t="shared" si="7"/>
        <v>3936000</v>
      </c>
      <c r="I390" s="67" t="s">
        <v>1502</v>
      </c>
      <c r="J390" s="67"/>
      <c r="K390" s="67"/>
      <c r="L390" s="67"/>
    </row>
    <row r="391" spans="1:13" s="50" customFormat="1" ht="18.75" customHeight="1" x14ac:dyDescent="0.4">
      <c r="A391" s="485">
        <v>46058</v>
      </c>
      <c r="B391" s="110" t="s">
        <v>140</v>
      </c>
      <c r="C391" s="29" t="s">
        <v>473</v>
      </c>
      <c r="D391" s="110" t="s">
        <v>777</v>
      </c>
      <c r="E391" s="110" t="s">
        <v>13</v>
      </c>
      <c r="F391" s="81">
        <v>1</v>
      </c>
      <c r="G391" s="49">
        <v>393500</v>
      </c>
      <c r="H391" s="7">
        <f t="shared" si="7"/>
        <v>393500</v>
      </c>
      <c r="I391" s="67" t="s">
        <v>1502</v>
      </c>
      <c r="J391" s="67"/>
      <c r="K391" s="67"/>
      <c r="L391" s="67"/>
    </row>
    <row r="392" spans="1:13" s="50" customFormat="1" ht="18.75" customHeight="1" x14ac:dyDescent="0.4">
      <c r="A392" s="485">
        <v>46076</v>
      </c>
      <c r="B392" s="110" t="s">
        <v>140</v>
      </c>
      <c r="C392" s="29" t="s">
        <v>540</v>
      </c>
      <c r="D392" s="110" t="s">
        <v>541</v>
      </c>
      <c r="E392" s="110" t="s">
        <v>343</v>
      </c>
      <c r="F392" s="81">
        <v>4</v>
      </c>
      <c r="G392" s="49">
        <v>102000</v>
      </c>
      <c r="H392" s="7">
        <f t="shared" si="7"/>
        <v>408000</v>
      </c>
      <c r="I392" s="67" t="s">
        <v>1502</v>
      </c>
      <c r="J392" s="67"/>
      <c r="K392" s="67"/>
      <c r="L392" s="67"/>
    </row>
    <row r="393" spans="1:13" s="50" customFormat="1" ht="18.75" customHeight="1" x14ac:dyDescent="0.4">
      <c r="A393" s="485">
        <v>46076</v>
      </c>
      <c r="B393" s="110" t="s">
        <v>140</v>
      </c>
      <c r="C393" s="29" t="s">
        <v>474</v>
      </c>
      <c r="D393" s="110" t="s">
        <v>475</v>
      </c>
      <c r="E393" s="110" t="s">
        <v>11</v>
      </c>
      <c r="F393" s="81">
        <v>6</v>
      </c>
      <c r="G393" s="49">
        <v>652000</v>
      </c>
      <c r="H393" s="7">
        <f t="shared" si="7"/>
        <v>3912000</v>
      </c>
      <c r="I393" s="67" t="s">
        <v>1502</v>
      </c>
      <c r="J393" s="67"/>
      <c r="K393" s="67"/>
      <c r="L393" s="67"/>
    </row>
    <row r="394" spans="1:13" s="50" customFormat="1" ht="18.75" customHeight="1" x14ac:dyDescent="0.4">
      <c r="A394" s="485">
        <v>46077</v>
      </c>
      <c r="B394" s="110" t="s">
        <v>140</v>
      </c>
      <c r="C394" s="29" t="s">
        <v>773</v>
      </c>
      <c r="D394" s="110" t="s">
        <v>774</v>
      </c>
      <c r="E394" s="110" t="s">
        <v>775</v>
      </c>
      <c r="F394" s="81">
        <v>7</v>
      </c>
      <c r="G394" s="49">
        <v>69700</v>
      </c>
      <c r="H394" s="7">
        <f t="shared" si="7"/>
        <v>487900</v>
      </c>
      <c r="I394" s="67" t="s">
        <v>1502</v>
      </c>
      <c r="J394" s="67"/>
      <c r="K394" s="67"/>
      <c r="L394" s="67"/>
    </row>
    <row r="395" spans="1:13" s="50" customFormat="1" ht="18.75" customHeight="1" x14ac:dyDescent="0.4">
      <c r="A395" s="485">
        <v>46080</v>
      </c>
      <c r="B395" s="110" t="s">
        <v>140</v>
      </c>
      <c r="C395" s="29" t="s">
        <v>771</v>
      </c>
      <c r="D395" s="110" t="s">
        <v>772</v>
      </c>
      <c r="E395" s="110" t="s">
        <v>13</v>
      </c>
      <c r="F395" s="81">
        <v>1</v>
      </c>
      <c r="G395" s="49">
        <v>633000</v>
      </c>
      <c r="H395" s="7">
        <f t="shared" si="7"/>
        <v>633000</v>
      </c>
      <c r="I395" s="67" t="s">
        <v>1502</v>
      </c>
      <c r="J395" s="67"/>
      <c r="K395" s="67"/>
      <c r="L395" s="67"/>
    </row>
    <row r="396" spans="1:13" s="50" customFormat="1" ht="18.75" customHeight="1" x14ac:dyDescent="0.4">
      <c r="A396" s="485">
        <v>46084</v>
      </c>
      <c r="B396" s="110" t="s">
        <v>140</v>
      </c>
      <c r="C396" s="29" t="s">
        <v>771</v>
      </c>
      <c r="D396" s="110" t="s">
        <v>772</v>
      </c>
      <c r="E396" s="110" t="s">
        <v>13</v>
      </c>
      <c r="F396" s="81">
        <v>3</v>
      </c>
      <c r="G396" s="49">
        <v>633000</v>
      </c>
      <c r="H396" s="7"/>
      <c r="I396" s="67" t="s">
        <v>1502</v>
      </c>
      <c r="J396" s="67"/>
      <c r="K396" s="67"/>
      <c r="L396" s="67" t="s">
        <v>1068</v>
      </c>
    </row>
    <row r="397" spans="1:13" s="50" customFormat="1" ht="18.75" customHeight="1" x14ac:dyDescent="0.4">
      <c r="A397" s="485">
        <v>46084</v>
      </c>
      <c r="B397" s="110" t="s">
        <v>140</v>
      </c>
      <c r="C397" s="29" t="s">
        <v>473</v>
      </c>
      <c r="D397" s="110" t="s">
        <v>777</v>
      </c>
      <c r="E397" s="110" t="s">
        <v>13</v>
      </c>
      <c r="F397" s="81">
        <v>1</v>
      </c>
      <c r="G397" s="49">
        <v>393500</v>
      </c>
      <c r="H397" s="7">
        <f t="shared" ref="H397:H433" si="9">F397*G397</f>
        <v>393500</v>
      </c>
      <c r="I397" s="67" t="s">
        <v>1502</v>
      </c>
      <c r="J397" s="67"/>
      <c r="K397" s="67"/>
      <c r="L397" s="67" t="s">
        <v>1068</v>
      </c>
    </row>
    <row r="398" spans="1:13" s="50" customFormat="1" ht="18.75" customHeight="1" x14ac:dyDescent="0.4">
      <c r="A398" s="485">
        <v>46090</v>
      </c>
      <c r="B398" s="5" t="s">
        <v>140</v>
      </c>
      <c r="C398" s="6" t="s">
        <v>771</v>
      </c>
      <c r="D398" s="1" t="s">
        <v>1137</v>
      </c>
      <c r="E398" s="1" t="s">
        <v>13</v>
      </c>
      <c r="F398" s="36">
        <v>4</v>
      </c>
      <c r="G398" s="7">
        <v>633000</v>
      </c>
      <c r="H398" s="7">
        <f t="shared" si="9"/>
        <v>2532000</v>
      </c>
      <c r="I398" s="67" t="s">
        <v>1502</v>
      </c>
      <c r="J398" s="67"/>
      <c r="K398" s="67"/>
      <c r="L398" s="67" t="s">
        <v>1068</v>
      </c>
    </row>
    <row r="399" spans="1:13" s="50" customFormat="1" ht="18.75" customHeight="1" x14ac:dyDescent="0.4">
      <c r="A399" s="485">
        <v>46100</v>
      </c>
      <c r="B399" s="5" t="s">
        <v>140</v>
      </c>
      <c r="C399" s="6" t="s">
        <v>476</v>
      </c>
      <c r="D399" s="1" t="s">
        <v>477</v>
      </c>
      <c r="E399" s="1" t="s">
        <v>11</v>
      </c>
      <c r="F399" s="36">
        <v>2</v>
      </c>
      <c r="G399" s="36">
        <v>271000</v>
      </c>
      <c r="H399" s="7">
        <f t="shared" si="9"/>
        <v>542000</v>
      </c>
      <c r="I399" s="67" t="s">
        <v>1502</v>
      </c>
      <c r="J399" s="67"/>
      <c r="K399" s="67"/>
      <c r="L399" s="67" t="s">
        <v>1068</v>
      </c>
    </row>
    <row r="400" spans="1:13" s="50" customFormat="1" ht="18.75" customHeight="1" x14ac:dyDescent="0.4">
      <c r="A400" s="485">
        <v>46111</v>
      </c>
      <c r="B400" s="110" t="s">
        <v>140</v>
      </c>
      <c r="C400" s="29" t="s">
        <v>474</v>
      </c>
      <c r="D400" s="110" t="s">
        <v>475</v>
      </c>
      <c r="E400" s="110" t="s">
        <v>11</v>
      </c>
      <c r="F400" s="81">
        <v>3</v>
      </c>
      <c r="G400" s="49">
        <v>652000</v>
      </c>
      <c r="H400" s="7">
        <f t="shared" si="9"/>
        <v>1956000</v>
      </c>
      <c r="I400" s="67" t="s">
        <v>1502</v>
      </c>
      <c r="J400" s="67"/>
      <c r="K400" s="67"/>
      <c r="L400" s="67" t="s">
        <v>1068</v>
      </c>
    </row>
    <row r="401" spans="1:13" s="50" customFormat="1" ht="18.75" customHeight="1" x14ac:dyDescent="0.4">
      <c r="A401" s="485">
        <v>46112</v>
      </c>
      <c r="B401" s="5" t="s">
        <v>140</v>
      </c>
      <c r="C401" s="6" t="s">
        <v>553</v>
      </c>
      <c r="D401" s="1" t="s">
        <v>244</v>
      </c>
      <c r="E401" s="1" t="s">
        <v>13</v>
      </c>
      <c r="F401" s="36">
        <v>6</v>
      </c>
      <c r="G401" s="36">
        <v>973200</v>
      </c>
      <c r="H401" s="7">
        <f t="shared" si="9"/>
        <v>5839200</v>
      </c>
      <c r="I401" s="67" t="s">
        <v>1502</v>
      </c>
      <c r="J401" s="67"/>
      <c r="K401" s="67"/>
      <c r="L401" s="494"/>
    </row>
    <row r="402" spans="1:13" s="3" customFormat="1" ht="18.75" customHeight="1" x14ac:dyDescent="0.4">
      <c r="A402" s="482">
        <v>46114</v>
      </c>
      <c r="B402" s="110" t="s">
        <v>140</v>
      </c>
      <c r="C402" s="29" t="s">
        <v>553</v>
      </c>
      <c r="D402" s="110" t="s">
        <v>244</v>
      </c>
      <c r="E402" s="110" t="s">
        <v>13</v>
      </c>
      <c r="F402" s="533">
        <v>6</v>
      </c>
      <c r="G402" s="525">
        <v>973200</v>
      </c>
      <c r="H402" s="7">
        <f t="shared" si="9"/>
        <v>5839200</v>
      </c>
      <c r="I402" s="67" t="s">
        <v>1502</v>
      </c>
      <c r="J402" s="534"/>
      <c r="K402" s="144"/>
      <c r="L402" s="144"/>
      <c r="M402" s="89"/>
    </row>
    <row r="403" spans="1:13" s="3" customFormat="1" ht="18.75" customHeight="1" x14ac:dyDescent="0.4">
      <c r="A403" s="482">
        <v>46114</v>
      </c>
      <c r="B403" s="110" t="s">
        <v>140</v>
      </c>
      <c r="C403" s="29" t="s">
        <v>552</v>
      </c>
      <c r="D403" s="110" t="s">
        <v>243</v>
      </c>
      <c r="E403" s="110" t="s">
        <v>13</v>
      </c>
      <c r="F403" s="533">
        <v>3</v>
      </c>
      <c r="G403" s="525">
        <v>202000</v>
      </c>
      <c r="H403" s="7">
        <f t="shared" si="9"/>
        <v>606000</v>
      </c>
      <c r="I403" s="67" t="s">
        <v>1502</v>
      </c>
      <c r="J403" s="534"/>
      <c r="K403" s="144"/>
      <c r="L403" s="144"/>
      <c r="M403" s="89"/>
    </row>
    <row r="404" spans="1:13" s="3" customFormat="1" ht="18.75" customHeight="1" x14ac:dyDescent="0.4">
      <c r="A404" s="482">
        <v>46115</v>
      </c>
      <c r="B404" s="110" t="s">
        <v>140</v>
      </c>
      <c r="C404" s="29" t="s">
        <v>553</v>
      </c>
      <c r="D404" s="110" t="s">
        <v>244</v>
      </c>
      <c r="E404" s="110" t="s">
        <v>13</v>
      </c>
      <c r="F404" s="533">
        <v>5</v>
      </c>
      <c r="G404" s="525">
        <v>973200</v>
      </c>
      <c r="H404" s="7">
        <f t="shared" si="9"/>
        <v>4866000</v>
      </c>
      <c r="I404" s="67" t="s">
        <v>1502</v>
      </c>
      <c r="J404" s="534"/>
      <c r="K404" s="144"/>
      <c r="L404" s="144"/>
      <c r="M404" s="89"/>
    </row>
    <row r="405" spans="1:13" s="3" customFormat="1" ht="18.75" customHeight="1" x14ac:dyDescent="0.4">
      <c r="A405" s="482">
        <v>46115</v>
      </c>
      <c r="B405" s="110" t="s">
        <v>140</v>
      </c>
      <c r="C405" s="29" t="s">
        <v>1135</v>
      </c>
      <c r="D405" s="110" t="s">
        <v>1136</v>
      </c>
      <c r="E405" s="110" t="s">
        <v>13</v>
      </c>
      <c r="F405" s="533">
        <v>6</v>
      </c>
      <c r="G405" s="525">
        <v>193500</v>
      </c>
      <c r="H405" s="7">
        <f t="shared" si="9"/>
        <v>1161000</v>
      </c>
      <c r="I405" s="67" t="s">
        <v>1502</v>
      </c>
      <c r="J405" s="534"/>
      <c r="K405" s="144"/>
      <c r="L405" s="144"/>
      <c r="M405" s="89"/>
    </row>
    <row r="406" spans="1:13" s="50" customFormat="1" ht="18.75" customHeight="1" x14ac:dyDescent="0.4">
      <c r="A406" s="482">
        <v>46115</v>
      </c>
      <c r="B406" s="5" t="s">
        <v>140</v>
      </c>
      <c r="C406" s="6" t="s">
        <v>553</v>
      </c>
      <c r="D406" s="1" t="s">
        <v>244</v>
      </c>
      <c r="E406" s="1" t="s">
        <v>13</v>
      </c>
      <c r="F406" s="36">
        <v>5</v>
      </c>
      <c r="G406" s="36">
        <v>973200</v>
      </c>
      <c r="H406" s="7">
        <f t="shared" si="9"/>
        <v>4866000</v>
      </c>
      <c r="I406" s="67" t="s">
        <v>1502</v>
      </c>
      <c r="J406" s="67"/>
      <c r="K406" s="67"/>
      <c r="L406" s="67" t="s">
        <v>1247</v>
      </c>
    </row>
    <row r="407" spans="1:13" s="50" customFormat="1" ht="18.75" customHeight="1" x14ac:dyDescent="0.4">
      <c r="A407" s="482">
        <v>46115</v>
      </c>
      <c r="B407" s="5" t="s">
        <v>140</v>
      </c>
      <c r="C407" s="6" t="s">
        <v>1135</v>
      </c>
      <c r="D407" s="1" t="s">
        <v>1136</v>
      </c>
      <c r="E407" s="1" t="s">
        <v>13</v>
      </c>
      <c r="F407" s="36">
        <v>5</v>
      </c>
      <c r="G407" s="7">
        <v>193500</v>
      </c>
      <c r="H407" s="7">
        <f t="shared" si="9"/>
        <v>967500</v>
      </c>
      <c r="I407" s="67" t="s">
        <v>1502</v>
      </c>
      <c r="J407" s="67"/>
      <c r="K407" s="67"/>
      <c r="L407" s="67" t="s">
        <v>1247</v>
      </c>
    </row>
    <row r="408" spans="1:13" s="50" customFormat="1" ht="18.75" customHeight="1" x14ac:dyDescent="0.4">
      <c r="A408" s="485">
        <v>46125</v>
      </c>
      <c r="B408" s="5" t="s">
        <v>140</v>
      </c>
      <c r="C408" s="6" t="s">
        <v>553</v>
      </c>
      <c r="D408" s="1" t="s">
        <v>244</v>
      </c>
      <c r="E408" s="1" t="s">
        <v>13</v>
      </c>
      <c r="F408" s="36">
        <v>14</v>
      </c>
      <c r="G408" s="36">
        <v>973200</v>
      </c>
      <c r="H408" s="7">
        <f t="shared" si="9"/>
        <v>13624800</v>
      </c>
      <c r="I408" s="67" t="s">
        <v>1502</v>
      </c>
      <c r="J408" s="67"/>
      <c r="K408" s="67"/>
      <c r="L408" s="67" t="s">
        <v>1247</v>
      </c>
    </row>
    <row r="409" spans="1:13" s="50" customFormat="1" ht="18.75" customHeight="1" x14ac:dyDescent="0.4">
      <c r="A409" s="485">
        <v>46128</v>
      </c>
      <c r="B409" s="5" t="s">
        <v>140</v>
      </c>
      <c r="C409" s="6" t="s">
        <v>552</v>
      </c>
      <c r="D409" s="1" t="s">
        <v>243</v>
      </c>
      <c r="E409" s="1" t="s">
        <v>13</v>
      </c>
      <c r="F409" s="36">
        <v>4</v>
      </c>
      <c r="G409" s="36">
        <v>202000</v>
      </c>
      <c r="H409" s="7">
        <f t="shared" si="9"/>
        <v>808000</v>
      </c>
      <c r="I409" s="67" t="s">
        <v>1502</v>
      </c>
      <c r="J409" s="67"/>
      <c r="K409" s="67"/>
      <c r="L409" s="67" t="s">
        <v>1068</v>
      </c>
    </row>
    <row r="410" spans="1:13" s="50" customFormat="1" ht="18.75" customHeight="1" x14ac:dyDescent="0.4">
      <c r="A410" s="485">
        <v>46129</v>
      </c>
      <c r="B410" s="110" t="s">
        <v>140</v>
      </c>
      <c r="C410" s="395" t="s">
        <v>773</v>
      </c>
      <c r="D410" s="46" t="s">
        <v>774</v>
      </c>
      <c r="E410" s="46" t="s">
        <v>775</v>
      </c>
      <c r="F410" s="81">
        <v>5</v>
      </c>
      <c r="G410" s="81">
        <v>69700</v>
      </c>
      <c r="H410" s="7">
        <f t="shared" si="9"/>
        <v>348500</v>
      </c>
      <c r="I410" s="67" t="s">
        <v>1502</v>
      </c>
      <c r="J410" s="67"/>
      <c r="K410" s="67"/>
      <c r="L410" s="67" t="s">
        <v>1068</v>
      </c>
    </row>
    <row r="411" spans="1:13" s="50" customFormat="1" ht="18.75" customHeight="1" x14ac:dyDescent="0.4">
      <c r="A411" s="485">
        <v>46135</v>
      </c>
      <c r="B411" s="110" t="s">
        <v>140</v>
      </c>
      <c r="C411" s="29" t="s">
        <v>473</v>
      </c>
      <c r="D411" s="110" t="s">
        <v>777</v>
      </c>
      <c r="E411" s="110" t="s">
        <v>13</v>
      </c>
      <c r="F411" s="81">
        <v>5</v>
      </c>
      <c r="G411" s="49">
        <v>393500</v>
      </c>
      <c r="H411" s="7">
        <f t="shared" si="9"/>
        <v>1967500</v>
      </c>
      <c r="I411" s="67" t="s">
        <v>1502</v>
      </c>
      <c r="J411" s="67"/>
      <c r="K411" s="67"/>
      <c r="L411" s="67" t="s">
        <v>1068</v>
      </c>
    </row>
    <row r="412" spans="1:13" s="50" customFormat="1" ht="18.75" customHeight="1" x14ac:dyDescent="0.4">
      <c r="A412" s="485">
        <v>46135</v>
      </c>
      <c r="B412" s="5" t="s">
        <v>140</v>
      </c>
      <c r="C412" s="6" t="s">
        <v>1135</v>
      </c>
      <c r="D412" s="1" t="s">
        <v>1136</v>
      </c>
      <c r="E412" s="1" t="s">
        <v>13</v>
      </c>
      <c r="F412" s="36">
        <v>3</v>
      </c>
      <c r="G412" s="7">
        <v>193500</v>
      </c>
      <c r="H412" s="7">
        <f t="shared" si="9"/>
        <v>580500</v>
      </c>
      <c r="I412" s="67" t="s">
        <v>1502</v>
      </c>
      <c r="J412" s="67"/>
      <c r="K412" s="67"/>
      <c r="L412" s="67" t="s">
        <v>1068</v>
      </c>
    </row>
    <row r="413" spans="1:13" s="50" customFormat="1" ht="18.75" customHeight="1" x14ac:dyDescent="0.4">
      <c r="A413" s="485">
        <v>46139</v>
      </c>
      <c r="B413" s="110" t="s">
        <v>140</v>
      </c>
      <c r="C413" s="29" t="s">
        <v>473</v>
      </c>
      <c r="D413" s="110" t="s">
        <v>777</v>
      </c>
      <c r="E413" s="110" t="s">
        <v>13</v>
      </c>
      <c r="F413" s="81">
        <v>6</v>
      </c>
      <c r="G413" s="49">
        <v>393500</v>
      </c>
      <c r="H413" s="7">
        <f t="shared" si="9"/>
        <v>2361000</v>
      </c>
      <c r="I413" s="67" t="s">
        <v>1502</v>
      </c>
      <c r="J413" s="67"/>
      <c r="K413" s="67"/>
      <c r="L413" s="67" t="s">
        <v>1068</v>
      </c>
    </row>
    <row r="414" spans="1:13" s="50" customFormat="1" ht="18.75" customHeight="1" x14ac:dyDescent="0.4">
      <c r="A414" s="485">
        <v>46139</v>
      </c>
      <c r="B414" s="5" t="s">
        <v>140</v>
      </c>
      <c r="C414" s="6" t="s">
        <v>552</v>
      </c>
      <c r="D414" s="1" t="s">
        <v>243</v>
      </c>
      <c r="E414" s="1" t="s">
        <v>13</v>
      </c>
      <c r="F414" s="36">
        <v>13</v>
      </c>
      <c r="G414" s="36">
        <v>202000</v>
      </c>
      <c r="H414" s="7">
        <f t="shared" si="9"/>
        <v>2626000</v>
      </c>
      <c r="I414" s="67" t="s">
        <v>1502</v>
      </c>
      <c r="J414" s="67"/>
      <c r="K414" s="67"/>
      <c r="L414" s="67" t="s">
        <v>1068</v>
      </c>
    </row>
    <row r="415" spans="1:13" s="50" customFormat="1" ht="18.75" customHeight="1" x14ac:dyDescent="0.4">
      <c r="A415" s="485">
        <v>46139</v>
      </c>
      <c r="B415" s="5" t="s">
        <v>140</v>
      </c>
      <c r="C415" s="6" t="s">
        <v>553</v>
      </c>
      <c r="D415" s="1" t="s">
        <v>244</v>
      </c>
      <c r="E415" s="1" t="s">
        <v>13</v>
      </c>
      <c r="F415" s="36">
        <v>5</v>
      </c>
      <c r="G415" s="36">
        <v>973200</v>
      </c>
      <c r="H415" s="7">
        <f t="shared" si="9"/>
        <v>4866000</v>
      </c>
      <c r="I415" s="67" t="s">
        <v>1502</v>
      </c>
      <c r="J415" s="67"/>
      <c r="K415" s="67"/>
      <c r="L415" s="67" t="s">
        <v>1068</v>
      </c>
    </row>
    <row r="416" spans="1:13" s="50" customFormat="1" ht="18.75" customHeight="1" x14ac:dyDescent="0.4">
      <c r="A416" s="485">
        <v>46142</v>
      </c>
      <c r="B416" s="5" t="s">
        <v>140</v>
      </c>
      <c r="C416" s="6" t="s">
        <v>554</v>
      </c>
      <c r="D416" s="1" t="s">
        <v>245</v>
      </c>
      <c r="E416" s="1" t="s">
        <v>13</v>
      </c>
      <c r="F416" s="36">
        <v>6</v>
      </c>
      <c r="G416" s="7">
        <v>630500</v>
      </c>
      <c r="H416" s="7">
        <f t="shared" si="9"/>
        <v>3783000</v>
      </c>
      <c r="I416" s="67" t="s">
        <v>1502</v>
      </c>
      <c r="J416" s="67"/>
      <c r="K416" s="67"/>
      <c r="L416" s="67" t="s">
        <v>1068</v>
      </c>
    </row>
    <row r="417" spans="1:12" ht="17.399999999999999" x14ac:dyDescent="0.4">
      <c r="A417" s="485">
        <v>46149</v>
      </c>
      <c r="B417" s="5" t="s">
        <v>140</v>
      </c>
      <c r="C417" s="6" t="s">
        <v>641</v>
      </c>
      <c r="D417" s="1" t="s">
        <v>244</v>
      </c>
      <c r="E417" s="1" t="s">
        <v>13</v>
      </c>
      <c r="F417" s="36">
        <v>6</v>
      </c>
      <c r="G417" s="36">
        <v>973200</v>
      </c>
      <c r="H417" s="7">
        <f t="shared" si="9"/>
        <v>5839200</v>
      </c>
      <c r="I417" s="67" t="s">
        <v>1502</v>
      </c>
      <c r="J417" s="67"/>
      <c r="K417" s="67"/>
      <c r="L417" s="409"/>
    </row>
    <row r="418" spans="1:12" ht="17.399999999999999" x14ac:dyDescent="0.4">
      <c r="A418" s="485">
        <v>46149</v>
      </c>
      <c r="B418" s="5" t="s">
        <v>140</v>
      </c>
      <c r="C418" s="6" t="s">
        <v>473</v>
      </c>
      <c r="D418" s="1" t="s">
        <v>246</v>
      </c>
      <c r="E418" s="1" t="s">
        <v>13</v>
      </c>
      <c r="F418" s="36">
        <v>2</v>
      </c>
      <c r="G418" s="7">
        <v>393500</v>
      </c>
      <c r="H418" s="7">
        <f t="shared" si="9"/>
        <v>787000</v>
      </c>
      <c r="I418" s="67" t="s">
        <v>1502</v>
      </c>
      <c r="J418" s="67"/>
      <c r="K418" s="67"/>
      <c r="L418" s="409"/>
    </row>
    <row r="419" spans="1:12" ht="17.399999999999999" x14ac:dyDescent="0.4">
      <c r="A419" s="485">
        <v>46149</v>
      </c>
      <c r="B419" s="5" t="s">
        <v>140</v>
      </c>
      <c r="C419" s="6" t="s">
        <v>1448</v>
      </c>
      <c r="D419" s="1" t="s">
        <v>243</v>
      </c>
      <c r="E419" s="1" t="s">
        <v>13</v>
      </c>
      <c r="F419" s="36">
        <v>10</v>
      </c>
      <c r="G419" s="8">
        <v>202000</v>
      </c>
      <c r="H419" s="7">
        <f t="shared" si="9"/>
        <v>2020000</v>
      </c>
      <c r="I419" s="67" t="s">
        <v>1502</v>
      </c>
      <c r="J419" s="67"/>
      <c r="K419" s="67"/>
      <c r="L419" s="409"/>
    </row>
    <row r="420" spans="1:12" ht="17.399999999999999" x14ac:dyDescent="0.4">
      <c r="A420" s="485">
        <v>46149</v>
      </c>
      <c r="B420" s="5" t="s">
        <v>140</v>
      </c>
      <c r="C420" s="80" t="s">
        <v>1449</v>
      </c>
      <c r="D420" s="42" t="s">
        <v>248</v>
      </c>
      <c r="E420" s="1" t="s">
        <v>13</v>
      </c>
      <c r="F420" s="36">
        <v>6</v>
      </c>
      <c r="G420" s="7">
        <v>227500</v>
      </c>
      <c r="H420" s="7">
        <f t="shared" si="9"/>
        <v>1365000</v>
      </c>
      <c r="I420" s="67" t="s">
        <v>1502</v>
      </c>
      <c r="J420" s="67"/>
      <c r="K420" s="67"/>
      <c r="L420" s="409"/>
    </row>
    <row r="421" spans="1:12" ht="17.399999999999999" x14ac:dyDescent="0.4">
      <c r="A421" s="485">
        <v>46154</v>
      </c>
      <c r="B421" s="5" t="s">
        <v>140</v>
      </c>
      <c r="C421" s="527" t="s">
        <v>595</v>
      </c>
      <c r="D421" s="42" t="s">
        <v>247</v>
      </c>
      <c r="E421" s="1" t="s">
        <v>13</v>
      </c>
      <c r="F421" s="36">
        <v>5</v>
      </c>
      <c r="G421" s="7">
        <v>56100</v>
      </c>
      <c r="H421" s="7">
        <f t="shared" si="9"/>
        <v>280500</v>
      </c>
      <c r="I421" s="67" t="s">
        <v>1502</v>
      </c>
      <c r="J421" s="67"/>
      <c r="K421" s="67"/>
      <c r="L421" s="67"/>
    </row>
    <row r="422" spans="1:12" ht="17.399999999999999" x14ac:dyDescent="0.4">
      <c r="A422" s="485">
        <v>46154</v>
      </c>
      <c r="B422" s="5" t="s">
        <v>140</v>
      </c>
      <c r="C422" s="6" t="s">
        <v>1448</v>
      </c>
      <c r="D422" s="1" t="s">
        <v>243</v>
      </c>
      <c r="E422" s="1" t="s">
        <v>13</v>
      </c>
      <c r="F422" s="36">
        <v>43</v>
      </c>
      <c r="G422" s="8">
        <v>202000</v>
      </c>
      <c r="H422" s="7">
        <f t="shared" si="9"/>
        <v>8686000</v>
      </c>
      <c r="I422" s="67" t="s">
        <v>1502</v>
      </c>
      <c r="J422" s="67"/>
      <c r="K422" s="67"/>
      <c r="L422" s="67"/>
    </row>
    <row r="423" spans="1:12" ht="17.399999999999999" x14ac:dyDescent="0.4">
      <c r="A423" s="485">
        <v>46154</v>
      </c>
      <c r="B423" s="5" t="s">
        <v>140</v>
      </c>
      <c r="C423" s="29" t="s">
        <v>540</v>
      </c>
      <c r="D423" s="110" t="s">
        <v>541</v>
      </c>
      <c r="E423" s="110" t="s">
        <v>343</v>
      </c>
      <c r="F423" s="81">
        <v>1</v>
      </c>
      <c r="G423" s="49">
        <v>102000</v>
      </c>
      <c r="H423" s="7">
        <f t="shared" si="9"/>
        <v>102000</v>
      </c>
      <c r="I423" s="67" t="s">
        <v>1502</v>
      </c>
      <c r="J423" s="67"/>
      <c r="K423" s="67"/>
      <c r="L423" s="67"/>
    </row>
    <row r="424" spans="1:12" ht="17.399999999999999" x14ac:dyDescent="0.4">
      <c r="A424" s="485">
        <v>46154</v>
      </c>
      <c r="B424" s="5" t="s">
        <v>140</v>
      </c>
      <c r="C424" s="527" t="s">
        <v>554</v>
      </c>
      <c r="D424" s="1" t="s">
        <v>245</v>
      </c>
      <c r="E424" s="1" t="s">
        <v>13</v>
      </c>
      <c r="F424" s="36">
        <v>1</v>
      </c>
      <c r="G424" s="7">
        <v>630500</v>
      </c>
      <c r="H424" s="7">
        <f t="shared" si="9"/>
        <v>630500</v>
      </c>
      <c r="I424" s="67" t="s">
        <v>1502</v>
      </c>
      <c r="J424" s="67"/>
      <c r="K424" s="67"/>
      <c r="L424" s="59"/>
    </row>
    <row r="425" spans="1:12" ht="17.399999999999999" x14ac:dyDescent="0.4">
      <c r="A425" s="485">
        <v>46161</v>
      </c>
      <c r="B425" s="5" t="s">
        <v>140</v>
      </c>
      <c r="C425" s="6" t="s">
        <v>1448</v>
      </c>
      <c r="D425" s="1" t="s">
        <v>1452</v>
      </c>
      <c r="E425" s="1" t="s">
        <v>13</v>
      </c>
      <c r="F425" s="36">
        <v>15</v>
      </c>
      <c r="G425" s="8">
        <v>202000</v>
      </c>
      <c r="H425" s="7">
        <f t="shared" si="9"/>
        <v>3030000</v>
      </c>
      <c r="I425" s="67" t="s">
        <v>1502</v>
      </c>
      <c r="J425" s="67"/>
      <c r="K425" s="67"/>
      <c r="L425" s="628">
        <v>0</v>
      </c>
    </row>
    <row r="426" spans="1:12" ht="17.399999999999999" x14ac:dyDescent="0.4">
      <c r="A426" s="485">
        <v>46161</v>
      </c>
      <c r="B426" s="5" t="s">
        <v>140</v>
      </c>
      <c r="C426" s="29" t="s">
        <v>540</v>
      </c>
      <c r="D426" s="110" t="s">
        <v>1453</v>
      </c>
      <c r="E426" s="110" t="s">
        <v>343</v>
      </c>
      <c r="F426" s="81">
        <v>4</v>
      </c>
      <c r="G426" s="49">
        <v>102000</v>
      </c>
      <c r="H426" s="7">
        <f t="shared" si="9"/>
        <v>408000</v>
      </c>
      <c r="I426" s="67" t="s">
        <v>1502</v>
      </c>
      <c r="J426" s="67"/>
      <c r="K426" s="67"/>
      <c r="L426" s="628">
        <v>0</v>
      </c>
    </row>
    <row r="427" spans="1:12" ht="17.399999999999999" x14ac:dyDescent="0.4">
      <c r="A427" s="485">
        <v>46161</v>
      </c>
      <c r="B427" s="5" t="s">
        <v>140</v>
      </c>
      <c r="C427" s="6" t="s">
        <v>554</v>
      </c>
      <c r="D427" s="1" t="s">
        <v>642</v>
      </c>
      <c r="E427" s="1" t="s">
        <v>13</v>
      </c>
      <c r="F427" s="36">
        <v>6</v>
      </c>
      <c r="G427" s="7">
        <v>630500</v>
      </c>
      <c r="H427" s="7">
        <f t="shared" si="9"/>
        <v>3783000</v>
      </c>
      <c r="I427" s="67" t="s">
        <v>1502</v>
      </c>
      <c r="J427" s="67"/>
      <c r="K427" s="67"/>
      <c r="L427" s="628">
        <v>0</v>
      </c>
    </row>
    <row r="428" spans="1:12" ht="17.399999999999999" x14ac:dyDescent="0.4">
      <c r="A428" s="485">
        <v>46161</v>
      </c>
      <c r="B428" s="7" t="s">
        <v>140</v>
      </c>
      <c r="C428" s="49" t="s">
        <v>580</v>
      </c>
      <c r="D428" s="59" t="s">
        <v>1454</v>
      </c>
      <c r="E428" s="59" t="s">
        <v>13</v>
      </c>
      <c r="F428" s="49">
        <v>7</v>
      </c>
      <c r="G428" s="49">
        <v>984000</v>
      </c>
      <c r="H428" s="7">
        <f t="shared" si="9"/>
        <v>6888000</v>
      </c>
      <c r="I428" s="67" t="s">
        <v>1502</v>
      </c>
      <c r="J428" s="67"/>
      <c r="K428" s="67"/>
      <c r="L428" s="628">
        <v>0</v>
      </c>
    </row>
    <row r="429" spans="1:12" ht="17.399999999999999" x14ac:dyDescent="0.4">
      <c r="A429" s="485">
        <v>46161</v>
      </c>
      <c r="B429" s="5" t="s">
        <v>140</v>
      </c>
      <c r="C429" s="6" t="s">
        <v>553</v>
      </c>
      <c r="D429" s="1" t="s">
        <v>1455</v>
      </c>
      <c r="E429" s="1" t="s">
        <v>13</v>
      </c>
      <c r="F429" s="36">
        <v>1</v>
      </c>
      <c r="G429" s="36">
        <v>973200</v>
      </c>
      <c r="H429" s="7">
        <f t="shared" si="9"/>
        <v>973200</v>
      </c>
      <c r="I429" s="67" t="s">
        <v>1502</v>
      </c>
      <c r="J429" s="67"/>
      <c r="K429" s="67"/>
      <c r="L429" s="628">
        <v>0</v>
      </c>
    </row>
    <row r="430" spans="1:12" ht="17.399999999999999" x14ac:dyDescent="0.4">
      <c r="A430" s="485">
        <v>46164</v>
      </c>
      <c r="B430" s="5" t="s">
        <v>140</v>
      </c>
      <c r="C430" s="49" t="s">
        <v>1456</v>
      </c>
      <c r="D430" s="59" t="s">
        <v>1454</v>
      </c>
      <c r="E430" s="59" t="s">
        <v>13</v>
      </c>
      <c r="F430" s="49">
        <v>5</v>
      </c>
      <c r="G430" s="49">
        <v>984000</v>
      </c>
      <c r="H430" s="7">
        <f t="shared" si="9"/>
        <v>4920000</v>
      </c>
      <c r="I430" s="67" t="s">
        <v>1502</v>
      </c>
      <c r="J430" s="67"/>
      <c r="K430" s="67"/>
      <c r="L430" s="59"/>
    </row>
    <row r="431" spans="1:12" ht="17.399999999999999" x14ac:dyDescent="0.4">
      <c r="A431" s="485">
        <v>46164</v>
      </c>
      <c r="B431" s="5" t="s">
        <v>140</v>
      </c>
      <c r="C431" s="629" t="s">
        <v>1449</v>
      </c>
      <c r="D431" s="42" t="s">
        <v>1457</v>
      </c>
      <c r="E431" s="1" t="s">
        <v>13</v>
      </c>
      <c r="F431" s="36">
        <v>2</v>
      </c>
      <c r="G431" s="7">
        <v>227500</v>
      </c>
      <c r="H431" s="7">
        <f t="shared" si="9"/>
        <v>455000</v>
      </c>
      <c r="I431" s="67" t="s">
        <v>1502</v>
      </c>
      <c r="J431" s="67"/>
      <c r="K431" s="67"/>
      <c r="L431" s="59"/>
    </row>
    <row r="432" spans="1:12" ht="17.399999999999999" x14ac:dyDescent="0.4">
      <c r="A432" s="485">
        <v>46171</v>
      </c>
      <c r="B432" s="5" t="s">
        <v>140</v>
      </c>
      <c r="C432" s="630" t="s">
        <v>553</v>
      </c>
      <c r="D432" s="1" t="s">
        <v>1455</v>
      </c>
      <c r="E432" s="1" t="s">
        <v>13</v>
      </c>
      <c r="F432" s="36">
        <v>2</v>
      </c>
      <c r="G432" s="36">
        <v>973200</v>
      </c>
      <c r="H432" s="7">
        <f t="shared" si="9"/>
        <v>1946400</v>
      </c>
      <c r="I432" s="67" t="s">
        <v>1502</v>
      </c>
      <c r="J432" s="67"/>
      <c r="K432" s="67"/>
      <c r="L432" s="628" t="s">
        <v>1247</v>
      </c>
    </row>
    <row r="433" spans="1:14" ht="17.399999999999999" x14ac:dyDescent="0.4">
      <c r="A433" s="485">
        <v>46171</v>
      </c>
      <c r="B433" s="7" t="s">
        <v>140</v>
      </c>
      <c r="C433" s="49" t="s">
        <v>580</v>
      </c>
      <c r="D433" s="59" t="s">
        <v>1454</v>
      </c>
      <c r="E433" s="59" t="s">
        <v>13</v>
      </c>
      <c r="F433" s="49">
        <v>2</v>
      </c>
      <c r="G433" s="49">
        <v>984000</v>
      </c>
      <c r="H433" s="7">
        <f t="shared" si="9"/>
        <v>1968000</v>
      </c>
      <c r="I433" s="67" t="s">
        <v>1502</v>
      </c>
      <c r="J433" s="67"/>
      <c r="K433" s="67"/>
      <c r="L433" s="628" t="s">
        <v>1247</v>
      </c>
    </row>
    <row r="434" spans="1:14" ht="17.399999999999999" x14ac:dyDescent="0.4">
      <c r="A434" s="485">
        <v>46171</v>
      </c>
      <c r="B434" s="7" t="s">
        <v>140</v>
      </c>
      <c r="C434" s="6" t="s">
        <v>1448</v>
      </c>
      <c r="D434" s="1" t="s">
        <v>1452</v>
      </c>
      <c r="E434" s="1" t="s">
        <v>13</v>
      </c>
      <c r="F434" s="36">
        <v>14</v>
      </c>
      <c r="G434" s="8">
        <v>202000</v>
      </c>
      <c r="H434" s="36">
        <f>G434*F434</f>
        <v>2828000</v>
      </c>
      <c r="I434" s="67" t="s">
        <v>1502</v>
      </c>
      <c r="J434" s="631"/>
      <c r="K434" s="607"/>
      <c r="L434" s="632"/>
    </row>
    <row r="435" spans="1:14" ht="19.5" customHeight="1" x14ac:dyDescent="0.4">
      <c r="A435" s="483"/>
      <c r="B435" s="194"/>
      <c r="C435" s="40"/>
      <c r="D435" s="194"/>
      <c r="E435" s="194"/>
      <c r="F435" s="91"/>
      <c r="G435" s="138"/>
      <c r="H435" s="138">
        <f>SUM(H355:H380)</f>
        <v>32862935</v>
      </c>
      <c r="I435" s="138"/>
      <c r="J435" s="620"/>
      <c r="K435" s="145"/>
      <c r="L435" s="621"/>
    </row>
    <row r="436" spans="1:14" ht="19.5" customHeight="1" x14ac:dyDescent="0.4">
      <c r="A436" s="484">
        <v>46148</v>
      </c>
      <c r="B436" s="59" t="s">
        <v>141</v>
      </c>
      <c r="C436" s="49" t="s">
        <v>142</v>
      </c>
      <c r="D436" s="59">
        <v>40220976</v>
      </c>
      <c r="E436" s="59" t="s">
        <v>17</v>
      </c>
      <c r="F436" s="7">
        <f>36+27</f>
        <v>63</v>
      </c>
      <c r="G436" s="49">
        <v>176943</v>
      </c>
      <c r="H436" s="36">
        <f>F436*G436</f>
        <v>11147409</v>
      </c>
      <c r="I436" s="67"/>
      <c r="J436" s="67"/>
      <c r="K436" s="67"/>
      <c r="L436" s="409">
        <v>0</v>
      </c>
    </row>
    <row r="437" spans="1:14" s="50" customFormat="1" ht="19.5" customHeight="1" x14ac:dyDescent="0.4">
      <c r="A437" s="484">
        <v>46141</v>
      </c>
      <c r="B437" s="59" t="s">
        <v>141</v>
      </c>
      <c r="C437" s="49" t="s">
        <v>142</v>
      </c>
      <c r="D437" s="59">
        <v>40220976</v>
      </c>
      <c r="E437" s="59" t="s">
        <v>17</v>
      </c>
      <c r="F437" s="7">
        <v>36</v>
      </c>
      <c r="G437" s="49">
        <v>176943</v>
      </c>
      <c r="H437" s="36">
        <f>F437*G437</f>
        <v>6369948</v>
      </c>
      <c r="I437" s="111" t="s">
        <v>1502</v>
      </c>
      <c r="J437" s="67"/>
      <c r="K437" s="67"/>
      <c r="L437" s="67" t="s">
        <v>1247</v>
      </c>
    </row>
    <row r="438" spans="1:14" ht="19.5" customHeight="1" x14ac:dyDescent="0.4">
      <c r="A438" s="483"/>
      <c r="B438" s="194"/>
      <c r="C438" s="40"/>
      <c r="D438" s="194"/>
      <c r="E438" s="194"/>
      <c r="F438" s="528"/>
      <c r="G438" s="529"/>
      <c r="H438" s="529">
        <f>SUM(H436:H436)</f>
        <v>11147409</v>
      </c>
      <c r="I438" s="529"/>
      <c r="J438" s="530"/>
      <c r="K438" s="145"/>
      <c r="L438" s="621"/>
    </row>
    <row r="439" spans="1:14" s="3" customFormat="1" ht="19.5" customHeight="1" x14ac:dyDescent="0.4">
      <c r="A439" s="482">
        <v>46142</v>
      </c>
      <c r="B439" s="110" t="s">
        <v>782</v>
      </c>
      <c r="C439" s="29" t="s">
        <v>160</v>
      </c>
      <c r="D439" s="110" t="s">
        <v>274</v>
      </c>
      <c r="E439" s="110"/>
      <c r="F439" s="533">
        <v>8</v>
      </c>
      <c r="G439" s="49">
        <f>J439*K439</f>
        <v>493522.93800000002</v>
      </c>
      <c r="H439" s="662">
        <f t="shared" ref="H439:H502" si="10">F439*G439</f>
        <v>3948183.5040000002</v>
      </c>
      <c r="I439" s="525" t="s">
        <v>1357</v>
      </c>
      <c r="J439" s="534">
        <v>53610</v>
      </c>
      <c r="K439" s="610">
        <v>9.2058</v>
      </c>
      <c r="L439" s="144" t="s">
        <v>1353</v>
      </c>
      <c r="M439" s="89"/>
      <c r="N439" s="22" t="s">
        <v>1382</v>
      </c>
    </row>
    <row r="440" spans="1:14" s="3" customFormat="1" ht="19.5" customHeight="1" x14ac:dyDescent="0.4">
      <c r="A440" s="482">
        <v>46142</v>
      </c>
      <c r="B440" s="110" t="s">
        <v>782</v>
      </c>
      <c r="C440" s="29" t="s">
        <v>152</v>
      </c>
      <c r="D440" s="110" t="s">
        <v>263</v>
      </c>
      <c r="E440" s="110"/>
      <c r="F440" s="533">
        <v>4</v>
      </c>
      <c r="G440" s="49">
        <f t="shared" ref="G440:G503" si="11">J440*K440</f>
        <v>919383.24600000004</v>
      </c>
      <c r="H440" s="662">
        <f t="shared" si="10"/>
        <v>3677532.9840000002</v>
      </c>
      <c r="I440" s="525" t="s">
        <v>1363</v>
      </c>
      <c r="J440" s="534">
        <v>99870</v>
      </c>
      <c r="K440" s="610">
        <v>9.2058</v>
      </c>
      <c r="L440" s="144" t="s">
        <v>1353</v>
      </c>
      <c r="M440" s="89"/>
      <c r="N440" s="22" t="s">
        <v>1382</v>
      </c>
    </row>
    <row r="441" spans="1:14" s="3" customFormat="1" ht="19.5" customHeight="1" x14ac:dyDescent="0.4">
      <c r="A441" s="482">
        <v>46142</v>
      </c>
      <c r="B441" s="110" t="s">
        <v>782</v>
      </c>
      <c r="C441" s="29" t="s">
        <v>154</v>
      </c>
      <c r="D441" s="110" t="s">
        <v>652</v>
      </c>
      <c r="E441" s="110"/>
      <c r="F441" s="533">
        <v>1</v>
      </c>
      <c r="G441" s="49">
        <f t="shared" si="11"/>
        <v>1479003.828</v>
      </c>
      <c r="H441" s="662">
        <f t="shared" si="10"/>
        <v>1479003.828</v>
      </c>
      <c r="I441" s="525" t="s">
        <v>1185</v>
      </c>
      <c r="J441" s="534">
        <v>160660</v>
      </c>
      <c r="K441" s="610">
        <v>9.2058</v>
      </c>
      <c r="L441" s="144" t="s">
        <v>1353</v>
      </c>
      <c r="M441" s="89"/>
      <c r="N441" s="22" t="s">
        <v>1382</v>
      </c>
    </row>
    <row r="442" spans="1:14" s="3" customFormat="1" ht="19.5" customHeight="1" x14ac:dyDescent="0.4">
      <c r="A442" s="482">
        <v>46142</v>
      </c>
      <c r="B442" s="110" t="s">
        <v>782</v>
      </c>
      <c r="C442" s="29" t="s">
        <v>154</v>
      </c>
      <c r="D442" s="110" t="s">
        <v>653</v>
      </c>
      <c r="E442" s="110"/>
      <c r="F442" s="533">
        <v>1</v>
      </c>
      <c r="G442" s="49">
        <f t="shared" si="11"/>
        <v>1479003.828</v>
      </c>
      <c r="H442" s="662">
        <f t="shared" si="10"/>
        <v>1479003.828</v>
      </c>
      <c r="I442" s="525" t="s">
        <v>1359</v>
      </c>
      <c r="J442" s="534">
        <v>160660</v>
      </c>
      <c r="K442" s="610">
        <v>9.2058</v>
      </c>
      <c r="L442" s="144" t="s">
        <v>1353</v>
      </c>
      <c r="M442" s="89"/>
      <c r="N442" s="22" t="s">
        <v>1382</v>
      </c>
    </row>
    <row r="443" spans="1:14" s="3" customFormat="1" ht="19.5" customHeight="1" x14ac:dyDescent="0.4">
      <c r="A443" s="482">
        <v>46142</v>
      </c>
      <c r="B443" s="110" t="s">
        <v>782</v>
      </c>
      <c r="C443" s="29" t="s">
        <v>153</v>
      </c>
      <c r="D443" s="110" t="s">
        <v>264</v>
      </c>
      <c r="E443" s="110"/>
      <c r="F443" s="533">
        <v>8</v>
      </c>
      <c r="G443" s="49">
        <f t="shared" si="11"/>
        <v>2794420.59</v>
      </c>
      <c r="H443" s="662">
        <f t="shared" si="10"/>
        <v>22355364.719999999</v>
      </c>
      <c r="I443" s="525" t="s">
        <v>1356</v>
      </c>
      <c r="J443" s="534">
        <v>303550</v>
      </c>
      <c r="K443" s="610">
        <v>9.2058</v>
      </c>
      <c r="L443" s="144" t="s">
        <v>1353</v>
      </c>
      <c r="M443" s="89"/>
      <c r="N443" s="22" t="s">
        <v>1382</v>
      </c>
    </row>
    <row r="444" spans="1:14" s="3" customFormat="1" ht="19.5" customHeight="1" x14ac:dyDescent="0.4">
      <c r="A444" s="482">
        <v>46142</v>
      </c>
      <c r="B444" s="110" t="s">
        <v>782</v>
      </c>
      <c r="C444" s="29" t="s">
        <v>157</v>
      </c>
      <c r="D444" s="110" t="s">
        <v>259</v>
      </c>
      <c r="E444" s="110"/>
      <c r="F444" s="533">
        <v>8</v>
      </c>
      <c r="G444" s="49">
        <f t="shared" si="11"/>
        <v>3375214.5120000001</v>
      </c>
      <c r="H444" s="662">
        <f t="shared" si="10"/>
        <v>27001716.096000001</v>
      </c>
      <c r="I444" s="525" t="s">
        <v>1356</v>
      </c>
      <c r="J444" s="534">
        <v>366640</v>
      </c>
      <c r="K444" s="610">
        <v>9.2058</v>
      </c>
      <c r="L444" s="144" t="s">
        <v>1353</v>
      </c>
      <c r="M444" s="89"/>
      <c r="N444" s="22" t="s">
        <v>1382</v>
      </c>
    </row>
    <row r="445" spans="1:14" s="3" customFormat="1" ht="19.5" customHeight="1" x14ac:dyDescent="0.4">
      <c r="A445" s="482">
        <v>46142</v>
      </c>
      <c r="B445" s="110" t="s">
        <v>782</v>
      </c>
      <c r="C445" s="29" t="s">
        <v>156</v>
      </c>
      <c r="D445" s="110" t="s">
        <v>271</v>
      </c>
      <c r="E445" s="110"/>
      <c r="F445" s="533">
        <v>4</v>
      </c>
      <c r="G445" s="49">
        <f t="shared" si="11"/>
        <v>1073580.3959999999</v>
      </c>
      <c r="H445" s="662">
        <f t="shared" si="10"/>
        <v>4294321.5839999998</v>
      </c>
      <c r="I445" s="525" t="s">
        <v>1352</v>
      </c>
      <c r="J445" s="534">
        <v>116620</v>
      </c>
      <c r="K445" s="610">
        <v>9.2058</v>
      </c>
      <c r="L445" s="144" t="s">
        <v>1353</v>
      </c>
      <c r="M445" s="89"/>
      <c r="N445" s="22" t="s">
        <v>1382</v>
      </c>
    </row>
    <row r="446" spans="1:14" s="3" customFormat="1" ht="19.5" customHeight="1" x14ac:dyDescent="0.4">
      <c r="A446" s="482">
        <v>46142</v>
      </c>
      <c r="B446" s="110" t="s">
        <v>782</v>
      </c>
      <c r="C446" s="29" t="s">
        <v>161</v>
      </c>
      <c r="D446" s="110" t="s">
        <v>1005</v>
      </c>
      <c r="E446" s="110"/>
      <c r="F446" s="533">
        <v>4</v>
      </c>
      <c r="G446" s="49">
        <f t="shared" si="11"/>
        <v>251226.28200000001</v>
      </c>
      <c r="H446" s="662">
        <f t="shared" si="10"/>
        <v>1004905.128</v>
      </c>
      <c r="I446" s="525" t="s">
        <v>1352</v>
      </c>
      <c r="J446" s="534">
        <v>27290</v>
      </c>
      <c r="K446" s="610">
        <v>9.2058</v>
      </c>
      <c r="L446" s="144" t="s">
        <v>1353</v>
      </c>
      <c r="M446" s="89"/>
      <c r="N446" s="22" t="s">
        <v>1382</v>
      </c>
    </row>
    <row r="447" spans="1:14" s="3" customFormat="1" ht="19.5" customHeight="1" x14ac:dyDescent="0.4">
      <c r="A447" s="482">
        <v>46142</v>
      </c>
      <c r="B447" s="110" t="s">
        <v>782</v>
      </c>
      <c r="C447" s="29" t="s">
        <v>157</v>
      </c>
      <c r="D447" s="110" t="s">
        <v>273</v>
      </c>
      <c r="E447" s="110"/>
      <c r="F447" s="533">
        <v>4</v>
      </c>
      <c r="G447" s="49">
        <f t="shared" si="11"/>
        <v>318796.85399999999</v>
      </c>
      <c r="H447" s="662">
        <f t="shared" si="10"/>
        <v>1275187.416</v>
      </c>
      <c r="I447" s="525" t="s">
        <v>1352</v>
      </c>
      <c r="J447" s="534">
        <v>34630</v>
      </c>
      <c r="K447" s="610">
        <v>9.2058</v>
      </c>
      <c r="L447" s="144" t="s">
        <v>1353</v>
      </c>
      <c r="M447" s="89"/>
      <c r="N447" s="22" t="s">
        <v>1382</v>
      </c>
    </row>
    <row r="448" spans="1:14" s="3" customFormat="1" ht="19.5" customHeight="1" x14ac:dyDescent="0.4">
      <c r="A448" s="482">
        <v>46142</v>
      </c>
      <c r="B448" s="110" t="s">
        <v>782</v>
      </c>
      <c r="C448" s="29" t="s">
        <v>156</v>
      </c>
      <c r="D448" s="110" t="s">
        <v>261</v>
      </c>
      <c r="E448" s="110"/>
      <c r="F448" s="533">
        <v>1</v>
      </c>
      <c r="G448" s="49">
        <f t="shared" si="11"/>
        <v>2065137.1140000001</v>
      </c>
      <c r="H448" s="662">
        <f t="shared" si="10"/>
        <v>2065137.1140000001</v>
      </c>
      <c r="I448" s="525" t="s">
        <v>1360</v>
      </c>
      <c r="J448" s="534">
        <v>224330</v>
      </c>
      <c r="K448" s="610">
        <v>9.2058</v>
      </c>
      <c r="L448" s="144" t="s">
        <v>1353</v>
      </c>
      <c r="M448" s="89"/>
      <c r="N448" s="22" t="s">
        <v>1382</v>
      </c>
    </row>
    <row r="449" spans="1:14" s="3" customFormat="1" ht="19.5" customHeight="1" x14ac:dyDescent="0.4">
      <c r="A449" s="482">
        <v>46142</v>
      </c>
      <c r="B449" s="110" t="s">
        <v>782</v>
      </c>
      <c r="C449" s="29" t="s">
        <v>150</v>
      </c>
      <c r="D449" s="110" t="s">
        <v>275</v>
      </c>
      <c r="E449" s="110"/>
      <c r="F449" s="533">
        <v>1</v>
      </c>
      <c r="G449" s="49">
        <f t="shared" si="11"/>
        <v>538263.12600000005</v>
      </c>
      <c r="H449" s="662">
        <f t="shared" si="10"/>
        <v>538263.12600000005</v>
      </c>
      <c r="I449" s="525" t="s">
        <v>1360</v>
      </c>
      <c r="J449" s="534">
        <v>58470</v>
      </c>
      <c r="K449" s="610">
        <v>9.2058</v>
      </c>
      <c r="L449" s="144" t="s">
        <v>1353</v>
      </c>
      <c r="M449" s="89"/>
      <c r="N449" s="22" t="s">
        <v>1382</v>
      </c>
    </row>
    <row r="450" spans="1:14" s="3" customFormat="1" ht="19.5" customHeight="1" x14ac:dyDescent="0.4">
      <c r="A450" s="482">
        <v>46142</v>
      </c>
      <c r="B450" s="110" t="s">
        <v>782</v>
      </c>
      <c r="C450" s="29" t="s">
        <v>154</v>
      </c>
      <c r="D450" s="110" t="s">
        <v>653</v>
      </c>
      <c r="E450" s="110"/>
      <c r="F450" s="533">
        <v>1</v>
      </c>
      <c r="G450" s="49">
        <f t="shared" si="11"/>
        <v>1479003.828</v>
      </c>
      <c r="H450" s="662">
        <f t="shared" si="10"/>
        <v>1479003.828</v>
      </c>
      <c r="I450" s="525" t="s">
        <v>1360</v>
      </c>
      <c r="J450" s="534">
        <v>160660</v>
      </c>
      <c r="K450" s="610">
        <v>9.2058</v>
      </c>
      <c r="L450" s="144" t="s">
        <v>1353</v>
      </c>
      <c r="M450" s="89"/>
      <c r="N450" s="22" t="s">
        <v>1382</v>
      </c>
    </row>
    <row r="451" spans="1:14" s="3" customFormat="1" ht="19.5" customHeight="1" x14ac:dyDescent="0.4">
      <c r="A451" s="482">
        <v>46142</v>
      </c>
      <c r="B451" s="110" t="s">
        <v>782</v>
      </c>
      <c r="C451" s="29" t="s">
        <v>150</v>
      </c>
      <c r="D451" s="110" t="s">
        <v>256</v>
      </c>
      <c r="E451" s="110"/>
      <c r="F451" s="533">
        <v>8</v>
      </c>
      <c r="G451" s="49">
        <f t="shared" si="11"/>
        <v>1158826.1040000001</v>
      </c>
      <c r="H451" s="662">
        <f t="shared" si="10"/>
        <v>9270608.8320000004</v>
      </c>
      <c r="I451" s="525" t="s">
        <v>1358</v>
      </c>
      <c r="J451" s="534">
        <v>125880</v>
      </c>
      <c r="K451" s="610">
        <v>9.2058</v>
      </c>
      <c r="L451" s="144" t="s">
        <v>1353</v>
      </c>
      <c r="M451" s="89"/>
      <c r="N451" s="22" t="s">
        <v>1382</v>
      </c>
    </row>
    <row r="452" spans="1:14" s="3" customFormat="1" ht="19.5" customHeight="1" x14ac:dyDescent="0.4">
      <c r="A452" s="482">
        <v>46142</v>
      </c>
      <c r="B452" s="110" t="s">
        <v>782</v>
      </c>
      <c r="C452" s="29" t="s">
        <v>156</v>
      </c>
      <c r="D452" s="110" t="s">
        <v>272</v>
      </c>
      <c r="E452" s="110"/>
      <c r="F452" s="533">
        <v>4</v>
      </c>
      <c r="G452" s="49">
        <f t="shared" si="11"/>
        <v>1073580.3959999999</v>
      </c>
      <c r="H452" s="662">
        <f t="shared" si="10"/>
        <v>4294321.5839999998</v>
      </c>
      <c r="I452" s="525" t="s">
        <v>1354</v>
      </c>
      <c r="J452" s="534">
        <v>116620</v>
      </c>
      <c r="K452" s="610">
        <v>9.2058</v>
      </c>
      <c r="L452" s="144" t="s">
        <v>1353</v>
      </c>
      <c r="M452" s="89"/>
      <c r="N452" s="22" t="s">
        <v>1382</v>
      </c>
    </row>
    <row r="453" spans="1:14" s="3" customFormat="1" ht="19.5" customHeight="1" x14ac:dyDescent="0.4">
      <c r="A453" s="482">
        <v>46142</v>
      </c>
      <c r="B453" s="110" t="s">
        <v>782</v>
      </c>
      <c r="C453" s="29" t="s">
        <v>156</v>
      </c>
      <c r="D453" s="110" t="s">
        <v>262</v>
      </c>
      <c r="E453" s="110"/>
      <c r="F453" s="533">
        <v>1</v>
      </c>
      <c r="G453" s="49">
        <f t="shared" si="11"/>
        <v>2065137.1140000001</v>
      </c>
      <c r="H453" s="662">
        <f t="shared" si="10"/>
        <v>2065137.1140000001</v>
      </c>
      <c r="I453" s="525" t="s">
        <v>1361</v>
      </c>
      <c r="J453" s="534">
        <v>224330</v>
      </c>
      <c r="K453" s="610">
        <v>9.2058</v>
      </c>
      <c r="L453" s="144" t="s">
        <v>1353</v>
      </c>
      <c r="M453" s="89"/>
      <c r="N453" s="22" t="s">
        <v>1382</v>
      </c>
    </row>
    <row r="454" spans="1:14" s="3" customFormat="1" ht="19.5" customHeight="1" x14ac:dyDescent="0.4">
      <c r="A454" s="482">
        <v>46142</v>
      </c>
      <c r="B454" s="110" t="s">
        <v>782</v>
      </c>
      <c r="C454" s="29" t="s">
        <v>150</v>
      </c>
      <c r="D454" s="110" t="s">
        <v>275</v>
      </c>
      <c r="E454" s="110"/>
      <c r="F454" s="533">
        <v>1</v>
      </c>
      <c r="G454" s="49">
        <f t="shared" si="11"/>
        <v>538263.12600000005</v>
      </c>
      <c r="H454" s="662">
        <f t="shared" si="10"/>
        <v>538263.12600000005</v>
      </c>
      <c r="I454" s="525" t="s">
        <v>1361</v>
      </c>
      <c r="J454" s="534">
        <v>58470</v>
      </c>
      <c r="K454" s="610">
        <v>9.2058</v>
      </c>
      <c r="L454" s="144" t="s">
        <v>1353</v>
      </c>
      <c r="M454" s="89"/>
      <c r="N454" s="22" t="s">
        <v>1382</v>
      </c>
    </row>
    <row r="455" spans="1:14" s="3" customFormat="1" ht="19.5" customHeight="1" x14ac:dyDescent="0.4">
      <c r="A455" s="482">
        <v>46142</v>
      </c>
      <c r="B455" s="110" t="s">
        <v>782</v>
      </c>
      <c r="C455" s="29" t="s">
        <v>154</v>
      </c>
      <c r="D455" s="110" t="s">
        <v>653</v>
      </c>
      <c r="E455" s="110"/>
      <c r="F455" s="533">
        <v>1</v>
      </c>
      <c r="G455" s="49">
        <f t="shared" si="11"/>
        <v>1479003.828</v>
      </c>
      <c r="H455" s="662">
        <f t="shared" si="10"/>
        <v>1479003.828</v>
      </c>
      <c r="I455" s="525" t="s">
        <v>1361</v>
      </c>
      <c r="J455" s="534">
        <v>160660</v>
      </c>
      <c r="K455" s="610">
        <v>9.2058</v>
      </c>
      <c r="L455" s="144" t="s">
        <v>1353</v>
      </c>
      <c r="M455" s="89"/>
      <c r="N455" s="22" t="s">
        <v>1382</v>
      </c>
    </row>
    <row r="456" spans="1:14" s="3" customFormat="1" ht="19.5" customHeight="1" x14ac:dyDescent="0.4">
      <c r="A456" s="482">
        <v>46142</v>
      </c>
      <c r="B456" s="110" t="s">
        <v>782</v>
      </c>
      <c r="C456" s="29" t="s">
        <v>154</v>
      </c>
      <c r="D456" s="110" t="s">
        <v>266</v>
      </c>
      <c r="E456" s="110"/>
      <c r="F456" s="533">
        <v>3</v>
      </c>
      <c r="G456" s="49">
        <f t="shared" si="11"/>
        <v>3860083.9980000001</v>
      </c>
      <c r="H456" s="662">
        <f t="shared" si="10"/>
        <v>11580251.994000001</v>
      </c>
      <c r="I456" s="525" t="s">
        <v>1210</v>
      </c>
      <c r="J456" s="534">
        <v>419310</v>
      </c>
      <c r="K456" s="610">
        <v>9.2058</v>
      </c>
      <c r="L456" s="144" t="s">
        <v>1353</v>
      </c>
      <c r="M456" s="89"/>
      <c r="N456" s="22" t="s">
        <v>1382</v>
      </c>
    </row>
    <row r="457" spans="1:14" s="3" customFormat="1" ht="19.5" customHeight="1" x14ac:dyDescent="0.4">
      <c r="A457" s="482">
        <v>46142</v>
      </c>
      <c r="B457" s="110" t="s">
        <v>782</v>
      </c>
      <c r="C457" s="29" t="s">
        <v>153</v>
      </c>
      <c r="D457" s="110" t="s">
        <v>1326</v>
      </c>
      <c r="E457" s="110"/>
      <c r="F457" s="533">
        <v>3</v>
      </c>
      <c r="G457" s="49">
        <f t="shared" si="11"/>
        <v>2036783.25</v>
      </c>
      <c r="H457" s="662">
        <f t="shared" si="10"/>
        <v>6110349.75</v>
      </c>
      <c r="I457" s="525" t="s">
        <v>1210</v>
      </c>
      <c r="J457" s="534">
        <v>221250</v>
      </c>
      <c r="K457" s="610">
        <v>9.2058</v>
      </c>
      <c r="L457" s="144" t="s">
        <v>1353</v>
      </c>
      <c r="M457" s="89"/>
      <c r="N457" s="22" t="s">
        <v>1382</v>
      </c>
    </row>
    <row r="458" spans="1:14" s="3" customFormat="1" ht="19.5" customHeight="1" x14ac:dyDescent="0.4">
      <c r="A458" s="482">
        <v>46142</v>
      </c>
      <c r="B458" s="110" t="s">
        <v>782</v>
      </c>
      <c r="C458" s="29" t="s">
        <v>154</v>
      </c>
      <c r="D458" s="110" t="s">
        <v>653</v>
      </c>
      <c r="E458" s="110"/>
      <c r="F458" s="533">
        <v>1</v>
      </c>
      <c r="G458" s="49">
        <f t="shared" si="11"/>
        <v>1479003.828</v>
      </c>
      <c r="H458" s="662">
        <f t="shared" si="10"/>
        <v>1479003.828</v>
      </c>
      <c r="I458" s="525" t="s">
        <v>1200</v>
      </c>
      <c r="J458" s="534">
        <v>160660</v>
      </c>
      <c r="K458" s="610">
        <v>9.2058</v>
      </c>
      <c r="L458" s="144" t="s">
        <v>1353</v>
      </c>
      <c r="M458" s="89"/>
      <c r="N458" s="22" t="s">
        <v>1382</v>
      </c>
    </row>
    <row r="459" spans="1:14" s="3" customFormat="1" ht="19.5" customHeight="1" x14ac:dyDescent="0.4">
      <c r="A459" s="482">
        <v>46142</v>
      </c>
      <c r="B459" s="110" t="s">
        <v>782</v>
      </c>
      <c r="C459" s="29" t="s">
        <v>155</v>
      </c>
      <c r="D459" s="110" t="s">
        <v>253</v>
      </c>
      <c r="E459" s="110"/>
      <c r="F459" s="533">
        <v>1</v>
      </c>
      <c r="G459" s="49">
        <f t="shared" si="11"/>
        <v>3605543.628</v>
      </c>
      <c r="H459" s="662">
        <f t="shared" si="10"/>
        <v>3605543.628</v>
      </c>
      <c r="I459" s="525" t="s">
        <v>1340</v>
      </c>
      <c r="J459" s="534">
        <v>391660</v>
      </c>
      <c r="K459" s="610">
        <v>9.2058</v>
      </c>
      <c r="L459" s="144" t="s">
        <v>1353</v>
      </c>
      <c r="M459" s="89"/>
      <c r="N459" s="22" t="s">
        <v>1382</v>
      </c>
    </row>
    <row r="460" spans="1:14" s="3" customFormat="1" ht="19.5" customHeight="1" x14ac:dyDescent="0.4">
      <c r="A460" s="482">
        <v>46142</v>
      </c>
      <c r="B460" s="110" t="s">
        <v>782</v>
      </c>
      <c r="C460" s="29" t="s">
        <v>154</v>
      </c>
      <c r="D460" s="110" t="s">
        <v>653</v>
      </c>
      <c r="E460" s="110"/>
      <c r="F460" s="533">
        <v>1</v>
      </c>
      <c r="G460" s="49">
        <f t="shared" si="11"/>
        <v>1479003.828</v>
      </c>
      <c r="H460" s="662">
        <f t="shared" si="10"/>
        <v>1479003.828</v>
      </c>
      <c r="I460" s="525" t="s">
        <v>1202</v>
      </c>
      <c r="J460" s="534">
        <v>160660</v>
      </c>
      <c r="K460" s="610">
        <v>9.2058</v>
      </c>
      <c r="L460" s="144" t="s">
        <v>1353</v>
      </c>
      <c r="M460" s="89"/>
      <c r="N460" s="22" t="s">
        <v>1382</v>
      </c>
    </row>
    <row r="461" spans="1:14" s="3" customFormat="1" ht="19.5" customHeight="1" x14ac:dyDescent="0.4">
      <c r="A461" s="482">
        <v>46142</v>
      </c>
      <c r="B461" s="110" t="s">
        <v>782</v>
      </c>
      <c r="C461" s="29" t="s">
        <v>155</v>
      </c>
      <c r="D461" s="110" t="s">
        <v>254</v>
      </c>
      <c r="E461" s="110"/>
      <c r="F461" s="533">
        <v>4</v>
      </c>
      <c r="G461" s="49">
        <f t="shared" si="11"/>
        <v>3605543.628</v>
      </c>
      <c r="H461" s="662">
        <f t="shared" si="10"/>
        <v>14422174.512</v>
      </c>
      <c r="I461" s="525" t="s">
        <v>1211</v>
      </c>
      <c r="J461" s="534">
        <v>391660</v>
      </c>
      <c r="K461" s="610">
        <v>9.2058</v>
      </c>
      <c r="L461" s="144" t="s">
        <v>1353</v>
      </c>
      <c r="M461" s="89"/>
      <c r="N461" s="22" t="s">
        <v>1382</v>
      </c>
    </row>
    <row r="462" spans="1:14" s="3" customFormat="1" ht="19.5" customHeight="1" x14ac:dyDescent="0.4">
      <c r="A462" s="482">
        <v>46142</v>
      </c>
      <c r="B462" s="110" t="s">
        <v>782</v>
      </c>
      <c r="C462" s="29" t="s">
        <v>150</v>
      </c>
      <c r="D462" s="110" t="s">
        <v>391</v>
      </c>
      <c r="E462" s="110"/>
      <c r="F462" s="533">
        <v>8</v>
      </c>
      <c r="G462" s="49">
        <f t="shared" si="11"/>
        <v>1158826.1040000001</v>
      </c>
      <c r="H462" s="662">
        <f t="shared" si="10"/>
        <v>9270608.8320000004</v>
      </c>
      <c r="I462" s="525" t="s">
        <v>1211</v>
      </c>
      <c r="J462" s="534">
        <v>125880</v>
      </c>
      <c r="K462" s="610">
        <v>9.2058</v>
      </c>
      <c r="L462" s="144" t="s">
        <v>1353</v>
      </c>
      <c r="M462" s="89"/>
      <c r="N462" s="22" t="s">
        <v>1382</v>
      </c>
    </row>
    <row r="463" spans="1:14" s="3" customFormat="1" ht="19.5" customHeight="1" x14ac:dyDescent="0.4">
      <c r="A463" s="482">
        <v>46142</v>
      </c>
      <c r="B463" s="110" t="s">
        <v>782</v>
      </c>
      <c r="C463" s="29" t="s">
        <v>150</v>
      </c>
      <c r="D463" s="110" t="s">
        <v>391</v>
      </c>
      <c r="E463" s="110"/>
      <c r="F463" s="533">
        <v>8</v>
      </c>
      <c r="G463" s="49">
        <f t="shared" si="11"/>
        <v>1158826.1040000001</v>
      </c>
      <c r="H463" s="662">
        <f t="shared" si="10"/>
        <v>9270608.8320000004</v>
      </c>
      <c r="I463" s="525" t="s">
        <v>1214</v>
      </c>
      <c r="J463" s="534">
        <v>125880</v>
      </c>
      <c r="K463" s="610">
        <v>9.2058</v>
      </c>
      <c r="L463" s="144" t="s">
        <v>1353</v>
      </c>
      <c r="M463" s="89"/>
      <c r="N463" s="22" t="s">
        <v>1382</v>
      </c>
    </row>
    <row r="464" spans="1:14" s="3" customFormat="1" ht="19.5" customHeight="1" x14ac:dyDescent="0.4">
      <c r="A464" s="482">
        <v>46142</v>
      </c>
      <c r="B464" s="110" t="s">
        <v>782</v>
      </c>
      <c r="C464" s="29" t="s">
        <v>150</v>
      </c>
      <c r="D464" s="110" t="s">
        <v>391</v>
      </c>
      <c r="E464" s="110"/>
      <c r="F464" s="533">
        <v>8</v>
      </c>
      <c r="G464" s="49">
        <f t="shared" si="11"/>
        <v>1158826.1040000001</v>
      </c>
      <c r="H464" s="662">
        <f t="shared" si="10"/>
        <v>9270608.8320000004</v>
      </c>
      <c r="I464" s="525" t="s">
        <v>1350</v>
      </c>
      <c r="J464" s="534">
        <v>125880</v>
      </c>
      <c r="K464" s="610">
        <v>9.2058</v>
      </c>
      <c r="L464" s="144" t="s">
        <v>1353</v>
      </c>
      <c r="M464" s="89"/>
      <c r="N464" s="22" t="s">
        <v>1382</v>
      </c>
    </row>
    <row r="465" spans="1:14" s="3" customFormat="1" ht="19.5" customHeight="1" x14ac:dyDescent="0.4">
      <c r="A465" s="482">
        <v>46142</v>
      </c>
      <c r="B465" s="110" t="s">
        <v>782</v>
      </c>
      <c r="C465" s="29" t="s">
        <v>156</v>
      </c>
      <c r="D465" s="110" t="s">
        <v>262</v>
      </c>
      <c r="E465" s="110"/>
      <c r="F465" s="533">
        <v>1</v>
      </c>
      <c r="G465" s="49">
        <f t="shared" si="11"/>
        <v>2065137.1140000001</v>
      </c>
      <c r="H465" s="662">
        <f t="shared" si="10"/>
        <v>2065137.1140000001</v>
      </c>
      <c r="I465" s="525" t="s">
        <v>1362</v>
      </c>
      <c r="J465" s="534">
        <v>224330</v>
      </c>
      <c r="K465" s="610">
        <v>9.2058</v>
      </c>
      <c r="L465" s="144" t="s">
        <v>1353</v>
      </c>
      <c r="M465" s="89"/>
      <c r="N465" s="22" t="s">
        <v>1382</v>
      </c>
    </row>
    <row r="466" spans="1:14" s="3" customFormat="1" ht="19.5" customHeight="1" x14ac:dyDescent="0.4">
      <c r="A466" s="482">
        <v>46142</v>
      </c>
      <c r="B466" s="110" t="s">
        <v>782</v>
      </c>
      <c r="C466" s="29" t="s">
        <v>153</v>
      </c>
      <c r="D466" s="110" t="s">
        <v>1326</v>
      </c>
      <c r="E466" s="110"/>
      <c r="F466" s="533">
        <v>2</v>
      </c>
      <c r="G466" s="49">
        <f t="shared" si="11"/>
        <v>2103065.0099999998</v>
      </c>
      <c r="H466" s="662">
        <f t="shared" si="10"/>
        <v>4206130.0199999996</v>
      </c>
      <c r="I466" s="525" t="s">
        <v>1355</v>
      </c>
      <c r="J466" s="534">
        <v>228450</v>
      </c>
      <c r="K466" s="610">
        <v>9.2058</v>
      </c>
      <c r="L466" s="144" t="s">
        <v>1353</v>
      </c>
      <c r="M466" s="89"/>
      <c r="N466" s="22" t="s">
        <v>1382</v>
      </c>
    </row>
    <row r="467" spans="1:14" ht="19.5" customHeight="1" x14ac:dyDescent="0.4">
      <c r="A467" s="482">
        <v>46150</v>
      </c>
      <c r="B467" s="110" t="s">
        <v>782</v>
      </c>
      <c r="C467" s="29" t="s">
        <v>160</v>
      </c>
      <c r="D467" s="110" t="s">
        <v>274</v>
      </c>
      <c r="E467" s="110"/>
      <c r="F467" s="533">
        <v>8</v>
      </c>
      <c r="G467" s="49">
        <f t="shared" si="11"/>
        <v>497760.62699999998</v>
      </c>
      <c r="H467" s="662">
        <f t="shared" si="10"/>
        <v>3982085.0159999998</v>
      </c>
      <c r="I467" s="525" t="s">
        <v>1458</v>
      </c>
      <c r="J467" s="534">
        <v>53830</v>
      </c>
      <c r="K467" s="661">
        <v>9.2469000000000001</v>
      </c>
      <c r="L467" s="409" t="s">
        <v>1459</v>
      </c>
    </row>
    <row r="468" spans="1:14" ht="19.5" customHeight="1" x14ac:dyDescent="0.4">
      <c r="A468" s="482">
        <v>46150</v>
      </c>
      <c r="B468" s="110" t="s">
        <v>782</v>
      </c>
      <c r="C468" s="29" t="s">
        <v>160</v>
      </c>
      <c r="D468" s="110" t="s">
        <v>341</v>
      </c>
      <c r="E468" s="110"/>
      <c r="F468" s="533">
        <v>8</v>
      </c>
      <c r="G468" s="49">
        <f t="shared" si="11"/>
        <v>497760.62699999998</v>
      </c>
      <c r="H468" s="662">
        <f t="shared" si="10"/>
        <v>3982085.0159999998</v>
      </c>
      <c r="I468" s="525" t="s">
        <v>1172</v>
      </c>
      <c r="J468" s="534">
        <v>53830</v>
      </c>
      <c r="K468" s="661">
        <v>9.2469000000000001</v>
      </c>
      <c r="L468" s="409" t="s">
        <v>1459</v>
      </c>
    </row>
    <row r="469" spans="1:14" ht="19.5" customHeight="1" x14ac:dyDescent="0.4">
      <c r="A469" s="482">
        <v>46150</v>
      </c>
      <c r="B469" s="110" t="s">
        <v>782</v>
      </c>
      <c r="C469" s="29" t="s">
        <v>158</v>
      </c>
      <c r="D469" s="110" t="s">
        <v>252</v>
      </c>
      <c r="E469" s="110"/>
      <c r="F469" s="533">
        <v>8</v>
      </c>
      <c r="G469" s="49">
        <f t="shared" si="11"/>
        <v>3487930.68</v>
      </c>
      <c r="H469" s="662">
        <f t="shared" si="10"/>
        <v>27903445.440000001</v>
      </c>
      <c r="I469" s="525" t="s">
        <v>1356</v>
      </c>
      <c r="J469" s="534">
        <v>377200</v>
      </c>
      <c r="K469" s="661">
        <v>9.2469000000000001</v>
      </c>
      <c r="L469" s="409" t="s">
        <v>1459</v>
      </c>
    </row>
    <row r="470" spans="1:14" ht="19.5" customHeight="1" x14ac:dyDescent="0.4">
      <c r="A470" s="482">
        <v>46150</v>
      </c>
      <c r="B470" s="110" t="s">
        <v>782</v>
      </c>
      <c r="C470" s="29" t="s">
        <v>154</v>
      </c>
      <c r="D470" s="110" t="s">
        <v>1328</v>
      </c>
      <c r="E470" s="110"/>
      <c r="F470" s="533">
        <v>4</v>
      </c>
      <c r="G470" s="49">
        <f t="shared" si="11"/>
        <v>721813.01399999997</v>
      </c>
      <c r="H470" s="662">
        <f t="shared" si="10"/>
        <v>2887252.0559999999</v>
      </c>
      <c r="I470" s="525" t="s">
        <v>1352</v>
      </c>
      <c r="J470" s="534">
        <v>78060</v>
      </c>
      <c r="K470" s="661">
        <v>9.2469000000000001</v>
      </c>
      <c r="L470" s="409" t="s">
        <v>1459</v>
      </c>
    </row>
    <row r="471" spans="1:14" ht="19.5" customHeight="1" x14ac:dyDescent="0.4">
      <c r="A471" s="482">
        <v>46150</v>
      </c>
      <c r="B471" s="110" t="s">
        <v>782</v>
      </c>
      <c r="C471" s="29" t="s">
        <v>154</v>
      </c>
      <c r="D471" s="110" t="s">
        <v>1336</v>
      </c>
      <c r="E471" s="110"/>
      <c r="F471" s="533">
        <v>4</v>
      </c>
      <c r="G471" s="49">
        <f t="shared" si="11"/>
        <v>721813.01399999997</v>
      </c>
      <c r="H471" s="662">
        <f t="shared" si="10"/>
        <v>2887252.0559999999</v>
      </c>
      <c r="I471" s="525" t="s">
        <v>1354</v>
      </c>
      <c r="J471" s="534">
        <v>78060</v>
      </c>
      <c r="K471" s="661">
        <v>9.2469000000000001</v>
      </c>
      <c r="L471" s="409" t="s">
        <v>1459</v>
      </c>
    </row>
    <row r="472" spans="1:14" ht="19.5" customHeight="1" x14ac:dyDescent="0.4">
      <c r="A472" s="482">
        <v>46150</v>
      </c>
      <c r="B472" s="110" t="s">
        <v>782</v>
      </c>
      <c r="C472" s="29" t="s">
        <v>157</v>
      </c>
      <c r="D472" s="110" t="s">
        <v>273</v>
      </c>
      <c r="E472" s="110"/>
      <c r="F472" s="533">
        <v>4</v>
      </c>
      <c r="G472" s="49">
        <f t="shared" si="11"/>
        <v>320220.147</v>
      </c>
      <c r="H472" s="662">
        <f t="shared" si="10"/>
        <v>1280880.588</v>
      </c>
      <c r="I472" s="525" t="s">
        <v>1354</v>
      </c>
      <c r="J472" s="534">
        <v>34630</v>
      </c>
      <c r="K472" s="661">
        <v>9.2469000000000001</v>
      </c>
      <c r="L472" s="409" t="s">
        <v>1459</v>
      </c>
    </row>
    <row r="473" spans="1:14" ht="19.5" customHeight="1" x14ac:dyDescent="0.4">
      <c r="A473" s="482">
        <v>46150</v>
      </c>
      <c r="B473" s="110" t="s">
        <v>782</v>
      </c>
      <c r="C473" s="29" t="s">
        <v>157</v>
      </c>
      <c r="D473" s="110" t="s">
        <v>259</v>
      </c>
      <c r="E473" s="110"/>
      <c r="F473" s="533">
        <v>3</v>
      </c>
      <c r="G473" s="49">
        <f t="shared" si="11"/>
        <v>3390283.4160000002</v>
      </c>
      <c r="H473" s="662">
        <f t="shared" si="10"/>
        <v>10170850.248</v>
      </c>
      <c r="I473" s="525" t="s">
        <v>1340</v>
      </c>
      <c r="J473" s="534">
        <v>366640</v>
      </c>
      <c r="K473" s="661">
        <v>9.2469000000000001</v>
      </c>
      <c r="L473" s="409" t="s">
        <v>1459</v>
      </c>
    </row>
    <row r="474" spans="1:14" ht="19.5" customHeight="1" x14ac:dyDescent="0.4">
      <c r="A474" s="482">
        <v>46150</v>
      </c>
      <c r="B474" s="110" t="s">
        <v>782</v>
      </c>
      <c r="C474" s="29" t="s">
        <v>157</v>
      </c>
      <c r="D474" s="110" t="s">
        <v>338</v>
      </c>
      <c r="E474" s="110"/>
      <c r="F474" s="533">
        <v>4</v>
      </c>
      <c r="G474" s="49">
        <f t="shared" si="11"/>
        <v>320220.147</v>
      </c>
      <c r="H474" s="662">
        <f t="shared" si="10"/>
        <v>1280880.588</v>
      </c>
      <c r="I474" s="525" t="s">
        <v>1201</v>
      </c>
      <c r="J474" s="534">
        <v>34630</v>
      </c>
      <c r="K474" s="661">
        <v>9.2469000000000001</v>
      </c>
      <c r="L474" s="409" t="s">
        <v>1459</v>
      </c>
    </row>
    <row r="475" spans="1:14" ht="19.5" customHeight="1" x14ac:dyDescent="0.4">
      <c r="A475" s="482">
        <v>46150</v>
      </c>
      <c r="B475" s="110" t="s">
        <v>782</v>
      </c>
      <c r="C475" s="29" t="s">
        <v>155</v>
      </c>
      <c r="D475" s="110" t="s">
        <v>253</v>
      </c>
      <c r="E475" s="110"/>
      <c r="F475" s="533">
        <v>1</v>
      </c>
      <c r="G475" s="49">
        <f t="shared" si="11"/>
        <v>3621640.8539999998</v>
      </c>
      <c r="H475" s="662">
        <f t="shared" si="10"/>
        <v>3621640.8539999998</v>
      </c>
      <c r="I475" s="525" t="s">
        <v>1211</v>
      </c>
      <c r="J475" s="534">
        <v>391660</v>
      </c>
      <c r="K475" s="661">
        <v>9.2469000000000001</v>
      </c>
      <c r="L475" s="409" t="s">
        <v>1459</v>
      </c>
    </row>
    <row r="476" spans="1:14" ht="19.5" customHeight="1" x14ac:dyDescent="0.4">
      <c r="A476" s="482">
        <v>46150</v>
      </c>
      <c r="B476" s="110" t="s">
        <v>782</v>
      </c>
      <c r="C476" s="29" t="s">
        <v>154</v>
      </c>
      <c r="D476" s="110" t="s">
        <v>1328</v>
      </c>
      <c r="E476" s="110"/>
      <c r="F476" s="533">
        <v>4</v>
      </c>
      <c r="G476" s="49">
        <f t="shared" si="11"/>
        <v>721813.01399999997</v>
      </c>
      <c r="H476" s="662">
        <f t="shared" si="10"/>
        <v>2887252.0559999999</v>
      </c>
      <c r="I476" s="525" t="s">
        <v>1460</v>
      </c>
      <c r="J476" s="534">
        <v>78060</v>
      </c>
      <c r="K476" s="661">
        <v>9.2469000000000001</v>
      </c>
      <c r="L476" s="409" t="s">
        <v>1459</v>
      </c>
    </row>
    <row r="477" spans="1:14" ht="19.5" customHeight="1" x14ac:dyDescent="0.4">
      <c r="A477" s="482">
        <v>46150</v>
      </c>
      <c r="B477" s="110" t="s">
        <v>782</v>
      </c>
      <c r="C477" s="29" t="s">
        <v>154</v>
      </c>
      <c r="D477" s="110" t="s">
        <v>251</v>
      </c>
      <c r="E477" s="110"/>
      <c r="F477" s="533">
        <v>1</v>
      </c>
      <c r="G477" s="49">
        <f t="shared" si="11"/>
        <v>84442.690799999997</v>
      </c>
      <c r="H477" s="662">
        <f t="shared" si="10"/>
        <v>84442.690799999997</v>
      </c>
      <c r="I477" s="525" t="s">
        <v>1461</v>
      </c>
      <c r="J477" s="534">
        <v>9132</v>
      </c>
      <c r="K477" s="661">
        <v>9.2469000000000001</v>
      </c>
      <c r="L477" s="409" t="s">
        <v>1459</v>
      </c>
    </row>
    <row r="478" spans="1:14" ht="19.5" customHeight="1" x14ac:dyDescent="0.4">
      <c r="A478" s="482">
        <v>46157</v>
      </c>
      <c r="B478" s="110" t="s">
        <v>782</v>
      </c>
      <c r="C478" s="29" t="s">
        <v>160</v>
      </c>
      <c r="D478" s="110" t="s">
        <v>255</v>
      </c>
      <c r="E478" s="110"/>
      <c r="F478" s="533">
        <v>8</v>
      </c>
      <c r="G478" s="49">
        <f t="shared" si="11"/>
        <v>389982.81599999999</v>
      </c>
      <c r="H478" s="662">
        <f t="shared" si="10"/>
        <v>3119862.5279999999</v>
      </c>
      <c r="I478" s="525" t="s">
        <v>1462</v>
      </c>
      <c r="J478" s="525">
        <v>41410</v>
      </c>
      <c r="K478" s="661">
        <v>9.4176000000000002</v>
      </c>
      <c r="L478" s="409" t="s">
        <v>1463</v>
      </c>
    </row>
    <row r="479" spans="1:14" ht="19.5" customHeight="1" x14ac:dyDescent="0.4">
      <c r="A479" s="482">
        <v>46157</v>
      </c>
      <c r="B479" s="110" t="s">
        <v>782</v>
      </c>
      <c r="C479" s="29" t="s">
        <v>155</v>
      </c>
      <c r="D479" s="110" t="s">
        <v>253</v>
      </c>
      <c r="E479" s="110"/>
      <c r="F479" s="533">
        <v>8</v>
      </c>
      <c r="G479" s="49">
        <f t="shared" si="11"/>
        <v>3688497.216</v>
      </c>
      <c r="H479" s="662">
        <f t="shared" si="10"/>
        <v>29507977.728</v>
      </c>
      <c r="I479" s="525" t="s">
        <v>1356</v>
      </c>
      <c r="J479" s="525">
        <v>391660</v>
      </c>
      <c r="K479" s="661">
        <v>9.4176000000000002</v>
      </c>
      <c r="L479" s="409" t="s">
        <v>1463</v>
      </c>
    </row>
    <row r="480" spans="1:14" ht="19.5" customHeight="1" x14ac:dyDescent="0.4">
      <c r="A480" s="482">
        <v>46157</v>
      </c>
      <c r="B480" s="110" t="s">
        <v>782</v>
      </c>
      <c r="C480" s="29" t="s">
        <v>158</v>
      </c>
      <c r="D480" s="110" t="s">
        <v>252</v>
      </c>
      <c r="E480" s="110"/>
      <c r="F480" s="533">
        <v>8</v>
      </c>
      <c r="G480" s="49">
        <f t="shared" si="11"/>
        <v>3552318.72</v>
      </c>
      <c r="H480" s="662">
        <f t="shared" si="10"/>
        <v>28418549.760000002</v>
      </c>
      <c r="I480" s="525" t="s">
        <v>1358</v>
      </c>
      <c r="J480" s="525">
        <v>377200</v>
      </c>
      <c r="K480" s="661">
        <v>9.4176000000000002</v>
      </c>
      <c r="L480" s="409" t="s">
        <v>1463</v>
      </c>
    </row>
    <row r="481" spans="1:12" ht="19.5" customHeight="1" x14ac:dyDescent="0.4">
      <c r="A481" s="482">
        <v>46157</v>
      </c>
      <c r="B481" s="110" t="s">
        <v>782</v>
      </c>
      <c r="C481" s="29" t="s">
        <v>157</v>
      </c>
      <c r="D481" s="110" t="s">
        <v>259</v>
      </c>
      <c r="E481" s="110"/>
      <c r="F481" s="533">
        <v>8</v>
      </c>
      <c r="G481" s="49">
        <f t="shared" si="11"/>
        <v>3452868.8640000001</v>
      </c>
      <c r="H481" s="662">
        <f t="shared" si="10"/>
        <v>27622950.912</v>
      </c>
      <c r="I481" s="525" t="s">
        <v>1358</v>
      </c>
      <c r="J481" s="525">
        <v>366640</v>
      </c>
      <c r="K481" s="661">
        <v>9.4176000000000002</v>
      </c>
      <c r="L481" s="409" t="s">
        <v>1463</v>
      </c>
    </row>
    <row r="482" spans="1:12" ht="19.5" customHeight="1" x14ac:dyDescent="0.4">
      <c r="A482" s="482">
        <v>46157</v>
      </c>
      <c r="B482" s="110" t="s">
        <v>782</v>
      </c>
      <c r="C482" s="29" t="s">
        <v>157</v>
      </c>
      <c r="D482" s="110" t="s">
        <v>270</v>
      </c>
      <c r="E482" s="110"/>
      <c r="F482" s="533">
        <v>4</v>
      </c>
      <c r="G482" s="49">
        <f t="shared" si="11"/>
        <v>3452868.8640000001</v>
      </c>
      <c r="H482" s="662">
        <f t="shared" si="10"/>
        <v>13811475.456</v>
      </c>
      <c r="I482" s="525" t="s">
        <v>1340</v>
      </c>
      <c r="J482" s="525">
        <v>366640</v>
      </c>
      <c r="K482" s="661">
        <v>9.4176000000000002</v>
      </c>
      <c r="L482" s="409" t="s">
        <v>1463</v>
      </c>
    </row>
    <row r="483" spans="1:12" ht="19.5" customHeight="1" x14ac:dyDescent="0.4">
      <c r="A483" s="482">
        <v>46157</v>
      </c>
      <c r="B483" s="110" t="s">
        <v>782</v>
      </c>
      <c r="C483" s="29" t="s">
        <v>155</v>
      </c>
      <c r="D483" s="110" t="s">
        <v>254</v>
      </c>
      <c r="E483" s="110"/>
      <c r="F483" s="533">
        <v>3</v>
      </c>
      <c r="G483" s="49">
        <f t="shared" si="11"/>
        <v>3688497.216</v>
      </c>
      <c r="H483" s="662">
        <f t="shared" si="10"/>
        <v>11065491.648</v>
      </c>
      <c r="I483" s="525" t="s">
        <v>1211</v>
      </c>
      <c r="J483" s="525">
        <v>391660</v>
      </c>
      <c r="K483" s="661">
        <v>9.4176000000000002</v>
      </c>
      <c r="L483" s="409" t="s">
        <v>1463</v>
      </c>
    </row>
    <row r="484" spans="1:12" ht="19.5" customHeight="1" x14ac:dyDescent="0.4">
      <c r="A484" s="482">
        <v>46157</v>
      </c>
      <c r="B484" s="110" t="s">
        <v>782</v>
      </c>
      <c r="C484" s="29" t="s">
        <v>157</v>
      </c>
      <c r="D484" s="110" t="s">
        <v>270</v>
      </c>
      <c r="E484" s="110"/>
      <c r="F484" s="533">
        <v>2</v>
      </c>
      <c r="G484" s="49">
        <f t="shared" si="11"/>
        <v>3452868.8640000001</v>
      </c>
      <c r="H484" s="662">
        <f t="shared" si="10"/>
        <v>6905737.7280000001</v>
      </c>
      <c r="I484" s="525" t="s">
        <v>1211</v>
      </c>
      <c r="J484" s="525">
        <v>366640</v>
      </c>
      <c r="K484" s="661">
        <v>9.4176000000000002</v>
      </c>
      <c r="L484" s="409" t="s">
        <v>1463</v>
      </c>
    </row>
    <row r="485" spans="1:12" ht="19.5" customHeight="1" x14ac:dyDescent="0.4">
      <c r="A485" s="482">
        <v>46157</v>
      </c>
      <c r="B485" s="110" t="s">
        <v>782</v>
      </c>
      <c r="C485" s="29" t="s">
        <v>155</v>
      </c>
      <c r="D485" s="110" t="s">
        <v>254</v>
      </c>
      <c r="E485" s="110"/>
      <c r="F485" s="533">
        <v>1</v>
      </c>
      <c r="G485" s="49">
        <f t="shared" si="11"/>
        <v>3688497.216</v>
      </c>
      <c r="H485" s="662">
        <f t="shared" si="10"/>
        <v>3688497.216</v>
      </c>
      <c r="I485" s="525" t="s">
        <v>1214</v>
      </c>
      <c r="J485" s="525">
        <v>391660</v>
      </c>
      <c r="K485" s="661">
        <v>9.4176000000000002</v>
      </c>
      <c r="L485" s="409" t="s">
        <v>1463</v>
      </c>
    </row>
    <row r="486" spans="1:12" ht="19.5" customHeight="1" x14ac:dyDescent="0.4">
      <c r="A486" s="482">
        <v>46157</v>
      </c>
      <c r="B486" s="110" t="s">
        <v>782</v>
      </c>
      <c r="C486" s="29" t="s">
        <v>150</v>
      </c>
      <c r="D486" s="110" t="s">
        <v>257</v>
      </c>
      <c r="E486" s="110"/>
      <c r="F486" s="533">
        <v>6</v>
      </c>
      <c r="G486" s="49">
        <f t="shared" si="11"/>
        <v>137308.60800000001</v>
      </c>
      <c r="H486" s="662">
        <f t="shared" si="10"/>
        <v>823851.64800000004</v>
      </c>
      <c r="I486" s="525" t="s">
        <v>1464</v>
      </c>
      <c r="J486" s="525">
        <v>14580</v>
      </c>
      <c r="K486" s="661">
        <v>9.4176000000000002</v>
      </c>
      <c r="L486" s="409" t="s">
        <v>1463</v>
      </c>
    </row>
    <row r="487" spans="1:12" ht="19.5" customHeight="1" x14ac:dyDescent="0.4">
      <c r="A487" s="482">
        <v>46157</v>
      </c>
      <c r="B487" s="110" t="s">
        <v>782</v>
      </c>
      <c r="C487" s="29" t="s">
        <v>152</v>
      </c>
      <c r="D487" s="110" t="s">
        <v>263</v>
      </c>
      <c r="E487" s="110"/>
      <c r="F487" s="533">
        <v>1</v>
      </c>
      <c r="G487" s="49">
        <f t="shared" si="11"/>
        <v>67382.928</v>
      </c>
      <c r="H487" s="662">
        <f t="shared" si="10"/>
        <v>67382.928</v>
      </c>
      <c r="I487" s="525" t="s">
        <v>1465</v>
      </c>
      <c r="J487" s="525">
        <v>7155</v>
      </c>
      <c r="K487" s="661">
        <v>9.4176000000000002</v>
      </c>
      <c r="L487" s="409" t="s">
        <v>1463</v>
      </c>
    </row>
    <row r="488" spans="1:12" ht="19.5" customHeight="1" x14ac:dyDescent="0.4">
      <c r="A488" s="482">
        <v>46157</v>
      </c>
      <c r="B488" s="110" t="s">
        <v>782</v>
      </c>
      <c r="C488" s="29" t="s">
        <v>152</v>
      </c>
      <c r="D488" s="110" t="s">
        <v>159</v>
      </c>
      <c r="E488" s="110"/>
      <c r="F488" s="533">
        <v>1</v>
      </c>
      <c r="G488" s="49">
        <f t="shared" si="11"/>
        <v>67382.928</v>
      </c>
      <c r="H488" s="662">
        <f t="shared" si="10"/>
        <v>67382.928</v>
      </c>
      <c r="I488" s="525" t="s">
        <v>1465</v>
      </c>
      <c r="J488" s="525">
        <v>7155</v>
      </c>
      <c r="K488" s="661">
        <v>9.4176000000000002</v>
      </c>
      <c r="L488" s="409" t="s">
        <v>1463</v>
      </c>
    </row>
    <row r="489" spans="1:12" ht="19.5" customHeight="1" x14ac:dyDescent="0.4">
      <c r="A489" s="482">
        <v>46157</v>
      </c>
      <c r="B489" s="110" t="s">
        <v>782</v>
      </c>
      <c r="C489" s="29" t="s">
        <v>150</v>
      </c>
      <c r="D489" s="110" t="s">
        <v>256</v>
      </c>
      <c r="E489" s="110"/>
      <c r="F489" s="533">
        <v>1</v>
      </c>
      <c r="G489" s="49">
        <f t="shared" si="11"/>
        <v>153789.408</v>
      </c>
      <c r="H489" s="662">
        <f t="shared" si="10"/>
        <v>153789.408</v>
      </c>
      <c r="I489" s="525" t="s">
        <v>1466</v>
      </c>
      <c r="J489" s="525">
        <v>16330</v>
      </c>
      <c r="K489" s="661">
        <v>9.4176000000000002</v>
      </c>
      <c r="L489" s="409" t="s">
        <v>1463</v>
      </c>
    </row>
    <row r="490" spans="1:12" ht="19.5" customHeight="1" x14ac:dyDescent="0.4">
      <c r="A490" s="482">
        <v>46157</v>
      </c>
      <c r="B490" s="110" t="s">
        <v>782</v>
      </c>
      <c r="C490" s="29" t="s">
        <v>150</v>
      </c>
      <c r="D490" s="110" t="s">
        <v>391</v>
      </c>
      <c r="E490" s="110"/>
      <c r="F490" s="533">
        <v>1</v>
      </c>
      <c r="G490" s="49">
        <f t="shared" si="11"/>
        <v>153789.408</v>
      </c>
      <c r="H490" s="662">
        <f t="shared" si="10"/>
        <v>153789.408</v>
      </c>
      <c r="I490" s="525" t="s">
        <v>1466</v>
      </c>
      <c r="J490" s="525">
        <v>16330</v>
      </c>
      <c r="K490" s="661">
        <v>9.4176000000000002</v>
      </c>
      <c r="L490" s="409" t="s">
        <v>1463</v>
      </c>
    </row>
    <row r="491" spans="1:12" ht="19.5" customHeight="1" x14ac:dyDescent="0.4">
      <c r="A491" s="482">
        <v>46157</v>
      </c>
      <c r="B491" s="110" t="s">
        <v>782</v>
      </c>
      <c r="C491" s="29" t="s">
        <v>157</v>
      </c>
      <c r="D491" s="110" t="s">
        <v>259</v>
      </c>
      <c r="E491" s="110"/>
      <c r="F491" s="533">
        <v>1</v>
      </c>
      <c r="G491" s="49">
        <f t="shared" si="11"/>
        <v>509774.68800000002</v>
      </c>
      <c r="H491" s="662">
        <f t="shared" si="10"/>
        <v>509774.68800000002</v>
      </c>
      <c r="I491" s="525" t="s">
        <v>1467</v>
      </c>
      <c r="J491" s="525">
        <v>54130</v>
      </c>
      <c r="K491" s="661">
        <v>9.4176000000000002</v>
      </c>
      <c r="L491" s="409" t="s">
        <v>1463</v>
      </c>
    </row>
    <row r="492" spans="1:12" ht="19.5" customHeight="1" x14ac:dyDescent="0.4">
      <c r="A492" s="482">
        <v>46157</v>
      </c>
      <c r="B492" s="110" t="s">
        <v>782</v>
      </c>
      <c r="C492" s="29" t="s">
        <v>152</v>
      </c>
      <c r="D492" s="110" t="s">
        <v>159</v>
      </c>
      <c r="E492" s="110"/>
      <c r="F492" s="533">
        <v>1</v>
      </c>
      <c r="G492" s="49">
        <f t="shared" si="11"/>
        <v>67382.928</v>
      </c>
      <c r="H492" s="662">
        <f t="shared" si="10"/>
        <v>67382.928</v>
      </c>
      <c r="I492" s="525" t="s">
        <v>1468</v>
      </c>
      <c r="J492" s="525">
        <v>7155</v>
      </c>
      <c r="K492" s="661">
        <v>9.4176000000000002</v>
      </c>
      <c r="L492" s="409" t="s">
        <v>1463</v>
      </c>
    </row>
    <row r="493" spans="1:12" ht="19.5" customHeight="1" x14ac:dyDescent="0.4">
      <c r="A493" s="482">
        <v>46162</v>
      </c>
      <c r="B493" s="110" t="s">
        <v>782</v>
      </c>
      <c r="C493" s="29" t="s">
        <v>160</v>
      </c>
      <c r="D493" s="110" t="s">
        <v>255</v>
      </c>
      <c r="E493" s="110"/>
      <c r="F493" s="533">
        <v>8</v>
      </c>
      <c r="G493" s="49">
        <f t="shared" si="11"/>
        <v>411202.299</v>
      </c>
      <c r="H493" s="662">
        <f t="shared" si="10"/>
        <v>3289618.392</v>
      </c>
      <c r="I493" s="525" t="s">
        <v>1469</v>
      </c>
      <c r="J493" s="525">
        <v>43490</v>
      </c>
      <c r="K493" s="661">
        <v>9.4550999999999998</v>
      </c>
      <c r="L493" s="409" t="s">
        <v>1470</v>
      </c>
    </row>
    <row r="494" spans="1:12" ht="19.5" customHeight="1" x14ac:dyDescent="0.4">
      <c r="A494" s="482">
        <v>46169</v>
      </c>
      <c r="B494" s="110" t="s">
        <v>782</v>
      </c>
      <c r="C494" s="29" t="s">
        <v>160</v>
      </c>
      <c r="D494" s="110" t="s">
        <v>340</v>
      </c>
      <c r="E494" s="110"/>
      <c r="F494" s="533">
        <v>8</v>
      </c>
      <c r="G494" s="49">
        <f t="shared" si="11"/>
        <v>391556.39600000001</v>
      </c>
      <c r="H494" s="662">
        <f t="shared" si="10"/>
        <v>3132451.1680000001</v>
      </c>
      <c r="I494" s="525" t="s">
        <v>1471</v>
      </c>
      <c r="J494" s="525">
        <v>41410</v>
      </c>
      <c r="K494" s="661">
        <v>9.4556000000000004</v>
      </c>
      <c r="L494" s="409" t="s">
        <v>1472</v>
      </c>
    </row>
    <row r="495" spans="1:12" ht="19.5" customHeight="1" x14ac:dyDescent="0.4">
      <c r="A495" s="482">
        <v>46169</v>
      </c>
      <c r="B495" s="110" t="s">
        <v>782</v>
      </c>
      <c r="C495" s="29" t="s">
        <v>152</v>
      </c>
      <c r="D495" s="110" t="s">
        <v>263</v>
      </c>
      <c r="E495" s="110"/>
      <c r="F495" s="533">
        <v>4</v>
      </c>
      <c r="G495" s="49">
        <f t="shared" si="11"/>
        <v>944330.772</v>
      </c>
      <c r="H495" s="662">
        <f t="shared" si="10"/>
        <v>3777323.088</v>
      </c>
      <c r="I495" s="525" t="s">
        <v>1473</v>
      </c>
      <c r="J495" s="525">
        <v>99870</v>
      </c>
      <c r="K495" s="661">
        <v>9.4556000000000004</v>
      </c>
      <c r="L495" s="409" t="s">
        <v>1472</v>
      </c>
    </row>
    <row r="496" spans="1:12" ht="19.5" customHeight="1" x14ac:dyDescent="0.4">
      <c r="A496" s="482">
        <v>46169</v>
      </c>
      <c r="B496" s="110" t="s">
        <v>782</v>
      </c>
      <c r="C496" s="29" t="s">
        <v>150</v>
      </c>
      <c r="D496" s="110" t="s">
        <v>334</v>
      </c>
      <c r="E496" s="110"/>
      <c r="F496" s="533">
        <v>4</v>
      </c>
      <c r="G496" s="49">
        <f t="shared" si="11"/>
        <v>312980.36</v>
      </c>
      <c r="H496" s="662">
        <f t="shared" si="10"/>
        <v>1251921.44</v>
      </c>
      <c r="I496" s="525" t="s">
        <v>1337</v>
      </c>
      <c r="J496" s="525">
        <v>33100</v>
      </c>
      <c r="K496" s="661">
        <v>9.4556000000000004</v>
      </c>
      <c r="L496" s="409" t="s">
        <v>1472</v>
      </c>
    </row>
    <row r="497" spans="1:12" ht="19.5" customHeight="1" x14ac:dyDescent="0.4">
      <c r="A497" s="482">
        <v>46169</v>
      </c>
      <c r="B497" s="110" t="s">
        <v>782</v>
      </c>
      <c r="C497" s="29" t="s">
        <v>150</v>
      </c>
      <c r="D497" s="110" t="s">
        <v>335</v>
      </c>
      <c r="E497" s="110"/>
      <c r="F497" s="533">
        <v>4</v>
      </c>
      <c r="G497" s="49">
        <f t="shared" si="11"/>
        <v>312980.36</v>
      </c>
      <c r="H497" s="662">
        <f t="shared" si="10"/>
        <v>1251921.44</v>
      </c>
      <c r="I497" s="525" t="s">
        <v>1338</v>
      </c>
      <c r="J497" s="525">
        <v>33100</v>
      </c>
      <c r="K497" s="661">
        <v>9.4556000000000004</v>
      </c>
      <c r="L497" s="409" t="s">
        <v>1472</v>
      </c>
    </row>
    <row r="498" spans="1:12" ht="19.5" customHeight="1" x14ac:dyDescent="0.4">
      <c r="A498" s="482">
        <v>46169</v>
      </c>
      <c r="B498" s="110" t="s">
        <v>782</v>
      </c>
      <c r="C498" s="29" t="s">
        <v>153</v>
      </c>
      <c r="D498" s="110" t="s">
        <v>337</v>
      </c>
      <c r="E498" s="110"/>
      <c r="F498" s="533">
        <v>4</v>
      </c>
      <c r="G498" s="49">
        <f t="shared" si="11"/>
        <v>2092051.5</v>
      </c>
      <c r="H498" s="662">
        <f t="shared" si="10"/>
        <v>8368206</v>
      </c>
      <c r="I498" s="525" t="s">
        <v>1210</v>
      </c>
      <c r="J498" s="525">
        <v>221250</v>
      </c>
      <c r="K498" s="661">
        <v>9.4556000000000004</v>
      </c>
      <c r="L498" s="409" t="s">
        <v>1472</v>
      </c>
    </row>
    <row r="499" spans="1:12" ht="19.5" customHeight="1" x14ac:dyDescent="0.4">
      <c r="A499" s="482">
        <v>46169</v>
      </c>
      <c r="B499" s="110" t="s">
        <v>782</v>
      </c>
      <c r="C499" s="29" t="s">
        <v>161</v>
      </c>
      <c r="D499" s="110" t="s">
        <v>1005</v>
      </c>
      <c r="E499" s="110"/>
      <c r="F499" s="533">
        <v>4</v>
      </c>
      <c r="G499" s="49">
        <f t="shared" si="11"/>
        <v>258043.32400000002</v>
      </c>
      <c r="H499" s="662">
        <f t="shared" si="10"/>
        <v>1032173.2960000001</v>
      </c>
      <c r="I499" s="525" t="s">
        <v>1199</v>
      </c>
      <c r="J499" s="525">
        <v>27290</v>
      </c>
      <c r="K499" s="661">
        <v>9.4556000000000004</v>
      </c>
      <c r="L499" s="409" t="s">
        <v>1472</v>
      </c>
    </row>
    <row r="500" spans="1:12" ht="19.5" customHeight="1" x14ac:dyDescent="0.4">
      <c r="A500" s="482">
        <v>46169</v>
      </c>
      <c r="B500" s="110" t="s">
        <v>782</v>
      </c>
      <c r="C500" s="29" t="s">
        <v>157</v>
      </c>
      <c r="D500" s="110" t="s">
        <v>259</v>
      </c>
      <c r="E500" s="110"/>
      <c r="F500" s="533">
        <v>4</v>
      </c>
      <c r="G500" s="49">
        <f t="shared" si="11"/>
        <v>3466801.1840000004</v>
      </c>
      <c r="H500" s="662">
        <f t="shared" si="10"/>
        <v>13867204.736000001</v>
      </c>
      <c r="I500" s="525" t="s">
        <v>1211</v>
      </c>
      <c r="J500" s="525">
        <v>366640</v>
      </c>
      <c r="K500" s="661">
        <v>9.4556000000000004</v>
      </c>
      <c r="L500" s="409" t="s">
        <v>1472</v>
      </c>
    </row>
    <row r="501" spans="1:12" ht="19.5" customHeight="1" x14ac:dyDescent="0.4">
      <c r="A501" s="482">
        <v>46169</v>
      </c>
      <c r="B501" s="110" t="s">
        <v>782</v>
      </c>
      <c r="C501" s="29" t="s">
        <v>155</v>
      </c>
      <c r="D501" s="110" t="s">
        <v>253</v>
      </c>
      <c r="E501" s="110"/>
      <c r="F501" s="533">
        <v>3</v>
      </c>
      <c r="G501" s="49">
        <f t="shared" si="11"/>
        <v>3703380.2960000001</v>
      </c>
      <c r="H501" s="662">
        <f t="shared" si="10"/>
        <v>11110140.888</v>
      </c>
      <c r="I501" s="525" t="s">
        <v>1214</v>
      </c>
      <c r="J501" s="525">
        <v>391660</v>
      </c>
      <c r="K501" s="661">
        <v>9.4556000000000004</v>
      </c>
      <c r="L501" s="409" t="s">
        <v>1472</v>
      </c>
    </row>
    <row r="502" spans="1:12" ht="19.5" customHeight="1" x14ac:dyDescent="0.4">
      <c r="A502" s="482">
        <v>46169</v>
      </c>
      <c r="B502" s="110" t="s">
        <v>782</v>
      </c>
      <c r="C502" s="29" t="s">
        <v>153</v>
      </c>
      <c r="D502" s="110" t="s">
        <v>269</v>
      </c>
      <c r="E502" s="110"/>
      <c r="F502" s="533">
        <v>8</v>
      </c>
      <c r="G502" s="49">
        <f t="shared" si="11"/>
        <v>2030211.8760000002</v>
      </c>
      <c r="H502" s="662">
        <f t="shared" si="10"/>
        <v>16241695.008000001</v>
      </c>
      <c r="I502" s="525" t="s">
        <v>1474</v>
      </c>
      <c r="J502" s="525">
        <v>214710</v>
      </c>
      <c r="K502" s="661">
        <v>9.4556000000000004</v>
      </c>
      <c r="L502" s="409" t="s">
        <v>1472</v>
      </c>
    </row>
    <row r="503" spans="1:12" ht="19.5" customHeight="1" x14ac:dyDescent="0.4">
      <c r="A503" s="482">
        <v>46169</v>
      </c>
      <c r="B503" s="110" t="s">
        <v>782</v>
      </c>
      <c r="C503" s="29" t="s">
        <v>153</v>
      </c>
      <c r="D503" s="110" t="s">
        <v>264</v>
      </c>
      <c r="E503" s="110"/>
      <c r="F503" s="533">
        <v>2</v>
      </c>
      <c r="G503" s="49">
        <f t="shared" si="11"/>
        <v>2961588.4760000003</v>
      </c>
      <c r="H503" s="662">
        <f t="shared" ref="H503:H531" si="12">F503*G503</f>
        <v>5923176.9520000005</v>
      </c>
      <c r="I503" s="525" t="s">
        <v>1475</v>
      </c>
      <c r="J503" s="525">
        <v>313210</v>
      </c>
      <c r="K503" s="661">
        <v>9.4556000000000004</v>
      </c>
      <c r="L503" s="409" t="s">
        <v>1472</v>
      </c>
    </row>
    <row r="504" spans="1:12" ht="19.5" customHeight="1" x14ac:dyDescent="0.4">
      <c r="A504" s="482">
        <v>46169</v>
      </c>
      <c r="B504" s="110" t="s">
        <v>782</v>
      </c>
      <c r="C504" s="29" t="s">
        <v>161</v>
      </c>
      <c r="D504" s="110" t="s">
        <v>1344</v>
      </c>
      <c r="E504" s="110"/>
      <c r="F504" s="533">
        <v>1</v>
      </c>
      <c r="G504" s="49">
        <f t="shared" ref="G504:G524" si="13">J504*K504</f>
        <v>21114.354800000001</v>
      </c>
      <c r="H504" s="662">
        <f t="shared" si="12"/>
        <v>21114.354800000001</v>
      </c>
      <c r="I504" s="525" t="s">
        <v>1476</v>
      </c>
      <c r="J504" s="525">
        <v>2233</v>
      </c>
      <c r="K504" s="661">
        <v>9.4556000000000004</v>
      </c>
      <c r="L504" s="409" t="s">
        <v>1472</v>
      </c>
    </row>
    <row r="505" spans="1:12" ht="19.5" customHeight="1" x14ac:dyDescent="0.4">
      <c r="A505" s="482">
        <v>46171</v>
      </c>
      <c r="B505" s="110" t="s">
        <v>782</v>
      </c>
      <c r="C505" s="29" t="s">
        <v>152</v>
      </c>
      <c r="D505" s="110" t="s">
        <v>263</v>
      </c>
      <c r="E505" s="110"/>
      <c r="F505" s="533">
        <v>4</v>
      </c>
      <c r="G505" s="49">
        <f t="shared" si="13"/>
        <v>946883.7840000001</v>
      </c>
      <c r="H505" s="662">
        <f t="shared" si="12"/>
        <v>3787535.1360000004</v>
      </c>
      <c r="I505" s="525" t="s">
        <v>1477</v>
      </c>
      <c r="J505" s="525">
        <v>100140</v>
      </c>
      <c r="K505" s="661">
        <v>9.4556000000000004</v>
      </c>
      <c r="L505" s="409" t="s">
        <v>1478</v>
      </c>
    </row>
    <row r="506" spans="1:12" ht="19.5" customHeight="1" x14ac:dyDescent="0.4">
      <c r="A506" s="482">
        <v>46171</v>
      </c>
      <c r="B506" s="110" t="s">
        <v>782</v>
      </c>
      <c r="C506" s="29" t="s">
        <v>160</v>
      </c>
      <c r="D506" s="110" t="s">
        <v>274</v>
      </c>
      <c r="E506" s="110"/>
      <c r="F506" s="533">
        <v>8</v>
      </c>
      <c r="G506" s="49">
        <f t="shared" si="13"/>
        <v>508994.94800000003</v>
      </c>
      <c r="H506" s="662">
        <f t="shared" si="12"/>
        <v>4071959.5840000003</v>
      </c>
      <c r="I506" s="525" t="s">
        <v>1175</v>
      </c>
      <c r="J506" s="525">
        <v>53830</v>
      </c>
      <c r="K506" s="661">
        <v>9.4556000000000004</v>
      </c>
      <c r="L506" s="409" t="s">
        <v>1478</v>
      </c>
    </row>
    <row r="507" spans="1:12" ht="19.5" customHeight="1" x14ac:dyDescent="0.4">
      <c r="A507" s="482">
        <v>46171</v>
      </c>
      <c r="B507" s="110" t="s">
        <v>782</v>
      </c>
      <c r="C507" s="29" t="s">
        <v>150</v>
      </c>
      <c r="D507" s="110" t="s">
        <v>334</v>
      </c>
      <c r="E507" s="110"/>
      <c r="F507" s="533">
        <v>4</v>
      </c>
      <c r="G507" s="49">
        <f t="shared" si="13"/>
        <v>312980.36</v>
      </c>
      <c r="H507" s="662">
        <f t="shared" si="12"/>
        <v>1251921.44</v>
      </c>
      <c r="I507" s="525" t="s">
        <v>1352</v>
      </c>
      <c r="J507" s="525">
        <v>33100</v>
      </c>
      <c r="K507" s="661">
        <v>9.4556000000000004</v>
      </c>
      <c r="L507" s="409" t="s">
        <v>1478</v>
      </c>
    </row>
    <row r="508" spans="1:12" ht="19.5" customHeight="1" x14ac:dyDescent="0.4">
      <c r="A508" s="482">
        <v>46171</v>
      </c>
      <c r="B508" s="110" t="s">
        <v>782</v>
      </c>
      <c r="C508" s="29" t="s">
        <v>155</v>
      </c>
      <c r="D508" s="110" t="s">
        <v>253</v>
      </c>
      <c r="E508" s="110"/>
      <c r="F508" s="533">
        <v>8</v>
      </c>
      <c r="G508" s="49">
        <f t="shared" si="13"/>
        <v>3703380.2960000001</v>
      </c>
      <c r="H508" s="662">
        <f t="shared" si="12"/>
        <v>29627042.368000001</v>
      </c>
      <c r="I508" s="525" t="s">
        <v>1358</v>
      </c>
      <c r="J508" s="525">
        <v>391660</v>
      </c>
      <c r="K508" s="661">
        <v>9.4556000000000004</v>
      </c>
      <c r="L508" s="409" t="s">
        <v>1478</v>
      </c>
    </row>
    <row r="509" spans="1:12" ht="19.5" customHeight="1" x14ac:dyDescent="0.4">
      <c r="A509" s="482">
        <v>46171</v>
      </c>
      <c r="B509" s="110" t="s">
        <v>782</v>
      </c>
      <c r="C509" s="29" t="s">
        <v>153</v>
      </c>
      <c r="D509" s="110" t="s">
        <v>392</v>
      </c>
      <c r="E509" s="110"/>
      <c r="F509" s="533">
        <v>8</v>
      </c>
      <c r="G509" s="49">
        <f t="shared" si="13"/>
        <v>2880270.3160000001</v>
      </c>
      <c r="H509" s="662">
        <f t="shared" si="12"/>
        <v>23042162.528000001</v>
      </c>
      <c r="I509" s="525" t="s">
        <v>1358</v>
      </c>
      <c r="J509" s="525">
        <v>304610</v>
      </c>
      <c r="K509" s="661">
        <v>9.4556000000000004</v>
      </c>
      <c r="L509" s="409" t="s">
        <v>1478</v>
      </c>
    </row>
    <row r="510" spans="1:12" ht="19.5" customHeight="1" x14ac:dyDescent="0.4">
      <c r="A510" s="482">
        <v>46171</v>
      </c>
      <c r="B510" s="110" t="s">
        <v>782</v>
      </c>
      <c r="C510" s="29" t="s">
        <v>150</v>
      </c>
      <c r="D510" s="110" t="s">
        <v>335</v>
      </c>
      <c r="E510" s="110"/>
      <c r="F510" s="533">
        <v>4</v>
      </c>
      <c r="G510" s="49">
        <f t="shared" si="13"/>
        <v>312980.36</v>
      </c>
      <c r="H510" s="662">
        <f t="shared" si="12"/>
        <v>1251921.44</v>
      </c>
      <c r="I510" s="525" t="s">
        <v>1354</v>
      </c>
      <c r="J510" s="525">
        <v>33100</v>
      </c>
      <c r="K510" s="661">
        <v>9.4556000000000004</v>
      </c>
      <c r="L510" s="409" t="s">
        <v>1478</v>
      </c>
    </row>
    <row r="511" spans="1:12" ht="19.5" customHeight="1" x14ac:dyDescent="0.4">
      <c r="A511" s="482">
        <v>46171</v>
      </c>
      <c r="B511" s="110" t="s">
        <v>782</v>
      </c>
      <c r="C511" s="29" t="s">
        <v>161</v>
      </c>
      <c r="D511" s="110" t="s">
        <v>1005</v>
      </c>
      <c r="E511" s="110"/>
      <c r="F511" s="533">
        <v>4</v>
      </c>
      <c r="G511" s="49">
        <f t="shared" si="13"/>
        <v>258043.32400000002</v>
      </c>
      <c r="H511" s="662">
        <f t="shared" si="12"/>
        <v>1032173.2960000001</v>
      </c>
      <c r="I511" s="525" t="s">
        <v>1354</v>
      </c>
      <c r="J511" s="525">
        <v>27290</v>
      </c>
      <c r="K511" s="661">
        <v>9.4556000000000004</v>
      </c>
      <c r="L511" s="409" t="s">
        <v>1478</v>
      </c>
    </row>
    <row r="512" spans="1:12" ht="19.5" customHeight="1" x14ac:dyDescent="0.4">
      <c r="A512" s="482">
        <v>46171</v>
      </c>
      <c r="B512" s="110" t="s">
        <v>782</v>
      </c>
      <c r="C512" s="29" t="s">
        <v>154</v>
      </c>
      <c r="D512" s="110" t="s">
        <v>266</v>
      </c>
      <c r="E512" s="110"/>
      <c r="F512" s="533">
        <v>1</v>
      </c>
      <c r="G512" s="49">
        <f t="shared" si="13"/>
        <v>3964827.6360000004</v>
      </c>
      <c r="H512" s="662">
        <f t="shared" si="12"/>
        <v>3964827.6360000004</v>
      </c>
      <c r="I512" s="525" t="s">
        <v>1210</v>
      </c>
      <c r="J512" s="525">
        <v>419310</v>
      </c>
      <c r="K512" s="661">
        <v>9.4556000000000004</v>
      </c>
      <c r="L512" s="409" t="s">
        <v>1478</v>
      </c>
    </row>
    <row r="513" spans="1:12" ht="19.5" customHeight="1" x14ac:dyDescent="0.4">
      <c r="A513" s="482">
        <v>46171</v>
      </c>
      <c r="B513" s="110" t="s">
        <v>782</v>
      </c>
      <c r="C513" s="29" t="s">
        <v>158</v>
      </c>
      <c r="D513" s="110" t="s">
        <v>252</v>
      </c>
      <c r="E513" s="110"/>
      <c r="F513" s="533">
        <v>8</v>
      </c>
      <c r="G513" s="49">
        <f t="shared" si="13"/>
        <v>3566652.3200000003</v>
      </c>
      <c r="H513" s="662">
        <f t="shared" si="12"/>
        <v>28533218.560000002</v>
      </c>
      <c r="I513" s="525" t="s">
        <v>1479</v>
      </c>
      <c r="J513" s="525">
        <v>377200</v>
      </c>
      <c r="K513" s="661">
        <v>9.4556000000000004</v>
      </c>
      <c r="L513" s="409" t="s">
        <v>1478</v>
      </c>
    </row>
    <row r="514" spans="1:12" ht="19.5" customHeight="1" x14ac:dyDescent="0.4">
      <c r="A514" s="482">
        <v>46171</v>
      </c>
      <c r="B514" s="110" t="s">
        <v>782</v>
      </c>
      <c r="C514" s="29" t="s">
        <v>150</v>
      </c>
      <c r="D514" s="110" t="s">
        <v>335</v>
      </c>
      <c r="E514" s="110"/>
      <c r="F514" s="533">
        <v>4</v>
      </c>
      <c r="G514" s="49">
        <f t="shared" si="13"/>
        <v>312980.36</v>
      </c>
      <c r="H514" s="662">
        <f t="shared" si="12"/>
        <v>1251921.44</v>
      </c>
      <c r="I514" s="525" t="s">
        <v>1480</v>
      </c>
      <c r="J514" s="525">
        <v>33100</v>
      </c>
      <c r="K514" s="661">
        <v>9.4556000000000004</v>
      </c>
      <c r="L514" s="409" t="s">
        <v>1478</v>
      </c>
    </row>
    <row r="515" spans="1:12" ht="19.5" customHeight="1" x14ac:dyDescent="0.4">
      <c r="A515" s="482">
        <v>46171</v>
      </c>
      <c r="B515" s="110" t="s">
        <v>782</v>
      </c>
      <c r="C515" s="29" t="s">
        <v>150</v>
      </c>
      <c r="D515" s="110" t="s">
        <v>275</v>
      </c>
      <c r="E515" s="110"/>
      <c r="F515" s="533">
        <v>1</v>
      </c>
      <c r="G515" s="49">
        <f t="shared" si="13"/>
        <v>552868.93200000003</v>
      </c>
      <c r="H515" s="662">
        <f t="shared" si="12"/>
        <v>552868.93200000003</v>
      </c>
      <c r="I515" s="525" t="s">
        <v>1481</v>
      </c>
      <c r="J515" s="525">
        <v>58470</v>
      </c>
      <c r="K515" s="661">
        <v>9.4556000000000004</v>
      </c>
      <c r="L515" s="409" t="s">
        <v>1478</v>
      </c>
    </row>
    <row r="516" spans="1:12" ht="19.5" customHeight="1" x14ac:dyDescent="0.4">
      <c r="A516" s="482">
        <v>46171</v>
      </c>
      <c r="B516" s="110" t="s">
        <v>782</v>
      </c>
      <c r="C516" s="29" t="s">
        <v>154</v>
      </c>
      <c r="D516" s="110" t="s">
        <v>336</v>
      </c>
      <c r="E516" s="110"/>
      <c r="F516" s="533">
        <v>1</v>
      </c>
      <c r="G516" s="49">
        <f t="shared" si="13"/>
        <v>3964827.6360000004</v>
      </c>
      <c r="H516" s="662">
        <f t="shared" si="12"/>
        <v>3964827.6360000004</v>
      </c>
      <c r="I516" s="525" t="s">
        <v>1340</v>
      </c>
      <c r="J516" s="525">
        <v>419310</v>
      </c>
      <c r="K516" s="661">
        <v>9.4556000000000004</v>
      </c>
      <c r="L516" s="409" t="s">
        <v>1478</v>
      </c>
    </row>
    <row r="517" spans="1:12" ht="19.5" customHeight="1" x14ac:dyDescent="0.4">
      <c r="A517" s="482">
        <v>46171</v>
      </c>
      <c r="B517" s="110" t="s">
        <v>782</v>
      </c>
      <c r="C517" s="29" t="s">
        <v>153</v>
      </c>
      <c r="D517" s="110" t="s">
        <v>337</v>
      </c>
      <c r="E517" s="110"/>
      <c r="F517" s="533">
        <v>8</v>
      </c>
      <c r="G517" s="49">
        <f t="shared" si="13"/>
        <v>2092051.5</v>
      </c>
      <c r="H517" s="662">
        <f t="shared" si="12"/>
        <v>16736412</v>
      </c>
      <c r="I517" s="525" t="s">
        <v>1340</v>
      </c>
      <c r="J517" s="525">
        <v>221250</v>
      </c>
      <c r="K517" s="661">
        <v>9.4556000000000004</v>
      </c>
      <c r="L517" s="409" t="s">
        <v>1478</v>
      </c>
    </row>
    <row r="518" spans="1:12" ht="19.5" customHeight="1" x14ac:dyDescent="0.4">
      <c r="A518" s="482">
        <v>46171</v>
      </c>
      <c r="B518" s="110" t="s">
        <v>782</v>
      </c>
      <c r="C518" s="29" t="s">
        <v>157</v>
      </c>
      <c r="D518" s="110" t="s">
        <v>259</v>
      </c>
      <c r="E518" s="110"/>
      <c r="F518" s="533">
        <v>2</v>
      </c>
      <c r="G518" s="49">
        <f t="shared" si="13"/>
        <v>3466801.1840000004</v>
      </c>
      <c r="H518" s="662">
        <f t="shared" si="12"/>
        <v>6933602.3680000007</v>
      </c>
      <c r="I518" s="525" t="s">
        <v>1211</v>
      </c>
      <c r="J518" s="525">
        <v>366640</v>
      </c>
      <c r="K518" s="661">
        <v>9.4556000000000004</v>
      </c>
      <c r="L518" s="409" t="s">
        <v>1478</v>
      </c>
    </row>
    <row r="519" spans="1:12" ht="19.5" customHeight="1" x14ac:dyDescent="0.4">
      <c r="A519" s="482">
        <v>46171</v>
      </c>
      <c r="B519" s="110" t="s">
        <v>782</v>
      </c>
      <c r="C519" s="29" t="s">
        <v>157</v>
      </c>
      <c r="D519" s="110" t="s">
        <v>270</v>
      </c>
      <c r="E519" s="110"/>
      <c r="F519" s="533">
        <v>6</v>
      </c>
      <c r="G519" s="49">
        <f t="shared" si="13"/>
        <v>3466801.1840000004</v>
      </c>
      <c r="H519" s="662">
        <f t="shared" si="12"/>
        <v>20800807.104000002</v>
      </c>
      <c r="I519" s="525" t="s">
        <v>1214</v>
      </c>
      <c r="J519" s="525">
        <v>366640</v>
      </c>
      <c r="K519" s="661">
        <v>9.4556000000000004</v>
      </c>
      <c r="L519" s="409" t="s">
        <v>1478</v>
      </c>
    </row>
    <row r="520" spans="1:12" ht="19.5" customHeight="1" x14ac:dyDescent="0.4">
      <c r="A520" s="482">
        <v>46171</v>
      </c>
      <c r="B520" s="110" t="s">
        <v>782</v>
      </c>
      <c r="C520" s="29" t="s">
        <v>153</v>
      </c>
      <c r="D520" s="110" t="s">
        <v>1326</v>
      </c>
      <c r="E520" s="110"/>
      <c r="F520" s="533">
        <v>3</v>
      </c>
      <c r="G520" s="49">
        <f t="shared" si="13"/>
        <v>2092051.5</v>
      </c>
      <c r="H520" s="662">
        <f t="shared" si="12"/>
        <v>6276154.5</v>
      </c>
      <c r="I520" s="525" t="s">
        <v>1333</v>
      </c>
      <c r="J520" s="525">
        <v>221250</v>
      </c>
      <c r="K520" s="661">
        <v>9.4556000000000004</v>
      </c>
      <c r="L520" s="409" t="s">
        <v>1478</v>
      </c>
    </row>
    <row r="521" spans="1:12" ht="19.5" customHeight="1" x14ac:dyDescent="0.4">
      <c r="A521" s="482">
        <v>46171</v>
      </c>
      <c r="B521" s="110" t="s">
        <v>782</v>
      </c>
      <c r="C521" s="29" t="s">
        <v>158</v>
      </c>
      <c r="D521" s="110" t="s">
        <v>339</v>
      </c>
      <c r="E521" s="110"/>
      <c r="F521" s="533">
        <v>5</v>
      </c>
      <c r="G521" s="49">
        <f t="shared" si="13"/>
        <v>3680119.52</v>
      </c>
      <c r="H521" s="662">
        <f t="shared" si="12"/>
        <v>18400597.600000001</v>
      </c>
      <c r="I521" s="525" t="s">
        <v>1474</v>
      </c>
      <c r="J521" s="525">
        <v>389200</v>
      </c>
      <c r="K521" s="661">
        <v>9.4556000000000004</v>
      </c>
      <c r="L521" s="409" t="s">
        <v>1478</v>
      </c>
    </row>
    <row r="522" spans="1:12" ht="19.5" customHeight="1" x14ac:dyDescent="0.4">
      <c r="A522" s="482">
        <v>46171</v>
      </c>
      <c r="B522" s="110" t="s">
        <v>782</v>
      </c>
      <c r="C522" s="29" t="s">
        <v>150</v>
      </c>
      <c r="D522" s="110" t="s">
        <v>151</v>
      </c>
      <c r="E522" s="110"/>
      <c r="F522" s="533">
        <v>1</v>
      </c>
      <c r="G522" s="49">
        <f t="shared" si="13"/>
        <v>560811.63600000006</v>
      </c>
      <c r="H522" s="662">
        <f t="shared" si="12"/>
        <v>560811.63600000006</v>
      </c>
      <c r="I522" s="525" t="s">
        <v>1482</v>
      </c>
      <c r="J522" s="525">
        <v>59310</v>
      </c>
      <c r="K522" s="661">
        <v>9.4556000000000004</v>
      </c>
      <c r="L522" s="409" t="s">
        <v>1478</v>
      </c>
    </row>
    <row r="523" spans="1:12" ht="19.5" customHeight="1" x14ac:dyDescent="0.4">
      <c r="A523" s="482">
        <v>46171</v>
      </c>
      <c r="B523" s="110" t="s">
        <v>782</v>
      </c>
      <c r="C523" s="29" t="s">
        <v>153</v>
      </c>
      <c r="D523" s="110" t="s">
        <v>1483</v>
      </c>
      <c r="E523" s="110"/>
      <c r="F523" s="533">
        <v>1</v>
      </c>
      <c r="G523" s="49">
        <f t="shared" si="13"/>
        <v>2971611.412</v>
      </c>
      <c r="H523" s="662">
        <f t="shared" si="12"/>
        <v>2971611.412</v>
      </c>
      <c r="I523" s="525" t="s">
        <v>1484</v>
      </c>
      <c r="J523" s="525">
        <v>314270</v>
      </c>
      <c r="K523" s="661">
        <v>9.4556000000000004</v>
      </c>
      <c r="L523" s="409" t="s">
        <v>1478</v>
      </c>
    </row>
    <row r="524" spans="1:12" ht="19.5" customHeight="1" x14ac:dyDescent="0.4">
      <c r="A524" s="482">
        <v>46171</v>
      </c>
      <c r="B524" s="110" t="s">
        <v>782</v>
      </c>
      <c r="C524" s="29" t="s">
        <v>150</v>
      </c>
      <c r="D524" s="110" t="s">
        <v>151</v>
      </c>
      <c r="E524" s="110"/>
      <c r="F524" s="533">
        <v>1</v>
      </c>
      <c r="G524" s="49">
        <f t="shared" si="13"/>
        <v>560811.63600000006</v>
      </c>
      <c r="H524" s="662">
        <f t="shared" si="12"/>
        <v>560811.63600000006</v>
      </c>
      <c r="I524" s="525" t="s">
        <v>1485</v>
      </c>
      <c r="J524" s="525">
        <v>59310</v>
      </c>
      <c r="K524" s="661">
        <v>9.4556000000000004</v>
      </c>
      <c r="L524" s="409" t="s">
        <v>1478</v>
      </c>
    </row>
    <row r="525" spans="1:12" ht="19.5" customHeight="1" x14ac:dyDescent="0.4">
      <c r="A525" s="482">
        <v>46171</v>
      </c>
      <c r="B525" s="110" t="s">
        <v>782</v>
      </c>
      <c r="C525" s="29" t="s">
        <v>153</v>
      </c>
      <c r="D525" s="110" t="s">
        <v>264</v>
      </c>
      <c r="E525" s="110"/>
      <c r="F525" s="533">
        <v>1</v>
      </c>
      <c r="G525" s="49">
        <f>J525*K525</f>
        <v>2961588.4760000003</v>
      </c>
      <c r="H525" s="662">
        <f t="shared" si="12"/>
        <v>2961588.4760000003</v>
      </c>
      <c r="I525" s="525" t="s">
        <v>1475</v>
      </c>
      <c r="J525" s="525">
        <v>313210</v>
      </c>
      <c r="K525" s="661">
        <v>9.4556000000000004</v>
      </c>
      <c r="L525" s="409" t="s">
        <v>1478</v>
      </c>
    </row>
    <row r="526" spans="1:12" ht="19.5" customHeight="1" x14ac:dyDescent="0.4">
      <c r="A526" s="482">
        <v>46160</v>
      </c>
      <c r="B526" s="110" t="s">
        <v>782</v>
      </c>
      <c r="C526" s="29" t="s">
        <v>1509</v>
      </c>
      <c r="D526" s="110"/>
      <c r="E526" s="110"/>
      <c r="F526" s="533">
        <v>1</v>
      </c>
      <c r="G526" s="49">
        <f t="shared" ref="G526:G531" si="14">J526*K526</f>
        <v>2672652.0000000005</v>
      </c>
      <c r="H526" s="662">
        <f t="shared" si="12"/>
        <v>2672652.0000000005</v>
      </c>
      <c r="I526" s="525"/>
      <c r="J526" s="525">
        <v>283000</v>
      </c>
      <c r="K526" s="661">
        <v>9.4440000000000008</v>
      </c>
      <c r="L526" s="409" t="s">
        <v>1503</v>
      </c>
    </row>
    <row r="527" spans="1:12" ht="19.5" customHeight="1" x14ac:dyDescent="0.4">
      <c r="A527" s="482">
        <v>46160</v>
      </c>
      <c r="B527" s="110" t="s">
        <v>782</v>
      </c>
      <c r="C527" s="29" t="s">
        <v>1509</v>
      </c>
      <c r="D527" s="110"/>
      <c r="E527" s="110"/>
      <c r="F527" s="533">
        <v>1</v>
      </c>
      <c r="G527" s="49">
        <f t="shared" si="14"/>
        <v>1350492.0000000002</v>
      </c>
      <c r="H527" s="662">
        <f t="shared" si="12"/>
        <v>1350492.0000000002</v>
      </c>
      <c r="I527" s="525"/>
      <c r="J527" s="525">
        <v>143000</v>
      </c>
      <c r="K527" s="661">
        <v>9.4440000000000008</v>
      </c>
      <c r="L527" s="409" t="s">
        <v>1504</v>
      </c>
    </row>
    <row r="528" spans="1:12" ht="19.5" customHeight="1" x14ac:dyDescent="0.4">
      <c r="A528" s="482">
        <v>46160</v>
      </c>
      <c r="B528" s="110" t="s">
        <v>782</v>
      </c>
      <c r="C528" s="29" t="s">
        <v>1509</v>
      </c>
      <c r="D528" s="110"/>
      <c r="E528" s="110"/>
      <c r="F528" s="533">
        <v>1</v>
      </c>
      <c r="G528" s="49">
        <f t="shared" si="14"/>
        <v>1671588.0000000002</v>
      </c>
      <c r="H528" s="662">
        <f t="shared" si="12"/>
        <v>1671588.0000000002</v>
      </c>
      <c r="I528" s="525"/>
      <c r="J528" s="525">
        <v>177000</v>
      </c>
      <c r="K528" s="661">
        <v>9.4440000000000008</v>
      </c>
      <c r="L528" s="409" t="s">
        <v>1505</v>
      </c>
    </row>
    <row r="529" spans="1:12" ht="19.5" customHeight="1" x14ac:dyDescent="0.4">
      <c r="A529" s="482">
        <v>46160</v>
      </c>
      <c r="B529" s="110" t="s">
        <v>782</v>
      </c>
      <c r="C529" s="29" t="s">
        <v>1509</v>
      </c>
      <c r="D529" s="110"/>
      <c r="E529" s="110"/>
      <c r="F529" s="533">
        <v>1</v>
      </c>
      <c r="G529" s="49">
        <f t="shared" si="14"/>
        <v>4212024</v>
      </c>
      <c r="H529" s="662">
        <f t="shared" si="12"/>
        <v>4212024</v>
      </c>
      <c r="I529" s="525"/>
      <c r="J529" s="525">
        <v>446000</v>
      </c>
      <c r="K529" s="661">
        <v>9.4440000000000008</v>
      </c>
      <c r="L529" s="409" t="s">
        <v>1506</v>
      </c>
    </row>
    <row r="530" spans="1:12" ht="19.5" customHeight="1" x14ac:dyDescent="0.4">
      <c r="A530" s="482">
        <v>46160</v>
      </c>
      <c r="B530" s="110" t="s">
        <v>782</v>
      </c>
      <c r="C530" s="29" t="s">
        <v>1509</v>
      </c>
      <c r="D530" s="110"/>
      <c r="E530" s="110"/>
      <c r="F530" s="533">
        <v>1</v>
      </c>
      <c r="G530" s="49">
        <f t="shared" si="14"/>
        <v>5420856.0000000009</v>
      </c>
      <c r="H530" s="662">
        <f t="shared" si="12"/>
        <v>5420856.0000000009</v>
      </c>
      <c r="I530" s="525"/>
      <c r="J530" s="525">
        <v>574000</v>
      </c>
      <c r="K530" s="661">
        <v>9.4440000000000008</v>
      </c>
      <c r="L530" s="409" t="s">
        <v>1507</v>
      </c>
    </row>
    <row r="531" spans="1:12" ht="19.5" customHeight="1" x14ac:dyDescent="0.4">
      <c r="A531" s="482">
        <v>46160</v>
      </c>
      <c r="B531" s="110" t="s">
        <v>782</v>
      </c>
      <c r="C531" s="29" t="s">
        <v>1509</v>
      </c>
      <c r="D531" s="110"/>
      <c r="E531" s="110"/>
      <c r="F531" s="533">
        <v>1</v>
      </c>
      <c r="G531" s="49">
        <f t="shared" si="14"/>
        <v>1888800.0000000002</v>
      </c>
      <c r="H531" s="662">
        <f t="shared" si="12"/>
        <v>1888800.0000000002</v>
      </c>
      <c r="I531" s="525"/>
      <c r="J531" s="525">
        <v>200000</v>
      </c>
      <c r="K531" s="661">
        <v>9.4440000000000008</v>
      </c>
      <c r="L531" s="409" t="s">
        <v>1508</v>
      </c>
    </row>
    <row r="532" spans="1:12" ht="19.5" customHeight="1" x14ac:dyDescent="0.4">
      <c r="A532" s="483"/>
      <c r="B532" s="194"/>
      <c r="C532" s="40"/>
      <c r="D532" s="194"/>
      <c r="E532" s="194"/>
      <c r="F532" s="528"/>
      <c r="G532" s="529"/>
      <c r="H532" s="529">
        <f>SUM(H439:H531)-4</f>
        <v>612974473.82159984</v>
      </c>
      <c r="I532" s="633"/>
      <c r="J532" s="530"/>
      <c r="K532" s="145"/>
      <c r="L532" s="621"/>
    </row>
    <row r="533" spans="1:12" ht="19.5" customHeight="1" x14ac:dyDescent="0.4">
      <c r="A533" s="482">
        <v>46173</v>
      </c>
      <c r="B533" s="110" t="s">
        <v>1535</v>
      </c>
      <c r="C533" s="29" t="s">
        <v>1536</v>
      </c>
      <c r="D533" s="110"/>
      <c r="E533" s="110"/>
      <c r="F533" s="533"/>
      <c r="G533" s="525"/>
      <c r="H533" s="525">
        <v>8100000</v>
      </c>
      <c r="I533" s="690"/>
      <c r="J533" s="534"/>
      <c r="K533" s="144"/>
      <c r="L533" s="409"/>
    </row>
    <row r="534" spans="1:12" ht="19.5" customHeight="1" x14ac:dyDescent="0.4">
      <c r="A534" s="483"/>
      <c r="B534" s="194"/>
      <c r="C534" s="40"/>
      <c r="D534" s="194"/>
      <c r="E534" s="194"/>
      <c r="F534" s="528"/>
      <c r="G534" s="529"/>
      <c r="H534" s="529">
        <f>SUM(H533)</f>
        <v>8100000</v>
      </c>
      <c r="I534" s="633"/>
      <c r="J534" s="530"/>
      <c r="K534" s="145"/>
      <c r="L534" s="621"/>
    </row>
    <row r="535" spans="1:12" s="50" customFormat="1" ht="18.75" customHeight="1" x14ac:dyDescent="0.4">
      <c r="A535" s="484">
        <v>46112</v>
      </c>
      <c r="B535" s="59" t="s">
        <v>1138</v>
      </c>
      <c r="C535" s="49" t="s">
        <v>1521</v>
      </c>
      <c r="D535" s="59" t="s">
        <v>1142</v>
      </c>
      <c r="E535" s="59" t="s">
        <v>17</v>
      </c>
      <c r="F535" s="7">
        <v>20</v>
      </c>
      <c r="G535" s="49">
        <v>1100000</v>
      </c>
      <c r="H535" s="36">
        <f>F535*G535</f>
        <v>22000000</v>
      </c>
      <c r="I535" s="67"/>
      <c r="J535" s="67"/>
      <c r="K535" s="67"/>
      <c r="L535" s="67"/>
    </row>
    <row r="536" spans="1:12" s="50" customFormat="1" ht="18.75" customHeight="1" x14ac:dyDescent="0.4">
      <c r="A536" s="484">
        <v>46142</v>
      </c>
      <c r="B536" s="59" t="s">
        <v>1138</v>
      </c>
      <c r="C536" s="49" t="s">
        <v>1521</v>
      </c>
      <c r="D536" s="59" t="s">
        <v>1142</v>
      </c>
      <c r="E536" s="59" t="s">
        <v>17</v>
      </c>
      <c r="F536" s="7">
        <v>10</v>
      </c>
      <c r="G536" s="49">
        <v>1317000</v>
      </c>
      <c r="H536" s="36">
        <f>F536*G536</f>
        <v>13170000</v>
      </c>
      <c r="I536" s="67"/>
      <c r="J536" s="67"/>
      <c r="K536" s="67"/>
      <c r="L536" s="67"/>
    </row>
    <row r="537" spans="1:12" s="50" customFormat="1" ht="18.75" customHeight="1" x14ac:dyDescent="0.4">
      <c r="A537" s="484">
        <v>46155</v>
      </c>
      <c r="B537" s="59" t="s">
        <v>1138</v>
      </c>
      <c r="C537" s="49" t="s">
        <v>1521</v>
      </c>
      <c r="D537" s="59" t="s">
        <v>1142</v>
      </c>
      <c r="E537" s="59" t="s">
        <v>17</v>
      </c>
      <c r="F537" s="7">
        <f>26-2-10</f>
        <v>14</v>
      </c>
      <c r="G537" s="49">
        <v>1317000</v>
      </c>
      <c r="H537" s="36">
        <f>F537*G537</f>
        <v>18438000</v>
      </c>
      <c r="I537" s="67"/>
      <c r="J537" s="67"/>
      <c r="K537" s="67"/>
      <c r="L537" s="67"/>
    </row>
    <row r="538" spans="1:12" s="50" customFormat="1" ht="18.75" customHeight="1" x14ac:dyDescent="0.4">
      <c r="A538" s="484">
        <v>46171</v>
      </c>
      <c r="B538" s="59" t="s">
        <v>1138</v>
      </c>
      <c r="C538" s="49" t="s">
        <v>1521</v>
      </c>
      <c r="D538" s="59" t="s">
        <v>1142</v>
      </c>
      <c r="E538" s="59" t="s">
        <v>17</v>
      </c>
      <c r="F538" s="7">
        <v>33</v>
      </c>
      <c r="G538" s="49">
        <v>1317000</v>
      </c>
      <c r="H538" s="36">
        <f>F538*G538</f>
        <v>43461000</v>
      </c>
      <c r="I538" s="67"/>
      <c r="J538" s="67"/>
      <c r="K538" s="67"/>
      <c r="L538" s="67"/>
    </row>
    <row r="539" spans="1:12" ht="19.5" customHeight="1" x14ac:dyDescent="0.4">
      <c r="A539" s="483"/>
      <c r="B539" s="194"/>
      <c r="C539" s="40"/>
      <c r="D539" s="194"/>
      <c r="E539" s="194"/>
      <c r="F539" s="528"/>
      <c r="G539" s="529"/>
      <c r="H539" s="529">
        <f>SUM(H535:H538)</f>
        <v>97069000</v>
      </c>
      <c r="I539" s="529"/>
      <c r="J539" s="530"/>
      <c r="K539" s="145"/>
      <c r="L539" s="145"/>
    </row>
    <row r="540" spans="1:12" ht="17.399999999999999" x14ac:dyDescent="0.4">
      <c r="A540" s="488">
        <v>46143</v>
      </c>
      <c r="B540" s="103" t="s">
        <v>823</v>
      </c>
      <c r="C540" s="115" t="s">
        <v>602</v>
      </c>
      <c r="D540" s="42"/>
      <c r="E540" s="42" t="s">
        <v>17</v>
      </c>
      <c r="F540" s="117">
        <v>45</v>
      </c>
      <c r="G540" s="8">
        <v>133290</v>
      </c>
      <c r="H540" s="8">
        <f t="shared" ref="H540:H561" si="15">+G540*F540</f>
        <v>5998050</v>
      </c>
      <c r="I540" s="191"/>
      <c r="J540" s="70"/>
      <c r="K540" s="8"/>
      <c r="L540" s="116"/>
    </row>
    <row r="541" spans="1:12" ht="17.399999999999999" x14ac:dyDescent="0.4">
      <c r="A541" s="488">
        <v>46146</v>
      </c>
      <c r="B541" s="103" t="s">
        <v>823</v>
      </c>
      <c r="C541" s="115" t="s">
        <v>602</v>
      </c>
      <c r="D541" s="42"/>
      <c r="E541" s="42" t="s">
        <v>17</v>
      </c>
      <c r="F541" s="117">
        <v>90</v>
      </c>
      <c r="G541" s="8">
        <v>133290</v>
      </c>
      <c r="H541" s="8">
        <f t="shared" si="15"/>
        <v>11996100</v>
      </c>
      <c r="I541" s="191"/>
      <c r="J541" s="70"/>
      <c r="K541" s="8"/>
      <c r="L541" s="116"/>
    </row>
    <row r="542" spans="1:12" ht="17.399999999999999" x14ac:dyDescent="0.4">
      <c r="A542" s="488">
        <v>46147</v>
      </c>
      <c r="B542" s="103" t="s">
        <v>823</v>
      </c>
      <c r="C542" s="115" t="s">
        <v>602</v>
      </c>
      <c r="D542" s="42"/>
      <c r="E542" s="42" t="s">
        <v>17</v>
      </c>
      <c r="F542" s="117">
        <v>90</v>
      </c>
      <c r="G542" s="8">
        <v>133290</v>
      </c>
      <c r="H542" s="8">
        <f t="shared" si="15"/>
        <v>11996100</v>
      </c>
      <c r="I542" s="191"/>
      <c r="J542" s="70"/>
      <c r="K542" s="8"/>
      <c r="L542" s="116"/>
    </row>
    <row r="543" spans="1:12" ht="17.399999999999999" x14ac:dyDescent="0.4">
      <c r="A543" s="488">
        <v>46148</v>
      </c>
      <c r="B543" s="103" t="s">
        <v>823</v>
      </c>
      <c r="C543" s="115" t="s">
        <v>602</v>
      </c>
      <c r="D543" s="42"/>
      <c r="E543" s="42" t="s">
        <v>17</v>
      </c>
      <c r="F543" s="117">
        <v>30</v>
      </c>
      <c r="G543" s="8">
        <v>133290</v>
      </c>
      <c r="H543" s="8">
        <f t="shared" si="15"/>
        <v>3998700</v>
      </c>
      <c r="I543" s="191"/>
      <c r="J543" s="70"/>
      <c r="K543" s="8"/>
      <c r="L543" s="116"/>
    </row>
    <row r="544" spans="1:12" ht="17.399999999999999" x14ac:dyDescent="0.4">
      <c r="A544" s="488">
        <v>46149</v>
      </c>
      <c r="B544" s="103" t="s">
        <v>823</v>
      </c>
      <c r="C544" s="115" t="s">
        <v>602</v>
      </c>
      <c r="D544" s="42"/>
      <c r="E544" s="42" t="s">
        <v>17</v>
      </c>
      <c r="F544" s="117">
        <v>60</v>
      </c>
      <c r="G544" s="8">
        <v>133290</v>
      </c>
      <c r="H544" s="8">
        <f t="shared" si="15"/>
        <v>7997400</v>
      </c>
      <c r="I544" s="191"/>
      <c r="J544" s="70"/>
      <c r="K544" s="8"/>
      <c r="L544" s="116"/>
    </row>
    <row r="545" spans="1:12" ht="17.399999999999999" x14ac:dyDescent="0.4">
      <c r="A545" s="488">
        <v>46150</v>
      </c>
      <c r="B545" s="103" t="s">
        <v>823</v>
      </c>
      <c r="C545" s="115" t="s">
        <v>602</v>
      </c>
      <c r="D545" s="42"/>
      <c r="E545" s="42" t="s">
        <v>17</v>
      </c>
      <c r="F545" s="117">
        <v>90</v>
      </c>
      <c r="G545" s="8">
        <v>133290</v>
      </c>
      <c r="H545" s="8">
        <f t="shared" si="15"/>
        <v>11996100</v>
      </c>
      <c r="I545" s="191"/>
      <c r="J545" s="70"/>
      <c r="K545" s="8"/>
      <c r="L545" s="116"/>
    </row>
    <row r="546" spans="1:12" ht="17.399999999999999" x14ac:dyDescent="0.4">
      <c r="A546" s="488">
        <v>46153</v>
      </c>
      <c r="B546" s="103" t="s">
        <v>823</v>
      </c>
      <c r="C546" s="115" t="s">
        <v>602</v>
      </c>
      <c r="D546" s="42"/>
      <c r="E546" s="42" t="s">
        <v>17</v>
      </c>
      <c r="F546" s="117">
        <v>120</v>
      </c>
      <c r="G546" s="8">
        <v>133290</v>
      </c>
      <c r="H546" s="8">
        <f t="shared" si="15"/>
        <v>15994800</v>
      </c>
      <c r="I546" s="191"/>
      <c r="J546" s="70"/>
      <c r="K546" s="8"/>
      <c r="L546" s="116"/>
    </row>
    <row r="547" spans="1:12" ht="17.399999999999999" x14ac:dyDescent="0.4">
      <c r="A547" s="488">
        <v>46154</v>
      </c>
      <c r="B547" s="103" t="s">
        <v>823</v>
      </c>
      <c r="C547" s="115" t="s">
        <v>602</v>
      </c>
      <c r="D547" s="42">
        <v>12668416</v>
      </c>
      <c r="E547" s="42" t="s">
        <v>17</v>
      </c>
      <c r="F547" s="117">
        <v>120</v>
      </c>
      <c r="G547" s="8">
        <v>133290</v>
      </c>
      <c r="H547" s="8">
        <f t="shared" si="15"/>
        <v>15994800</v>
      </c>
      <c r="I547" s="191"/>
      <c r="J547" s="70"/>
      <c r="K547" s="8"/>
      <c r="L547" s="116"/>
    </row>
    <row r="548" spans="1:12" ht="17.399999999999999" x14ac:dyDescent="0.4">
      <c r="A548" s="488">
        <v>46156</v>
      </c>
      <c r="B548" s="103" t="s">
        <v>823</v>
      </c>
      <c r="C548" s="115" t="s">
        <v>602</v>
      </c>
      <c r="D548" s="42">
        <v>12668416</v>
      </c>
      <c r="E548" s="42" t="s">
        <v>17</v>
      </c>
      <c r="F548" s="117">
        <v>30</v>
      </c>
      <c r="G548" s="8">
        <v>133290</v>
      </c>
      <c r="H548" s="8">
        <f t="shared" si="15"/>
        <v>3998700</v>
      </c>
      <c r="I548" s="191"/>
      <c r="J548" s="70"/>
      <c r="K548" s="8"/>
      <c r="L548" s="116"/>
    </row>
    <row r="549" spans="1:12" ht="17.399999999999999" x14ac:dyDescent="0.4">
      <c r="A549" s="488">
        <v>46157</v>
      </c>
      <c r="B549" s="103" t="s">
        <v>823</v>
      </c>
      <c r="C549" s="115" t="s">
        <v>602</v>
      </c>
      <c r="D549" s="42">
        <v>12668416</v>
      </c>
      <c r="E549" s="42" t="s">
        <v>17</v>
      </c>
      <c r="F549" s="117">
        <v>15</v>
      </c>
      <c r="G549" s="8">
        <v>133290</v>
      </c>
      <c r="H549" s="8">
        <f t="shared" si="15"/>
        <v>1999350</v>
      </c>
      <c r="I549" s="191"/>
      <c r="J549" s="70"/>
      <c r="K549" s="8"/>
      <c r="L549" s="116"/>
    </row>
    <row r="550" spans="1:12" ht="17.399999999999999" x14ac:dyDescent="0.4">
      <c r="A550" s="488">
        <v>46158</v>
      </c>
      <c r="B550" s="103" t="s">
        <v>823</v>
      </c>
      <c r="C550" s="115" t="s">
        <v>602</v>
      </c>
      <c r="D550" s="42">
        <v>12668416</v>
      </c>
      <c r="E550" s="42" t="s">
        <v>17</v>
      </c>
      <c r="F550" s="117">
        <v>90</v>
      </c>
      <c r="G550" s="8">
        <v>133290</v>
      </c>
      <c r="H550" s="8">
        <f t="shared" si="15"/>
        <v>11996100</v>
      </c>
      <c r="I550" s="191"/>
      <c r="J550" s="70"/>
      <c r="K550" s="8"/>
      <c r="L550" s="116"/>
    </row>
    <row r="551" spans="1:12" ht="17.399999999999999" x14ac:dyDescent="0.4">
      <c r="A551" s="488">
        <v>46160</v>
      </c>
      <c r="B551" s="103" t="s">
        <v>823</v>
      </c>
      <c r="C551" s="115" t="s">
        <v>602</v>
      </c>
      <c r="D551" s="42">
        <v>12668416</v>
      </c>
      <c r="E551" s="42" t="s">
        <v>17</v>
      </c>
      <c r="F551" s="117">
        <v>60</v>
      </c>
      <c r="G551" s="8">
        <v>133290</v>
      </c>
      <c r="H551" s="8">
        <f t="shared" si="15"/>
        <v>7997400</v>
      </c>
      <c r="I551" s="191"/>
      <c r="J551" s="70"/>
      <c r="K551" s="8"/>
      <c r="L551" s="116"/>
    </row>
    <row r="552" spans="1:12" ht="17.399999999999999" x14ac:dyDescent="0.4">
      <c r="A552" s="488">
        <v>46161</v>
      </c>
      <c r="B552" s="103" t="s">
        <v>823</v>
      </c>
      <c r="C552" s="115" t="s">
        <v>602</v>
      </c>
      <c r="D552" s="42">
        <v>12668416</v>
      </c>
      <c r="E552" s="42" t="s">
        <v>17</v>
      </c>
      <c r="F552" s="117">
        <v>60</v>
      </c>
      <c r="G552" s="8">
        <v>133290</v>
      </c>
      <c r="H552" s="8">
        <f t="shared" si="15"/>
        <v>7997400</v>
      </c>
      <c r="I552" s="191"/>
      <c r="J552" s="70"/>
      <c r="K552" s="8"/>
      <c r="L552" s="116"/>
    </row>
    <row r="553" spans="1:12" ht="17.399999999999999" x14ac:dyDescent="0.4">
      <c r="A553" s="488">
        <v>46162</v>
      </c>
      <c r="B553" s="103" t="s">
        <v>823</v>
      </c>
      <c r="C553" s="115" t="s">
        <v>602</v>
      </c>
      <c r="D553" s="42">
        <v>12668416</v>
      </c>
      <c r="E553" s="42" t="s">
        <v>17</v>
      </c>
      <c r="F553" s="117">
        <v>60</v>
      </c>
      <c r="G553" s="8">
        <v>133290</v>
      </c>
      <c r="H553" s="8">
        <f t="shared" si="15"/>
        <v>7997400</v>
      </c>
      <c r="I553" s="191"/>
      <c r="J553" s="70"/>
      <c r="K553" s="8"/>
      <c r="L553" s="116"/>
    </row>
    <row r="554" spans="1:12" ht="17.399999999999999" x14ac:dyDescent="0.4">
      <c r="A554" s="488">
        <v>46163</v>
      </c>
      <c r="B554" s="103" t="s">
        <v>823</v>
      </c>
      <c r="C554" s="115" t="s">
        <v>602</v>
      </c>
      <c r="D554" s="42">
        <v>12668416</v>
      </c>
      <c r="E554" s="42" t="s">
        <v>17</v>
      </c>
      <c r="F554" s="117">
        <v>82</v>
      </c>
      <c r="G554" s="8">
        <v>133290</v>
      </c>
      <c r="H554" s="8">
        <f t="shared" si="15"/>
        <v>10929780</v>
      </c>
      <c r="I554" s="191"/>
      <c r="J554" s="70"/>
      <c r="K554" s="8"/>
      <c r="L554" s="116"/>
    </row>
    <row r="555" spans="1:12" ht="17.399999999999999" x14ac:dyDescent="0.4">
      <c r="A555" s="488">
        <v>46164</v>
      </c>
      <c r="B555" s="103" t="s">
        <v>823</v>
      </c>
      <c r="C555" s="115" t="s">
        <v>602</v>
      </c>
      <c r="D555" s="42">
        <v>12668416</v>
      </c>
      <c r="E555" s="42" t="s">
        <v>17</v>
      </c>
      <c r="F555" s="117">
        <v>60</v>
      </c>
      <c r="G555" s="8">
        <v>133290</v>
      </c>
      <c r="H555" s="8">
        <f t="shared" si="15"/>
        <v>7997400</v>
      </c>
      <c r="I555" s="191"/>
      <c r="J555" s="70"/>
      <c r="K555" s="8"/>
      <c r="L555" s="116"/>
    </row>
    <row r="556" spans="1:12" ht="17.399999999999999" x14ac:dyDescent="0.4">
      <c r="A556" s="488">
        <v>46165</v>
      </c>
      <c r="B556" s="103" t="s">
        <v>823</v>
      </c>
      <c r="C556" s="115" t="s">
        <v>602</v>
      </c>
      <c r="D556" s="42">
        <v>12668416</v>
      </c>
      <c r="E556" s="42" t="s">
        <v>17</v>
      </c>
      <c r="F556" s="117">
        <v>30</v>
      </c>
      <c r="G556" s="8">
        <v>133290</v>
      </c>
      <c r="H556" s="8">
        <f t="shared" si="15"/>
        <v>3998700</v>
      </c>
      <c r="I556" s="191"/>
      <c r="J556" s="70"/>
      <c r="K556" s="8"/>
      <c r="L556" s="116"/>
    </row>
    <row r="557" spans="1:12" ht="17.399999999999999" x14ac:dyDescent="0.4">
      <c r="A557" s="488">
        <v>46168</v>
      </c>
      <c r="B557" s="103" t="s">
        <v>823</v>
      </c>
      <c r="C557" s="115" t="s">
        <v>602</v>
      </c>
      <c r="D557" s="42">
        <v>12668416</v>
      </c>
      <c r="E557" s="42" t="s">
        <v>17</v>
      </c>
      <c r="F557" s="117">
        <v>60</v>
      </c>
      <c r="G557" s="8">
        <v>133290</v>
      </c>
      <c r="H557" s="8">
        <f t="shared" si="15"/>
        <v>7997400</v>
      </c>
      <c r="I557" s="191"/>
      <c r="J557" s="70"/>
      <c r="K557" s="8"/>
      <c r="L557" s="116"/>
    </row>
    <row r="558" spans="1:12" ht="17.399999999999999" x14ac:dyDescent="0.4">
      <c r="A558" s="488">
        <v>46169</v>
      </c>
      <c r="B558" s="103" t="s">
        <v>823</v>
      </c>
      <c r="C558" s="115" t="s">
        <v>602</v>
      </c>
      <c r="D558" s="42">
        <v>12668416</v>
      </c>
      <c r="E558" s="42" t="s">
        <v>17</v>
      </c>
      <c r="F558" s="117">
        <v>60</v>
      </c>
      <c r="G558" s="8">
        <v>133290</v>
      </c>
      <c r="H558" s="8">
        <f t="shared" si="15"/>
        <v>7997400</v>
      </c>
      <c r="I558" s="191"/>
      <c r="J558" s="70"/>
      <c r="K558" s="8"/>
      <c r="L558" s="116"/>
    </row>
    <row r="559" spans="1:12" ht="17.399999999999999" x14ac:dyDescent="0.4">
      <c r="A559" s="488">
        <v>46170</v>
      </c>
      <c r="B559" s="103" t="s">
        <v>823</v>
      </c>
      <c r="C559" s="115" t="s">
        <v>602</v>
      </c>
      <c r="D559" s="42">
        <v>12668416</v>
      </c>
      <c r="E559" s="42" t="s">
        <v>17</v>
      </c>
      <c r="F559" s="117">
        <v>77</v>
      </c>
      <c r="G559" s="8">
        <v>133290</v>
      </c>
      <c r="H559" s="8">
        <f t="shared" si="15"/>
        <v>10263330</v>
      </c>
      <c r="I559" s="191"/>
      <c r="J559" s="70"/>
      <c r="K559" s="8"/>
      <c r="L559" s="116"/>
    </row>
    <row r="560" spans="1:12" ht="17.399999999999999" x14ac:dyDescent="0.4">
      <c r="A560" s="488">
        <v>46171</v>
      </c>
      <c r="B560" s="103" t="s">
        <v>823</v>
      </c>
      <c r="C560" s="115" t="s">
        <v>602</v>
      </c>
      <c r="D560" s="42">
        <v>12668416</v>
      </c>
      <c r="E560" s="42" t="s">
        <v>17</v>
      </c>
      <c r="F560" s="117">
        <v>90</v>
      </c>
      <c r="G560" s="8">
        <v>133290</v>
      </c>
      <c r="H560" s="8">
        <f t="shared" si="15"/>
        <v>11996100</v>
      </c>
      <c r="I560" s="191"/>
      <c r="J560" s="70"/>
      <c r="K560" s="8"/>
      <c r="L560" s="116"/>
    </row>
    <row r="561" spans="1:12" ht="17.399999999999999" x14ac:dyDescent="0.4">
      <c r="A561" s="488">
        <v>46172</v>
      </c>
      <c r="B561" s="103" t="s">
        <v>823</v>
      </c>
      <c r="C561" s="115" t="s">
        <v>602</v>
      </c>
      <c r="D561" s="42">
        <v>12668416</v>
      </c>
      <c r="E561" s="42" t="s">
        <v>17</v>
      </c>
      <c r="F561" s="117">
        <v>60</v>
      </c>
      <c r="G561" s="8">
        <v>133290</v>
      </c>
      <c r="H561" s="8">
        <f t="shared" si="15"/>
        <v>7997400</v>
      </c>
      <c r="I561" s="191"/>
      <c r="J561" s="70"/>
      <c r="K561" s="8"/>
      <c r="L561" s="116"/>
    </row>
    <row r="562" spans="1:12" ht="17.399999999999999" x14ac:dyDescent="0.4">
      <c r="A562" s="488"/>
      <c r="B562" s="103"/>
      <c r="C562" s="115"/>
      <c r="D562" s="42"/>
      <c r="E562" s="42"/>
      <c r="F562" s="117"/>
      <c r="G562" s="8"/>
      <c r="H562" s="8"/>
      <c r="I562" s="191"/>
      <c r="J562" s="70"/>
      <c r="K562" s="8"/>
      <c r="L562" s="116"/>
    </row>
    <row r="563" spans="1:12" ht="17.399999999999999" x14ac:dyDescent="0.4">
      <c r="A563" s="499"/>
      <c r="B563" s="205" t="s">
        <v>163</v>
      </c>
      <c r="C563" s="206"/>
      <c r="D563" s="207"/>
      <c r="E563" s="208"/>
      <c r="F563" s="64">
        <f>SUM(F540:F562)</f>
        <v>1479</v>
      </c>
      <c r="G563" s="122"/>
      <c r="H563" s="64">
        <f>SUM(H540:H562)</f>
        <v>197135910</v>
      </c>
      <c r="I563" s="122"/>
      <c r="J563" s="208"/>
      <c r="K563" s="292"/>
      <c r="L563" s="122"/>
    </row>
    <row r="564" spans="1:12" ht="17.399999999999999" x14ac:dyDescent="0.4">
      <c r="A564" s="485">
        <v>46149</v>
      </c>
      <c r="B564" s="110" t="s">
        <v>163</v>
      </c>
      <c r="C564" s="6" t="s">
        <v>276</v>
      </c>
      <c r="D564" s="1"/>
      <c r="E564" s="8" t="s">
        <v>17</v>
      </c>
      <c r="F564" s="8">
        <v>57</v>
      </c>
      <c r="G564" s="8">
        <v>133290</v>
      </c>
      <c r="H564" s="36">
        <f>F564*G564</f>
        <v>7597530</v>
      </c>
      <c r="I564" s="139"/>
      <c r="J564" s="8">
        <f>86/2.54</f>
        <v>33.85826771653543</v>
      </c>
      <c r="K564" s="30"/>
      <c r="L564" s="82"/>
    </row>
    <row r="565" spans="1:12" ht="17.399999999999999" x14ac:dyDescent="0.4">
      <c r="A565" s="485">
        <v>46150</v>
      </c>
      <c r="B565" s="110" t="s">
        <v>163</v>
      </c>
      <c r="C565" s="6" t="s">
        <v>276</v>
      </c>
      <c r="D565" s="1"/>
      <c r="E565" s="8" t="s">
        <v>17</v>
      </c>
      <c r="F565" s="8">
        <v>24</v>
      </c>
      <c r="G565" s="8">
        <v>133290</v>
      </c>
      <c r="H565" s="36">
        <f>F565*G565</f>
        <v>3198960</v>
      </c>
      <c r="I565" s="139"/>
      <c r="J565" s="8">
        <f>86/2.54</f>
        <v>33.85826771653543</v>
      </c>
      <c r="K565" s="30"/>
      <c r="L565" s="82"/>
    </row>
    <row r="566" spans="1:12" ht="17.399999999999999" x14ac:dyDescent="0.4">
      <c r="A566" s="485"/>
      <c r="B566" s="110"/>
      <c r="C566" s="6"/>
      <c r="D566" s="1"/>
      <c r="E566" s="8"/>
      <c r="F566" s="8"/>
      <c r="G566" s="8"/>
      <c r="H566" s="36"/>
      <c r="I566" s="139"/>
      <c r="J566" s="8"/>
      <c r="K566" s="30"/>
      <c r="L566" s="82"/>
    </row>
    <row r="567" spans="1:12" ht="17.399999999999999" x14ac:dyDescent="0.4">
      <c r="A567" s="499"/>
      <c r="B567" s="205" t="s">
        <v>163</v>
      </c>
      <c r="C567" s="206"/>
      <c r="D567" s="207"/>
      <c r="E567" s="208"/>
      <c r="F567" s="64">
        <f>SUM(F564:F566)</f>
        <v>81</v>
      </c>
      <c r="G567" s="122"/>
      <c r="H567" s="64">
        <f>SUM(H564:H565)</f>
        <v>10796490</v>
      </c>
      <c r="I567" s="209"/>
      <c r="J567" s="208"/>
      <c r="K567" s="85"/>
      <c r="L567" s="210"/>
    </row>
    <row r="568" spans="1:12" ht="17.399999999999999" x14ac:dyDescent="0.4">
      <c r="A568" s="485">
        <v>46146</v>
      </c>
      <c r="B568" s="110" t="s">
        <v>163</v>
      </c>
      <c r="C568" s="6" t="s">
        <v>276</v>
      </c>
      <c r="D568" s="1"/>
      <c r="E568" s="8" t="s">
        <v>17</v>
      </c>
      <c r="F568" s="8">
        <v>-36</v>
      </c>
      <c r="G568" s="8">
        <v>133290</v>
      </c>
      <c r="H568" s="36">
        <f t="shared" ref="H568:H573" si="16">F568*G568</f>
        <v>-4798440</v>
      </c>
      <c r="I568" s="139" t="s">
        <v>1235</v>
      </c>
      <c r="J568" s="8"/>
      <c r="K568" s="41"/>
      <c r="L568" s="121"/>
    </row>
    <row r="569" spans="1:12" ht="17.399999999999999" x14ac:dyDescent="0.4">
      <c r="A569" s="485">
        <v>46146</v>
      </c>
      <c r="B569" s="110" t="s">
        <v>163</v>
      </c>
      <c r="C569" s="6" t="s">
        <v>276</v>
      </c>
      <c r="D569" s="1"/>
      <c r="E569" s="8" t="s">
        <v>17</v>
      </c>
      <c r="F569" s="8">
        <v>-54</v>
      </c>
      <c r="G569" s="8">
        <v>133290</v>
      </c>
      <c r="H569" s="36">
        <f t="shared" si="16"/>
        <v>-7197660</v>
      </c>
      <c r="I569" s="139" t="s">
        <v>1031</v>
      </c>
      <c r="J569" s="8"/>
      <c r="K569" s="41"/>
      <c r="L569" s="121"/>
    </row>
    <row r="570" spans="1:12" ht="17.399999999999999" x14ac:dyDescent="0.4">
      <c r="A570" s="485">
        <v>46148</v>
      </c>
      <c r="B570" s="110" t="s">
        <v>163</v>
      </c>
      <c r="C570" s="6" t="s">
        <v>276</v>
      </c>
      <c r="D570" s="1"/>
      <c r="E570" s="8" t="s">
        <v>17</v>
      </c>
      <c r="F570" s="8">
        <v>-56</v>
      </c>
      <c r="G570" s="8">
        <v>133290</v>
      </c>
      <c r="H570" s="36">
        <f t="shared" si="16"/>
        <v>-7464240</v>
      </c>
      <c r="I570" s="139" t="s">
        <v>1031</v>
      </c>
      <c r="J570" s="8"/>
      <c r="K570" s="41"/>
      <c r="L570" s="121"/>
    </row>
    <row r="571" spans="1:12" ht="17.399999999999999" x14ac:dyDescent="0.4">
      <c r="A571" s="485">
        <v>46154</v>
      </c>
      <c r="B571" s="110" t="s">
        <v>163</v>
      </c>
      <c r="C571" s="6" t="s">
        <v>276</v>
      </c>
      <c r="D571" s="1"/>
      <c r="E571" s="8" t="s">
        <v>17</v>
      </c>
      <c r="F571" s="8">
        <v>-60</v>
      </c>
      <c r="G571" s="8">
        <v>133290</v>
      </c>
      <c r="H571" s="36">
        <f t="shared" si="16"/>
        <v>-7997400</v>
      </c>
      <c r="I571" s="139" t="s">
        <v>1031</v>
      </c>
      <c r="J571" s="8"/>
      <c r="K571" s="41"/>
      <c r="L571" s="121"/>
    </row>
    <row r="572" spans="1:12" ht="17.399999999999999" x14ac:dyDescent="0.4">
      <c r="A572" s="485">
        <v>46162</v>
      </c>
      <c r="B572" s="110" t="s">
        <v>163</v>
      </c>
      <c r="C572" s="6" t="s">
        <v>276</v>
      </c>
      <c r="D572" s="1"/>
      <c r="E572" s="8" t="s">
        <v>17</v>
      </c>
      <c r="F572" s="8">
        <v>-113</v>
      </c>
      <c r="G572" s="8">
        <v>133290</v>
      </c>
      <c r="H572" s="36">
        <f t="shared" si="16"/>
        <v>-15061770</v>
      </c>
      <c r="I572" s="139" t="s">
        <v>1031</v>
      </c>
      <c r="J572" s="8"/>
      <c r="K572" s="41"/>
      <c r="L572" s="121"/>
    </row>
    <row r="573" spans="1:12" ht="17.399999999999999" x14ac:dyDescent="0.4">
      <c r="A573" s="485">
        <v>46171</v>
      </c>
      <c r="B573" s="110" t="s">
        <v>163</v>
      </c>
      <c r="C573" s="6" t="s">
        <v>276</v>
      </c>
      <c r="D573" s="1"/>
      <c r="E573" s="8" t="s">
        <v>17</v>
      </c>
      <c r="F573" s="8">
        <v>-111</v>
      </c>
      <c r="G573" s="8">
        <v>133290</v>
      </c>
      <c r="H573" s="36">
        <f t="shared" si="16"/>
        <v>-14795190</v>
      </c>
      <c r="I573" s="139" t="s">
        <v>1031</v>
      </c>
      <c r="J573" s="8"/>
      <c r="K573" s="41"/>
      <c r="L573" s="121"/>
    </row>
    <row r="574" spans="1:12" ht="17.399999999999999" x14ac:dyDescent="0.4">
      <c r="A574" s="499"/>
      <c r="B574" s="205" t="s">
        <v>163</v>
      </c>
      <c r="C574" s="206"/>
      <c r="D574" s="207"/>
      <c r="E574" s="208"/>
      <c r="F574" s="64">
        <f>SUM(F568:F573)</f>
        <v>-430</v>
      </c>
      <c r="G574" s="63"/>
      <c r="H574" s="64">
        <f>SUM(H568:H573)</f>
        <v>-57314700</v>
      </c>
      <c r="I574" s="685">
        <f>+H563+H567+H574</f>
        <v>150617700</v>
      </c>
      <c r="J574" s="62"/>
      <c r="K574" s="62"/>
      <c r="L574" s="146"/>
    </row>
    <row r="575" spans="1:12" ht="17.399999999999999" x14ac:dyDescent="0.4">
      <c r="A575" s="499"/>
      <c r="B575" s="205" t="s">
        <v>1534</v>
      </c>
      <c r="C575" s="206"/>
      <c r="D575" s="207"/>
      <c r="E575" s="208"/>
      <c r="F575" s="64"/>
      <c r="G575" s="63"/>
      <c r="H575" s="64">
        <v>13636720</v>
      </c>
      <c r="I575" s="65"/>
      <c r="J575" s="62"/>
      <c r="K575" s="62"/>
      <c r="L575" s="146"/>
    </row>
    <row r="576" spans="1:12" ht="17.399999999999999" x14ac:dyDescent="0.4">
      <c r="A576" s="492"/>
      <c r="B576" s="123" t="s">
        <v>163</v>
      </c>
      <c r="C576" s="138"/>
      <c r="D576" s="97"/>
      <c r="E576" s="634">
        <f>F572/(F550+F565)</f>
        <v>-0.99122807017543857</v>
      </c>
      <c r="F576" s="686">
        <f>+F574+F567+F563</f>
        <v>1130</v>
      </c>
      <c r="G576" s="138"/>
      <c r="H576" s="138">
        <f>+H575+H574+H567+H563</f>
        <v>164254420</v>
      </c>
      <c r="I576" s="123"/>
      <c r="J576" s="123"/>
      <c r="K576" s="123"/>
      <c r="L576" s="621"/>
    </row>
    <row r="577" spans="1:12" ht="19.5" customHeight="1" x14ac:dyDescent="0.4">
      <c r="A577" s="484">
        <v>46153</v>
      </c>
      <c r="B577" s="59" t="s">
        <v>1486</v>
      </c>
      <c r="C577" s="49" t="s">
        <v>1487</v>
      </c>
      <c r="D577" s="59" t="s">
        <v>1488</v>
      </c>
      <c r="E577" s="635" t="s">
        <v>17</v>
      </c>
      <c r="F577" s="49">
        <v>27</v>
      </c>
      <c r="G577" s="49">
        <v>245000</v>
      </c>
      <c r="H577" s="36">
        <f>F577*G577</f>
        <v>6615000</v>
      </c>
      <c r="I577" s="67"/>
      <c r="J577" s="67"/>
      <c r="K577" s="67"/>
      <c r="L577" s="409"/>
    </row>
    <row r="578" spans="1:12" ht="19.5" customHeight="1" x14ac:dyDescent="0.4">
      <c r="A578" s="484">
        <v>46153</v>
      </c>
      <c r="B578" s="59" t="s">
        <v>1486</v>
      </c>
      <c r="C578" s="49" t="s">
        <v>1487</v>
      </c>
      <c r="D578" s="59" t="s">
        <v>1489</v>
      </c>
      <c r="E578" s="635" t="s">
        <v>13</v>
      </c>
      <c r="F578" s="49">
        <v>17</v>
      </c>
      <c r="G578" s="49">
        <v>760000</v>
      </c>
      <c r="H578" s="36">
        <f>F578*G578</f>
        <v>12920000</v>
      </c>
      <c r="I578" s="67"/>
      <c r="J578" s="67"/>
      <c r="K578" s="67"/>
      <c r="L578" s="409"/>
    </row>
    <row r="579" spans="1:12" ht="19.5" customHeight="1" x14ac:dyDescent="0.4">
      <c r="A579" s="492"/>
      <c r="B579" s="123"/>
      <c r="C579" s="138"/>
      <c r="D579" s="97"/>
      <c r="E579" s="634"/>
      <c r="F579" s="138"/>
      <c r="G579" s="138"/>
      <c r="H579" s="138">
        <f>SUM(H577:H578)</f>
        <v>19535000</v>
      </c>
      <c r="I579" s="123"/>
      <c r="J579" s="123" t="s">
        <v>1518</v>
      </c>
      <c r="K579" s="123" t="s">
        <v>1519</v>
      </c>
      <c r="L579" s="621" t="s">
        <v>1520</v>
      </c>
    </row>
    <row r="580" spans="1:12" ht="19.5" customHeight="1" x14ac:dyDescent="0.4">
      <c r="A580" s="485">
        <v>46150</v>
      </c>
      <c r="B580" s="8" t="s">
        <v>395</v>
      </c>
      <c r="C580" s="49" t="s">
        <v>1032</v>
      </c>
      <c r="D580" s="59" t="s">
        <v>1033</v>
      </c>
      <c r="E580" s="67"/>
      <c r="F580" s="81">
        <v>27</v>
      </c>
      <c r="G580" s="49">
        <f>J580*K580</f>
        <v>2360754.1507999999</v>
      </c>
      <c r="H580" s="36">
        <f>F580*G580</f>
        <v>63740362.071599998</v>
      </c>
      <c r="I580" s="67"/>
      <c r="J580" s="68">
        <v>249164</v>
      </c>
      <c r="K580" s="67">
        <v>9.4747000000000003</v>
      </c>
      <c r="L580" s="409" t="s">
        <v>1514</v>
      </c>
    </row>
    <row r="581" spans="1:12" ht="19.5" customHeight="1" x14ac:dyDescent="0.4">
      <c r="A581" s="485">
        <v>46162</v>
      </c>
      <c r="B581" s="8" t="s">
        <v>395</v>
      </c>
      <c r="C581" s="49" t="s">
        <v>1032</v>
      </c>
      <c r="D581" s="59" t="s">
        <v>1033</v>
      </c>
      <c r="E581" s="67"/>
      <c r="F581" s="81">
        <v>27</v>
      </c>
      <c r="G581" s="49">
        <f>J581*K581</f>
        <v>2355870.5364000001</v>
      </c>
      <c r="H581" s="36">
        <f>F581*G581</f>
        <v>63608504.482799999</v>
      </c>
      <c r="I581" s="67"/>
      <c r="J581" s="68">
        <v>249164</v>
      </c>
      <c r="K581" s="67">
        <v>9.4550999999999998</v>
      </c>
      <c r="L581" s="409" t="s">
        <v>1515</v>
      </c>
    </row>
    <row r="582" spans="1:12" ht="19.5" customHeight="1" x14ac:dyDescent="0.4">
      <c r="A582" s="485">
        <v>46170</v>
      </c>
      <c r="B582" s="8" t="s">
        <v>395</v>
      </c>
      <c r="C582" s="49" t="s">
        <v>1032</v>
      </c>
      <c r="D582" s="59" t="s">
        <v>1033</v>
      </c>
      <c r="E582" s="67"/>
      <c r="F582" s="81">
        <v>27</v>
      </c>
      <c r="G582" s="49">
        <f>J582*K582</f>
        <v>2355995.1184</v>
      </c>
      <c r="H582" s="36">
        <f>F582*G582</f>
        <v>63611868.196800001</v>
      </c>
      <c r="I582" s="67"/>
      <c r="J582" s="68">
        <v>249164</v>
      </c>
      <c r="K582" s="67">
        <v>9.4556000000000004</v>
      </c>
      <c r="L582" s="409" t="s">
        <v>1516</v>
      </c>
    </row>
    <row r="583" spans="1:12" ht="19.5" customHeight="1" x14ac:dyDescent="0.4">
      <c r="A583" s="485">
        <v>46171</v>
      </c>
      <c r="B583" s="8" t="s">
        <v>395</v>
      </c>
      <c r="C583" s="49" t="s">
        <v>1032</v>
      </c>
      <c r="D583" s="59" t="s">
        <v>1033</v>
      </c>
      <c r="E583" s="67"/>
      <c r="F583" s="81">
        <v>27</v>
      </c>
      <c r="G583" s="49">
        <f>J583*K583</f>
        <v>2355995.1184</v>
      </c>
      <c r="H583" s="36">
        <f>F583*G583</f>
        <v>63611868.196800001</v>
      </c>
      <c r="I583" s="67"/>
      <c r="J583" s="68">
        <v>249164</v>
      </c>
      <c r="K583" s="67">
        <v>9.4556000000000004</v>
      </c>
      <c r="L583" s="409" t="s">
        <v>1517</v>
      </c>
    </row>
    <row r="584" spans="1:12" ht="19.5" customHeight="1" x14ac:dyDescent="0.4">
      <c r="A584" s="492"/>
      <c r="B584" s="123"/>
      <c r="C584" s="138"/>
      <c r="D584" s="97"/>
      <c r="E584" s="123"/>
      <c r="F584" s="380"/>
      <c r="G584" s="138"/>
      <c r="H584" s="138">
        <f>SUM(H580:H583)-1</f>
        <v>254572601.94799998</v>
      </c>
      <c r="I584" s="123"/>
      <c r="J584" s="123"/>
      <c r="K584" s="123"/>
      <c r="L584" s="621"/>
    </row>
    <row r="585" spans="1:12" s="19" customFormat="1" ht="18.75" customHeight="1" x14ac:dyDescent="0.4">
      <c r="A585" s="501">
        <v>46142</v>
      </c>
      <c r="B585" s="7" t="s">
        <v>164</v>
      </c>
      <c r="C585" s="6" t="s">
        <v>170</v>
      </c>
      <c r="D585" s="42" t="s">
        <v>511</v>
      </c>
      <c r="E585" s="1" t="s">
        <v>13</v>
      </c>
      <c r="F585" s="36">
        <v>2</v>
      </c>
      <c r="G585" s="8">
        <v>1300000</v>
      </c>
      <c r="H585" s="36">
        <f t="shared" ref="H585:H595" si="17">F585*G585</f>
        <v>2600000</v>
      </c>
      <c r="I585" s="142"/>
      <c r="J585" s="43"/>
      <c r="K585" s="81"/>
      <c r="L585" s="61"/>
    </row>
    <row r="586" spans="1:12" s="19" customFormat="1" ht="18.75" customHeight="1" x14ac:dyDescent="0.4">
      <c r="A586" s="501">
        <v>46142</v>
      </c>
      <c r="B586" s="7" t="s">
        <v>164</v>
      </c>
      <c r="C586" s="60" t="s">
        <v>165</v>
      </c>
      <c r="D586" s="71" t="s">
        <v>510</v>
      </c>
      <c r="E586" s="7" t="s">
        <v>13</v>
      </c>
      <c r="F586" s="7">
        <v>3</v>
      </c>
      <c r="G586" s="17">
        <v>3720000</v>
      </c>
      <c r="H586" s="36">
        <f t="shared" si="17"/>
        <v>11160000</v>
      </c>
      <c r="I586" s="142"/>
      <c r="J586" s="43"/>
      <c r="K586" s="81"/>
      <c r="L586" s="61"/>
    </row>
    <row r="587" spans="1:12" ht="17.399999999999999" x14ac:dyDescent="0.4">
      <c r="A587" s="501">
        <v>46152</v>
      </c>
      <c r="B587" s="7" t="s">
        <v>164</v>
      </c>
      <c r="C587" s="6" t="s">
        <v>168</v>
      </c>
      <c r="D587" s="42" t="s">
        <v>169</v>
      </c>
      <c r="E587" s="1" t="s">
        <v>13</v>
      </c>
      <c r="F587" s="92">
        <v>18</v>
      </c>
      <c r="G587" s="8">
        <v>420000</v>
      </c>
      <c r="H587" s="17">
        <f t="shared" si="17"/>
        <v>7560000</v>
      </c>
      <c r="I587" s="137"/>
      <c r="J587" s="43"/>
      <c r="K587" s="81"/>
      <c r="L587" s="73"/>
    </row>
    <row r="588" spans="1:12" ht="17.399999999999999" x14ac:dyDescent="0.4">
      <c r="A588" s="501">
        <v>46152</v>
      </c>
      <c r="B588" s="7" t="s">
        <v>164</v>
      </c>
      <c r="C588" s="6" t="s">
        <v>512</v>
      </c>
      <c r="D588" s="42" t="s">
        <v>551</v>
      </c>
      <c r="E588" s="1" t="s">
        <v>13</v>
      </c>
      <c r="F588" s="92">
        <v>2</v>
      </c>
      <c r="G588" s="8">
        <v>1270000</v>
      </c>
      <c r="H588" s="8">
        <f t="shared" si="17"/>
        <v>2540000</v>
      </c>
      <c r="I588" s="142"/>
      <c r="J588" s="43"/>
      <c r="K588" s="81"/>
      <c r="L588" s="405"/>
    </row>
    <row r="589" spans="1:12" ht="17.399999999999999" x14ac:dyDescent="0.4">
      <c r="A589" s="501">
        <v>46152</v>
      </c>
      <c r="B589" s="7" t="s">
        <v>164</v>
      </c>
      <c r="C589" s="60" t="s">
        <v>165</v>
      </c>
      <c r="D589" s="71" t="s">
        <v>510</v>
      </c>
      <c r="E589" s="7" t="s">
        <v>13</v>
      </c>
      <c r="F589" s="7">
        <v>1</v>
      </c>
      <c r="G589" s="17">
        <v>3720000</v>
      </c>
      <c r="H589" s="36">
        <f t="shared" si="17"/>
        <v>3720000</v>
      </c>
      <c r="I589" s="142"/>
      <c r="J589" s="43"/>
      <c r="K589" s="81"/>
      <c r="L589" s="405"/>
    </row>
    <row r="590" spans="1:12" ht="17.399999999999999" x14ac:dyDescent="0.4">
      <c r="A590" s="501">
        <v>46155</v>
      </c>
      <c r="B590" s="7" t="s">
        <v>164</v>
      </c>
      <c r="C590" s="6" t="s">
        <v>170</v>
      </c>
      <c r="D590" s="42" t="s">
        <v>511</v>
      </c>
      <c r="E590" s="1" t="s">
        <v>13</v>
      </c>
      <c r="F590" s="36">
        <v>2</v>
      </c>
      <c r="G590" s="8">
        <v>1300000</v>
      </c>
      <c r="H590" s="36">
        <f t="shared" si="17"/>
        <v>2600000</v>
      </c>
      <c r="I590" s="36"/>
      <c r="J590" s="43"/>
      <c r="K590" s="81"/>
      <c r="L590" s="405"/>
    </row>
    <row r="591" spans="1:12" ht="17.399999999999999" x14ac:dyDescent="0.4">
      <c r="A591" s="501">
        <v>46160</v>
      </c>
      <c r="B591" s="7" t="s">
        <v>164</v>
      </c>
      <c r="C591" s="6" t="s">
        <v>166</v>
      </c>
      <c r="D591" s="42" t="s">
        <v>167</v>
      </c>
      <c r="E591" s="1" t="s">
        <v>13</v>
      </c>
      <c r="F591" s="92">
        <v>1</v>
      </c>
      <c r="G591" s="8">
        <v>650000</v>
      </c>
      <c r="H591" s="36">
        <f t="shared" si="17"/>
        <v>650000</v>
      </c>
      <c r="I591" s="142"/>
      <c r="J591" s="43"/>
      <c r="K591" s="81"/>
      <c r="L591" s="405"/>
    </row>
    <row r="592" spans="1:12" ht="17.399999999999999" x14ac:dyDescent="0.4">
      <c r="A592" s="501">
        <v>46160</v>
      </c>
      <c r="B592" s="7" t="s">
        <v>164</v>
      </c>
      <c r="C592" s="60" t="s">
        <v>165</v>
      </c>
      <c r="D592" s="71" t="s">
        <v>510</v>
      </c>
      <c r="E592" s="7" t="s">
        <v>13</v>
      </c>
      <c r="F592" s="7">
        <v>1</v>
      </c>
      <c r="G592" s="17">
        <v>3720000</v>
      </c>
      <c r="H592" s="36">
        <f t="shared" si="17"/>
        <v>3720000</v>
      </c>
      <c r="I592" s="142"/>
      <c r="J592" s="43"/>
      <c r="K592" s="81"/>
      <c r="L592" s="405"/>
    </row>
    <row r="593" spans="1:12" ht="17.399999999999999" x14ac:dyDescent="0.4">
      <c r="A593" s="571">
        <v>46166</v>
      </c>
      <c r="B593" s="572" t="s">
        <v>164</v>
      </c>
      <c r="C593" s="573" t="s">
        <v>512</v>
      </c>
      <c r="D593" s="461" t="s">
        <v>551</v>
      </c>
      <c r="E593" s="574" t="s">
        <v>13</v>
      </c>
      <c r="F593" s="687">
        <v>6</v>
      </c>
      <c r="G593" s="463">
        <v>1270000</v>
      </c>
      <c r="H593" s="463">
        <f t="shared" si="17"/>
        <v>7620000</v>
      </c>
      <c r="I593" s="576"/>
      <c r="J593" s="577"/>
      <c r="K593" s="688" t="s">
        <v>1528</v>
      </c>
      <c r="L593" s="688"/>
    </row>
    <row r="594" spans="1:12" ht="17.399999999999999" x14ac:dyDescent="0.4">
      <c r="A594" s="571">
        <v>46166</v>
      </c>
      <c r="B594" s="572" t="s">
        <v>164</v>
      </c>
      <c r="C594" s="573" t="s">
        <v>170</v>
      </c>
      <c r="D594" s="461" t="s">
        <v>511</v>
      </c>
      <c r="E594" s="574" t="s">
        <v>13</v>
      </c>
      <c r="F594" s="575">
        <v>2</v>
      </c>
      <c r="G594" s="463">
        <v>1300000</v>
      </c>
      <c r="H594" s="575">
        <f t="shared" si="17"/>
        <v>2600000</v>
      </c>
      <c r="I594" s="575"/>
      <c r="J594" s="577"/>
      <c r="K594" s="688" t="s">
        <v>1528</v>
      </c>
      <c r="L594" s="688"/>
    </row>
    <row r="595" spans="1:12" ht="17.399999999999999" x14ac:dyDescent="0.4">
      <c r="A595" s="571">
        <v>46166</v>
      </c>
      <c r="B595" s="572" t="s">
        <v>164</v>
      </c>
      <c r="C595" s="579" t="s">
        <v>165</v>
      </c>
      <c r="D595" s="580" t="s">
        <v>510</v>
      </c>
      <c r="E595" s="572" t="s">
        <v>13</v>
      </c>
      <c r="F595" s="572">
        <v>2</v>
      </c>
      <c r="G595" s="581">
        <v>3720000</v>
      </c>
      <c r="H595" s="575">
        <f t="shared" si="17"/>
        <v>7440000</v>
      </c>
      <c r="I595" s="576"/>
      <c r="J595" s="577"/>
      <c r="K595" s="688" t="s">
        <v>1528</v>
      </c>
      <c r="L595" s="688"/>
    </row>
    <row r="596" spans="1:12" ht="19.5" customHeight="1" x14ac:dyDescent="0.4">
      <c r="A596" s="501"/>
      <c r="B596" s="7"/>
      <c r="C596" s="6"/>
      <c r="D596" s="42"/>
      <c r="E596" s="1"/>
      <c r="F596" s="36"/>
      <c r="G596" s="8"/>
      <c r="H596" s="36"/>
      <c r="I596" s="142"/>
      <c r="J596" s="43"/>
      <c r="K596" s="81"/>
      <c r="L596" s="405"/>
    </row>
    <row r="597" spans="1:12" ht="19.5" customHeight="1" x14ac:dyDescent="0.4">
      <c r="A597" s="492"/>
      <c r="B597" s="97" t="s">
        <v>164</v>
      </c>
      <c r="C597" s="138"/>
      <c r="D597" s="97"/>
      <c r="E597" s="123"/>
      <c r="F597" s="380"/>
      <c r="G597" s="138"/>
      <c r="H597" s="138">
        <f>SUM(H585:H592)</f>
        <v>34550000</v>
      </c>
      <c r="I597" s="123"/>
      <c r="J597" s="123"/>
      <c r="K597" s="123"/>
      <c r="L597" s="123"/>
    </row>
    <row r="598" spans="1:12" s="50" customFormat="1" ht="19.2" customHeight="1" x14ac:dyDescent="0.4">
      <c r="A598" s="552">
        <v>46134</v>
      </c>
      <c r="B598" s="554" t="s">
        <v>483</v>
      </c>
      <c r="C598" s="542" t="s">
        <v>489</v>
      </c>
      <c r="D598" s="567" t="s">
        <v>1034</v>
      </c>
      <c r="E598" s="554" t="s">
        <v>13</v>
      </c>
      <c r="F598" s="554">
        <v>1</v>
      </c>
      <c r="G598" s="545">
        <v>9379400</v>
      </c>
      <c r="H598" s="545">
        <f>F598*G598</f>
        <v>9379400</v>
      </c>
      <c r="I598" s="547" t="s">
        <v>1537</v>
      </c>
      <c r="J598" s="67"/>
      <c r="K598" s="67"/>
      <c r="L598" s="68"/>
    </row>
    <row r="599" spans="1:12" ht="17.399999999999999" x14ac:dyDescent="0.4">
      <c r="A599" s="552">
        <v>46154</v>
      </c>
      <c r="B599" s="546" t="s">
        <v>483</v>
      </c>
      <c r="C599" s="691" t="s">
        <v>1364</v>
      </c>
      <c r="D599" s="692" t="s">
        <v>1490</v>
      </c>
      <c r="E599" s="546" t="s">
        <v>13</v>
      </c>
      <c r="F599" s="546">
        <v>1</v>
      </c>
      <c r="G599" s="551">
        <v>7037000</v>
      </c>
      <c r="H599" s="545">
        <f t="shared" ref="H599:H604" si="18">G599*F599</f>
        <v>7037000</v>
      </c>
      <c r="I599" s="547" t="s">
        <v>1532</v>
      </c>
      <c r="J599" s="67"/>
      <c r="K599" s="67"/>
      <c r="L599" s="49"/>
    </row>
    <row r="600" spans="1:12" ht="17.399999999999999" x14ac:dyDescent="0.4">
      <c r="A600" s="552">
        <v>46154</v>
      </c>
      <c r="B600" s="554" t="s">
        <v>483</v>
      </c>
      <c r="C600" s="542" t="s">
        <v>1491</v>
      </c>
      <c r="D600" s="567" t="s">
        <v>1492</v>
      </c>
      <c r="E600" s="554" t="s">
        <v>13</v>
      </c>
      <c r="F600" s="554">
        <v>1</v>
      </c>
      <c r="G600" s="545">
        <v>3764000</v>
      </c>
      <c r="H600" s="545">
        <f t="shared" si="18"/>
        <v>3764000</v>
      </c>
      <c r="I600" s="547" t="s">
        <v>1532</v>
      </c>
      <c r="J600" s="67"/>
      <c r="K600" s="67"/>
      <c r="L600" s="49"/>
    </row>
    <row r="601" spans="1:12" ht="17.399999999999999" x14ac:dyDescent="0.4">
      <c r="A601" s="552">
        <v>46157</v>
      </c>
      <c r="B601" s="554" t="s">
        <v>483</v>
      </c>
      <c r="C601" s="542" t="s">
        <v>484</v>
      </c>
      <c r="D601" s="682" t="s">
        <v>1220</v>
      </c>
      <c r="E601" s="554" t="s">
        <v>13</v>
      </c>
      <c r="F601" s="669">
        <v>3</v>
      </c>
      <c r="G601" s="669">
        <v>1123200</v>
      </c>
      <c r="H601" s="545">
        <f t="shared" si="18"/>
        <v>3369600</v>
      </c>
      <c r="I601" s="547" t="s">
        <v>1532</v>
      </c>
      <c r="J601" s="67"/>
      <c r="K601" s="67"/>
      <c r="L601" s="49"/>
    </row>
    <row r="602" spans="1:12" ht="17.399999999999999" x14ac:dyDescent="0.4">
      <c r="A602" s="552">
        <v>46157</v>
      </c>
      <c r="B602" s="546" t="s">
        <v>483</v>
      </c>
      <c r="C602" s="691" t="s">
        <v>1364</v>
      </c>
      <c r="D602" s="692" t="s">
        <v>1490</v>
      </c>
      <c r="E602" s="546" t="s">
        <v>13</v>
      </c>
      <c r="F602" s="546">
        <v>1</v>
      </c>
      <c r="G602" s="551">
        <v>7037000</v>
      </c>
      <c r="H602" s="545">
        <f t="shared" si="18"/>
        <v>7037000</v>
      </c>
      <c r="I602" s="547" t="s">
        <v>1532</v>
      </c>
      <c r="J602" s="67"/>
      <c r="K602" s="67"/>
      <c r="L602" s="49"/>
    </row>
    <row r="603" spans="1:12" ht="17.399999999999999" x14ac:dyDescent="0.4">
      <c r="A603" s="552">
        <v>46157</v>
      </c>
      <c r="B603" s="554" t="s">
        <v>483</v>
      </c>
      <c r="C603" s="669" t="s">
        <v>487</v>
      </c>
      <c r="D603" s="682" t="s">
        <v>488</v>
      </c>
      <c r="E603" s="554" t="s">
        <v>13</v>
      </c>
      <c r="F603" s="669">
        <v>2</v>
      </c>
      <c r="G603" s="669">
        <v>1233600</v>
      </c>
      <c r="H603" s="545">
        <f t="shared" si="18"/>
        <v>2467200</v>
      </c>
      <c r="I603" s="547" t="s">
        <v>1532</v>
      </c>
      <c r="J603" s="67"/>
      <c r="K603" s="67"/>
      <c r="L603" s="49"/>
    </row>
    <row r="604" spans="1:12" ht="17.399999999999999" x14ac:dyDescent="0.4">
      <c r="A604" s="484">
        <v>46169</v>
      </c>
      <c r="B604" s="8" t="s">
        <v>483</v>
      </c>
      <c r="C604" s="49" t="s">
        <v>487</v>
      </c>
      <c r="D604" s="59" t="s">
        <v>488</v>
      </c>
      <c r="E604" s="8" t="s">
        <v>13</v>
      </c>
      <c r="F604" s="49">
        <v>2</v>
      </c>
      <c r="G604" s="49">
        <v>1233600</v>
      </c>
      <c r="H604" s="36">
        <f t="shared" si="18"/>
        <v>2467200</v>
      </c>
      <c r="I604" s="67" t="s">
        <v>1528</v>
      </c>
      <c r="J604" s="67"/>
      <c r="K604" s="67"/>
      <c r="L604" s="49"/>
    </row>
    <row r="605" spans="1:12" ht="17.399999999999999" x14ac:dyDescent="0.4">
      <c r="A605" s="484">
        <v>46169</v>
      </c>
      <c r="B605" s="8" t="s">
        <v>483</v>
      </c>
      <c r="C605" s="49" t="s">
        <v>1493</v>
      </c>
      <c r="D605" s="59" t="s">
        <v>1494</v>
      </c>
      <c r="E605" s="8" t="s">
        <v>13</v>
      </c>
      <c r="F605" s="49">
        <v>1</v>
      </c>
      <c r="G605" s="49">
        <v>10976520</v>
      </c>
      <c r="H605" s="36"/>
      <c r="I605" s="67" t="s">
        <v>1495</v>
      </c>
      <c r="J605" s="67"/>
      <c r="K605" s="67"/>
      <c r="L605" s="49"/>
    </row>
    <row r="606" spans="1:12" ht="17.399999999999999" x14ac:dyDescent="0.4">
      <c r="A606" s="484">
        <v>46170</v>
      </c>
      <c r="B606" s="8" t="s">
        <v>483</v>
      </c>
      <c r="C606" s="49" t="s">
        <v>484</v>
      </c>
      <c r="D606" s="59" t="s">
        <v>1220</v>
      </c>
      <c r="E606" s="8" t="s">
        <v>13</v>
      </c>
      <c r="F606" s="49">
        <v>1</v>
      </c>
      <c r="G606" s="49">
        <v>1123200</v>
      </c>
      <c r="H606" s="36">
        <f>G606*F606</f>
        <v>1123200</v>
      </c>
      <c r="I606" s="67" t="s">
        <v>1528</v>
      </c>
      <c r="J606" s="67"/>
      <c r="K606" s="67"/>
      <c r="L606" s="49"/>
    </row>
    <row r="607" spans="1:12" ht="17.399999999999999" x14ac:dyDescent="0.4">
      <c r="A607" s="484">
        <v>46170</v>
      </c>
      <c r="B607" s="8" t="s">
        <v>483</v>
      </c>
      <c r="C607" s="49" t="s">
        <v>1491</v>
      </c>
      <c r="D607" s="59" t="s">
        <v>1492</v>
      </c>
      <c r="E607" s="8" t="s">
        <v>13</v>
      </c>
      <c r="F607" s="49">
        <v>2</v>
      </c>
      <c r="G607" s="49">
        <v>3764000</v>
      </c>
      <c r="H607" s="36">
        <f>G607*F607</f>
        <v>7528000</v>
      </c>
      <c r="I607" s="67" t="s">
        <v>1528</v>
      </c>
      <c r="J607" s="67"/>
      <c r="K607" s="67"/>
      <c r="L607" s="49"/>
    </row>
    <row r="608" spans="1:12" ht="17.399999999999999" x14ac:dyDescent="0.4">
      <c r="A608" s="492"/>
      <c r="B608" s="123"/>
      <c r="C608" s="138"/>
      <c r="D608" s="97"/>
      <c r="E608" s="123"/>
      <c r="F608" s="380"/>
      <c r="G608" s="138"/>
      <c r="H608" s="138">
        <f>SUM(H598:H603)</f>
        <v>33054200</v>
      </c>
      <c r="I608" s="123"/>
      <c r="J608" s="123"/>
      <c r="K608" s="123"/>
      <c r="L608" s="621"/>
    </row>
    <row r="609" spans="1:14" ht="19.5" customHeight="1" x14ac:dyDescent="0.4">
      <c r="A609" s="504"/>
      <c r="B609" s="384"/>
      <c r="C609" s="385"/>
      <c r="D609" s="386"/>
      <c r="E609" s="385"/>
      <c r="F609" s="387"/>
      <c r="G609" s="388"/>
      <c r="H609" s="389">
        <f>SUM(H13,H22,H52,H61,H75,H112,H115,H281,H329,H354,H435,H438,H532,H534,H539,H576,H579,H584,H597,H608)</f>
        <v>2864705100.7695999</v>
      </c>
      <c r="I609" s="388"/>
      <c r="J609" s="636"/>
      <c r="K609" s="390"/>
      <c r="L609" s="637"/>
    </row>
    <row r="610" spans="1:14" ht="19.5" customHeight="1" x14ac:dyDescent="0.4">
      <c r="H610" s="639"/>
    </row>
    <row r="611" spans="1:14" ht="19.5" customHeight="1" x14ac:dyDescent="0.4">
      <c r="C611" s="641"/>
      <c r="D611" s="642"/>
      <c r="E611" s="3"/>
      <c r="F611" s="643"/>
      <c r="G611" s="644"/>
      <c r="H611" s="639"/>
    </row>
    <row r="612" spans="1:14" ht="19.5" customHeight="1" x14ac:dyDescent="0.4">
      <c r="C612" s="641"/>
      <c r="D612" s="642"/>
      <c r="E612" s="3"/>
      <c r="F612" s="643"/>
      <c r="G612" s="644"/>
      <c r="H612" s="639"/>
    </row>
    <row r="613" spans="1:14" ht="19.5" customHeight="1" x14ac:dyDescent="0.4">
      <c r="C613" s="641"/>
      <c r="D613" s="642"/>
      <c r="E613" s="3"/>
      <c r="F613" s="643"/>
      <c r="G613" s="644"/>
      <c r="H613" s="639"/>
    </row>
    <row r="614" spans="1:14" ht="19.5" customHeight="1" x14ac:dyDescent="0.4">
      <c r="C614" s="641"/>
      <c r="D614" s="642"/>
      <c r="E614" s="3"/>
      <c r="F614" s="643"/>
      <c r="G614" s="644"/>
      <c r="H614" s="639"/>
    </row>
    <row r="615" spans="1:14" ht="19.5" customHeight="1" x14ac:dyDescent="0.4">
      <c r="C615" s="641"/>
      <c r="D615" s="642"/>
      <c r="E615" s="3"/>
      <c r="F615" s="643"/>
      <c r="G615" s="644"/>
      <c r="H615" s="639"/>
    </row>
    <row r="616" spans="1:14" ht="19.5" customHeight="1" x14ac:dyDescent="0.4">
      <c r="A616" s="645">
        <v>46052</v>
      </c>
      <c r="B616" s="646" t="s">
        <v>58</v>
      </c>
      <c r="C616" s="646" t="s">
        <v>445</v>
      </c>
      <c r="D616" s="646" t="s">
        <v>446</v>
      </c>
      <c r="E616" s="646"/>
      <c r="F616" s="647">
        <v>12</v>
      </c>
      <c r="G616" s="647">
        <v>1671500</v>
      </c>
      <c r="H616" s="647">
        <v>20058000</v>
      </c>
      <c r="I616" s="646" t="s">
        <v>1496</v>
      </c>
      <c r="J616" s="648"/>
      <c r="K616" s="646" t="s">
        <v>1497</v>
      </c>
      <c r="L616" s="649"/>
    </row>
    <row r="617" spans="1:14" ht="19.5" customHeight="1" x14ac:dyDescent="0.4">
      <c r="A617" s="645">
        <v>46066</v>
      </c>
      <c r="B617" s="646" t="s">
        <v>58</v>
      </c>
      <c r="C617" s="646" t="s">
        <v>445</v>
      </c>
      <c r="D617" s="646" t="s">
        <v>446</v>
      </c>
      <c r="E617" s="646" t="s">
        <v>11</v>
      </c>
      <c r="F617" s="647">
        <v>36</v>
      </c>
      <c r="G617" s="647">
        <v>1671500</v>
      </c>
      <c r="H617" s="647">
        <v>60174000</v>
      </c>
      <c r="I617" s="646" t="s">
        <v>1498</v>
      </c>
      <c r="J617" s="648"/>
      <c r="K617" s="646"/>
      <c r="L617" s="649"/>
    </row>
    <row r="618" spans="1:14" ht="19.5" customHeight="1" x14ac:dyDescent="0.4">
      <c r="A618" s="645">
        <v>46080</v>
      </c>
      <c r="B618" s="646" t="s">
        <v>58</v>
      </c>
      <c r="C618" s="646" t="s">
        <v>445</v>
      </c>
      <c r="D618" s="646" t="s">
        <v>446</v>
      </c>
      <c r="E618" s="646" t="s">
        <v>11</v>
      </c>
      <c r="F618" s="647">
        <v>24</v>
      </c>
      <c r="G618" s="647">
        <v>1671500</v>
      </c>
      <c r="H618" s="647">
        <v>40116000</v>
      </c>
      <c r="I618" s="646"/>
      <c r="J618" s="648"/>
      <c r="K618" s="646"/>
      <c r="L618" s="649"/>
    </row>
    <row r="619" spans="1:14" ht="19.5" customHeight="1" x14ac:dyDescent="0.4">
      <c r="A619" s="645">
        <v>46106</v>
      </c>
      <c r="B619" s="649" t="s">
        <v>134</v>
      </c>
      <c r="C619" s="646" t="s">
        <v>181</v>
      </c>
      <c r="D619" s="646" t="s">
        <v>749</v>
      </c>
      <c r="E619" s="646" t="s">
        <v>13</v>
      </c>
      <c r="F619" s="647">
        <v>3</v>
      </c>
      <c r="G619" s="647">
        <v>2163000</v>
      </c>
      <c r="H619" s="647">
        <v>6489000</v>
      </c>
      <c r="I619" s="646"/>
      <c r="J619" s="648"/>
      <c r="K619" s="646"/>
      <c r="L619" s="649"/>
    </row>
    <row r="620" spans="1:14" ht="19.5" customHeight="1" x14ac:dyDescent="0.4">
      <c r="A620" s="645">
        <v>46106</v>
      </c>
      <c r="B620" s="646" t="s">
        <v>134</v>
      </c>
      <c r="C620" s="646" t="s">
        <v>182</v>
      </c>
      <c r="D620" s="646" t="s">
        <v>372</v>
      </c>
      <c r="E620" s="646" t="s">
        <v>13</v>
      </c>
      <c r="F620" s="647">
        <v>3</v>
      </c>
      <c r="G620" s="647">
        <v>2163000</v>
      </c>
      <c r="H620" s="647">
        <v>6489000</v>
      </c>
      <c r="I620" s="646"/>
      <c r="J620" s="648"/>
      <c r="K620" s="646"/>
      <c r="L620" s="649"/>
    </row>
    <row r="621" spans="1:14" ht="19.5" customHeight="1" x14ac:dyDescent="0.4">
      <c r="A621" s="650">
        <v>46112</v>
      </c>
      <c r="B621" s="651" t="s">
        <v>1499</v>
      </c>
      <c r="C621" s="651" t="s">
        <v>1139</v>
      </c>
      <c r="D621" s="651" t="s">
        <v>1140</v>
      </c>
      <c r="E621" s="651" t="s">
        <v>17</v>
      </c>
      <c r="F621" s="652">
        <v>83</v>
      </c>
      <c r="G621" s="652">
        <v>48000</v>
      </c>
      <c r="H621" s="652">
        <v>3984000</v>
      </c>
      <c r="I621" s="651" t="s">
        <v>1500</v>
      </c>
      <c r="J621" s="651">
        <f>14+23+26+18+26</f>
        <v>107</v>
      </c>
      <c r="K621" s="652">
        <v>14</v>
      </c>
      <c r="L621" s="653">
        <v>18</v>
      </c>
      <c r="M621">
        <v>20</v>
      </c>
      <c r="N621">
        <v>24</v>
      </c>
    </row>
    <row r="622" spans="1:14" ht="19.5" customHeight="1" x14ac:dyDescent="0.4">
      <c r="A622" s="650">
        <v>46112</v>
      </c>
      <c r="B622" s="651" t="s">
        <v>1499</v>
      </c>
      <c r="C622" s="651" t="s">
        <v>1141</v>
      </c>
      <c r="D622" s="651" t="s">
        <v>1142</v>
      </c>
      <c r="E622" s="651" t="s">
        <v>11</v>
      </c>
      <c r="F622" s="652">
        <v>83</v>
      </c>
      <c r="G622" s="652">
        <v>1052000</v>
      </c>
      <c r="H622" s="652">
        <v>87316000</v>
      </c>
      <c r="I622" s="651" t="s">
        <v>1500</v>
      </c>
      <c r="J622" s="654"/>
      <c r="K622" s="651">
        <v>23</v>
      </c>
      <c r="L622" s="653">
        <v>26</v>
      </c>
    </row>
    <row r="623" spans="1:14" ht="19.5" customHeight="1" x14ac:dyDescent="0.4">
      <c r="A623" s="650">
        <v>46142</v>
      </c>
      <c r="B623" s="651" t="s">
        <v>1499</v>
      </c>
      <c r="C623" s="651" t="s">
        <v>1139</v>
      </c>
      <c r="D623" s="651" t="s">
        <v>1140</v>
      </c>
      <c r="E623" s="651" t="s">
        <v>17</v>
      </c>
      <c r="F623" s="652">
        <v>10</v>
      </c>
      <c r="G623" s="652">
        <v>48000</v>
      </c>
      <c r="H623" s="652">
        <v>480000</v>
      </c>
      <c r="I623" s="651"/>
      <c r="J623" s="654"/>
      <c r="K623" s="651">
        <v>26</v>
      </c>
      <c r="L623" s="653"/>
    </row>
    <row r="624" spans="1:14" ht="19.5" customHeight="1" x14ac:dyDescent="0.4">
      <c r="A624" s="650">
        <v>46142</v>
      </c>
      <c r="B624" s="651" t="s">
        <v>1499</v>
      </c>
      <c r="C624" s="651" t="s">
        <v>1141</v>
      </c>
      <c r="D624" s="651" t="s">
        <v>1142</v>
      </c>
      <c r="E624" s="651" t="s">
        <v>11</v>
      </c>
      <c r="F624" s="652">
        <v>10</v>
      </c>
      <c r="G624" s="652">
        <v>1052000</v>
      </c>
      <c r="H624" s="652">
        <v>10520000</v>
      </c>
      <c r="I624" s="651"/>
      <c r="J624" s="654"/>
      <c r="K624" s="651"/>
      <c r="L624" s="653"/>
    </row>
    <row r="625" spans="1:12" ht="19.5" customHeight="1" x14ac:dyDescent="0.4">
      <c r="A625" s="650">
        <v>46142</v>
      </c>
      <c r="B625" s="651" t="s">
        <v>556</v>
      </c>
      <c r="C625" s="651" t="s">
        <v>1248</v>
      </c>
      <c r="D625" s="651" t="s">
        <v>1249</v>
      </c>
      <c r="E625" s="651" t="s">
        <v>17</v>
      </c>
      <c r="F625" s="652">
        <v>80</v>
      </c>
      <c r="G625" s="652">
        <v>174080</v>
      </c>
      <c r="H625" s="652">
        <v>13926400</v>
      </c>
      <c r="I625" s="655">
        <v>46154</v>
      </c>
      <c r="J625" s="654"/>
      <c r="K625" s="651"/>
      <c r="L625" s="653"/>
    </row>
    <row r="626" spans="1:12" ht="19.5" customHeight="1" x14ac:dyDescent="0.4">
      <c r="A626" s="650">
        <v>46142</v>
      </c>
      <c r="B626" s="651" t="s">
        <v>556</v>
      </c>
      <c r="C626" s="651" t="s">
        <v>1250</v>
      </c>
      <c r="D626" s="651" t="s">
        <v>1251</v>
      </c>
      <c r="E626" s="651" t="s">
        <v>17</v>
      </c>
      <c r="F626" s="652">
        <v>80</v>
      </c>
      <c r="G626" s="652">
        <v>231760</v>
      </c>
      <c r="H626" s="652">
        <v>18540800</v>
      </c>
      <c r="I626" s="655">
        <v>46154</v>
      </c>
      <c r="J626" s="654"/>
      <c r="K626" s="651"/>
      <c r="L626" s="653"/>
    </row>
    <row r="627" spans="1:12" ht="19.5" customHeight="1" x14ac:dyDescent="0.4">
      <c r="A627" s="650">
        <v>46142</v>
      </c>
      <c r="B627" s="651" t="s">
        <v>556</v>
      </c>
      <c r="C627" s="651" t="s">
        <v>1252</v>
      </c>
      <c r="D627" s="651" t="s">
        <v>1253</v>
      </c>
      <c r="E627" s="651" t="s">
        <v>13</v>
      </c>
      <c r="F627" s="652">
        <v>6</v>
      </c>
      <c r="G627" s="652">
        <v>1259290</v>
      </c>
      <c r="H627" s="652">
        <v>7555740</v>
      </c>
      <c r="I627" s="655" t="s">
        <v>1501</v>
      </c>
      <c r="J627" s="654"/>
      <c r="K627" s="651"/>
      <c r="L627" s="653"/>
    </row>
    <row r="628" spans="1:12" ht="19.5" customHeight="1" x14ac:dyDescent="0.4">
      <c r="A628" s="650">
        <v>46142</v>
      </c>
      <c r="B628" s="651" t="s">
        <v>556</v>
      </c>
      <c r="C628" s="651" t="s">
        <v>1254</v>
      </c>
      <c r="D628" s="653">
        <v>7060740317</v>
      </c>
      <c r="E628" s="651" t="s">
        <v>13</v>
      </c>
      <c r="F628" s="652">
        <v>38</v>
      </c>
      <c r="G628" s="652">
        <v>437000</v>
      </c>
      <c r="H628" s="652">
        <v>16606000</v>
      </c>
      <c r="I628" s="655">
        <v>46154</v>
      </c>
      <c r="J628" s="654"/>
      <c r="K628" s="651"/>
      <c r="L628" s="653"/>
    </row>
    <row r="629" spans="1:12" ht="19.5" customHeight="1" x14ac:dyDescent="0.4">
      <c r="A629" s="645">
        <v>46142</v>
      </c>
      <c r="B629" s="646" t="s">
        <v>556</v>
      </c>
      <c r="C629" s="646" t="s">
        <v>1255</v>
      </c>
      <c r="D629" s="649">
        <v>7060741009</v>
      </c>
      <c r="E629" s="646" t="s">
        <v>13</v>
      </c>
      <c r="F629" s="647">
        <v>35</v>
      </c>
      <c r="G629" s="647">
        <v>524800</v>
      </c>
      <c r="H629" s="647">
        <v>18368000</v>
      </c>
      <c r="I629" s="649"/>
      <c r="J629" s="648"/>
      <c r="K629" s="646"/>
      <c r="L629" s="649"/>
    </row>
    <row r="630" spans="1:12" ht="19.5" customHeight="1" x14ac:dyDescent="0.4">
      <c r="A630" s="650">
        <v>46142</v>
      </c>
      <c r="B630" s="651" t="s">
        <v>16</v>
      </c>
      <c r="C630" s="651" t="s">
        <v>18</v>
      </c>
      <c r="D630" s="653" t="s">
        <v>19</v>
      </c>
      <c r="E630" s="651" t="s">
        <v>17</v>
      </c>
      <c r="F630" s="652">
        <v>37</v>
      </c>
      <c r="G630" s="652">
        <v>266245</v>
      </c>
      <c r="H630" s="652">
        <v>9851065</v>
      </c>
      <c r="I630" s="655">
        <v>46146</v>
      </c>
      <c r="J630" s="654"/>
      <c r="K630" s="651"/>
      <c r="L630" s="653"/>
    </row>
    <row r="631" spans="1:12" ht="19.5" customHeight="1" x14ac:dyDescent="0.4">
      <c r="A631" s="650">
        <v>46142</v>
      </c>
      <c r="B631" s="651" t="s">
        <v>356</v>
      </c>
      <c r="C631" s="651" t="s">
        <v>56</v>
      </c>
      <c r="D631" s="651" t="s">
        <v>1269</v>
      </c>
      <c r="E631" s="651" t="s">
        <v>13</v>
      </c>
      <c r="F631" s="652">
        <v>20</v>
      </c>
      <c r="G631" s="652">
        <v>536960</v>
      </c>
      <c r="H631" s="652">
        <v>10739200</v>
      </c>
      <c r="I631" s="655">
        <v>46157</v>
      </c>
      <c r="J631" s="654"/>
      <c r="K631" s="651"/>
      <c r="L631" s="653"/>
    </row>
    <row r="632" spans="1:12" ht="19.5" customHeight="1" x14ac:dyDescent="0.4">
      <c r="A632" s="645"/>
      <c r="B632" s="646"/>
      <c r="C632" s="646"/>
      <c r="D632" s="646"/>
      <c r="E632" s="646"/>
      <c r="F632" s="647"/>
      <c r="G632" s="647"/>
      <c r="H632" s="647"/>
      <c r="I632" s="646"/>
      <c r="J632" s="648"/>
      <c r="K632" s="646"/>
      <c r="L632" s="649"/>
    </row>
    <row r="633" spans="1:12" ht="19.5" customHeight="1" x14ac:dyDescent="0.4">
      <c r="A633" s="645"/>
      <c r="B633" s="646"/>
      <c r="C633" s="646"/>
      <c r="D633" s="646"/>
      <c r="E633" s="646"/>
      <c r="F633" s="646"/>
      <c r="G633" s="646"/>
      <c r="H633" s="646"/>
      <c r="I633" s="646"/>
      <c r="J633" s="648"/>
      <c r="K633" s="646"/>
      <c r="L633" s="649"/>
    </row>
    <row r="634" spans="1:12" ht="19.5" customHeight="1" x14ac:dyDescent="0.4">
      <c r="A634" s="645"/>
      <c r="B634" s="646"/>
      <c r="C634" s="646"/>
      <c r="D634" s="646"/>
      <c r="E634" s="646"/>
      <c r="F634" s="646"/>
      <c r="G634" s="646"/>
      <c r="H634" s="646"/>
      <c r="I634" s="646"/>
      <c r="J634" s="648"/>
      <c r="K634" s="646"/>
      <c r="L634" s="649"/>
    </row>
    <row r="635" spans="1:12" ht="19.5" customHeight="1" x14ac:dyDescent="0.4">
      <c r="A635" s="645"/>
      <c r="B635" s="646"/>
      <c r="C635" s="646"/>
      <c r="D635" s="646"/>
      <c r="E635" s="646"/>
      <c r="F635" s="646"/>
      <c r="G635" s="646"/>
      <c r="H635" s="646"/>
      <c r="I635" s="646"/>
      <c r="J635" s="648"/>
      <c r="K635" s="646"/>
      <c r="L635" s="649"/>
    </row>
    <row r="636" spans="1:12" ht="19.5" customHeight="1" x14ac:dyDescent="0.4">
      <c r="A636" s="645"/>
      <c r="B636" s="646"/>
      <c r="C636" s="646"/>
      <c r="D636" s="646"/>
      <c r="E636" s="646"/>
      <c r="F636" s="646"/>
      <c r="G636" s="646"/>
      <c r="H636" s="646"/>
      <c r="I636" s="646"/>
      <c r="J636" s="648"/>
      <c r="K636" s="646"/>
      <c r="L636" s="649"/>
    </row>
    <row r="638" spans="1:12" ht="19.5" customHeight="1" x14ac:dyDescent="0.4">
      <c r="G638" s="539"/>
    </row>
  </sheetData>
  <autoFilter ref="A1:N638" xr:uid="{993B2C7E-72AC-4AE3-A7CE-969C35347D91}"/>
  <sortState ref="A116:N275">
    <sortCondition ref="A116:A275"/>
  </sortState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8F9C3-1D35-40FE-BBD6-19E789EABE71}">
  <dimension ref="A1:XFC676"/>
  <sheetViews>
    <sheetView workbookViewId="0">
      <pane ySplit="1" topLeftCell="A30" activePane="bottomLeft" state="frozen"/>
      <selection pane="bottomLeft" activeCell="D50" sqref="D50"/>
    </sheetView>
  </sheetViews>
  <sheetFormatPr defaultRowHeight="17.399999999999999" x14ac:dyDescent="0.4"/>
  <cols>
    <col min="1" max="1" width="11.09765625" style="638" bestFit="1" customWidth="1"/>
    <col min="2" max="2" width="20.09765625" customWidth="1"/>
    <col min="3" max="3" width="28.59765625" customWidth="1"/>
    <col min="4" max="4" width="28.09765625" customWidth="1"/>
    <col min="5" max="5" width="7.3984375" customWidth="1"/>
    <col min="6" max="6" width="8.3984375" customWidth="1"/>
    <col min="7" max="7" width="11.3984375" customWidth="1"/>
    <col min="8" max="8" width="16.19921875" customWidth="1"/>
    <col min="9" max="9" width="39.69921875" customWidth="1"/>
    <col min="10" max="10" width="11.19921875" style="537" customWidth="1"/>
    <col min="11" max="11" width="14.09765625" customWidth="1"/>
    <col min="12" max="12" width="17.19921875" style="640" customWidth="1"/>
    <col min="13" max="13" width="11.5" bestFit="1" customWidth="1"/>
  </cols>
  <sheetData>
    <row r="1" spans="1:13" s="50" customFormat="1" ht="18" customHeight="1" x14ac:dyDescent="0.4">
      <c r="A1" s="481" t="s">
        <v>0</v>
      </c>
      <c r="B1" s="100" t="s">
        <v>1</v>
      </c>
      <c r="C1" s="101" t="s">
        <v>2</v>
      </c>
      <c r="D1" s="102" t="s">
        <v>3</v>
      </c>
      <c r="E1" s="102" t="s">
        <v>4</v>
      </c>
      <c r="F1" s="120" t="s">
        <v>5</v>
      </c>
      <c r="G1" s="87" t="s">
        <v>6</v>
      </c>
      <c r="H1" s="87" t="s">
        <v>7</v>
      </c>
      <c r="I1" s="136" t="s">
        <v>8</v>
      </c>
      <c r="J1" s="360"/>
      <c r="K1" s="87"/>
      <c r="L1" s="619" t="s">
        <v>9</v>
      </c>
    </row>
    <row r="2" spans="1:13" s="50" customFormat="1" ht="18" customHeight="1" x14ac:dyDescent="0.4">
      <c r="A2" s="488">
        <v>46203</v>
      </c>
      <c r="B2" s="103" t="s">
        <v>10</v>
      </c>
      <c r="C2" s="693" t="s">
        <v>14</v>
      </c>
      <c r="D2" s="42">
        <v>60817438</v>
      </c>
      <c r="E2" s="42" t="s">
        <v>13</v>
      </c>
      <c r="F2" s="694">
        <v>30</v>
      </c>
      <c r="G2" s="7">
        <v>620000</v>
      </c>
      <c r="H2" s="7">
        <f>F2*G2</f>
        <v>18600000</v>
      </c>
      <c r="I2" s="142" t="s">
        <v>1633</v>
      </c>
      <c r="J2" s="72"/>
      <c r="K2" s="7"/>
      <c r="L2" s="695"/>
    </row>
    <row r="3" spans="1:13" s="50" customFormat="1" ht="18" customHeight="1" x14ac:dyDescent="0.4">
      <c r="A3" s="488">
        <v>46203</v>
      </c>
      <c r="B3" s="103" t="s">
        <v>10</v>
      </c>
      <c r="C3" s="693" t="s">
        <v>15</v>
      </c>
      <c r="D3" s="42">
        <v>60817439</v>
      </c>
      <c r="E3" s="42" t="s">
        <v>13</v>
      </c>
      <c r="F3" s="694">
        <v>30</v>
      </c>
      <c r="G3" s="7">
        <v>500000</v>
      </c>
      <c r="H3" s="7">
        <f>F3*G3</f>
        <v>15000000</v>
      </c>
      <c r="I3" s="142" t="s">
        <v>1633</v>
      </c>
      <c r="J3" s="72"/>
      <c r="K3" s="7"/>
      <c r="L3" s="695"/>
    </row>
    <row r="4" spans="1:13" s="19" customFormat="1" ht="18.75" customHeight="1" x14ac:dyDescent="0.4">
      <c r="A4" s="622"/>
      <c r="B4" s="39"/>
      <c r="C4" s="88"/>
      <c r="D4" s="434"/>
      <c r="E4" s="39"/>
      <c r="F4" s="39"/>
      <c r="G4" s="98"/>
      <c r="H4" s="138"/>
      <c r="I4" s="435"/>
      <c r="J4" s="436"/>
      <c r="K4" s="40"/>
      <c r="L4" s="696"/>
    </row>
    <row r="5" spans="1:13" ht="19.5" customHeight="1" x14ac:dyDescent="0.4">
      <c r="A5" s="482">
        <v>46170</v>
      </c>
      <c r="B5" s="110" t="s">
        <v>16</v>
      </c>
      <c r="C5" s="29" t="s">
        <v>18</v>
      </c>
      <c r="D5" s="110" t="s">
        <v>836</v>
      </c>
      <c r="E5" s="110" t="s">
        <v>17</v>
      </c>
      <c r="F5" s="81">
        <f>27*5</f>
        <v>135</v>
      </c>
      <c r="G5" s="49">
        <v>251112</v>
      </c>
      <c r="H5" s="8">
        <f t="shared" ref="H5:H14" si="0">+G5*F5</f>
        <v>33900120</v>
      </c>
      <c r="I5" s="49"/>
      <c r="J5" s="144"/>
      <c r="K5" s="144"/>
      <c r="L5" s="140"/>
    </row>
    <row r="6" spans="1:13" ht="19.5" customHeight="1" x14ac:dyDescent="0.4">
      <c r="A6" s="482">
        <v>46170</v>
      </c>
      <c r="B6" s="110" t="s">
        <v>16</v>
      </c>
      <c r="C6" s="29" t="s">
        <v>18</v>
      </c>
      <c r="D6" s="110" t="s">
        <v>19</v>
      </c>
      <c r="E6" s="110" t="s">
        <v>17</v>
      </c>
      <c r="F6" s="81">
        <v>30</v>
      </c>
      <c r="G6" s="49">
        <v>266245</v>
      </c>
      <c r="H6" s="8">
        <f t="shared" si="0"/>
        <v>7987350</v>
      </c>
      <c r="I6" s="49"/>
      <c r="J6" s="144"/>
      <c r="K6" s="144"/>
      <c r="L6" s="140">
        <v>0</v>
      </c>
    </row>
    <row r="7" spans="1:13" s="3" customFormat="1" ht="20.25" customHeight="1" x14ac:dyDescent="0.4">
      <c r="A7" s="482">
        <v>46183</v>
      </c>
      <c r="B7" s="110" t="s">
        <v>16</v>
      </c>
      <c r="C7" s="29" t="s">
        <v>18</v>
      </c>
      <c r="D7" s="110" t="s">
        <v>19</v>
      </c>
      <c r="E7" s="110" t="s">
        <v>17</v>
      </c>
      <c r="F7" s="81">
        <v>90</v>
      </c>
      <c r="G7" s="49">
        <v>266245</v>
      </c>
      <c r="H7" s="8">
        <f t="shared" si="0"/>
        <v>23962050</v>
      </c>
      <c r="I7" s="49"/>
      <c r="J7" s="144"/>
      <c r="K7" s="144"/>
      <c r="L7" s="140">
        <v>0</v>
      </c>
      <c r="M7" s="89"/>
    </row>
    <row r="8" spans="1:13" s="3" customFormat="1" ht="20.25" customHeight="1" x14ac:dyDescent="0.4">
      <c r="A8" s="482">
        <v>46190</v>
      </c>
      <c r="B8" s="110" t="s">
        <v>16</v>
      </c>
      <c r="C8" s="29" t="s">
        <v>18</v>
      </c>
      <c r="D8" s="110" t="s">
        <v>19</v>
      </c>
      <c r="E8" s="110" t="s">
        <v>17</v>
      </c>
      <c r="F8" s="81">
        <f>15+7</f>
        <v>22</v>
      </c>
      <c r="G8" s="49">
        <v>266245</v>
      </c>
      <c r="H8" s="8">
        <f t="shared" si="0"/>
        <v>5857390</v>
      </c>
      <c r="I8" s="49"/>
      <c r="J8" s="144"/>
      <c r="K8" s="144"/>
      <c r="L8" s="140">
        <v>0</v>
      </c>
      <c r="M8" s="89"/>
    </row>
    <row r="9" spans="1:13" s="3" customFormat="1" ht="20.25" customHeight="1" x14ac:dyDescent="0.4">
      <c r="A9" s="482">
        <v>46190</v>
      </c>
      <c r="B9" s="110" t="s">
        <v>16</v>
      </c>
      <c r="C9" s="29" t="s">
        <v>18</v>
      </c>
      <c r="D9" s="110" t="s">
        <v>836</v>
      </c>
      <c r="E9" s="110" t="s">
        <v>17</v>
      </c>
      <c r="F9" s="81">
        <f>27*9</f>
        <v>243</v>
      </c>
      <c r="G9" s="49">
        <v>251112</v>
      </c>
      <c r="H9" s="8">
        <f t="shared" si="0"/>
        <v>61020216</v>
      </c>
      <c r="I9" s="49"/>
      <c r="J9" s="144"/>
      <c r="K9" s="144"/>
      <c r="L9" s="140">
        <v>0</v>
      </c>
      <c r="M9" s="89"/>
    </row>
    <row r="10" spans="1:13" ht="19.5" customHeight="1" x14ac:dyDescent="0.4">
      <c r="A10" s="482">
        <v>46203</v>
      </c>
      <c r="B10" s="110" t="s">
        <v>16</v>
      </c>
      <c r="C10" s="29" t="s">
        <v>18</v>
      </c>
      <c r="D10" s="110" t="s">
        <v>836</v>
      </c>
      <c r="E10" s="110" t="s">
        <v>17</v>
      </c>
      <c r="F10" s="81">
        <v>-1</v>
      </c>
      <c r="G10" s="49">
        <v>251112</v>
      </c>
      <c r="H10" s="8">
        <f t="shared" si="0"/>
        <v>-251112</v>
      </c>
      <c r="I10" s="49"/>
      <c r="J10" s="144"/>
      <c r="K10" s="144"/>
      <c r="L10" s="140"/>
    </row>
    <row r="11" spans="1:13" ht="19.5" customHeight="1" x14ac:dyDescent="0.4">
      <c r="A11" s="482">
        <v>46203</v>
      </c>
      <c r="B11" s="110" t="s">
        <v>16</v>
      </c>
      <c r="C11" s="29" t="s">
        <v>18</v>
      </c>
      <c r="D11" s="110" t="s">
        <v>19</v>
      </c>
      <c r="E11" s="110" t="s">
        <v>17</v>
      </c>
      <c r="F11" s="81">
        <v>-3</v>
      </c>
      <c r="G11" s="49">
        <v>266245</v>
      </c>
      <c r="H11" s="8">
        <f t="shared" si="0"/>
        <v>-798735</v>
      </c>
      <c r="I11" s="49"/>
      <c r="J11" s="144"/>
      <c r="K11" s="144"/>
      <c r="L11" s="140">
        <v>0</v>
      </c>
    </row>
    <row r="12" spans="1:13" s="3" customFormat="1" ht="20.25" customHeight="1" x14ac:dyDescent="0.4">
      <c r="A12" s="482">
        <v>46198</v>
      </c>
      <c r="B12" s="110" t="s">
        <v>16</v>
      </c>
      <c r="C12" s="29" t="s">
        <v>18</v>
      </c>
      <c r="D12" s="110" t="s">
        <v>836</v>
      </c>
      <c r="E12" s="110" t="s">
        <v>17</v>
      </c>
      <c r="F12" s="81">
        <v>81</v>
      </c>
      <c r="G12" s="49">
        <v>251112</v>
      </c>
      <c r="H12" s="8">
        <f t="shared" si="0"/>
        <v>20340072</v>
      </c>
      <c r="I12" s="49" t="s">
        <v>1632</v>
      </c>
      <c r="J12" s="144"/>
      <c r="K12" s="144"/>
      <c r="L12" s="140">
        <v>0</v>
      </c>
      <c r="M12" s="89"/>
    </row>
    <row r="13" spans="1:13" s="3" customFormat="1" ht="20.25" customHeight="1" x14ac:dyDescent="0.4">
      <c r="A13" s="482">
        <v>46203</v>
      </c>
      <c r="B13" s="110" t="s">
        <v>16</v>
      </c>
      <c r="C13" s="29" t="s">
        <v>18</v>
      </c>
      <c r="D13" s="110" t="s">
        <v>836</v>
      </c>
      <c r="E13" s="110" t="s">
        <v>17</v>
      </c>
      <c r="F13" s="697">
        <v>108</v>
      </c>
      <c r="G13" s="49">
        <v>251112</v>
      </c>
      <c r="H13" s="8">
        <f t="shared" si="0"/>
        <v>27120096</v>
      </c>
      <c r="I13" s="49" t="s">
        <v>1632</v>
      </c>
      <c r="J13" s="144"/>
      <c r="K13" s="144"/>
      <c r="L13" s="140"/>
      <c r="M13" s="89"/>
    </row>
    <row r="14" spans="1:13" s="3" customFormat="1" ht="20.25" customHeight="1" x14ac:dyDescent="0.4">
      <c r="A14" s="482">
        <v>46203</v>
      </c>
      <c r="B14" s="110" t="s">
        <v>16</v>
      </c>
      <c r="C14" s="29" t="s">
        <v>1538</v>
      </c>
      <c r="D14" s="110" t="s">
        <v>1539</v>
      </c>
      <c r="E14" s="110" t="s">
        <v>17</v>
      </c>
      <c r="F14" s="697">
        <v>61</v>
      </c>
      <c r="G14" s="49">
        <v>140223</v>
      </c>
      <c r="H14" s="8">
        <f t="shared" si="0"/>
        <v>8553603</v>
      </c>
      <c r="I14" s="49" t="s">
        <v>1632</v>
      </c>
      <c r="J14" s="144"/>
      <c r="K14" s="144"/>
      <c r="L14" s="140"/>
      <c r="M14" s="89"/>
    </row>
    <row r="15" spans="1:13" s="19" customFormat="1" ht="18.75" customHeight="1" x14ac:dyDescent="0.4">
      <c r="A15" s="622"/>
      <c r="B15" s="39"/>
      <c r="C15" s="88"/>
      <c r="D15" s="434"/>
      <c r="E15" s="39"/>
      <c r="F15" s="39"/>
      <c r="G15" s="98"/>
      <c r="H15" s="138">
        <f>SUM(H5:H11)</f>
        <v>131677279</v>
      </c>
      <c r="I15" s="435"/>
      <c r="J15" s="436"/>
      <c r="K15" s="40"/>
      <c r="L15" s="696"/>
    </row>
    <row r="16" spans="1:13" s="19" customFormat="1" ht="18.75" customHeight="1" x14ac:dyDescent="0.4">
      <c r="A16" s="484">
        <v>46182</v>
      </c>
      <c r="B16" s="110" t="s">
        <v>24</v>
      </c>
      <c r="C16" s="68" t="s">
        <v>29</v>
      </c>
      <c r="D16" s="42" t="s">
        <v>30</v>
      </c>
      <c r="E16" s="1" t="s">
        <v>17</v>
      </c>
      <c r="F16" s="36">
        <v>107</v>
      </c>
      <c r="G16" s="7">
        <v>206710</v>
      </c>
      <c r="H16" s="36">
        <f t="shared" ref="H16:H21" si="1">F16*G16</f>
        <v>22117970</v>
      </c>
      <c r="I16" s="150" t="s">
        <v>1625</v>
      </c>
      <c r="J16" s="70"/>
      <c r="K16" s="29"/>
      <c r="L16" s="698">
        <v>0</v>
      </c>
    </row>
    <row r="17" spans="1:13" ht="19.5" customHeight="1" x14ac:dyDescent="0.4">
      <c r="A17" s="482">
        <v>46203</v>
      </c>
      <c r="B17" s="110" t="s">
        <v>24</v>
      </c>
      <c r="C17" s="29" t="s">
        <v>29</v>
      </c>
      <c r="D17" s="110" t="s">
        <v>30</v>
      </c>
      <c r="E17" s="110" t="s">
        <v>17</v>
      </c>
      <c r="F17" s="81">
        <v>-1</v>
      </c>
      <c r="G17" s="49">
        <v>206710</v>
      </c>
      <c r="H17" s="36">
        <f t="shared" si="1"/>
        <v>-206710</v>
      </c>
      <c r="I17" s="49"/>
      <c r="J17" s="109"/>
      <c r="K17" s="144"/>
      <c r="L17" s="409">
        <v>0</v>
      </c>
    </row>
    <row r="18" spans="1:13" s="3" customFormat="1" ht="19.5" customHeight="1" x14ac:dyDescent="0.4">
      <c r="A18" s="482">
        <v>46203</v>
      </c>
      <c r="B18" s="110" t="s">
        <v>24</v>
      </c>
      <c r="C18" s="29" t="s">
        <v>25</v>
      </c>
      <c r="D18" s="110" t="s">
        <v>26</v>
      </c>
      <c r="E18" s="110" t="s">
        <v>17</v>
      </c>
      <c r="F18" s="81">
        <v>-13</v>
      </c>
      <c r="G18" s="49">
        <v>122010</v>
      </c>
      <c r="H18" s="36">
        <f t="shared" si="1"/>
        <v>-1586130</v>
      </c>
      <c r="I18" s="49"/>
      <c r="J18" s="144"/>
      <c r="K18" s="144"/>
      <c r="L18" s="144"/>
      <c r="M18" s="89"/>
    </row>
    <row r="19" spans="1:13" s="19" customFormat="1" ht="19.5" customHeight="1" x14ac:dyDescent="0.3">
      <c r="A19" s="482">
        <v>46203</v>
      </c>
      <c r="B19" s="5" t="s">
        <v>24</v>
      </c>
      <c r="C19" s="401" t="s">
        <v>27</v>
      </c>
      <c r="D19" s="1" t="s">
        <v>839</v>
      </c>
      <c r="E19" s="1" t="s">
        <v>840</v>
      </c>
      <c r="F19" s="402">
        <v>-14</v>
      </c>
      <c r="G19" s="403" ph="1">
        <v>9149</v>
      </c>
      <c r="H19" s="36">
        <f t="shared" si="1"/>
        <v>-128086</v>
      </c>
      <c r="I19" s="404"/>
      <c r="J19" s="398"/>
      <c r="K19" s="400"/>
      <c r="L19" s="405"/>
      <c r="M19" s="406"/>
    </row>
    <row r="20" spans="1:13" s="19" customFormat="1" ht="19.5" customHeight="1" x14ac:dyDescent="0.4">
      <c r="A20" s="482">
        <v>46203</v>
      </c>
      <c r="B20" s="23" t="s">
        <v>24</v>
      </c>
      <c r="C20" s="24" t="s">
        <v>29</v>
      </c>
      <c r="D20" s="11" t="s">
        <v>30</v>
      </c>
      <c r="E20" s="11" t="s">
        <v>17</v>
      </c>
      <c r="F20" s="396">
        <v>-3</v>
      </c>
      <c r="G20" s="396">
        <v>206710</v>
      </c>
      <c r="H20" s="36">
        <f t="shared" si="1"/>
        <v>-620130</v>
      </c>
      <c r="I20" s="397"/>
      <c r="J20" s="398"/>
      <c r="K20" s="398"/>
      <c r="L20" s="104"/>
      <c r="M20" s="399"/>
    </row>
    <row r="21" spans="1:13" s="19" customFormat="1" ht="19.5" customHeight="1" x14ac:dyDescent="0.4">
      <c r="A21" s="482">
        <v>46203</v>
      </c>
      <c r="B21" s="23" t="s">
        <v>24</v>
      </c>
      <c r="C21" s="24" t="s">
        <v>29</v>
      </c>
      <c r="D21" s="11" t="s">
        <v>30</v>
      </c>
      <c r="E21" s="11" t="s">
        <v>17</v>
      </c>
      <c r="F21" s="396">
        <v>-16</v>
      </c>
      <c r="G21" s="396">
        <v>206710</v>
      </c>
      <c r="H21" s="36">
        <f t="shared" si="1"/>
        <v>-3307360</v>
      </c>
      <c r="I21" s="408"/>
      <c r="J21" s="398"/>
      <c r="K21" s="398"/>
      <c r="L21" s="104"/>
      <c r="M21" s="399"/>
    </row>
    <row r="22" spans="1:13" s="19" customFormat="1" ht="18.75" customHeight="1" x14ac:dyDescent="0.4">
      <c r="A22" s="622"/>
      <c r="B22" s="39"/>
      <c r="C22" s="88"/>
      <c r="D22" s="434"/>
      <c r="E22" s="39"/>
      <c r="F22" s="39"/>
      <c r="G22" s="98"/>
      <c r="H22" s="138">
        <f>SUM(H16:H21)</f>
        <v>16269554</v>
      </c>
      <c r="I22" s="435"/>
      <c r="J22" s="436"/>
      <c r="K22" s="40"/>
      <c r="L22" s="696"/>
    </row>
    <row r="23" spans="1:13" s="3" customFormat="1" ht="19.5" customHeight="1" x14ac:dyDescent="0.4">
      <c r="A23" s="482">
        <v>46142</v>
      </c>
      <c r="B23" s="110" t="s">
        <v>556</v>
      </c>
      <c r="C23" s="29" t="s">
        <v>1255</v>
      </c>
      <c r="D23" s="110">
        <v>7060741009</v>
      </c>
      <c r="E23" s="110" t="s">
        <v>13</v>
      </c>
      <c r="F23" s="81">
        <v>35</v>
      </c>
      <c r="G23" s="49">
        <v>524800</v>
      </c>
      <c r="H23" s="208">
        <f>+G23*F23</f>
        <v>18368000</v>
      </c>
      <c r="I23" s="49"/>
      <c r="J23" s="144"/>
      <c r="K23" s="144"/>
      <c r="L23" s="144"/>
      <c r="M23" s="89"/>
    </row>
    <row r="24" spans="1:13" ht="19.5" customHeight="1" x14ac:dyDescent="0.4">
      <c r="A24" s="482">
        <v>46171</v>
      </c>
      <c r="B24" s="110" t="s">
        <v>556</v>
      </c>
      <c r="C24" s="29" t="s">
        <v>39</v>
      </c>
      <c r="D24" s="110" t="s">
        <v>40</v>
      </c>
      <c r="E24" s="110"/>
      <c r="F24" s="81">
        <v>39</v>
      </c>
      <c r="G24" s="49">
        <v>1380450</v>
      </c>
      <c r="H24" s="208">
        <f>+G24*F24</f>
        <v>53837550</v>
      </c>
      <c r="I24" s="49"/>
      <c r="J24" s="144"/>
      <c r="K24" s="144"/>
      <c r="L24" s="409"/>
    </row>
    <row r="25" spans="1:13" ht="19.5" customHeight="1" x14ac:dyDescent="0.4">
      <c r="A25" s="482">
        <v>46171</v>
      </c>
      <c r="B25" s="110" t="s">
        <v>556</v>
      </c>
      <c r="C25" s="29" t="s">
        <v>401</v>
      </c>
      <c r="D25" s="110" t="s">
        <v>402</v>
      </c>
      <c r="E25" s="110"/>
      <c r="F25" s="81">
        <v>9</v>
      </c>
      <c r="G25" s="49">
        <v>6099100</v>
      </c>
      <c r="H25" s="208">
        <f>+G25*F25</f>
        <v>54891900</v>
      </c>
      <c r="I25" s="49"/>
      <c r="J25" s="144"/>
      <c r="K25" s="144"/>
      <c r="L25" s="409"/>
    </row>
    <row r="26" spans="1:13" ht="19.5" customHeight="1" x14ac:dyDescent="0.4">
      <c r="A26" s="482">
        <v>46171</v>
      </c>
      <c r="B26" s="110" t="s">
        <v>556</v>
      </c>
      <c r="C26" s="29" t="s">
        <v>1255</v>
      </c>
      <c r="D26" s="110" t="s">
        <v>1410</v>
      </c>
      <c r="E26" s="110"/>
      <c r="F26" s="81">
        <v>11</v>
      </c>
      <c r="G26" s="49">
        <v>524800</v>
      </c>
      <c r="H26" s="208">
        <f>+G26*F26</f>
        <v>5772800</v>
      </c>
      <c r="I26" s="49"/>
      <c r="J26" s="144"/>
      <c r="K26" s="144"/>
      <c r="L26" s="144"/>
    </row>
    <row r="27" spans="1:13" s="19" customFormat="1" ht="18.75" customHeight="1" x14ac:dyDescent="0.4">
      <c r="A27" s="484">
        <v>46182</v>
      </c>
      <c r="B27" s="59" t="s">
        <v>556</v>
      </c>
      <c r="C27" s="6" t="s">
        <v>41</v>
      </c>
      <c r="D27" s="42" t="s">
        <v>42</v>
      </c>
      <c r="E27" s="1"/>
      <c r="F27" s="36">
        <v>8</v>
      </c>
      <c r="G27" s="7">
        <v>205300</v>
      </c>
      <c r="H27" s="64">
        <f>F27*G27</f>
        <v>1642400</v>
      </c>
      <c r="I27" s="150"/>
      <c r="J27" s="70"/>
      <c r="K27" s="29"/>
      <c r="L27" s="698">
        <v>0</v>
      </c>
    </row>
    <row r="28" spans="1:13" s="19" customFormat="1" ht="18.75" customHeight="1" x14ac:dyDescent="0.4">
      <c r="A28" s="484">
        <v>46182</v>
      </c>
      <c r="B28" s="59" t="s">
        <v>556</v>
      </c>
      <c r="C28" s="6" t="s">
        <v>41</v>
      </c>
      <c r="D28" s="42" t="s">
        <v>1540</v>
      </c>
      <c r="E28" s="1"/>
      <c r="F28" s="36">
        <v>78</v>
      </c>
      <c r="G28" s="7">
        <v>205300</v>
      </c>
      <c r="H28" s="64">
        <f t="shared" ref="H28:H42" si="2">F28*G28</f>
        <v>16013400</v>
      </c>
      <c r="I28" s="150"/>
      <c r="J28" s="70"/>
      <c r="K28" s="29"/>
      <c r="L28" s="698">
        <v>0</v>
      </c>
    </row>
    <row r="29" spans="1:13" s="19" customFormat="1" ht="18.75" customHeight="1" x14ac:dyDescent="0.4">
      <c r="A29" s="484">
        <v>46182</v>
      </c>
      <c r="B29" s="59" t="s">
        <v>556</v>
      </c>
      <c r="C29" s="68" t="s">
        <v>1065</v>
      </c>
      <c r="D29" s="42" t="s">
        <v>1066</v>
      </c>
      <c r="E29" s="1"/>
      <c r="F29" s="36">
        <v>18</v>
      </c>
      <c r="G29" s="7">
        <v>280270</v>
      </c>
      <c r="H29" s="64">
        <f t="shared" si="2"/>
        <v>5044860</v>
      </c>
      <c r="I29" s="150"/>
      <c r="J29" s="70"/>
      <c r="K29" s="29"/>
      <c r="L29" s="698">
        <v>0</v>
      </c>
    </row>
    <row r="30" spans="1:13" s="19" customFormat="1" ht="18.75" customHeight="1" x14ac:dyDescent="0.4">
      <c r="A30" s="484">
        <v>46182</v>
      </c>
      <c r="B30" s="59" t="s">
        <v>556</v>
      </c>
      <c r="C30" s="68" t="s">
        <v>1065</v>
      </c>
      <c r="D30" s="42" t="s">
        <v>1066</v>
      </c>
      <c r="E30" s="1"/>
      <c r="F30" s="36">
        <v>3</v>
      </c>
      <c r="G30" s="7">
        <v>280270</v>
      </c>
      <c r="H30" s="64">
        <f t="shared" si="2"/>
        <v>840810</v>
      </c>
      <c r="I30" s="150"/>
      <c r="J30" s="70"/>
      <c r="K30" s="29"/>
      <c r="L30" s="698">
        <v>0</v>
      </c>
    </row>
    <row r="31" spans="1:13" s="19" customFormat="1" ht="18.75" customHeight="1" x14ac:dyDescent="0.4">
      <c r="A31" s="484">
        <v>46182</v>
      </c>
      <c r="B31" s="59" t="s">
        <v>556</v>
      </c>
      <c r="C31" s="68" t="s">
        <v>1065</v>
      </c>
      <c r="D31" s="42" t="s">
        <v>1066</v>
      </c>
      <c r="E31" s="1"/>
      <c r="F31" s="36">
        <v>1</v>
      </c>
      <c r="G31" s="7">
        <v>280270</v>
      </c>
      <c r="H31" s="64">
        <f t="shared" si="2"/>
        <v>280270</v>
      </c>
      <c r="I31" s="150"/>
      <c r="J31" s="70"/>
      <c r="K31" s="29"/>
      <c r="L31" s="698">
        <v>0</v>
      </c>
    </row>
    <row r="32" spans="1:13" s="19" customFormat="1" ht="18.75" customHeight="1" x14ac:dyDescent="0.4">
      <c r="A32" s="484">
        <v>46182</v>
      </c>
      <c r="B32" s="59" t="s">
        <v>556</v>
      </c>
      <c r="C32" s="68" t="s">
        <v>1065</v>
      </c>
      <c r="D32" s="42" t="s">
        <v>1066</v>
      </c>
      <c r="E32" s="1"/>
      <c r="F32" s="36">
        <v>14</v>
      </c>
      <c r="G32" s="7">
        <v>280270</v>
      </c>
      <c r="H32" s="64">
        <f t="shared" si="2"/>
        <v>3923780</v>
      </c>
      <c r="I32" s="150"/>
      <c r="J32" s="70"/>
      <c r="K32" s="29"/>
      <c r="L32" s="698">
        <v>0</v>
      </c>
    </row>
    <row r="33" spans="1:12" s="19" customFormat="1" ht="18.75" customHeight="1" x14ac:dyDescent="0.4">
      <c r="A33" s="484">
        <v>46182</v>
      </c>
      <c r="B33" s="59" t="s">
        <v>556</v>
      </c>
      <c r="C33" s="68" t="s">
        <v>1255</v>
      </c>
      <c r="D33" s="42" t="s">
        <v>1410</v>
      </c>
      <c r="E33" s="1"/>
      <c r="F33" s="36">
        <v>3</v>
      </c>
      <c r="G33" s="7">
        <v>524800</v>
      </c>
      <c r="H33" s="64">
        <f t="shared" si="2"/>
        <v>1574400</v>
      </c>
      <c r="I33" s="150"/>
      <c r="J33" s="70"/>
      <c r="K33" s="29"/>
      <c r="L33" s="698">
        <v>0</v>
      </c>
    </row>
    <row r="34" spans="1:12" s="19" customFormat="1" ht="18.75" customHeight="1" x14ac:dyDescent="0.4">
      <c r="A34" s="484">
        <v>46182</v>
      </c>
      <c r="B34" s="59" t="s">
        <v>556</v>
      </c>
      <c r="C34" s="68" t="s">
        <v>47</v>
      </c>
      <c r="D34" s="42" t="s">
        <v>48</v>
      </c>
      <c r="E34" s="1"/>
      <c r="F34" s="36">
        <v>69</v>
      </c>
      <c r="G34" s="7">
        <v>231760</v>
      </c>
      <c r="H34" s="64">
        <f t="shared" si="2"/>
        <v>15991440</v>
      </c>
      <c r="I34" s="150"/>
      <c r="J34" s="70"/>
      <c r="K34" s="29"/>
      <c r="L34" s="698">
        <v>0</v>
      </c>
    </row>
    <row r="35" spans="1:12" s="19" customFormat="1" ht="18.75" customHeight="1" x14ac:dyDescent="0.4">
      <c r="A35" s="484">
        <v>46182</v>
      </c>
      <c r="B35" s="59" t="s">
        <v>556</v>
      </c>
      <c r="C35" s="68" t="s">
        <v>444</v>
      </c>
      <c r="D35" s="42">
        <v>7061532839</v>
      </c>
      <c r="E35" s="1"/>
      <c r="F35" s="36">
        <v>29</v>
      </c>
      <c r="G35" s="7">
        <v>527280</v>
      </c>
      <c r="H35" s="36" t="s">
        <v>186</v>
      </c>
      <c r="I35" s="150" t="s">
        <v>1541</v>
      </c>
      <c r="J35" s="70"/>
      <c r="K35" s="29"/>
      <c r="L35" s="698">
        <v>0</v>
      </c>
    </row>
    <row r="36" spans="1:12" ht="19.5" customHeight="1" x14ac:dyDescent="0.4">
      <c r="A36" s="482">
        <v>46171</v>
      </c>
      <c r="B36" s="110" t="s">
        <v>556</v>
      </c>
      <c r="C36" s="29" t="s">
        <v>1408</v>
      </c>
      <c r="D36" s="110" t="s">
        <v>1409</v>
      </c>
      <c r="E36" s="110"/>
      <c r="F36" s="81">
        <v>31</v>
      </c>
      <c r="G36" s="49">
        <v>607000</v>
      </c>
      <c r="H36" s="8">
        <f>+G36*F36</f>
        <v>18817000</v>
      </c>
      <c r="I36" s="49" t="s">
        <v>1633</v>
      </c>
      <c r="J36" s="144"/>
      <c r="K36" s="144"/>
      <c r="L36" s="144"/>
    </row>
    <row r="37" spans="1:12" s="19" customFormat="1" ht="18.75" customHeight="1" x14ac:dyDescent="0.4">
      <c r="A37" s="484">
        <v>46203</v>
      </c>
      <c r="B37" s="59" t="s">
        <v>556</v>
      </c>
      <c r="C37" s="68" t="s">
        <v>39</v>
      </c>
      <c r="D37" s="42" t="s">
        <v>1542</v>
      </c>
      <c r="E37" s="1"/>
      <c r="F37" s="36">
        <v>24</v>
      </c>
      <c r="G37" s="7">
        <v>1380450</v>
      </c>
      <c r="H37" s="36">
        <f t="shared" si="2"/>
        <v>33130800</v>
      </c>
      <c r="I37" s="49" t="s">
        <v>1633</v>
      </c>
      <c r="J37" s="70"/>
      <c r="K37" s="29"/>
      <c r="L37" s="698">
        <v>0</v>
      </c>
    </row>
    <row r="38" spans="1:12" s="19" customFormat="1" ht="18.75" customHeight="1" x14ac:dyDescent="0.4">
      <c r="A38" s="484">
        <v>46203</v>
      </c>
      <c r="B38" s="59" t="s">
        <v>556</v>
      </c>
      <c r="C38" s="68" t="s">
        <v>1543</v>
      </c>
      <c r="D38" s="42" t="s">
        <v>1544</v>
      </c>
      <c r="E38" s="1"/>
      <c r="F38" s="36">
        <v>32</v>
      </c>
      <c r="G38" s="7">
        <v>176840</v>
      </c>
      <c r="H38" s="36">
        <f t="shared" si="2"/>
        <v>5658880</v>
      </c>
      <c r="I38" s="49" t="s">
        <v>1633</v>
      </c>
      <c r="J38" s="70"/>
      <c r="K38" s="29"/>
      <c r="L38" s="698">
        <v>0</v>
      </c>
    </row>
    <row r="39" spans="1:12" s="19" customFormat="1" ht="18.75" customHeight="1" x14ac:dyDescent="0.4">
      <c r="A39" s="484">
        <v>46203</v>
      </c>
      <c r="B39" s="59" t="s">
        <v>556</v>
      </c>
      <c r="C39" s="68" t="s">
        <v>177</v>
      </c>
      <c r="D39" s="42" t="s">
        <v>178</v>
      </c>
      <c r="E39" s="1"/>
      <c r="F39" s="36">
        <v>2</v>
      </c>
      <c r="G39" s="7">
        <v>176840</v>
      </c>
      <c r="H39" s="36">
        <f t="shared" si="2"/>
        <v>353680</v>
      </c>
      <c r="I39" s="49" t="s">
        <v>1633</v>
      </c>
      <c r="J39" s="70"/>
      <c r="K39" s="29"/>
      <c r="L39" s="698">
        <v>0</v>
      </c>
    </row>
    <row r="40" spans="1:12" s="19" customFormat="1" ht="18.75" customHeight="1" x14ac:dyDescent="0.4">
      <c r="A40" s="484">
        <v>46203</v>
      </c>
      <c r="B40" s="59" t="s">
        <v>556</v>
      </c>
      <c r="C40" s="68" t="s">
        <v>177</v>
      </c>
      <c r="D40" s="42" t="s">
        <v>178</v>
      </c>
      <c r="E40" s="1"/>
      <c r="F40" s="36">
        <v>9</v>
      </c>
      <c r="G40" s="7">
        <v>184700</v>
      </c>
      <c r="H40" s="36">
        <f t="shared" si="2"/>
        <v>1662300</v>
      </c>
      <c r="I40" s="49" t="s">
        <v>1633</v>
      </c>
      <c r="J40" s="70"/>
      <c r="K40" s="29"/>
      <c r="L40" s="698">
        <v>0</v>
      </c>
    </row>
    <row r="41" spans="1:12" s="19" customFormat="1" ht="18.75" customHeight="1" x14ac:dyDescent="0.4">
      <c r="A41" s="484">
        <v>46203</v>
      </c>
      <c r="B41" s="59" t="s">
        <v>556</v>
      </c>
      <c r="C41" s="68" t="s">
        <v>177</v>
      </c>
      <c r="D41" s="42" t="s">
        <v>178</v>
      </c>
      <c r="E41" s="1"/>
      <c r="F41" s="36">
        <v>3</v>
      </c>
      <c r="G41" s="7">
        <v>184700</v>
      </c>
      <c r="H41" s="36">
        <f t="shared" si="2"/>
        <v>554100</v>
      </c>
      <c r="I41" s="49" t="s">
        <v>1633</v>
      </c>
      <c r="J41" s="70"/>
      <c r="K41" s="29"/>
      <c r="L41" s="698">
        <v>0</v>
      </c>
    </row>
    <row r="42" spans="1:12" s="19" customFormat="1" ht="18.75" customHeight="1" x14ac:dyDescent="0.4">
      <c r="A42" s="484">
        <v>46203</v>
      </c>
      <c r="B42" s="59" t="s">
        <v>556</v>
      </c>
      <c r="C42" s="68" t="s">
        <v>177</v>
      </c>
      <c r="D42" s="42" t="s">
        <v>178</v>
      </c>
      <c r="E42" s="1"/>
      <c r="F42" s="36">
        <v>14</v>
      </c>
      <c r="G42" s="7">
        <v>184700</v>
      </c>
      <c r="H42" s="36">
        <f t="shared" si="2"/>
        <v>2585800</v>
      </c>
      <c r="I42" s="49" t="s">
        <v>1633</v>
      </c>
      <c r="J42" s="70"/>
      <c r="K42" s="29"/>
      <c r="L42" s="698">
        <v>0</v>
      </c>
    </row>
    <row r="43" spans="1:12" s="19" customFormat="1" ht="18.75" customHeight="1" x14ac:dyDescent="0.4">
      <c r="A43" s="622"/>
      <c r="B43" s="39"/>
      <c r="C43" s="88"/>
      <c r="D43" s="434"/>
      <c r="E43" s="39"/>
      <c r="F43" s="39"/>
      <c r="G43" s="98"/>
      <c r="H43" s="138">
        <f>SUM(H23:H34)</f>
        <v>178181610</v>
      </c>
      <c r="I43" s="40">
        <f>178181610-177977250</f>
        <v>204360</v>
      </c>
      <c r="J43" s="436"/>
      <c r="K43" s="40"/>
      <c r="L43" s="696"/>
    </row>
    <row r="44" spans="1:12" s="50" customFormat="1" ht="20.25" customHeight="1" x14ac:dyDescent="0.4">
      <c r="A44" s="482">
        <v>46192</v>
      </c>
      <c r="B44" s="59" t="s">
        <v>55</v>
      </c>
      <c r="C44" s="68" t="s">
        <v>1628</v>
      </c>
      <c r="D44" s="59" t="s">
        <v>1627</v>
      </c>
      <c r="E44" s="67"/>
      <c r="F44" s="68">
        <f>36+28</f>
        <v>64</v>
      </c>
      <c r="G44" s="68">
        <v>304770</v>
      </c>
      <c r="H44" s="68">
        <f>F44*G44</f>
        <v>19505280</v>
      </c>
      <c r="I44" s="67"/>
      <c r="J44" s="67"/>
      <c r="K44" s="67"/>
      <c r="L44" s="140">
        <v>0</v>
      </c>
    </row>
    <row r="45" spans="1:12" s="50" customFormat="1" ht="20.25" customHeight="1" x14ac:dyDescent="0.4">
      <c r="A45" s="482">
        <v>46194</v>
      </c>
      <c r="B45" s="59" t="s">
        <v>55</v>
      </c>
      <c r="C45" s="68" t="s">
        <v>56</v>
      </c>
      <c r="D45" s="59" t="s">
        <v>57</v>
      </c>
      <c r="E45" s="67"/>
      <c r="F45" s="68">
        <v>108</v>
      </c>
      <c r="G45" s="68">
        <v>304770</v>
      </c>
      <c r="H45" s="68">
        <f>F45*G45</f>
        <v>32915160</v>
      </c>
      <c r="I45" s="67"/>
      <c r="J45" s="67"/>
      <c r="K45" s="67"/>
      <c r="L45" s="140">
        <v>0</v>
      </c>
    </row>
    <row r="46" spans="1:12" s="50" customFormat="1" ht="20.25" customHeight="1" x14ac:dyDescent="0.4">
      <c r="A46" s="482">
        <v>46203</v>
      </c>
      <c r="B46" s="59" t="s">
        <v>55</v>
      </c>
      <c r="C46" s="68" t="s">
        <v>56</v>
      </c>
      <c r="D46" s="59" t="s">
        <v>57</v>
      </c>
      <c r="E46" s="67"/>
      <c r="F46" s="49">
        <v>-5</v>
      </c>
      <c r="G46" s="49">
        <v>289120</v>
      </c>
      <c r="H46" s="68">
        <f>F46*G46</f>
        <v>-1445600</v>
      </c>
      <c r="I46" s="67"/>
      <c r="J46" s="67"/>
      <c r="K46" s="67"/>
      <c r="L46" s="140">
        <v>0</v>
      </c>
    </row>
    <row r="47" spans="1:12" ht="19.5" customHeight="1" x14ac:dyDescent="0.4">
      <c r="A47" s="482">
        <v>46203</v>
      </c>
      <c r="B47" s="110" t="s">
        <v>55</v>
      </c>
      <c r="C47" s="29" t="s">
        <v>56</v>
      </c>
      <c r="D47" s="110" t="s">
        <v>1629</v>
      </c>
      <c r="E47" s="110" t="s">
        <v>17</v>
      </c>
      <c r="F47" s="81">
        <v>-3</v>
      </c>
      <c r="G47" s="49">
        <v>293447</v>
      </c>
      <c r="H47" s="8">
        <f>+G47*F47</f>
        <v>-880341</v>
      </c>
      <c r="I47" s="49"/>
      <c r="J47" s="109"/>
      <c r="K47" s="144"/>
      <c r="L47" s="409"/>
    </row>
    <row r="48" spans="1:12" ht="19.5" customHeight="1" x14ac:dyDescent="0.4">
      <c r="A48" s="482">
        <v>46203</v>
      </c>
      <c r="B48" s="110" t="s">
        <v>55</v>
      </c>
      <c r="C48" s="29" t="s">
        <v>56</v>
      </c>
      <c r="D48" s="110" t="s">
        <v>1630</v>
      </c>
      <c r="E48" s="110" t="s">
        <v>17</v>
      </c>
      <c r="F48" s="81">
        <v>-1</v>
      </c>
      <c r="G48" s="49">
        <v>263208</v>
      </c>
      <c r="H48" s="8">
        <f>+G48*F48</f>
        <v>-263208</v>
      </c>
      <c r="I48" s="49"/>
      <c r="J48" s="109"/>
      <c r="K48" s="144"/>
      <c r="L48" s="409"/>
    </row>
    <row r="49" spans="1:12" s="50" customFormat="1" ht="20.25" customHeight="1" x14ac:dyDescent="0.4">
      <c r="A49" s="482">
        <v>46203</v>
      </c>
      <c r="B49" s="59" t="s">
        <v>55</v>
      </c>
      <c r="C49" s="68" t="s">
        <v>56</v>
      </c>
      <c r="D49" s="59" t="s">
        <v>1631</v>
      </c>
      <c r="E49" s="59" t="s">
        <v>17</v>
      </c>
      <c r="F49" s="49">
        <v>-3</v>
      </c>
      <c r="G49" s="49">
        <v>282953</v>
      </c>
      <c r="H49" s="8">
        <f>+G49*F49</f>
        <v>-848859</v>
      </c>
      <c r="I49" s="144">
        <f>SUM(H46:H49)</f>
        <v>-3438008</v>
      </c>
      <c r="J49" s="67"/>
      <c r="K49" s="67"/>
      <c r="L49" s="140"/>
    </row>
    <row r="50" spans="1:12" s="50" customFormat="1" ht="20.25" customHeight="1" x14ac:dyDescent="0.4">
      <c r="A50" s="482">
        <v>46203</v>
      </c>
      <c r="B50" s="59" t="s">
        <v>55</v>
      </c>
      <c r="C50" s="68" t="s">
        <v>56</v>
      </c>
      <c r="D50" s="59" t="s">
        <v>57</v>
      </c>
      <c r="E50" s="67"/>
      <c r="F50" s="699">
        <v>196</v>
      </c>
      <c r="G50" s="68">
        <v>304770</v>
      </c>
      <c r="H50" s="68">
        <f>F50*G50</f>
        <v>59734920</v>
      </c>
      <c r="I50" s="68" t="s">
        <v>1632</v>
      </c>
      <c r="J50" s="67">
        <v>417480</v>
      </c>
      <c r="K50" s="67"/>
      <c r="L50" s="140"/>
    </row>
    <row r="51" spans="1:12" s="50" customFormat="1" ht="20.25" customHeight="1" x14ac:dyDescent="0.4">
      <c r="A51" s="482">
        <v>46203</v>
      </c>
      <c r="B51" s="59" t="s">
        <v>55</v>
      </c>
      <c r="C51" s="68" t="s">
        <v>56</v>
      </c>
      <c r="D51" s="59" t="s">
        <v>281</v>
      </c>
      <c r="E51" s="67"/>
      <c r="F51" s="699">
        <f>36+55</f>
        <v>91</v>
      </c>
      <c r="G51" s="68">
        <v>259178</v>
      </c>
      <c r="H51" s="68">
        <f>F51*G51</f>
        <v>23585198</v>
      </c>
      <c r="I51" s="68" t="s">
        <v>1632</v>
      </c>
      <c r="J51" s="67">
        <v>357840</v>
      </c>
      <c r="K51" s="67"/>
      <c r="L51" s="140"/>
    </row>
    <row r="52" spans="1:12" s="19" customFormat="1" ht="18.75" customHeight="1" x14ac:dyDescent="0.4">
      <c r="A52" s="622"/>
      <c r="B52" s="39"/>
      <c r="C52" s="88"/>
      <c r="D52" s="434"/>
      <c r="E52" s="39"/>
      <c r="F52" s="39"/>
      <c r="G52" s="98"/>
      <c r="H52" s="138">
        <f>SUM(H44:H49)</f>
        <v>48982432</v>
      </c>
      <c r="I52" s="40"/>
      <c r="J52" s="39"/>
      <c r="K52" s="40"/>
      <c r="L52" s="696"/>
    </row>
    <row r="53" spans="1:12" s="19" customFormat="1" ht="18.75" customHeight="1" x14ac:dyDescent="0.4">
      <c r="A53" s="484">
        <v>46177</v>
      </c>
      <c r="B53" s="46" t="s">
        <v>869</v>
      </c>
      <c r="C53" s="6" t="s">
        <v>181</v>
      </c>
      <c r="D53" s="42">
        <v>61541861</v>
      </c>
      <c r="E53" s="1" t="s">
        <v>13</v>
      </c>
      <c r="F53" s="36">
        <v>9</v>
      </c>
      <c r="G53" s="7">
        <v>2275670</v>
      </c>
      <c r="H53" s="36">
        <f t="shared" ref="H53:H62" si="3">F53*G53</f>
        <v>20481030</v>
      </c>
      <c r="I53" s="150"/>
      <c r="J53" s="70"/>
      <c r="K53" s="29"/>
      <c r="L53" s="698" t="s">
        <v>1247</v>
      </c>
    </row>
    <row r="54" spans="1:12" s="19" customFormat="1" ht="18.75" customHeight="1" x14ac:dyDescent="0.4">
      <c r="A54" s="484">
        <v>46177</v>
      </c>
      <c r="B54" s="46" t="s">
        <v>869</v>
      </c>
      <c r="C54" s="6" t="s">
        <v>182</v>
      </c>
      <c r="D54" s="42">
        <v>61541862</v>
      </c>
      <c r="E54" s="1" t="s">
        <v>13</v>
      </c>
      <c r="F54" s="36">
        <v>9</v>
      </c>
      <c r="G54" s="7">
        <v>2275670</v>
      </c>
      <c r="H54" s="36">
        <f t="shared" si="3"/>
        <v>20481030</v>
      </c>
      <c r="I54" s="150"/>
      <c r="J54" s="70"/>
      <c r="K54" s="29"/>
      <c r="L54" s="698" t="s">
        <v>1247</v>
      </c>
    </row>
    <row r="55" spans="1:12" s="19" customFormat="1" ht="18.75" customHeight="1" x14ac:dyDescent="0.4">
      <c r="A55" s="484">
        <v>46177</v>
      </c>
      <c r="B55" s="46" t="s">
        <v>869</v>
      </c>
      <c r="C55" s="68" t="s">
        <v>183</v>
      </c>
      <c r="D55" s="42">
        <v>61541863</v>
      </c>
      <c r="E55" s="1" t="s">
        <v>184</v>
      </c>
      <c r="F55" s="36">
        <v>9</v>
      </c>
      <c r="G55" s="7">
        <v>44000</v>
      </c>
      <c r="H55" s="36">
        <f t="shared" si="3"/>
        <v>396000</v>
      </c>
      <c r="I55" s="150"/>
      <c r="J55" s="70"/>
      <c r="K55" s="29"/>
      <c r="L55" s="698" t="s">
        <v>1247</v>
      </c>
    </row>
    <row r="56" spans="1:12" s="19" customFormat="1" ht="18.75" customHeight="1" x14ac:dyDescent="0.4">
      <c r="A56" s="484">
        <v>46177</v>
      </c>
      <c r="B56" s="46" t="s">
        <v>869</v>
      </c>
      <c r="C56" s="68" t="s">
        <v>183</v>
      </c>
      <c r="D56" s="42">
        <v>61541864</v>
      </c>
      <c r="E56" s="1" t="s">
        <v>184</v>
      </c>
      <c r="F56" s="36">
        <v>9</v>
      </c>
      <c r="G56" s="7">
        <v>44000</v>
      </c>
      <c r="H56" s="36">
        <f t="shared" si="3"/>
        <v>396000</v>
      </c>
      <c r="I56" s="150"/>
      <c r="J56" s="70"/>
      <c r="K56" s="29"/>
      <c r="L56" s="698" t="s">
        <v>1247</v>
      </c>
    </row>
    <row r="57" spans="1:12" s="19" customFormat="1" ht="18.75" customHeight="1" x14ac:dyDescent="0.4">
      <c r="A57" s="484">
        <v>46177</v>
      </c>
      <c r="B57" s="46" t="s">
        <v>869</v>
      </c>
      <c r="C57" s="68" t="s">
        <v>185</v>
      </c>
      <c r="D57" s="42">
        <v>61541865</v>
      </c>
      <c r="E57" s="1" t="s">
        <v>184</v>
      </c>
      <c r="F57" s="36">
        <v>18</v>
      </c>
      <c r="G57" s="7">
        <v>14700</v>
      </c>
      <c r="H57" s="36">
        <f t="shared" si="3"/>
        <v>264600</v>
      </c>
      <c r="I57" s="150"/>
      <c r="J57" s="70"/>
      <c r="K57" s="29"/>
      <c r="L57" s="698" t="s">
        <v>1247</v>
      </c>
    </row>
    <row r="58" spans="1:12" s="19" customFormat="1" ht="18.75" customHeight="1" x14ac:dyDescent="0.4">
      <c r="A58" s="484">
        <v>46199</v>
      </c>
      <c r="B58" s="46" t="s">
        <v>869</v>
      </c>
      <c r="C58" s="6" t="s">
        <v>181</v>
      </c>
      <c r="D58" s="42">
        <v>61541861</v>
      </c>
      <c r="E58" s="1" t="s">
        <v>13</v>
      </c>
      <c r="F58" s="36">
        <v>10</v>
      </c>
      <c r="G58" s="7">
        <v>2275670</v>
      </c>
      <c r="H58" s="36">
        <f t="shared" si="3"/>
        <v>22756700</v>
      </c>
      <c r="I58" s="150"/>
      <c r="J58" s="67" t="s">
        <v>1247</v>
      </c>
      <c r="K58" s="29"/>
      <c r="L58" s="49"/>
    </row>
    <row r="59" spans="1:12" s="19" customFormat="1" ht="18.75" customHeight="1" x14ac:dyDescent="0.4">
      <c r="A59" s="484">
        <v>46199</v>
      </c>
      <c r="B59" s="46" t="s">
        <v>869</v>
      </c>
      <c r="C59" s="6" t="s">
        <v>182</v>
      </c>
      <c r="D59" s="42">
        <v>61541862</v>
      </c>
      <c r="E59" s="1" t="s">
        <v>13</v>
      </c>
      <c r="F59" s="36">
        <v>10</v>
      </c>
      <c r="G59" s="7">
        <v>2275670</v>
      </c>
      <c r="H59" s="36">
        <f t="shared" si="3"/>
        <v>22756700</v>
      </c>
      <c r="I59" s="150"/>
      <c r="J59" s="67" t="s">
        <v>1247</v>
      </c>
      <c r="K59" s="29"/>
      <c r="L59" s="49"/>
    </row>
    <row r="60" spans="1:12" s="19" customFormat="1" ht="18.75" customHeight="1" x14ac:dyDescent="0.4">
      <c r="A60" s="484">
        <v>46199</v>
      </c>
      <c r="B60" s="46" t="s">
        <v>869</v>
      </c>
      <c r="C60" s="67" t="s">
        <v>183</v>
      </c>
      <c r="D60" s="42">
        <v>61541863</v>
      </c>
      <c r="E60" s="1" t="s">
        <v>184</v>
      </c>
      <c r="F60" s="36">
        <v>10</v>
      </c>
      <c r="G60" s="7">
        <v>44000</v>
      </c>
      <c r="H60" s="36">
        <f t="shared" si="3"/>
        <v>440000</v>
      </c>
      <c r="I60" s="150"/>
      <c r="J60" s="67" t="s">
        <v>1247</v>
      </c>
      <c r="K60" s="29"/>
      <c r="L60" s="49"/>
    </row>
    <row r="61" spans="1:12" s="19" customFormat="1" ht="18.75" customHeight="1" x14ac:dyDescent="0.4">
      <c r="A61" s="484">
        <v>46199</v>
      </c>
      <c r="B61" s="46" t="s">
        <v>869</v>
      </c>
      <c r="C61" s="67" t="s">
        <v>183</v>
      </c>
      <c r="D61" s="42">
        <v>61541864</v>
      </c>
      <c r="E61" s="1" t="s">
        <v>184</v>
      </c>
      <c r="F61" s="36">
        <v>10</v>
      </c>
      <c r="G61" s="7">
        <v>44000</v>
      </c>
      <c r="H61" s="36">
        <f t="shared" si="3"/>
        <v>440000</v>
      </c>
      <c r="I61" s="150"/>
      <c r="J61" s="67" t="s">
        <v>1247</v>
      </c>
      <c r="K61" s="29"/>
      <c r="L61" s="49"/>
    </row>
    <row r="62" spans="1:12" s="19" customFormat="1" ht="18.75" customHeight="1" x14ac:dyDescent="0.4">
      <c r="A62" s="484">
        <v>46199</v>
      </c>
      <c r="B62" s="46" t="s">
        <v>869</v>
      </c>
      <c r="C62" s="67" t="s">
        <v>185</v>
      </c>
      <c r="D62" s="42">
        <v>61541865</v>
      </c>
      <c r="E62" s="1" t="s">
        <v>184</v>
      </c>
      <c r="F62" s="36">
        <v>20</v>
      </c>
      <c r="G62" s="7">
        <v>14700</v>
      </c>
      <c r="H62" s="36">
        <f t="shared" si="3"/>
        <v>294000</v>
      </c>
      <c r="I62" s="150"/>
      <c r="J62" s="67" t="s">
        <v>1247</v>
      </c>
      <c r="K62" s="29"/>
      <c r="L62" s="49"/>
    </row>
    <row r="63" spans="1:12" s="50" customFormat="1" ht="18.75" customHeight="1" x14ac:dyDescent="0.4">
      <c r="A63" s="484">
        <v>46183</v>
      </c>
      <c r="B63" s="413" t="s">
        <v>869</v>
      </c>
      <c r="C63" s="67" t="s">
        <v>844</v>
      </c>
      <c r="D63" s="42"/>
      <c r="E63" s="1"/>
      <c r="F63" s="36"/>
      <c r="G63" s="7"/>
      <c r="H63" s="36">
        <v>-16652497</v>
      </c>
      <c r="I63" s="67"/>
      <c r="J63" s="67"/>
      <c r="K63" s="67"/>
      <c r="L63" s="67"/>
    </row>
    <row r="64" spans="1:12" s="50" customFormat="1" ht="18.75" customHeight="1" x14ac:dyDescent="0.4">
      <c r="A64" s="484">
        <v>46203</v>
      </c>
      <c r="B64" s="413" t="s">
        <v>869</v>
      </c>
      <c r="C64" s="67" t="s">
        <v>844</v>
      </c>
      <c r="D64" s="42"/>
      <c r="E64" s="1"/>
      <c r="F64" s="36"/>
      <c r="G64" s="7"/>
      <c r="H64" s="36">
        <v>-18502775</v>
      </c>
      <c r="I64" s="67"/>
      <c r="J64" s="67"/>
      <c r="K64" s="67"/>
      <c r="L64" s="67"/>
    </row>
    <row r="65" spans="1:13" s="19" customFormat="1" ht="18.75" customHeight="1" x14ac:dyDescent="0.4">
      <c r="A65" s="484">
        <v>46182</v>
      </c>
      <c r="B65" s="46" t="s">
        <v>869</v>
      </c>
      <c r="C65" s="68" t="s">
        <v>1626</v>
      </c>
      <c r="D65" s="42"/>
      <c r="E65" s="1"/>
      <c r="F65" s="36"/>
      <c r="G65" s="7"/>
      <c r="H65" s="36">
        <v>98603790</v>
      </c>
      <c r="I65" s="150"/>
      <c r="J65" s="70"/>
      <c r="K65" s="29"/>
      <c r="L65" s="698"/>
    </row>
    <row r="66" spans="1:13" s="19" customFormat="1" ht="18.75" customHeight="1" x14ac:dyDescent="0.4">
      <c r="A66" s="484"/>
      <c r="B66" s="46"/>
      <c r="C66" s="68"/>
      <c r="D66" s="42"/>
      <c r="E66" s="1"/>
      <c r="F66" s="36"/>
      <c r="G66" s="7"/>
      <c r="H66" s="36"/>
      <c r="I66" s="150"/>
      <c r="J66" s="70"/>
      <c r="K66" s="29"/>
      <c r="L66" s="698"/>
    </row>
    <row r="67" spans="1:13" s="19" customFormat="1" ht="18.75" customHeight="1" x14ac:dyDescent="0.4">
      <c r="A67" s="622"/>
      <c r="B67" s="39"/>
      <c r="C67" s="88"/>
      <c r="D67" s="434"/>
      <c r="E67" s="39"/>
      <c r="F67" s="39"/>
      <c r="G67" s="98"/>
      <c r="H67" s="138">
        <f>SUM(H53:H62)</f>
        <v>88706060</v>
      </c>
      <c r="I67" s="435"/>
      <c r="J67" s="436"/>
      <c r="K67" s="40"/>
      <c r="L67" s="696"/>
    </row>
    <row r="68" spans="1:13" s="113" customFormat="1" ht="18.75" customHeight="1" x14ac:dyDescent="0.4">
      <c r="A68" s="482">
        <v>46059</v>
      </c>
      <c r="B68" s="110" t="s">
        <v>58</v>
      </c>
      <c r="C68" s="29" t="s">
        <v>60</v>
      </c>
      <c r="D68" s="110" t="s">
        <v>498</v>
      </c>
      <c r="E68" s="110" t="s">
        <v>13</v>
      </c>
      <c r="F68" s="8">
        <v>8</v>
      </c>
      <c r="G68" s="81">
        <v>673000</v>
      </c>
      <c r="H68" s="8">
        <f t="shared" ref="H68:H88" si="4">F68*G68</f>
        <v>5384000</v>
      </c>
      <c r="I68" s="111" t="s">
        <v>870</v>
      </c>
      <c r="J68" s="111"/>
      <c r="K68" s="7"/>
      <c r="L68" s="116"/>
    </row>
    <row r="69" spans="1:13" s="19" customFormat="1" ht="18.75" customHeight="1" x14ac:dyDescent="0.4">
      <c r="A69" s="485">
        <v>46072</v>
      </c>
      <c r="B69" s="110" t="s">
        <v>58</v>
      </c>
      <c r="C69" s="29" t="s">
        <v>60</v>
      </c>
      <c r="D69" s="110" t="s">
        <v>498</v>
      </c>
      <c r="E69" s="110" t="s">
        <v>13</v>
      </c>
      <c r="F69" s="8">
        <v>11</v>
      </c>
      <c r="G69" s="81">
        <v>673000</v>
      </c>
      <c r="H69" s="8">
        <f t="shared" si="4"/>
        <v>7403000</v>
      </c>
      <c r="I69" s="111" t="s">
        <v>1230</v>
      </c>
      <c r="J69" s="404"/>
      <c r="K69" s="7"/>
      <c r="L69" s="126"/>
      <c r="M69" s="416"/>
    </row>
    <row r="70" spans="1:13" s="113" customFormat="1" ht="18.75" customHeight="1" x14ac:dyDescent="0.4">
      <c r="A70" s="482">
        <v>46077</v>
      </c>
      <c r="B70" s="110" t="s">
        <v>58</v>
      </c>
      <c r="C70" s="29" t="s">
        <v>60</v>
      </c>
      <c r="D70" s="110" t="s">
        <v>498</v>
      </c>
      <c r="E70" s="110" t="s">
        <v>13</v>
      </c>
      <c r="F70" s="8">
        <v>5</v>
      </c>
      <c r="G70" s="81">
        <v>673000</v>
      </c>
      <c r="H70" s="8">
        <f t="shared" si="4"/>
        <v>3365000</v>
      </c>
      <c r="I70" s="111" t="s">
        <v>1231</v>
      </c>
      <c r="J70" s="111"/>
      <c r="K70" s="7"/>
      <c r="L70" s="116"/>
    </row>
    <row r="71" spans="1:13" s="19" customFormat="1" ht="18.75" customHeight="1" x14ac:dyDescent="0.4">
      <c r="A71" s="482">
        <v>46081</v>
      </c>
      <c r="B71" s="110" t="s">
        <v>58</v>
      </c>
      <c r="C71" s="29" t="s">
        <v>60</v>
      </c>
      <c r="D71" s="110" t="s">
        <v>498</v>
      </c>
      <c r="E71" s="110" t="s">
        <v>13</v>
      </c>
      <c r="F71" s="8">
        <v>18</v>
      </c>
      <c r="G71" s="81">
        <v>673000</v>
      </c>
      <c r="H71" s="8">
        <f t="shared" si="4"/>
        <v>12114000</v>
      </c>
      <c r="I71" s="111" t="s">
        <v>1232</v>
      </c>
      <c r="J71" s="404"/>
      <c r="K71" s="7"/>
      <c r="L71" s="126"/>
      <c r="M71" s="416"/>
    </row>
    <row r="72" spans="1:13" s="19" customFormat="1" ht="18.75" customHeight="1" x14ac:dyDescent="0.4">
      <c r="A72" s="485">
        <v>46099</v>
      </c>
      <c r="B72" s="110" t="s">
        <v>58</v>
      </c>
      <c r="C72" s="29" t="s">
        <v>60</v>
      </c>
      <c r="D72" s="110" t="s">
        <v>498</v>
      </c>
      <c r="E72" s="110" t="s">
        <v>13</v>
      </c>
      <c r="F72" s="8">
        <v>5</v>
      </c>
      <c r="G72" s="81">
        <v>673000</v>
      </c>
      <c r="H72" s="8">
        <f t="shared" si="4"/>
        <v>3365000</v>
      </c>
      <c r="I72" s="111" t="s">
        <v>1233</v>
      </c>
      <c r="J72" s="404"/>
      <c r="K72" s="7"/>
      <c r="L72" s="126"/>
      <c r="M72" s="416"/>
    </row>
    <row r="73" spans="1:13" s="113" customFormat="1" ht="18.75" customHeight="1" x14ac:dyDescent="0.4">
      <c r="A73" s="482">
        <v>46101</v>
      </c>
      <c r="B73" s="110" t="s">
        <v>58</v>
      </c>
      <c r="C73" s="29" t="s">
        <v>60</v>
      </c>
      <c r="D73" s="110" t="s">
        <v>282</v>
      </c>
      <c r="E73" s="110" t="s">
        <v>11</v>
      </c>
      <c r="F73" s="8">
        <v>199</v>
      </c>
      <c r="G73" s="81">
        <v>246000</v>
      </c>
      <c r="H73" s="8">
        <f t="shared" si="4"/>
        <v>48954000</v>
      </c>
      <c r="I73" s="111" t="s">
        <v>870</v>
      </c>
      <c r="J73" s="111"/>
      <c r="K73" s="7"/>
      <c r="L73" s="116"/>
    </row>
    <row r="74" spans="1:13" s="113" customFormat="1" ht="18.75" customHeight="1" x14ac:dyDescent="0.4">
      <c r="A74" s="482">
        <v>46101</v>
      </c>
      <c r="B74" s="110" t="s">
        <v>58</v>
      </c>
      <c r="C74" s="29" t="s">
        <v>60</v>
      </c>
      <c r="D74" s="110" t="s">
        <v>285</v>
      </c>
      <c r="E74" s="110" t="s">
        <v>11</v>
      </c>
      <c r="F74" s="8">
        <v>100</v>
      </c>
      <c r="G74" s="81">
        <v>188000</v>
      </c>
      <c r="H74" s="8">
        <f t="shared" si="4"/>
        <v>18800000</v>
      </c>
      <c r="I74" s="111" t="s">
        <v>870</v>
      </c>
      <c r="J74" s="111"/>
      <c r="K74" s="7"/>
      <c r="L74" s="116"/>
    </row>
    <row r="75" spans="1:13" s="19" customFormat="1" ht="18.75" customHeight="1" x14ac:dyDescent="0.4">
      <c r="A75" s="485">
        <v>46106</v>
      </c>
      <c r="B75" s="110" t="s">
        <v>58</v>
      </c>
      <c r="C75" s="29" t="s">
        <v>60</v>
      </c>
      <c r="D75" s="110" t="s">
        <v>498</v>
      </c>
      <c r="E75" s="110" t="s">
        <v>13</v>
      </c>
      <c r="F75" s="8">
        <v>15</v>
      </c>
      <c r="G75" s="81">
        <v>673000</v>
      </c>
      <c r="H75" s="8">
        <f t="shared" si="4"/>
        <v>10095000</v>
      </c>
      <c r="I75" s="111" t="s">
        <v>1232</v>
      </c>
      <c r="J75" s="404"/>
      <c r="K75" s="7"/>
      <c r="L75" s="126"/>
      <c r="M75" s="416"/>
    </row>
    <row r="76" spans="1:13" s="19" customFormat="1" ht="18.75" customHeight="1" x14ac:dyDescent="0.4">
      <c r="A76" s="485">
        <v>46112</v>
      </c>
      <c r="B76" s="110" t="s">
        <v>58</v>
      </c>
      <c r="C76" s="29" t="s">
        <v>60</v>
      </c>
      <c r="D76" s="110" t="s">
        <v>498</v>
      </c>
      <c r="E76" s="110" t="s">
        <v>13</v>
      </c>
      <c r="F76" s="8">
        <v>11</v>
      </c>
      <c r="G76" s="81">
        <v>673000</v>
      </c>
      <c r="H76" s="8">
        <f t="shared" si="4"/>
        <v>7403000</v>
      </c>
      <c r="I76" s="111" t="s">
        <v>1232</v>
      </c>
      <c r="J76" s="404"/>
      <c r="K76" s="7"/>
      <c r="L76" s="126"/>
      <c r="M76" s="416"/>
    </row>
    <row r="77" spans="1:13" s="113" customFormat="1" ht="18.75" customHeight="1" x14ac:dyDescent="0.4">
      <c r="A77" s="482">
        <v>46119</v>
      </c>
      <c r="B77" s="110" t="s">
        <v>58</v>
      </c>
      <c r="C77" s="29" t="s">
        <v>60</v>
      </c>
      <c r="D77" s="110" t="s">
        <v>282</v>
      </c>
      <c r="E77" s="110" t="s">
        <v>11</v>
      </c>
      <c r="F77" s="8">
        <v>149</v>
      </c>
      <c r="G77" s="81">
        <v>246000</v>
      </c>
      <c r="H77" s="8">
        <f t="shared" si="4"/>
        <v>36654000</v>
      </c>
      <c r="I77" s="111" t="s">
        <v>1262</v>
      </c>
      <c r="J77" s="111"/>
      <c r="K77" s="7"/>
      <c r="L77" s="116"/>
    </row>
    <row r="78" spans="1:13" s="113" customFormat="1" ht="18.75" customHeight="1" x14ac:dyDescent="0.4">
      <c r="A78" s="482">
        <v>46119</v>
      </c>
      <c r="B78" s="110" t="s">
        <v>58</v>
      </c>
      <c r="C78" s="29" t="s">
        <v>60</v>
      </c>
      <c r="D78" s="110" t="s">
        <v>285</v>
      </c>
      <c r="E78" s="110" t="s">
        <v>11</v>
      </c>
      <c r="F78" s="8">
        <v>150</v>
      </c>
      <c r="G78" s="81">
        <v>188000</v>
      </c>
      <c r="H78" s="8">
        <f t="shared" si="4"/>
        <v>28200000</v>
      </c>
      <c r="I78" s="111" t="s">
        <v>1262</v>
      </c>
      <c r="J78" s="111"/>
      <c r="K78" s="7"/>
      <c r="L78" s="116"/>
    </row>
    <row r="79" spans="1:13" s="19" customFormat="1" ht="18.75" customHeight="1" x14ac:dyDescent="0.4">
      <c r="A79" s="485">
        <v>46120</v>
      </c>
      <c r="B79" s="110" t="s">
        <v>58</v>
      </c>
      <c r="C79" s="29" t="s">
        <v>60</v>
      </c>
      <c r="D79" s="110" t="s">
        <v>498</v>
      </c>
      <c r="E79" s="110" t="s">
        <v>13</v>
      </c>
      <c r="F79" s="8">
        <v>13</v>
      </c>
      <c r="G79" s="81">
        <v>673000</v>
      </c>
      <c r="H79" s="8">
        <f t="shared" si="4"/>
        <v>8749000</v>
      </c>
      <c r="I79" s="111" t="s">
        <v>1262</v>
      </c>
      <c r="J79" s="404"/>
      <c r="K79" s="7"/>
      <c r="L79" s="126"/>
      <c r="M79" s="416"/>
    </row>
    <row r="80" spans="1:13" s="19" customFormat="1" ht="18.75" customHeight="1" x14ac:dyDescent="0.4">
      <c r="A80" s="485">
        <v>46127</v>
      </c>
      <c r="B80" s="110" t="s">
        <v>58</v>
      </c>
      <c r="C80" s="29" t="s">
        <v>60</v>
      </c>
      <c r="D80" s="110" t="s">
        <v>498</v>
      </c>
      <c r="E80" s="110" t="s">
        <v>13</v>
      </c>
      <c r="F80" s="8">
        <v>3</v>
      </c>
      <c r="G80" s="81">
        <v>673000</v>
      </c>
      <c r="H80" s="8">
        <f t="shared" si="4"/>
        <v>2019000</v>
      </c>
      <c r="I80" s="111" t="s">
        <v>1262</v>
      </c>
      <c r="J80" s="404"/>
      <c r="K80" s="7"/>
      <c r="L80" s="126"/>
      <c r="M80" s="416"/>
    </row>
    <row r="81" spans="1:14" s="3" customFormat="1" ht="19.5" customHeight="1" x14ac:dyDescent="0.4">
      <c r="A81" s="488">
        <v>46140</v>
      </c>
      <c r="B81" s="110" t="s">
        <v>58</v>
      </c>
      <c r="C81" s="29" t="s">
        <v>60</v>
      </c>
      <c r="D81" s="110" t="s">
        <v>498</v>
      </c>
      <c r="E81" s="110" t="s">
        <v>13</v>
      </c>
      <c r="F81" s="8">
        <v>27</v>
      </c>
      <c r="G81" s="81">
        <v>673000</v>
      </c>
      <c r="H81" s="8">
        <f t="shared" si="4"/>
        <v>18171000</v>
      </c>
      <c r="I81" s="111" t="s">
        <v>1262</v>
      </c>
      <c r="J81" s="70"/>
      <c r="K81" s="7"/>
      <c r="L81" s="116"/>
      <c r="M81" s="89"/>
    </row>
    <row r="82" spans="1:14" x14ac:dyDescent="0.4">
      <c r="A82" s="488">
        <v>46152</v>
      </c>
      <c r="B82" s="110" t="s">
        <v>58</v>
      </c>
      <c r="C82" s="29" t="s">
        <v>60</v>
      </c>
      <c r="D82" s="110" t="s">
        <v>498</v>
      </c>
      <c r="E82" s="110" t="s">
        <v>13</v>
      </c>
      <c r="F82" s="8">
        <v>27</v>
      </c>
      <c r="G82" s="81">
        <v>673000</v>
      </c>
      <c r="H82" s="8">
        <f t="shared" si="4"/>
        <v>18171000</v>
      </c>
      <c r="I82" s="111" t="s">
        <v>1262</v>
      </c>
      <c r="J82" s="70"/>
      <c r="K82" s="7"/>
      <c r="L82" s="116"/>
    </row>
    <row r="83" spans="1:14" x14ac:dyDescent="0.4">
      <c r="A83" s="488">
        <v>46158</v>
      </c>
      <c r="B83" s="110" t="s">
        <v>58</v>
      </c>
      <c r="C83" s="29" t="s">
        <v>60</v>
      </c>
      <c r="D83" s="110" t="s">
        <v>498</v>
      </c>
      <c r="E83" s="110" t="s">
        <v>13</v>
      </c>
      <c r="F83" s="8">
        <v>44</v>
      </c>
      <c r="G83" s="81">
        <v>673000</v>
      </c>
      <c r="H83" s="8">
        <f t="shared" si="4"/>
        <v>29612000</v>
      </c>
      <c r="I83" s="111" t="s">
        <v>1262</v>
      </c>
      <c r="J83" s="70"/>
      <c r="K83" s="7"/>
      <c r="L83" s="116"/>
    </row>
    <row r="84" spans="1:14" x14ac:dyDescent="0.4">
      <c r="A84" s="482">
        <v>46161</v>
      </c>
      <c r="B84" s="110" t="s">
        <v>58</v>
      </c>
      <c r="C84" s="29" t="s">
        <v>60</v>
      </c>
      <c r="D84" s="110" t="s">
        <v>282</v>
      </c>
      <c r="E84" s="110" t="s">
        <v>11</v>
      </c>
      <c r="F84" s="8">
        <v>148</v>
      </c>
      <c r="G84" s="81">
        <v>246000</v>
      </c>
      <c r="H84" s="8">
        <f t="shared" si="4"/>
        <v>36408000</v>
      </c>
      <c r="I84" s="111" t="s">
        <v>1262</v>
      </c>
      <c r="J84" s="111"/>
      <c r="K84" s="7"/>
      <c r="L84" s="116"/>
    </row>
    <row r="85" spans="1:14" x14ac:dyDescent="0.4">
      <c r="A85" s="482">
        <v>46161</v>
      </c>
      <c r="B85" s="110" t="s">
        <v>58</v>
      </c>
      <c r="C85" s="29" t="s">
        <v>60</v>
      </c>
      <c r="D85" s="110" t="s">
        <v>285</v>
      </c>
      <c r="E85" s="110" t="s">
        <v>11</v>
      </c>
      <c r="F85" s="8">
        <v>150</v>
      </c>
      <c r="G85" s="81">
        <v>188000</v>
      </c>
      <c r="H85" s="8">
        <f t="shared" si="4"/>
        <v>28200000</v>
      </c>
      <c r="I85" s="111" t="s">
        <v>1262</v>
      </c>
      <c r="J85" s="111"/>
      <c r="K85" s="7"/>
      <c r="L85" s="116"/>
    </row>
    <row r="86" spans="1:14" x14ac:dyDescent="0.4">
      <c r="A86" s="488">
        <v>46166</v>
      </c>
      <c r="B86" s="110" t="s">
        <v>58</v>
      </c>
      <c r="C86" s="29" t="s">
        <v>60</v>
      </c>
      <c r="D86" s="110" t="s">
        <v>498</v>
      </c>
      <c r="E86" s="110" t="s">
        <v>13</v>
      </c>
      <c r="F86" s="8">
        <v>27</v>
      </c>
      <c r="G86" s="81">
        <v>673000</v>
      </c>
      <c r="H86" s="8">
        <f t="shared" si="4"/>
        <v>18171000</v>
      </c>
      <c r="I86" s="111" t="s">
        <v>1262</v>
      </c>
      <c r="J86" s="70"/>
      <c r="K86" s="7"/>
      <c r="L86" s="116"/>
    </row>
    <row r="87" spans="1:14" x14ac:dyDescent="0.4">
      <c r="A87" s="488">
        <v>46172</v>
      </c>
      <c r="B87" s="110" t="s">
        <v>58</v>
      </c>
      <c r="C87" s="29" t="s">
        <v>720</v>
      </c>
      <c r="D87" s="110" t="s">
        <v>558</v>
      </c>
      <c r="E87" s="110" t="s">
        <v>11</v>
      </c>
      <c r="F87" s="8">
        <v>16</v>
      </c>
      <c r="G87" s="81">
        <v>700000</v>
      </c>
      <c r="H87" s="8">
        <f t="shared" si="4"/>
        <v>11200000</v>
      </c>
      <c r="I87" s="137" t="s">
        <v>1412</v>
      </c>
      <c r="J87" s="70"/>
      <c r="K87" s="7"/>
      <c r="L87" s="116"/>
    </row>
    <row r="88" spans="1:14" x14ac:dyDescent="0.4">
      <c r="A88" s="488">
        <v>46172</v>
      </c>
      <c r="B88" s="110" t="s">
        <v>58</v>
      </c>
      <c r="C88" s="29" t="s">
        <v>720</v>
      </c>
      <c r="D88" s="110" t="s">
        <v>559</v>
      </c>
      <c r="E88" s="110" t="s">
        <v>11</v>
      </c>
      <c r="F88" s="8">
        <v>16</v>
      </c>
      <c r="G88" s="81">
        <v>700000</v>
      </c>
      <c r="H88" s="8">
        <f t="shared" si="4"/>
        <v>11200000</v>
      </c>
      <c r="I88" s="137" t="s">
        <v>1412</v>
      </c>
      <c r="J88" s="70"/>
      <c r="K88" s="7"/>
      <c r="L88" s="116"/>
    </row>
    <row r="89" spans="1:14" x14ac:dyDescent="0.4">
      <c r="A89" s="488">
        <v>46172</v>
      </c>
      <c r="B89" s="110" t="s">
        <v>58</v>
      </c>
      <c r="C89" s="29" t="s">
        <v>60</v>
      </c>
      <c r="D89" s="110" t="s">
        <v>498</v>
      </c>
      <c r="E89" s="110" t="s">
        <v>13</v>
      </c>
      <c r="F89" s="8">
        <v>14</v>
      </c>
      <c r="G89" s="81">
        <v>673000</v>
      </c>
      <c r="H89" s="8">
        <f t="shared" ref="H89:H107" si="5">F89*G89</f>
        <v>9422000</v>
      </c>
      <c r="I89" s="111"/>
      <c r="J89" s="70"/>
      <c r="K89" s="7"/>
      <c r="L89" s="116"/>
    </row>
    <row r="90" spans="1:14" s="3" customFormat="1" ht="19.5" customHeight="1" x14ac:dyDescent="0.4">
      <c r="A90" s="488">
        <v>46183</v>
      </c>
      <c r="B90" s="110" t="s">
        <v>58</v>
      </c>
      <c r="C90" s="29" t="s">
        <v>60</v>
      </c>
      <c r="D90" s="110" t="s">
        <v>498</v>
      </c>
      <c r="E90" s="110" t="s">
        <v>13</v>
      </c>
      <c r="F90" s="8">
        <v>24</v>
      </c>
      <c r="G90" s="81">
        <v>673000</v>
      </c>
      <c r="H90" s="8">
        <f t="shared" si="5"/>
        <v>16152000</v>
      </c>
      <c r="I90" s="111"/>
      <c r="J90" s="70"/>
      <c r="K90" s="8"/>
      <c r="L90" s="116"/>
      <c r="M90" s="89"/>
    </row>
    <row r="91" spans="1:14" s="3" customFormat="1" ht="19.5" customHeight="1" x14ac:dyDescent="0.4">
      <c r="A91" s="488">
        <v>46189</v>
      </c>
      <c r="B91" s="110" t="s">
        <v>58</v>
      </c>
      <c r="C91" s="29" t="s">
        <v>60</v>
      </c>
      <c r="D91" s="110" t="s">
        <v>498</v>
      </c>
      <c r="E91" s="110" t="s">
        <v>13</v>
      </c>
      <c r="F91" s="8">
        <v>17</v>
      </c>
      <c r="G91" s="81">
        <v>673000</v>
      </c>
      <c r="H91" s="8">
        <f t="shared" si="5"/>
        <v>11441000</v>
      </c>
      <c r="I91" s="111"/>
      <c r="J91" s="70"/>
      <c r="K91" s="8"/>
      <c r="L91" s="116"/>
      <c r="M91" s="89"/>
    </row>
    <row r="92" spans="1:14" s="113" customFormat="1" ht="18.75" customHeight="1" x14ac:dyDescent="0.4">
      <c r="A92" s="482">
        <v>46201</v>
      </c>
      <c r="B92" s="110" t="s">
        <v>58</v>
      </c>
      <c r="C92" s="418" t="s">
        <v>875</v>
      </c>
      <c r="D92" s="110" t="s">
        <v>500</v>
      </c>
      <c r="E92" s="110" t="s">
        <v>11</v>
      </c>
      <c r="F92" s="8">
        <v>16</v>
      </c>
      <c r="G92" s="81">
        <v>566800</v>
      </c>
      <c r="H92" s="8">
        <f t="shared" si="5"/>
        <v>9068800</v>
      </c>
      <c r="I92" s="111"/>
      <c r="J92" s="111"/>
      <c r="K92" s="110"/>
      <c r="L92" s="116"/>
    </row>
    <row r="93" spans="1:14" s="113" customFormat="1" ht="18.75" customHeight="1" x14ac:dyDescent="0.4">
      <c r="A93" s="482">
        <v>46201</v>
      </c>
      <c r="B93" s="110" t="s">
        <v>58</v>
      </c>
      <c r="C93" s="418" t="s">
        <v>875</v>
      </c>
      <c r="D93" s="110" t="s">
        <v>502</v>
      </c>
      <c r="E93" s="110" t="s">
        <v>11</v>
      </c>
      <c r="F93" s="8">
        <v>16</v>
      </c>
      <c r="G93" s="81">
        <v>566800</v>
      </c>
      <c r="H93" s="8">
        <f t="shared" si="5"/>
        <v>9068800</v>
      </c>
      <c r="I93" s="111"/>
      <c r="J93" s="111"/>
      <c r="K93" s="110"/>
      <c r="L93" s="116"/>
    </row>
    <row r="94" spans="1:14" s="113" customFormat="1" ht="18.75" customHeight="1" x14ac:dyDescent="0.4">
      <c r="A94" s="482">
        <v>46201</v>
      </c>
      <c r="B94" s="110" t="s">
        <v>58</v>
      </c>
      <c r="C94" s="29" t="s">
        <v>1549</v>
      </c>
      <c r="D94" s="110" t="s">
        <v>285</v>
      </c>
      <c r="E94" s="110" t="s">
        <v>11</v>
      </c>
      <c r="F94" s="8">
        <v>99</v>
      </c>
      <c r="G94" s="81">
        <v>188000</v>
      </c>
      <c r="H94" s="8">
        <f t="shared" si="5"/>
        <v>18612000</v>
      </c>
      <c r="I94" s="111" t="s">
        <v>1262</v>
      </c>
      <c r="J94" s="111"/>
      <c r="K94" s="110"/>
      <c r="L94" s="116"/>
      <c r="N94" s="113">
        <v>36</v>
      </c>
    </row>
    <row r="95" spans="1:14" s="3" customFormat="1" ht="19.5" customHeight="1" x14ac:dyDescent="0.4">
      <c r="A95" s="582">
        <v>46034</v>
      </c>
      <c r="B95" s="583" t="s">
        <v>58</v>
      </c>
      <c r="C95" s="584" t="s">
        <v>60</v>
      </c>
      <c r="D95" s="583" t="s">
        <v>722</v>
      </c>
      <c r="E95" s="583" t="s">
        <v>13</v>
      </c>
      <c r="F95" s="463">
        <v>1</v>
      </c>
      <c r="G95" s="578">
        <v>673000</v>
      </c>
      <c r="H95" s="463">
        <f t="shared" si="5"/>
        <v>673000</v>
      </c>
      <c r="I95" s="464"/>
      <c r="J95" s="585"/>
      <c r="K95" s="572" t="s">
        <v>1632</v>
      </c>
      <c r="L95" s="586"/>
      <c r="M95" s="89"/>
    </row>
    <row r="96" spans="1:14" s="3" customFormat="1" ht="19.5" customHeight="1" x14ac:dyDescent="0.4">
      <c r="A96" s="582">
        <v>46034</v>
      </c>
      <c r="B96" s="583" t="s">
        <v>58</v>
      </c>
      <c r="C96" s="584" t="s">
        <v>60</v>
      </c>
      <c r="D96" s="583" t="s">
        <v>723</v>
      </c>
      <c r="E96" s="583" t="s">
        <v>13</v>
      </c>
      <c r="F96" s="463">
        <v>1</v>
      </c>
      <c r="G96" s="578">
        <v>673000</v>
      </c>
      <c r="H96" s="463">
        <f t="shared" si="5"/>
        <v>673000</v>
      </c>
      <c r="I96" s="464"/>
      <c r="J96" s="585"/>
      <c r="K96" s="572" t="s">
        <v>1632</v>
      </c>
      <c r="L96" s="586"/>
      <c r="M96" s="89"/>
    </row>
    <row r="97" spans="1:13" s="3" customFormat="1" ht="19.5" customHeight="1" x14ac:dyDescent="0.4">
      <c r="A97" s="582">
        <v>46034</v>
      </c>
      <c r="B97" s="583" t="s">
        <v>58</v>
      </c>
      <c r="C97" s="584" t="s">
        <v>60</v>
      </c>
      <c r="D97" s="583" t="s">
        <v>724</v>
      </c>
      <c r="E97" s="583" t="s">
        <v>13</v>
      </c>
      <c r="F97" s="463">
        <v>9</v>
      </c>
      <c r="G97" s="578">
        <v>188000</v>
      </c>
      <c r="H97" s="463">
        <f t="shared" si="5"/>
        <v>1692000</v>
      </c>
      <c r="I97" s="464"/>
      <c r="J97" s="585"/>
      <c r="K97" s="572" t="s">
        <v>1632</v>
      </c>
      <c r="L97" s="586"/>
      <c r="M97" s="89"/>
    </row>
    <row r="98" spans="1:13" s="3" customFormat="1" ht="19.5" customHeight="1" x14ac:dyDescent="0.4">
      <c r="A98" s="582">
        <v>46034</v>
      </c>
      <c r="B98" s="583" t="s">
        <v>725</v>
      </c>
      <c r="C98" s="584" t="s">
        <v>60</v>
      </c>
      <c r="D98" s="583" t="s">
        <v>726</v>
      </c>
      <c r="E98" s="583" t="s">
        <v>11</v>
      </c>
      <c r="F98" s="463">
        <v>6</v>
      </c>
      <c r="G98" s="578">
        <v>188000</v>
      </c>
      <c r="H98" s="463">
        <f t="shared" si="5"/>
        <v>1128000</v>
      </c>
      <c r="I98" s="464"/>
      <c r="J98" s="585"/>
      <c r="K98" s="572" t="s">
        <v>1632</v>
      </c>
      <c r="L98" s="586"/>
      <c r="M98" s="89"/>
    </row>
    <row r="99" spans="1:13" s="28" customFormat="1" ht="19.5" customHeight="1" x14ac:dyDescent="0.4">
      <c r="A99" s="587">
        <v>46052</v>
      </c>
      <c r="B99" s="588" t="s">
        <v>58</v>
      </c>
      <c r="C99" s="589" t="s">
        <v>445</v>
      </c>
      <c r="D99" s="590" t="s">
        <v>497</v>
      </c>
      <c r="E99" s="590"/>
      <c r="F99" s="591">
        <v>12</v>
      </c>
      <c r="G99" s="591">
        <v>1671500</v>
      </c>
      <c r="H99" s="463">
        <f t="shared" si="5"/>
        <v>20058000</v>
      </c>
      <c r="I99" s="464"/>
      <c r="J99" s="592"/>
      <c r="K99" s="572" t="s">
        <v>1632</v>
      </c>
      <c r="L99" s="593"/>
      <c r="M99" s="366"/>
    </row>
    <row r="100" spans="1:13" s="113" customFormat="1" ht="18.75" customHeight="1" x14ac:dyDescent="0.4">
      <c r="A100" s="582">
        <v>46066</v>
      </c>
      <c r="B100" s="583" t="s">
        <v>58</v>
      </c>
      <c r="C100" s="584" t="s">
        <v>60</v>
      </c>
      <c r="D100" s="583" t="s">
        <v>282</v>
      </c>
      <c r="E100" s="583" t="s">
        <v>11</v>
      </c>
      <c r="F100" s="463">
        <v>8</v>
      </c>
      <c r="G100" s="595">
        <v>246000</v>
      </c>
      <c r="H100" s="463">
        <f t="shared" si="5"/>
        <v>1968000</v>
      </c>
      <c r="I100" s="594" t="s">
        <v>870</v>
      </c>
      <c r="J100" s="594"/>
      <c r="K100" s="572" t="s">
        <v>1632</v>
      </c>
      <c r="L100" s="586"/>
    </row>
    <row r="101" spans="1:13" s="113" customFormat="1" ht="18.75" customHeight="1" x14ac:dyDescent="0.4">
      <c r="A101" s="582">
        <v>46066</v>
      </c>
      <c r="B101" s="583" t="s">
        <v>58</v>
      </c>
      <c r="C101" s="584" t="s">
        <v>60</v>
      </c>
      <c r="D101" s="583" t="s">
        <v>285</v>
      </c>
      <c r="E101" s="583" t="s">
        <v>11</v>
      </c>
      <c r="F101" s="463">
        <v>8</v>
      </c>
      <c r="G101" s="595">
        <v>188000</v>
      </c>
      <c r="H101" s="463">
        <f t="shared" si="5"/>
        <v>1504000</v>
      </c>
      <c r="I101" s="594" t="s">
        <v>870</v>
      </c>
      <c r="J101" s="594"/>
      <c r="K101" s="572" t="s">
        <v>1632</v>
      </c>
      <c r="L101" s="586"/>
    </row>
    <row r="102" spans="1:13" s="19" customFormat="1" ht="18.75" customHeight="1" x14ac:dyDescent="0.4">
      <c r="A102" s="587">
        <v>46066</v>
      </c>
      <c r="B102" s="588" t="s">
        <v>58</v>
      </c>
      <c r="C102" s="596" t="s">
        <v>445</v>
      </c>
      <c r="D102" s="574" t="s">
        <v>497</v>
      </c>
      <c r="E102" s="583" t="s">
        <v>11</v>
      </c>
      <c r="F102" s="463">
        <v>36</v>
      </c>
      <c r="G102" s="463">
        <v>1671500</v>
      </c>
      <c r="H102" s="463">
        <f t="shared" si="5"/>
        <v>60174000</v>
      </c>
      <c r="I102" s="594" t="s">
        <v>872</v>
      </c>
      <c r="J102" s="597"/>
      <c r="K102" s="572" t="s">
        <v>1632</v>
      </c>
      <c r="L102" s="593"/>
      <c r="M102" s="416"/>
    </row>
    <row r="103" spans="1:13" s="19" customFormat="1" ht="18.75" customHeight="1" x14ac:dyDescent="0.4">
      <c r="A103" s="582">
        <v>46080</v>
      </c>
      <c r="B103" s="588" t="s">
        <v>58</v>
      </c>
      <c r="C103" s="596" t="s">
        <v>445</v>
      </c>
      <c r="D103" s="574" t="s">
        <v>497</v>
      </c>
      <c r="E103" s="583" t="s">
        <v>11</v>
      </c>
      <c r="F103" s="463">
        <v>24</v>
      </c>
      <c r="G103" s="463">
        <v>1671500</v>
      </c>
      <c r="H103" s="463">
        <f t="shared" si="5"/>
        <v>40116000</v>
      </c>
      <c r="I103" s="594" t="s">
        <v>877</v>
      </c>
      <c r="J103" s="597"/>
      <c r="K103" s="572" t="s">
        <v>1632</v>
      </c>
      <c r="L103" s="593"/>
      <c r="M103" s="416"/>
    </row>
    <row r="104" spans="1:13" s="3" customFormat="1" ht="19.5" customHeight="1" x14ac:dyDescent="0.4">
      <c r="A104" s="582">
        <v>46142</v>
      </c>
      <c r="B104" s="583" t="s">
        <v>58</v>
      </c>
      <c r="C104" s="584" t="s">
        <v>60</v>
      </c>
      <c r="D104" s="602" t="s">
        <v>1266</v>
      </c>
      <c r="E104" s="583" t="s">
        <v>13</v>
      </c>
      <c r="F104" s="603">
        <v>2</v>
      </c>
      <c r="G104" s="604">
        <v>2252000</v>
      </c>
      <c r="H104" s="463">
        <f t="shared" si="5"/>
        <v>4504000</v>
      </c>
      <c r="I104" s="594" t="s">
        <v>1267</v>
      </c>
      <c r="J104" s="585"/>
      <c r="K104" s="572" t="s">
        <v>1632</v>
      </c>
      <c r="L104" s="586"/>
      <c r="M104" s="89"/>
    </row>
    <row r="105" spans="1:13" s="3" customFormat="1" ht="19.5" customHeight="1" x14ac:dyDescent="0.4">
      <c r="A105" s="598">
        <v>46189</v>
      </c>
      <c r="B105" s="583" t="s">
        <v>58</v>
      </c>
      <c r="C105" s="584" t="s">
        <v>60</v>
      </c>
      <c r="D105" s="583" t="s">
        <v>498</v>
      </c>
      <c r="E105" s="583" t="s">
        <v>13</v>
      </c>
      <c r="F105" s="463">
        <v>13</v>
      </c>
      <c r="G105" s="578">
        <v>673000</v>
      </c>
      <c r="H105" s="463">
        <f t="shared" si="5"/>
        <v>8749000</v>
      </c>
      <c r="I105" s="594"/>
      <c r="J105" s="586"/>
      <c r="K105" s="585" t="s">
        <v>1632</v>
      </c>
      <c r="L105" s="586"/>
      <c r="M105" s="89"/>
    </row>
    <row r="106" spans="1:13" s="3" customFormat="1" ht="19.5" customHeight="1" x14ac:dyDescent="0.4">
      <c r="A106" s="598">
        <v>46199</v>
      </c>
      <c r="B106" s="583" t="s">
        <v>58</v>
      </c>
      <c r="C106" s="584" t="s">
        <v>60</v>
      </c>
      <c r="D106" s="583" t="s">
        <v>498</v>
      </c>
      <c r="E106" s="583" t="s">
        <v>13</v>
      </c>
      <c r="F106" s="463">
        <v>16</v>
      </c>
      <c r="G106" s="578">
        <v>673000</v>
      </c>
      <c r="H106" s="463">
        <f t="shared" si="5"/>
        <v>10768000</v>
      </c>
      <c r="I106" s="594"/>
      <c r="J106" s="586"/>
      <c r="K106" s="585" t="s">
        <v>1632</v>
      </c>
      <c r="L106" s="586"/>
      <c r="M106" s="89"/>
    </row>
    <row r="107" spans="1:13" s="113" customFormat="1" ht="18.75" customHeight="1" x14ac:dyDescent="0.4">
      <c r="A107" s="582">
        <v>46201</v>
      </c>
      <c r="B107" s="583" t="s">
        <v>58</v>
      </c>
      <c r="C107" s="584" t="s">
        <v>1547</v>
      </c>
      <c r="D107" s="583" t="s">
        <v>1548</v>
      </c>
      <c r="E107" s="583" t="s">
        <v>11</v>
      </c>
      <c r="F107" s="463">
        <v>100</v>
      </c>
      <c r="G107" s="578">
        <v>246000</v>
      </c>
      <c r="H107" s="463">
        <f t="shared" si="5"/>
        <v>24600000</v>
      </c>
      <c r="I107" s="594" t="s">
        <v>1262</v>
      </c>
      <c r="J107" s="586"/>
      <c r="K107" s="585" t="s">
        <v>1632</v>
      </c>
      <c r="L107" s="586"/>
    </row>
    <row r="108" spans="1:13" s="3" customFormat="1" ht="19.5" customHeight="1" x14ac:dyDescent="0.4">
      <c r="A108" s="598">
        <v>46203</v>
      </c>
      <c r="B108" s="583" t="s">
        <v>58</v>
      </c>
      <c r="C108" s="584" t="s">
        <v>60</v>
      </c>
      <c r="D108" s="583" t="s">
        <v>498</v>
      </c>
      <c r="E108" s="583" t="s">
        <v>13</v>
      </c>
      <c r="F108" s="463">
        <v>26</v>
      </c>
      <c r="G108" s="578">
        <v>673000</v>
      </c>
      <c r="H108" s="463">
        <f t="shared" ref="H108:H116" si="6">F108*G108</f>
        <v>17498000</v>
      </c>
      <c r="I108" s="689"/>
      <c r="J108" s="586"/>
      <c r="K108" s="585" t="s">
        <v>1632</v>
      </c>
      <c r="L108" s="586"/>
      <c r="M108" s="89"/>
    </row>
    <row r="109" spans="1:13" s="3" customFormat="1" ht="19.5" customHeight="1" x14ac:dyDescent="0.4">
      <c r="A109" s="598">
        <v>46183</v>
      </c>
      <c r="B109" s="583" t="s">
        <v>58</v>
      </c>
      <c r="C109" s="584" t="s">
        <v>60</v>
      </c>
      <c r="D109" s="602" t="s">
        <v>1545</v>
      </c>
      <c r="E109" s="583" t="s">
        <v>13</v>
      </c>
      <c r="F109" s="603">
        <v>2</v>
      </c>
      <c r="G109" s="604">
        <v>765000</v>
      </c>
      <c r="H109" s="463">
        <f t="shared" si="6"/>
        <v>1530000</v>
      </c>
      <c r="I109" s="594"/>
      <c r="J109" s="586"/>
      <c r="K109" s="585" t="s">
        <v>1632</v>
      </c>
      <c r="L109" s="586"/>
      <c r="M109" s="89"/>
    </row>
    <row r="110" spans="1:13" s="3" customFormat="1" ht="19.5" customHeight="1" x14ac:dyDescent="0.4">
      <c r="A110" s="598">
        <v>46183</v>
      </c>
      <c r="B110" s="583" t="s">
        <v>58</v>
      </c>
      <c r="C110" s="584" t="s">
        <v>60</v>
      </c>
      <c r="D110" s="602" t="s">
        <v>1546</v>
      </c>
      <c r="E110" s="583" t="s">
        <v>13</v>
      </c>
      <c r="F110" s="603">
        <v>2</v>
      </c>
      <c r="G110" s="604">
        <v>575000</v>
      </c>
      <c r="H110" s="463">
        <f t="shared" si="6"/>
        <v>1150000</v>
      </c>
      <c r="I110" s="594"/>
      <c r="J110" s="586"/>
      <c r="K110" s="585" t="s">
        <v>1632</v>
      </c>
      <c r="L110" s="586"/>
      <c r="M110" s="89"/>
    </row>
    <row r="111" spans="1:13" s="3" customFormat="1" ht="19.5" customHeight="1" x14ac:dyDescent="0.4">
      <c r="A111" s="598">
        <v>46185</v>
      </c>
      <c r="B111" s="583" t="s">
        <v>58</v>
      </c>
      <c r="C111" s="584" t="s">
        <v>720</v>
      </c>
      <c r="D111" s="583" t="s">
        <v>558</v>
      </c>
      <c r="E111" s="583" t="s">
        <v>11</v>
      </c>
      <c r="F111" s="463">
        <v>16</v>
      </c>
      <c r="G111" s="578">
        <v>700000</v>
      </c>
      <c r="H111" s="463">
        <f t="shared" si="6"/>
        <v>11200000</v>
      </c>
      <c r="I111" s="689"/>
      <c r="J111" s="586"/>
      <c r="K111" s="585" t="s">
        <v>1632</v>
      </c>
      <c r="L111" s="586"/>
      <c r="M111" s="89"/>
    </row>
    <row r="112" spans="1:13" s="3" customFormat="1" ht="19.5" customHeight="1" x14ac:dyDescent="0.4">
      <c r="A112" s="598">
        <v>46185</v>
      </c>
      <c r="B112" s="583" t="s">
        <v>58</v>
      </c>
      <c r="C112" s="584" t="s">
        <v>720</v>
      </c>
      <c r="D112" s="583" t="s">
        <v>559</v>
      </c>
      <c r="E112" s="583" t="s">
        <v>11</v>
      </c>
      <c r="F112" s="463">
        <v>16</v>
      </c>
      <c r="G112" s="578">
        <v>700000</v>
      </c>
      <c r="H112" s="463">
        <f t="shared" si="6"/>
        <v>11200000</v>
      </c>
      <c r="I112" s="689"/>
      <c r="J112" s="586"/>
      <c r="K112" s="585" t="s">
        <v>1632</v>
      </c>
      <c r="L112" s="586"/>
      <c r="M112" s="89"/>
    </row>
    <row r="113" spans="1:13" s="3" customFormat="1" ht="19.5" customHeight="1" x14ac:dyDescent="0.4">
      <c r="A113" s="598">
        <v>46192</v>
      </c>
      <c r="B113" s="583" t="s">
        <v>58</v>
      </c>
      <c r="C113" s="584" t="s">
        <v>720</v>
      </c>
      <c r="D113" s="583" t="s">
        <v>558</v>
      </c>
      <c r="E113" s="583" t="s">
        <v>11</v>
      </c>
      <c r="F113" s="463">
        <v>4</v>
      </c>
      <c r="G113" s="578">
        <v>700000</v>
      </c>
      <c r="H113" s="463">
        <f t="shared" si="6"/>
        <v>2800000</v>
      </c>
      <c r="I113" s="689"/>
      <c r="J113" s="586"/>
      <c r="K113" s="585" t="s">
        <v>1632</v>
      </c>
      <c r="L113" s="586"/>
      <c r="M113" s="89"/>
    </row>
    <row r="114" spans="1:13" s="3" customFormat="1" ht="19.5" customHeight="1" x14ac:dyDescent="0.4">
      <c r="A114" s="598">
        <v>46192</v>
      </c>
      <c r="B114" s="583" t="s">
        <v>58</v>
      </c>
      <c r="C114" s="584" t="s">
        <v>720</v>
      </c>
      <c r="D114" s="583" t="s">
        <v>559</v>
      </c>
      <c r="E114" s="583" t="s">
        <v>11</v>
      </c>
      <c r="F114" s="463">
        <v>4</v>
      </c>
      <c r="G114" s="578">
        <v>700000</v>
      </c>
      <c r="H114" s="463">
        <f t="shared" si="6"/>
        <v>2800000</v>
      </c>
      <c r="I114" s="689"/>
      <c r="J114" s="586"/>
      <c r="K114" s="585" t="s">
        <v>1632</v>
      </c>
      <c r="L114" s="586"/>
      <c r="M114" s="89"/>
    </row>
    <row r="115" spans="1:13" s="3" customFormat="1" ht="19.5" customHeight="1" x14ac:dyDescent="0.4">
      <c r="A115" s="598">
        <v>46203</v>
      </c>
      <c r="B115" s="583" t="s">
        <v>58</v>
      </c>
      <c r="C115" s="584" t="s">
        <v>720</v>
      </c>
      <c r="D115" s="583" t="s">
        <v>558</v>
      </c>
      <c r="E115" s="583" t="s">
        <v>11</v>
      </c>
      <c r="F115" s="463">
        <v>8</v>
      </c>
      <c r="G115" s="578">
        <v>700000</v>
      </c>
      <c r="H115" s="463">
        <f t="shared" si="6"/>
        <v>5600000</v>
      </c>
      <c r="I115" s="689"/>
      <c r="J115" s="586"/>
      <c r="K115" s="585" t="s">
        <v>1632</v>
      </c>
      <c r="L115" s="586"/>
      <c r="M115" s="89"/>
    </row>
    <row r="116" spans="1:13" s="3" customFormat="1" ht="19.5" customHeight="1" x14ac:dyDescent="0.4">
      <c r="A116" s="598">
        <v>46203</v>
      </c>
      <c r="B116" s="583" t="s">
        <v>58</v>
      </c>
      <c r="C116" s="584" t="s">
        <v>720</v>
      </c>
      <c r="D116" s="583" t="s">
        <v>559</v>
      </c>
      <c r="E116" s="583" t="s">
        <v>11</v>
      </c>
      <c r="F116" s="463">
        <v>8</v>
      </c>
      <c r="G116" s="578">
        <v>700000</v>
      </c>
      <c r="H116" s="463">
        <f t="shared" si="6"/>
        <v>5600000</v>
      </c>
      <c r="I116" s="689"/>
      <c r="J116" s="586"/>
      <c r="K116" s="585" t="s">
        <v>1632</v>
      </c>
      <c r="L116" s="586"/>
      <c r="M116" s="89"/>
    </row>
    <row r="117" spans="1:13" s="3" customFormat="1" ht="19.5" customHeight="1" x14ac:dyDescent="0.4">
      <c r="A117" s="598">
        <v>46203</v>
      </c>
      <c r="B117" s="583" t="s">
        <v>58</v>
      </c>
      <c r="C117" s="584" t="s">
        <v>720</v>
      </c>
      <c r="D117" s="583" t="s">
        <v>559</v>
      </c>
      <c r="E117" s="583" t="s">
        <v>11</v>
      </c>
      <c r="F117" s="463">
        <v>1</v>
      </c>
      <c r="G117" s="578">
        <v>700000</v>
      </c>
      <c r="H117" s="463" t="s">
        <v>186</v>
      </c>
      <c r="I117" s="689"/>
      <c r="J117" s="586"/>
      <c r="K117" s="585" t="s">
        <v>1632</v>
      </c>
      <c r="L117" s="586"/>
      <c r="M117" s="89"/>
    </row>
    <row r="118" spans="1:13" s="3" customFormat="1" ht="19.5" customHeight="1" x14ac:dyDescent="0.4">
      <c r="A118" s="488"/>
      <c r="B118" s="110"/>
      <c r="C118" s="29"/>
      <c r="D118" s="110"/>
      <c r="E118" s="110"/>
      <c r="F118" s="8"/>
      <c r="G118" s="81"/>
      <c r="H118" s="8"/>
      <c r="I118" s="137"/>
      <c r="J118" s="70"/>
      <c r="K118" s="8"/>
      <c r="L118" s="116"/>
      <c r="M118" s="89"/>
    </row>
    <row r="119" spans="1:13" s="3" customFormat="1" ht="19.5" customHeight="1" x14ac:dyDescent="0.4">
      <c r="A119" s="488"/>
      <c r="B119" s="110"/>
      <c r="C119" s="29"/>
      <c r="D119" s="110"/>
      <c r="E119" s="110"/>
      <c r="F119" s="8"/>
      <c r="G119" s="81"/>
      <c r="H119" s="8"/>
      <c r="I119" s="137"/>
      <c r="J119" s="70"/>
      <c r="K119" s="8"/>
      <c r="L119" s="116"/>
      <c r="M119" s="89"/>
    </row>
    <row r="120" spans="1:13" s="19" customFormat="1" ht="19.5" customHeight="1" x14ac:dyDescent="0.4">
      <c r="A120" s="622"/>
      <c r="B120" s="39"/>
      <c r="C120" s="88"/>
      <c r="D120" s="434"/>
      <c r="E120" s="39"/>
      <c r="F120" s="39"/>
      <c r="G120" s="98"/>
      <c r="H120" s="138">
        <f>SUM(H68:H94)</f>
        <v>437402600</v>
      </c>
      <c r="I120" s="435"/>
      <c r="J120" s="436"/>
      <c r="K120" s="40"/>
      <c r="L120" s="696"/>
    </row>
    <row r="121" spans="1:13" ht="19.5" customHeight="1" x14ac:dyDescent="0.4">
      <c r="A121" s="484">
        <v>46170</v>
      </c>
      <c r="B121" s="59" t="s">
        <v>356</v>
      </c>
      <c r="C121" s="525" t="s">
        <v>56</v>
      </c>
      <c r="D121" s="59" t="s">
        <v>1269</v>
      </c>
      <c r="E121" s="59" t="s">
        <v>13</v>
      </c>
      <c r="F121" s="525">
        <v>20</v>
      </c>
      <c r="G121" s="525">
        <v>536960</v>
      </c>
      <c r="H121" s="525">
        <f>F121*G121</f>
        <v>10739200</v>
      </c>
      <c r="I121" s="747"/>
      <c r="J121" s="59"/>
      <c r="K121" s="67"/>
      <c r="L121" s="67"/>
    </row>
    <row r="122" spans="1:13" s="50" customFormat="1" ht="20.25" customHeight="1" x14ac:dyDescent="0.4">
      <c r="A122" s="484">
        <v>46203</v>
      </c>
      <c r="B122" s="59" t="s">
        <v>356</v>
      </c>
      <c r="C122" s="525" t="s">
        <v>56</v>
      </c>
      <c r="D122" s="59" t="s">
        <v>1269</v>
      </c>
      <c r="E122" s="59" t="s">
        <v>13</v>
      </c>
      <c r="F122" s="700">
        <v>20</v>
      </c>
      <c r="G122" s="525">
        <v>536960</v>
      </c>
      <c r="H122" s="525">
        <f>F122*G122</f>
        <v>10739200</v>
      </c>
      <c r="I122" s="409" t="s">
        <v>1634</v>
      </c>
      <c r="J122" s="59"/>
      <c r="K122" s="67"/>
      <c r="L122" s="67" t="s">
        <v>495</v>
      </c>
    </row>
    <row r="123" spans="1:13" s="50" customFormat="1" ht="20.25" customHeight="1" x14ac:dyDescent="0.4">
      <c r="A123" s="483"/>
      <c r="B123" s="194"/>
      <c r="C123" s="40"/>
      <c r="D123" s="194"/>
      <c r="E123" s="194"/>
      <c r="F123" s="91"/>
      <c r="G123" s="138"/>
      <c r="H123" s="138">
        <f>SUM(H121)</f>
        <v>10739200</v>
      </c>
      <c r="I123" s="138">
        <f>G120*27</f>
        <v>0</v>
      </c>
      <c r="J123" s="145"/>
      <c r="K123" s="145"/>
      <c r="L123" s="145"/>
    </row>
    <row r="124" spans="1:13" s="3" customFormat="1" ht="19.5" customHeight="1" x14ac:dyDescent="0.4">
      <c r="A124" s="482">
        <v>46174</v>
      </c>
      <c r="B124" s="103" t="s">
        <v>1550</v>
      </c>
      <c r="C124" s="29" t="s">
        <v>290</v>
      </c>
      <c r="D124" s="110" t="s">
        <v>291</v>
      </c>
      <c r="E124" s="110"/>
      <c r="F124" s="81">
        <v>2</v>
      </c>
      <c r="G124" s="81">
        <v>129000</v>
      </c>
      <c r="H124" s="36">
        <v>258000</v>
      </c>
      <c r="I124" s="81" t="s">
        <v>70</v>
      </c>
      <c r="J124" s="487"/>
      <c r="K124" s="196"/>
      <c r="L124" s="196"/>
      <c r="M124" s="89"/>
    </row>
    <row r="125" spans="1:13" ht="19.5" customHeight="1" x14ac:dyDescent="0.4">
      <c r="A125" s="484">
        <v>46174</v>
      </c>
      <c r="B125" s="59" t="s">
        <v>1550</v>
      </c>
      <c r="C125" s="61" t="s">
        <v>290</v>
      </c>
      <c r="D125" s="59" t="s">
        <v>291</v>
      </c>
      <c r="E125" s="59"/>
      <c r="F125" s="197">
        <v>2</v>
      </c>
      <c r="G125" s="49">
        <v>129000</v>
      </c>
      <c r="H125" s="7">
        <v>258000</v>
      </c>
      <c r="I125" s="624" t="s">
        <v>70</v>
      </c>
      <c r="J125" s="109"/>
      <c r="K125" s="144"/>
      <c r="L125" s="140"/>
    </row>
    <row r="126" spans="1:13" ht="19.5" customHeight="1" x14ac:dyDescent="0.4">
      <c r="A126" s="484">
        <v>46175</v>
      </c>
      <c r="B126" s="59" t="s">
        <v>1550</v>
      </c>
      <c r="C126" s="61" t="s">
        <v>202</v>
      </c>
      <c r="D126" s="59" t="s">
        <v>203</v>
      </c>
      <c r="E126" s="59"/>
      <c r="F126" s="197">
        <v>7</v>
      </c>
      <c r="G126" s="49">
        <v>384000</v>
      </c>
      <c r="H126" s="7">
        <v>2688000</v>
      </c>
      <c r="I126" s="49" t="s">
        <v>1414</v>
      </c>
      <c r="J126" s="109"/>
      <c r="K126" s="144"/>
      <c r="L126" s="140"/>
    </row>
    <row r="127" spans="1:13" ht="19.5" customHeight="1" x14ac:dyDescent="0.4">
      <c r="A127" s="484">
        <v>46175</v>
      </c>
      <c r="B127" s="59" t="s">
        <v>1550</v>
      </c>
      <c r="C127" s="61" t="s">
        <v>105</v>
      </c>
      <c r="D127" s="59" t="s">
        <v>117</v>
      </c>
      <c r="E127" s="59"/>
      <c r="F127" s="197">
        <v>7</v>
      </c>
      <c r="G127" s="49">
        <v>248000</v>
      </c>
      <c r="H127" s="7">
        <v>1736000</v>
      </c>
      <c r="I127" s="49" t="s">
        <v>1414</v>
      </c>
      <c r="J127" s="109"/>
      <c r="K127" s="144"/>
      <c r="L127" s="140"/>
    </row>
    <row r="128" spans="1:13" ht="19.5" customHeight="1" x14ac:dyDescent="0.4">
      <c r="A128" s="484">
        <v>46175</v>
      </c>
      <c r="B128" s="59" t="s">
        <v>1550</v>
      </c>
      <c r="C128" s="61" t="s">
        <v>105</v>
      </c>
      <c r="D128" s="59" t="s">
        <v>117</v>
      </c>
      <c r="E128" s="59"/>
      <c r="F128" s="197">
        <v>6</v>
      </c>
      <c r="G128" s="49">
        <v>248000</v>
      </c>
      <c r="H128" s="7">
        <v>1488000</v>
      </c>
      <c r="I128" s="49" t="s">
        <v>1419</v>
      </c>
      <c r="J128" s="109"/>
      <c r="K128" s="144"/>
      <c r="L128" s="140"/>
    </row>
    <row r="129" spans="1:12" s="19" customFormat="1" ht="18.75" customHeight="1" x14ac:dyDescent="0.4">
      <c r="A129" s="485">
        <v>46175</v>
      </c>
      <c r="B129" s="8" t="s">
        <v>1550</v>
      </c>
      <c r="C129" s="6" t="s">
        <v>105</v>
      </c>
      <c r="D129" s="69" t="s">
        <v>117</v>
      </c>
      <c r="E129" s="8"/>
      <c r="F129" s="8">
        <v>1</v>
      </c>
      <c r="G129" s="36">
        <v>248000</v>
      </c>
      <c r="H129" s="7">
        <v>248000</v>
      </c>
      <c r="I129" s="150" t="s">
        <v>1420</v>
      </c>
      <c r="J129" s="70"/>
      <c r="K129" s="29"/>
      <c r="L129" s="701"/>
    </row>
    <row r="130" spans="1:12" s="19" customFormat="1" ht="18.75" customHeight="1" x14ac:dyDescent="0.4">
      <c r="A130" s="485">
        <v>46175</v>
      </c>
      <c r="B130" s="8" t="s">
        <v>1550</v>
      </c>
      <c r="C130" s="6" t="s">
        <v>202</v>
      </c>
      <c r="D130" s="69" t="s">
        <v>203</v>
      </c>
      <c r="E130" s="8"/>
      <c r="F130" s="8">
        <v>3</v>
      </c>
      <c r="G130" s="36">
        <v>384000</v>
      </c>
      <c r="H130" s="36">
        <v>1152000</v>
      </c>
      <c r="I130" s="29" t="s">
        <v>1278</v>
      </c>
      <c r="J130" s="70"/>
      <c r="K130" s="29"/>
      <c r="L130" s="701"/>
    </row>
    <row r="131" spans="1:12" s="19" customFormat="1" ht="18.75" customHeight="1" x14ac:dyDescent="0.4">
      <c r="A131" s="485">
        <v>46175</v>
      </c>
      <c r="B131" s="8" t="s">
        <v>1550</v>
      </c>
      <c r="C131" s="6" t="s">
        <v>202</v>
      </c>
      <c r="D131" s="69" t="s">
        <v>203</v>
      </c>
      <c r="E131" s="8"/>
      <c r="F131" s="8">
        <v>3</v>
      </c>
      <c r="G131" s="36">
        <v>384000</v>
      </c>
      <c r="H131" s="36">
        <v>1152000</v>
      </c>
      <c r="I131" s="29" t="s">
        <v>1417</v>
      </c>
      <c r="J131" s="70"/>
      <c r="K131" s="29"/>
      <c r="L131" s="701"/>
    </row>
    <row r="132" spans="1:12" s="19" customFormat="1" ht="18.75" customHeight="1" x14ac:dyDescent="0.4">
      <c r="A132" s="485">
        <v>46175</v>
      </c>
      <c r="B132" s="8" t="s">
        <v>1550</v>
      </c>
      <c r="C132" s="6" t="s">
        <v>81</v>
      </c>
      <c r="D132" s="69" t="s">
        <v>82</v>
      </c>
      <c r="E132" s="8"/>
      <c r="F132" s="8">
        <v>3</v>
      </c>
      <c r="G132" s="36">
        <v>86300</v>
      </c>
      <c r="H132" s="36">
        <v>258900</v>
      </c>
      <c r="I132" s="29" t="s">
        <v>1559</v>
      </c>
      <c r="J132" s="70"/>
      <c r="K132" s="29"/>
      <c r="L132" s="701"/>
    </row>
    <row r="133" spans="1:12" s="19" customFormat="1" ht="18.75" customHeight="1" x14ac:dyDescent="0.4">
      <c r="A133" s="485">
        <v>46175</v>
      </c>
      <c r="B133" s="8" t="s">
        <v>1550</v>
      </c>
      <c r="C133" s="6" t="s">
        <v>105</v>
      </c>
      <c r="D133" s="69" t="s">
        <v>117</v>
      </c>
      <c r="E133" s="8"/>
      <c r="F133" s="8">
        <v>3</v>
      </c>
      <c r="G133" s="36">
        <v>248000</v>
      </c>
      <c r="H133" s="36">
        <v>744000</v>
      </c>
      <c r="I133" s="29" t="s">
        <v>1278</v>
      </c>
      <c r="J133" s="70"/>
      <c r="K133" s="29"/>
      <c r="L133" s="701"/>
    </row>
    <row r="134" spans="1:12" s="19" customFormat="1" ht="18.75" customHeight="1" x14ac:dyDescent="0.4">
      <c r="A134" s="485">
        <v>46175</v>
      </c>
      <c r="B134" s="8" t="s">
        <v>1550</v>
      </c>
      <c r="C134" s="6" t="s">
        <v>105</v>
      </c>
      <c r="D134" s="69" t="s">
        <v>117</v>
      </c>
      <c r="E134" s="8"/>
      <c r="F134" s="8">
        <v>3</v>
      </c>
      <c r="G134" s="36">
        <v>248000</v>
      </c>
      <c r="H134" s="36">
        <v>744000</v>
      </c>
      <c r="I134" s="29" t="s">
        <v>1417</v>
      </c>
      <c r="J134" s="70"/>
      <c r="K134" s="29"/>
      <c r="L134" s="701"/>
    </row>
    <row r="135" spans="1:12" s="19" customFormat="1" ht="18.75" customHeight="1" x14ac:dyDescent="0.4">
      <c r="A135" s="485">
        <v>46175</v>
      </c>
      <c r="B135" s="8" t="s">
        <v>1550</v>
      </c>
      <c r="C135" s="6" t="s">
        <v>202</v>
      </c>
      <c r="D135" s="69" t="s">
        <v>203</v>
      </c>
      <c r="E135" s="8"/>
      <c r="F135" s="8">
        <v>11</v>
      </c>
      <c r="G135" s="36">
        <v>384000</v>
      </c>
      <c r="H135" s="36">
        <v>4224000</v>
      </c>
      <c r="I135" s="29" t="s">
        <v>1416</v>
      </c>
      <c r="J135" s="70"/>
      <c r="K135" s="29"/>
      <c r="L135" s="701"/>
    </row>
    <row r="136" spans="1:12" s="19" customFormat="1" ht="18.75" customHeight="1" x14ac:dyDescent="0.4">
      <c r="A136" s="485">
        <v>46175</v>
      </c>
      <c r="B136" s="8" t="s">
        <v>1550</v>
      </c>
      <c r="C136" s="6" t="s">
        <v>105</v>
      </c>
      <c r="D136" s="69" t="s">
        <v>117</v>
      </c>
      <c r="E136" s="8"/>
      <c r="F136" s="8">
        <v>11</v>
      </c>
      <c r="G136" s="36">
        <v>248000</v>
      </c>
      <c r="H136" s="36">
        <v>2728000</v>
      </c>
      <c r="I136" s="29" t="s">
        <v>1416</v>
      </c>
      <c r="J136" s="70"/>
      <c r="K136" s="29"/>
      <c r="L136" s="701"/>
    </row>
    <row r="137" spans="1:12" s="19" customFormat="1" ht="18.75" customHeight="1" x14ac:dyDescent="0.4">
      <c r="A137" s="485">
        <v>46175</v>
      </c>
      <c r="B137" s="8" t="s">
        <v>1550</v>
      </c>
      <c r="C137" s="6" t="s">
        <v>64</v>
      </c>
      <c r="D137" s="69" t="s">
        <v>65</v>
      </c>
      <c r="E137" s="8"/>
      <c r="F137" s="8">
        <v>2</v>
      </c>
      <c r="G137" s="36">
        <v>1568700</v>
      </c>
      <c r="H137" s="36">
        <v>3137400</v>
      </c>
      <c r="I137" s="29" t="s">
        <v>1414</v>
      </c>
      <c r="J137" s="70"/>
      <c r="K137" s="29"/>
      <c r="L137" s="701"/>
    </row>
    <row r="138" spans="1:12" s="19" customFormat="1" ht="18.75" customHeight="1" x14ac:dyDescent="0.4">
      <c r="A138" s="485">
        <v>46175</v>
      </c>
      <c r="B138" s="8" t="s">
        <v>1550</v>
      </c>
      <c r="C138" s="6" t="s">
        <v>64</v>
      </c>
      <c r="D138" s="69" t="s">
        <v>65</v>
      </c>
      <c r="E138" s="8"/>
      <c r="F138" s="8">
        <v>3</v>
      </c>
      <c r="G138" s="36">
        <v>1568700</v>
      </c>
      <c r="H138" s="36">
        <v>4706100</v>
      </c>
      <c r="I138" s="29" t="s">
        <v>1279</v>
      </c>
      <c r="J138" s="70"/>
      <c r="K138" s="29"/>
      <c r="L138" s="701"/>
    </row>
    <row r="139" spans="1:12" s="19" customFormat="1" ht="18.75" customHeight="1" x14ac:dyDescent="0.4">
      <c r="A139" s="485">
        <v>46175</v>
      </c>
      <c r="B139" s="8" t="s">
        <v>1550</v>
      </c>
      <c r="C139" s="6" t="s">
        <v>64</v>
      </c>
      <c r="D139" s="69" t="s">
        <v>65</v>
      </c>
      <c r="E139" s="8"/>
      <c r="F139" s="8">
        <v>4</v>
      </c>
      <c r="G139" s="36">
        <v>1568700</v>
      </c>
      <c r="H139" s="36">
        <v>6274800</v>
      </c>
      <c r="I139" s="29" t="s">
        <v>1281</v>
      </c>
      <c r="J139" s="70"/>
      <c r="K139" s="29"/>
      <c r="L139" s="701"/>
    </row>
    <row r="140" spans="1:12" s="19" customFormat="1" ht="18.75" customHeight="1" x14ac:dyDescent="0.4">
      <c r="A140" s="485">
        <v>46182</v>
      </c>
      <c r="B140" s="8" t="s">
        <v>1550</v>
      </c>
      <c r="C140" s="6" t="s">
        <v>71</v>
      </c>
      <c r="D140" s="69" t="s">
        <v>72</v>
      </c>
      <c r="E140" s="8"/>
      <c r="F140" s="8">
        <v>6</v>
      </c>
      <c r="G140" s="36">
        <v>548000</v>
      </c>
      <c r="H140" s="36">
        <v>3288000</v>
      </c>
      <c r="I140" s="29" t="s">
        <v>1414</v>
      </c>
      <c r="J140" s="70"/>
      <c r="K140" s="29"/>
      <c r="L140" s="701"/>
    </row>
    <row r="141" spans="1:12" s="19" customFormat="1" ht="18.75" customHeight="1" x14ac:dyDescent="0.4">
      <c r="A141" s="485">
        <v>46182</v>
      </c>
      <c r="B141" s="8" t="s">
        <v>1550</v>
      </c>
      <c r="C141" s="6" t="s">
        <v>71</v>
      </c>
      <c r="D141" s="69" t="s">
        <v>72</v>
      </c>
      <c r="E141" s="8"/>
      <c r="F141" s="8">
        <v>1</v>
      </c>
      <c r="G141" s="36">
        <v>548000</v>
      </c>
      <c r="H141" s="36">
        <v>548000</v>
      </c>
      <c r="I141" s="29" t="s">
        <v>1279</v>
      </c>
      <c r="J141" s="70"/>
      <c r="K141" s="29"/>
      <c r="L141" s="701"/>
    </row>
    <row r="142" spans="1:12" s="19" customFormat="1" ht="18.75" customHeight="1" x14ac:dyDescent="0.4">
      <c r="A142" s="485">
        <v>46182</v>
      </c>
      <c r="B142" s="8" t="s">
        <v>1550</v>
      </c>
      <c r="C142" s="6" t="s">
        <v>62</v>
      </c>
      <c r="D142" s="69" t="s">
        <v>75</v>
      </c>
      <c r="E142" s="8"/>
      <c r="F142" s="8">
        <v>8</v>
      </c>
      <c r="G142" s="36">
        <v>442000</v>
      </c>
      <c r="H142" s="36">
        <v>3536000</v>
      </c>
      <c r="I142" s="29" t="s">
        <v>1279</v>
      </c>
      <c r="J142" s="70"/>
      <c r="K142" s="29"/>
      <c r="L142" s="701"/>
    </row>
    <row r="143" spans="1:12" s="19" customFormat="1" ht="18.75" customHeight="1" x14ac:dyDescent="0.4">
      <c r="A143" s="485">
        <v>46182</v>
      </c>
      <c r="B143" s="8" t="s">
        <v>1550</v>
      </c>
      <c r="C143" s="6" t="s">
        <v>71</v>
      </c>
      <c r="D143" s="69" t="s">
        <v>72</v>
      </c>
      <c r="E143" s="8"/>
      <c r="F143" s="8">
        <v>4</v>
      </c>
      <c r="G143" s="36">
        <v>548000</v>
      </c>
      <c r="H143" s="36">
        <v>2192000</v>
      </c>
      <c r="I143" s="29" t="s">
        <v>1281</v>
      </c>
      <c r="J143" s="70"/>
      <c r="K143" s="29"/>
      <c r="L143" s="701"/>
    </row>
    <row r="144" spans="1:12" s="19" customFormat="1" ht="18.75" customHeight="1" x14ac:dyDescent="0.4">
      <c r="A144" s="485">
        <v>46182</v>
      </c>
      <c r="B144" s="8" t="s">
        <v>1550</v>
      </c>
      <c r="C144" s="6" t="s">
        <v>62</v>
      </c>
      <c r="D144" s="69" t="s">
        <v>75</v>
      </c>
      <c r="E144" s="8"/>
      <c r="F144" s="8">
        <v>4</v>
      </c>
      <c r="G144" s="36">
        <v>442000</v>
      </c>
      <c r="H144" s="36">
        <v>1768000</v>
      </c>
      <c r="I144" s="29" t="s">
        <v>1281</v>
      </c>
      <c r="J144" s="70"/>
      <c r="K144" s="29"/>
      <c r="L144" s="701"/>
    </row>
    <row r="145" spans="1:12" s="19" customFormat="1" ht="18.75" customHeight="1" x14ac:dyDescent="0.4">
      <c r="A145" s="485">
        <v>46182</v>
      </c>
      <c r="B145" s="8" t="s">
        <v>1550</v>
      </c>
      <c r="C145" s="6" t="s">
        <v>204</v>
      </c>
      <c r="D145" s="69" t="s">
        <v>205</v>
      </c>
      <c r="E145" s="8"/>
      <c r="F145" s="8">
        <v>8</v>
      </c>
      <c r="G145" s="36">
        <v>1295000</v>
      </c>
      <c r="H145" s="36">
        <v>10360000</v>
      </c>
      <c r="I145" s="29" t="s">
        <v>1279</v>
      </c>
      <c r="J145" s="70"/>
      <c r="K145" s="29"/>
      <c r="L145" s="701"/>
    </row>
    <row r="146" spans="1:12" s="19" customFormat="1" ht="18.75" customHeight="1" x14ac:dyDescent="0.4">
      <c r="A146" s="485">
        <v>46182</v>
      </c>
      <c r="B146" s="8" t="s">
        <v>1550</v>
      </c>
      <c r="C146" s="6" t="s">
        <v>204</v>
      </c>
      <c r="D146" s="69" t="s">
        <v>205</v>
      </c>
      <c r="E146" s="8"/>
      <c r="F146" s="8">
        <v>4</v>
      </c>
      <c r="G146" s="36">
        <v>1295000</v>
      </c>
      <c r="H146" s="36">
        <v>5180000</v>
      </c>
      <c r="I146" s="29" t="s">
        <v>1281</v>
      </c>
      <c r="J146" s="70"/>
      <c r="K146" s="29"/>
      <c r="L146" s="701"/>
    </row>
    <row r="147" spans="1:12" s="19" customFormat="1" ht="18.75" customHeight="1" x14ac:dyDescent="0.4">
      <c r="A147" s="485">
        <v>46183</v>
      </c>
      <c r="B147" s="8" t="s">
        <v>1550</v>
      </c>
      <c r="C147" s="6" t="s">
        <v>66</v>
      </c>
      <c r="D147" s="69" t="s">
        <v>1080</v>
      </c>
      <c r="E147" s="8"/>
      <c r="F147" s="8">
        <v>12</v>
      </c>
      <c r="G147" s="36">
        <v>1766050</v>
      </c>
      <c r="H147" s="36">
        <v>21192600</v>
      </c>
      <c r="I147" s="29" t="s">
        <v>1551</v>
      </c>
      <c r="J147" s="70"/>
      <c r="K147" s="29"/>
      <c r="L147" s="701"/>
    </row>
    <row r="148" spans="1:12" s="19" customFormat="1" ht="18.75" customHeight="1" x14ac:dyDescent="0.4">
      <c r="A148" s="485">
        <v>46183</v>
      </c>
      <c r="B148" s="8" t="s">
        <v>1550</v>
      </c>
      <c r="C148" s="6" t="s">
        <v>64</v>
      </c>
      <c r="D148" s="69" t="s">
        <v>98</v>
      </c>
      <c r="E148" s="8"/>
      <c r="F148" s="8">
        <v>12</v>
      </c>
      <c r="G148" s="36">
        <v>1431650</v>
      </c>
      <c r="H148" s="36">
        <v>17179800</v>
      </c>
      <c r="I148" s="29" t="s">
        <v>1551</v>
      </c>
      <c r="J148" s="70"/>
      <c r="K148" s="29"/>
      <c r="L148" s="701"/>
    </row>
    <row r="149" spans="1:12" s="19" customFormat="1" ht="18.75" customHeight="1" x14ac:dyDescent="0.4">
      <c r="A149" s="485">
        <v>46183</v>
      </c>
      <c r="B149" s="8" t="s">
        <v>1550</v>
      </c>
      <c r="C149" s="6" t="s">
        <v>71</v>
      </c>
      <c r="D149" s="69" t="s">
        <v>287</v>
      </c>
      <c r="E149" s="8"/>
      <c r="F149" s="8">
        <v>12</v>
      </c>
      <c r="G149" s="36">
        <v>520600</v>
      </c>
      <c r="H149" s="36">
        <v>6247200</v>
      </c>
      <c r="I149" s="29" t="s">
        <v>1551</v>
      </c>
      <c r="J149" s="70"/>
      <c r="K149" s="29"/>
      <c r="L149" s="701"/>
    </row>
    <row r="150" spans="1:12" s="19" customFormat="1" ht="18.75" customHeight="1" x14ac:dyDescent="0.4">
      <c r="A150" s="485">
        <v>46183</v>
      </c>
      <c r="B150" s="8" t="s">
        <v>1550</v>
      </c>
      <c r="C150" s="6" t="s">
        <v>73</v>
      </c>
      <c r="D150" s="69" t="s">
        <v>288</v>
      </c>
      <c r="E150" s="8"/>
      <c r="F150" s="8">
        <v>4</v>
      </c>
      <c r="G150" s="36">
        <v>390000</v>
      </c>
      <c r="H150" s="36">
        <v>1560000</v>
      </c>
      <c r="I150" s="29" t="s">
        <v>1551</v>
      </c>
      <c r="J150" s="70"/>
      <c r="K150" s="29"/>
      <c r="L150" s="701"/>
    </row>
    <row r="151" spans="1:12" s="19" customFormat="1" ht="18.75" customHeight="1" x14ac:dyDescent="0.4">
      <c r="A151" s="485">
        <v>46183</v>
      </c>
      <c r="B151" s="8" t="s">
        <v>1550</v>
      </c>
      <c r="C151" s="6" t="s">
        <v>428</v>
      </c>
      <c r="D151" s="69" t="s">
        <v>289</v>
      </c>
      <c r="E151" s="8"/>
      <c r="F151" s="8">
        <v>8</v>
      </c>
      <c r="G151" s="36">
        <v>390000</v>
      </c>
      <c r="H151" s="36">
        <v>3120000</v>
      </c>
      <c r="I151" s="29" t="s">
        <v>1551</v>
      </c>
      <c r="J151" s="70"/>
      <c r="K151" s="29"/>
      <c r="L151" s="701"/>
    </row>
    <row r="152" spans="1:12" s="19" customFormat="1" ht="18.75" customHeight="1" x14ac:dyDescent="0.4">
      <c r="A152" s="485">
        <v>46183</v>
      </c>
      <c r="B152" s="8" t="s">
        <v>1550</v>
      </c>
      <c r="C152" s="6" t="s">
        <v>71</v>
      </c>
      <c r="D152" s="69" t="s">
        <v>72</v>
      </c>
      <c r="E152" s="8"/>
      <c r="F152" s="8">
        <v>1</v>
      </c>
      <c r="G152" s="36">
        <v>548000</v>
      </c>
      <c r="H152" s="36">
        <v>548000</v>
      </c>
      <c r="I152" s="29" t="s">
        <v>1414</v>
      </c>
      <c r="J152" s="70"/>
      <c r="K152" s="29"/>
      <c r="L152" s="701"/>
    </row>
    <row r="153" spans="1:12" s="19" customFormat="1" ht="18.75" customHeight="1" x14ac:dyDescent="0.4">
      <c r="A153" s="485">
        <v>46183</v>
      </c>
      <c r="B153" s="8" t="s">
        <v>1550</v>
      </c>
      <c r="C153" s="6" t="s">
        <v>71</v>
      </c>
      <c r="D153" s="69" t="s">
        <v>72</v>
      </c>
      <c r="E153" s="8"/>
      <c r="F153" s="8">
        <v>4</v>
      </c>
      <c r="G153" s="36">
        <v>548000</v>
      </c>
      <c r="H153" s="36">
        <v>2192000</v>
      </c>
      <c r="I153" s="29" t="s">
        <v>1419</v>
      </c>
      <c r="J153" s="70"/>
      <c r="K153" s="29"/>
      <c r="L153" s="701"/>
    </row>
    <row r="154" spans="1:12" s="19" customFormat="1" ht="18.75" customHeight="1" x14ac:dyDescent="0.4">
      <c r="A154" s="485">
        <v>46183</v>
      </c>
      <c r="B154" s="8" t="s">
        <v>1550</v>
      </c>
      <c r="C154" s="6" t="s">
        <v>62</v>
      </c>
      <c r="D154" s="69" t="s">
        <v>75</v>
      </c>
      <c r="E154" s="8"/>
      <c r="F154" s="8">
        <v>7</v>
      </c>
      <c r="G154" s="36">
        <v>442000</v>
      </c>
      <c r="H154" s="36">
        <v>3094000</v>
      </c>
      <c r="I154" s="29" t="s">
        <v>1414</v>
      </c>
      <c r="J154" s="70"/>
      <c r="K154" s="29"/>
      <c r="L154" s="701"/>
    </row>
    <row r="155" spans="1:12" s="19" customFormat="1" ht="18.75" customHeight="1" x14ac:dyDescent="0.4">
      <c r="A155" s="485">
        <v>46183</v>
      </c>
      <c r="B155" s="8" t="s">
        <v>1550</v>
      </c>
      <c r="C155" s="6" t="s">
        <v>202</v>
      </c>
      <c r="D155" s="69" t="s">
        <v>203</v>
      </c>
      <c r="E155" s="8"/>
      <c r="F155" s="8">
        <v>6</v>
      </c>
      <c r="G155" s="36">
        <v>384000</v>
      </c>
      <c r="H155" s="36">
        <v>2304000</v>
      </c>
      <c r="I155" s="29" t="s">
        <v>1419</v>
      </c>
      <c r="J155" s="70"/>
      <c r="K155" s="29"/>
      <c r="L155" s="701"/>
    </row>
    <row r="156" spans="1:12" s="19" customFormat="1" ht="18.75" customHeight="1" x14ac:dyDescent="0.4">
      <c r="A156" s="485">
        <v>46183</v>
      </c>
      <c r="B156" s="8" t="s">
        <v>1550</v>
      </c>
      <c r="C156" s="6" t="s">
        <v>71</v>
      </c>
      <c r="D156" s="69" t="s">
        <v>72</v>
      </c>
      <c r="E156" s="8"/>
      <c r="F156" s="8">
        <v>3</v>
      </c>
      <c r="G156" s="36">
        <v>548000</v>
      </c>
      <c r="H156" s="36">
        <v>1644000</v>
      </c>
      <c r="I156" s="29" t="s">
        <v>1417</v>
      </c>
      <c r="J156" s="70"/>
      <c r="K156" s="29"/>
      <c r="L156" s="701"/>
    </row>
    <row r="157" spans="1:12" s="19" customFormat="1" ht="18.75" customHeight="1" x14ac:dyDescent="0.4">
      <c r="A157" s="485">
        <v>46183</v>
      </c>
      <c r="B157" s="8" t="s">
        <v>1550</v>
      </c>
      <c r="C157" s="6" t="s">
        <v>71</v>
      </c>
      <c r="D157" s="69" t="s">
        <v>72</v>
      </c>
      <c r="E157" s="8"/>
      <c r="F157" s="8">
        <v>11</v>
      </c>
      <c r="G157" s="36">
        <v>548000</v>
      </c>
      <c r="H157" s="36">
        <v>6028000</v>
      </c>
      <c r="I157" s="29" t="s">
        <v>1416</v>
      </c>
      <c r="J157" s="70"/>
      <c r="K157" s="29"/>
      <c r="L157" s="701"/>
    </row>
    <row r="158" spans="1:12" s="19" customFormat="1" ht="18.75" customHeight="1" x14ac:dyDescent="0.4">
      <c r="A158" s="485">
        <v>46183</v>
      </c>
      <c r="B158" s="8" t="s">
        <v>1550</v>
      </c>
      <c r="C158" s="6" t="s">
        <v>64</v>
      </c>
      <c r="D158" s="69" t="s">
        <v>65</v>
      </c>
      <c r="E158" s="8"/>
      <c r="F158" s="8">
        <v>11</v>
      </c>
      <c r="G158" s="36">
        <v>1568700</v>
      </c>
      <c r="H158" s="36">
        <v>17255700</v>
      </c>
      <c r="I158" s="29" t="s">
        <v>1416</v>
      </c>
      <c r="J158" s="70"/>
      <c r="K158" s="29"/>
      <c r="L158" s="701"/>
    </row>
    <row r="159" spans="1:12" s="19" customFormat="1" ht="18.75" customHeight="1" x14ac:dyDescent="0.4">
      <c r="A159" s="485">
        <v>46183</v>
      </c>
      <c r="B159" s="8" t="s">
        <v>1550</v>
      </c>
      <c r="C159" s="6" t="s">
        <v>66</v>
      </c>
      <c r="D159" s="69" t="s">
        <v>195</v>
      </c>
      <c r="E159" s="8"/>
      <c r="F159" s="8">
        <v>1</v>
      </c>
      <c r="G159" s="36">
        <v>1917500</v>
      </c>
      <c r="H159" s="36">
        <v>1917500</v>
      </c>
      <c r="I159" s="29" t="s">
        <v>1414</v>
      </c>
      <c r="J159" s="70"/>
      <c r="K159" s="29"/>
      <c r="L159" s="701"/>
    </row>
    <row r="160" spans="1:12" s="19" customFormat="1" ht="18.75" customHeight="1" x14ac:dyDescent="0.4">
      <c r="A160" s="485">
        <v>46183</v>
      </c>
      <c r="B160" s="8" t="s">
        <v>1550</v>
      </c>
      <c r="C160" s="6" t="s">
        <v>64</v>
      </c>
      <c r="D160" s="69" t="s">
        <v>65</v>
      </c>
      <c r="E160" s="8"/>
      <c r="F160" s="8">
        <v>5</v>
      </c>
      <c r="G160" s="36">
        <v>1568700</v>
      </c>
      <c r="H160" s="36">
        <v>7843500</v>
      </c>
      <c r="I160" s="29" t="s">
        <v>1414</v>
      </c>
      <c r="J160" s="70"/>
      <c r="K160" s="29"/>
      <c r="L160" s="701"/>
    </row>
    <row r="161" spans="1:12" s="19" customFormat="1" ht="18.75" customHeight="1" x14ac:dyDescent="0.4">
      <c r="A161" s="485">
        <v>46183</v>
      </c>
      <c r="B161" s="8" t="s">
        <v>1550</v>
      </c>
      <c r="C161" s="6" t="s">
        <v>64</v>
      </c>
      <c r="D161" s="69" t="s">
        <v>65</v>
      </c>
      <c r="E161" s="8"/>
      <c r="F161" s="8">
        <v>3</v>
      </c>
      <c r="G161" s="36">
        <v>1568700</v>
      </c>
      <c r="H161" s="36">
        <v>4706100</v>
      </c>
      <c r="I161" s="29" t="s">
        <v>1278</v>
      </c>
      <c r="J161" s="70"/>
      <c r="K161" s="29"/>
      <c r="L161" s="701"/>
    </row>
    <row r="162" spans="1:12" s="14" customFormat="1" ht="18.75" customHeight="1" x14ac:dyDescent="0.4">
      <c r="A162" s="501">
        <v>46183</v>
      </c>
      <c r="B162" s="7" t="s">
        <v>1550</v>
      </c>
      <c r="C162" s="60" t="s">
        <v>64</v>
      </c>
      <c r="D162" s="71" t="s">
        <v>65</v>
      </c>
      <c r="E162" s="7"/>
      <c r="F162" s="7">
        <v>3</v>
      </c>
      <c r="G162" s="17">
        <v>1568700</v>
      </c>
      <c r="H162" s="17">
        <v>4706100</v>
      </c>
      <c r="I162" s="61" t="s">
        <v>1417</v>
      </c>
      <c r="J162" s="72"/>
      <c r="K162" s="61"/>
      <c r="L162" s="701"/>
    </row>
    <row r="163" spans="1:12" s="19" customFormat="1" ht="18.75" customHeight="1" x14ac:dyDescent="0.4">
      <c r="A163" s="485">
        <v>46183</v>
      </c>
      <c r="B163" s="8" t="s">
        <v>1550</v>
      </c>
      <c r="C163" s="6" t="s">
        <v>76</v>
      </c>
      <c r="D163" s="69" t="s">
        <v>77</v>
      </c>
      <c r="E163" s="8"/>
      <c r="F163" s="8">
        <v>3</v>
      </c>
      <c r="G163" s="36">
        <v>900000</v>
      </c>
      <c r="H163" s="36">
        <v>2700000</v>
      </c>
      <c r="I163" s="29" t="s">
        <v>70</v>
      </c>
      <c r="J163" s="70"/>
      <c r="K163" s="29"/>
      <c r="L163" s="701"/>
    </row>
    <row r="164" spans="1:12" s="19" customFormat="1" ht="18.75" customHeight="1" x14ac:dyDescent="0.4">
      <c r="A164" s="485">
        <v>46183</v>
      </c>
      <c r="B164" s="8" t="s">
        <v>1550</v>
      </c>
      <c r="C164" s="6" t="s">
        <v>68</v>
      </c>
      <c r="D164" s="69" t="s">
        <v>69</v>
      </c>
      <c r="E164" s="8"/>
      <c r="F164" s="8">
        <v>6</v>
      </c>
      <c r="G164" s="36">
        <v>359000</v>
      </c>
      <c r="H164" s="36">
        <v>2154000</v>
      </c>
      <c r="I164" s="29" t="s">
        <v>70</v>
      </c>
      <c r="J164" s="70"/>
      <c r="K164" s="29"/>
      <c r="L164" s="701"/>
    </row>
    <row r="165" spans="1:12" s="19" customFormat="1" ht="18.75" customHeight="1" x14ac:dyDescent="0.4">
      <c r="A165" s="485">
        <v>46183</v>
      </c>
      <c r="B165" s="8" t="s">
        <v>1550</v>
      </c>
      <c r="C165" s="6" t="s">
        <v>81</v>
      </c>
      <c r="D165" s="69" t="s">
        <v>1422</v>
      </c>
      <c r="E165" s="8"/>
      <c r="F165" s="8">
        <v>1</v>
      </c>
      <c r="G165" s="36">
        <v>86300</v>
      </c>
      <c r="H165" s="36">
        <v>86300</v>
      </c>
      <c r="I165" s="29" t="s">
        <v>929</v>
      </c>
      <c r="J165" s="70"/>
      <c r="K165" s="29"/>
      <c r="L165" s="701"/>
    </row>
    <row r="166" spans="1:12" s="14" customFormat="1" ht="18.75" customHeight="1" x14ac:dyDescent="0.4">
      <c r="A166" s="501">
        <v>46183</v>
      </c>
      <c r="B166" s="7" t="s">
        <v>1550</v>
      </c>
      <c r="C166" s="60" t="s">
        <v>290</v>
      </c>
      <c r="D166" s="71" t="s">
        <v>291</v>
      </c>
      <c r="E166" s="7"/>
      <c r="F166" s="8">
        <v>2</v>
      </c>
      <c r="G166" s="17">
        <v>129000</v>
      </c>
      <c r="H166" s="17">
        <v>258000</v>
      </c>
      <c r="I166" s="61" t="s">
        <v>215</v>
      </c>
      <c r="J166" s="72"/>
      <c r="K166" s="61"/>
      <c r="L166" s="701"/>
    </row>
    <row r="167" spans="1:12" s="14" customFormat="1" ht="18.75" customHeight="1" x14ac:dyDescent="0.4">
      <c r="A167" s="501">
        <v>46183</v>
      </c>
      <c r="B167" s="7" t="s">
        <v>1550</v>
      </c>
      <c r="C167" s="60" t="s">
        <v>290</v>
      </c>
      <c r="D167" s="71" t="s">
        <v>291</v>
      </c>
      <c r="E167" s="7"/>
      <c r="F167" s="8">
        <v>2</v>
      </c>
      <c r="G167" s="17">
        <v>129000</v>
      </c>
      <c r="H167" s="17">
        <v>258000</v>
      </c>
      <c r="I167" s="61" t="s">
        <v>70</v>
      </c>
      <c r="J167" s="72"/>
      <c r="K167" s="61"/>
      <c r="L167" s="701"/>
    </row>
    <row r="168" spans="1:12" s="14" customFormat="1" ht="18.75" customHeight="1" x14ac:dyDescent="0.4">
      <c r="A168" s="501">
        <v>46183</v>
      </c>
      <c r="B168" s="7" t="s">
        <v>1550</v>
      </c>
      <c r="C168" s="60" t="s">
        <v>290</v>
      </c>
      <c r="D168" s="71" t="s">
        <v>291</v>
      </c>
      <c r="E168" s="7"/>
      <c r="F168" s="8">
        <v>2</v>
      </c>
      <c r="G168" s="17">
        <v>129000</v>
      </c>
      <c r="H168" s="17">
        <v>258000</v>
      </c>
      <c r="I168" s="61" t="s">
        <v>70</v>
      </c>
      <c r="J168" s="72"/>
      <c r="K168" s="61"/>
      <c r="L168" s="701"/>
    </row>
    <row r="169" spans="1:12" s="14" customFormat="1" ht="18.75" customHeight="1" x14ac:dyDescent="0.4">
      <c r="A169" s="501">
        <v>46185</v>
      </c>
      <c r="B169" s="7" t="s">
        <v>1550</v>
      </c>
      <c r="C169" s="60" t="s">
        <v>81</v>
      </c>
      <c r="D169" s="71" t="s">
        <v>82</v>
      </c>
      <c r="E169" s="7"/>
      <c r="F169" s="7">
        <v>1</v>
      </c>
      <c r="G169" s="17">
        <v>86300</v>
      </c>
      <c r="H169" s="17">
        <v>86300</v>
      </c>
      <c r="I169" s="61" t="s">
        <v>1558</v>
      </c>
      <c r="J169" s="72"/>
      <c r="K169" s="61"/>
      <c r="L169" s="701"/>
    </row>
    <row r="170" spans="1:12" s="14" customFormat="1" ht="18.75" customHeight="1" x14ac:dyDescent="0.4">
      <c r="A170" s="501">
        <v>46188</v>
      </c>
      <c r="B170" s="7" t="s">
        <v>1550</v>
      </c>
      <c r="C170" s="60" t="s">
        <v>81</v>
      </c>
      <c r="D170" s="71" t="s">
        <v>82</v>
      </c>
      <c r="E170" s="7"/>
      <c r="F170" s="7">
        <v>10</v>
      </c>
      <c r="G170" s="17">
        <v>86300</v>
      </c>
      <c r="H170" s="17">
        <v>863000</v>
      </c>
      <c r="I170" s="61" t="s">
        <v>1558</v>
      </c>
      <c r="J170" s="72"/>
      <c r="K170" s="61"/>
      <c r="L170" s="701"/>
    </row>
    <row r="171" spans="1:12" s="14" customFormat="1" ht="18.75" customHeight="1" x14ac:dyDescent="0.4">
      <c r="A171" s="501">
        <v>46189</v>
      </c>
      <c r="B171" s="7" t="s">
        <v>1550</v>
      </c>
      <c r="C171" s="60" t="s">
        <v>118</v>
      </c>
      <c r="D171" s="71" t="s">
        <v>119</v>
      </c>
      <c r="E171" s="7"/>
      <c r="F171" s="7">
        <v>10</v>
      </c>
      <c r="G171" s="17">
        <v>7790000</v>
      </c>
      <c r="H171" s="17">
        <v>77900000</v>
      </c>
      <c r="I171" s="61" t="s">
        <v>120</v>
      </c>
      <c r="J171" s="72"/>
      <c r="K171" s="61"/>
      <c r="L171" s="701"/>
    </row>
    <row r="172" spans="1:12" s="14" customFormat="1" ht="18.75" customHeight="1" x14ac:dyDescent="0.4">
      <c r="A172" s="501">
        <v>46189</v>
      </c>
      <c r="B172" s="7" t="s">
        <v>1550</v>
      </c>
      <c r="C172" s="60" t="s">
        <v>204</v>
      </c>
      <c r="D172" s="71" t="s">
        <v>205</v>
      </c>
      <c r="E172" s="7"/>
      <c r="F172" s="7">
        <v>7</v>
      </c>
      <c r="G172" s="17">
        <v>1295000</v>
      </c>
      <c r="H172" s="17">
        <v>9065000</v>
      </c>
      <c r="I172" s="61" t="s">
        <v>1414</v>
      </c>
      <c r="J172" s="72"/>
      <c r="K172" s="61"/>
      <c r="L172" s="701"/>
    </row>
    <row r="173" spans="1:12" s="14" customFormat="1" ht="18.75" customHeight="1" x14ac:dyDescent="0.4">
      <c r="A173" s="501">
        <v>46190</v>
      </c>
      <c r="B173" s="7" t="s">
        <v>1550</v>
      </c>
      <c r="C173" s="60" t="s">
        <v>67</v>
      </c>
      <c r="D173" s="71" t="s">
        <v>80</v>
      </c>
      <c r="E173" s="7"/>
      <c r="F173" s="7">
        <v>6</v>
      </c>
      <c r="G173" s="17">
        <v>384000</v>
      </c>
      <c r="H173" s="17">
        <v>2304000</v>
      </c>
      <c r="I173" s="61" t="s">
        <v>1419</v>
      </c>
      <c r="J173" s="72"/>
      <c r="K173" s="61"/>
      <c r="L173" s="701"/>
    </row>
    <row r="174" spans="1:12" s="14" customFormat="1" ht="18.75" customHeight="1" x14ac:dyDescent="0.4">
      <c r="A174" s="501">
        <v>46190</v>
      </c>
      <c r="B174" s="7" t="s">
        <v>1550</v>
      </c>
      <c r="C174" s="60" t="s">
        <v>67</v>
      </c>
      <c r="D174" s="71" t="s">
        <v>80</v>
      </c>
      <c r="E174" s="7"/>
      <c r="F174" s="7">
        <v>13</v>
      </c>
      <c r="G174" s="17">
        <v>384000</v>
      </c>
      <c r="H174" s="17">
        <v>4992000</v>
      </c>
      <c r="I174" s="61" t="s">
        <v>1420</v>
      </c>
      <c r="J174" s="72"/>
      <c r="K174" s="61"/>
      <c r="L174" s="701"/>
    </row>
    <row r="175" spans="1:12" s="14" customFormat="1" ht="18.75" customHeight="1" x14ac:dyDescent="0.4">
      <c r="A175" s="501">
        <v>46190</v>
      </c>
      <c r="B175" s="7" t="s">
        <v>1550</v>
      </c>
      <c r="C175" s="60" t="s">
        <v>62</v>
      </c>
      <c r="D175" s="71" t="s">
        <v>75</v>
      </c>
      <c r="E175" s="7"/>
      <c r="F175" s="7">
        <v>3</v>
      </c>
      <c r="G175" s="17">
        <v>442000</v>
      </c>
      <c r="H175" s="17">
        <v>1326000</v>
      </c>
      <c r="I175" s="61" t="s">
        <v>1280</v>
      </c>
      <c r="J175" s="72"/>
      <c r="K175" s="61"/>
      <c r="L175" s="701"/>
    </row>
    <row r="176" spans="1:12" s="14" customFormat="1" ht="18.75" customHeight="1" x14ac:dyDescent="0.4">
      <c r="A176" s="501">
        <v>46190</v>
      </c>
      <c r="B176" s="7" t="s">
        <v>1550</v>
      </c>
      <c r="C176" s="60" t="s">
        <v>62</v>
      </c>
      <c r="D176" s="71" t="s">
        <v>75</v>
      </c>
      <c r="E176" s="7"/>
      <c r="F176" s="7">
        <v>3</v>
      </c>
      <c r="G176" s="17">
        <v>442000</v>
      </c>
      <c r="H176" s="17">
        <v>1326000</v>
      </c>
      <c r="I176" s="61" t="s">
        <v>1277</v>
      </c>
      <c r="J176" s="72"/>
      <c r="K176" s="61"/>
      <c r="L176" s="701"/>
    </row>
    <row r="177" spans="1:12" s="14" customFormat="1" ht="18.75" customHeight="1" x14ac:dyDescent="0.4">
      <c r="A177" s="501">
        <v>46190</v>
      </c>
      <c r="B177" s="7" t="s">
        <v>1550</v>
      </c>
      <c r="C177" s="60" t="s">
        <v>81</v>
      </c>
      <c r="D177" s="71" t="s">
        <v>82</v>
      </c>
      <c r="E177" s="7"/>
      <c r="F177" s="7">
        <v>3</v>
      </c>
      <c r="G177" s="17">
        <v>86300</v>
      </c>
      <c r="H177" s="17">
        <v>258900</v>
      </c>
      <c r="I177" s="61" t="s">
        <v>1560</v>
      </c>
      <c r="J177" s="72"/>
      <c r="K177" s="61"/>
      <c r="L177" s="701"/>
    </row>
    <row r="178" spans="1:12" s="14" customFormat="1" ht="18.75" customHeight="1" x14ac:dyDescent="0.4">
      <c r="A178" s="501">
        <v>46190</v>
      </c>
      <c r="B178" s="7" t="s">
        <v>1550</v>
      </c>
      <c r="C178" s="60" t="s">
        <v>67</v>
      </c>
      <c r="D178" s="71" t="s">
        <v>80</v>
      </c>
      <c r="E178" s="7"/>
      <c r="F178" s="7">
        <v>11</v>
      </c>
      <c r="G178" s="17">
        <v>384000</v>
      </c>
      <c r="H178" s="17">
        <v>4224000</v>
      </c>
      <c r="I178" s="61" t="s">
        <v>1416</v>
      </c>
      <c r="J178" s="72"/>
      <c r="K178" s="61"/>
      <c r="L178" s="701"/>
    </row>
    <row r="179" spans="1:12" s="14" customFormat="1" ht="18.75" customHeight="1" x14ac:dyDescent="0.4">
      <c r="A179" s="501">
        <v>46190</v>
      </c>
      <c r="B179" s="7" t="s">
        <v>1550</v>
      </c>
      <c r="C179" s="60" t="s">
        <v>204</v>
      </c>
      <c r="D179" s="71" t="s">
        <v>205</v>
      </c>
      <c r="E179" s="7"/>
      <c r="F179" s="7">
        <v>9</v>
      </c>
      <c r="G179" s="17">
        <v>1295000</v>
      </c>
      <c r="H179" s="17">
        <v>11655000</v>
      </c>
      <c r="I179" s="61" t="s">
        <v>1416</v>
      </c>
      <c r="J179" s="72"/>
      <c r="K179" s="61"/>
      <c r="L179" s="701"/>
    </row>
    <row r="180" spans="1:12" s="14" customFormat="1" ht="18.75" customHeight="1" x14ac:dyDescent="0.4">
      <c r="A180" s="501">
        <v>46190</v>
      </c>
      <c r="B180" s="7" t="s">
        <v>1550</v>
      </c>
      <c r="C180" s="60" t="s">
        <v>1294</v>
      </c>
      <c r="D180" s="71" t="s">
        <v>1295</v>
      </c>
      <c r="E180" s="7"/>
      <c r="F180" s="7">
        <v>1</v>
      </c>
      <c r="G180" s="17">
        <v>930000</v>
      </c>
      <c r="H180" s="17">
        <v>930000</v>
      </c>
      <c r="I180" s="61" t="s">
        <v>70</v>
      </c>
      <c r="J180" s="72"/>
      <c r="K180" s="61"/>
      <c r="L180" s="701"/>
    </row>
    <row r="181" spans="1:12" s="14" customFormat="1" ht="18.75" customHeight="1" x14ac:dyDescent="0.4">
      <c r="A181" s="501">
        <v>46190</v>
      </c>
      <c r="B181" s="7" t="s">
        <v>1550</v>
      </c>
      <c r="C181" s="60" t="s">
        <v>1294</v>
      </c>
      <c r="D181" s="71" t="s">
        <v>1295</v>
      </c>
      <c r="E181" s="7"/>
      <c r="F181" s="7">
        <v>2</v>
      </c>
      <c r="G181" s="17">
        <v>930000</v>
      </c>
      <c r="H181" s="17">
        <v>1860000</v>
      </c>
      <c r="I181" s="61" t="s">
        <v>70</v>
      </c>
      <c r="J181" s="72"/>
      <c r="K181" s="61"/>
      <c r="L181" s="701"/>
    </row>
    <row r="182" spans="1:12" s="14" customFormat="1" ht="18.75" customHeight="1" x14ac:dyDescent="0.4">
      <c r="A182" s="501">
        <v>46190</v>
      </c>
      <c r="B182" s="7" t="s">
        <v>1550</v>
      </c>
      <c r="C182" s="60" t="s">
        <v>1294</v>
      </c>
      <c r="D182" s="71" t="s">
        <v>1295</v>
      </c>
      <c r="E182" s="7"/>
      <c r="F182" s="7">
        <v>1</v>
      </c>
      <c r="G182" s="17">
        <v>930000</v>
      </c>
      <c r="H182" s="17">
        <v>930000</v>
      </c>
      <c r="I182" s="61" t="s">
        <v>70</v>
      </c>
      <c r="J182" s="72"/>
      <c r="K182" s="61"/>
      <c r="L182" s="701"/>
    </row>
    <row r="183" spans="1:12" s="14" customFormat="1" ht="18.75" customHeight="1" x14ac:dyDescent="0.4">
      <c r="A183" s="501">
        <v>46190</v>
      </c>
      <c r="B183" s="7" t="s">
        <v>1550</v>
      </c>
      <c r="C183" s="60" t="s">
        <v>1294</v>
      </c>
      <c r="D183" s="71" t="s">
        <v>1295</v>
      </c>
      <c r="E183" s="7"/>
      <c r="F183" s="7">
        <v>2</v>
      </c>
      <c r="G183" s="17">
        <v>930000</v>
      </c>
      <c r="H183" s="17">
        <v>1860000</v>
      </c>
      <c r="I183" s="61" t="s">
        <v>70</v>
      </c>
      <c r="J183" s="72"/>
      <c r="K183" s="61"/>
      <c r="L183" s="701"/>
    </row>
    <row r="184" spans="1:12" s="14" customFormat="1" ht="18.75" customHeight="1" x14ac:dyDescent="0.4">
      <c r="A184" s="501">
        <v>46192</v>
      </c>
      <c r="B184" s="7" t="s">
        <v>1550</v>
      </c>
      <c r="C184" s="60" t="s">
        <v>190</v>
      </c>
      <c r="D184" s="71" t="s">
        <v>214</v>
      </c>
      <c r="E184" s="7"/>
      <c r="F184" s="7">
        <v>1</v>
      </c>
      <c r="G184" s="17">
        <v>181000</v>
      </c>
      <c r="H184" s="17">
        <v>181000</v>
      </c>
      <c r="I184" s="61" t="s">
        <v>213</v>
      </c>
      <c r="J184" s="72"/>
      <c r="K184" s="61"/>
      <c r="L184" s="701"/>
    </row>
    <row r="185" spans="1:12" s="14" customFormat="1" ht="18.75" customHeight="1" x14ac:dyDescent="0.4">
      <c r="A185" s="501">
        <v>46192</v>
      </c>
      <c r="B185" s="7" t="s">
        <v>1550</v>
      </c>
      <c r="C185" s="60" t="s">
        <v>190</v>
      </c>
      <c r="D185" s="71" t="s">
        <v>214</v>
      </c>
      <c r="E185" s="7"/>
      <c r="F185" s="7">
        <v>1</v>
      </c>
      <c r="G185" s="17">
        <v>181000</v>
      </c>
      <c r="H185" s="17">
        <v>181000</v>
      </c>
      <c r="I185" s="61" t="s">
        <v>213</v>
      </c>
      <c r="J185" s="72"/>
      <c r="K185" s="61"/>
      <c r="L185" s="701"/>
    </row>
    <row r="186" spans="1:12" s="14" customFormat="1" ht="18.75" customHeight="1" x14ac:dyDescent="0.4">
      <c r="A186" s="501">
        <v>46192</v>
      </c>
      <c r="B186" s="7" t="s">
        <v>1550</v>
      </c>
      <c r="C186" s="60" t="s">
        <v>106</v>
      </c>
      <c r="D186" s="71" t="s">
        <v>107</v>
      </c>
      <c r="E186" s="7"/>
      <c r="F186" s="7">
        <v>1</v>
      </c>
      <c r="G186" s="17">
        <v>333000</v>
      </c>
      <c r="H186" s="17">
        <v>333000</v>
      </c>
      <c r="I186" s="61" t="s">
        <v>213</v>
      </c>
      <c r="J186" s="72"/>
      <c r="K186" s="61"/>
      <c r="L186" s="701"/>
    </row>
    <row r="187" spans="1:12" s="14" customFormat="1" ht="18.75" customHeight="1" x14ac:dyDescent="0.4">
      <c r="A187" s="501">
        <v>46192</v>
      </c>
      <c r="B187" s="7" t="s">
        <v>1550</v>
      </c>
      <c r="C187" s="60" t="s">
        <v>106</v>
      </c>
      <c r="D187" s="71" t="s">
        <v>107</v>
      </c>
      <c r="E187" s="7"/>
      <c r="F187" s="7">
        <v>1</v>
      </c>
      <c r="G187" s="17">
        <v>333000</v>
      </c>
      <c r="H187" s="17">
        <v>333000</v>
      </c>
      <c r="I187" s="61" t="s">
        <v>213</v>
      </c>
      <c r="J187" s="72"/>
      <c r="K187" s="61"/>
      <c r="L187" s="701"/>
    </row>
    <row r="188" spans="1:12" s="14" customFormat="1" ht="18.75" customHeight="1" x14ac:dyDescent="0.4">
      <c r="A188" s="501">
        <v>46192</v>
      </c>
      <c r="B188" s="7" t="s">
        <v>1550</v>
      </c>
      <c r="C188" s="60" t="s">
        <v>113</v>
      </c>
      <c r="D188" s="71" t="s">
        <v>114</v>
      </c>
      <c r="E188" s="7"/>
      <c r="F188" s="7">
        <v>1</v>
      </c>
      <c r="G188" s="17">
        <v>36500</v>
      </c>
      <c r="H188" s="17">
        <v>36500</v>
      </c>
      <c r="I188" s="61" t="s">
        <v>70</v>
      </c>
      <c r="J188" s="72"/>
      <c r="K188" s="61"/>
      <c r="L188" s="701"/>
    </row>
    <row r="189" spans="1:12" s="14" customFormat="1" ht="18.75" customHeight="1" x14ac:dyDescent="0.4">
      <c r="A189" s="501">
        <v>46192</v>
      </c>
      <c r="B189" s="7" t="s">
        <v>1550</v>
      </c>
      <c r="C189" s="60" t="s">
        <v>614</v>
      </c>
      <c r="D189" s="71" t="s">
        <v>615</v>
      </c>
      <c r="E189" s="7"/>
      <c r="F189" s="7">
        <v>4</v>
      </c>
      <c r="G189" s="17">
        <v>95000</v>
      </c>
      <c r="H189" s="17">
        <v>380000</v>
      </c>
      <c r="I189" s="61" t="s">
        <v>70</v>
      </c>
      <c r="J189" s="72"/>
      <c r="K189" s="61"/>
      <c r="L189" s="701"/>
    </row>
    <row r="190" spans="1:12" s="14" customFormat="1" ht="18.75" customHeight="1" x14ac:dyDescent="0.4">
      <c r="A190" s="501">
        <v>46192</v>
      </c>
      <c r="B190" s="7" t="s">
        <v>1550</v>
      </c>
      <c r="C190" s="60" t="s">
        <v>83</v>
      </c>
      <c r="D190" s="71" t="s">
        <v>84</v>
      </c>
      <c r="E190" s="7"/>
      <c r="F190" s="7">
        <v>2</v>
      </c>
      <c r="G190" s="17">
        <v>76500</v>
      </c>
      <c r="H190" s="17">
        <v>153000</v>
      </c>
      <c r="I190" s="61" t="s">
        <v>70</v>
      </c>
      <c r="J190" s="72"/>
      <c r="K190" s="61"/>
      <c r="L190" s="701"/>
    </row>
    <row r="191" spans="1:12" s="14" customFormat="1" ht="18.75" customHeight="1" x14ac:dyDescent="0.4">
      <c r="A191" s="501">
        <v>46192</v>
      </c>
      <c r="B191" s="7" t="s">
        <v>1550</v>
      </c>
      <c r="C191" s="60" t="s">
        <v>83</v>
      </c>
      <c r="D191" s="71" t="s">
        <v>84</v>
      </c>
      <c r="E191" s="7"/>
      <c r="F191" s="7">
        <v>2</v>
      </c>
      <c r="G191" s="17">
        <v>76500</v>
      </c>
      <c r="H191" s="17">
        <v>153000</v>
      </c>
      <c r="I191" s="61" t="s">
        <v>70</v>
      </c>
      <c r="J191" s="72"/>
      <c r="K191" s="61"/>
      <c r="L191" s="701"/>
    </row>
    <row r="192" spans="1:12" s="14" customFormat="1" ht="18.75" customHeight="1" x14ac:dyDescent="0.4">
      <c r="A192" s="501">
        <v>46192</v>
      </c>
      <c r="B192" s="7" t="s">
        <v>1550</v>
      </c>
      <c r="C192" s="60" t="s">
        <v>83</v>
      </c>
      <c r="D192" s="71" t="s">
        <v>84</v>
      </c>
      <c r="E192" s="7"/>
      <c r="F192" s="7">
        <v>2</v>
      </c>
      <c r="G192" s="17">
        <v>76500</v>
      </c>
      <c r="H192" s="17">
        <v>153000</v>
      </c>
      <c r="I192" s="61" t="s">
        <v>70</v>
      </c>
      <c r="J192" s="72"/>
      <c r="K192" s="61"/>
      <c r="L192" s="701"/>
    </row>
    <row r="193" spans="1:12" s="14" customFormat="1" ht="18.75" customHeight="1" x14ac:dyDescent="0.4">
      <c r="A193" s="501">
        <v>46192</v>
      </c>
      <c r="B193" s="7" t="s">
        <v>1550</v>
      </c>
      <c r="C193" s="60" t="s">
        <v>83</v>
      </c>
      <c r="D193" s="71" t="s">
        <v>84</v>
      </c>
      <c r="E193" s="7"/>
      <c r="F193" s="7">
        <v>2</v>
      </c>
      <c r="G193" s="17">
        <v>76500</v>
      </c>
      <c r="H193" s="17">
        <v>153000</v>
      </c>
      <c r="I193" s="61" t="s">
        <v>70</v>
      </c>
      <c r="J193" s="72"/>
      <c r="K193" s="61"/>
      <c r="L193" s="701"/>
    </row>
    <row r="194" spans="1:12" s="14" customFormat="1" ht="18.75" customHeight="1" x14ac:dyDescent="0.4">
      <c r="A194" s="501">
        <v>46192</v>
      </c>
      <c r="B194" s="7" t="s">
        <v>1550</v>
      </c>
      <c r="C194" s="60" t="s">
        <v>83</v>
      </c>
      <c r="D194" s="71" t="s">
        <v>84</v>
      </c>
      <c r="E194" s="7"/>
      <c r="F194" s="7">
        <v>2</v>
      </c>
      <c r="G194" s="17">
        <v>76500</v>
      </c>
      <c r="H194" s="17">
        <v>153000</v>
      </c>
      <c r="I194" s="61" t="s">
        <v>70</v>
      </c>
      <c r="J194" s="72"/>
      <c r="K194" s="61"/>
      <c r="L194" s="701"/>
    </row>
    <row r="195" spans="1:12" s="14" customFormat="1" ht="18.75" customHeight="1" x14ac:dyDescent="0.4">
      <c r="A195" s="501">
        <v>46192</v>
      </c>
      <c r="B195" s="7" t="s">
        <v>1550</v>
      </c>
      <c r="C195" s="60" t="s">
        <v>83</v>
      </c>
      <c r="D195" s="71" t="s">
        <v>84</v>
      </c>
      <c r="E195" s="7"/>
      <c r="F195" s="7">
        <v>2</v>
      </c>
      <c r="G195" s="17">
        <v>76500</v>
      </c>
      <c r="H195" s="17">
        <v>153000</v>
      </c>
      <c r="I195" s="61" t="s">
        <v>70</v>
      </c>
      <c r="J195" s="72"/>
      <c r="K195" s="61"/>
      <c r="L195" s="701"/>
    </row>
    <row r="196" spans="1:12" s="14" customFormat="1" ht="18.75" customHeight="1" x14ac:dyDescent="0.4">
      <c r="A196" s="501">
        <v>46192</v>
      </c>
      <c r="B196" s="7" t="s">
        <v>1550</v>
      </c>
      <c r="C196" s="60" t="s">
        <v>85</v>
      </c>
      <c r="D196" s="71" t="s">
        <v>86</v>
      </c>
      <c r="E196" s="7"/>
      <c r="F196" s="7">
        <v>2</v>
      </c>
      <c r="G196" s="17">
        <v>37700</v>
      </c>
      <c r="H196" s="17">
        <v>75400</v>
      </c>
      <c r="I196" s="61" t="s">
        <v>70</v>
      </c>
      <c r="J196" s="72"/>
      <c r="K196" s="61"/>
      <c r="L196" s="701"/>
    </row>
    <row r="197" spans="1:12" s="14" customFormat="1" ht="18.75" customHeight="1" x14ac:dyDescent="0.4">
      <c r="A197" s="501">
        <v>46192</v>
      </c>
      <c r="B197" s="7" t="s">
        <v>1550</v>
      </c>
      <c r="C197" s="60" t="s">
        <v>85</v>
      </c>
      <c r="D197" s="71" t="s">
        <v>86</v>
      </c>
      <c r="E197" s="7"/>
      <c r="F197" s="7">
        <v>2</v>
      </c>
      <c r="G197" s="17">
        <v>37700</v>
      </c>
      <c r="H197" s="17">
        <v>75400</v>
      </c>
      <c r="I197" s="61" t="s">
        <v>70</v>
      </c>
      <c r="J197" s="72"/>
      <c r="K197" s="61"/>
      <c r="L197" s="701"/>
    </row>
    <row r="198" spans="1:12" s="14" customFormat="1" ht="18.75" customHeight="1" x14ac:dyDescent="0.4">
      <c r="A198" s="501">
        <v>46192</v>
      </c>
      <c r="B198" s="7" t="s">
        <v>1550</v>
      </c>
      <c r="C198" s="60" t="s">
        <v>85</v>
      </c>
      <c r="D198" s="71" t="s">
        <v>86</v>
      </c>
      <c r="E198" s="7"/>
      <c r="F198" s="7">
        <v>2</v>
      </c>
      <c r="G198" s="17">
        <v>37700</v>
      </c>
      <c r="H198" s="17">
        <v>75400</v>
      </c>
      <c r="I198" s="61" t="s">
        <v>70</v>
      </c>
      <c r="J198" s="72"/>
      <c r="K198" s="61"/>
      <c r="L198" s="701"/>
    </row>
    <row r="199" spans="1:12" s="14" customFormat="1" ht="18.75" customHeight="1" x14ac:dyDescent="0.4">
      <c r="A199" s="501">
        <v>46192</v>
      </c>
      <c r="B199" s="7" t="s">
        <v>1550</v>
      </c>
      <c r="C199" s="60" t="s">
        <v>85</v>
      </c>
      <c r="D199" s="71" t="s">
        <v>86</v>
      </c>
      <c r="E199" s="7"/>
      <c r="F199" s="7">
        <v>2</v>
      </c>
      <c r="G199" s="17">
        <v>37700</v>
      </c>
      <c r="H199" s="17">
        <v>75400</v>
      </c>
      <c r="I199" s="61" t="s">
        <v>70</v>
      </c>
      <c r="J199" s="72"/>
      <c r="K199" s="61"/>
      <c r="L199" s="701"/>
    </row>
    <row r="200" spans="1:12" s="14" customFormat="1" ht="18.75" customHeight="1" x14ac:dyDescent="0.4">
      <c r="A200" s="501">
        <v>46192</v>
      </c>
      <c r="B200" s="7" t="s">
        <v>1550</v>
      </c>
      <c r="C200" s="60" t="s">
        <v>85</v>
      </c>
      <c r="D200" s="71" t="s">
        <v>86</v>
      </c>
      <c r="E200" s="7"/>
      <c r="F200" s="7">
        <v>2</v>
      </c>
      <c r="G200" s="17">
        <v>37700</v>
      </c>
      <c r="H200" s="17">
        <v>75400</v>
      </c>
      <c r="I200" s="61" t="s">
        <v>70</v>
      </c>
      <c r="J200" s="72"/>
      <c r="K200" s="61"/>
      <c r="L200" s="701"/>
    </row>
    <row r="201" spans="1:12" s="14" customFormat="1" ht="18.75" customHeight="1" x14ac:dyDescent="0.4">
      <c r="A201" s="501">
        <v>46192</v>
      </c>
      <c r="B201" s="7" t="s">
        <v>1550</v>
      </c>
      <c r="C201" s="60" t="s">
        <v>85</v>
      </c>
      <c r="D201" s="71" t="s">
        <v>86</v>
      </c>
      <c r="E201" s="7"/>
      <c r="F201" s="7">
        <v>2</v>
      </c>
      <c r="G201" s="17">
        <v>37700</v>
      </c>
      <c r="H201" s="17">
        <v>75400</v>
      </c>
      <c r="I201" s="61" t="s">
        <v>70</v>
      </c>
      <c r="J201" s="72"/>
      <c r="K201" s="61"/>
      <c r="L201" s="701"/>
    </row>
    <row r="202" spans="1:12" s="14" customFormat="1" ht="18.75" customHeight="1" x14ac:dyDescent="0.4">
      <c r="A202" s="501">
        <v>46192</v>
      </c>
      <c r="B202" s="7" t="s">
        <v>1550</v>
      </c>
      <c r="C202" s="60" t="s">
        <v>83</v>
      </c>
      <c r="D202" s="71" t="s">
        <v>87</v>
      </c>
      <c r="E202" s="7"/>
      <c r="F202" s="7">
        <v>2</v>
      </c>
      <c r="G202" s="17">
        <v>75300</v>
      </c>
      <c r="H202" s="17">
        <v>150600</v>
      </c>
      <c r="I202" s="61" t="s">
        <v>70</v>
      </c>
      <c r="J202" s="72"/>
      <c r="K202" s="61"/>
      <c r="L202" s="701"/>
    </row>
    <row r="203" spans="1:12" s="14" customFormat="1" ht="18.75" customHeight="1" x14ac:dyDescent="0.4">
      <c r="A203" s="501">
        <v>46192</v>
      </c>
      <c r="B203" s="7" t="s">
        <v>1550</v>
      </c>
      <c r="C203" s="60" t="s">
        <v>83</v>
      </c>
      <c r="D203" s="71" t="s">
        <v>87</v>
      </c>
      <c r="E203" s="7"/>
      <c r="F203" s="7">
        <v>2</v>
      </c>
      <c r="G203" s="17">
        <v>75300</v>
      </c>
      <c r="H203" s="17">
        <v>150600</v>
      </c>
      <c r="I203" s="61" t="s">
        <v>70</v>
      </c>
      <c r="J203" s="72"/>
      <c r="K203" s="61"/>
      <c r="L203" s="701"/>
    </row>
    <row r="204" spans="1:12" s="14" customFormat="1" ht="18.75" customHeight="1" x14ac:dyDescent="0.4">
      <c r="A204" s="501">
        <v>46192</v>
      </c>
      <c r="B204" s="7" t="s">
        <v>1550</v>
      </c>
      <c r="C204" s="60" t="s">
        <v>83</v>
      </c>
      <c r="D204" s="71" t="s">
        <v>87</v>
      </c>
      <c r="E204" s="7"/>
      <c r="F204" s="7">
        <v>2</v>
      </c>
      <c r="G204" s="17">
        <v>75300</v>
      </c>
      <c r="H204" s="17">
        <v>150600</v>
      </c>
      <c r="I204" s="61" t="s">
        <v>70</v>
      </c>
      <c r="J204" s="72"/>
      <c r="K204" s="61"/>
      <c r="L204" s="701"/>
    </row>
    <row r="205" spans="1:12" s="14" customFormat="1" ht="18.75" customHeight="1" x14ac:dyDescent="0.4">
      <c r="A205" s="501">
        <v>46192</v>
      </c>
      <c r="B205" s="7" t="s">
        <v>1550</v>
      </c>
      <c r="C205" s="60" t="s">
        <v>83</v>
      </c>
      <c r="D205" s="71" t="s">
        <v>87</v>
      </c>
      <c r="E205" s="7"/>
      <c r="F205" s="7">
        <v>2</v>
      </c>
      <c r="G205" s="17">
        <v>75300</v>
      </c>
      <c r="H205" s="17">
        <v>150600</v>
      </c>
      <c r="I205" s="61" t="s">
        <v>70</v>
      </c>
      <c r="J205" s="72"/>
      <c r="K205" s="61"/>
      <c r="L205" s="701"/>
    </row>
    <row r="206" spans="1:12" s="14" customFormat="1" ht="18.75" customHeight="1" x14ac:dyDescent="0.4">
      <c r="A206" s="501">
        <v>46192</v>
      </c>
      <c r="B206" s="7" t="s">
        <v>1550</v>
      </c>
      <c r="C206" s="60" t="s">
        <v>83</v>
      </c>
      <c r="D206" s="71" t="s">
        <v>87</v>
      </c>
      <c r="E206" s="7"/>
      <c r="F206" s="7">
        <v>2</v>
      </c>
      <c r="G206" s="17">
        <v>75300</v>
      </c>
      <c r="H206" s="17">
        <v>150600</v>
      </c>
      <c r="I206" s="61" t="s">
        <v>70</v>
      </c>
      <c r="J206" s="72"/>
      <c r="K206" s="61"/>
      <c r="L206" s="701"/>
    </row>
    <row r="207" spans="1:12" s="14" customFormat="1" ht="18.75" customHeight="1" x14ac:dyDescent="0.4">
      <c r="A207" s="501">
        <v>46192</v>
      </c>
      <c r="B207" s="7" t="s">
        <v>1550</v>
      </c>
      <c r="C207" s="60" t="s">
        <v>83</v>
      </c>
      <c r="D207" s="71" t="s">
        <v>87</v>
      </c>
      <c r="E207" s="7"/>
      <c r="F207" s="7">
        <v>2</v>
      </c>
      <c r="G207" s="17">
        <v>75300</v>
      </c>
      <c r="H207" s="17">
        <v>150600</v>
      </c>
      <c r="I207" s="61" t="s">
        <v>70</v>
      </c>
      <c r="J207" s="72"/>
      <c r="K207" s="61"/>
      <c r="L207" s="701"/>
    </row>
    <row r="208" spans="1:12" s="14" customFormat="1" ht="18.75" customHeight="1" x14ac:dyDescent="0.4">
      <c r="A208" s="501">
        <v>46192</v>
      </c>
      <c r="B208" s="7" t="s">
        <v>1550</v>
      </c>
      <c r="C208" s="60" t="s">
        <v>290</v>
      </c>
      <c r="D208" s="71" t="s">
        <v>291</v>
      </c>
      <c r="E208" s="7"/>
      <c r="F208" s="7">
        <v>2</v>
      </c>
      <c r="G208" s="17">
        <v>129000</v>
      </c>
      <c r="H208" s="17">
        <v>258000</v>
      </c>
      <c r="I208" s="61" t="s">
        <v>70</v>
      </c>
      <c r="J208" s="72"/>
      <c r="K208" s="61"/>
      <c r="L208" s="701"/>
    </row>
    <row r="209" spans="1:12" s="14" customFormat="1" ht="18.75" customHeight="1" x14ac:dyDescent="0.4">
      <c r="A209" s="501">
        <v>46192</v>
      </c>
      <c r="B209" s="7" t="s">
        <v>1550</v>
      </c>
      <c r="C209" s="60" t="s">
        <v>290</v>
      </c>
      <c r="D209" s="71" t="s">
        <v>291</v>
      </c>
      <c r="E209" s="7"/>
      <c r="F209" s="7">
        <v>2</v>
      </c>
      <c r="G209" s="17">
        <v>129000</v>
      </c>
      <c r="H209" s="17">
        <v>258000</v>
      </c>
      <c r="I209" s="61" t="s">
        <v>70</v>
      </c>
      <c r="J209" s="72"/>
      <c r="K209" s="61"/>
      <c r="L209" s="701"/>
    </row>
    <row r="210" spans="1:12" s="14" customFormat="1" ht="18.75" customHeight="1" x14ac:dyDescent="0.4">
      <c r="A210" s="501">
        <v>46195</v>
      </c>
      <c r="B210" s="7" t="s">
        <v>1550</v>
      </c>
      <c r="C210" s="60" t="s">
        <v>78</v>
      </c>
      <c r="D210" s="71" t="s">
        <v>1047</v>
      </c>
      <c r="E210" s="7"/>
      <c r="F210" s="7">
        <v>12</v>
      </c>
      <c r="G210" s="17">
        <v>82650</v>
      </c>
      <c r="H210" s="17">
        <v>991800</v>
      </c>
      <c r="I210" s="61" t="s">
        <v>1551</v>
      </c>
      <c r="J210" s="72"/>
      <c r="K210" s="61"/>
      <c r="L210" s="701"/>
    </row>
    <row r="211" spans="1:12" s="14" customFormat="1" ht="18.75" customHeight="1" x14ac:dyDescent="0.4">
      <c r="A211" s="501">
        <v>46195</v>
      </c>
      <c r="B211" s="7" t="s">
        <v>1550</v>
      </c>
      <c r="C211" s="60" t="s">
        <v>78</v>
      </c>
      <c r="D211" s="71" t="s">
        <v>79</v>
      </c>
      <c r="E211" s="7"/>
      <c r="F211" s="7">
        <v>6</v>
      </c>
      <c r="G211" s="17">
        <v>90500</v>
      </c>
      <c r="H211" s="17">
        <v>543000</v>
      </c>
      <c r="I211" s="61" t="s">
        <v>1419</v>
      </c>
      <c r="J211" s="72"/>
      <c r="K211" s="61"/>
      <c r="L211" s="701"/>
    </row>
    <row r="212" spans="1:12" s="14" customFormat="1" ht="18.75" customHeight="1" x14ac:dyDescent="0.4">
      <c r="A212" s="501">
        <v>46195</v>
      </c>
      <c r="B212" s="7" t="s">
        <v>1550</v>
      </c>
      <c r="C212" s="60" t="s">
        <v>78</v>
      </c>
      <c r="D212" s="71" t="s">
        <v>79</v>
      </c>
      <c r="E212" s="7"/>
      <c r="F212" s="7">
        <v>13</v>
      </c>
      <c r="G212" s="17">
        <v>90500</v>
      </c>
      <c r="H212" s="17">
        <v>1176500</v>
      </c>
      <c r="I212" s="61" t="s">
        <v>1420</v>
      </c>
      <c r="J212" s="72"/>
      <c r="K212" s="61"/>
      <c r="L212" s="701"/>
    </row>
    <row r="213" spans="1:12" s="14" customFormat="1" ht="18.75" customHeight="1" x14ac:dyDescent="0.4">
      <c r="A213" s="501">
        <v>46195</v>
      </c>
      <c r="B213" s="7" t="s">
        <v>1550</v>
      </c>
      <c r="C213" s="60" t="s">
        <v>78</v>
      </c>
      <c r="D213" s="71" t="s">
        <v>79</v>
      </c>
      <c r="E213" s="7"/>
      <c r="F213" s="7">
        <v>10</v>
      </c>
      <c r="G213" s="17">
        <v>90500</v>
      </c>
      <c r="H213" s="17">
        <v>905000</v>
      </c>
      <c r="I213" s="61" t="s">
        <v>1561</v>
      </c>
      <c r="J213" s="72"/>
      <c r="K213" s="61"/>
      <c r="L213" s="701"/>
    </row>
    <row r="214" spans="1:12" s="14" customFormat="1" ht="18.75" customHeight="1" x14ac:dyDescent="0.4">
      <c r="A214" s="501">
        <v>46195</v>
      </c>
      <c r="B214" s="7" t="s">
        <v>1550</v>
      </c>
      <c r="C214" s="60" t="s">
        <v>78</v>
      </c>
      <c r="D214" s="71" t="s">
        <v>79</v>
      </c>
      <c r="E214" s="7"/>
      <c r="F214" s="7">
        <v>11</v>
      </c>
      <c r="G214" s="17">
        <v>90500</v>
      </c>
      <c r="H214" s="17">
        <v>995500</v>
      </c>
      <c r="I214" s="61" t="s">
        <v>1558</v>
      </c>
      <c r="J214" s="72"/>
      <c r="K214" s="61"/>
      <c r="L214" s="701"/>
    </row>
    <row r="215" spans="1:12" s="14" customFormat="1" ht="18.75" customHeight="1" x14ac:dyDescent="0.4">
      <c r="A215" s="501">
        <v>46195</v>
      </c>
      <c r="B215" s="7" t="s">
        <v>1550</v>
      </c>
      <c r="C215" s="60" t="s">
        <v>73</v>
      </c>
      <c r="D215" s="71" t="s">
        <v>74</v>
      </c>
      <c r="E215" s="7"/>
      <c r="F215" s="7">
        <v>11</v>
      </c>
      <c r="G215" s="17">
        <v>442000</v>
      </c>
      <c r="H215" s="17">
        <v>4862000</v>
      </c>
      <c r="I215" s="61" t="s">
        <v>1416</v>
      </c>
      <c r="J215" s="72"/>
      <c r="K215" s="61"/>
      <c r="L215" s="701"/>
    </row>
    <row r="216" spans="1:12" s="14" customFormat="1" ht="18.75" customHeight="1" x14ac:dyDescent="0.4">
      <c r="A216" s="501">
        <v>46195</v>
      </c>
      <c r="B216" s="7" t="s">
        <v>1550</v>
      </c>
      <c r="C216" s="60" t="s">
        <v>66</v>
      </c>
      <c r="D216" s="71" t="s">
        <v>195</v>
      </c>
      <c r="E216" s="7"/>
      <c r="F216" s="7">
        <v>11</v>
      </c>
      <c r="G216" s="17">
        <v>1917500</v>
      </c>
      <c r="H216" s="17">
        <v>21092500</v>
      </c>
      <c r="I216" s="61" t="s">
        <v>1416</v>
      </c>
      <c r="J216" s="72"/>
      <c r="K216" s="61"/>
      <c r="L216" s="701"/>
    </row>
    <row r="217" spans="1:12" s="14" customFormat="1" ht="18.75" customHeight="1" x14ac:dyDescent="0.4">
      <c r="A217" s="501">
        <v>46195</v>
      </c>
      <c r="B217" s="7" t="s">
        <v>1550</v>
      </c>
      <c r="C217" s="60" t="s">
        <v>66</v>
      </c>
      <c r="D217" s="71" t="s">
        <v>195</v>
      </c>
      <c r="E217" s="7"/>
      <c r="F217" s="7">
        <v>6</v>
      </c>
      <c r="G217" s="17">
        <v>1917500</v>
      </c>
      <c r="H217" s="17">
        <v>11505000</v>
      </c>
      <c r="I217" s="61" t="s">
        <v>1419</v>
      </c>
      <c r="J217" s="72"/>
      <c r="K217" s="61"/>
      <c r="L217" s="701"/>
    </row>
    <row r="218" spans="1:12" s="14" customFormat="1" ht="18.75" customHeight="1" x14ac:dyDescent="0.4">
      <c r="A218" s="501">
        <v>46195</v>
      </c>
      <c r="B218" s="7" t="s">
        <v>1550</v>
      </c>
      <c r="C218" s="60" t="s">
        <v>1556</v>
      </c>
      <c r="D218" s="71" t="s">
        <v>1557</v>
      </c>
      <c r="E218" s="7"/>
      <c r="F218" s="7">
        <v>1</v>
      </c>
      <c r="G218" s="17">
        <v>1595000</v>
      </c>
      <c r="H218" s="17">
        <v>1595000</v>
      </c>
      <c r="I218" s="61" t="s">
        <v>70</v>
      </c>
      <c r="J218" s="72"/>
      <c r="K218" s="61"/>
      <c r="L218" s="701"/>
    </row>
    <row r="219" spans="1:12" s="14" customFormat="1" ht="18.75" customHeight="1" x14ac:dyDescent="0.4">
      <c r="A219" s="501">
        <v>46197</v>
      </c>
      <c r="B219" s="7" t="s">
        <v>1550</v>
      </c>
      <c r="C219" s="60" t="s">
        <v>71</v>
      </c>
      <c r="D219" s="71" t="s">
        <v>72</v>
      </c>
      <c r="E219" s="7"/>
      <c r="F219" s="7">
        <v>2</v>
      </c>
      <c r="G219" s="17">
        <v>548000</v>
      </c>
      <c r="H219" s="17">
        <v>1096000</v>
      </c>
      <c r="I219" s="61" t="s">
        <v>1419</v>
      </c>
      <c r="J219" s="72"/>
      <c r="K219" s="61"/>
      <c r="L219" s="701"/>
    </row>
    <row r="220" spans="1:12" s="14" customFormat="1" ht="18.75" customHeight="1" x14ac:dyDescent="0.4">
      <c r="A220" s="501">
        <v>46197</v>
      </c>
      <c r="B220" s="7" t="s">
        <v>1550</v>
      </c>
      <c r="C220" s="60" t="s">
        <v>71</v>
      </c>
      <c r="D220" s="71" t="s">
        <v>72</v>
      </c>
      <c r="E220" s="7"/>
      <c r="F220" s="7">
        <v>13</v>
      </c>
      <c r="G220" s="17">
        <v>548000</v>
      </c>
      <c r="H220" s="17">
        <v>7124000</v>
      </c>
      <c r="I220" s="61" t="s">
        <v>1420</v>
      </c>
      <c r="J220" s="72"/>
      <c r="K220" s="61"/>
      <c r="L220" s="701"/>
    </row>
    <row r="221" spans="1:12" s="14" customFormat="1" ht="18.75" customHeight="1" x14ac:dyDescent="0.4">
      <c r="A221" s="501">
        <v>46197</v>
      </c>
      <c r="B221" s="7" t="s">
        <v>1550</v>
      </c>
      <c r="C221" s="60" t="s">
        <v>71</v>
      </c>
      <c r="D221" s="71" t="s">
        <v>72</v>
      </c>
      <c r="E221" s="7"/>
      <c r="F221" s="7">
        <v>2</v>
      </c>
      <c r="G221" s="17">
        <v>548000</v>
      </c>
      <c r="H221" s="17">
        <v>1096000</v>
      </c>
      <c r="I221" s="61" t="s">
        <v>1558</v>
      </c>
      <c r="J221" s="72"/>
      <c r="K221" s="61"/>
      <c r="L221" s="701"/>
    </row>
    <row r="222" spans="1:12" s="14" customFormat="1" ht="18.75" customHeight="1" x14ac:dyDescent="0.4">
      <c r="A222" s="501">
        <v>46197</v>
      </c>
      <c r="B222" s="7" t="s">
        <v>1550</v>
      </c>
      <c r="C222" s="60" t="s">
        <v>67</v>
      </c>
      <c r="D222" s="71" t="s">
        <v>80</v>
      </c>
      <c r="E222" s="7"/>
      <c r="F222" s="7">
        <v>1</v>
      </c>
      <c r="G222" s="17">
        <v>384000</v>
      </c>
      <c r="H222" s="17">
        <v>384000</v>
      </c>
      <c r="I222" s="61" t="s">
        <v>1558</v>
      </c>
      <c r="J222" s="72"/>
      <c r="K222" s="61"/>
      <c r="L222" s="701"/>
    </row>
    <row r="223" spans="1:12" s="14" customFormat="1" ht="18.75" customHeight="1" x14ac:dyDescent="0.4">
      <c r="A223" s="501">
        <v>46197</v>
      </c>
      <c r="B223" s="7" t="s">
        <v>1550</v>
      </c>
      <c r="C223" s="60" t="s">
        <v>63</v>
      </c>
      <c r="D223" s="71" t="s">
        <v>97</v>
      </c>
      <c r="E223" s="7"/>
      <c r="F223" s="7">
        <v>11</v>
      </c>
      <c r="G223" s="17">
        <v>137000</v>
      </c>
      <c r="H223" s="17">
        <v>1507000</v>
      </c>
      <c r="I223" s="61" t="s">
        <v>1416</v>
      </c>
      <c r="J223" s="72"/>
      <c r="K223" s="61"/>
      <c r="L223" s="701"/>
    </row>
    <row r="224" spans="1:12" s="14" customFormat="1" ht="18.75" customHeight="1" x14ac:dyDescent="0.4">
      <c r="A224" s="501">
        <v>46197</v>
      </c>
      <c r="B224" s="7" t="s">
        <v>1550</v>
      </c>
      <c r="C224" s="60" t="s">
        <v>62</v>
      </c>
      <c r="D224" s="71" t="s">
        <v>75</v>
      </c>
      <c r="E224" s="7"/>
      <c r="F224" s="7">
        <v>10</v>
      </c>
      <c r="G224" s="17">
        <v>442000</v>
      </c>
      <c r="H224" s="17">
        <v>4420000</v>
      </c>
      <c r="I224" s="61" t="s">
        <v>1416</v>
      </c>
      <c r="J224" s="72"/>
      <c r="K224" s="61"/>
      <c r="L224" s="701"/>
    </row>
    <row r="225" spans="1:12" s="14" customFormat="1" ht="18.75" customHeight="1" x14ac:dyDescent="0.4">
      <c r="A225" s="501">
        <v>46198</v>
      </c>
      <c r="B225" s="7" t="s">
        <v>1550</v>
      </c>
      <c r="C225" s="60" t="s">
        <v>118</v>
      </c>
      <c r="D225" s="71" t="s">
        <v>119</v>
      </c>
      <c r="E225" s="7"/>
      <c r="F225" s="7">
        <v>10</v>
      </c>
      <c r="G225" s="17">
        <v>7790000</v>
      </c>
      <c r="H225" s="17">
        <v>77900000</v>
      </c>
      <c r="I225" s="61" t="s">
        <v>120</v>
      </c>
      <c r="J225" s="72"/>
      <c r="K225" s="61"/>
      <c r="L225" s="701"/>
    </row>
    <row r="226" spans="1:12" s="14" customFormat="1" ht="18.75" customHeight="1" x14ac:dyDescent="0.4">
      <c r="A226" s="501">
        <v>46199</v>
      </c>
      <c r="B226" s="7" t="s">
        <v>1550</v>
      </c>
      <c r="C226" s="60" t="s">
        <v>78</v>
      </c>
      <c r="D226" s="71" t="s">
        <v>1047</v>
      </c>
      <c r="E226" s="7"/>
      <c r="F226" s="7">
        <v>12</v>
      </c>
      <c r="G226" s="17">
        <v>82650</v>
      </c>
      <c r="H226" s="17">
        <v>991800</v>
      </c>
      <c r="I226" s="61" t="s">
        <v>1562</v>
      </c>
      <c r="J226" s="72"/>
      <c r="K226" s="61"/>
      <c r="L226" s="701"/>
    </row>
    <row r="227" spans="1:12" s="14" customFormat="1" ht="18.75" customHeight="1" x14ac:dyDescent="0.4">
      <c r="A227" s="501">
        <v>46199</v>
      </c>
      <c r="B227" s="7" t="s">
        <v>1550</v>
      </c>
      <c r="C227" s="60" t="s">
        <v>73</v>
      </c>
      <c r="D227" s="71" t="s">
        <v>74</v>
      </c>
      <c r="E227" s="7"/>
      <c r="F227" s="7">
        <v>6</v>
      </c>
      <c r="G227" s="17">
        <v>442000</v>
      </c>
      <c r="H227" s="17">
        <v>2652000</v>
      </c>
      <c r="I227" s="61" t="s">
        <v>1419</v>
      </c>
      <c r="J227" s="72"/>
      <c r="K227" s="61"/>
      <c r="L227" s="701"/>
    </row>
    <row r="228" spans="1:12" s="14" customFormat="1" ht="18.75" customHeight="1" x14ac:dyDescent="0.4">
      <c r="A228" s="501">
        <v>46199</v>
      </c>
      <c r="B228" s="7" t="s">
        <v>1550</v>
      </c>
      <c r="C228" s="60" t="s">
        <v>62</v>
      </c>
      <c r="D228" s="71" t="s">
        <v>75</v>
      </c>
      <c r="E228" s="7"/>
      <c r="F228" s="7">
        <v>6</v>
      </c>
      <c r="G228" s="17">
        <v>442000</v>
      </c>
      <c r="H228" s="17">
        <v>2652000</v>
      </c>
      <c r="I228" s="61" t="s">
        <v>1419</v>
      </c>
      <c r="J228" s="72"/>
      <c r="K228" s="61"/>
      <c r="L228" s="701"/>
    </row>
    <row r="229" spans="1:12" s="14" customFormat="1" ht="18.75" customHeight="1" x14ac:dyDescent="0.4">
      <c r="A229" s="501">
        <v>46199</v>
      </c>
      <c r="B229" s="7" t="s">
        <v>1550</v>
      </c>
      <c r="C229" s="60" t="s">
        <v>78</v>
      </c>
      <c r="D229" s="71" t="s">
        <v>79</v>
      </c>
      <c r="E229" s="7"/>
      <c r="F229" s="7">
        <v>3</v>
      </c>
      <c r="G229" s="17">
        <v>90500</v>
      </c>
      <c r="H229" s="17">
        <v>271500</v>
      </c>
      <c r="I229" s="61" t="s">
        <v>1560</v>
      </c>
      <c r="J229" s="72"/>
      <c r="K229" s="61"/>
      <c r="L229" s="701"/>
    </row>
    <row r="230" spans="1:12" s="14" customFormat="1" ht="18.75" customHeight="1" x14ac:dyDescent="0.4">
      <c r="A230" s="501">
        <v>46199</v>
      </c>
      <c r="B230" s="7" t="s">
        <v>1550</v>
      </c>
      <c r="C230" s="60" t="s">
        <v>78</v>
      </c>
      <c r="D230" s="71" t="s">
        <v>79</v>
      </c>
      <c r="E230" s="7"/>
      <c r="F230" s="7">
        <v>3</v>
      </c>
      <c r="G230" s="17">
        <v>90500</v>
      </c>
      <c r="H230" s="17">
        <v>271500</v>
      </c>
      <c r="I230" s="61" t="s">
        <v>1559</v>
      </c>
      <c r="J230" s="72"/>
      <c r="K230" s="61"/>
      <c r="L230" s="701"/>
    </row>
    <row r="231" spans="1:12" s="14" customFormat="1" ht="18.75" customHeight="1" x14ac:dyDescent="0.4">
      <c r="A231" s="501">
        <v>46199</v>
      </c>
      <c r="B231" s="7" t="s">
        <v>1550</v>
      </c>
      <c r="C231" s="60" t="s">
        <v>62</v>
      </c>
      <c r="D231" s="71" t="s">
        <v>75</v>
      </c>
      <c r="E231" s="7"/>
      <c r="F231" s="7">
        <v>1</v>
      </c>
      <c r="G231" s="17">
        <v>442000</v>
      </c>
      <c r="H231" s="17">
        <v>442000</v>
      </c>
      <c r="I231" s="61" t="s">
        <v>1416</v>
      </c>
      <c r="J231" s="72"/>
      <c r="K231" s="61"/>
      <c r="L231" s="701"/>
    </row>
    <row r="232" spans="1:12" s="14" customFormat="1" ht="18.75" customHeight="1" x14ac:dyDescent="0.4">
      <c r="A232" s="501">
        <v>46199</v>
      </c>
      <c r="B232" s="7" t="s">
        <v>1550</v>
      </c>
      <c r="C232" s="60" t="s">
        <v>198</v>
      </c>
      <c r="D232" s="71" t="s">
        <v>286</v>
      </c>
      <c r="E232" s="7"/>
      <c r="F232" s="7">
        <v>10</v>
      </c>
      <c r="G232" s="17">
        <v>54000</v>
      </c>
      <c r="H232" s="17">
        <v>540000</v>
      </c>
      <c r="I232" s="61" t="s">
        <v>1552</v>
      </c>
      <c r="J232" s="72"/>
      <c r="K232" s="61"/>
      <c r="L232" s="701"/>
    </row>
    <row r="233" spans="1:12" s="14" customFormat="1" ht="18.75" customHeight="1" x14ac:dyDescent="0.4">
      <c r="A233" s="501">
        <v>46199</v>
      </c>
      <c r="B233" s="7" t="s">
        <v>1550</v>
      </c>
      <c r="C233" s="60" t="s">
        <v>198</v>
      </c>
      <c r="D233" s="71" t="s">
        <v>286</v>
      </c>
      <c r="E233" s="7"/>
      <c r="F233" s="7">
        <v>10</v>
      </c>
      <c r="G233" s="17">
        <v>54000</v>
      </c>
      <c r="H233" s="17">
        <v>540000</v>
      </c>
      <c r="I233" s="61" t="s">
        <v>1553</v>
      </c>
      <c r="J233" s="72"/>
      <c r="K233" s="61"/>
      <c r="L233" s="701"/>
    </row>
    <row r="234" spans="1:12" s="14" customFormat="1" ht="18.75" customHeight="1" x14ac:dyDescent="0.4">
      <c r="A234" s="501">
        <v>46199</v>
      </c>
      <c r="B234" s="7" t="s">
        <v>1550</v>
      </c>
      <c r="C234" s="60" t="s">
        <v>198</v>
      </c>
      <c r="D234" s="71" t="s">
        <v>286</v>
      </c>
      <c r="E234" s="7"/>
      <c r="F234" s="7">
        <v>10</v>
      </c>
      <c r="G234" s="17">
        <v>54000</v>
      </c>
      <c r="H234" s="17">
        <v>540000</v>
      </c>
      <c r="I234" s="61" t="s">
        <v>1554</v>
      </c>
      <c r="J234" s="72"/>
      <c r="K234" s="61"/>
      <c r="L234" s="701"/>
    </row>
    <row r="235" spans="1:12" s="14" customFormat="1" ht="18.75" customHeight="1" x14ac:dyDescent="0.4">
      <c r="A235" s="501">
        <v>46199</v>
      </c>
      <c r="B235" s="7" t="s">
        <v>1550</v>
      </c>
      <c r="C235" s="60" t="s">
        <v>198</v>
      </c>
      <c r="D235" s="71" t="s">
        <v>286</v>
      </c>
      <c r="E235" s="7"/>
      <c r="F235" s="7">
        <v>10</v>
      </c>
      <c r="G235" s="17">
        <v>54000</v>
      </c>
      <c r="H235" s="17">
        <v>540000</v>
      </c>
      <c r="I235" s="61" t="s">
        <v>1555</v>
      </c>
      <c r="J235" s="72"/>
      <c r="K235" s="61"/>
      <c r="L235" s="701"/>
    </row>
    <row r="236" spans="1:12" s="14" customFormat="1" ht="18.75" customHeight="1" x14ac:dyDescent="0.4">
      <c r="A236" s="501">
        <v>46199</v>
      </c>
      <c r="B236" s="7" t="s">
        <v>1550</v>
      </c>
      <c r="C236" s="60" t="s">
        <v>204</v>
      </c>
      <c r="D236" s="71" t="s">
        <v>205</v>
      </c>
      <c r="E236" s="7"/>
      <c r="F236" s="7">
        <v>2</v>
      </c>
      <c r="G236" s="17">
        <v>1295000</v>
      </c>
      <c r="H236" s="17">
        <v>2590000</v>
      </c>
      <c r="I236" s="61" t="s">
        <v>1416</v>
      </c>
      <c r="J236" s="72"/>
      <c r="K236" s="61"/>
      <c r="L236" s="701"/>
    </row>
    <row r="237" spans="1:12" s="14" customFormat="1" ht="18.75" customHeight="1" x14ac:dyDescent="0.4">
      <c r="A237" s="501">
        <v>46199</v>
      </c>
      <c r="B237" s="7" t="s">
        <v>1550</v>
      </c>
      <c r="C237" s="60" t="s">
        <v>204</v>
      </c>
      <c r="D237" s="71" t="s">
        <v>205</v>
      </c>
      <c r="E237" s="7"/>
      <c r="F237" s="7">
        <v>6</v>
      </c>
      <c r="G237" s="17">
        <v>1295000</v>
      </c>
      <c r="H237" s="17">
        <v>7770000</v>
      </c>
      <c r="I237" s="61" t="s">
        <v>1419</v>
      </c>
      <c r="J237" s="72"/>
      <c r="K237" s="61"/>
      <c r="L237" s="701"/>
    </row>
    <row r="238" spans="1:12" s="14" customFormat="1" ht="18.75" customHeight="1" x14ac:dyDescent="0.4">
      <c r="A238" s="501">
        <v>46199</v>
      </c>
      <c r="B238" s="7" t="s">
        <v>1550</v>
      </c>
      <c r="C238" s="60" t="s">
        <v>297</v>
      </c>
      <c r="D238" s="71" t="s">
        <v>298</v>
      </c>
      <c r="E238" s="7"/>
      <c r="F238" s="7">
        <v>3</v>
      </c>
      <c r="G238" s="17">
        <v>222000</v>
      </c>
      <c r="H238" s="17">
        <v>666000</v>
      </c>
      <c r="I238" s="61" t="s">
        <v>70</v>
      </c>
      <c r="J238" s="72"/>
      <c r="K238" s="61"/>
      <c r="L238" s="701"/>
    </row>
    <row r="239" spans="1:12" s="14" customFormat="1" ht="18.75" customHeight="1" x14ac:dyDescent="0.4">
      <c r="A239" s="501">
        <v>46199</v>
      </c>
      <c r="B239" s="7" t="s">
        <v>1550</v>
      </c>
      <c r="C239" s="60" t="s">
        <v>297</v>
      </c>
      <c r="D239" s="71" t="s">
        <v>298</v>
      </c>
      <c r="E239" s="7"/>
      <c r="F239" s="7">
        <v>4</v>
      </c>
      <c r="G239" s="17">
        <v>222000</v>
      </c>
      <c r="H239" s="17">
        <v>888000</v>
      </c>
      <c r="I239" s="61" t="s">
        <v>70</v>
      </c>
      <c r="J239" s="72"/>
      <c r="K239" s="61"/>
      <c r="L239" s="701"/>
    </row>
    <row r="240" spans="1:12" s="14" customFormat="1" ht="18.75" customHeight="1" x14ac:dyDescent="0.4">
      <c r="A240" s="501">
        <v>46199</v>
      </c>
      <c r="B240" s="7" t="s">
        <v>1550</v>
      </c>
      <c r="C240" s="60" t="s">
        <v>297</v>
      </c>
      <c r="D240" s="71" t="s">
        <v>298</v>
      </c>
      <c r="E240" s="7"/>
      <c r="F240" s="7">
        <v>1</v>
      </c>
      <c r="G240" s="17">
        <v>222000</v>
      </c>
      <c r="H240" s="17">
        <v>222000</v>
      </c>
      <c r="I240" s="61" t="s">
        <v>70</v>
      </c>
      <c r="J240" s="72"/>
      <c r="K240" s="61"/>
      <c r="L240" s="701"/>
    </row>
    <row r="241" spans="1:12" s="14" customFormat="1" ht="18.75" customHeight="1" x14ac:dyDescent="0.4">
      <c r="A241" s="501">
        <v>46199</v>
      </c>
      <c r="B241" s="7" t="s">
        <v>1550</v>
      </c>
      <c r="C241" s="60" t="s">
        <v>297</v>
      </c>
      <c r="D241" s="71" t="s">
        <v>298</v>
      </c>
      <c r="E241" s="7"/>
      <c r="F241" s="7">
        <v>3</v>
      </c>
      <c r="G241" s="17">
        <v>222000</v>
      </c>
      <c r="H241" s="17">
        <v>666000</v>
      </c>
      <c r="I241" s="61" t="s">
        <v>70</v>
      </c>
      <c r="J241" s="72"/>
      <c r="K241" s="61"/>
      <c r="L241" s="701"/>
    </row>
    <row r="242" spans="1:12" s="14" customFormat="1" ht="18.75" customHeight="1" x14ac:dyDescent="0.4">
      <c r="A242" s="501">
        <v>46199</v>
      </c>
      <c r="B242" s="7" t="s">
        <v>1550</v>
      </c>
      <c r="C242" s="60" t="s">
        <v>297</v>
      </c>
      <c r="D242" s="71" t="s">
        <v>298</v>
      </c>
      <c r="E242" s="7"/>
      <c r="F242" s="7">
        <v>3</v>
      </c>
      <c r="G242" s="17">
        <v>222000</v>
      </c>
      <c r="H242" s="17">
        <v>666000</v>
      </c>
      <c r="I242" s="61" t="s">
        <v>70</v>
      </c>
      <c r="J242" s="72"/>
      <c r="K242" s="61"/>
      <c r="L242" s="701"/>
    </row>
    <row r="243" spans="1:12" s="14" customFormat="1" ht="18.75" customHeight="1" x14ac:dyDescent="0.4">
      <c r="A243" s="501">
        <v>46199</v>
      </c>
      <c r="B243" s="7" t="s">
        <v>1550</v>
      </c>
      <c r="C243" s="60" t="s">
        <v>297</v>
      </c>
      <c r="D243" s="71" t="s">
        <v>298</v>
      </c>
      <c r="E243" s="7"/>
      <c r="F243" s="7">
        <v>2</v>
      </c>
      <c r="G243" s="17">
        <v>222000</v>
      </c>
      <c r="H243" s="17">
        <v>444000</v>
      </c>
      <c r="I243" s="61" t="s">
        <v>70</v>
      </c>
      <c r="J243" s="72"/>
      <c r="K243" s="61"/>
      <c r="L243" s="701"/>
    </row>
    <row r="244" spans="1:12" s="14" customFormat="1" ht="18.75" customHeight="1" x14ac:dyDescent="0.4">
      <c r="A244" s="501">
        <v>46199</v>
      </c>
      <c r="B244" s="7" t="s">
        <v>1550</v>
      </c>
      <c r="C244" s="60" t="s">
        <v>297</v>
      </c>
      <c r="D244" s="71" t="s">
        <v>298</v>
      </c>
      <c r="E244" s="7"/>
      <c r="F244" s="7">
        <v>1</v>
      </c>
      <c r="G244" s="17">
        <v>222000</v>
      </c>
      <c r="H244" s="17">
        <v>222000</v>
      </c>
      <c r="I244" s="61" t="s">
        <v>70</v>
      </c>
      <c r="J244" s="72"/>
      <c r="K244" s="61"/>
      <c r="L244" s="701"/>
    </row>
    <row r="245" spans="1:12" s="14" customFormat="1" ht="18.75" customHeight="1" x14ac:dyDescent="0.4">
      <c r="A245" s="501">
        <v>46199</v>
      </c>
      <c r="B245" s="7" t="s">
        <v>1550</v>
      </c>
      <c r="C245" s="60" t="s">
        <v>297</v>
      </c>
      <c r="D245" s="71" t="s">
        <v>298</v>
      </c>
      <c r="E245" s="7"/>
      <c r="F245" s="7">
        <v>3</v>
      </c>
      <c r="G245" s="17">
        <v>222000</v>
      </c>
      <c r="H245" s="17">
        <v>666000</v>
      </c>
      <c r="I245" s="61" t="s">
        <v>70</v>
      </c>
      <c r="J245" s="72"/>
      <c r="K245" s="61"/>
      <c r="L245" s="701"/>
    </row>
    <row r="246" spans="1:12" s="14" customFormat="1" ht="18.75" customHeight="1" x14ac:dyDescent="0.4">
      <c r="A246" s="501">
        <v>46199</v>
      </c>
      <c r="B246" s="7" t="s">
        <v>1550</v>
      </c>
      <c r="C246" s="60" t="s">
        <v>297</v>
      </c>
      <c r="D246" s="71" t="s">
        <v>298</v>
      </c>
      <c r="E246" s="7"/>
      <c r="F246" s="7">
        <v>4</v>
      </c>
      <c r="G246" s="17">
        <v>222000</v>
      </c>
      <c r="H246" s="17">
        <v>888000</v>
      </c>
      <c r="I246" s="61" t="s">
        <v>70</v>
      </c>
      <c r="J246" s="72"/>
      <c r="K246" s="61"/>
      <c r="L246" s="701"/>
    </row>
    <row r="247" spans="1:12" s="14" customFormat="1" ht="18.75" customHeight="1" x14ac:dyDescent="0.4">
      <c r="A247" s="501">
        <v>46199</v>
      </c>
      <c r="B247" s="7" t="s">
        <v>1550</v>
      </c>
      <c r="C247" s="60" t="s">
        <v>101</v>
      </c>
      <c r="D247" s="71" t="s">
        <v>102</v>
      </c>
      <c r="E247" s="7"/>
      <c r="F247" s="7">
        <v>2</v>
      </c>
      <c r="G247" s="17">
        <v>71500</v>
      </c>
      <c r="H247" s="17">
        <v>143000</v>
      </c>
      <c r="I247" s="61" t="s">
        <v>212</v>
      </c>
      <c r="J247" s="72"/>
      <c r="K247" s="61"/>
      <c r="L247" s="701"/>
    </row>
    <row r="248" spans="1:12" s="14" customFormat="1" ht="18.75" customHeight="1" x14ac:dyDescent="0.4">
      <c r="A248" s="501">
        <v>46199</v>
      </c>
      <c r="B248" s="7" t="s">
        <v>1550</v>
      </c>
      <c r="C248" s="60" t="s">
        <v>103</v>
      </c>
      <c r="D248" s="71" t="s">
        <v>104</v>
      </c>
      <c r="E248" s="7"/>
      <c r="F248" s="7">
        <v>4</v>
      </c>
      <c r="G248" s="17">
        <v>220000</v>
      </c>
      <c r="H248" s="17">
        <v>880000</v>
      </c>
      <c r="I248" s="61" t="s">
        <v>212</v>
      </c>
      <c r="J248" s="72"/>
      <c r="K248" s="61"/>
      <c r="L248" s="701"/>
    </row>
    <row r="249" spans="1:12" s="14" customFormat="1" ht="18.75" customHeight="1" x14ac:dyDescent="0.4">
      <c r="A249" s="501">
        <v>46199</v>
      </c>
      <c r="B249" s="7" t="s">
        <v>1550</v>
      </c>
      <c r="C249" s="60" t="s">
        <v>190</v>
      </c>
      <c r="D249" s="71" t="s">
        <v>214</v>
      </c>
      <c r="E249" s="7"/>
      <c r="F249" s="7">
        <v>2</v>
      </c>
      <c r="G249" s="17">
        <v>181000</v>
      </c>
      <c r="H249" s="17">
        <v>362000</v>
      </c>
      <c r="I249" s="61" t="s">
        <v>212</v>
      </c>
      <c r="J249" s="72"/>
      <c r="K249" s="61"/>
      <c r="L249" s="701"/>
    </row>
    <row r="250" spans="1:12" s="14" customFormat="1" ht="18.75" customHeight="1" x14ac:dyDescent="0.4">
      <c r="A250" s="501">
        <v>46199</v>
      </c>
      <c r="B250" s="7" t="s">
        <v>1550</v>
      </c>
      <c r="C250" s="60" t="s">
        <v>106</v>
      </c>
      <c r="D250" s="71" t="s">
        <v>107</v>
      </c>
      <c r="E250" s="7"/>
      <c r="F250" s="7">
        <v>2</v>
      </c>
      <c r="G250" s="17">
        <v>333000</v>
      </c>
      <c r="H250" s="17">
        <v>666000</v>
      </c>
      <c r="I250" s="61" t="s">
        <v>212</v>
      </c>
      <c r="J250" s="72"/>
      <c r="K250" s="61"/>
      <c r="L250" s="701"/>
    </row>
    <row r="251" spans="1:12" s="14" customFormat="1" ht="18.75" customHeight="1" x14ac:dyDescent="0.4">
      <c r="A251" s="501">
        <v>46199</v>
      </c>
      <c r="B251" s="7" t="s">
        <v>1550</v>
      </c>
      <c r="C251" s="60" t="s">
        <v>110</v>
      </c>
      <c r="D251" s="71" t="s">
        <v>111</v>
      </c>
      <c r="E251" s="7"/>
      <c r="F251" s="7">
        <v>1</v>
      </c>
      <c r="G251" s="17">
        <v>102070</v>
      </c>
      <c r="H251" s="17">
        <v>102070</v>
      </c>
      <c r="I251" s="61" t="s">
        <v>212</v>
      </c>
      <c r="J251" s="72"/>
      <c r="K251" s="61"/>
      <c r="L251" s="701"/>
    </row>
    <row r="252" spans="1:12" s="14" customFormat="1" ht="18.75" customHeight="1" x14ac:dyDescent="0.4">
      <c r="A252" s="501">
        <v>46199</v>
      </c>
      <c r="B252" s="7" t="s">
        <v>1550</v>
      </c>
      <c r="C252" s="60" t="s">
        <v>95</v>
      </c>
      <c r="D252" s="71" t="s">
        <v>96</v>
      </c>
      <c r="E252" s="7"/>
      <c r="F252" s="7">
        <v>12</v>
      </c>
      <c r="G252" s="17">
        <v>12000</v>
      </c>
      <c r="H252" s="17">
        <v>144000</v>
      </c>
      <c r="I252" s="61" t="s">
        <v>70</v>
      </c>
      <c r="J252" s="72"/>
      <c r="K252" s="61"/>
      <c r="L252" s="701"/>
    </row>
    <row r="253" spans="1:12" s="14" customFormat="1" ht="18.75" customHeight="1" x14ac:dyDescent="0.4">
      <c r="A253" s="501">
        <v>46199</v>
      </c>
      <c r="B253" s="7" t="s">
        <v>1550</v>
      </c>
      <c r="C253" s="60" t="s">
        <v>95</v>
      </c>
      <c r="D253" s="71" t="s">
        <v>96</v>
      </c>
      <c r="E253" s="7"/>
      <c r="F253" s="7">
        <v>12</v>
      </c>
      <c r="G253" s="17">
        <v>12000</v>
      </c>
      <c r="H253" s="17">
        <v>144000</v>
      </c>
      <c r="I253" s="61" t="s">
        <v>70</v>
      </c>
      <c r="J253" s="72"/>
      <c r="K253" s="61"/>
      <c r="L253" s="701"/>
    </row>
    <row r="254" spans="1:12" s="14" customFormat="1" ht="18.75" customHeight="1" x14ac:dyDescent="0.4">
      <c r="A254" s="501">
        <v>46199</v>
      </c>
      <c r="B254" s="7" t="s">
        <v>1550</v>
      </c>
      <c r="C254" s="60" t="s">
        <v>95</v>
      </c>
      <c r="D254" s="71" t="s">
        <v>96</v>
      </c>
      <c r="E254" s="7"/>
      <c r="F254" s="7">
        <v>12</v>
      </c>
      <c r="G254" s="17">
        <v>12000</v>
      </c>
      <c r="H254" s="17">
        <v>144000</v>
      </c>
      <c r="I254" s="61" t="s">
        <v>70</v>
      </c>
      <c r="J254" s="72"/>
      <c r="K254" s="61"/>
      <c r="L254" s="701"/>
    </row>
    <row r="255" spans="1:12" s="14" customFormat="1" ht="18.75" customHeight="1" x14ac:dyDescent="0.4">
      <c r="A255" s="501">
        <v>46199</v>
      </c>
      <c r="B255" s="7" t="s">
        <v>1550</v>
      </c>
      <c r="C255" s="60" t="s">
        <v>95</v>
      </c>
      <c r="D255" s="71" t="s">
        <v>96</v>
      </c>
      <c r="E255" s="7"/>
      <c r="F255" s="7">
        <v>12</v>
      </c>
      <c r="G255" s="17">
        <v>12000</v>
      </c>
      <c r="H255" s="17">
        <v>144000</v>
      </c>
      <c r="I255" s="61" t="s">
        <v>70</v>
      </c>
      <c r="J255" s="72"/>
      <c r="K255" s="61"/>
      <c r="L255" s="701"/>
    </row>
    <row r="256" spans="1:12" s="14" customFormat="1" ht="18.75" customHeight="1" x14ac:dyDescent="0.4">
      <c r="A256" s="501">
        <v>46202</v>
      </c>
      <c r="B256" s="7" t="s">
        <v>1550</v>
      </c>
      <c r="C256" s="60" t="s">
        <v>121</v>
      </c>
      <c r="D256" s="71" t="s">
        <v>122</v>
      </c>
      <c r="E256" s="7"/>
      <c r="F256" s="7">
        <v>10</v>
      </c>
      <c r="G256" s="17">
        <v>7010050</v>
      </c>
      <c r="H256" s="17">
        <v>70100500</v>
      </c>
      <c r="I256" s="61" t="s">
        <v>120</v>
      </c>
      <c r="J256" s="72"/>
      <c r="K256" s="61"/>
      <c r="L256" s="701"/>
    </row>
    <row r="257" spans="1:12" s="14" customFormat="1" ht="18.75" customHeight="1" x14ac:dyDescent="0.4">
      <c r="A257" s="501">
        <v>46202</v>
      </c>
      <c r="B257" s="7" t="s">
        <v>1550</v>
      </c>
      <c r="C257" s="60" t="s">
        <v>63</v>
      </c>
      <c r="D257" s="71" t="s">
        <v>97</v>
      </c>
      <c r="E257" s="7"/>
      <c r="F257" s="7">
        <v>6</v>
      </c>
      <c r="G257" s="17">
        <v>137000</v>
      </c>
      <c r="H257" s="17">
        <v>822000</v>
      </c>
      <c r="I257" s="61" t="s">
        <v>1419</v>
      </c>
      <c r="J257" s="72"/>
      <c r="K257" s="61"/>
      <c r="L257" s="701"/>
    </row>
    <row r="258" spans="1:12" s="14" customFormat="1" ht="18.75" customHeight="1" x14ac:dyDescent="0.4">
      <c r="A258" s="501">
        <v>46202</v>
      </c>
      <c r="B258" s="7" t="s">
        <v>1550</v>
      </c>
      <c r="C258" s="60" t="s">
        <v>118</v>
      </c>
      <c r="D258" s="71" t="s">
        <v>119</v>
      </c>
      <c r="E258" s="7"/>
      <c r="F258" s="7">
        <v>10</v>
      </c>
      <c r="G258" s="17">
        <v>7790000</v>
      </c>
      <c r="H258" s="17">
        <v>77900000</v>
      </c>
      <c r="I258" s="61" t="s">
        <v>120</v>
      </c>
      <c r="J258" s="72"/>
      <c r="K258" s="61"/>
      <c r="L258" s="701"/>
    </row>
    <row r="259" spans="1:12" s="14" customFormat="1" ht="18.75" customHeight="1" x14ac:dyDescent="0.4">
      <c r="A259" s="501">
        <v>46202</v>
      </c>
      <c r="B259" s="7" t="s">
        <v>1550</v>
      </c>
      <c r="C259" s="60" t="s">
        <v>64</v>
      </c>
      <c r="D259" s="71" t="s">
        <v>65</v>
      </c>
      <c r="E259" s="7"/>
      <c r="F259" s="7">
        <v>6</v>
      </c>
      <c r="G259" s="17">
        <v>1568700</v>
      </c>
      <c r="H259" s="17">
        <v>9412200</v>
      </c>
      <c r="I259" s="61" t="s">
        <v>1419</v>
      </c>
      <c r="J259" s="72"/>
      <c r="K259" s="61"/>
      <c r="L259" s="701"/>
    </row>
    <row r="260" spans="1:12" s="14" customFormat="1" ht="18.75" customHeight="1" x14ac:dyDescent="0.4">
      <c r="A260" s="501">
        <v>46202</v>
      </c>
      <c r="B260" s="7" t="s">
        <v>1550</v>
      </c>
      <c r="C260" s="60" t="s">
        <v>64</v>
      </c>
      <c r="D260" s="71" t="s">
        <v>65</v>
      </c>
      <c r="E260" s="7"/>
      <c r="F260" s="7">
        <v>13</v>
      </c>
      <c r="G260" s="17">
        <v>1568700</v>
      </c>
      <c r="H260" s="17">
        <v>20393100</v>
      </c>
      <c r="I260" s="61" t="s">
        <v>1420</v>
      </c>
      <c r="J260" s="72"/>
      <c r="K260" s="61"/>
      <c r="L260" s="701"/>
    </row>
    <row r="261" spans="1:12" s="14" customFormat="1" ht="18.75" customHeight="1" x14ac:dyDescent="0.4">
      <c r="A261" s="501">
        <v>46202</v>
      </c>
      <c r="B261" s="7" t="s">
        <v>1550</v>
      </c>
      <c r="C261" s="60" t="s">
        <v>83</v>
      </c>
      <c r="D261" s="71" t="s">
        <v>84</v>
      </c>
      <c r="E261" s="7"/>
      <c r="F261" s="7">
        <v>2</v>
      </c>
      <c r="G261" s="17">
        <v>76500</v>
      </c>
      <c r="H261" s="17">
        <v>153000</v>
      </c>
      <c r="I261" s="61" t="s">
        <v>70</v>
      </c>
      <c r="J261" s="72"/>
      <c r="K261" s="61"/>
      <c r="L261" s="701"/>
    </row>
    <row r="262" spans="1:12" s="14" customFormat="1" ht="18.75" customHeight="1" x14ac:dyDescent="0.4">
      <c r="A262" s="501">
        <v>46202</v>
      </c>
      <c r="B262" s="7" t="s">
        <v>1550</v>
      </c>
      <c r="C262" s="60" t="s">
        <v>83</v>
      </c>
      <c r="D262" s="71" t="s">
        <v>84</v>
      </c>
      <c r="E262" s="7"/>
      <c r="F262" s="7">
        <v>2</v>
      </c>
      <c r="G262" s="17">
        <v>76500</v>
      </c>
      <c r="H262" s="17">
        <v>153000</v>
      </c>
      <c r="I262" s="61" t="s">
        <v>70</v>
      </c>
      <c r="J262" s="72"/>
      <c r="K262" s="61"/>
      <c r="L262" s="701"/>
    </row>
    <row r="263" spans="1:12" s="14" customFormat="1" ht="18.75" customHeight="1" x14ac:dyDescent="0.4">
      <c r="A263" s="501">
        <v>46202</v>
      </c>
      <c r="B263" s="7" t="s">
        <v>1550</v>
      </c>
      <c r="C263" s="60" t="s">
        <v>85</v>
      </c>
      <c r="D263" s="71" t="s">
        <v>86</v>
      </c>
      <c r="E263" s="7"/>
      <c r="F263" s="7">
        <v>2</v>
      </c>
      <c r="G263" s="17">
        <v>37700</v>
      </c>
      <c r="H263" s="17">
        <v>75400</v>
      </c>
      <c r="I263" s="61" t="s">
        <v>70</v>
      </c>
      <c r="J263" s="72"/>
      <c r="K263" s="61"/>
      <c r="L263" s="701"/>
    </row>
    <row r="264" spans="1:12" s="14" customFormat="1" ht="18.75" customHeight="1" x14ac:dyDescent="0.4">
      <c r="A264" s="501">
        <v>46202</v>
      </c>
      <c r="B264" s="7" t="s">
        <v>1550</v>
      </c>
      <c r="C264" s="60" t="s">
        <v>85</v>
      </c>
      <c r="D264" s="71" t="s">
        <v>86</v>
      </c>
      <c r="E264" s="7"/>
      <c r="F264" s="7">
        <v>2</v>
      </c>
      <c r="G264" s="17">
        <v>37700</v>
      </c>
      <c r="H264" s="17">
        <v>75400</v>
      </c>
      <c r="I264" s="61" t="s">
        <v>70</v>
      </c>
      <c r="J264" s="72"/>
      <c r="K264" s="61"/>
      <c r="L264" s="701"/>
    </row>
    <row r="265" spans="1:12" s="14" customFormat="1" ht="18.75" customHeight="1" x14ac:dyDescent="0.4">
      <c r="A265" s="501">
        <v>46202</v>
      </c>
      <c r="B265" s="7" t="s">
        <v>1550</v>
      </c>
      <c r="C265" s="60" t="s">
        <v>83</v>
      </c>
      <c r="D265" s="71" t="s">
        <v>87</v>
      </c>
      <c r="E265" s="7"/>
      <c r="F265" s="7">
        <v>2</v>
      </c>
      <c r="G265" s="17">
        <v>75300</v>
      </c>
      <c r="H265" s="17">
        <v>150600</v>
      </c>
      <c r="I265" s="61" t="s">
        <v>70</v>
      </c>
      <c r="J265" s="72"/>
      <c r="K265" s="61"/>
      <c r="L265" s="701"/>
    </row>
    <row r="266" spans="1:12" s="14" customFormat="1" ht="18.75" customHeight="1" x14ac:dyDescent="0.4">
      <c r="A266" s="501">
        <v>46202</v>
      </c>
      <c r="B266" s="7" t="s">
        <v>1550</v>
      </c>
      <c r="C266" s="60" t="s">
        <v>83</v>
      </c>
      <c r="D266" s="71" t="s">
        <v>87</v>
      </c>
      <c r="E266" s="7"/>
      <c r="F266" s="7">
        <v>2</v>
      </c>
      <c r="G266" s="17">
        <v>75300</v>
      </c>
      <c r="H266" s="17">
        <v>150600</v>
      </c>
      <c r="I266" s="61" t="s">
        <v>70</v>
      </c>
      <c r="J266" s="72"/>
      <c r="K266" s="61"/>
      <c r="L266" s="701"/>
    </row>
    <row r="267" spans="1:12" s="14" customFormat="1" ht="18.75" customHeight="1" x14ac:dyDescent="0.4">
      <c r="A267" s="501">
        <v>46202</v>
      </c>
      <c r="B267" s="7" t="s">
        <v>1550</v>
      </c>
      <c r="C267" s="60" t="s">
        <v>290</v>
      </c>
      <c r="D267" s="71" t="s">
        <v>291</v>
      </c>
      <c r="E267" s="7"/>
      <c r="F267" s="7">
        <v>2</v>
      </c>
      <c r="G267" s="17">
        <v>129000</v>
      </c>
      <c r="H267" s="17">
        <v>258000</v>
      </c>
      <c r="I267" s="61" t="s">
        <v>70</v>
      </c>
      <c r="J267" s="72"/>
      <c r="K267" s="61"/>
      <c r="L267" s="701"/>
    </row>
    <row r="268" spans="1:12" s="14" customFormat="1" ht="18.75" customHeight="1" x14ac:dyDescent="0.4">
      <c r="A268" s="501">
        <v>46202</v>
      </c>
      <c r="B268" s="7" t="s">
        <v>1550</v>
      </c>
      <c r="C268" s="60" t="s">
        <v>290</v>
      </c>
      <c r="D268" s="71" t="s">
        <v>291</v>
      </c>
      <c r="E268" s="7"/>
      <c r="F268" s="7">
        <v>2</v>
      </c>
      <c r="G268" s="17">
        <v>129000</v>
      </c>
      <c r="H268" s="17">
        <v>258000</v>
      </c>
      <c r="I268" s="61" t="s">
        <v>70</v>
      </c>
      <c r="J268" s="72"/>
      <c r="K268" s="61"/>
      <c r="L268" s="701"/>
    </row>
    <row r="269" spans="1:12" s="14" customFormat="1" ht="18.75" customHeight="1" x14ac:dyDescent="0.4">
      <c r="A269" s="501">
        <v>46202</v>
      </c>
      <c r="B269" s="7" t="s">
        <v>1550</v>
      </c>
      <c r="C269" s="60" t="s">
        <v>95</v>
      </c>
      <c r="D269" s="71" t="s">
        <v>96</v>
      </c>
      <c r="E269" s="7"/>
      <c r="F269" s="7">
        <v>4</v>
      </c>
      <c r="G269" s="17">
        <v>12000</v>
      </c>
      <c r="H269" s="17">
        <v>48000</v>
      </c>
      <c r="I269" s="61" t="s">
        <v>70</v>
      </c>
      <c r="J269" s="72"/>
      <c r="K269" s="61"/>
      <c r="L269" s="701"/>
    </row>
    <row r="270" spans="1:12" s="14" customFormat="1" ht="18.75" customHeight="1" x14ac:dyDescent="0.4">
      <c r="A270" s="501">
        <v>46202</v>
      </c>
      <c r="B270" s="7" t="s">
        <v>1550</v>
      </c>
      <c r="C270" s="60" t="s">
        <v>95</v>
      </c>
      <c r="D270" s="71" t="s">
        <v>96</v>
      </c>
      <c r="E270" s="7"/>
      <c r="F270" s="7">
        <v>12</v>
      </c>
      <c r="G270" s="17">
        <v>12000</v>
      </c>
      <c r="H270" s="17">
        <v>144000</v>
      </c>
      <c r="I270" s="61" t="s">
        <v>70</v>
      </c>
      <c r="J270" s="72"/>
      <c r="K270" s="61"/>
      <c r="L270" s="701"/>
    </row>
    <row r="271" spans="1:12" s="14" customFormat="1" ht="18.75" customHeight="1" x14ac:dyDescent="0.4">
      <c r="A271" s="501">
        <v>46202</v>
      </c>
      <c r="B271" s="7" t="s">
        <v>1550</v>
      </c>
      <c r="C271" s="60" t="s">
        <v>95</v>
      </c>
      <c r="D271" s="71" t="s">
        <v>96</v>
      </c>
      <c r="E271" s="7"/>
      <c r="F271" s="7">
        <v>12</v>
      </c>
      <c r="G271" s="17">
        <v>12000</v>
      </c>
      <c r="H271" s="17">
        <v>144000</v>
      </c>
      <c r="I271" s="61" t="s">
        <v>70</v>
      </c>
      <c r="J271" s="72"/>
      <c r="K271" s="61"/>
      <c r="L271" s="701"/>
    </row>
    <row r="272" spans="1:12" s="14" customFormat="1" ht="18.75" customHeight="1" x14ac:dyDescent="0.4">
      <c r="A272" s="501">
        <v>46202</v>
      </c>
      <c r="B272" s="7" t="s">
        <v>1550</v>
      </c>
      <c r="C272" s="60" t="s">
        <v>95</v>
      </c>
      <c r="D272" s="71" t="s">
        <v>96</v>
      </c>
      <c r="E272" s="7"/>
      <c r="F272" s="7">
        <v>12</v>
      </c>
      <c r="G272" s="17">
        <v>12000</v>
      </c>
      <c r="H272" s="17">
        <v>144000</v>
      </c>
      <c r="I272" s="61" t="s">
        <v>70</v>
      </c>
      <c r="J272" s="72"/>
      <c r="K272" s="61"/>
      <c r="L272" s="701"/>
    </row>
    <row r="273" spans="1:12" s="14" customFormat="1" ht="18.75" customHeight="1" x14ac:dyDescent="0.4">
      <c r="A273" s="501">
        <v>46203</v>
      </c>
      <c r="B273" s="7" t="s">
        <v>1550</v>
      </c>
      <c r="C273" s="60" t="s">
        <v>428</v>
      </c>
      <c r="D273" s="71" t="s">
        <v>289</v>
      </c>
      <c r="E273" s="7"/>
      <c r="F273" s="7">
        <v>4</v>
      </c>
      <c r="G273" s="17">
        <v>390000</v>
      </c>
      <c r="H273" s="17">
        <v>1560000</v>
      </c>
      <c r="I273" s="61" t="s">
        <v>1551</v>
      </c>
      <c r="J273" s="72"/>
      <c r="K273" s="61"/>
      <c r="L273" s="701"/>
    </row>
    <row r="274" spans="1:12" s="14" customFormat="1" ht="18.75" customHeight="1" x14ac:dyDescent="0.4">
      <c r="A274" s="501">
        <v>46203</v>
      </c>
      <c r="B274" s="7" t="s">
        <v>1550</v>
      </c>
      <c r="C274" s="60" t="s">
        <v>63</v>
      </c>
      <c r="D274" s="71" t="s">
        <v>97</v>
      </c>
      <c r="E274" s="7"/>
      <c r="F274" s="7">
        <v>13</v>
      </c>
      <c r="G274" s="17">
        <v>137000</v>
      </c>
      <c r="H274" s="17">
        <v>1781000</v>
      </c>
      <c r="I274" s="61" t="s">
        <v>1420</v>
      </c>
      <c r="J274" s="72"/>
      <c r="K274" s="61"/>
      <c r="L274" s="701"/>
    </row>
    <row r="275" spans="1:12" s="14" customFormat="1" ht="18.75" customHeight="1" x14ac:dyDescent="0.4">
      <c r="A275" s="501">
        <v>46203</v>
      </c>
      <c r="B275" s="7" t="s">
        <v>1550</v>
      </c>
      <c r="C275" s="60" t="s">
        <v>73</v>
      </c>
      <c r="D275" s="71" t="s">
        <v>74</v>
      </c>
      <c r="E275" s="7"/>
      <c r="F275" s="7">
        <v>13</v>
      </c>
      <c r="G275" s="17">
        <v>442000</v>
      </c>
      <c r="H275" s="17">
        <v>5746000</v>
      </c>
      <c r="I275" s="61" t="s">
        <v>1420</v>
      </c>
      <c r="J275" s="72"/>
      <c r="K275" s="61"/>
      <c r="L275" s="701"/>
    </row>
    <row r="276" spans="1:12" s="14" customFormat="1" ht="18.75" customHeight="1" x14ac:dyDescent="0.4">
      <c r="A276" s="501">
        <v>46203</v>
      </c>
      <c r="B276" s="7" t="s">
        <v>1550</v>
      </c>
      <c r="C276" s="60" t="s">
        <v>62</v>
      </c>
      <c r="D276" s="71" t="s">
        <v>75</v>
      </c>
      <c r="E276" s="7"/>
      <c r="F276" s="7">
        <v>13</v>
      </c>
      <c r="G276" s="17">
        <v>442000</v>
      </c>
      <c r="H276" s="17">
        <v>5746000</v>
      </c>
      <c r="I276" s="61" t="s">
        <v>1420</v>
      </c>
      <c r="J276" s="72"/>
      <c r="K276" s="61"/>
      <c r="L276" s="701"/>
    </row>
    <row r="277" spans="1:12" s="14" customFormat="1" ht="18.75" customHeight="1" x14ac:dyDescent="0.4">
      <c r="A277" s="501">
        <v>46203</v>
      </c>
      <c r="B277" s="7" t="s">
        <v>1550</v>
      </c>
      <c r="C277" s="60" t="s">
        <v>202</v>
      </c>
      <c r="D277" s="71" t="s">
        <v>203</v>
      </c>
      <c r="E277" s="7"/>
      <c r="F277" s="7">
        <v>13</v>
      </c>
      <c r="G277" s="17">
        <v>384000</v>
      </c>
      <c r="H277" s="17">
        <v>4992000</v>
      </c>
      <c r="I277" s="61" t="s">
        <v>1420</v>
      </c>
      <c r="J277" s="72"/>
      <c r="K277" s="61"/>
      <c r="L277" s="701"/>
    </row>
    <row r="278" spans="1:12" s="14" customFormat="1" ht="18.75" customHeight="1" x14ac:dyDescent="0.4">
      <c r="A278" s="501">
        <v>46203</v>
      </c>
      <c r="B278" s="7" t="s">
        <v>1550</v>
      </c>
      <c r="C278" s="60" t="s">
        <v>63</v>
      </c>
      <c r="D278" s="71" t="s">
        <v>97</v>
      </c>
      <c r="E278" s="7"/>
      <c r="F278" s="7">
        <v>3</v>
      </c>
      <c r="G278" s="17">
        <v>137000</v>
      </c>
      <c r="H278" s="17">
        <v>411000</v>
      </c>
      <c r="I278" s="61" t="s">
        <v>1417</v>
      </c>
      <c r="J278" s="72"/>
      <c r="K278" s="61"/>
      <c r="L278" s="701"/>
    </row>
    <row r="279" spans="1:12" s="14" customFormat="1" ht="18.75" customHeight="1" x14ac:dyDescent="0.4">
      <c r="A279" s="501">
        <v>46203</v>
      </c>
      <c r="B279" s="7" t="s">
        <v>1550</v>
      </c>
      <c r="C279" s="60" t="s">
        <v>63</v>
      </c>
      <c r="D279" s="71" t="s">
        <v>97</v>
      </c>
      <c r="E279" s="7"/>
      <c r="F279" s="7">
        <v>3</v>
      </c>
      <c r="G279" s="17">
        <v>137000</v>
      </c>
      <c r="H279" s="17">
        <v>411000</v>
      </c>
      <c r="I279" s="61" t="s">
        <v>1559</v>
      </c>
      <c r="J279" s="72"/>
      <c r="K279" s="61"/>
      <c r="L279" s="701"/>
    </row>
    <row r="280" spans="1:12" s="14" customFormat="1" ht="18.75" customHeight="1" x14ac:dyDescent="0.4">
      <c r="A280" s="501">
        <v>46203</v>
      </c>
      <c r="B280" s="7" t="s">
        <v>1550</v>
      </c>
      <c r="C280" s="60" t="s">
        <v>73</v>
      </c>
      <c r="D280" s="71" t="s">
        <v>74</v>
      </c>
      <c r="E280" s="7"/>
      <c r="F280" s="7">
        <v>3</v>
      </c>
      <c r="G280" s="17">
        <v>442000</v>
      </c>
      <c r="H280" s="17">
        <v>1326000</v>
      </c>
      <c r="I280" s="61" t="s">
        <v>1417</v>
      </c>
      <c r="J280" s="72"/>
      <c r="K280" s="61"/>
      <c r="L280" s="701"/>
    </row>
    <row r="281" spans="1:12" s="14" customFormat="1" ht="18.75" customHeight="1" x14ac:dyDescent="0.4">
      <c r="A281" s="501">
        <v>46203</v>
      </c>
      <c r="B281" s="7" t="s">
        <v>1550</v>
      </c>
      <c r="C281" s="60" t="s">
        <v>73</v>
      </c>
      <c r="D281" s="71" t="s">
        <v>74</v>
      </c>
      <c r="E281" s="7"/>
      <c r="F281" s="7">
        <v>3</v>
      </c>
      <c r="G281" s="17">
        <v>442000</v>
      </c>
      <c r="H281" s="17">
        <v>1326000</v>
      </c>
      <c r="I281" s="61" t="s">
        <v>1559</v>
      </c>
      <c r="J281" s="72"/>
      <c r="K281" s="61"/>
      <c r="L281" s="701"/>
    </row>
    <row r="282" spans="1:12" s="14" customFormat="1" ht="18.75" customHeight="1" x14ac:dyDescent="0.4">
      <c r="A282" s="501">
        <v>46203</v>
      </c>
      <c r="B282" s="7" t="s">
        <v>1550</v>
      </c>
      <c r="C282" s="60" t="s">
        <v>62</v>
      </c>
      <c r="D282" s="71" t="s">
        <v>75</v>
      </c>
      <c r="E282" s="7"/>
      <c r="F282" s="7">
        <v>3</v>
      </c>
      <c r="G282" s="17">
        <v>442000</v>
      </c>
      <c r="H282" s="17">
        <v>1326000</v>
      </c>
      <c r="I282" s="61" t="s">
        <v>1278</v>
      </c>
      <c r="J282" s="72"/>
      <c r="K282" s="61"/>
      <c r="L282" s="701"/>
    </row>
    <row r="283" spans="1:12" s="14" customFormat="1" ht="18.75" customHeight="1" x14ac:dyDescent="0.4">
      <c r="A283" s="501">
        <v>46203</v>
      </c>
      <c r="B283" s="7" t="s">
        <v>1550</v>
      </c>
      <c r="C283" s="60" t="s">
        <v>62</v>
      </c>
      <c r="D283" s="71" t="s">
        <v>75</v>
      </c>
      <c r="E283" s="7"/>
      <c r="F283" s="7">
        <v>3</v>
      </c>
      <c r="G283" s="17">
        <v>442000</v>
      </c>
      <c r="H283" s="17">
        <v>1326000</v>
      </c>
      <c r="I283" s="61" t="s">
        <v>1417</v>
      </c>
      <c r="J283" s="72"/>
      <c r="K283" s="61"/>
      <c r="L283" s="701"/>
    </row>
    <row r="284" spans="1:12" s="14" customFormat="1" ht="18.75" customHeight="1" x14ac:dyDescent="0.4">
      <c r="A284" s="501">
        <v>46203</v>
      </c>
      <c r="B284" s="7" t="s">
        <v>1550</v>
      </c>
      <c r="C284" s="60" t="s">
        <v>62</v>
      </c>
      <c r="D284" s="71" t="s">
        <v>75</v>
      </c>
      <c r="E284" s="7"/>
      <c r="F284" s="7">
        <v>3</v>
      </c>
      <c r="G284" s="17">
        <v>442000</v>
      </c>
      <c r="H284" s="17">
        <v>1326000</v>
      </c>
      <c r="I284" s="61" t="s">
        <v>1559</v>
      </c>
      <c r="J284" s="72"/>
      <c r="K284" s="61"/>
      <c r="L284" s="701"/>
    </row>
    <row r="285" spans="1:12" s="14" customFormat="1" ht="18.75" customHeight="1" x14ac:dyDescent="0.4">
      <c r="A285" s="501">
        <v>46203</v>
      </c>
      <c r="B285" s="7" t="s">
        <v>1550</v>
      </c>
      <c r="C285" s="60" t="s">
        <v>62</v>
      </c>
      <c r="D285" s="71" t="s">
        <v>75</v>
      </c>
      <c r="E285" s="7"/>
      <c r="F285" s="7">
        <v>3</v>
      </c>
      <c r="G285" s="17">
        <v>442000</v>
      </c>
      <c r="H285" s="17">
        <v>1326000</v>
      </c>
      <c r="I285" s="61" t="s">
        <v>1560</v>
      </c>
      <c r="J285" s="72"/>
      <c r="K285" s="61"/>
      <c r="L285" s="701"/>
    </row>
    <row r="286" spans="1:12" s="14" customFormat="1" ht="18.75" customHeight="1" x14ac:dyDescent="0.4">
      <c r="A286" s="501">
        <v>46203</v>
      </c>
      <c r="B286" s="7" t="s">
        <v>1550</v>
      </c>
      <c r="C286" s="60" t="s">
        <v>202</v>
      </c>
      <c r="D286" s="71" t="s">
        <v>203</v>
      </c>
      <c r="E286" s="7"/>
      <c r="F286" s="7">
        <v>3</v>
      </c>
      <c r="G286" s="17">
        <v>384000</v>
      </c>
      <c r="H286" s="17">
        <v>1152000</v>
      </c>
      <c r="I286" s="61" t="s">
        <v>1559</v>
      </c>
      <c r="J286" s="72"/>
      <c r="K286" s="61"/>
      <c r="L286" s="701"/>
    </row>
    <row r="287" spans="1:12" s="14" customFormat="1" ht="18.75" customHeight="1" x14ac:dyDescent="0.4">
      <c r="A287" s="501">
        <v>46203</v>
      </c>
      <c r="B287" s="7" t="s">
        <v>1550</v>
      </c>
      <c r="C287" s="60" t="s">
        <v>202</v>
      </c>
      <c r="D287" s="71" t="s">
        <v>203</v>
      </c>
      <c r="E287" s="7"/>
      <c r="F287" s="7">
        <v>3</v>
      </c>
      <c r="G287" s="17">
        <v>384000</v>
      </c>
      <c r="H287" s="17">
        <v>1152000</v>
      </c>
      <c r="I287" s="61" t="s">
        <v>1560</v>
      </c>
      <c r="J287" s="72"/>
      <c r="K287" s="61"/>
      <c r="L287" s="701"/>
    </row>
    <row r="288" spans="1:12" s="14" customFormat="1" ht="18.75" customHeight="1" x14ac:dyDescent="0.4">
      <c r="A288" s="501">
        <v>46203</v>
      </c>
      <c r="B288" s="7" t="s">
        <v>1550</v>
      </c>
      <c r="C288" s="60" t="s">
        <v>71</v>
      </c>
      <c r="D288" s="71" t="s">
        <v>72</v>
      </c>
      <c r="E288" s="7"/>
      <c r="F288" s="7">
        <v>7</v>
      </c>
      <c r="G288" s="17">
        <v>548000</v>
      </c>
      <c r="H288" s="17">
        <v>3836000</v>
      </c>
      <c r="I288" s="61" t="s">
        <v>1558</v>
      </c>
      <c r="J288" s="72"/>
      <c r="K288" s="61"/>
      <c r="L288" s="701"/>
    </row>
    <row r="289" spans="1:13" s="14" customFormat="1" ht="18.75" customHeight="1" x14ac:dyDescent="0.4">
      <c r="A289" s="501">
        <v>46203</v>
      </c>
      <c r="B289" s="7" t="s">
        <v>1550</v>
      </c>
      <c r="C289" s="60" t="s">
        <v>73</v>
      </c>
      <c r="D289" s="71" t="s">
        <v>74</v>
      </c>
      <c r="E289" s="7"/>
      <c r="F289" s="7">
        <v>11</v>
      </c>
      <c r="G289" s="17">
        <v>442000</v>
      </c>
      <c r="H289" s="17">
        <v>4862000</v>
      </c>
      <c r="I289" s="61" t="s">
        <v>1558</v>
      </c>
      <c r="J289" s="72"/>
      <c r="K289" s="61"/>
      <c r="L289" s="701"/>
    </row>
    <row r="290" spans="1:13" s="14" customFormat="1" ht="18.75" customHeight="1" x14ac:dyDescent="0.4">
      <c r="A290" s="501">
        <v>46203</v>
      </c>
      <c r="B290" s="7" t="s">
        <v>1550</v>
      </c>
      <c r="C290" s="60" t="s">
        <v>62</v>
      </c>
      <c r="D290" s="71" t="s">
        <v>75</v>
      </c>
      <c r="E290" s="7"/>
      <c r="F290" s="7">
        <v>11</v>
      </c>
      <c r="G290" s="17">
        <v>442000</v>
      </c>
      <c r="H290" s="17">
        <v>4862000</v>
      </c>
      <c r="I290" s="61" t="s">
        <v>1558</v>
      </c>
      <c r="J290" s="72"/>
      <c r="K290" s="61"/>
      <c r="L290" s="701"/>
    </row>
    <row r="291" spans="1:13" s="14" customFormat="1" ht="18.75" customHeight="1" x14ac:dyDescent="0.4">
      <c r="A291" s="501">
        <v>46203</v>
      </c>
      <c r="B291" s="7" t="s">
        <v>1550</v>
      </c>
      <c r="C291" s="60" t="s">
        <v>202</v>
      </c>
      <c r="D291" s="71" t="s">
        <v>203</v>
      </c>
      <c r="E291" s="7"/>
      <c r="F291" s="7">
        <v>11</v>
      </c>
      <c r="G291" s="17">
        <v>384000</v>
      </c>
      <c r="H291" s="17">
        <v>4224000</v>
      </c>
      <c r="I291" s="61" t="s">
        <v>1558</v>
      </c>
      <c r="J291" s="72"/>
      <c r="K291" s="61"/>
      <c r="L291" s="701"/>
    </row>
    <row r="292" spans="1:13" s="14" customFormat="1" ht="18.75" customHeight="1" x14ac:dyDescent="0.4">
      <c r="A292" s="501">
        <v>46203</v>
      </c>
      <c r="B292" s="7" t="s">
        <v>1550</v>
      </c>
      <c r="C292" s="60" t="s">
        <v>66</v>
      </c>
      <c r="D292" s="71" t="s">
        <v>195</v>
      </c>
      <c r="E292" s="7"/>
      <c r="F292" s="7">
        <v>13</v>
      </c>
      <c r="G292" s="17">
        <v>1917500</v>
      </c>
      <c r="H292" s="17">
        <v>24927500</v>
      </c>
      <c r="I292" s="61" t="s">
        <v>1420</v>
      </c>
      <c r="J292" s="72"/>
      <c r="K292" s="61"/>
      <c r="L292" s="701"/>
    </row>
    <row r="293" spans="1:13" s="14" customFormat="1" ht="18.75" customHeight="1" x14ac:dyDescent="0.4">
      <c r="A293" s="501">
        <v>46203</v>
      </c>
      <c r="B293" s="7" t="s">
        <v>1550</v>
      </c>
      <c r="C293" s="60" t="s">
        <v>204</v>
      </c>
      <c r="D293" s="71" t="s">
        <v>205</v>
      </c>
      <c r="E293" s="7"/>
      <c r="F293" s="7">
        <v>11</v>
      </c>
      <c r="G293" s="17">
        <v>1295000</v>
      </c>
      <c r="H293" s="17">
        <v>14245000</v>
      </c>
      <c r="I293" s="61" t="s">
        <v>1420</v>
      </c>
      <c r="J293" s="72"/>
      <c r="K293" s="61"/>
      <c r="L293" s="701"/>
    </row>
    <row r="294" spans="1:13" s="14" customFormat="1" ht="18.75" customHeight="1" x14ac:dyDescent="0.4">
      <c r="A294" s="501">
        <v>46203</v>
      </c>
      <c r="B294" s="7" t="s">
        <v>1550</v>
      </c>
      <c r="C294" s="60" t="s">
        <v>64</v>
      </c>
      <c r="D294" s="71" t="s">
        <v>65</v>
      </c>
      <c r="E294" s="7"/>
      <c r="F294" s="7">
        <v>3</v>
      </c>
      <c r="G294" s="17">
        <v>1568700</v>
      </c>
      <c r="H294" s="17">
        <v>4706100</v>
      </c>
      <c r="I294" s="61" t="s">
        <v>1559</v>
      </c>
      <c r="J294" s="72"/>
      <c r="K294" s="61"/>
      <c r="L294" s="701"/>
    </row>
    <row r="295" spans="1:13" s="14" customFormat="1" ht="18.75" customHeight="1" x14ac:dyDescent="0.4">
      <c r="A295" s="501">
        <v>46203</v>
      </c>
      <c r="B295" s="7" t="s">
        <v>1550</v>
      </c>
      <c r="C295" s="60" t="s">
        <v>1556</v>
      </c>
      <c r="D295" s="71" t="s">
        <v>1557</v>
      </c>
      <c r="E295" s="7"/>
      <c r="F295" s="7">
        <v>1</v>
      </c>
      <c r="G295" s="17">
        <v>1595000</v>
      </c>
      <c r="H295" s="17">
        <v>1595000</v>
      </c>
      <c r="I295" s="61" t="s">
        <v>70</v>
      </c>
      <c r="J295" s="72"/>
      <c r="K295" s="61"/>
      <c r="L295" s="701"/>
    </row>
    <row r="296" spans="1:13" s="14" customFormat="1" ht="18.75" customHeight="1" x14ac:dyDescent="0.4">
      <c r="A296" s="501">
        <v>46203</v>
      </c>
      <c r="B296" s="7" t="s">
        <v>1550</v>
      </c>
      <c r="C296" s="60" t="s">
        <v>192</v>
      </c>
      <c r="D296" s="71" t="s">
        <v>193</v>
      </c>
      <c r="E296" s="7"/>
      <c r="F296" s="7">
        <v>3</v>
      </c>
      <c r="G296" s="17">
        <v>218000</v>
      </c>
      <c r="H296" s="17">
        <v>654000</v>
      </c>
      <c r="I296" s="61" t="s">
        <v>70</v>
      </c>
      <c r="J296" s="72"/>
      <c r="K296" s="61"/>
      <c r="L296" s="701"/>
    </row>
    <row r="297" spans="1:13" s="14" customFormat="1" ht="18.75" customHeight="1" x14ac:dyDescent="0.4">
      <c r="A297" s="501">
        <v>46203</v>
      </c>
      <c r="B297" s="7" t="s">
        <v>1550</v>
      </c>
      <c r="C297" s="60" t="s">
        <v>192</v>
      </c>
      <c r="D297" s="71" t="s">
        <v>193</v>
      </c>
      <c r="E297" s="7"/>
      <c r="F297" s="7">
        <v>1</v>
      </c>
      <c r="G297" s="17">
        <v>218000</v>
      </c>
      <c r="H297" s="17">
        <v>218000</v>
      </c>
      <c r="I297" s="61" t="s">
        <v>70</v>
      </c>
      <c r="J297" s="72"/>
      <c r="K297" s="61"/>
      <c r="L297" s="701"/>
    </row>
    <row r="298" spans="1:13" s="14" customFormat="1" ht="18.75" customHeight="1" x14ac:dyDescent="0.4">
      <c r="A298" s="501">
        <v>46203</v>
      </c>
      <c r="B298" s="7" t="s">
        <v>1550</v>
      </c>
      <c r="C298" s="60" t="s">
        <v>192</v>
      </c>
      <c r="D298" s="71" t="s">
        <v>193</v>
      </c>
      <c r="E298" s="7"/>
      <c r="F298" s="7">
        <v>4</v>
      </c>
      <c r="G298" s="17">
        <v>218000</v>
      </c>
      <c r="H298" s="17">
        <v>872000</v>
      </c>
      <c r="I298" s="61" t="s">
        <v>70</v>
      </c>
      <c r="J298" s="72"/>
      <c r="K298" s="61"/>
      <c r="L298" s="701"/>
    </row>
    <row r="299" spans="1:13" s="3" customFormat="1" ht="19.5" customHeight="1" x14ac:dyDescent="0.4">
      <c r="A299" s="482">
        <v>46106</v>
      </c>
      <c r="B299" s="103" t="s">
        <v>1550</v>
      </c>
      <c r="C299" s="29" t="s">
        <v>407</v>
      </c>
      <c r="D299" s="110" t="s">
        <v>531</v>
      </c>
      <c r="E299" s="110"/>
      <c r="F299" s="81">
        <v>4</v>
      </c>
      <c r="G299" s="81">
        <v>239000</v>
      </c>
      <c r="H299" s="36">
        <f>F299*G299</f>
        <v>956000</v>
      </c>
      <c r="I299" s="81" t="s">
        <v>1635</v>
      </c>
      <c r="J299" s="487"/>
      <c r="K299" s="196"/>
      <c r="L299" s="196"/>
      <c r="M299" s="89"/>
    </row>
    <row r="300" spans="1:13" s="19" customFormat="1" ht="18.75" customHeight="1" x14ac:dyDescent="0.4">
      <c r="A300" s="622"/>
      <c r="B300" s="39"/>
      <c r="C300" s="88"/>
      <c r="D300" s="434"/>
      <c r="E300" s="39"/>
      <c r="F300" s="39"/>
      <c r="G300" s="98"/>
      <c r="H300" s="138">
        <f>SUM(H124:H298)</f>
        <v>731078270</v>
      </c>
      <c r="I300" s="40">
        <f>H300-731257540</f>
        <v>-179270</v>
      </c>
      <c r="J300" s="436"/>
      <c r="K300" s="40"/>
      <c r="L300" s="696"/>
    </row>
    <row r="301" spans="1:13" s="3" customFormat="1" ht="18.75" customHeight="1" x14ac:dyDescent="0.4">
      <c r="A301" s="482">
        <v>46203</v>
      </c>
      <c r="B301" s="110" t="s">
        <v>1101</v>
      </c>
      <c r="C301" s="29" t="s">
        <v>105</v>
      </c>
      <c r="D301" s="110" t="s">
        <v>126</v>
      </c>
      <c r="E301" s="110"/>
      <c r="F301" s="697">
        <v>100</v>
      </c>
      <c r="G301" s="49">
        <v>55800</v>
      </c>
      <c r="H301" s="36">
        <f>F301*G301</f>
        <v>5580000</v>
      </c>
      <c r="I301" s="49" t="s">
        <v>1636</v>
      </c>
      <c r="J301" s="144"/>
      <c r="K301" s="144"/>
      <c r="L301" s="67"/>
      <c r="M301" s="89"/>
    </row>
    <row r="302" spans="1:13" s="3" customFormat="1" ht="18.75" customHeight="1" x14ac:dyDescent="0.4">
      <c r="A302" s="483"/>
      <c r="B302" s="194"/>
      <c r="C302" s="40"/>
      <c r="D302" s="194"/>
      <c r="E302" s="194"/>
      <c r="F302" s="91"/>
      <c r="G302" s="138"/>
      <c r="H302" s="138"/>
      <c r="I302" s="138"/>
      <c r="J302" s="145"/>
      <c r="K302" s="145"/>
      <c r="L302" s="145"/>
      <c r="M302" s="89"/>
    </row>
    <row r="303" spans="1:13" s="50" customFormat="1" ht="18.75" customHeight="1" x14ac:dyDescent="0.4">
      <c r="A303" s="485">
        <v>46192</v>
      </c>
      <c r="B303" s="5" t="s">
        <v>134</v>
      </c>
      <c r="C303" s="6" t="s">
        <v>1428</v>
      </c>
      <c r="D303" s="405">
        <v>8351322</v>
      </c>
      <c r="E303" s="1" t="s">
        <v>13</v>
      </c>
      <c r="F303" s="64">
        <v>1</v>
      </c>
      <c r="G303" s="64">
        <v>136940</v>
      </c>
      <c r="H303" s="748">
        <f>G303*F303</f>
        <v>136940</v>
      </c>
      <c r="I303" s="142" t="s">
        <v>1637</v>
      </c>
      <c r="J303" s="67" t="s">
        <v>1247</v>
      </c>
      <c r="K303" s="67"/>
      <c r="L303" s="67"/>
    </row>
    <row r="304" spans="1:13" ht="18" thickBot="1" x14ac:dyDescent="0.45">
      <c r="A304" s="485">
        <v>46171</v>
      </c>
      <c r="B304" s="5" t="s">
        <v>134</v>
      </c>
      <c r="C304" s="6" t="s">
        <v>458</v>
      </c>
      <c r="D304" s="405" t="s">
        <v>1437</v>
      </c>
      <c r="E304" s="1" t="s">
        <v>127</v>
      </c>
      <c r="F304" s="64">
        <v>3</v>
      </c>
      <c r="G304" s="64">
        <v>70100</v>
      </c>
      <c r="H304" s="748">
        <f>F304*G304</f>
        <v>210300</v>
      </c>
      <c r="I304" s="142" t="s">
        <v>1637</v>
      </c>
      <c r="J304" s="67"/>
      <c r="K304" s="67"/>
      <c r="L304" s="67"/>
    </row>
    <row r="305" spans="1:14" s="50" customFormat="1" ht="18.75" customHeight="1" thickBot="1" x14ac:dyDescent="0.45">
      <c r="A305" s="485">
        <v>46178</v>
      </c>
      <c r="B305" s="5" t="s">
        <v>134</v>
      </c>
      <c r="C305" s="6" t="s">
        <v>385</v>
      </c>
      <c r="D305" s="1" t="s">
        <v>386</v>
      </c>
      <c r="E305" s="1" t="s">
        <v>17</v>
      </c>
      <c r="F305" s="64">
        <v>76</v>
      </c>
      <c r="G305" s="64">
        <v>185800</v>
      </c>
      <c r="H305" s="748">
        <f>G305*F305</f>
        <v>14120800</v>
      </c>
      <c r="I305" s="142" t="s">
        <v>1637</v>
      </c>
      <c r="J305" s="67"/>
      <c r="K305" s="67"/>
      <c r="L305" s="409"/>
      <c r="N305" s="702"/>
    </row>
    <row r="306" spans="1:14" s="50" customFormat="1" ht="18.75" customHeight="1" x14ac:dyDescent="0.4">
      <c r="A306" s="485">
        <v>46192</v>
      </c>
      <c r="B306" s="5" t="s">
        <v>134</v>
      </c>
      <c r="C306" s="6" t="s">
        <v>223</v>
      </c>
      <c r="D306" s="1" t="s">
        <v>1567</v>
      </c>
      <c r="E306" s="1" t="s">
        <v>127</v>
      </c>
      <c r="F306" s="64">
        <v>110</v>
      </c>
      <c r="G306" s="748">
        <v>115200</v>
      </c>
      <c r="H306" s="748">
        <f>G306*F306</f>
        <v>12672000</v>
      </c>
      <c r="I306" s="142" t="s">
        <v>1637</v>
      </c>
      <c r="J306" s="67" t="s">
        <v>1247</v>
      </c>
      <c r="K306" s="67"/>
      <c r="L306" s="67"/>
    </row>
    <row r="307" spans="1:14" s="50" customFormat="1" ht="18.75" customHeight="1" x14ac:dyDescent="0.4">
      <c r="A307" s="485">
        <v>46192</v>
      </c>
      <c r="B307" s="5" t="s">
        <v>134</v>
      </c>
      <c r="C307" s="6" t="s">
        <v>228</v>
      </c>
      <c r="D307" s="405" t="s">
        <v>382</v>
      </c>
      <c r="E307" s="1" t="s">
        <v>17</v>
      </c>
      <c r="F307" s="64">
        <v>145</v>
      </c>
      <c r="G307" s="64">
        <v>399640</v>
      </c>
      <c r="H307" s="748">
        <f>G307*F307</f>
        <v>57947800</v>
      </c>
      <c r="I307" s="142" t="s">
        <v>1637</v>
      </c>
      <c r="J307" s="67" t="s">
        <v>1247</v>
      </c>
      <c r="K307" s="67"/>
      <c r="L307" s="67"/>
    </row>
    <row r="308" spans="1:14" s="50" customFormat="1" ht="18.75" customHeight="1" x14ac:dyDescent="0.4">
      <c r="A308" s="485">
        <v>46178</v>
      </c>
      <c r="B308" s="5" t="s">
        <v>134</v>
      </c>
      <c r="C308" s="6" t="s">
        <v>229</v>
      </c>
      <c r="D308" s="1" t="s">
        <v>1565</v>
      </c>
      <c r="E308" s="1" t="s">
        <v>127</v>
      </c>
      <c r="F308" s="64">
        <v>30</v>
      </c>
      <c r="G308" s="748">
        <v>144860</v>
      </c>
      <c r="H308" s="748">
        <f>G308*F308</f>
        <v>4345800</v>
      </c>
      <c r="I308" s="142" t="s">
        <v>1637</v>
      </c>
      <c r="J308" s="67"/>
      <c r="K308" s="67"/>
      <c r="L308" s="409"/>
    </row>
    <row r="309" spans="1:14" s="50" customFormat="1" ht="18.75" customHeight="1" x14ac:dyDescent="0.4">
      <c r="A309" s="485">
        <v>46192</v>
      </c>
      <c r="B309" s="5" t="s">
        <v>134</v>
      </c>
      <c r="C309" s="6" t="s">
        <v>229</v>
      </c>
      <c r="D309" s="405" t="s">
        <v>1565</v>
      </c>
      <c r="E309" s="1" t="s">
        <v>127</v>
      </c>
      <c r="F309" s="64">
        <v>53</v>
      </c>
      <c r="G309" s="64">
        <v>144860</v>
      </c>
      <c r="H309" s="748">
        <f>G309*F309</f>
        <v>7677580</v>
      </c>
      <c r="I309" s="142" t="s">
        <v>1637</v>
      </c>
      <c r="J309" s="67" t="s">
        <v>1247</v>
      </c>
      <c r="K309" s="67"/>
      <c r="L309" s="67"/>
    </row>
    <row r="310" spans="1:14" x14ac:dyDescent="0.4">
      <c r="A310" s="485">
        <v>46171</v>
      </c>
      <c r="B310" s="5" t="s">
        <v>134</v>
      </c>
      <c r="C310" s="6" t="s">
        <v>132</v>
      </c>
      <c r="D310" s="405" t="s">
        <v>1436</v>
      </c>
      <c r="E310" s="1" t="s">
        <v>13</v>
      </c>
      <c r="F310" s="64">
        <v>13</v>
      </c>
      <c r="G310" s="64">
        <v>3225880</v>
      </c>
      <c r="H310" s="748">
        <f>F310*G310</f>
        <v>41936440</v>
      </c>
      <c r="I310" s="142" t="s">
        <v>1637</v>
      </c>
      <c r="J310" s="67"/>
      <c r="K310" s="67"/>
      <c r="L310" s="67"/>
    </row>
    <row r="311" spans="1:14" s="50" customFormat="1" ht="18.75" customHeight="1" x14ac:dyDescent="0.4">
      <c r="A311" s="485">
        <v>46184</v>
      </c>
      <c r="B311" s="5" t="s">
        <v>134</v>
      </c>
      <c r="C311" s="6" t="s">
        <v>132</v>
      </c>
      <c r="D311" s="1" t="s">
        <v>1120</v>
      </c>
      <c r="E311" s="1" t="s">
        <v>343</v>
      </c>
      <c r="F311" s="64">
        <v>12</v>
      </c>
      <c r="G311" s="748">
        <v>3225880</v>
      </c>
      <c r="H311" s="748">
        <f>G311*F311</f>
        <v>38710560</v>
      </c>
      <c r="I311" s="142" t="s">
        <v>1637</v>
      </c>
      <c r="J311" s="67" t="s">
        <v>1247</v>
      </c>
      <c r="K311" s="67"/>
      <c r="L311" s="67"/>
    </row>
    <row r="312" spans="1:14" s="50" customFormat="1" ht="18.75" customHeight="1" x14ac:dyDescent="0.4">
      <c r="A312" s="485">
        <v>46178</v>
      </c>
      <c r="B312" s="5" t="s">
        <v>134</v>
      </c>
      <c r="C312" s="6" t="s">
        <v>1563</v>
      </c>
      <c r="D312" s="1" t="s">
        <v>1564</v>
      </c>
      <c r="E312" s="1" t="s">
        <v>127</v>
      </c>
      <c r="F312" s="64">
        <v>30</v>
      </c>
      <c r="G312" s="64">
        <v>42200</v>
      </c>
      <c r="H312" s="748">
        <f>G312*F312</f>
        <v>1266000</v>
      </c>
      <c r="I312" s="142" t="s">
        <v>1637</v>
      </c>
      <c r="J312" s="67"/>
      <c r="K312" s="67"/>
      <c r="L312" s="409"/>
    </row>
    <row r="313" spans="1:14" s="50" customFormat="1" ht="18.75" customHeight="1" x14ac:dyDescent="0.4">
      <c r="A313" s="485">
        <v>46184</v>
      </c>
      <c r="B313" s="5" t="s">
        <v>134</v>
      </c>
      <c r="C313" s="6" t="s">
        <v>949</v>
      </c>
      <c r="D313" s="1" t="s">
        <v>1113</v>
      </c>
      <c r="E313" s="1" t="s">
        <v>1114</v>
      </c>
      <c r="F313" s="64">
        <v>80</v>
      </c>
      <c r="G313" s="748">
        <v>80570</v>
      </c>
      <c r="H313" s="748">
        <f>G313*F313</f>
        <v>6445600</v>
      </c>
      <c r="I313" s="142" t="s">
        <v>1637</v>
      </c>
      <c r="J313" s="67" t="s">
        <v>1247</v>
      </c>
      <c r="K313" s="67"/>
      <c r="L313" s="67"/>
    </row>
    <row r="314" spans="1:14" s="50" customFormat="1" ht="18.75" customHeight="1" x14ac:dyDescent="0.4">
      <c r="A314" s="485">
        <v>46178</v>
      </c>
      <c r="B314" s="5" t="s">
        <v>134</v>
      </c>
      <c r="C314" s="67" t="s">
        <v>943</v>
      </c>
      <c r="D314" s="42" t="s">
        <v>1423</v>
      </c>
      <c r="E314" s="1" t="s">
        <v>13</v>
      </c>
      <c r="F314" s="64">
        <v>32</v>
      </c>
      <c r="G314" s="748">
        <v>108000</v>
      </c>
      <c r="H314" s="748">
        <f>G314*F314</f>
        <v>3456000</v>
      </c>
      <c r="I314" s="142" t="s">
        <v>1637</v>
      </c>
      <c r="J314" s="67"/>
      <c r="K314" s="67"/>
      <c r="L314" s="409"/>
    </row>
    <row r="315" spans="1:14" x14ac:dyDescent="0.4">
      <c r="A315" s="485">
        <v>46171</v>
      </c>
      <c r="B315" s="5" t="s">
        <v>134</v>
      </c>
      <c r="C315" s="6" t="s">
        <v>319</v>
      </c>
      <c r="D315" s="405" t="s">
        <v>960</v>
      </c>
      <c r="E315" s="1" t="s">
        <v>13</v>
      </c>
      <c r="F315" s="64">
        <v>17</v>
      </c>
      <c r="G315" s="64">
        <v>142700</v>
      </c>
      <c r="H315" s="748">
        <f>F315*G315</f>
        <v>2425900</v>
      </c>
      <c r="I315" s="142" t="s">
        <v>1637</v>
      </c>
      <c r="J315" s="67"/>
      <c r="K315" s="67"/>
      <c r="L315" s="67"/>
    </row>
    <row r="316" spans="1:14" x14ac:dyDescent="0.4">
      <c r="A316" s="485">
        <v>46171</v>
      </c>
      <c r="B316" s="5" t="s">
        <v>134</v>
      </c>
      <c r="C316" s="6" t="s">
        <v>319</v>
      </c>
      <c r="D316" s="405" t="s">
        <v>1530</v>
      </c>
      <c r="E316" s="1" t="s">
        <v>13</v>
      </c>
      <c r="F316" s="64">
        <v>25</v>
      </c>
      <c r="G316" s="64">
        <v>94000</v>
      </c>
      <c r="H316" s="748">
        <f>F316*G316</f>
        <v>2350000</v>
      </c>
      <c r="I316" s="142" t="s">
        <v>1637</v>
      </c>
      <c r="J316" s="67"/>
      <c r="K316" s="67"/>
      <c r="L316" s="67"/>
    </row>
    <row r="317" spans="1:14" s="50" customFormat="1" ht="18.75" customHeight="1" x14ac:dyDescent="0.4">
      <c r="A317" s="485">
        <v>46184</v>
      </c>
      <c r="B317" s="5" t="s">
        <v>134</v>
      </c>
      <c r="C317" s="6" t="s">
        <v>319</v>
      </c>
      <c r="D317" s="1" t="s">
        <v>1307</v>
      </c>
      <c r="E317" s="1" t="s">
        <v>13</v>
      </c>
      <c r="F317" s="64">
        <v>20</v>
      </c>
      <c r="G317" s="64">
        <v>94000</v>
      </c>
      <c r="H317" s="748">
        <f>G317*F317</f>
        <v>1880000</v>
      </c>
      <c r="I317" s="142" t="s">
        <v>1637</v>
      </c>
      <c r="J317" s="67" t="s">
        <v>1247</v>
      </c>
      <c r="K317" s="67"/>
      <c r="L317" s="67"/>
    </row>
    <row r="318" spans="1:14" x14ac:dyDescent="0.4">
      <c r="A318" s="485">
        <v>46170</v>
      </c>
      <c r="B318" s="5" t="s">
        <v>134</v>
      </c>
      <c r="C318" s="6" t="s">
        <v>136</v>
      </c>
      <c r="D318" s="405" t="s">
        <v>1435</v>
      </c>
      <c r="E318" s="1" t="s">
        <v>13</v>
      </c>
      <c r="F318" s="64">
        <v>25</v>
      </c>
      <c r="G318" s="64">
        <v>597880</v>
      </c>
      <c r="H318" s="748">
        <f>F318*G318</f>
        <v>14947000</v>
      </c>
      <c r="I318" s="142" t="s">
        <v>1637</v>
      </c>
      <c r="J318" s="67"/>
      <c r="K318" s="67"/>
      <c r="L318" s="67"/>
    </row>
    <row r="319" spans="1:14" x14ac:dyDescent="0.4">
      <c r="A319" s="485">
        <v>46170</v>
      </c>
      <c r="B319" s="5" t="s">
        <v>134</v>
      </c>
      <c r="C319" s="67" t="s">
        <v>181</v>
      </c>
      <c r="D319" s="468" t="s">
        <v>749</v>
      </c>
      <c r="E319" s="59" t="s">
        <v>13</v>
      </c>
      <c r="F319" s="749">
        <v>11</v>
      </c>
      <c r="G319" s="748">
        <v>2163000</v>
      </c>
      <c r="H319" s="748">
        <f>F319*G319</f>
        <v>23793000</v>
      </c>
      <c r="I319" s="142" t="s">
        <v>1637</v>
      </c>
      <c r="J319" s="67"/>
      <c r="K319" s="67"/>
      <c r="L319" s="67"/>
    </row>
    <row r="320" spans="1:14" x14ac:dyDescent="0.4">
      <c r="A320" s="485">
        <v>46170</v>
      </c>
      <c r="B320" s="5" t="s">
        <v>134</v>
      </c>
      <c r="C320" s="67" t="s">
        <v>182</v>
      </c>
      <c r="D320" s="468" t="s">
        <v>372</v>
      </c>
      <c r="E320" s="59" t="s">
        <v>13</v>
      </c>
      <c r="F320" s="749">
        <v>11</v>
      </c>
      <c r="G320" s="748">
        <v>2163000</v>
      </c>
      <c r="H320" s="748">
        <f>F320*G320</f>
        <v>23793000</v>
      </c>
      <c r="I320" s="142" t="s">
        <v>1637</v>
      </c>
      <c r="J320" s="67"/>
      <c r="K320" s="67"/>
      <c r="L320" s="67"/>
    </row>
    <row r="321" spans="1:12" s="50" customFormat="1" ht="18.75" customHeight="1" x14ac:dyDescent="0.4">
      <c r="A321" s="485">
        <v>46192</v>
      </c>
      <c r="B321" s="5" t="s">
        <v>134</v>
      </c>
      <c r="C321" s="6" t="s">
        <v>941</v>
      </c>
      <c r="D321" s="1" t="s">
        <v>1311</v>
      </c>
      <c r="E321" s="1" t="s">
        <v>13</v>
      </c>
      <c r="F321" s="64">
        <v>10</v>
      </c>
      <c r="G321" s="748">
        <v>290000</v>
      </c>
      <c r="H321" s="748">
        <f>G321*F321</f>
        <v>2900000</v>
      </c>
      <c r="I321" s="142" t="s">
        <v>1637</v>
      </c>
      <c r="J321" s="67" t="s">
        <v>1247</v>
      </c>
      <c r="K321" s="67"/>
      <c r="L321" s="67"/>
    </row>
    <row r="322" spans="1:12" s="50" customFormat="1" ht="18.75" customHeight="1" x14ac:dyDescent="0.4">
      <c r="A322" s="485">
        <v>46192</v>
      </c>
      <c r="B322" s="5" t="s">
        <v>134</v>
      </c>
      <c r="C322" s="6" t="s">
        <v>945</v>
      </c>
      <c r="D322" s="1" t="s">
        <v>1312</v>
      </c>
      <c r="E322" s="1" t="s">
        <v>13</v>
      </c>
      <c r="F322" s="64">
        <v>9</v>
      </c>
      <c r="G322" s="748">
        <v>225000</v>
      </c>
      <c r="H322" s="748">
        <f>G322*F322</f>
        <v>2025000</v>
      </c>
      <c r="I322" s="142" t="s">
        <v>1637</v>
      </c>
      <c r="J322" s="67" t="s">
        <v>1247</v>
      </c>
      <c r="K322" s="67"/>
      <c r="L322" s="67"/>
    </row>
    <row r="323" spans="1:12" x14ac:dyDescent="0.4">
      <c r="A323" s="485">
        <v>46171</v>
      </c>
      <c r="B323" s="5" t="s">
        <v>134</v>
      </c>
      <c r="C323" s="6" t="s">
        <v>314</v>
      </c>
      <c r="D323" s="405" t="s">
        <v>1638</v>
      </c>
      <c r="E323" s="1" t="s">
        <v>13</v>
      </c>
      <c r="F323" s="64">
        <v>17</v>
      </c>
      <c r="G323" s="64">
        <v>79000</v>
      </c>
      <c r="H323" s="748">
        <f>F323*G323</f>
        <v>1343000</v>
      </c>
      <c r="I323" s="142" t="s">
        <v>1637</v>
      </c>
      <c r="J323" s="67"/>
      <c r="K323" s="67"/>
      <c r="L323" s="67"/>
    </row>
    <row r="324" spans="1:12" x14ac:dyDescent="0.4">
      <c r="A324" s="485">
        <v>46171</v>
      </c>
      <c r="B324" s="5" t="s">
        <v>134</v>
      </c>
      <c r="C324" s="6" t="s">
        <v>310</v>
      </c>
      <c r="D324" s="405" t="s">
        <v>315</v>
      </c>
      <c r="E324" s="1" t="s">
        <v>13</v>
      </c>
      <c r="F324" s="64">
        <v>16</v>
      </c>
      <c r="G324" s="64">
        <v>84000</v>
      </c>
      <c r="H324" s="748">
        <f>F324*G324</f>
        <v>1344000</v>
      </c>
      <c r="I324" s="142" t="s">
        <v>1637</v>
      </c>
      <c r="J324" s="67"/>
      <c r="K324" s="67"/>
      <c r="L324" s="67"/>
    </row>
    <row r="325" spans="1:12" s="50" customFormat="1" ht="18.75" customHeight="1" x14ac:dyDescent="0.4">
      <c r="A325" s="485">
        <v>46178</v>
      </c>
      <c r="B325" s="5" t="s">
        <v>134</v>
      </c>
      <c r="C325" s="6" t="s">
        <v>310</v>
      </c>
      <c r="D325" s="1" t="s">
        <v>315</v>
      </c>
      <c r="E325" s="1" t="s">
        <v>13</v>
      </c>
      <c r="F325" s="64">
        <v>14</v>
      </c>
      <c r="G325" s="748">
        <v>84000</v>
      </c>
      <c r="H325" s="748">
        <f t="shared" ref="H325:H330" si="7">G325*F325</f>
        <v>1176000</v>
      </c>
      <c r="I325" s="142" t="s">
        <v>1637</v>
      </c>
      <c r="J325" s="67"/>
      <c r="K325" s="67"/>
      <c r="L325" s="409"/>
    </row>
    <row r="326" spans="1:12" s="50" customFormat="1" ht="18.75" customHeight="1" x14ac:dyDescent="0.4">
      <c r="A326" s="485">
        <v>46178</v>
      </c>
      <c r="B326" s="5" t="s">
        <v>134</v>
      </c>
      <c r="C326" s="6" t="s">
        <v>312</v>
      </c>
      <c r="D326" s="1" t="s">
        <v>316</v>
      </c>
      <c r="E326" s="1" t="s">
        <v>13</v>
      </c>
      <c r="F326" s="64">
        <v>24</v>
      </c>
      <c r="G326" s="64">
        <v>96000</v>
      </c>
      <c r="H326" s="748">
        <f t="shared" si="7"/>
        <v>2304000</v>
      </c>
      <c r="I326" s="142" t="s">
        <v>1637</v>
      </c>
      <c r="J326" s="67"/>
      <c r="K326" s="67"/>
      <c r="L326" s="409"/>
    </row>
    <row r="327" spans="1:12" s="50" customFormat="1" ht="18.75" customHeight="1" x14ac:dyDescent="0.4">
      <c r="A327" s="485">
        <v>46184</v>
      </c>
      <c r="B327" s="5" t="s">
        <v>134</v>
      </c>
      <c r="C327" s="6" t="s">
        <v>312</v>
      </c>
      <c r="D327" s="1" t="s">
        <v>961</v>
      </c>
      <c r="E327" s="1" t="s">
        <v>13</v>
      </c>
      <c r="F327" s="64">
        <v>33</v>
      </c>
      <c r="G327" s="64">
        <v>67900</v>
      </c>
      <c r="H327" s="748">
        <f t="shared" si="7"/>
        <v>2240700</v>
      </c>
      <c r="I327" s="142" t="s">
        <v>1637</v>
      </c>
      <c r="J327" s="67" t="s">
        <v>1247</v>
      </c>
      <c r="K327" s="67"/>
      <c r="L327" s="67"/>
    </row>
    <row r="328" spans="1:12" s="50" customFormat="1" ht="18.75" customHeight="1" x14ac:dyDescent="0.4">
      <c r="A328" s="485">
        <v>46192</v>
      </c>
      <c r="B328" s="5" t="s">
        <v>134</v>
      </c>
      <c r="C328" s="6" t="s">
        <v>314</v>
      </c>
      <c r="D328" s="1" t="s">
        <v>1106</v>
      </c>
      <c r="E328" s="1" t="s">
        <v>343</v>
      </c>
      <c r="F328" s="64">
        <v>35</v>
      </c>
      <c r="G328" s="748">
        <v>85000</v>
      </c>
      <c r="H328" s="748">
        <f t="shared" si="7"/>
        <v>2975000</v>
      </c>
      <c r="I328" s="142" t="s">
        <v>1637</v>
      </c>
      <c r="J328" s="67" t="s">
        <v>1247</v>
      </c>
      <c r="K328" s="67"/>
      <c r="L328" s="67"/>
    </row>
    <row r="329" spans="1:12" s="50" customFormat="1" ht="18.75" customHeight="1" x14ac:dyDescent="0.4">
      <c r="A329" s="485">
        <v>46192</v>
      </c>
      <c r="B329" s="5" t="s">
        <v>134</v>
      </c>
      <c r="C329" s="6" t="s">
        <v>314</v>
      </c>
      <c r="D329" s="1" t="s">
        <v>434</v>
      </c>
      <c r="E329" s="1" t="s">
        <v>13</v>
      </c>
      <c r="F329" s="750">
        <v>21</v>
      </c>
      <c r="G329" s="64">
        <v>108000</v>
      </c>
      <c r="H329" s="748">
        <f t="shared" si="7"/>
        <v>2268000</v>
      </c>
      <c r="I329" s="142" t="s">
        <v>1637</v>
      </c>
      <c r="J329" s="67" t="s">
        <v>1247</v>
      </c>
      <c r="K329" s="67"/>
      <c r="L329" s="67"/>
    </row>
    <row r="330" spans="1:12" s="50" customFormat="1" ht="18.75" customHeight="1" x14ac:dyDescent="0.4">
      <c r="A330" s="485">
        <v>46192</v>
      </c>
      <c r="B330" s="5" t="s">
        <v>134</v>
      </c>
      <c r="C330" s="6" t="s">
        <v>314</v>
      </c>
      <c r="D330" s="1" t="s">
        <v>387</v>
      </c>
      <c r="E330" s="1" t="s">
        <v>13</v>
      </c>
      <c r="F330" s="64">
        <v>4</v>
      </c>
      <c r="G330" s="748">
        <v>200000</v>
      </c>
      <c r="H330" s="748">
        <f t="shared" si="7"/>
        <v>800000</v>
      </c>
      <c r="I330" s="142" t="s">
        <v>1637</v>
      </c>
      <c r="J330" s="67" t="s">
        <v>1247</v>
      </c>
      <c r="K330" s="67"/>
      <c r="L330" s="67"/>
    </row>
    <row r="331" spans="1:12" x14ac:dyDescent="0.4">
      <c r="A331" s="540">
        <v>46170</v>
      </c>
      <c r="B331" s="548" t="s">
        <v>134</v>
      </c>
      <c r="C331" s="542" t="s">
        <v>129</v>
      </c>
      <c r="D331" s="544" t="s">
        <v>1429</v>
      </c>
      <c r="E331" s="544" t="s">
        <v>1430</v>
      </c>
      <c r="F331" s="64">
        <v>7</v>
      </c>
      <c r="G331" s="64">
        <v>52326</v>
      </c>
      <c r="H331" s="748">
        <f>F331*G331</f>
        <v>366282</v>
      </c>
      <c r="I331" s="142" t="s">
        <v>1637</v>
      </c>
      <c r="J331" s="67"/>
      <c r="K331" s="67"/>
      <c r="L331" s="67"/>
    </row>
    <row r="332" spans="1:12" s="50" customFormat="1" ht="18.75" customHeight="1" x14ac:dyDescent="0.4">
      <c r="A332" s="485">
        <v>46184</v>
      </c>
      <c r="B332" s="5" t="s">
        <v>134</v>
      </c>
      <c r="C332" s="6" t="s">
        <v>129</v>
      </c>
      <c r="D332" s="1" t="s">
        <v>1429</v>
      </c>
      <c r="E332" s="1" t="s">
        <v>1430</v>
      </c>
      <c r="F332" s="64">
        <v>15</v>
      </c>
      <c r="G332" s="748">
        <v>52326</v>
      </c>
      <c r="H332" s="748">
        <f>G332*F332</f>
        <v>784890</v>
      </c>
      <c r="I332" s="142" t="s">
        <v>1637</v>
      </c>
      <c r="J332" s="67" t="s">
        <v>1247</v>
      </c>
      <c r="K332" s="67"/>
      <c r="L332" s="67"/>
    </row>
    <row r="333" spans="1:12" s="50" customFormat="1" ht="18.75" customHeight="1" x14ac:dyDescent="0.4">
      <c r="A333" s="485">
        <v>46193</v>
      </c>
      <c r="B333" s="5" t="s">
        <v>134</v>
      </c>
      <c r="C333" s="751" t="s">
        <v>1639</v>
      </c>
      <c r="D333" s="752" t="s">
        <v>1640</v>
      </c>
      <c r="E333" s="1" t="s">
        <v>13</v>
      </c>
      <c r="F333" s="64">
        <v>5</v>
      </c>
      <c r="G333" s="64">
        <v>236000</v>
      </c>
      <c r="H333" s="748">
        <f t="shared" ref="H333:H339" si="8">F333*G333</f>
        <v>1180000</v>
      </c>
      <c r="I333" s="142" t="s">
        <v>1637</v>
      </c>
      <c r="J333" s="67"/>
      <c r="K333" s="67"/>
      <c r="L333" s="67"/>
    </row>
    <row r="334" spans="1:12" s="50" customFormat="1" ht="18.75" customHeight="1" x14ac:dyDescent="0.4">
      <c r="A334" s="485">
        <v>46062</v>
      </c>
      <c r="B334" s="5" t="s">
        <v>134</v>
      </c>
      <c r="C334" s="67" t="s">
        <v>508</v>
      </c>
      <c r="D334" s="42" t="s">
        <v>327</v>
      </c>
      <c r="E334" s="1" t="s">
        <v>13</v>
      </c>
      <c r="F334" s="36">
        <v>2</v>
      </c>
      <c r="G334" s="7">
        <v>1364000</v>
      </c>
      <c r="H334" s="7">
        <f t="shared" si="8"/>
        <v>2728000</v>
      </c>
      <c r="I334" s="142" t="s">
        <v>1641</v>
      </c>
      <c r="J334" s="67"/>
      <c r="K334" s="67"/>
      <c r="L334" s="67"/>
    </row>
    <row r="335" spans="1:12" s="50" customFormat="1" ht="18.75" customHeight="1" x14ac:dyDescent="0.4">
      <c r="A335" s="484">
        <v>46106</v>
      </c>
      <c r="B335" s="5" t="s">
        <v>134</v>
      </c>
      <c r="C335" s="67" t="s">
        <v>181</v>
      </c>
      <c r="D335" s="468" t="s">
        <v>371</v>
      </c>
      <c r="E335" s="59" t="s">
        <v>13</v>
      </c>
      <c r="F335" s="67">
        <v>3</v>
      </c>
      <c r="G335" s="7">
        <v>2163000</v>
      </c>
      <c r="H335" s="7">
        <f t="shared" si="8"/>
        <v>6489000</v>
      </c>
      <c r="I335" s="142" t="s">
        <v>1642</v>
      </c>
      <c r="J335" s="67"/>
      <c r="K335" s="67"/>
      <c r="L335" s="67"/>
    </row>
    <row r="336" spans="1:12" s="50" customFormat="1" ht="18.75" customHeight="1" x14ac:dyDescent="0.4">
      <c r="A336" s="484">
        <v>46106</v>
      </c>
      <c r="B336" s="5" t="s">
        <v>134</v>
      </c>
      <c r="C336" s="67" t="s">
        <v>182</v>
      </c>
      <c r="D336" s="468" t="s">
        <v>372</v>
      </c>
      <c r="E336" s="59" t="s">
        <v>13</v>
      </c>
      <c r="F336" s="67">
        <v>3</v>
      </c>
      <c r="G336" s="7">
        <v>2163000</v>
      </c>
      <c r="H336" s="7">
        <f t="shared" si="8"/>
        <v>6489000</v>
      </c>
      <c r="I336" s="142" t="s">
        <v>1642</v>
      </c>
      <c r="J336" s="67"/>
      <c r="K336" s="67"/>
      <c r="L336" s="67"/>
    </row>
    <row r="337" spans="1:13" x14ac:dyDescent="0.4">
      <c r="A337" s="485">
        <v>46150</v>
      </c>
      <c r="B337" s="5" t="s">
        <v>134</v>
      </c>
      <c r="C337" s="80" t="s">
        <v>181</v>
      </c>
      <c r="D337" s="625" t="s">
        <v>371</v>
      </c>
      <c r="E337" s="59" t="s">
        <v>13</v>
      </c>
      <c r="F337" s="80">
        <v>4</v>
      </c>
      <c r="G337" s="61">
        <v>2163000</v>
      </c>
      <c r="H337" s="61">
        <f t="shared" si="8"/>
        <v>8652000</v>
      </c>
      <c r="I337" s="142" t="s">
        <v>1642</v>
      </c>
      <c r="J337" s="67"/>
      <c r="K337" s="67"/>
      <c r="L337" s="409"/>
    </row>
    <row r="338" spans="1:13" x14ac:dyDescent="0.4">
      <c r="A338" s="485">
        <v>46150</v>
      </c>
      <c r="B338" s="5" t="s">
        <v>134</v>
      </c>
      <c r="C338" s="80" t="s">
        <v>182</v>
      </c>
      <c r="D338" s="625" t="s">
        <v>372</v>
      </c>
      <c r="E338" s="59" t="s">
        <v>13</v>
      </c>
      <c r="F338" s="80">
        <v>4</v>
      </c>
      <c r="G338" s="61">
        <v>2163000</v>
      </c>
      <c r="H338" s="61">
        <f t="shared" si="8"/>
        <v>8652000</v>
      </c>
      <c r="I338" s="142" t="s">
        <v>1642</v>
      </c>
      <c r="J338" s="67"/>
      <c r="K338" s="67"/>
      <c r="L338" s="409"/>
    </row>
    <row r="339" spans="1:13" s="19" customFormat="1" ht="19.2" customHeight="1" x14ac:dyDescent="0.4">
      <c r="A339" s="485">
        <v>46051</v>
      </c>
      <c r="B339" s="5" t="s">
        <v>134</v>
      </c>
      <c r="C339" s="6" t="s">
        <v>132</v>
      </c>
      <c r="D339" s="42" t="s">
        <v>1527</v>
      </c>
      <c r="E339" s="1" t="s">
        <v>13</v>
      </c>
      <c r="F339" s="36">
        <v>22</v>
      </c>
      <c r="G339" s="7">
        <v>3225880</v>
      </c>
      <c r="H339" s="7">
        <f t="shared" si="8"/>
        <v>70969360</v>
      </c>
      <c r="I339" s="142" t="s">
        <v>1643</v>
      </c>
      <c r="J339" s="66"/>
      <c r="K339" s="66"/>
      <c r="L339" s="408"/>
      <c r="M339" s="200"/>
    </row>
    <row r="340" spans="1:13" s="50" customFormat="1" ht="18.75" customHeight="1" x14ac:dyDescent="0.4">
      <c r="A340" s="485">
        <v>46184</v>
      </c>
      <c r="B340" s="5" t="s">
        <v>134</v>
      </c>
      <c r="C340" s="6" t="s">
        <v>226</v>
      </c>
      <c r="D340" s="1" t="s">
        <v>227</v>
      </c>
      <c r="E340" s="1" t="s">
        <v>11</v>
      </c>
      <c r="F340" s="36">
        <v>40</v>
      </c>
      <c r="G340" s="36">
        <v>28990</v>
      </c>
      <c r="H340" s="7">
        <v>0</v>
      </c>
      <c r="I340" s="67" t="s">
        <v>1566</v>
      </c>
      <c r="J340" s="67" t="s">
        <v>1247</v>
      </c>
      <c r="K340" s="67"/>
      <c r="L340" s="67"/>
    </row>
    <row r="341" spans="1:13" s="50" customFormat="1" ht="18.75" customHeight="1" x14ac:dyDescent="0.4">
      <c r="A341" s="485">
        <v>46198</v>
      </c>
      <c r="B341" s="5" t="s">
        <v>1568</v>
      </c>
      <c r="C341" s="6" t="s">
        <v>129</v>
      </c>
      <c r="D341" s="405" t="s">
        <v>1429</v>
      </c>
      <c r="E341" s="1" t="s">
        <v>1430</v>
      </c>
      <c r="F341" s="36">
        <v>14</v>
      </c>
      <c r="G341" s="7">
        <v>52326</v>
      </c>
      <c r="H341" s="7">
        <f t="shared" ref="H341:H346" si="9">G341*F341</f>
        <v>732564</v>
      </c>
      <c r="I341" s="67"/>
      <c r="J341" s="547" t="s">
        <v>1247</v>
      </c>
      <c r="K341" s="67"/>
      <c r="L341" s="67"/>
    </row>
    <row r="342" spans="1:13" s="50" customFormat="1" ht="18.75" customHeight="1" x14ac:dyDescent="0.4">
      <c r="A342" s="485">
        <v>46198</v>
      </c>
      <c r="B342" s="5" t="s">
        <v>1568</v>
      </c>
      <c r="C342" s="6" t="s">
        <v>132</v>
      </c>
      <c r="D342" s="405" t="s">
        <v>1120</v>
      </c>
      <c r="E342" s="1" t="s">
        <v>13</v>
      </c>
      <c r="F342" s="36">
        <v>12</v>
      </c>
      <c r="G342" s="36">
        <v>3225880</v>
      </c>
      <c r="H342" s="7">
        <f t="shared" si="9"/>
        <v>38710560</v>
      </c>
      <c r="I342" s="67"/>
      <c r="J342" s="547" t="s">
        <v>1247</v>
      </c>
      <c r="K342" s="67"/>
      <c r="L342" s="67"/>
    </row>
    <row r="343" spans="1:13" s="50" customFormat="1" ht="18.75" customHeight="1" x14ac:dyDescent="0.4">
      <c r="A343" s="485">
        <v>46198</v>
      </c>
      <c r="B343" s="5" t="s">
        <v>134</v>
      </c>
      <c r="C343" s="67" t="s">
        <v>223</v>
      </c>
      <c r="D343" s="625" t="s">
        <v>1569</v>
      </c>
      <c r="E343" s="1" t="s">
        <v>127</v>
      </c>
      <c r="F343" s="67">
        <v>193</v>
      </c>
      <c r="G343" s="7">
        <v>115200</v>
      </c>
      <c r="H343" s="7">
        <f t="shared" si="9"/>
        <v>22233600</v>
      </c>
      <c r="I343" s="67"/>
      <c r="J343" s="547" t="s">
        <v>1247</v>
      </c>
      <c r="K343" s="67"/>
      <c r="L343" s="67"/>
    </row>
    <row r="344" spans="1:13" s="50" customFormat="1" ht="18.75" customHeight="1" x14ac:dyDescent="0.4">
      <c r="A344" s="485">
        <v>46198</v>
      </c>
      <c r="B344" s="5" t="s">
        <v>134</v>
      </c>
      <c r="C344" s="6" t="s">
        <v>949</v>
      </c>
      <c r="D344" s="405">
        <v>12267108</v>
      </c>
      <c r="E344" s="1" t="s">
        <v>1114</v>
      </c>
      <c r="F344" s="36">
        <v>95</v>
      </c>
      <c r="G344" s="7">
        <v>80570</v>
      </c>
      <c r="H344" s="7">
        <f t="shared" si="9"/>
        <v>7654150</v>
      </c>
      <c r="I344" s="67"/>
      <c r="J344" s="547" t="s">
        <v>1247</v>
      </c>
      <c r="K344" s="67"/>
      <c r="L344" s="67"/>
    </row>
    <row r="345" spans="1:13" s="50" customFormat="1" ht="18.75" customHeight="1" x14ac:dyDescent="0.4">
      <c r="A345" s="485">
        <v>46198</v>
      </c>
      <c r="B345" s="5" t="s">
        <v>134</v>
      </c>
      <c r="C345" s="111" t="s">
        <v>135</v>
      </c>
      <c r="D345" s="140" t="s">
        <v>1570</v>
      </c>
      <c r="E345" s="1" t="s">
        <v>17</v>
      </c>
      <c r="F345" s="36">
        <v>90</v>
      </c>
      <c r="G345" s="8">
        <v>115150</v>
      </c>
      <c r="H345" s="7">
        <f t="shared" si="9"/>
        <v>10363500</v>
      </c>
      <c r="I345" s="67"/>
      <c r="J345" s="547" t="s">
        <v>1247</v>
      </c>
      <c r="K345" s="67"/>
      <c r="L345" s="67"/>
    </row>
    <row r="346" spans="1:13" s="50" customFormat="1" ht="18.75" customHeight="1" x14ac:dyDescent="0.4">
      <c r="A346" s="485">
        <v>46198</v>
      </c>
      <c r="B346" s="5" t="s">
        <v>134</v>
      </c>
      <c r="C346" s="67" t="s">
        <v>388</v>
      </c>
      <c r="D346" s="625" t="s">
        <v>1125</v>
      </c>
      <c r="E346" s="1" t="s">
        <v>17</v>
      </c>
      <c r="F346" s="67">
        <v>160</v>
      </c>
      <c r="G346" s="7">
        <v>283020</v>
      </c>
      <c r="H346" s="7">
        <f t="shared" si="9"/>
        <v>45283200</v>
      </c>
      <c r="I346" s="67"/>
      <c r="J346" s="547" t="s">
        <v>1247</v>
      </c>
      <c r="K346" s="67"/>
      <c r="L346" s="67"/>
    </row>
    <row r="347" spans="1:13" s="50" customFormat="1" ht="18.75" customHeight="1" x14ac:dyDescent="0.4">
      <c r="A347" s="4">
        <v>46199</v>
      </c>
      <c r="B347" s="5" t="s">
        <v>134</v>
      </c>
      <c r="C347" s="409" t="s">
        <v>136</v>
      </c>
      <c r="D347" s="140" t="s">
        <v>947</v>
      </c>
      <c r="E347" s="405" t="s">
        <v>13</v>
      </c>
      <c r="F347" s="703">
        <v>3</v>
      </c>
      <c r="G347" s="61">
        <v>597880</v>
      </c>
      <c r="H347" s="518">
        <f>G347*F347</f>
        <v>1793640</v>
      </c>
      <c r="I347" s="67"/>
      <c r="J347" s="547" t="s">
        <v>1247</v>
      </c>
      <c r="K347" s="67"/>
      <c r="L347" s="67"/>
    </row>
    <row r="348" spans="1:13" s="50" customFormat="1" ht="18.75" customHeight="1" x14ac:dyDescent="0.4">
      <c r="A348" s="4">
        <v>46202</v>
      </c>
      <c r="B348" s="5" t="s">
        <v>134</v>
      </c>
      <c r="C348" s="6" t="s">
        <v>132</v>
      </c>
      <c r="D348" s="405" t="s">
        <v>1120</v>
      </c>
      <c r="E348" s="405" t="s">
        <v>343</v>
      </c>
      <c r="F348" s="703">
        <v>6</v>
      </c>
      <c r="G348" s="7">
        <v>3225880</v>
      </c>
      <c r="H348" s="518">
        <f>G348*F348</f>
        <v>19355280</v>
      </c>
      <c r="I348" s="67"/>
      <c r="J348" s="67"/>
      <c r="K348" s="67"/>
      <c r="L348" s="67"/>
    </row>
    <row r="349" spans="1:13" s="50" customFormat="1" ht="18.75" customHeight="1" x14ac:dyDescent="0.4">
      <c r="A349" s="4">
        <v>46202</v>
      </c>
      <c r="B349" s="5" t="s">
        <v>134</v>
      </c>
      <c r="C349" s="6" t="s">
        <v>508</v>
      </c>
      <c r="D349" s="405" t="s">
        <v>329</v>
      </c>
      <c r="E349" s="405" t="s">
        <v>13</v>
      </c>
      <c r="F349" s="29">
        <v>4</v>
      </c>
      <c r="G349" s="7">
        <v>1364000</v>
      </c>
      <c r="H349" s="518">
        <f>G349*F349</f>
        <v>5456000</v>
      </c>
      <c r="I349" s="67"/>
      <c r="J349" s="67"/>
      <c r="K349" s="67"/>
      <c r="L349" s="67"/>
    </row>
    <row r="350" spans="1:13" s="50" customFormat="1" ht="18.75" customHeight="1" x14ac:dyDescent="0.4">
      <c r="A350" s="4">
        <v>46202</v>
      </c>
      <c r="B350" s="5" t="s">
        <v>134</v>
      </c>
      <c r="C350" s="6" t="s">
        <v>957</v>
      </c>
      <c r="D350" s="140">
        <v>61540923</v>
      </c>
      <c r="E350" s="405" t="s">
        <v>13</v>
      </c>
      <c r="F350" s="29">
        <v>15</v>
      </c>
      <c r="G350" s="7">
        <v>1364000</v>
      </c>
      <c r="H350" s="518">
        <f>G350*F350</f>
        <v>20460000</v>
      </c>
      <c r="I350" s="67"/>
      <c r="J350" s="67"/>
      <c r="K350" s="67"/>
      <c r="L350" s="67"/>
    </row>
    <row r="351" spans="1:13" s="50" customFormat="1" ht="18.75" customHeight="1" x14ac:dyDescent="0.4">
      <c r="A351" s="4">
        <v>46202</v>
      </c>
      <c r="B351" s="5" t="s">
        <v>134</v>
      </c>
      <c r="C351" s="409" t="s">
        <v>136</v>
      </c>
      <c r="D351" s="140" t="s">
        <v>947</v>
      </c>
      <c r="E351" s="405" t="s">
        <v>13</v>
      </c>
      <c r="F351" s="29">
        <v>8</v>
      </c>
      <c r="G351" s="61">
        <v>597880</v>
      </c>
      <c r="H351" s="517">
        <f>F351*G351</f>
        <v>4783040</v>
      </c>
      <c r="I351" s="67"/>
      <c r="J351" s="547" t="s">
        <v>1247</v>
      </c>
      <c r="K351" s="67"/>
      <c r="L351" s="67"/>
    </row>
    <row r="352" spans="1:13" s="50" customFormat="1" ht="18.75" customHeight="1" x14ac:dyDescent="0.4">
      <c r="A352" s="4">
        <v>46202</v>
      </c>
      <c r="B352" s="5" t="s">
        <v>134</v>
      </c>
      <c r="C352" s="409" t="s">
        <v>181</v>
      </c>
      <c r="D352" s="625" t="s">
        <v>371</v>
      </c>
      <c r="E352" s="409" t="s">
        <v>13</v>
      </c>
      <c r="F352" s="29">
        <v>5</v>
      </c>
      <c r="G352" s="7">
        <v>2163000</v>
      </c>
      <c r="H352" s="517">
        <f>F352*G352</f>
        <v>10815000</v>
      </c>
      <c r="I352" s="67"/>
      <c r="J352" s="547" t="s">
        <v>1247</v>
      </c>
      <c r="K352" s="67"/>
      <c r="L352" s="67"/>
    </row>
    <row r="353" spans="1:12" s="50" customFormat="1" ht="18.75" customHeight="1" x14ac:dyDescent="0.4">
      <c r="A353" s="4">
        <v>46202</v>
      </c>
      <c r="B353" s="5" t="s">
        <v>134</v>
      </c>
      <c r="C353" s="409" t="s">
        <v>182</v>
      </c>
      <c r="D353" s="625" t="s">
        <v>372</v>
      </c>
      <c r="E353" s="409" t="s">
        <v>13</v>
      </c>
      <c r="F353" s="29">
        <v>5</v>
      </c>
      <c r="G353" s="7">
        <v>2163000</v>
      </c>
      <c r="H353" s="517">
        <f>F353*G353</f>
        <v>10815000</v>
      </c>
      <c r="I353" s="67"/>
      <c r="J353" s="547" t="s">
        <v>1247</v>
      </c>
      <c r="K353" s="67"/>
      <c r="L353" s="67"/>
    </row>
    <row r="354" spans="1:12" s="50" customFormat="1" ht="18.75" customHeight="1" x14ac:dyDescent="0.4">
      <c r="A354" s="4"/>
      <c r="B354" s="5"/>
      <c r="C354" s="409"/>
      <c r="D354" s="625"/>
      <c r="E354" s="409"/>
      <c r="F354" s="29"/>
      <c r="G354" s="7"/>
      <c r="H354" s="517"/>
      <c r="I354" s="67"/>
      <c r="J354" s="547"/>
      <c r="K354" s="67"/>
      <c r="L354" s="67"/>
    </row>
    <row r="355" spans="1:12" s="50" customFormat="1" ht="18.75" customHeight="1" x14ac:dyDescent="0.4">
      <c r="A355" s="4"/>
      <c r="B355" s="5"/>
      <c r="C355" s="409"/>
      <c r="D355" s="625"/>
      <c r="E355" s="409"/>
      <c r="F355" s="29"/>
      <c r="G355" s="7"/>
      <c r="H355" s="517"/>
      <c r="I355" s="67"/>
      <c r="J355" s="547"/>
      <c r="K355" s="67"/>
      <c r="L355" s="67"/>
    </row>
    <row r="356" spans="1:12" s="50" customFormat="1" ht="18.75" customHeight="1" x14ac:dyDescent="0.4">
      <c r="A356" s="4"/>
      <c r="B356" s="5"/>
      <c r="C356" s="409"/>
      <c r="D356" s="625"/>
      <c r="E356" s="409"/>
      <c r="F356" s="29"/>
      <c r="G356" s="7"/>
      <c r="H356" s="517"/>
      <c r="I356" s="67"/>
      <c r="J356" s="547"/>
      <c r="K356" s="67"/>
      <c r="L356" s="67"/>
    </row>
    <row r="357" spans="1:12" s="50" customFormat="1" ht="18.75" customHeight="1" x14ac:dyDescent="0.4">
      <c r="A357" s="483"/>
      <c r="B357" s="194"/>
      <c r="C357" s="40"/>
      <c r="D357" s="194"/>
      <c r="E357" s="194"/>
      <c r="F357" s="91"/>
      <c r="G357" s="138"/>
      <c r="H357" s="138">
        <f>SUM(H303:H333)</f>
        <v>279821592</v>
      </c>
      <c r="I357" s="138"/>
      <c r="J357" s="145"/>
      <c r="K357" s="145"/>
      <c r="L357" s="704"/>
    </row>
    <row r="358" spans="1:12" s="50" customFormat="1" ht="18.75" customHeight="1" x14ac:dyDescent="0.4">
      <c r="A358" s="482">
        <v>46191</v>
      </c>
      <c r="B358" s="110" t="s">
        <v>137</v>
      </c>
      <c r="C358" s="29" t="s">
        <v>241</v>
      </c>
      <c r="D358" s="110" t="s">
        <v>231</v>
      </c>
      <c r="E358" s="110"/>
      <c r="F358" s="81">
        <v>23</v>
      </c>
      <c r="G358" s="49">
        <v>195700</v>
      </c>
      <c r="H358" s="7">
        <f t="shared" ref="H358:H384" si="10">G358*F358</f>
        <v>4501100</v>
      </c>
      <c r="I358" s="49" t="s">
        <v>1443</v>
      </c>
      <c r="J358" s="144"/>
      <c r="K358" s="144"/>
      <c r="L358" s="698"/>
    </row>
    <row r="359" spans="1:12" s="50" customFormat="1" ht="18.75" customHeight="1" x14ac:dyDescent="0.4">
      <c r="A359" s="482">
        <v>46191</v>
      </c>
      <c r="B359" s="110" t="s">
        <v>137</v>
      </c>
      <c r="C359" s="29" t="s">
        <v>241</v>
      </c>
      <c r="D359" s="110" t="s">
        <v>373</v>
      </c>
      <c r="E359" s="110"/>
      <c r="F359" s="81">
        <v>26</v>
      </c>
      <c r="G359" s="49">
        <v>195700</v>
      </c>
      <c r="H359" s="7">
        <f t="shared" si="10"/>
        <v>5088200</v>
      </c>
      <c r="I359" s="49" t="s">
        <v>1443</v>
      </c>
      <c r="J359" s="144"/>
      <c r="K359" s="144"/>
      <c r="L359" s="698"/>
    </row>
    <row r="360" spans="1:12" s="50" customFormat="1" ht="18.75" customHeight="1" x14ac:dyDescent="0.4">
      <c r="A360" s="482">
        <v>46191</v>
      </c>
      <c r="B360" s="110" t="s">
        <v>137</v>
      </c>
      <c r="C360" s="29" t="s">
        <v>241</v>
      </c>
      <c r="D360" s="110" t="s">
        <v>373</v>
      </c>
      <c r="E360" s="110"/>
      <c r="F360" s="81">
        <v>6</v>
      </c>
      <c r="G360" s="49">
        <v>195700</v>
      </c>
      <c r="H360" s="7">
        <f t="shared" si="10"/>
        <v>1174200</v>
      </c>
      <c r="I360" s="49" t="s">
        <v>1571</v>
      </c>
      <c r="J360" s="144"/>
      <c r="K360" s="144"/>
      <c r="L360" s="698"/>
    </row>
    <row r="361" spans="1:12" s="50" customFormat="1" ht="18.75" customHeight="1" x14ac:dyDescent="0.4">
      <c r="A361" s="482">
        <v>46191</v>
      </c>
      <c r="B361" s="110" t="s">
        <v>137</v>
      </c>
      <c r="C361" s="29" t="s">
        <v>241</v>
      </c>
      <c r="D361" s="110" t="s">
        <v>373</v>
      </c>
      <c r="E361" s="110"/>
      <c r="F361" s="81">
        <v>32</v>
      </c>
      <c r="G361" s="49">
        <v>195700</v>
      </c>
      <c r="H361" s="7">
        <f t="shared" si="10"/>
        <v>6262400</v>
      </c>
      <c r="I361" s="49" t="s">
        <v>1571</v>
      </c>
      <c r="J361" s="144"/>
      <c r="K361" s="144"/>
      <c r="L361" s="698"/>
    </row>
    <row r="362" spans="1:12" s="50" customFormat="1" ht="18.75" customHeight="1" x14ac:dyDescent="0.4">
      <c r="A362" s="482">
        <v>46191</v>
      </c>
      <c r="B362" s="110" t="s">
        <v>137</v>
      </c>
      <c r="C362" s="29" t="s">
        <v>138</v>
      </c>
      <c r="D362" s="110" t="s">
        <v>236</v>
      </c>
      <c r="E362" s="110"/>
      <c r="F362" s="81">
        <v>29</v>
      </c>
      <c r="G362" s="49">
        <v>180900</v>
      </c>
      <c r="H362" s="7">
        <f t="shared" si="10"/>
        <v>5246100</v>
      </c>
      <c r="I362" s="49" t="s">
        <v>1127</v>
      </c>
      <c r="J362" s="144"/>
      <c r="K362" s="144"/>
      <c r="L362" s="698"/>
    </row>
    <row r="363" spans="1:12" s="50" customFormat="1" ht="18.75" customHeight="1" x14ac:dyDescent="0.4">
      <c r="A363" s="482">
        <v>46191</v>
      </c>
      <c r="B363" s="110" t="s">
        <v>137</v>
      </c>
      <c r="C363" s="29" t="s">
        <v>138</v>
      </c>
      <c r="D363" s="110" t="s">
        <v>139</v>
      </c>
      <c r="E363" s="110"/>
      <c r="F363" s="81">
        <v>31</v>
      </c>
      <c r="G363" s="49">
        <v>180900</v>
      </c>
      <c r="H363" s="7">
        <f t="shared" si="10"/>
        <v>5607900</v>
      </c>
      <c r="I363" s="49" t="s">
        <v>1572</v>
      </c>
      <c r="J363" s="144"/>
      <c r="K363" s="144"/>
      <c r="L363" s="698"/>
    </row>
    <row r="364" spans="1:12" s="50" customFormat="1" ht="18.75" customHeight="1" x14ac:dyDescent="0.4">
      <c r="A364" s="482">
        <v>46191</v>
      </c>
      <c r="B364" s="110" t="s">
        <v>137</v>
      </c>
      <c r="C364" s="29" t="s">
        <v>138</v>
      </c>
      <c r="D364" s="110" t="s">
        <v>139</v>
      </c>
      <c r="E364" s="110"/>
      <c r="F364" s="81">
        <v>60</v>
      </c>
      <c r="G364" s="49">
        <v>180900</v>
      </c>
      <c r="H364" s="7">
        <f t="shared" si="10"/>
        <v>10854000</v>
      </c>
      <c r="I364" s="49" t="s">
        <v>1572</v>
      </c>
      <c r="J364" s="144"/>
      <c r="K364" s="144"/>
      <c r="L364" s="698"/>
    </row>
    <row r="365" spans="1:12" s="50" customFormat="1" ht="18.75" customHeight="1" x14ac:dyDescent="0.4">
      <c r="A365" s="482">
        <v>46191</v>
      </c>
      <c r="B365" s="110" t="s">
        <v>137</v>
      </c>
      <c r="C365" s="29" t="s">
        <v>233</v>
      </c>
      <c r="D365" s="110" t="s">
        <v>977</v>
      </c>
      <c r="E365" s="110"/>
      <c r="F365" s="81">
        <v>50</v>
      </c>
      <c r="G365" s="49">
        <v>133300</v>
      </c>
      <c r="H365" s="7">
        <f t="shared" si="10"/>
        <v>6665000</v>
      </c>
      <c r="I365" s="49" t="s">
        <v>1447</v>
      </c>
      <c r="J365" s="144"/>
      <c r="K365" s="144"/>
      <c r="L365" s="698"/>
    </row>
    <row r="366" spans="1:12" s="50" customFormat="1" ht="18.75" customHeight="1" x14ac:dyDescent="0.4">
      <c r="A366" s="482">
        <v>46191</v>
      </c>
      <c r="B366" s="110" t="s">
        <v>137</v>
      </c>
      <c r="C366" s="29" t="s">
        <v>233</v>
      </c>
      <c r="D366" s="110" t="s">
        <v>472</v>
      </c>
      <c r="E366" s="110"/>
      <c r="F366" s="81">
        <v>10</v>
      </c>
      <c r="G366" s="49">
        <v>133300</v>
      </c>
      <c r="H366" s="7">
        <f t="shared" si="10"/>
        <v>1333000</v>
      </c>
      <c r="I366" s="49" t="s">
        <v>1573</v>
      </c>
      <c r="J366" s="144"/>
      <c r="K366" s="144"/>
      <c r="L366" s="698"/>
    </row>
    <row r="367" spans="1:12" s="50" customFormat="1" ht="18.75" customHeight="1" x14ac:dyDescent="0.4">
      <c r="A367" s="482">
        <v>46191</v>
      </c>
      <c r="B367" s="110" t="s">
        <v>137</v>
      </c>
      <c r="C367" s="29" t="s">
        <v>233</v>
      </c>
      <c r="D367" s="110" t="s">
        <v>472</v>
      </c>
      <c r="E367" s="110"/>
      <c r="F367" s="81">
        <v>50</v>
      </c>
      <c r="G367" s="49">
        <v>133300</v>
      </c>
      <c r="H367" s="7">
        <f t="shared" si="10"/>
        <v>6665000</v>
      </c>
      <c r="I367" s="49" t="s">
        <v>1573</v>
      </c>
      <c r="J367" s="144"/>
      <c r="K367" s="144"/>
      <c r="L367" s="698"/>
    </row>
    <row r="368" spans="1:12" s="50" customFormat="1" ht="18.75" customHeight="1" x14ac:dyDescent="0.4">
      <c r="A368" s="482">
        <v>46191</v>
      </c>
      <c r="B368" s="110" t="s">
        <v>137</v>
      </c>
      <c r="C368" s="29" t="s">
        <v>233</v>
      </c>
      <c r="D368" s="110" t="s">
        <v>472</v>
      </c>
      <c r="E368" s="110"/>
      <c r="F368" s="81">
        <v>10</v>
      </c>
      <c r="G368" s="49">
        <v>133300</v>
      </c>
      <c r="H368" s="7">
        <f t="shared" si="10"/>
        <v>1333000</v>
      </c>
      <c r="I368" s="49" t="s">
        <v>1439</v>
      </c>
      <c r="J368" s="144"/>
      <c r="K368" s="144"/>
      <c r="L368" s="698"/>
    </row>
    <row r="369" spans="1:12" s="50" customFormat="1" ht="18.75" customHeight="1" x14ac:dyDescent="0.4">
      <c r="A369" s="482">
        <v>46191</v>
      </c>
      <c r="B369" s="110" t="s">
        <v>137</v>
      </c>
      <c r="C369" s="29" t="s">
        <v>241</v>
      </c>
      <c r="D369" s="110" t="s">
        <v>240</v>
      </c>
      <c r="E369" s="110"/>
      <c r="F369" s="81">
        <v>18</v>
      </c>
      <c r="G369" s="49">
        <v>256600</v>
      </c>
      <c r="H369" s="7">
        <f t="shared" si="10"/>
        <v>4618800</v>
      </c>
      <c r="I369" s="49" t="s">
        <v>1134</v>
      </c>
      <c r="J369" s="144"/>
      <c r="K369" s="144"/>
      <c r="L369" s="698"/>
    </row>
    <row r="370" spans="1:12" s="50" customFormat="1" ht="18.75" customHeight="1" x14ac:dyDescent="0.4">
      <c r="A370" s="482">
        <v>46191</v>
      </c>
      <c r="B370" s="110" t="s">
        <v>137</v>
      </c>
      <c r="C370" s="29" t="s">
        <v>241</v>
      </c>
      <c r="D370" s="110" t="s">
        <v>471</v>
      </c>
      <c r="E370" s="110"/>
      <c r="F370" s="81">
        <v>24</v>
      </c>
      <c r="G370" s="49">
        <v>256600</v>
      </c>
      <c r="H370" s="7">
        <f t="shared" si="10"/>
        <v>6158400</v>
      </c>
      <c r="I370" s="49" t="s">
        <v>1134</v>
      </c>
      <c r="J370" s="144"/>
      <c r="K370" s="144"/>
      <c r="L370" s="698"/>
    </row>
    <row r="371" spans="1:12" s="50" customFormat="1" ht="18.75" customHeight="1" x14ac:dyDescent="0.4">
      <c r="A371" s="482">
        <v>46191</v>
      </c>
      <c r="B371" s="110" t="s">
        <v>137</v>
      </c>
      <c r="C371" s="29" t="s">
        <v>241</v>
      </c>
      <c r="D371" s="110" t="s">
        <v>471</v>
      </c>
      <c r="E371" s="110"/>
      <c r="F371" s="81">
        <v>4</v>
      </c>
      <c r="G371" s="49">
        <v>256600</v>
      </c>
      <c r="H371" s="7">
        <f t="shared" si="10"/>
        <v>1026400</v>
      </c>
      <c r="I371" s="49" t="s">
        <v>1134</v>
      </c>
      <c r="J371" s="144"/>
      <c r="K371" s="144"/>
      <c r="L371" s="698"/>
    </row>
    <row r="372" spans="1:12" s="50" customFormat="1" ht="18.75" customHeight="1" x14ac:dyDescent="0.4">
      <c r="A372" s="482">
        <v>46191</v>
      </c>
      <c r="B372" s="110" t="s">
        <v>137</v>
      </c>
      <c r="C372" s="29" t="s">
        <v>241</v>
      </c>
      <c r="D372" s="110" t="s">
        <v>471</v>
      </c>
      <c r="E372" s="110"/>
      <c r="F372" s="81">
        <v>20</v>
      </c>
      <c r="G372" s="49">
        <v>256600</v>
      </c>
      <c r="H372" s="7">
        <f t="shared" si="10"/>
        <v>5132000</v>
      </c>
      <c r="I372" s="49" t="s">
        <v>1572</v>
      </c>
      <c r="J372" s="144"/>
      <c r="K372" s="144"/>
      <c r="L372" s="698"/>
    </row>
    <row r="373" spans="1:12" s="50" customFormat="1" ht="18.75" customHeight="1" x14ac:dyDescent="0.4">
      <c r="A373" s="482">
        <v>46191</v>
      </c>
      <c r="B373" s="110" t="s">
        <v>137</v>
      </c>
      <c r="C373" s="29" t="s">
        <v>234</v>
      </c>
      <c r="D373" s="110" t="s">
        <v>235</v>
      </c>
      <c r="E373" s="110"/>
      <c r="F373" s="81">
        <v>82</v>
      </c>
      <c r="G373" s="49">
        <v>69400</v>
      </c>
      <c r="H373" s="7">
        <f t="shared" si="10"/>
        <v>5690800</v>
      </c>
      <c r="I373" s="49" t="s">
        <v>1440</v>
      </c>
      <c r="J373" s="144"/>
      <c r="K373" s="144"/>
      <c r="L373" s="698"/>
    </row>
    <row r="374" spans="1:12" s="50" customFormat="1" ht="18.75" customHeight="1" x14ac:dyDescent="0.4">
      <c r="A374" s="482">
        <v>46191</v>
      </c>
      <c r="B374" s="110" t="s">
        <v>137</v>
      </c>
      <c r="C374" s="29" t="s">
        <v>234</v>
      </c>
      <c r="D374" s="110" t="s">
        <v>333</v>
      </c>
      <c r="E374" s="110"/>
      <c r="F374" s="81">
        <v>21</v>
      </c>
      <c r="G374" s="49">
        <v>69400</v>
      </c>
      <c r="H374" s="7">
        <f t="shared" si="10"/>
        <v>1457400</v>
      </c>
      <c r="I374" s="49" t="s">
        <v>1572</v>
      </c>
      <c r="J374" s="144"/>
      <c r="K374" s="144"/>
      <c r="L374" s="698"/>
    </row>
    <row r="375" spans="1:12" s="50" customFormat="1" ht="18.75" customHeight="1" x14ac:dyDescent="0.4">
      <c r="A375" s="482">
        <v>46191</v>
      </c>
      <c r="B375" s="110" t="s">
        <v>137</v>
      </c>
      <c r="C375" s="29" t="s">
        <v>234</v>
      </c>
      <c r="D375" s="110" t="s">
        <v>333</v>
      </c>
      <c r="E375" s="110"/>
      <c r="F375" s="81">
        <v>100</v>
      </c>
      <c r="G375" s="49">
        <v>69400</v>
      </c>
      <c r="H375" s="7">
        <f t="shared" si="10"/>
        <v>6940000</v>
      </c>
      <c r="I375" s="49" t="s">
        <v>1572</v>
      </c>
      <c r="J375" s="144"/>
      <c r="K375" s="144"/>
      <c r="L375" s="698"/>
    </row>
    <row r="376" spans="1:12" s="50" customFormat="1" ht="18.75" customHeight="1" x14ac:dyDescent="0.4">
      <c r="A376" s="482">
        <v>46191</v>
      </c>
      <c r="B376" s="110" t="s">
        <v>137</v>
      </c>
      <c r="C376" s="29" t="s">
        <v>332</v>
      </c>
      <c r="D376" s="110" t="s">
        <v>238</v>
      </c>
      <c r="E376" s="110"/>
      <c r="F376" s="81">
        <v>60</v>
      </c>
      <c r="G376" s="49">
        <v>137000</v>
      </c>
      <c r="H376" s="7">
        <f t="shared" si="10"/>
        <v>8220000</v>
      </c>
      <c r="I376" s="49" t="s">
        <v>1439</v>
      </c>
      <c r="J376" s="144"/>
      <c r="K376" s="144"/>
      <c r="L376" s="698"/>
    </row>
    <row r="377" spans="1:12" s="50" customFormat="1" ht="18.75" customHeight="1" x14ac:dyDescent="0.4">
      <c r="A377" s="482">
        <v>46202</v>
      </c>
      <c r="B377" s="110" t="s">
        <v>137</v>
      </c>
      <c r="C377" s="29" t="s">
        <v>241</v>
      </c>
      <c r="D377" s="110" t="s">
        <v>373</v>
      </c>
      <c r="E377" s="110"/>
      <c r="F377" s="81">
        <v>26</v>
      </c>
      <c r="G377" s="49">
        <v>195700</v>
      </c>
      <c r="H377" s="7">
        <f t="shared" si="10"/>
        <v>5088200</v>
      </c>
      <c r="I377" s="49" t="s">
        <v>1571</v>
      </c>
      <c r="J377" s="144"/>
      <c r="K377" s="144"/>
      <c r="L377" s="698"/>
    </row>
    <row r="378" spans="1:12" s="50" customFormat="1" ht="18.75" customHeight="1" x14ac:dyDescent="0.4">
      <c r="A378" s="482">
        <v>46202</v>
      </c>
      <c r="B378" s="110" t="s">
        <v>137</v>
      </c>
      <c r="C378" s="29" t="s">
        <v>241</v>
      </c>
      <c r="D378" s="110" t="s">
        <v>373</v>
      </c>
      <c r="E378" s="110"/>
      <c r="F378" s="81">
        <v>32</v>
      </c>
      <c r="G378" s="49">
        <v>195700</v>
      </c>
      <c r="H378" s="7">
        <f t="shared" si="10"/>
        <v>6262400</v>
      </c>
      <c r="I378" s="49" t="s">
        <v>1571</v>
      </c>
      <c r="J378" s="144"/>
      <c r="K378" s="144"/>
      <c r="L378" s="698"/>
    </row>
    <row r="379" spans="1:12" s="50" customFormat="1" ht="18.75" customHeight="1" x14ac:dyDescent="0.4">
      <c r="A379" s="482">
        <v>46202</v>
      </c>
      <c r="B379" s="110" t="s">
        <v>137</v>
      </c>
      <c r="C379" s="29" t="s">
        <v>241</v>
      </c>
      <c r="D379" s="110" t="s">
        <v>373</v>
      </c>
      <c r="E379" s="110"/>
      <c r="F379" s="81">
        <v>4</v>
      </c>
      <c r="G379" s="49">
        <v>195700</v>
      </c>
      <c r="H379" s="7">
        <f t="shared" si="10"/>
        <v>782800</v>
      </c>
      <c r="I379" s="49" t="s">
        <v>1571</v>
      </c>
      <c r="J379" s="144"/>
      <c r="K379" s="144"/>
      <c r="L379" s="698"/>
    </row>
    <row r="380" spans="1:12" s="50" customFormat="1" ht="18.75" customHeight="1" x14ac:dyDescent="0.4">
      <c r="A380" s="482">
        <v>46202</v>
      </c>
      <c r="B380" s="110" t="s">
        <v>137</v>
      </c>
      <c r="C380" s="29" t="s">
        <v>241</v>
      </c>
      <c r="D380" s="110" t="s">
        <v>373</v>
      </c>
      <c r="E380" s="110"/>
      <c r="F380" s="81">
        <v>28</v>
      </c>
      <c r="G380" s="49">
        <v>195700</v>
      </c>
      <c r="H380" s="7">
        <f t="shared" si="10"/>
        <v>5479600</v>
      </c>
      <c r="I380" s="49" t="s">
        <v>1574</v>
      </c>
      <c r="J380" s="144"/>
      <c r="K380" s="144"/>
      <c r="L380" s="698"/>
    </row>
    <row r="381" spans="1:12" s="50" customFormat="1" ht="18.75" customHeight="1" x14ac:dyDescent="0.4">
      <c r="A381" s="482">
        <v>46202</v>
      </c>
      <c r="B381" s="110" t="s">
        <v>137</v>
      </c>
      <c r="C381" s="29" t="s">
        <v>332</v>
      </c>
      <c r="D381" s="110" t="s">
        <v>420</v>
      </c>
      <c r="E381" s="110"/>
      <c r="F381" s="81">
        <v>60</v>
      </c>
      <c r="G381" s="49">
        <v>137000</v>
      </c>
      <c r="H381" s="7">
        <f t="shared" si="10"/>
        <v>8220000</v>
      </c>
      <c r="I381" s="49" t="s">
        <v>1439</v>
      </c>
      <c r="J381" s="144"/>
      <c r="K381" s="144"/>
      <c r="L381" s="698"/>
    </row>
    <row r="382" spans="1:12" s="50" customFormat="1" ht="18.75" customHeight="1" x14ac:dyDescent="0.4">
      <c r="A382" s="482">
        <v>46202</v>
      </c>
      <c r="B382" s="110" t="s">
        <v>137</v>
      </c>
      <c r="C382" s="29" t="s">
        <v>241</v>
      </c>
      <c r="D382" s="110" t="s">
        <v>471</v>
      </c>
      <c r="E382" s="110"/>
      <c r="F382" s="81">
        <v>24</v>
      </c>
      <c r="G382" s="49">
        <v>256600</v>
      </c>
      <c r="H382" s="7">
        <f t="shared" si="10"/>
        <v>6158400</v>
      </c>
      <c r="I382" s="49" t="s">
        <v>1572</v>
      </c>
      <c r="J382" s="144"/>
      <c r="K382" s="144"/>
      <c r="L382" s="698"/>
    </row>
    <row r="383" spans="1:12" s="50" customFormat="1" ht="18.75" customHeight="1" x14ac:dyDescent="0.4">
      <c r="A383" s="482">
        <v>46202</v>
      </c>
      <c r="B383" s="110" t="s">
        <v>137</v>
      </c>
      <c r="C383" s="29" t="s">
        <v>241</v>
      </c>
      <c r="D383" s="110" t="s">
        <v>471</v>
      </c>
      <c r="E383" s="110"/>
      <c r="F383" s="81">
        <v>24</v>
      </c>
      <c r="G383" s="49">
        <v>256600</v>
      </c>
      <c r="H383" s="7">
        <f t="shared" si="10"/>
        <v>6158400</v>
      </c>
      <c r="I383" s="49" t="s">
        <v>1572</v>
      </c>
      <c r="J383" s="144"/>
      <c r="K383" s="144"/>
      <c r="L383" s="698"/>
    </row>
    <row r="384" spans="1:12" s="50" customFormat="1" ht="18.75" customHeight="1" x14ac:dyDescent="0.4">
      <c r="A384" s="482">
        <v>46202</v>
      </c>
      <c r="B384" s="110" t="s">
        <v>137</v>
      </c>
      <c r="C384" s="29" t="s">
        <v>241</v>
      </c>
      <c r="D384" s="110" t="s">
        <v>471</v>
      </c>
      <c r="E384" s="110"/>
      <c r="F384" s="81">
        <v>24</v>
      </c>
      <c r="G384" s="49">
        <v>256600</v>
      </c>
      <c r="H384" s="7">
        <f t="shared" si="10"/>
        <v>6158400</v>
      </c>
      <c r="I384" s="49" t="s">
        <v>1572</v>
      </c>
      <c r="J384" s="144"/>
      <c r="K384" s="144"/>
      <c r="L384" s="698"/>
    </row>
    <row r="385" spans="1:13" s="50" customFormat="1" ht="18.75" customHeight="1" x14ac:dyDescent="0.4">
      <c r="A385" s="483"/>
      <c r="B385" s="194"/>
      <c r="C385" s="40"/>
      <c r="D385" s="194"/>
      <c r="E385" s="194"/>
      <c r="F385" s="91"/>
      <c r="G385" s="138"/>
      <c r="H385" s="138">
        <f>SUM(H358:H384)</f>
        <v>138281900</v>
      </c>
      <c r="I385" s="138"/>
      <c r="J385" s="145"/>
      <c r="K385" s="145"/>
      <c r="L385" s="704"/>
    </row>
    <row r="386" spans="1:13" x14ac:dyDescent="0.4">
      <c r="A386" s="485">
        <v>46149</v>
      </c>
      <c r="B386" s="5" t="s">
        <v>140</v>
      </c>
      <c r="C386" s="80" t="s">
        <v>1449</v>
      </c>
      <c r="D386" s="42" t="s">
        <v>248</v>
      </c>
      <c r="E386" s="1" t="s">
        <v>13</v>
      </c>
      <c r="F386" s="36">
        <v>1</v>
      </c>
      <c r="G386" s="748">
        <v>227500</v>
      </c>
      <c r="H386" s="7">
        <f>F386*G386</f>
        <v>227500</v>
      </c>
      <c r="I386" s="67" t="s">
        <v>1644</v>
      </c>
      <c r="J386" s="67"/>
      <c r="K386" s="67"/>
      <c r="L386" s="409"/>
    </row>
    <row r="387" spans="1:13" s="50" customFormat="1" ht="18.75" customHeight="1" x14ac:dyDescent="0.4">
      <c r="A387" s="485">
        <v>46112</v>
      </c>
      <c r="B387" s="5" t="s">
        <v>140</v>
      </c>
      <c r="C387" s="6" t="s">
        <v>553</v>
      </c>
      <c r="D387" s="1" t="s">
        <v>244</v>
      </c>
      <c r="E387" s="1" t="s">
        <v>13</v>
      </c>
      <c r="F387" s="36">
        <v>6</v>
      </c>
      <c r="G387" s="64">
        <v>973200</v>
      </c>
      <c r="H387" s="7">
        <f>F387*G387</f>
        <v>5839200</v>
      </c>
      <c r="I387" s="67" t="s">
        <v>1644</v>
      </c>
      <c r="J387" s="67"/>
      <c r="K387" s="67"/>
      <c r="L387" s="494"/>
    </row>
    <row r="388" spans="1:13" s="3" customFormat="1" ht="18.75" customHeight="1" x14ac:dyDescent="0.4">
      <c r="A388" s="482">
        <v>46114</v>
      </c>
      <c r="B388" s="110" t="s">
        <v>140</v>
      </c>
      <c r="C388" s="29" t="s">
        <v>553</v>
      </c>
      <c r="D388" s="110" t="s">
        <v>244</v>
      </c>
      <c r="E388" s="110" t="s">
        <v>13</v>
      </c>
      <c r="F388" s="533">
        <v>4</v>
      </c>
      <c r="G388" s="700">
        <v>973200</v>
      </c>
      <c r="H388" s="7">
        <f t="shared" ref="H388:H398" si="11">F388*G388</f>
        <v>3892800</v>
      </c>
      <c r="I388" s="67" t="s">
        <v>1644</v>
      </c>
      <c r="J388" s="144"/>
      <c r="K388" s="144"/>
      <c r="L388" s="144"/>
      <c r="M388" s="89"/>
    </row>
    <row r="389" spans="1:13" s="3" customFormat="1" ht="18.75" customHeight="1" x14ac:dyDescent="0.4">
      <c r="A389" s="482">
        <v>46115</v>
      </c>
      <c r="B389" s="110" t="s">
        <v>140</v>
      </c>
      <c r="C389" s="29" t="s">
        <v>553</v>
      </c>
      <c r="D389" s="110" t="s">
        <v>244</v>
      </c>
      <c r="E389" s="110" t="s">
        <v>13</v>
      </c>
      <c r="F389" s="533">
        <v>5</v>
      </c>
      <c r="G389" s="700">
        <v>973200</v>
      </c>
      <c r="H389" s="7">
        <f t="shared" si="11"/>
        <v>4866000</v>
      </c>
      <c r="I389" s="67" t="s">
        <v>1644</v>
      </c>
      <c r="J389" s="144"/>
      <c r="K389" s="144"/>
      <c r="L389" s="144"/>
      <c r="M389" s="89"/>
    </row>
    <row r="390" spans="1:13" s="261" customFormat="1" ht="19.5" customHeight="1" x14ac:dyDescent="0.4">
      <c r="A390" s="501">
        <v>46009</v>
      </c>
      <c r="B390" s="275" t="s">
        <v>140</v>
      </c>
      <c r="C390" s="259" t="s">
        <v>580</v>
      </c>
      <c r="D390" s="257" t="s">
        <v>581</v>
      </c>
      <c r="E390" s="257" t="s">
        <v>13</v>
      </c>
      <c r="F390" s="259">
        <v>6</v>
      </c>
      <c r="G390" s="753">
        <v>1095240</v>
      </c>
      <c r="H390" s="256">
        <f t="shared" si="11"/>
        <v>6571440</v>
      </c>
      <c r="I390" s="67" t="s">
        <v>1644</v>
      </c>
      <c r="J390" s="258"/>
      <c r="K390" s="258"/>
      <c r="L390" s="258"/>
    </row>
    <row r="391" spans="1:13" x14ac:dyDescent="0.4">
      <c r="A391" s="485">
        <v>46161</v>
      </c>
      <c r="B391" s="7" t="s">
        <v>140</v>
      </c>
      <c r="C391" s="49" t="s">
        <v>580</v>
      </c>
      <c r="D391" s="59" t="s">
        <v>1454</v>
      </c>
      <c r="E391" s="59" t="s">
        <v>13</v>
      </c>
      <c r="F391" s="49">
        <v>1</v>
      </c>
      <c r="G391" s="699">
        <v>1095240</v>
      </c>
      <c r="H391" s="7">
        <f t="shared" si="11"/>
        <v>1095240</v>
      </c>
      <c r="I391" s="67" t="s">
        <v>1644</v>
      </c>
      <c r="J391" s="59"/>
      <c r="K391" s="67"/>
      <c r="L391" s="628">
        <v>0</v>
      </c>
    </row>
    <row r="392" spans="1:13" s="50" customFormat="1" ht="18.75" customHeight="1" x14ac:dyDescent="0.4">
      <c r="A392" s="485">
        <v>46064</v>
      </c>
      <c r="B392" s="110" t="s">
        <v>140</v>
      </c>
      <c r="C392" s="29" t="s">
        <v>580</v>
      </c>
      <c r="D392" s="110" t="s">
        <v>780</v>
      </c>
      <c r="E392" s="110" t="s">
        <v>13</v>
      </c>
      <c r="F392" s="81">
        <v>2</v>
      </c>
      <c r="G392" s="697">
        <v>984000</v>
      </c>
      <c r="H392" s="7">
        <f t="shared" si="11"/>
        <v>1968000</v>
      </c>
      <c r="I392" s="67" t="s">
        <v>1644</v>
      </c>
      <c r="J392" s="67"/>
      <c r="K392" s="67"/>
      <c r="L392" s="67"/>
    </row>
    <row r="393" spans="1:13" s="3" customFormat="1" ht="19.5" customHeight="1" x14ac:dyDescent="0.4">
      <c r="A393" s="482">
        <v>46038</v>
      </c>
      <c r="B393" s="110" t="s">
        <v>140</v>
      </c>
      <c r="C393" s="29" t="s">
        <v>580</v>
      </c>
      <c r="D393" s="110" t="s">
        <v>581</v>
      </c>
      <c r="E393" s="110" t="s">
        <v>13</v>
      </c>
      <c r="F393" s="81">
        <v>2</v>
      </c>
      <c r="G393" s="697">
        <v>984000</v>
      </c>
      <c r="H393" s="8">
        <f t="shared" si="11"/>
        <v>1968000</v>
      </c>
      <c r="I393" s="67" t="s">
        <v>1644</v>
      </c>
      <c r="J393" s="196"/>
      <c r="K393" s="196"/>
      <c r="L393" s="196"/>
      <c r="M393" s="89"/>
    </row>
    <row r="394" spans="1:13" s="50" customFormat="1" ht="18.75" customHeight="1" x14ac:dyDescent="0.4">
      <c r="A394" s="485">
        <v>46057</v>
      </c>
      <c r="B394" s="110" t="s">
        <v>140</v>
      </c>
      <c r="C394" s="29" t="s">
        <v>580</v>
      </c>
      <c r="D394" s="110" t="s">
        <v>780</v>
      </c>
      <c r="E394" s="110" t="s">
        <v>13</v>
      </c>
      <c r="F394" s="81">
        <v>2</v>
      </c>
      <c r="G394" s="697">
        <v>984000</v>
      </c>
      <c r="H394" s="7">
        <f t="shared" si="11"/>
        <v>1968000</v>
      </c>
      <c r="I394" s="67" t="s">
        <v>1644</v>
      </c>
      <c r="J394" s="67"/>
      <c r="K394" s="67"/>
      <c r="L394" s="67"/>
    </row>
    <row r="395" spans="1:13" s="50" customFormat="1" ht="18.75" customHeight="1" x14ac:dyDescent="0.4">
      <c r="A395" s="485">
        <v>46058</v>
      </c>
      <c r="B395" s="110" t="s">
        <v>140</v>
      </c>
      <c r="C395" s="29" t="s">
        <v>580</v>
      </c>
      <c r="D395" s="110" t="s">
        <v>780</v>
      </c>
      <c r="E395" s="110" t="s">
        <v>13</v>
      </c>
      <c r="F395" s="81">
        <v>4</v>
      </c>
      <c r="G395" s="697">
        <v>984000</v>
      </c>
      <c r="H395" s="7">
        <f t="shared" si="11"/>
        <v>3936000</v>
      </c>
      <c r="I395" s="67" t="s">
        <v>1644</v>
      </c>
      <c r="J395" s="67"/>
      <c r="K395" s="67"/>
      <c r="L395" s="67"/>
    </row>
    <row r="396" spans="1:13" s="50" customFormat="1" ht="18.75" customHeight="1" x14ac:dyDescent="0.4">
      <c r="A396" s="485">
        <v>46142</v>
      </c>
      <c r="B396" s="5" t="s">
        <v>140</v>
      </c>
      <c r="C396" s="6" t="s">
        <v>554</v>
      </c>
      <c r="D396" s="1" t="s">
        <v>245</v>
      </c>
      <c r="E396" s="1" t="s">
        <v>13</v>
      </c>
      <c r="F396" s="36">
        <v>6</v>
      </c>
      <c r="G396" s="748">
        <v>630500</v>
      </c>
      <c r="H396" s="7">
        <f t="shared" si="11"/>
        <v>3783000</v>
      </c>
      <c r="I396" s="67" t="s">
        <v>1644</v>
      </c>
      <c r="J396" s="67"/>
      <c r="K396" s="67"/>
      <c r="L396" s="67" t="s">
        <v>1068</v>
      </c>
    </row>
    <row r="397" spans="1:13" x14ac:dyDescent="0.4">
      <c r="A397" s="485">
        <v>46154</v>
      </c>
      <c r="B397" s="5" t="s">
        <v>140</v>
      </c>
      <c r="C397" s="527" t="s">
        <v>554</v>
      </c>
      <c r="D397" s="1" t="s">
        <v>245</v>
      </c>
      <c r="E397" s="1" t="s">
        <v>13</v>
      </c>
      <c r="F397" s="36">
        <v>1</v>
      </c>
      <c r="G397" s="748">
        <v>630500</v>
      </c>
      <c r="H397" s="7">
        <f t="shared" si="11"/>
        <v>630500</v>
      </c>
      <c r="I397" s="67" t="s">
        <v>1644</v>
      </c>
      <c r="J397" s="67"/>
      <c r="K397" s="67"/>
      <c r="L397" s="67"/>
    </row>
    <row r="398" spans="1:13" x14ac:dyDescent="0.4">
      <c r="A398" s="485">
        <v>46161</v>
      </c>
      <c r="B398" s="5" t="s">
        <v>140</v>
      </c>
      <c r="C398" s="6" t="s">
        <v>554</v>
      </c>
      <c r="D398" s="1" t="s">
        <v>642</v>
      </c>
      <c r="E398" s="1" t="s">
        <v>13</v>
      </c>
      <c r="F398" s="36">
        <v>3</v>
      </c>
      <c r="G398" s="748">
        <v>630500</v>
      </c>
      <c r="H398" s="7">
        <f t="shared" si="11"/>
        <v>1891500</v>
      </c>
      <c r="I398" s="67" t="s">
        <v>1644</v>
      </c>
      <c r="J398" s="59"/>
      <c r="K398" s="67"/>
      <c r="L398" s="628">
        <v>0</v>
      </c>
    </row>
    <row r="399" spans="1:13" s="50" customFormat="1" ht="18.75" customHeight="1" x14ac:dyDescent="0.4">
      <c r="A399" s="485">
        <v>46080</v>
      </c>
      <c r="B399" s="110" t="s">
        <v>140</v>
      </c>
      <c r="C399" s="29" t="s">
        <v>771</v>
      </c>
      <c r="D399" s="110" t="s">
        <v>772</v>
      </c>
      <c r="E399" s="110" t="s">
        <v>13</v>
      </c>
      <c r="F399" s="81">
        <v>1</v>
      </c>
      <c r="G399" s="699">
        <v>633000</v>
      </c>
      <c r="H399" s="7">
        <f>F399*G399</f>
        <v>633000</v>
      </c>
      <c r="I399" s="67" t="s">
        <v>1644</v>
      </c>
      <c r="J399" s="67"/>
      <c r="K399" s="67"/>
      <c r="L399" s="67"/>
    </row>
    <row r="400" spans="1:13" s="50" customFormat="1" ht="18.75" customHeight="1" x14ac:dyDescent="0.4">
      <c r="A400" s="485">
        <v>46084</v>
      </c>
      <c r="B400" s="110" t="s">
        <v>140</v>
      </c>
      <c r="C400" s="29" t="s">
        <v>771</v>
      </c>
      <c r="D400" s="110" t="s">
        <v>772</v>
      </c>
      <c r="E400" s="110" t="s">
        <v>13</v>
      </c>
      <c r="F400" s="81">
        <v>3</v>
      </c>
      <c r="G400" s="699">
        <v>703040</v>
      </c>
      <c r="H400" s="7">
        <f>F400*G400</f>
        <v>2109120</v>
      </c>
      <c r="I400" s="67" t="s">
        <v>1644</v>
      </c>
      <c r="J400" s="67"/>
      <c r="K400" s="67"/>
      <c r="L400" s="67" t="s">
        <v>1068</v>
      </c>
    </row>
    <row r="401" spans="1:13" s="50" customFormat="1" ht="18.75" customHeight="1" x14ac:dyDescent="0.4">
      <c r="A401" s="485">
        <v>46090</v>
      </c>
      <c r="B401" s="5" t="s">
        <v>140</v>
      </c>
      <c r="C401" s="6" t="s">
        <v>771</v>
      </c>
      <c r="D401" s="1" t="s">
        <v>1137</v>
      </c>
      <c r="E401" s="1" t="s">
        <v>13</v>
      </c>
      <c r="F401" s="36">
        <v>4</v>
      </c>
      <c r="G401" s="699">
        <v>703040</v>
      </c>
      <c r="H401" s="7">
        <f>F401*G401</f>
        <v>2812160</v>
      </c>
      <c r="I401" s="67" t="s">
        <v>1644</v>
      </c>
      <c r="J401" s="67"/>
      <c r="K401" s="67"/>
      <c r="L401" s="67" t="s">
        <v>1068</v>
      </c>
    </row>
    <row r="402" spans="1:13" s="50" customFormat="1" ht="18.75" customHeight="1" x14ac:dyDescent="0.4">
      <c r="A402" s="485">
        <v>46177</v>
      </c>
      <c r="B402" s="110" t="s">
        <v>140</v>
      </c>
      <c r="C402" s="29" t="s">
        <v>1576</v>
      </c>
      <c r="D402" s="110" t="s">
        <v>772</v>
      </c>
      <c r="E402" s="110" t="s">
        <v>13</v>
      </c>
      <c r="F402" s="533">
        <v>2</v>
      </c>
      <c r="G402" s="699">
        <v>703040</v>
      </c>
      <c r="H402" s="525">
        <f t="shared" ref="H402:H445" si="12">F402*G402</f>
        <v>1406080</v>
      </c>
      <c r="I402" s="67" t="s">
        <v>1644</v>
      </c>
      <c r="J402" s="67"/>
      <c r="K402" s="67"/>
      <c r="L402" s="67"/>
    </row>
    <row r="403" spans="1:13" s="3" customFormat="1" ht="18.75" customHeight="1" x14ac:dyDescent="0.4">
      <c r="A403" s="482">
        <v>46114</v>
      </c>
      <c r="B403" s="110" t="s">
        <v>140</v>
      </c>
      <c r="C403" s="29" t="s">
        <v>552</v>
      </c>
      <c r="D403" s="110" t="s">
        <v>243</v>
      </c>
      <c r="E403" s="110" t="s">
        <v>13</v>
      </c>
      <c r="F403" s="533">
        <v>3</v>
      </c>
      <c r="G403" s="700">
        <v>202000</v>
      </c>
      <c r="H403" s="7">
        <f t="shared" si="12"/>
        <v>606000</v>
      </c>
      <c r="I403" s="67" t="s">
        <v>1644</v>
      </c>
      <c r="J403" s="144"/>
      <c r="K403" s="144"/>
      <c r="L403" s="144"/>
      <c r="M403" s="89"/>
    </row>
    <row r="404" spans="1:13" s="50" customFormat="1" ht="18.75" customHeight="1" x14ac:dyDescent="0.4">
      <c r="A404" s="485">
        <v>46128</v>
      </c>
      <c r="B404" s="5" t="s">
        <v>140</v>
      </c>
      <c r="C404" s="6" t="s">
        <v>552</v>
      </c>
      <c r="D404" s="1" t="s">
        <v>243</v>
      </c>
      <c r="E404" s="1" t="s">
        <v>13</v>
      </c>
      <c r="F404" s="36">
        <v>4</v>
      </c>
      <c r="G404" s="64">
        <v>202000</v>
      </c>
      <c r="H404" s="7">
        <f t="shared" si="12"/>
        <v>808000</v>
      </c>
      <c r="I404" s="67" t="s">
        <v>1644</v>
      </c>
      <c r="J404" s="67"/>
      <c r="K404" s="67"/>
      <c r="L404" s="67" t="s">
        <v>1068</v>
      </c>
    </row>
    <row r="405" spans="1:13" s="50" customFormat="1" ht="18.75" customHeight="1" x14ac:dyDescent="0.4">
      <c r="A405" s="485">
        <v>46139</v>
      </c>
      <c r="B405" s="5" t="s">
        <v>140</v>
      </c>
      <c r="C405" s="6" t="s">
        <v>552</v>
      </c>
      <c r="D405" s="1" t="s">
        <v>243</v>
      </c>
      <c r="E405" s="1" t="s">
        <v>13</v>
      </c>
      <c r="F405" s="36">
        <v>13</v>
      </c>
      <c r="G405" s="64">
        <v>202000</v>
      </c>
      <c r="H405" s="7">
        <f t="shared" si="12"/>
        <v>2626000</v>
      </c>
      <c r="I405" s="67" t="s">
        <v>1644</v>
      </c>
      <c r="J405" s="67"/>
      <c r="K405" s="67"/>
      <c r="L405" s="67" t="s">
        <v>1068</v>
      </c>
    </row>
    <row r="406" spans="1:13" x14ac:dyDescent="0.4">
      <c r="A406" s="485">
        <v>46149</v>
      </c>
      <c r="B406" s="5" t="s">
        <v>140</v>
      </c>
      <c r="C406" s="6" t="s">
        <v>1448</v>
      </c>
      <c r="D406" s="1" t="s">
        <v>243</v>
      </c>
      <c r="E406" s="1" t="s">
        <v>13</v>
      </c>
      <c r="F406" s="36">
        <v>10</v>
      </c>
      <c r="G406" s="208">
        <v>202000</v>
      </c>
      <c r="H406" s="7">
        <f t="shared" si="12"/>
        <v>2020000</v>
      </c>
      <c r="I406" s="67" t="s">
        <v>1644</v>
      </c>
      <c r="J406" s="67"/>
      <c r="K406" s="67"/>
      <c r="L406" s="67"/>
    </row>
    <row r="407" spans="1:13" x14ac:dyDescent="0.4">
      <c r="A407" s="485">
        <v>46154</v>
      </c>
      <c r="B407" s="5" t="s">
        <v>140</v>
      </c>
      <c r="C407" s="6" t="s">
        <v>1448</v>
      </c>
      <c r="D407" s="1" t="s">
        <v>243</v>
      </c>
      <c r="E407" s="1" t="s">
        <v>13</v>
      </c>
      <c r="F407" s="36">
        <v>1</v>
      </c>
      <c r="G407" s="208">
        <v>202000</v>
      </c>
      <c r="H407" s="7">
        <f t="shared" si="12"/>
        <v>202000</v>
      </c>
      <c r="I407" s="67" t="s">
        <v>1644</v>
      </c>
      <c r="J407" s="67"/>
      <c r="K407" s="67"/>
      <c r="L407" s="67"/>
    </row>
    <row r="408" spans="1:13" x14ac:dyDescent="0.4">
      <c r="A408" s="485">
        <v>46154</v>
      </c>
      <c r="B408" s="5" t="s">
        <v>140</v>
      </c>
      <c r="C408" s="6" t="s">
        <v>1448</v>
      </c>
      <c r="D408" s="1" t="s">
        <v>243</v>
      </c>
      <c r="E408" s="1" t="s">
        <v>13</v>
      </c>
      <c r="F408" s="36">
        <v>40</v>
      </c>
      <c r="G408" s="208">
        <v>216997</v>
      </c>
      <c r="H408" s="7">
        <f t="shared" si="12"/>
        <v>8679880</v>
      </c>
      <c r="I408" s="67" t="s">
        <v>1644</v>
      </c>
      <c r="J408" s="67"/>
      <c r="K408" s="67"/>
      <c r="L408" s="67"/>
    </row>
    <row r="409" spans="1:13" s="113" customFormat="1" ht="20.25" customHeight="1" x14ac:dyDescent="0.4">
      <c r="A409" s="501"/>
      <c r="B409" s="7" t="s">
        <v>140</v>
      </c>
      <c r="C409" s="29" t="s">
        <v>474</v>
      </c>
      <c r="D409" s="110" t="s">
        <v>475</v>
      </c>
      <c r="E409" s="110" t="s">
        <v>11</v>
      </c>
      <c r="F409" s="81">
        <v>10</v>
      </c>
      <c r="G409" s="81">
        <v>652000</v>
      </c>
      <c r="H409" s="49">
        <f t="shared" si="12"/>
        <v>6520000</v>
      </c>
      <c r="I409" s="67" t="s">
        <v>1632</v>
      </c>
      <c r="J409" s="111"/>
      <c r="K409" s="111"/>
      <c r="L409" s="25"/>
    </row>
    <row r="410" spans="1:13" s="113" customFormat="1" ht="20.25" customHeight="1" x14ac:dyDescent="0.4">
      <c r="A410" s="501"/>
      <c r="B410" s="7" t="s">
        <v>140</v>
      </c>
      <c r="C410" s="29" t="s">
        <v>540</v>
      </c>
      <c r="D410" s="110" t="s">
        <v>541</v>
      </c>
      <c r="E410" s="110" t="s">
        <v>13</v>
      </c>
      <c r="F410" s="81">
        <v>3</v>
      </c>
      <c r="G410" s="81">
        <v>102000</v>
      </c>
      <c r="H410" s="49">
        <f t="shared" si="12"/>
        <v>306000</v>
      </c>
      <c r="I410" s="67" t="s">
        <v>1632</v>
      </c>
      <c r="J410" s="111"/>
      <c r="K410" s="111"/>
      <c r="L410" s="25"/>
    </row>
    <row r="411" spans="1:13" s="113" customFormat="1" ht="20.25" customHeight="1" x14ac:dyDescent="0.4">
      <c r="A411" s="501"/>
      <c r="B411" s="7" t="s">
        <v>140</v>
      </c>
      <c r="C411" s="29" t="s">
        <v>540</v>
      </c>
      <c r="D411" s="110" t="s">
        <v>541</v>
      </c>
      <c r="E411" s="110" t="s">
        <v>13</v>
      </c>
      <c r="F411" s="81">
        <v>7</v>
      </c>
      <c r="G411" s="81">
        <v>102000</v>
      </c>
      <c r="H411" s="49">
        <f t="shared" si="12"/>
        <v>714000</v>
      </c>
      <c r="I411" s="67" t="s">
        <v>1632</v>
      </c>
      <c r="J411" s="111"/>
      <c r="K411" s="111"/>
      <c r="L411" s="25"/>
    </row>
    <row r="412" spans="1:13" s="261" customFormat="1" ht="18.600000000000001" customHeight="1" x14ac:dyDescent="0.4">
      <c r="A412" s="501">
        <v>45993</v>
      </c>
      <c r="B412" s="275" t="s">
        <v>140</v>
      </c>
      <c r="C412" s="259" t="s">
        <v>1239</v>
      </c>
      <c r="D412" s="257" t="s">
        <v>475</v>
      </c>
      <c r="E412" s="257" t="s">
        <v>11</v>
      </c>
      <c r="F412" s="259">
        <v>3</v>
      </c>
      <c r="G412" s="259">
        <v>652000</v>
      </c>
      <c r="H412" s="259">
        <f t="shared" si="12"/>
        <v>1956000</v>
      </c>
      <c r="I412" s="67" t="s">
        <v>1632</v>
      </c>
      <c r="J412" s="258"/>
      <c r="K412" s="258"/>
      <c r="L412" s="258"/>
    </row>
    <row r="413" spans="1:13" s="50" customFormat="1" ht="18.75" customHeight="1" x14ac:dyDescent="0.4">
      <c r="A413" s="485">
        <v>46058</v>
      </c>
      <c r="B413" s="110" t="s">
        <v>140</v>
      </c>
      <c r="C413" s="29" t="s">
        <v>473</v>
      </c>
      <c r="D413" s="110" t="s">
        <v>777</v>
      </c>
      <c r="E413" s="110" t="s">
        <v>13</v>
      </c>
      <c r="F413" s="81">
        <v>1</v>
      </c>
      <c r="G413" s="49">
        <v>393500</v>
      </c>
      <c r="H413" s="7">
        <f t="shared" si="12"/>
        <v>393500</v>
      </c>
      <c r="I413" s="67" t="s">
        <v>1632</v>
      </c>
      <c r="J413" s="67"/>
      <c r="K413" s="67"/>
      <c r="L413" s="67"/>
    </row>
    <row r="414" spans="1:13" s="50" customFormat="1" ht="18.75" customHeight="1" x14ac:dyDescent="0.4">
      <c r="A414" s="485">
        <v>46076</v>
      </c>
      <c r="B414" s="110" t="s">
        <v>140</v>
      </c>
      <c r="C414" s="29" t="s">
        <v>540</v>
      </c>
      <c r="D414" s="110" t="s">
        <v>541</v>
      </c>
      <c r="E414" s="110" t="s">
        <v>343</v>
      </c>
      <c r="F414" s="81">
        <v>4</v>
      </c>
      <c r="G414" s="49">
        <v>102000</v>
      </c>
      <c r="H414" s="7">
        <f t="shared" si="12"/>
        <v>408000</v>
      </c>
      <c r="I414" s="67" t="s">
        <v>1632</v>
      </c>
      <c r="J414" s="67"/>
      <c r="K414" s="67"/>
      <c r="L414" s="67"/>
    </row>
    <row r="415" spans="1:13" s="50" customFormat="1" ht="18.75" customHeight="1" x14ac:dyDescent="0.4">
      <c r="A415" s="485">
        <v>46076</v>
      </c>
      <c r="B415" s="110" t="s">
        <v>140</v>
      </c>
      <c r="C415" s="29" t="s">
        <v>474</v>
      </c>
      <c r="D415" s="110" t="s">
        <v>475</v>
      </c>
      <c r="E415" s="110" t="s">
        <v>11</v>
      </c>
      <c r="F415" s="81">
        <v>6</v>
      </c>
      <c r="G415" s="49">
        <v>652000</v>
      </c>
      <c r="H415" s="7">
        <f t="shared" si="12"/>
        <v>3912000</v>
      </c>
      <c r="I415" s="67" t="s">
        <v>1632</v>
      </c>
      <c r="J415" s="67"/>
      <c r="K415" s="67"/>
      <c r="L415" s="67"/>
    </row>
    <row r="416" spans="1:13" s="50" customFormat="1" ht="18.75" customHeight="1" x14ac:dyDescent="0.4">
      <c r="A416" s="485">
        <v>46077</v>
      </c>
      <c r="B416" s="110" t="s">
        <v>140</v>
      </c>
      <c r="C416" s="29" t="s">
        <v>773</v>
      </c>
      <c r="D416" s="110" t="s">
        <v>774</v>
      </c>
      <c r="E416" s="110" t="s">
        <v>775</v>
      </c>
      <c r="F416" s="81">
        <v>7</v>
      </c>
      <c r="G416" s="49">
        <v>69700</v>
      </c>
      <c r="H416" s="7">
        <f t="shared" si="12"/>
        <v>487900</v>
      </c>
      <c r="I416" s="67" t="s">
        <v>1632</v>
      </c>
      <c r="J416" s="67"/>
      <c r="K416" s="67"/>
      <c r="L416" s="67"/>
    </row>
    <row r="417" spans="1:13" s="50" customFormat="1" ht="18.75" customHeight="1" x14ac:dyDescent="0.4">
      <c r="A417" s="485">
        <v>46084</v>
      </c>
      <c r="B417" s="110" t="s">
        <v>140</v>
      </c>
      <c r="C417" s="29" t="s">
        <v>473</v>
      </c>
      <c r="D417" s="110" t="s">
        <v>777</v>
      </c>
      <c r="E417" s="110" t="s">
        <v>13</v>
      </c>
      <c r="F417" s="81">
        <v>1</v>
      </c>
      <c r="G417" s="49">
        <v>393500</v>
      </c>
      <c r="H417" s="7">
        <f t="shared" si="12"/>
        <v>393500</v>
      </c>
      <c r="I417" s="67" t="s">
        <v>1632</v>
      </c>
      <c r="J417" s="67"/>
      <c r="K417" s="67"/>
      <c r="L417" s="67" t="s">
        <v>1068</v>
      </c>
    </row>
    <row r="418" spans="1:13" s="50" customFormat="1" ht="18.75" customHeight="1" x14ac:dyDescent="0.4">
      <c r="A418" s="485">
        <v>46100</v>
      </c>
      <c r="B418" s="5" t="s">
        <v>140</v>
      </c>
      <c r="C418" s="6" t="s">
        <v>476</v>
      </c>
      <c r="D418" s="1" t="s">
        <v>477</v>
      </c>
      <c r="E418" s="1" t="s">
        <v>11</v>
      </c>
      <c r="F418" s="36">
        <v>2</v>
      </c>
      <c r="G418" s="36">
        <v>271000</v>
      </c>
      <c r="H418" s="7">
        <f t="shared" si="12"/>
        <v>542000</v>
      </c>
      <c r="I418" s="67" t="s">
        <v>1632</v>
      </c>
      <c r="J418" s="67"/>
      <c r="K418" s="67"/>
      <c r="L418" s="67" t="s">
        <v>1068</v>
      </c>
    </row>
    <row r="419" spans="1:13" s="50" customFormat="1" ht="18.75" customHeight="1" x14ac:dyDescent="0.4">
      <c r="A419" s="485">
        <v>46111</v>
      </c>
      <c r="B419" s="110" t="s">
        <v>140</v>
      </c>
      <c r="C419" s="29" t="s">
        <v>474</v>
      </c>
      <c r="D419" s="110" t="s">
        <v>475</v>
      </c>
      <c r="E419" s="110" t="s">
        <v>11</v>
      </c>
      <c r="F419" s="81">
        <v>3</v>
      </c>
      <c r="G419" s="49">
        <v>652000</v>
      </c>
      <c r="H419" s="7">
        <f t="shared" si="12"/>
        <v>1956000</v>
      </c>
      <c r="I419" s="67" t="s">
        <v>1632</v>
      </c>
      <c r="J419" s="67"/>
      <c r="K419" s="67"/>
      <c r="L419" s="67" t="s">
        <v>1068</v>
      </c>
    </row>
    <row r="420" spans="1:13" s="3" customFormat="1" ht="18.75" customHeight="1" x14ac:dyDescent="0.4">
      <c r="A420" s="482">
        <v>46114</v>
      </c>
      <c r="B420" s="110" t="s">
        <v>140</v>
      </c>
      <c r="C420" s="29" t="s">
        <v>553</v>
      </c>
      <c r="D420" s="110" t="s">
        <v>244</v>
      </c>
      <c r="E420" s="110" t="s">
        <v>13</v>
      </c>
      <c r="F420" s="533">
        <v>2</v>
      </c>
      <c r="G420" s="525">
        <v>973200</v>
      </c>
      <c r="H420" s="7">
        <f t="shared" si="12"/>
        <v>1946400</v>
      </c>
      <c r="I420" s="67" t="s">
        <v>1632</v>
      </c>
      <c r="J420" s="144"/>
      <c r="K420" s="144"/>
      <c r="L420" s="144"/>
      <c r="M420" s="89"/>
    </row>
    <row r="421" spans="1:13" s="3" customFormat="1" ht="18.75" customHeight="1" x14ac:dyDescent="0.4">
      <c r="A421" s="482">
        <v>46115</v>
      </c>
      <c r="B421" s="110" t="s">
        <v>140</v>
      </c>
      <c r="C421" s="29" t="s">
        <v>1135</v>
      </c>
      <c r="D421" s="110" t="s">
        <v>1136</v>
      </c>
      <c r="E421" s="110" t="s">
        <v>13</v>
      </c>
      <c r="F421" s="533">
        <v>6</v>
      </c>
      <c r="G421" s="525">
        <v>193500</v>
      </c>
      <c r="H421" s="7">
        <f t="shared" si="12"/>
        <v>1161000</v>
      </c>
      <c r="I421" s="67" t="s">
        <v>1632</v>
      </c>
      <c r="J421" s="144"/>
      <c r="K421" s="144"/>
      <c r="L421" s="144"/>
      <c r="M421" s="89"/>
    </row>
    <row r="422" spans="1:13" s="50" customFormat="1" ht="18.75" customHeight="1" x14ac:dyDescent="0.4">
      <c r="A422" s="482">
        <v>46115</v>
      </c>
      <c r="B422" s="5" t="s">
        <v>140</v>
      </c>
      <c r="C422" s="6" t="s">
        <v>553</v>
      </c>
      <c r="D422" s="1" t="s">
        <v>244</v>
      </c>
      <c r="E422" s="1" t="s">
        <v>13</v>
      </c>
      <c r="F422" s="36">
        <v>5</v>
      </c>
      <c r="G422" s="36">
        <v>973200</v>
      </c>
      <c r="H422" s="7">
        <f t="shared" si="12"/>
        <v>4866000</v>
      </c>
      <c r="I422" s="67" t="s">
        <v>1632</v>
      </c>
      <c r="J422" s="67"/>
      <c r="K422" s="67"/>
      <c r="L422" s="67" t="s">
        <v>1247</v>
      </c>
    </row>
    <row r="423" spans="1:13" s="50" customFormat="1" ht="18.75" customHeight="1" x14ac:dyDescent="0.4">
      <c r="A423" s="482">
        <v>46115</v>
      </c>
      <c r="B423" s="5" t="s">
        <v>140</v>
      </c>
      <c r="C423" s="6" t="s">
        <v>1135</v>
      </c>
      <c r="D423" s="1" t="s">
        <v>1136</v>
      </c>
      <c r="E423" s="1" t="s">
        <v>13</v>
      </c>
      <c r="F423" s="36">
        <v>5</v>
      </c>
      <c r="G423" s="7">
        <v>193500</v>
      </c>
      <c r="H423" s="7">
        <f t="shared" si="12"/>
        <v>967500</v>
      </c>
      <c r="I423" s="67" t="s">
        <v>1632</v>
      </c>
      <c r="J423" s="67"/>
      <c r="K423" s="67"/>
      <c r="L423" s="67" t="s">
        <v>1247</v>
      </c>
    </row>
    <row r="424" spans="1:13" s="50" customFormat="1" ht="24" customHeight="1" x14ac:dyDescent="0.4">
      <c r="A424" s="485">
        <v>46125</v>
      </c>
      <c r="B424" s="5" t="s">
        <v>140</v>
      </c>
      <c r="C424" s="6" t="s">
        <v>553</v>
      </c>
      <c r="D424" s="1" t="s">
        <v>244</v>
      </c>
      <c r="E424" s="1" t="s">
        <v>13</v>
      </c>
      <c r="F424" s="36">
        <v>14</v>
      </c>
      <c r="G424" s="36">
        <v>973200</v>
      </c>
      <c r="H424" s="7">
        <f t="shared" si="12"/>
        <v>13624800</v>
      </c>
      <c r="I424" s="67" t="s">
        <v>1632</v>
      </c>
      <c r="J424" s="67"/>
      <c r="K424" s="67"/>
      <c r="L424" s="67" t="s">
        <v>1247</v>
      </c>
    </row>
    <row r="425" spans="1:13" s="50" customFormat="1" ht="18.75" customHeight="1" x14ac:dyDescent="0.4">
      <c r="A425" s="485">
        <v>46129</v>
      </c>
      <c r="B425" s="110" t="s">
        <v>140</v>
      </c>
      <c r="C425" s="395" t="s">
        <v>773</v>
      </c>
      <c r="D425" s="46" t="s">
        <v>774</v>
      </c>
      <c r="E425" s="46" t="s">
        <v>775</v>
      </c>
      <c r="F425" s="81">
        <v>5</v>
      </c>
      <c r="G425" s="81">
        <v>69700</v>
      </c>
      <c r="H425" s="7">
        <f t="shared" si="12"/>
        <v>348500</v>
      </c>
      <c r="I425" s="67" t="s">
        <v>1632</v>
      </c>
      <c r="J425" s="67"/>
      <c r="K425" s="67"/>
      <c r="L425" s="67" t="s">
        <v>1068</v>
      </c>
    </row>
    <row r="426" spans="1:13" s="50" customFormat="1" ht="18.75" customHeight="1" x14ac:dyDescent="0.4">
      <c r="A426" s="485">
        <v>46135</v>
      </c>
      <c r="B426" s="110" t="s">
        <v>140</v>
      </c>
      <c r="C426" s="29" t="s">
        <v>473</v>
      </c>
      <c r="D426" s="110" t="s">
        <v>777</v>
      </c>
      <c r="E426" s="110" t="s">
        <v>13</v>
      </c>
      <c r="F426" s="81">
        <v>5</v>
      </c>
      <c r="G426" s="49">
        <v>393500</v>
      </c>
      <c r="H426" s="7">
        <f t="shared" si="12"/>
        <v>1967500</v>
      </c>
      <c r="I426" s="67" t="s">
        <v>1632</v>
      </c>
      <c r="J426" s="67"/>
      <c r="K426" s="67"/>
      <c r="L426" s="67" t="s">
        <v>1068</v>
      </c>
    </row>
    <row r="427" spans="1:13" s="50" customFormat="1" ht="18.75" customHeight="1" x14ac:dyDescent="0.4">
      <c r="A427" s="485">
        <v>46135</v>
      </c>
      <c r="B427" s="5" t="s">
        <v>140</v>
      </c>
      <c r="C427" s="6" t="s">
        <v>1135</v>
      </c>
      <c r="D427" s="1" t="s">
        <v>1136</v>
      </c>
      <c r="E427" s="1" t="s">
        <v>13</v>
      </c>
      <c r="F427" s="36">
        <v>3</v>
      </c>
      <c r="G427" s="7">
        <v>193500</v>
      </c>
      <c r="H427" s="7">
        <f t="shared" si="12"/>
        <v>580500</v>
      </c>
      <c r="I427" s="67" t="s">
        <v>1632</v>
      </c>
      <c r="J427" s="67"/>
      <c r="K427" s="67"/>
      <c r="L427" s="67" t="s">
        <v>1068</v>
      </c>
    </row>
    <row r="428" spans="1:13" s="50" customFormat="1" ht="18.75" customHeight="1" x14ac:dyDescent="0.4">
      <c r="A428" s="485">
        <v>46139</v>
      </c>
      <c r="B428" s="110" t="s">
        <v>140</v>
      </c>
      <c r="C428" s="29" t="s">
        <v>473</v>
      </c>
      <c r="D428" s="110" t="s">
        <v>777</v>
      </c>
      <c r="E428" s="110" t="s">
        <v>13</v>
      </c>
      <c r="F428" s="81">
        <v>6</v>
      </c>
      <c r="G428" s="49">
        <v>393500</v>
      </c>
      <c r="H428" s="7">
        <f t="shared" si="12"/>
        <v>2361000</v>
      </c>
      <c r="I428" s="67" t="s">
        <v>1632</v>
      </c>
      <c r="J428" s="67"/>
      <c r="K428" s="67"/>
      <c r="L428" s="67" t="s">
        <v>1068</v>
      </c>
    </row>
    <row r="429" spans="1:13" s="50" customFormat="1" ht="18.75" customHeight="1" x14ac:dyDescent="0.4">
      <c r="A429" s="485">
        <v>46139</v>
      </c>
      <c r="B429" s="5" t="s">
        <v>140</v>
      </c>
      <c r="C429" s="6" t="s">
        <v>553</v>
      </c>
      <c r="D429" s="1" t="s">
        <v>244</v>
      </c>
      <c r="E429" s="1" t="s">
        <v>13</v>
      </c>
      <c r="F429" s="36">
        <v>5</v>
      </c>
      <c r="G429" s="36">
        <v>973200</v>
      </c>
      <c r="H429" s="7">
        <f t="shared" si="12"/>
        <v>4866000</v>
      </c>
      <c r="I429" s="67" t="s">
        <v>1632</v>
      </c>
      <c r="J429" s="67"/>
      <c r="K429" s="67"/>
      <c r="L429" s="67" t="s">
        <v>1068</v>
      </c>
    </row>
    <row r="430" spans="1:13" x14ac:dyDescent="0.4">
      <c r="A430" s="485">
        <v>46149</v>
      </c>
      <c r="B430" s="5" t="s">
        <v>140</v>
      </c>
      <c r="C430" s="80" t="s">
        <v>1449</v>
      </c>
      <c r="D430" s="42" t="s">
        <v>248</v>
      </c>
      <c r="E430" s="1" t="s">
        <v>13</v>
      </c>
      <c r="F430" s="36">
        <v>1</v>
      </c>
      <c r="G430" s="7">
        <v>227500</v>
      </c>
      <c r="H430" s="7">
        <f>F430*G430</f>
        <v>227500</v>
      </c>
      <c r="I430" s="67" t="s">
        <v>1632</v>
      </c>
      <c r="J430" s="67"/>
      <c r="K430" s="67"/>
      <c r="L430" s="409"/>
    </row>
    <row r="431" spans="1:13" x14ac:dyDescent="0.4">
      <c r="A431" s="485">
        <v>46149</v>
      </c>
      <c r="B431" s="5" t="s">
        <v>140</v>
      </c>
      <c r="C431" s="6" t="s">
        <v>641</v>
      </c>
      <c r="D431" s="1" t="s">
        <v>244</v>
      </c>
      <c r="E431" s="1" t="s">
        <v>13</v>
      </c>
      <c r="F431" s="36">
        <v>6</v>
      </c>
      <c r="G431" s="36">
        <v>973200</v>
      </c>
      <c r="H431" s="7">
        <f t="shared" si="12"/>
        <v>5839200</v>
      </c>
      <c r="I431" s="67" t="s">
        <v>1632</v>
      </c>
      <c r="J431" s="67"/>
      <c r="K431" s="67"/>
      <c r="L431" s="67"/>
    </row>
    <row r="432" spans="1:13" x14ac:dyDescent="0.4">
      <c r="A432" s="485">
        <v>46149</v>
      </c>
      <c r="B432" s="5" t="s">
        <v>140</v>
      </c>
      <c r="C432" s="6" t="s">
        <v>473</v>
      </c>
      <c r="D432" s="1" t="s">
        <v>246</v>
      </c>
      <c r="E432" s="1" t="s">
        <v>13</v>
      </c>
      <c r="F432" s="36">
        <v>2</v>
      </c>
      <c r="G432" s="7">
        <v>393500</v>
      </c>
      <c r="H432" s="7">
        <f t="shared" si="12"/>
        <v>787000</v>
      </c>
      <c r="I432" s="67" t="s">
        <v>1632</v>
      </c>
      <c r="J432" s="67"/>
      <c r="K432" s="67"/>
      <c r="L432" s="67"/>
    </row>
    <row r="433" spans="1:12" x14ac:dyDescent="0.4">
      <c r="A433" s="485">
        <v>46149</v>
      </c>
      <c r="B433" s="5" t="s">
        <v>140</v>
      </c>
      <c r="C433" s="80" t="s">
        <v>1449</v>
      </c>
      <c r="D433" s="42" t="s">
        <v>248</v>
      </c>
      <c r="E433" s="1" t="s">
        <v>13</v>
      </c>
      <c r="F433" s="36">
        <v>6</v>
      </c>
      <c r="G433" s="7">
        <v>227500</v>
      </c>
      <c r="H433" s="7">
        <f t="shared" si="12"/>
        <v>1365000</v>
      </c>
      <c r="I433" s="67" t="s">
        <v>1632</v>
      </c>
      <c r="J433" s="67"/>
      <c r="K433" s="67"/>
      <c r="L433" s="67"/>
    </row>
    <row r="434" spans="1:12" x14ac:dyDescent="0.4">
      <c r="A434" s="485">
        <v>46154</v>
      </c>
      <c r="B434" s="5" t="s">
        <v>140</v>
      </c>
      <c r="C434" s="527" t="s">
        <v>595</v>
      </c>
      <c r="D434" s="42" t="s">
        <v>247</v>
      </c>
      <c r="E434" s="1" t="s">
        <v>13</v>
      </c>
      <c r="F434" s="36">
        <v>5</v>
      </c>
      <c r="G434" s="7">
        <v>56100</v>
      </c>
      <c r="H434" s="7">
        <f t="shared" si="12"/>
        <v>280500</v>
      </c>
      <c r="I434" s="67" t="s">
        <v>1632</v>
      </c>
      <c r="J434" s="67"/>
      <c r="K434" s="67"/>
      <c r="L434" s="67"/>
    </row>
    <row r="435" spans="1:12" x14ac:dyDescent="0.4">
      <c r="A435" s="485">
        <v>46154</v>
      </c>
      <c r="B435" s="5" t="s">
        <v>140</v>
      </c>
      <c r="C435" s="6" t="s">
        <v>1448</v>
      </c>
      <c r="D435" s="1" t="s">
        <v>243</v>
      </c>
      <c r="E435" s="1" t="s">
        <v>13</v>
      </c>
      <c r="F435" s="36">
        <v>2</v>
      </c>
      <c r="G435" s="8">
        <v>202000</v>
      </c>
      <c r="H435" s="7">
        <f>F435*G435</f>
        <v>404000</v>
      </c>
      <c r="I435" s="67" t="s">
        <v>1632</v>
      </c>
      <c r="J435" s="67"/>
      <c r="K435" s="67"/>
      <c r="L435" s="67"/>
    </row>
    <row r="436" spans="1:12" x14ac:dyDescent="0.4">
      <c r="A436" s="485">
        <v>46154</v>
      </c>
      <c r="B436" s="5" t="s">
        <v>140</v>
      </c>
      <c r="C436" s="29" t="s">
        <v>540</v>
      </c>
      <c r="D436" s="110" t="s">
        <v>541</v>
      </c>
      <c r="E436" s="110" t="s">
        <v>343</v>
      </c>
      <c r="F436" s="81">
        <v>1</v>
      </c>
      <c r="G436" s="49">
        <v>102000</v>
      </c>
      <c r="H436" s="7">
        <f t="shared" si="12"/>
        <v>102000</v>
      </c>
      <c r="I436" s="67" t="s">
        <v>1632</v>
      </c>
      <c r="J436" s="67"/>
      <c r="K436" s="67"/>
      <c r="L436" s="67"/>
    </row>
    <row r="437" spans="1:12" x14ac:dyDescent="0.4">
      <c r="A437" s="485">
        <v>46161</v>
      </c>
      <c r="B437" s="5" t="s">
        <v>140</v>
      </c>
      <c r="C437" s="6" t="s">
        <v>1448</v>
      </c>
      <c r="D437" s="1" t="s">
        <v>1452</v>
      </c>
      <c r="E437" s="1" t="s">
        <v>13</v>
      </c>
      <c r="F437" s="36">
        <v>15</v>
      </c>
      <c r="G437" s="8">
        <v>202000</v>
      </c>
      <c r="H437" s="7">
        <f t="shared" si="12"/>
        <v>3030000</v>
      </c>
      <c r="I437" s="67" t="s">
        <v>1632</v>
      </c>
      <c r="J437" s="59"/>
      <c r="K437" s="67"/>
      <c r="L437" s="628">
        <v>0</v>
      </c>
    </row>
    <row r="438" spans="1:12" x14ac:dyDescent="0.4">
      <c r="A438" s="485">
        <v>46161</v>
      </c>
      <c r="B438" s="5" t="s">
        <v>140</v>
      </c>
      <c r="C438" s="29" t="s">
        <v>540</v>
      </c>
      <c r="D438" s="110" t="s">
        <v>1453</v>
      </c>
      <c r="E438" s="110" t="s">
        <v>343</v>
      </c>
      <c r="F438" s="81">
        <v>4</v>
      </c>
      <c r="G438" s="49">
        <v>102000</v>
      </c>
      <c r="H438" s="7">
        <f t="shared" si="12"/>
        <v>408000</v>
      </c>
      <c r="I438" s="67" t="s">
        <v>1632</v>
      </c>
      <c r="J438" s="59"/>
      <c r="K438" s="67"/>
      <c r="L438" s="628">
        <v>0</v>
      </c>
    </row>
    <row r="439" spans="1:12" x14ac:dyDescent="0.4">
      <c r="A439" s="485">
        <v>46161</v>
      </c>
      <c r="B439" s="5" t="s">
        <v>140</v>
      </c>
      <c r="C439" s="6" t="s">
        <v>554</v>
      </c>
      <c r="D439" s="1" t="s">
        <v>642</v>
      </c>
      <c r="E439" s="1" t="s">
        <v>13</v>
      </c>
      <c r="F439" s="36">
        <v>3</v>
      </c>
      <c r="G439" s="7">
        <v>630500</v>
      </c>
      <c r="H439" s="7">
        <f t="shared" si="12"/>
        <v>1891500</v>
      </c>
      <c r="I439" s="67" t="s">
        <v>1632</v>
      </c>
      <c r="J439" s="59"/>
      <c r="K439" s="67"/>
      <c r="L439" s="628">
        <v>0</v>
      </c>
    </row>
    <row r="440" spans="1:12" x14ac:dyDescent="0.4">
      <c r="A440" s="485">
        <v>46161</v>
      </c>
      <c r="B440" s="7" t="s">
        <v>140</v>
      </c>
      <c r="C440" s="49" t="s">
        <v>580</v>
      </c>
      <c r="D440" s="59" t="s">
        <v>1454</v>
      </c>
      <c r="E440" s="59" t="s">
        <v>13</v>
      </c>
      <c r="F440" s="49">
        <v>6</v>
      </c>
      <c r="G440" s="49">
        <v>984000</v>
      </c>
      <c r="H440" s="7">
        <f t="shared" si="12"/>
        <v>5904000</v>
      </c>
      <c r="I440" s="67" t="s">
        <v>1632</v>
      </c>
      <c r="J440" s="59"/>
      <c r="K440" s="67"/>
      <c r="L440" s="628">
        <v>0</v>
      </c>
    </row>
    <row r="441" spans="1:12" x14ac:dyDescent="0.4">
      <c r="A441" s="485">
        <v>46161</v>
      </c>
      <c r="B441" s="5" t="s">
        <v>140</v>
      </c>
      <c r="C441" s="6" t="s">
        <v>553</v>
      </c>
      <c r="D441" s="1" t="s">
        <v>1455</v>
      </c>
      <c r="E441" s="1" t="s">
        <v>13</v>
      </c>
      <c r="F441" s="36">
        <v>1</v>
      </c>
      <c r="G441" s="36">
        <v>973200</v>
      </c>
      <c r="H441" s="7">
        <f t="shared" si="12"/>
        <v>973200</v>
      </c>
      <c r="I441" s="67" t="s">
        <v>1632</v>
      </c>
      <c r="J441" s="59"/>
      <c r="K441" s="67"/>
      <c r="L441" s="628">
        <v>0</v>
      </c>
    </row>
    <row r="442" spans="1:12" x14ac:dyDescent="0.4">
      <c r="A442" s="485">
        <v>46164</v>
      </c>
      <c r="B442" s="5" t="s">
        <v>140</v>
      </c>
      <c r="C442" s="49" t="s">
        <v>1456</v>
      </c>
      <c r="D442" s="59" t="s">
        <v>1454</v>
      </c>
      <c r="E442" s="59" t="s">
        <v>13</v>
      </c>
      <c r="F442" s="49">
        <v>5</v>
      </c>
      <c r="G442" s="49">
        <v>984000</v>
      </c>
      <c r="H442" s="7">
        <f t="shared" si="12"/>
        <v>4920000</v>
      </c>
      <c r="I442" s="67" t="s">
        <v>1632</v>
      </c>
      <c r="J442" s="59"/>
      <c r="K442" s="67"/>
      <c r="L442" s="59"/>
    </row>
    <row r="443" spans="1:12" x14ac:dyDescent="0.4">
      <c r="A443" s="485">
        <v>46164</v>
      </c>
      <c r="B443" s="5" t="s">
        <v>140</v>
      </c>
      <c r="C443" s="629" t="s">
        <v>1449</v>
      </c>
      <c r="D443" s="42" t="s">
        <v>1457</v>
      </c>
      <c r="E443" s="1" t="s">
        <v>13</v>
      </c>
      <c r="F443" s="36">
        <v>2</v>
      </c>
      <c r="G443" s="7">
        <v>227500</v>
      </c>
      <c r="H443" s="7">
        <f t="shared" si="12"/>
        <v>455000</v>
      </c>
      <c r="I443" s="67" t="s">
        <v>1632</v>
      </c>
      <c r="J443" s="59"/>
      <c r="K443" s="67"/>
      <c r="L443" s="59"/>
    </row>
    <row r="444" spans="1:12" x14ac:dyDescent="0.4">
      <c r="A444" s="485">
        <v>46171</v>
      </c>
      <c r="B444" s="5" t="s">
        <v>140</v>
      </c>
      <c r="C444" s="630" t="s">
        <v>553</v>
      </c>
      <c r="D444" s="1" t="s">
        <v>1455</v>
      </c>
      <c r="E444" s="1" t="s">
        <v>13</v>
      </c>
      <c r="F444" s="36">
        <v>2</v>
      </c>
      <c r="G444" s="36">
        <v>973200</v>
      </c>
      <c r="H444" s="7">
        <f t="shared" si="12"/>
        <v>1946400</v>
      </c>
      <c r="I444" s="67" t="s">
        <v>1632</v>
      </c>
      <c r="J444" s="59"/>
      <c r="K444" s="67"/>
      <c r="L444" s="628" t="s">
        <v>1247</v>
      </c>
    </row>
    <row r="445" spans="1:12" x14ac:dyDescent="0.4">
      <c r="A445" s="485">
        <v>46171</v>
      </c>
      <c r="B445" s="7" t="s">
        <v>140</v>
      </c>
      <c r="C445" s="49" t="s">
        <v>580</v>
      </c>
      <c r="D445" s="59" t="s">
        <v>1454</v>
      </c>
      <c r="E445" s="59" t="s">
        <v>13</v>
      </c>
      <c r="F445" s="49">
        <v>2</v>
      </c>
      <c r="G445" s="49">
        <v>984000</v>
      </c>
      <c r="H445" s="7">
        <f t="shared" si="12"/>
        <v>1968000</v>
      </c>
      <c r="I445" s="67" t="s">
        <v>1632</v>
      </c>
      <c r="J445" s="59"/>
      <c r="K445" s="67"/>
      <c r="L445" s="628" t="s">
        <v>1247</v>
      </c>
    </row>
    <row r="446" spans="1:12" x14ac:dyDescent="0.4">
      <c r="A446" s="485">
        <v>46171</v>
      </c>
      <c r="B446" s="7" t="s">
        <v>140</v>
      </c>
      <c r="C446" s="6" t="s">
        <v>1448</v>
      </c>
      <c r="D446" s="1" t="s">
        <v>1452</v>
      </c>
      <c r="E446" s="1" t="s">
        <v>13</v>
      </c>
      <c r="F446" s="36">
        <v>14</v>
      </c>
      <c r="G446" s="8">
        <v>202000</v>
      </c>
      <c r="H446" s="36">
        <f>G446*F446</f>
        <v>2828000</v>
      </c>
      <c r="I446" s="67" t="s">
        <v>1632</v>
      </c>
      <c r="J446" s="631"/>
      <c r="K446" s="607"/>
      <c r="L446" s="631"/>
    </row>
    <row r="447" spans="1:12" s="50" customFormat="1" ht="18.75" customHeight="1" x14ac:dyDescent="0.4">
      <c r="A447" s="485">
        <v>46174</v>
      </c>
      <c r="B447" s="5" t="s">
        <v>140</v>
      </c>
      <c r="C447" s="525" t="s">
        <v>1575</v>
      </c>
      <c r="D447" s="59" t="s">
        <v>242</v>
      </c>
      <c r="E447" s="59" t="s">
        <v>13</v>
      </c>
      <c r="F447" s="525">
        <v>9</v>
      </c>
      <c r="G447" s="525">
        <v>175300</v>
      </c>
      <c r="H447" s="525">
        <f t="shared" ref="H447:H474" si="13">F447*G447</f>
        <v>1577700</v>
      </c>
      <c r="I447" s="67" t="s">
        <v>1632</v>
      </c>
      <c r="J447" s="67"/>
      <c r="K447" s="67"/>
      <c r="L447" s="67"/>
    </row>
    <row r="448" spans="1:12" s="50" customFormat="1" ht="18.75" customHeight="1" x14ac:dyDescent="0.4">
      <c r="A448" s="485">
        <v>46174</v>
      </c>
      <c r="B448" s="5" t="s">
        <v>140</v>
      </c>
      <c r="C448" s="6" t="s">
        <v>1448</v>
      </c>
      <c r="D448" s="1" t="s">
        <v>243</v>
      </c>
      <c r="E448" s="1" t="s">
        <v>13</v>
      </c>
      <c r="F448" s="36">
        <v>14</v>
      </c>
      <c r="G448" s="8">
        <v>202000</v>
      </c>
      <c r="H448" s="525">
        <f t="shared" si="13"/>
        <v>2828000</v>
      </c>
      <c r="I448" s="67" t="s">
        <v>1632</v>
      </c>
      <c r="J448" s="67"/>
      <c r="K448" s="67"/>
      <c r="L448" s="67"/>
    </row>
    <row r="449" spans="1:12" s="50" customFormat="1" ht="18.75" customHeight="1" x14ac:dyDescent="0.4">
      <c r="A449" s="485">
        <v>46177</v>
      </c>
      <c r="B449" s="110" t="s">
        <v>140</v>
      </c>
      <c r="C449" s="29" t="s">
        <v>1576</v>
      </c>
      <c r="D449" s="110" t="s">
        <v>772</v>
      </c>
      <c r="E449" s="110" t="s">
        <v>13</v>
      </c>
      <c r="F449" s="533">
        <v>2</v>
      </c>
      <c r="G449" s="525">
        <v>633000</v>
      </c>
      <c r="H449" s="525">
        <f t="shared" si="13"/>
        <v>1266000</v>
      </c>
      <c r="I449" s="67" t="s">
        <v>1632</v>
      </c>
      <c r="J449" s="67"/>
      <c r="K449" s="67"/>
      <c r="L449" s="67"/>
    </row>
    <row r="450" spans="1:12" s="50" customFormat="1" ht="18.75" customHeight="1" x14ac:dyDescent="0.4">
      <c r="A450" s="485">
        <v>46181</v>
      </c>
      <c r="B450" s="5" t="s">
        <v>140</v>
      </c>
      <c r="C450" s="6" t="s">
        <v>641</v>
      </c>
      <c r="D450" s="1" t="s">
        <v>244</v>
      </c>
      <c r="E450" s="1" t="s">
        <v>13</v>
      </c>
      <c r="F450" s="36">
        <v>1</v>
      </c>
      <c r="G450" s="36">
        <v>973200</v>
      </c>
      <c r="H450" s="525">
        <f t="shared" si="13"/>
        <v>973200</v>
      </c>
      <c r="I450" s="67" t="s">
        <v>1632</v>
      </c>
      <c r="J450" s="67"/>
      <c r="K450" s="67"/>
      <c r="L450" s="67"/>
    </row>
    <row r="451" spans="1:12" s="50" customFormat="1" ht="18.75" customHeight="1" x14ac:dyDescent="0.4">
      <c r="A451" s="485">
        <v>46181</v>
      </c>
      <c r="B451" s="5" t="s">
        <v>140</v>
      </c>
      <c r="C451" s="6" t="s">
        <v>1448</v>
      </c>
      <c r="D451" s="1" t="s">
        <v>243</v>
      </c>
      <c r="E451" s="1" t="s">
        <v>13</v>
      </c>
      <c r="F451" s="36">
        <v>14</v>
      </c>
      <c r="G451" s="8">
        <v>202000</v>
      </c>
      <c r="H451" s="525">
        <f t="shared" si="13"/>
        <v>2828000</v>
      </c>
      <c r="I451" s="67" t="s">
        <v>1632</v>
      </c>
      <c r="J451" s="67"/>
      <c r="K451" s="67"/>
      <c r="L451" s="67"/>
    </row>
    <row r="452" spans="1:12" s="50" customFormat="1" ht="18.75" customHeight="1" x14ac:dyDescent="0.4">
      <c r="A452" s="485">
        <v>46181</v>
      </c>
      <c r="B452" s="110" t="s">
        <v>140</v>
      </c>
      <c r="C452" s="29" t="s">
        <v>1576</v>
      </c>
      <c r="D452" s="110" t="s">
        <v>772</v>
      </c>
      <c r="E452" s="110" t="s">
        <v>13</v>
      </c>
      <c r="F452" s="533">
        <v>1</v>
      </c>
      <c r="G452" s="525">
        <v>633000</v>
      </c>
      <c r="H452" s="525">
        <f t="shared" si="13"/>
        <v>633000</v>
      </c>
      <c r="I452" s="67" t="s">
        <v>1632</v>
      </c>
      <c r="J452" s="67"/>
      <c r="K452" s="67"/>
      <c r="L452" s="67"/>
    </row>
    <row r="453" spans="1:12" s="50" customFormat="1" ht="18.75" customHeight="1" x14ac:dyDescent="0.4">
      <c r="A453" s="485">
        <v>46183</v>
      </c>
      <c r="B453" s="5" t="s">
        <v>140</v>
      </c>
      <c r="C453" s="395" t="s">
        <v>1577</v>
      </c>
      <c r="D453" s="46" t="s">
        <v>1578</v>
      </c>
      <c r="E453" s="46" t="s">
        <v>775</v>
      </c>
      <c r="F453" s="705">
        <v>1</v>
      </c>
      <c r="G453" s="705">
        <v>423620</v>
      </c>
      <c r="H453" s="525">
        <f t="shared" si="13"/>
        <v>423620</v>
      </c>
      <c r="I453" s="67" t="s">
        <v>1632</v>
      </c>
      <c r="J453" s="67"/>
      <c r="K453" s="67"/>
      <c r="L453" s="547" t="s">
        <v>1247</v>
      </c>
    </row>
    <row r="454" spans="1:12" s="50" customFormat="1" ht="18.75" customHeight="1" x14ac:dyDescent="0.4">
      <c r="A454" s="485">
        <v>46183</v>
      </c>
      <c r="B454" s="7" t="s">
        <v>140</v>
      </c>
      <c r="C454" s="525" t="s">
        <v>1575</v>
      </c>
      <c r="D454" s="59" t="s">
        <v>242</v>
      </c>
      <c r="E454" s="59" t="s">
        <v>13</v>
      </c>
      <c r="F454" s="525">
        <v>1</v>
      </c>
      <c r="G454" s="525">
        <v>175300</v>
      </c>
      <c r="H454" s="525">
        <f t="shared" si="13"/>
        <v>175300</v>
      </c>
      <c r="I454" s="67" t="s">
        <v>1632</v>
      </c>
      <c r="J454" s="67"/>
      <c r="K454" s="67"/>
      <c r="L454" s="547" t="s">
        <v>1247</v>
      </c>
    </row>
    <row r="455" spans="1:12" s="50" customFormat="1" ht="18.75" customHeight="1" x14ac:dyDescent="0.4">
      <c r="A455" s="485">
        <v>46183</v>
      </c>
      <c r="B455" s="110" t="s">
        <v>140</v>
      </c>
      <c r="C455" s="395" t="s">
        <v>773</v>
      </c>
      <c r="D455" s="46" t="s">
        <v>774</v>
      </c>
      <c r="E455" s="46" t="s">
        <v>775</v>
      </c>
      <c r="F455" s="564">
        <v>20</v>
      </c>
      <c r="G455" s="533">
        <v>69700</v>
      </c>
      <c r="H455" s="525">
        <f t="shared" si="13"/>
        <v>1394000</v>
      </c>
      <c r="I455" s="67" t="s">
        <v>1632</v>
      </c>
      <c r="J455" s="67"/>
      <c r="K455" s="67"/>
      <c r="L455" s="547" t="s">
        <v>1247</v>
      </c>
    </row>
    <row r="456" spans="1:12" s="50" customFormat="1" ht="18.75" customHeight="1" x14ac:dyDescent="0.4">
      <c r="A456" s="485">
        <v>46183</v>
      </c>
      <c r="B456" s="5" t="s">
        <v>140</v>
      </c>
      <c r="C456" s="6" t="s">
        <v>641</v>
      </c>
      <c r="D456" s="1" t="s">
        <v>244</v>
      </c>
      <c r="E456" s="1" t="s">
        <v>13</v>
      </c>
      <c r="F456" s="36">
        <v>1</v>
      </c>
      <c r="G456" s="36">
        <v>973200</v>
      </c>
      <c r="H456" s="525">
        <f t="shared" si="13"/>
        <v>973200</v>
      </c>
      <c r="I456" s="67" t="s">
        <v>1632</v>
      </c>
      <c r="J456" s="67"/>
      <c r="K456" s="67"/>
      <c r="L456" s="547" t="s">
        <v>1247</v>
      </c>
    </row>
    <row r="457" spans="1:12" s="50" customFormat="1" ht="18.75" customHeight="1" x14ac:dyDescent="0.4">
      <c r="A457" s="485">
        <v>46185</v>
      </c>
      <c r="B457" s="5" t="s">
        <v>140</v>
      </c>
      <c r="C457" s="6" t="s">
        <v>1449</v>
      </c>
      <c r="D457" s="1" t="s">
        <v>244</v>
      </c>
      <c r="E457" s="1" t="s">
        <v>13</v>
      </c>
      <c r="F457" s="36">
        <v>1</v>
      </c>
      <c r="G457" s="36">
        <v>227500</v>
      </c>
      <c r="H457" s="525">
        <f t="shared" si="13"/>
        <v>227500</v>
      </c>
      <c r="I457" s="67" t="s">
        <v>1632</v>
      </c>
      <c r="J457" s="67"/>
      <c r="K457" s="67"/>
      <c r="L457" s="547" t="s">
        <v>1247</v>
      </c>
    </row>
    <row r="458" spans="1:12" s="50" customFormat="1" ht="18.75" customHeight="1" x14ac:dyDescent="0.4">
      <c r="A458" s="485">
        <v>46189</v>
      </c>
      <c r="B458" s="7" t="s">
        <v>140</v>
      </c>
      <c r="C458" s="525" t="s">
        <v>1575</v>
      </c>
      <c r="D458" s="59" t="s">
        <v>242</v>
      </c>
      <c r="E458" s="59" t="s">
        <v>13</v>
      </c>
      <c r="F458" s="525">
        <v>6</v>
      </c>
      <c r="G458" s="525">
        <v>175300</v>
      </c>
      <c r="H458" s="525">
        <f t="shared" si="13"/>
        <v>1051800</v>
      </c>
      <c r="I458" s="67" t="s">
        <v>1632</v>
      </c>
      <c r="J458" s="67"/>
      <c r="K458" s="67"/>
      <c r="L458" s="547" t="s">
        <v>1247</v>
      </c>
    </row>
    <row r="459" spans="1:12" s="50" customFormat="1" ht="18.75" customHeight="1" x14ac:dyDescent="0.4">
      <c r="A459" s="485">
        <v>46189</v>
      </c>
      <c r="B459" s="110" t="s">
        <v>140</v>
      </c>
      <c r="C459" s="395" t="s">
        <v>773</v>
      </c>
      <c r="D459" s="46" t="s">
        <v>774</v>
      </c>
      <c r="E459" s="46" t="s">
        <v>775</v>
      </c>
      <c r="F459" s="564">
        <v>13</v>
      </c>
      <c r="G459" s="533">
        <v>69700</v>
      </c>
      <c r="H459" s="525">
        <f t="shared" si="13"/>
        <v>906100</v>
      </c>
      <c r="I459" s="67" t="s">
        <v>1632</v>
      </c>
      <c r="J459" s="67"/>
      <c r="K459" s="67"/>
      <c r="L459" s="547" t="s">
        <v>1247</v>
      </c>
    </row>
    <row r="460" spans="1:12" s="50" customFormat="1" ht="18.75" customHeight="1" x14ac:dyDescent="0.4">
      <c r="A460" s="485">
        <v>46189</v>
      </c>
      <c r="B460" s="5" t="s">
        <v>140</v>
      </c>
      <c r="C460" s="67" t="s">
        <v>1579</v>
      </c>
      <c r="D460" s="1" t="s">
        <v>245</v>
      </c>
      <c r="E460" s="1" t="s">
        <v>13</v>
      </c>
      <c r="F460" s="36">
        <v>7</v>
      </c>
      <c r="G460" s="7">
        <v>630500</v>
      </c>
      <c r="H460" s="525">
        <f t="shared" si="13"/>
        <v>4413500</v>
      </c>
      <c r="I460" s="67" t="s">
        <v>1632</v>
      </c>
      <c r="J460" s="67"/>
      <c r="K460" s="67"/>
      <c r="L460" s="547" t="s">
        <v>1247</v>
      </c>
    </row>
    <row r="461" spans="1:12" s="50" customFormat="1" ht="18.75" customHeight="1" x14ac:dyDescent="0.4">
      <c r="A461" s="485">
        <v>46189</v>
      </c>
      <c r="B461" s="7" t="s">
        <v>140</v>
      </c>
      <c r="C461" s="525" t="s">
        <v>1456</v>
      </c>
      <c r="D461" s="59" t="s">
        <v>581</v>
      </c>
      <c r="E461" s="59" t="s">
        <v>13</v>
      </c>
      <c r="F461" s="525">
        <v>5</v>
      </c>
      <c r="G461" s="525">
        <v>984000</v>
      </c>
      <c r="H461" s="525">
        <f t="shared" si="13"/>
        <v>4920000</v>
      </c>
      <c r="I461" s="67" t="s">
        <v>1632</v>
      </c>
      <c r="J461" s="67"/>
      <c r="K461" s="67"/>
      <c r="L461" s="547" t="s">
        <v>1247</v>
      </c>
    </row>
    <row r="462" spans="1:12" s="50" customFormat="1" ht="18.75" customHeight="1" x14ac:dyDescent="0.4">
      <c r="A462" s="485">
        <v>46189</v>
      </c>
      <c r="B462" s="110" t="s">
        <v>140</v>
      </c>
      <c r="C462" s="29" t="s">
        <v>1576</v>
      </c>
      <c r="D462" s="110" t="s">
        <v>772</v>
      </c>
      <c r="E462" s="110" t="s">
        <v>13</v>
      </c>
      <c r="F462" s="533">
        <v>5</v>
      </c>
      <c r="G462" s="525">
        <v>633000</v>
      </c>
      <c r="H462" s="525">
        <f t="shared" si="13"/>
        <v>3165000</v>
      </c>
      <c r="I462" s="67" t="s">
        <v>1632</v>
      </c>
      <c r="J462" s="67"/>
      <c r="K462" s="67"/>
      <c r="L462" s="547" t="s">
        <v>1247</v>
      </c>
    </row>
    <row r="463" spans="1:12" s="50" customFormat="1" ht="18.75" customHeight="1" x14ac:dyDescent="0.4">
      <c r="A463" s="485">
        <v>46190</v>
      </c>
      <c r="B463" s="7" t="s">
        <v>140</v>
      </c>
      <c r="C463" s="49" t="s">
        <v>1575</v>
      </c>
      <c r="D463" s="59" t="s">
        <v>242</v>
      </c>
      <c r="E463" s="59" t="s">
        <v>13</v>
      </c>
      <c r="F463" s="49">
        <v>2</v>
      </c>
      <c r="G463" s="49">
        <v>175300</v>
      </c>
      <c r="H463" s="525">
        <f t="shared" si="13"/>
        <v>350600</v>
      </c>
      <c r="I463" s="67" t="s">
        <v>1632</v>
      </c>
      <c r="J463" s="67"/>
      <c r="K463" s="67"/>
      <c r="L463" s="547" t="s">
        <v>1247</v>
      </c>
    </row>
    <row r="464" spans="1:12" s="50" customFormat="1" ht="18.75" customHeight="1" x14ac:dyDescent="0.4">
      <c r="A464" s="485">
        <v>46190</v>
      </c>
      <c r="B464" s="5" t="s">
        <v>140</v>
      </c>
      <c r="C464" s="630" t="s">
        <v>641</v>
      </c>
      <c r="D464" s="1" t="s">
        <v>244</v>
      </c>
      <c r="E464" s="1" t="s">
        <v>13</v>
      </c>
      <c r="F464" s="36">
        <v>1</v>
      </c>
      <c r="G464" s="36">
        <v>973200</v>
      </c>
      <c r="H464" s="525">
        <f t="shared" si="13"/>
        <v>973200</v>
      </c>
      <c r="I464" s="67" t="s">
        <v>1632</v>
      </c>
      <c r="J464" s="67"/>
      <c r="K464" s="67"/>
      <c r="L464" s="547" t="s">
        <v>1247</v>
      </c>
    </row>
    <row r="465" spans="1:13" s="50" customFormat="1" ht="18.75" customHeight="1" x14ac:dyDescent="0.4">
      <c r="A465" s="485">
        <v>46190</v>
      </c>
      <c r="B465" s="7" t="s">
        <v>140</v>
      </c>
      <c r="C465" s="49" t="s">
        <v>1456</v>
      </c>
      <c r="D465" s="59" t="s">
        <v>581</v>
      </c>
      <c r="E465" s="59" t="s">
        <v>13</v>
      </c>
      <c r="F465" s="49">
        <v>3</v>
      </c>
      <c r="G465" s="49">
        <v>984000</v>
      </c>
      <c r="H465" s="525">
        <f t="shared" si="13"/>
        <v>2952000</v>
      </c>
      <c r="I465" s="67" t="s">
        <v>1632</v>
      </c>
      <c r="J465" s="67"/>
      <c r="K465" s="67"/>
      <c r="L465" s="547" t="s">
        <v>1247</v>
      </c>
    </row>
    <row r="466" spans="1:13" s="50" customFormat="1" ht="18.75" customHeight="1" x14ac:dyDescent="0.4">
      <c r="A466" s="485">
        <v>46195</v>
      </c>
      <c r="B466" s="5" t="s">
        <v>140</v>
      </c>
      <c r="C466" s="67" t="s">
        <v>554</v>
      </c>
      <c r="D466" s="1" t="s">
        <v>245</v>
      </c>
      <c r="E466" s="1" t="s">
        <v>13</v>
      </c>
      <c r="F466" s="36">
        <v>1</v>
      </c>
      <c r="G466" s="7">
        <v>630500</v>
      </c>
      <c r="H466" s="525">
        <f t="shared" si="13"/>
        <v>630500</v>
      </c>
      <c r="I466" s="67" t="s">
        <v>1632</v>
      </c>
      <c r="J466" s="67"/>
      <c r="K466" s="67"/>
      <c r="L466" s="547" t="s">
        <v>1247</v>
      </c>
    </row>
    <row r="467" spans="1:13" s="50" customFormat="1" ht="18.75" customHeight="1" x14ac:dyDescent="0.4">
      <c r="A467" s="485">
        <v>46195</v>
      </c>
      <c r="B467" s="7" t="s">
        <v>140</v>
      </c>
      <c r="C467" s="49" t="s">
        <v>580</v>
      </c>
      <c r="D467" s="59" t="s">
        <v>581</v>
      </c>
      <c r="E467" s="59" t="s">
        <v>13</v>
      </c>
      <c r="F467" s="49">
        <v>7</v>
      </c>
      <c r="G467" s="49">
        <v>984000</v>
      </c>
      <c r="H467" s="525">
        <f t="shared" si="13"/>
        <v>6888000</v>
      </c>
      <c r="I467" s="67" t="s">
        <v>1632</v>
      </c>
      <c r="J467" s="67"/>
      <c r="K467" s="67"/>
      <c r="L467" s="547" t="s">
        <v>1247</v>
      </c>
    </row>
    <row r="468" spans="1:13" s="50" customFormat="1" ht="18.75" customHeight="1" x14ac:dyDescent="0.4">
      <c r="A468" s="485">
        <v>46195</v>
      </c>
      <c r="B468" s="110" t="s">
        <v>140</v>
      </c>
      <c r="C468" s="29" t="s">
        <v>771</v>
      </c>
      <c r="D468" s="110" t="s">
        <v>772</v>
      </c>
      <c r="E468" s="110" t="s">
        <v>13</v>
      </c>
      <c r="F468" s="81">
        <v>2</v>
      </c>
      <c r="G468" s="49">
        <v>633000</v>
      </c>
      <c r="H468" s="525">
        <f t="shared" si="13"/>
        <v>1266000</v>
      </c>
      <c r="I468" s="67" t="s">
        <v>1632</v>
      </c>
      <c r="J468" s="67"/>
      <c r="K468" s="144"/>
      <c r="L468" s="547" t="s">
        <v>1247</v>
      </c>
    </row>
    <row r="469" spans="1:13" s="50" customFormat="1" ht="18.75" customHeight="1" x14ac:dyDescent="0.4">
      <c r="A469" s="485">
        <v>46199</v>
      </c>
      <c r="B469" s="5" t="s">
        <v>140</v>
      </c>
      <c r="C469" s="67" t="s">
        <v>554</v>
      </c>
      <c r="D469" s="1" t="s">
        <v>245</v>
      </c>
      <c r="E469" s="1" t="s">
        <v>13</v>
      </c>
      <c r="F469" s="36">
        <v>3</v>
      </c>
      <c r="G469" s="7">
        <v>630500</v>
      </c>
      <c r="H469" s="525">
        <f t="shared" si="13"/>
        <v>1891500</v>
      </c>
      <c r="I469" s="67" t="s">
        <v>1632</v>
      </c>
      <c r="J469" s="67"/>
      <c r="K469" s="144"/>
      <c r="L469" s="547" t="s">
        <v>1247</v>
      </c>
    </row>
    <row r="470" spans="1:13" s="50" customFormat="1" ht="18.75" customHeight="1" x14ac:dyDescent="0.4">
      <c r="A470" s="485">
        <v>46199</v>
      </c>
      <c r="B470" s="5" t="s">
        <v>140</v>
      </c>
      <c r="C470" s="49" t="s">
        <v>580</v>
      </c>
      <c r="D470" s="59" t="s">
        <v>581</v>
      </c>
      <c r="E470" s="59" t="s">
        <v>13</v>
      </c>
      <c r="F470" s="49">
        <v>3</v>
      </c>
      <c r="G470" s="49">
        <v>984000</v>
      </c>
      <c r="H470" s="525">
        <f t="shared" si="13"/>
        <v>2952000</v>
      </c>
      <c r="I470" s="67" t="s">
        <v>1632</v>
      </c>
      <c r="J470" s="67"/>
      <c r="K470" s="67"/>
      <c r="L470" s="547" t="s">
        <v>1247</v>
      </c>
    </row>
    <row r="471" spans="1:13" s="50" customFormat="1" ht="18.75" customHeight="1" x14ac:dyDescent="0.4">
      <c r="A471" s="485">
        <v>46202</v>
      </c>
      <c r="B471" s="5" t="s">
        <v>140</v>
      </c>
      <c r="C471" s="49" t="s">
        <v>1580</v>
      </c>
      <c r="D471" s="59" t="s">
        <v>1581</v>
      </c>
      <c r="E471" s="59" t="s">
        <v>13</v>
      </c>
      <c r="F471" s="473">
        <v>15</v>
      </c>
      <c r="G471" s="49">
        <v>69700</v>
      </c>
      <c r="H471" s="525">
        <f t="shared" si="13"/>
        <v>1045500</v>
      </c>
      <c r="I471" s="67" t="s">
        <v>1632</v>
      </c>
      <c r="J471" s="67"/>
      <c r="K471" s="67"/>
      <c r="L471" s="547" t="s">
        <v>1582</v>
      </c>
    </row>
    <row r="472" spans="1:13" s="50" customFormat="1" ht="18.75" customHeight="1" x14ac:dyDescent="0.4">
      <c r="A472" s="485">
        <v>46202</v>
      </c>
      <c r="B472" s="5" t="s">
        <v>140</v>
      </c>
      <c r="C472" s="49" t="s">
        <v>1579</v>
      </c>
      <c r="D472" s="1" t="s">
        <v>245</v>
      </c>
      <c r="E472" s="59" t="s">
        <v>13</v>
      </c>
      <c r="F472" s="49">
        <v>8</v>
      </c>
      <c r="G472" s="49">
        <v>630500</v>
      </c>
      <c r="H472" s="525">
        <f t="shared" si="13"/>
        <v>5044000</v>
      </c>
      <c r="I472" s="67" t="s">
        <v>1632</v>
      </c>
      <c r="J472" s="67"/>
      <c r="K472" s="67"/>
      <c r="L472" s="547" t="s">
        <v>1582</v>
      </c>
    </row>
    <row r="473" spans="1:13" s="50" customFormat="1" ht="18.75" customHeight="1" x14ac:dyDescent="0.4">
      <c r="A473" s="485">
        <v>46203</v>
      </c>
      <c r="B473" s="110" t="s">
        <v>140</v>
      </c>
      <c r="C473" s="29" t="s">
        <v>1576</v>
      </c>
      <c r="D473" s="110" t="s">
        <v>772</v>
      </c>
      <c r="E473" s="110" t="s">
        <v>13</v>
      </c>
      <c r="F473" s="697">
        <v>7</v>
      </c>
      <c r="G473" s="49">
        <v>633000</v>
      </c>
      <c r="H473" s="525">
        <f t="shared" si="13"/>
        <v>4431000</v>
      </c>
      <c r="I473" s="67" t="s">
        <v>1645</v>
      </c>
      <c r="J473" s="67"/>
      <c r="K473" s="144"/>
      <c r="L473" s="547"/>
    </row>
    <row r="474" spans="1:13" s="50" customFormat="1" ht="18.75" customHeight="1" x14ac:dyDescent="0.4">
      <c r="A474" s="485">
        <v>46203</v>
      </c>
      <c r="B474" s="5" t="s">
        <v>140</v>
      </c>
      <c r="C474" s="67" t="s">
        <v>1579</v>
      </c>
      <c r="D474" s="1" t="s">
        <v>245</v>
      </c>
      <c r="E474" s="1" t="s">
        <v>13</v>
      </c>
      <c r="F474" s="64">
        <v>11</v>
      </c>
      <c r="G474" s="7">
        <v>630500</v>
      </c>
      <c r="H474" s="525">
        <f t="shared" si="13"/>
        <v>6935500</v>
      </c>
      <c r="I474" s="67" t="s">
        <v>1646</v>
      </c>
      <c r="J474" s="67"/>
      <c r="K474" s="144"/>
      <c r="L474" s="547"/>
    </row>
    <row r="475" spans="1:13" s="3" customFormat="1" ht="18.75" customHeight="1" x14ac:dyDescent="0.4">
      <c r="A475" s="483"/>
      <c r="B475" s="194"/>
      <c r="C475" s="40"/>
      <c r="D475" s="194"/>
      <c r="E475" s="194"/>
      <c r="F475" s="528"/>
      <c r="G475" s="529"/>
      <c r="H475" s="529">
        <f>SUM(H386:H408)</f>
        <v>60539420</v>
      </c>
      <c r="I475" s="138"/>
      <c r="J475" s="145"/>
      <c r="K475" s="145"/>
      <c r="L475" s="621"/>
      <c r="M475" s="89"/>
    </row>
    <row r="476" spans="1:13" s="50" customFormat="1" ht="19.5" customHeight="1" x14ac:dyDescent="0.4">
      <c r="A476" s="484">
        <v>46141</v>
      </c>
      <c r="B476" s="59" t="s">
        <v>141</v>
      </c>
      <c r="C476" s="49" t="s">
        <v>142</v>
      </c>
      <c r="D476" s="59">
        <v>40220976</v>
      </c>
      <c r="E476" s="59" t="s">
        <v>17</v>
      </c>
      <c r="F476" s="7">
        <v>36</v>
      </c>
      <c r="G476" s="49">
        <v>176943</v>
      </c>
      <c r="H476" s="36">
        <f t="shared" ref="H476:H481" si="14">F476*G476</f>
        <v>6369948</v>
      </c>
      <c r="I476" s="111" t="s">
        <v>1502</v>
      </c>
      <c r="J476" s="67"/>
      <c r="K476" s="67"/>
      <c r="L476" s="67" t="s">
        <v>1247</v>
      </c>
    </row>
    <row r="477" spans="1:13" s="3" customFormat="1" ht="18.75" customHeight="1" x14ac:dyDescent="0.4">
      <c r="A477" s="482">
        <v>46177</v>
      </c>
      <c r="B477" s="110" t="s">
        <v>141</v>
      </c>
      <c r="C477" s="29" t="s">
        <v>984</v>
      </c>
      <c r="D477" s="110">
        <v>40220977</v>
      </c>
      <c r="E477" s="110" t="s">
        <v>17</v>
      </c>
      <c r="F477" s="533">
        <v>211</v>
      </c>
      <c r="G477" s="525">
        <v>46089</v>
      </c>
      <c r="H477" s="7">
        <f t="shared" si="14"/>
        <v>9724779</v>
      </c>
      <c r="I477" s="525"/>
      <c r="J477" s="534"/>
      <c r="K477" s="144"/>
      <c r="L477" s="140">
        <v>0</v>
      </c>
      <c r="M477" s="89"/>
    </row>
    <row r="478" spans="1:13" s="3" customFormat="1" ht="18.75" customHeight="1" x14ac:dyDescent="0.4">
      <c r="A478" s="482">
        <v>46177</v>
      </c>
      <c r="B478" s="110" t="s">
        <v>141</v>
      </c>
      <c r="C478" s="29" t="s">
        <v>984</v>
      </c>
      <c r="D478" s="110">
        <v>40220977</v>
      </c>
      <c r="E478" s="110" t="s">
        <v>17</v>
      </c>
      <c r="F478" s="533">
        <v>-47</v>
      </c>
      <c r="G478" s="525">
        <v>46089</v>
      </c>
      <c r="H478" s="7">
        <f t="shared" si="14"/>
        <v>-2166183</v>
      </c>
      <c r="I478" s="525" t="s">
        <v>1583</v>
      </c>
      <c r="J478" s="534"/>
      <c r="K478" s="144"/>
      <c r="L478" s="140"/>
      <c r="M478" s="89"/>
    </row>
    <row r="479" spans="1:13" s="50" customFormat="1" ht="18.75" customHeight="1" x14ac:dyDescent="0.4">
      <c r="A479" s="484">
        <v>46192</v>
      </c>
      <c r="B479" s="59" t="s">
        <v>141</v>
      </c>
      <c r="C479" s="49" t="s">
        <v>142</v>
      </c>
      <c r="D479" s="59">
        <v>40220976</v>
      </c>
      <c r="E479" s="59" t="s">
        <v>17</v>
      </c>
      <c r="F479" s="7">
        <v>72</v>
      </c>
      <c r="G479" s="49">
        <v>176943</v>
      </c>
      <c r="H479" s="36">
        <f t="shared" si="14"/>
        <v>12739896</v>
      </c>
      <c r="I479" s="67" t="s">
        <v>1584</v>
      </c>
      <c r="J479" s="67"/>
      <c r="K479" s="67"/>
      <c r="L479" s="409">
        <v>0</v>
      </c>
    </row>
    <row r="480" spans="1:13" s="50" customFormat="1" ht="18.75" customHeight="1" x14ac:dyDescent="0.4">
      <c r="A480" s="484">
        <v>46198</v>
      </c>
      <c r="B480" s="59" t="s">
        <v>141</v>
      </c>
      <c r="C480" s="49" t="s">
        <v>142</v>
      </c>
      <c r="D480" s="59">
        <v>40220976</v>
      </c>
      <c r="E480" s="59" t="s">
        <v>17</v>
      </c>
      <c r="F480" s="7">
        <v>36</v>
      </c>
      <c r="G480" s="49">
        <v>176943</v>
      </c>
      <c r="H480" s="36">
        <f t="shared" si="14"/>
        <v>6369948</v>
      </c>
      <c r="I480" s="67" t="s">
        <v>1584</v>
      </c>
      <c r="J480" s="67"/>
      <c r="K480" s="67"/>
      <c r="L480" s="409">
        <v>0</v>
      </c>
    </row>
    <row r="481" spans="1:13" s="50" customFormat="1" ht="18.75" customHeight="1" x14ac:dyDescent="0.4">
      <c r="A481" s="484">
        <v>46202</v>
      </c>
      <c r="B481" s="59" t="s">
        <v>141</v>
      </c>
      <c r="C481" s="49" t="s">
        <v>142</v>
      </c>
      <c r="D481" s="59">
        <v>40220976</v>
      </c>
      <c r="E481" s="59" t="s">
        <v>17</v>
      </c>
      <c r="F481" s="7">
        <v>36</v>
      </c>
      <c r="G481" s="49">
        <v>176943</v>
      </c>
      <c r="H481" s="36">
        <f t="shared" si="14"/>
        <v>6369948</v>
      </c>
      <c r="I481" s="67" t="s">
        <v>1584</v>
      </c>
      <c r="J481" s="67"/>
      <c r="K481" s="67"/>
      <c r="L481" s="409">
        <v>0</v>
      </c>
    </row>
    <row r="482" spans="1:13" s="3" customFormat="1" ht="18.75" customHeight="1" x14ac:dyDescent="0.4">
      <c r="A482" s="483"/>
      <c r="B482" s="194"/>
      <c r="C482" s="40"/>
      <c r="D482" s="194"/>
      <c r="E482" s="194"/>
      <c r="F482" s="528">
        <v>164</v>
      </c>
      <c r="G482" s="529"/>
      <c r="H482" s="529">
        <f>SUM(H476:H481)</f>
        <v>39408336</v>
      </c>
      <c r="I482" s="529"/>
      <c r="J482" s="530"/>
      <c r="K482" s="145"/>
      <c r="L482" s="621"/>
      <c r="M482" s="89"/>
    </row>
    <row r="483" spans="1:13" s="3" customFormat="1" ht="18.75" customHeight="1" x14ac:dyDescent="0.4">
      <c r="A483" s="482">
        <v>46185</v>
      </c>
      <c r="B483" s="110" t="s">
        <v>782</v>
      </c>
      <c r="C483" s="29" t="s">
        <v>160</v>
      </c>
      <c r="D483" s="110" t="s">
        <v>255</v>
      </c>
      <c r="E483" s="110"/>
      <c r="F483" s="533">
        <v>10</v>
      </c>
      <c r="G483" s="525">
        <f>J483*L483</f>
        <v>395171.489</v>
      </c>
      <c r="H483" s="525">
        <f t="shared" ref="H483:H546" si="15">F483*G483</f>
        <v>3951714.89</v>
      </c>
      <c r="I483" s="525" t="s">
        <v>1585</v>
      </c>
      <c r="J483" s="534">
        <v>41410</v>
      </c>
      <c r="K483" s="144" t="s">
        <v>1586</v>
      </c>
      <c r="L483" s="409">
        <v>9.5428999999999995</v>
      </c>
      <c r="M483" s="89"/>
    </row>
    <row r="484" spans="1:13" s="3" customFormat="1" ht="18.75" customHeight="1" x14ac:dyDescent="0.4">
      <c r="A484" s="482">
        <v>46185</v>
      </c>
      <c r="B484" s="110" t="s">
        <v>782</v>
      </c>
      <c r="C484" s="29" t="s">
        <v>152</v>
      </c>
      <c r="D484" s="110" t="s">
        <v>263</v>
      </c>
      <c r="E484" s="110"/>
      <c r="F484" s="533">
        <v>4</v>
      </c>
      <c r="G484" s="525">
        <f t="shared" ref="G484:G547" si="16">J484*L484</f>
        <v>955626.00599999994</v>
      </c>
      <c r="H484" s="525">
        <f t="shared" si="15"/>
        <v>3822504.0239999997</v>
      </c>
      <c r="I484" s="525" t="s">
        <v>1174</v>
      </c>
      <c r="J484" s="534">
        <v>100140</v>
      </c>
      <c r="K484" s="144" t="s">
        <v>1586</v>
      </c>
      <c r="L484" s="409">
        <v>9.5428999999999995</v>
      </c>
      <c r="M484" s="89"/>
    </row>
    <row r="485" spans="1:13" s="3" customFormat="1" ht="18.75" customHeight="1" x14ac:dyDescent="0.4">
      <c r="A485" s="482">
        <v>46185</v>
      </c>
      <c r="B485" s="110" t="s">
        <v>782</v>
      </c>
      <c r="C485" s="29" t="s">
        <v>152</v>
      </c>
      <c r="D485" s="110" t="s">
        <v>159</v>
      </c>
      <c r="E485" s="110"/>
      <c r="F485" s="533">
        <v>4</v>
      </c>
      <c r="G485" s="525">
        <f t="shared" si="16"/>
        <v>955626.00599999994</v>
      </c>
      <c r="H485" s="525">
        <f t="shared" si="15"/>
        <v>3822504.0239999997</v>
      </c>
      <c r="I485" s="525" t="s">
        <v>1177</v>
      </c>
      <c r="J485" s="534">
        <v>100140</v>
      </c>
      <c r="K485" s="144" t="s">
        <v>1586</v>
      </c>
      <c r="L485" s="409">
        <v>9.5428999999999995</v>
      </c>
      <c r="M485" s="89"/>
    </row>
    <row r="486" spans="1:13" s="3" customFormat="1" ht="18.75" customHeight="1" x14ac:dyDescent="0.4">
      <c r="A486" s="482">
        <v>46185</v>
      </c>
      <c r="B486" s="110" t="s">
        <v>782</v>
      </c>
      <c r="C486" s="29" t="s">
        <v>152</v>
      </c>
      <c r="D486" s="110" t="s">
        <v>159</v>
      </c>
      <c r="E486" s="110"/>
      <c r="F486" s="533">
        <v>4</v>
      </c>
      <c r="G486" s="525">
        <f t="shared" si="16"/>
        <v>955626.00599999994</v>
      </c>
      <c r="H486" s="525">
        <f t="shared" si="15"/>
        <v>3822504.0239999997</v>
      </c>
      <c r="I486" s="525" t="s">
        <v>1180</v>
      </c>
      <c r="J486" s="534">
        <v>100140</v>
      </c>
      <c r="K486" s="144" t="s">
        <v>1586</v>
      </c>
      <c r="L486" s="409">
        <v>9.5428999999999995</v>
      </c>
      <c r="M486" s="89"/>
    </row>
    <row r="487" spans="1:13" s="3" customFormat="1" ht="18.75" customHeight="1" x14ac:dyDescent="0.4">
      <c r="A487" s="482">
        <v>46185</v>
      </c>
      <c r="B487" s="110" t="s">
        <v>782</v>
      </c>
      <c r="C487" s="29" t="s">
        <v>160</v>
      </c>
      <c r="D487" s="110" t="s">
        <v>274</v>
      </c>
      <c r="E487" s="110"/>
      <c r="F487" s="533">
        <v>8</v>
      </c>
      <c r="G487" s="525">
        <f t="shared" si="16"/>
        <v>519801.76299999998</v>
      </c>
      <c r="H487" s="525">
        <f t="shared" si="15"/>
        <v>4158414.1039999998</v>
      </c>
      <c r="I487" s="525" t="s">
        <v>1587</v>
      </c>
      <c r="J487" s="534">
        <v>54470</v>
      </c>
      <c r="K487" s="144" t="s">
        <v>1586</v>
      </c>
      <c r="L487" s="409">
        <v>9.5428999999999995</v>
      </c>
      <c r="M487" s="89"/>
    </row>
    <row r="488" spans="1:13" s="3" customFormat="1" ht="18.75" customHeight="1" x14ac:dyDescent="0.4">
      <c r="A488" s="482">
        <v>46185</v>
      </c>
      <c r="B488" s="110" t="s">
        <v>782</v>
      </c>
      <c r="C488" s="29" t="s">
        <v>160</v>
      </c>
      <c r="D488" s="110" t="s">
        <v>341</v>
      </c>
      <c r="E488" s="110"/>
      <c r="F488" s="533">
        <v>8</v>
      </c>
      <c r="G488" s="525">
        <f t="shared" si="16"/>
        <v>519801.76299999998</v>
      </c>
      <c r="H488" s="525">
        <f t="shared" si="15"/>
        <v>4158414.1039999998</v>
      </c>
      <c r="I488" s="525" t="s">
        <v>1588</v>
      </c>
      <c r="J488" s="534">
        <v>54470</v>
      </c>
      <c r="K488" s="144" t="s">
        <v>1586</v>
      </c>
      <c r="L488" s="409">
        <v>9.5428999999999995</v>
      </c>
      <c r="M488" s="89"/>
    </row>
    <row r="489" spans="1:13" s="3" customFormat="1" ht="18.75" customHeight="1" x14ac:dyDescent="0.4">
      <c r="A489" s="482">
        <v>46185</v>
      </c>
      <c r="B489" s="110" t="s">
        <v>782</v>
      </c>
      <c r="C489" s="29" t="s">
        <v>155</v>
      </c>
      <c r="D489" s="110" t="s">
        <v>253</v>
      </c>
      <c r="E489" s="110"/>
      <c r="F489" s="533">
        <v>1</v>
      </c>
      <c r="G489" s="525">
        <f t="shared" si="16"/>
        <v>3737572.2139999997</v>
      </c>
      <c r="H489" s="525">
        <f t="shared" si="15"/>
        <v>3737572.2139999997</v>
      </c>
      <c r="I489" s="525" t="s">
        <v>1589</v>
      </c>
      <c r="J489" s="534">
        <v>391660</v>
      </c>
      <c r="K489" s="144" t="s">
        <v>1586</v>
      </c>
      <c r="L489" s="409">
        <v>9.5428999999999995</v>
      </c>
      <c r="M489" s="89"/>
    </row>
    <row r="490" spans="1:13" s="3" customFormat="1" ht="18.75" customHeight="1" x14ac:dyDescent="0.4">
      <c r="A490" s="482">
        <v>46185</v>
      </c>
      <c r="B490" s="110" t="s">
        <v>782</v>
      </c>
      <c r="C490" s="29" t="s">
        <v>160</v>
      </c>
      <c r="D490" s="110" t="s">
        <v>340</v>
      </c>
      <c r="E490" s="110"/>
      <c r="F490" s="533">
        <v>1</v>
      </c>
      <c r="G490" s="525">
        <f t="shared" si="16"/>
        <v>403092.09599999996</v>
      </c>
      <c r="H490" s="525">
        <f t="shared" si="15"/>
        <v>403092.09599999996</v>
      </c>
      <c r="I490" s="525" t="s">
        <v>1589</v>
      </c>
      <c r="J490" s="534">
        <v>42240</v>
      </c>
      <c r="K490" s="144" t="s">
        <v>1586</v>
      </c>
      <c r="L490" s="409">
        <v>9.5428999999999995</v>
      </c>
      <c r="M490" s="89"/>
    </row>
    <row r="491" spans="1:13" s="3" customFormat="1" ht="18.75" customHeight="1" x14ac:dyDescent="0.4">
      <c r="A491" s="482">
        <v>46185</v>
      </c>
      <c r="B491" s="110" t="s">
        <v>782</v>
      </c>
      <c r="C491" s="29" t="s">
        <v>150</v>
      </c>
      <c r="D491" s="110" t="s">
        <v>256</v>
      </c>
      <c r="E491" s="110"/>
      <c r="F491" s="533">
        <v>1</v>
      </c>
      <c r="G491" s="525">
        <f t="shared" si="16"/>
        <v>1201260.2519999999</v>
      </c>
      <c r="H491" s="525">
        <f t="shared" si="15"/>
        <v>1201260.2519999999</v>
      </c>
      <c r="I491" s="525" t="s">
        <v>1589</v>
      </c>
      <c r="J491" s="534">
        <v>125880</v>
      </c>
      <c r="K491" s="144" t="s">
        <v>1586</v>
      </c>
      <c r="L491" s="409">
        <v>9.5428999999999995</v>
      </c>
      <c r="M491" s="89"/>
    </row>
    <row r="492" spans="1:13" s="3" customFormat="1" ht="18.75" customHeight="1" x14ac:dyDescent="0.4">
      <c r="A492" s="482">
        <v>46185</v>
      </c>
      <c r="B492" s="110" t="s">
        <v>782</v>
      </c>
      <c r="C492" s="29" t="s">
        <v>153</v>
      </c>
      <c r="D492" s="110" t="s">
        <v>269</v>
      </c>
      <c r="E492" s="110"/>
      <c r="F492" s="533">
        <v>1</v>
      </c>
      <c r="G492" s="525">
        <f t="shared" si="16"/>
        <v>1980247.179</v>
      </c>
      <c r="H492" s="525">
        <f t="shared" si="15"/>
        <v>1980247.179</v>
      </c>
      <c r="I492" s="525" t="s">
        <v>1589</v>
      </c>
      <c r="J492" s="534">
        <v>207510</v>
      </c>
      <c r="K492" s="144" t="s">
        <v>1586</v>
      </c>
      <c r="L492" s="409">
        <v>9.5428999999999995</v>
      </c>
      <c r="M492" s="89"/>
    </row>
    <row r="493" spans="1:13" s="3" customFormat="1" ht="18.75" customHeight="1" x14ac:dyDescent="0.4">
      <c r="A493" s="482">
        <v>46185</v>
      </c>
      <c r="B493" s="110" t="s">
        <v>782</v>
      </c>
      <c r="C493" s="29" t="s">
        <v>158</v>
      </c>
      <c r="D493" s="110" t="s">
        <v>252</v>
      </c>
      <c r="E493" s="110"/>
      <c r="F493" s="533">
        <v>1</v>
      </c>
      <c r="G493" s="525">
        <f t="shared" si="16"/>
        <v>3599581.88</v>
      </c>
      <c r="H493" s="525">
        <f t="shared" si="15"/>
        <v>3599581.88</v>
      </c>
      <c r="I493" s="525" t="s">
        <v>1589</v>
      </c>
      <c r="J493" s="534">
        <v>377200</v>
      </c>
      <c r="K493" s="144" t="s">
        <v>1586</v>
      </c>
      <c r="L493" s="409">
        <v>9.5428999999999995</v>
      </c>
      <c r="M493" s="89"/>
    </row>
    <row r="494" spans="1:13" s="3" customFormat="1" ht="18.75" customHeight="1" x14ac:dyDescent="0.4">
      <c r="A494" s="482">
        <v>46185</v>
      </c>
      <c r="B494" s="110" t="s">
        <v>782</v>
      </c>
      <c r="C494" s="29" t="s">
        <v>157</v>
      </c>
      <c r="D494" s="110" t="s">
        <v>259</v>
      </c>
      <c r="E494" s="110"/>
      <c r="F494" s="533">
        <v>1</v>
      </c>
      <c r="G494" s="525">
        <f t="shared" si="16"/>
        <v>3498808.8559999997</v>
      </c>
      <c r="H494" s="525">
        <f t="shared" si="15"/>
        <v>3498808.8559999997</v>
      </c>
      <c r="I494" s="525" t="s">
        <v>1589</v>
      </c>
      <c r="J494" s="534">
        <v>366640</v>
      </c>
      <c r="K494" s="144" t="s">
        <v>1586</v>
      </c>
      <c r="L494" s="409">
        <v>9.5428999999999995</v>
      </c>
      <c r="M494" s="89"/>
    </row>
    <row r="495" spans="1:13" s="3" customFormat="1" ht="18.75" customHeight="1" x14ac:dyDescent="0.4">
      <c r="A495" s="482">
        <v>46185</v>
      </c>
      <c r="B495" s="110" t="s">
        <v>782</v>
      </c>
      <c r="C495" s="29" t="s">
        <v>156</v>
      </c>
      <c r="D495" s="110" t="s">
        <v>271</v>
      </c>
      <c r="E495" s="110"/>
      <c r="F495" s="533">
        <v>1</v>
      </c>
      <c r="G495" s="525">
        <f t="shared" si="16"/>
        <v>1112892.9979999999</v>
      </c>
      <c r="H495" s="525">
        <f t="shared" si="15"/>
        <v>1112892.9979999999</v>
      </c>
      <c r="I495" s="525" t="s">
        <v>1590</v>
      </c>
      <c r="J495" s="534">
        <v>116620</v>
      </c>
      <c r="K495" s="144" t="s">
        <v>1586</v>
      </c>
      <c r="L495" s="409">
        <v>9.5428999999999995</v>
      </c>
      <c r="M495" s="89"/>
    </row>
    <row r="496" spans="1:13" s="3" customFormat="1" ht="18.75" customHeight="1" x14ac:dyDescent="0.4">
      <c r="A496" s="482">
        <v>46185</v>
      </c>
      <c r="B496" s="110" t="s">
        <v>782</v>
      </c>
      <c r="C496" s="29" t="s">
        <v>161</v>
      </c>
      <c r="D496" s="110" t="s">
        <v>1005</v>
      </c>
      <c r="E496" s="110"/>
      <c r="F496" s="533">
        <v>1</v>
      </c>
      <c r="G496" s="525">
        <f t="shared" si="16"/>
        <v>260425.74099999998</v>
      </c>
      <c r="H496" s="525">
        <f t="shared" si="15"/>
        <v>260425.74099999998</v>
      </c>
      <c r="I496" s="525" t="s">
        <v>1590</v>
      </c>
      <c r="J496" s="534">
        <v>27290</v>
      </c>
      <c r="K496" s="144" t="s">
        <v>1586</v>
      </c>
      <c r="L496" s="409">
        <v>9.5428999999999995</v>
      </c>
      <c r="M496" s="89"/>
    </row>
    <row r="497" spans="1:13" s="3" customFormat="1" ht="18.75" customHeight="1" x14ac:dyDescent="0.4">
      <c r="A497" s="482">
        <v>46185</v>
      </c>
      <c r="B497" s="110" t="s">
        <v>782</v>
      </c>
      <c r="C497" s="29" t="s">
        <v>157</v>
      </c>
      <c r="D497" s="110" t="s">
        <v>273</v>
      </c>
      <c r="E497" s="110"/>
      <c r="F497" s="533">
        <v>1</v>
      </c>
      <c r="G497" s="525">
        <f t="shared" si="16"/>
        <v>330470.62699999998</v>
      </c>
      <c r="H497" s="525">
        <f t="shared" si="15"/>
        <v>330470.62699999998</v>
      </c>
      <c r="I497" s="525" t="s">
        <v>1590</v>
      </c>
      <c r="J497" s="534">
        <v>34630</v>
      </c>
      <c r="K497" s="144" t="s">
        <v>1586</v>
      </c>
      <c r="L497" s="409">
        <v>9.5428999999999995</v>
      </c>
      <c r="M497" s="89"/>
    </row>
    <row r="498" spans="1:13" s="3" customFormat="1" ht="18.75" customHeight="1" x14ac:dyDescent="0.4">
      <c r="A498" s="482">
        <v>46185</v>
      </c>
      <c r="B498" s="110" t="s">
        <v>782</v>
      </c>
      <c r="C498" s="29" t="s">
        <v>155</v>
      </c>
      <c r="D498" s="110" t="s">
        <v>254</v>
      </c>
      <c r="E498" s="110"/>
      <c r="F498" s="533">
        <v>8</v>
      </c>
      <c r="G498" s="525">
        <f t="shared" si="16"/>
        <v>3737572.2139999997</v>
      </c>
      <c r="H498" s="525">
        <f t="shared" si="15"/>
        <v>29900577.711999997</v>
      </c>
      <c r="I498" s="525" t="s">
        <v>1479</v>
      </c>
      <c r="J498" s="534">
        <v>391660</v>
      </c>
      <c r="K498" s="144" t="s">
        <v>1586</v>
      </c>
      <c r="L498" s="409">
        <v>9.5428999999999995</v>
      </c>
      <c r="M498" s="89"/>
    </row>
    <row r="499" spans="1:13" s="3" customFormat="1" ht="18.75" customHeight="1" x14ac:dyDescent="0.4">
      <c r="A499" s="482">
        <v>46185</v>
      </c>
      <c r="B499" s="110" t="s">
        <v>782</v>
      </c>
      <c r="C499" s="29" t="s">
        <v>156</v>
      </c>
      <c r="D499" s="110" t="s">
        <v>261</v>
      </c>
      <c r="E499" s="110"/>
      <c r="F499" s="533">
        <v>1</v>
      </c>
      <c r="G499" s="525">
        <f t="shared" si="16"/>
        <v>2140758.7569999998</v>
      </c>
      <c r="H499" s="525">
        <f t="shared" si="15"/>
        <v>2140758.7569999998</v>
      </c>
      <c r="I499" s="525" t="s">
        <v>1481</v>
      </c>
      <c r="J499" s="534">
        <v>224330</v>
      </c>
      <c r="K499" s="144" t="s">
        <v>1586</v>
      </c>
      <c r="L499" s="409">
        <v>9.5428999999999995</v>
      </c>
      <c r="M499" s="89"/>
    </row>
    <row r="500" spans="1:13" s="3" customFormat="1" ht="18.75" customHeight="1" x14ac:dyDescent="0.4">
      <c r="A500" s="482">
        <v>46185</v>
      </c>
      <c r="B500" s="110" t="s">
        <v>782</v>
      </c>
      <c r="C500" s="29" t="s">
        <v>154</v>
      </c>
      <c r="D500" s="110" t="s">
        <v>266</v>
      </c>
      <c r="E500" s="110"/>
      <c r="F500" s="533">
        <v>1</v>
      </c>
      <c r="G500" s="525">
        <f t="shared" si="16"/>
        <v>4001433.3989999997</v>
      </c>
      <c r="H500" s="525">
        <f t="shared" si="15"/>
        <v>4001433.3989999997</v>
      </c>
      <c r="I500" s="525" t="s">
        <v>1340</v>
      </c>
      <c r="J500" s="534">
        <v>419310</v>
      </c>
      <c r="K500" s="144" t="s">
        <v>1586</v>
      </c>
      <c r="L500" s="409">
        <v>9.5428999999999995</v>
      </c>
      <c r="M500" s="89"/>
    </row>
    <row r="501" spans="1:13" s="3" customFormat="1" ht="18.75" customHeight="1" x14ac:dyDescent="0.4">
      <c r="A501" s="482">
        <v>46185</v>
      </c>
      <c r="B501" s="110" t="s">
        <v>782</v>
      </c>
      <c r="C501" s="29" t="s">
        <v>155</v>
      </c>
      <c r="D501" s="110" t="s">
        <v>254</v>
      </c>
      <c r="E501" s="110"/>
      <c r="F501" s="533">
        <v>1</v>
      </c>
      <c r="G501" s="525">
        <f t="shared" si="16"/>
        <v>3737572.2139999997</v>
      </c>
      <c r="H501" s="525">
        <f t="shared" si="15"/>
        <v>3737572.2139999997</v>
      </c>
      <c r="I501" s="525" t="s">
        <v>1214</v>
      </c>
      <c r="J501" s="534">
        <v>391660</v>
      </c>
      <c r="K501" s="144" t="s">
        <v>1586</v>
      </c>
      <c r="L501" s="409">
        <v>9.5428999999999995</v>
      </c>
      <c r="M501" s="89"/>
    </row>
    <row r="502" spans="1:13" s="3" customFormat="1" ht="18.75" customHeight="1" x14ac:dyDescent="0.4">
      <c r="A502" s="482">
        <v>46185</v>
      </c>
      <c r="B502" s="110" t="s">
        <v>782</v>
      </c>
      <c r="C502" s="29" t="s">
        <v>157</v>
      </c>
      <c r="D502" s="110" t="s">
        <v>270</v>
      </c>
      <c r="E502" s="110"/>
      <c r="F502" s="533">
        <v>2</v>
      </c>
      <c r="G502" s="525">
        <f t="shared" si="16"/>
        <v>3498808.8559999997</v>
      </c>
      <c r="H502" s="525">
        <f t="shared" si="15"/>
        <v>6997617.7119999994</v>
      </c>
      <c r="I502" s="525" t="s">
        <v>1214</v>
      </c>
      <c r="J502" s="534">
        <v>366640</v>
      </c>
      <c r="K502" s="144" t="s">
        <v>1586</v>
      </c>
      <c r="L502" s="409">
        <v>9.5428999999999995</v>
      </c>
      <c r="M502" s="89"/>
    </row>
    <row r="503" spans="1:13" s="3" customFormat="1" ht="18.75" customHeight="1" x14ac:dyDescent="0.4">
      <c r="A503" s="482">
        <v>46185</v>
      </c>
      <c r="B503" s="110" t="s">
        <v>782</v>
      </c>
      <c r="C503" s="29" t="s">
        <v>157</v>
      </c>
      <c r="D503" s="110" t="s">
        <v>259</v>
      </c>
      <c r="E503" s="110"/>
      <c r="F503" s="533">
        <v>2</v>
      </c>
      <c r="G503" s="525">
        <f t="shared" si="16"/>
        <v>3498808.8559999997</v>
      </c>
      <c r="H503" s="525">
        <f t="shared" si="15"/>
        <v>6997617.7119999994</v>
      </c>
      <c r="I503" s="525" t="s">
        <v>1333</v>
      </c>
      <c r="J503" s="534">
        <v>366640</v>
      </c>
      <c r="K503" s="144" t="s">
        <v>1586</v>
      </c>
      <c r="L503" s="409">
        <v>9.5428999999999995</v>
      </c>
      <c r="M503" s="89"/>
    </row>
    <row r="504" spans="1:13" s="3" customFormat="1" ht="18.75" customHeight="1" x14ac:dyDescent="0.4">
      <c r="A504" s="482">
        <v>46185</v>
      </c>
      <c r="B504" s="110" t="s">
        <v>782</v>
      </c>
      <c r="C504" s="29" t="s">
        <v>158</v>
      </c>
      <c r="D504" s="110" t="s">
        <v>339</v>
      </c>
      <c r="E504" s="110"/>
      <c r="F504" s="533">
        <v>3</v>
      </c>
      <c r="G504" s="525">
        <f t="shared" si="16"/>
        <v>3714096.6799999997</v>
      </c>
      <c r="H504" s="525">
        <f t="shared" si="15"/>
        <v>11142290.039999999</v>
      </c>
      <c r="I504" s="525" t="s">
        <v>1474</v>
      </c>
      <c r="J504" s="534">
        <v>389200</v>
      </c>
      <c r="K504" s="144" t="s">
        <v>1586</v>
      </c>
      <c r="L504" s="409">
        <v>9.5428999999999995</v>
      </c>
      <c r="M504" s="89"/>
    </row>
    <row r="505" spans="1:13" s="3" customFormat="1" ht="18.75" customHeight="1" x14ac:dyDescent="0.4">
      <c r="A505" s="482">
        <v>46185</v>
      </c>
      <c r="B505" s="110" t="s">
        <v>782</v>
      </c>
      <c r="C505" s="29" t="s">
        <v>153</v>
      </c>
      <c r="D505" s="110" t="s">
        <v>392</v>
      </c>
      <c r="E505" s="110"/>
      <c r="F505" s="533">
        <v>3</v>
      </c>
      <c r="G505" s="525">
        <f t="shared" si="16"/>
        <v>2999047.1829999997</v>
      </c>
      <c r="H505" s="525">
        <f t="shared" si="15"/>
        <v>8997141.5489999987</v>
      </c>
      <c r="I505" s="525" t="s">
        <v>1484</v>
      </c>
      <c r="J505" s="534">
        <v>314270</v>
      </c>
      <c r="K505" s="144" t="s">
        <v>1586</v>
      </c>
      <c r="L505" s="409">
        <v>9.5428999999999995</v>
      </c>
      <c r="M505" s="89"/>
    </row>
    <row r="506" spans="1:13" s="3" customFormat="1" ht="18.75" customHeight="1" x14ac:dyDescent="0.4">
      <c r="A506" s="482">
        <v>46185</v>
      </c>
      <c r="B506" s="110" t="s">
        <v>782</v>
      </c>
      <c r="C506" s="29" t="s">
        <v>158</v>
      </c>
      <c r="D506" s="110" t="s">
        <v>339</v>
      </c>
      <c r="E506" s="110"/>
      <c r="F506" s="533">
        <v>8</v>
      </c>
      <c r="G506" s="525">
        <f t="shared" si="16"/>
        <v>3714096.6799999997</v>
      </c>
      <c r="H506" s="525">
        <f t="shared" si="15"/>
        <v>29712773.439999998</v>
      </c>
      <c r="I506" s="525" t="s">
        <v>1484</v>
      </c>
      <c r="J506" s="534">
        <v>389200</v>
      </c>
      <c r="K506" s="144" t="s">
        <v>1586</v>
      </c>
      <c r="L506" s="409">
        <v>9.5428999999999995</v>
      </c>
      <c r="M506" s="89"/>
    </row>
    <row r="507" spans="1:13" s="3" customFormat="1" ht="18.75" customHeight="1" x14ac:dyDescent="0.4">
      <c r="A507" s="482">
        <v>46185</v>
      </c>
      <c r="B507" s="110" t="s">
        <v>782</v>
      </c>
      <c r="C507" s="29" t="s">
        <v>158</v>
      </c>
      <c r="D507" s="110" t="s">
        <v>339</v>
      </c>
      <c r="E507" s="110"/>
      <c r="F507" s="533">
        <v>8</v>
      </c>
      <c r="G507" s="525">
        <f t="shared" si="16"/>
        <v>3714096.6799999997</v>
      </c>
      <c r="H507" s="525">
        <f t="shared" si="15"/>
        <v>29712773.439999998</v>
      </c>
      <c r="I507" s="525" t="s">
        <v>1475</v>
      </c>
      <c r="J507" s="534">
        <v>389200</v>
      </c>
      <c r="K507" s="144" t="s">
        <v>1586</v>
      </c>
      <c r="L507" s="409">
        <v>9.5428999999999995</v>
      </c>
      <c r="M507" s="89"/>
    </row>
    <row r="508" spans="1:13" s="3" customFormat="1" ht="18.75" customHeight="1" x14ac:dyDescent="0.4">
      <c r="A508" s="482">
        <v>46192</v>
      </c>
      <c r="B508" s="110" t="s">
        <v>782</v>
      </c>
      <c r="C508" s="29" t="s">
        <v>160</v>
      </c>
      <c r="D508" s="110" t="s">
        <v>255</v>
      </c>
      <c r="E508" s="110"/>
      <c r="F508" s="533">
        <v>8</v>
      </c>
      <c r="G508" s="525">
        <f t="shared" si="16"/>
        <v>393597.90899999999</v>
      </c>
      <c r="H508" s="525">
        <f t="shared" si="15"/>
        <v>3148783.2719999999</v>
      </c>
      <c r="I508" s="525" t="s">
        <v>1169</v>
      </c>
      <c r="J508" s="534">
        <v>41410</v>
      </c>
      <c r="K508" s="144" t="s">
        <v>1591</v>
      </c>
      <c r="L508" s="409">
        <v>9.5048999999999992</v>
      </c>
      <c r="M508" s="89"/>
    </row>
    <row r="509" spans="1:13" s="3" customFormat="1" ht="18.75" customHeight="1" x14ac:dyDescent="0.4">
      <c r="A509" s="482">
        <v>46192</v>
      </c>
      <c r="B509" s="110" t="s">
        <v>782</v>
      </c>
      <c r="C509" s="29" t="s">
        <v>152</v>
      </c>
      <c r="D509" s="110" t="s">
        <v>263</v>
      </c>
      <c r="E509" s="110"/>
      <c r="F509" s="533">
        <v>4</v>
      </c>
      <c r="G509" s="525">
        <f t="shared" si="16"/>
        <v>949254.3629999999</v>
      </c>
      <c r="H509" s="525">
        <f t="shared" si="15"/>
        <v>3797017.4519999996</v>
      </c>
      <c r="I509" s="525" t="s">
        <v>1592</v>
      </c>
      <c r="J509" s="534">
        <v>99870</v>
      </c>
      <c r="K509" s="144" t="s">
        <v>1591</v>
      </c>
      <c r="L509" s="409">
        <v>9.5048999999999992</v>
      </c>
      <c r="M509" s="89"/>
    </row>
    <row r="510" spans="1:13" s="3" customFormat="1" ht="18.75" customHeight="1" x14ac:dyDescent="0.4">
      <c r="A510" s="482">
        <v>46192</v>
      </c>
      <c r="B510" s="110" t="s">
        <v>782</v>
      </c>
      <c r="C510" s="29" t="s">
        <v>160</v>
      </c>
      <c r="D510" s="110" t="s">
        <v>274</v>
      </c>
      <c r="E510" s="110"/>
      <c r="F510" s="533">
        <v>8</v>
      </c>
      <c r="G510" s="525">
        <f t="shared" si="16"/>
        <v>511648.76699999993</v>
      </c>
      <c r="H510" s="525">
        <f t="shared" si="15"/>
        <v>4093190.1359999995</v>
      </c>
      <c r="I510" s="525" t="s">
        <v>1178</v>
      </c>
      <c r="J510" s="534">
        <v>53830</v>
      </c>
      <c r="K510" s="144" t="s">
        <v>1591</v>
      </c>
      <c r="L510" s="409">
        <v>9.5048999999999992</v>
      </c>
      <c r="M510" s="89"/>
    </row>
    <row r="511" spans="1:13" s="3" customFormat="1" ht="18.75" customHeight="1" x14ac:dyDescent="0.4">
      <c r="A511" s="482">
        <v>46192</v>
      </c>
      <c r="B511" s="110" t="s">
        <v>782</v>
      </c>
      <c r="C511" s="29" t="s">
        <v>150</v>
      </c>
      <c r="D511" s="110" t="s">
        <v>257</v>
      </c>
      <c r="E511" s="110"/>
      <c r="F511" s="533">
        <v>8</v>
      </c>
      <c r="G511" s="525">
        <f t="shared" si="16"/>
        <v>1181078.8739999998</v>
      </c>
      <c r="H511" s="525">
        <f t="shared" si="15"/>
        <v>9448630.9919999987</v>
      </c>
      <c r="I511" s="525" t="s">
        <v>1195</v>
      </c>
      <c r="J511" s="534">
        <v>124260</v>
      </c>
      <c r="K511" s="144" t="s">
        <v>1591</v>
      </c>
      <c r="L511" s="409">
        <v>9.5048999999999992</v>
      </c>
      <c r="M511" s="89"/>
    </row>
    <row r="512" spans="1:13" s="3" customFormat="1" ht="18.75" customHeight="1" x14ac:dyDescent="0.4">
      <c r="A512" s="482">
        <v>46192</v>
      </c>
      <c r="B512" s="110" t="s">
        <v>782</v>
      </c>
      <c r="C512" s="29" t="s">
        <v>150</v>
      </c>
      <c r="D512" s="110" t="s">
        <v>257</v>
      </c>
      <c r="E512" s="110"/>
      <c r="F512" s="533">
        <v>8</v>
      </c>
      <c r="G512" s="525">
        <f t="shared" si="16"/>
        <v>1196476.8119999999</v>
      </c>
      <c r="H512" s="525">
        <f t="shared" si="15"/>
        <v>9571814.4959999993</v>
      </c>
      <c r="I512" s="525" t="s">
        <v>1356</v>
      </c>
      <c r="J512" s="534">
        <v>125880</v>
      </c>
      <c r="K512" s="144" t="s">
        <v>1591</v>
      </c>
      <c r="L512" s="409">
        <v>9.5048999999999992</v>
      </c>
      <c r="M512" s="89"/>
    </row>
    <row r="513" spans="1:13" s="3" customFormat="1" ht="18.75" customHeight="1" x14ac:dyDescent="0.4">
      <c r="A513" s="482">
        <v>46192</v>
      </c>
      <c r="B513" s="110" t="s">
        <v>782</v>
      </c>
      <c r="C513" s="29" t="s">
        <v>154</v>
      </c>
      <c r="D513" s="110" t="s">
        <v>267</v>
      </c>
      <c r="E513" s="110"/>
      <c r="F513" s="533">
        <v>1</v>
      </c>
      <c r="G513" s="525">
        <f t="shared" si="16"/>
        <v>3965444.28</v>
      </c>
      <c r="H513" s="525">
        <f t="shared" si="15"/>
        <v>3965444.28</v>
      </c>
      <c r="I513" s="525" t="s">
        <v>1589</v>
      </c>
      <c r="J513" s="534">
        <v>417200</v>
      </c>
      <c r="K513" s="144" t="s">
        <v>1591</v>
      </c>
      <c r="L513" s="409">
        <v>9.5048999999999992</v>
      </c>
      <c r="M513" s="89"/>
    </row>
    <row r="514" spans="1:13" s="3" customFormat="1" ht="18.75" customHeight="1" x14ac:dyDescent="0.4">
      <c r="A514" s="482">
        <v>46192</v>
      </c>
      <c r="B514" s="110" t="s">
        <v>782</v>
      </c>
      <c r="C514" s="29" t="s">
        <v>150</v>
      </c>
      <c r="D514" s="110" t="s">
        <v>334</v>
      </c>
      <c r="E514" s="110"/>
      <c r="F514" s="533">
        <v>1</v>
      </c>
      <c r="G514" s="525">
        <f t="shared" si="16"/>
        <v>314612.19</v>
      </c>
      <c r="H514" s="525">
        <f t="shared" si="15"/>
        <v>314612.19</v>
      </c>
      <c r="I514" s="525" t="s">
        <v>1590</v>
      </c>
      <c r="J514" s="534">
        <v>33100</v>
      </c>
      <c r="K514" s="144" t="s">
        <v>1591</v>
      </c>
      <c r="L514" s="409">
        <v>9.5048999999999992</v>
      </c>
      <c r="M514" s="89"/>
    </row>
    <row r="515" spans="1:13" s="3" customFormat="1" ht="18.75" customHeight="1" x14ac:dyDescent="0.4">
      <c r="A515" s="482">
        <v>46192</v>
      </c>
      <c r="B515" s="110" t="s">
        <v>782</v>
      </c>
      <c r="C515" s="29" t="s">
        <v>154</v>
      </c>
      <c r="D515" s="110" t="s">
        <v>1328</v>
      </c>
      <c r="E515" s="110"/>
      <c r="F515" s="533">
        <v>1</v>
      </c>
      <c r="G515" s="525">
        <f t="shared" si="16"/>
        <v>741952.49399999995</v>
      </c>
      <c r="H515" s="525">
        <f t="shared" si="15"/>
        <v>741952.49399999995</v>
      </c>
      <c r="I515" s="525" t="s">
        <v>1590</v>
      </c>
      <c r="J515" s="534">
        <v>78060</v>
      </c>
      <c r="K515" s="144" t="s">
        <v>1591</v>
      </c>
      <c r="L515" s="409">
        <v>9.5048999999999992</v>
      </c>
      <c r="M515" s="89"/>
    </row>
    <row r="516" spans="1:13" s="3" customFormat="1" ht="18.75" customHeight="1" x14ac:dyDescent="0.4">
      <c r="A516" s="482">
        <v>46192</v>
      </c>
      <c r="B516" s="110" t="s">
        <v>782</v>
      </c>
      <c r="C516" s="29" t="s">
        <v>150</v>
      </c>
      <c r="D516" s="110" t="s">
        <v>335</v>
      </c>
      <c r="E516" s="110"/>
      <c r="F516" s="533">
        <v>4</v>
      </c>
      <c r="G516" s="525">
        <f t="shared" si="16"/>
        <v>314612.19</v>
      </c>
      <c r="H516" s="525">
        <f t="shared" si="15"/>
        <v>1258448.76</v>
      </c>
      <c r="I516" s="525" t="s">
        <v>1199</v>
      </c>
      <c r="J516" s="534">
        <v>33100</v>
      </c>
      <c r="K516" s="144" t="s">
        <v>1591</v>
      </c>
      <c r="L516" s="409">
        <v>9.5048999999999992</v>
      </c>
      <c r="M516" s="89"/>
    </row>
    <row r="517" spans="1:13" s="3" customFormat="1" ht="18.75" customHeight="1" x14ac:dyDescent="0.4">
      <c r="A517" s="482">
        <v>46192</v>
      </c>
      <c r="B517" s="110" t="s">
        <v>782</v>
      </c>
      <c r="C517" s="29" t="s">
        <v>154</v>
      </c>
      <c r="D517" s="110" t="s">
        <v>266</v>
      </c>
      <c r="E517" s="110"/>
      <c r="F517" s="525">
        <v>5</v>
      </c>
      <c r="G517" s="525">
        <f t="shared" si="16"/>
        <v>3985499.6189999995</v>
      </c>
      <c r="H517" s="525">
        <f t="shared" si="15"/>
        <v>19927498.094999999</v>
      </c>
      <c r="I517" s="525" t="s">
        <v>1340</v>
      </c>
      <c r="J517" s="534">
        <v>419310</v>
      </c>
      <c r="K517" s="144" t="s">
        <v>1591</v>
      </c>
      <c r="L517" s="409">
        <v>9.5048999999999992</v>
      </c>
      <c r="M517" s="89"/>
    </row>
    <row r="518" spans="1:13" s="3" customFormat="1" ht="18.75" customHeight="1" x14ac:dyDescent="0.4">
      <c r="A518" s="482">
        <v>46192</v>
      </c>
      <c r="B518" s="110" t="s">
        <v>782</v>
      </c>
      <c r="C518" s="29" t="s">
        <v>150</v>
      </c>
      <c r="D518" s="110" t="s">
        <v>335</v>
      </c>
      <c r="E518" s="110"/>
      <c r="F518" s="533">
        <v>4</v>
      </c>
      <c r="G518" s="525">
        <f t="shared" si="16"/>
        <v>314612.19</v>
      </c>
      <c r="H518" s="525">
        <f t="shared" si="15"/>
        <v>1258448.76</v>
      </c>
      <c r="I518" s="525" t="s">
        <v>1201</v>
      </c>
      <c r="J518" s="534">
        <v>33100</v>
      </c>
      <c r="K518" s="144" t="s">
        <v>1591</v>
      </c>
      <c r="L518" s="409">
        <v>9.5048999999999992</v>
      </c>
      <c r="M518" s="89"/>
    </row>
    <row r="519" spans="1:13" s="3" customFormat="1" ht="18.75" customHeight="1" x14ac:dyDescent="0.4">
      <c r="A519" s="482">
        <v>46192</v>
      </c>
      <c r="B519" s="110" t="s">
        <v>782</v>
      </c>
      <c r="C519" s="29" t="s">
        <v>161</v>
      </c>
      <c r="D519" s="110" t="s">
        <v>1005</v>
      </c>
      <c r="E519" s="110"/>
      <c r="F519" s="533">
        <v>4</v>
      </c>
      <c r="G519" s="525">
        <f t="shared" si="16"/>
        <v>259388.72099999999</v>
      </c>
      <c r="H519" s="525">
        <f t="shared" si="15"/>
        <v>1037554.884</v>
      </c>
      <c r="I519" s="525" t="s">
        <v>1201</v>
      </c>
      <c r="J519" s="534">
        <v>27290</v>
      </c>
      <c r="K519" s="144" t="s">
        <v>1591</v>
      </c>
      <c r="L519" s="409">
        <v>9.5048999999999992</v>
      </c>
      <c r="M519" s="89"/>
    </row>
    <row r="520" spans="1:13" s="3" customFormat="1" ht="18.75" customHeight="1" x14ac:dyDescent="0.4">
      <c r="A520" s="482">
        <v>46192</v>
      </c>
      <c r="B520" s="110" t="s">
        <v>782</v>
      </c>
      <c r="C520" s="29" t="s">
        <v>150</v>
      </c>
      <c r="D520" s="110" t="s">
        <v>335</v>
      </c>
      <c r="E520" s="110"/>
      <c r="F520" s="533">
        <v>4</v>
      </c>
      <c r="G520" s="525">
        <f t="shared" si="16"/>
        <v>314612.19</v>
      </c>
      <c r="H520" s="525">
        <f t="shared" si="15"/>
        <v>1258448.76</v>
      </c>
      <c r="I520" s="525" t="s">
        <v>1212</v>
      </c>
      <c r="J520" s="534">
        <v>33100</v>
      </c>
      <c r="K520" s="144" t="s">
        <v>1591</v>
      </c>
      <c r="L520" s="409">
        <v>9.5048999999999992</v>
      </c>
      <c r="M520" s="89"/>
    </row>
    <row r="521" spans="1:13" s="3" customFormat="1" ht="18.75" customHeight="1" x14ac:dyDescent="0.4">
      <c r="A521" s="482">
        <v>46192</v>
      </c>
      <c r="B521" s="110" t="s">
        <v>782</v>
      </c>
      <c r="C521" s="29" t="s">
        <v>161</v>
      </c>
      <c r="D521" s="110" t="s">
        <v>1208</v>
      </c>
      <c r="E521" s="110"/>
      <c r="F521" s="533">
        <v>4</v>
      </c>
      <c r="G521" s="525">
        <f t="shared" si="16"/>
        <v>259388.72099999999</v>
      </c>
      <c r="H521" s="525">
        <f t="shared" si="15"/>
        <v>1037554.884</v>
      </c>
      <c r="I521" s="525" t="s">
        <v>1212</v>
      </c>
      <c r="J521" s="534">
        <v>27290</v>
      </c>
      <c r="K521" s="144" t="s">
        <v>1591</v>
      </c>
      <c r="L521" s="409">
        <v>9.5048999999999992</v>
      </c>
      <c r="M521" s="89"/>
    </row>
    <row r="522" spans="1:13" s="3" customFormat="1" ht="18.75" customHeight="1" x14ac:dyDescent="0.4">
      <c r="A522" s="482">
        <v>46192</v>
      </c>
      <c r="B522" s="110" t="s">
        <v>782</v>
      </c>
      <c r="C522" s="29" t="s">
        <v>155</v>
      </c>
      <c r="D522" s="110" t="s">
        <v>253</v>
      </c>
      <c r="E522" s="110"/>
      <c r="F522" s="533">
        <v>3</v>
      </c>
      <c r="G522" s="525">
        <f t="shared" si="16"/>
        <v>3722689.1339999996</v>
      </c>
      <c r="H522" s="525">
        <f t="shared" si="15"/>
        <v>11168067.401999999</v>
      </c>
      <c r="I522" s="525" t="s">
        <v>1214</v>
      </c>
      <c r="J522" s="534">
        <v>391660</v>
      </c>
      <c r="K522" s="144" t="s">
        <v>1591</v>
      </c>
      <c r="L522" s="409">
        <v>9.5048999999999992</v>
      </c>
      <c r="M522" s="89"/>
    </row>
    <row r="523" spans="1:13" s="3" customFormat="1" ht="18.75" customHeight="1" x14ac:dyDescent="0.4">
      <c r="A523" s="482">
        <v>46192</v>
      </c>
      <c r="B523" s="110" t="s">
        <v>782</v>
      </c>
      <c r="C523" s="29" t="s">
        <v>150</v>
      </c>
      <c r="D523" s="110" t="s">
        <v>335</v>
      </c>
      <c r="E523" s="110"/>
      <c r="F523" s="533">
        <v>4</v>
      </c>
      <c r="G523" s="525">
        <f t="shared" si="16"/>
        <v>314612.19</v>
      </c>
      <c r="H523" s="525">
        <f t="shared" si="15"/>
        <v>1258448.76</v>
      </c>
      <c r="I523" s="525" t="s">
        <v>1327</v>
      </c>
      <c r="J523" s="534">
        <v>33100</v>
      </c>
      <c r="K523" s="144" t="s">
        <v>1591</v>
      </c>
      <c r="L523" s="409">
        <v>9.5048999999999992</v>
      </c>
      <c r="M523" s="89"/>
    </row>
    <row r="524" spans="1:13" s="3" customFormat="1" ht="18.75" customHeight="1" x14ac:dyDescent="0.4">
      <c r="A524" s="482">
        <v>46192</v>
      </c>
      <c r="B524" s="110" t="s">
        <v>782</v>
      </c>
      <c r="C524" s="29" t="s">
        <v>161</v>
      </c>
      <c r="D524" s="110" t="s">
        <v>1208</v>
      </c>
      <c r="E524" s="110"/>
      <c r="F524" s="533">
        <v>4</v>
      </c>
      <c r="G524" s="525">
        <f t="shared" si="16"/>
        <v>259388.72099999999</v>
      </c>
      <c r="H524" s="525">
        <f t="shared" si="15"/>
        <v>1037554.884</v>
      </c>
      <c r="I524" s="525" t="s">
        <v>1327</v>
      </c>
      <c r="J524" s="534">
        <v>27290</v>
      </c>
      <c r="K524" s="144" t="s">
        <v>1591</v>
      </c>
      <c r="L524" s="409">
        <v>9.5048999999999992</v>
      </c>
      <c r="M524" s="89"/>
    </row>
    <row r="525" spans="1:13" s="3" customFormat="1" ht="18.75" customHeight="1" x14ac:dyDescent="0.4">
      <c r="A525" s="482">
        <v>46192</v>
      </c>
      <c r="B525" s="110" t="s">
        <v>782</v>
      </c>
      <c r="C525" s="29" t="s">
        <v>155</v>
      </c>
      <c r="D525" s="110" t="s">
        <v>253</v>
      </c>
      <c r="E525" s="110"/>
      <c r="F525" s="533">
        <v>1</v>
      </c>
      <c r="G525" s="525">
        <f t="shared" si="16"/>
        <v>3722689.1339999996</v>
      </c>
      <c r="H525" s="525">
        <f t="shared" si="15"/>
        <v>3722689.1339999996</v>
      </c>
      <c r="I525" s="525" t="s">
        <v>1333</v>
      </c>
      <c r="J525" s="534">
        <v>391660</v>
      </c>
      <c r="K525" s="144" t="s">
        <v>1591</v>
      </c>
      <c r="L525" s="409">
        <v>9.5048999999999992</v>
      </c>
      <c r="M525" s="89"/>
    </row>
    <row r="526" spans="1:13" s="3" customFormat="1" ht="18.75" customHeight="1" x14ac:dyDescent="0.4">
      <c r="A526" s="482">
        <v>46192</v>
      </c>
      <c r="B526" s="110" t="s">
        <v>782</v>
      </c>
      <c r="C526" s="29" t="s">
        <v>157</v>
      </c>
      <c r="D526" s="110" t="s">
        <v>259</v>
      </c>
      <c r="E526" s="110"/>
      <c r="F526" s="533">
        <v>6</v>
      </c>
      <c r="G526" s="525">
        <f t="shared" si="16"/>
        <v>3484876.5359999998</v>
      </c>
      <c r="H526" s="525">
        <f t="shared" si="15"/>
        <v>20909259.215999998</v>
      </c>
      <c r="I526" s="525" t="s">
        <v>1333</v>
      </c>
      <c r="J526" s="534">
        <v>366640</v>
      </c>
      <c r="K526" s="144" t="s">
        <v>1591</v>
      </c>
      <c r="L526" s="409">
        <v>9.5048999999999992</v>
      </c>
      <c r="M526" s="89"/>
    </row>
    <row r="527" spans="1:13" s="3" customFormat="1" ht="18.75" customHeight="1" x14ac:dyDescent="0.4">
      <c r="A527" s="482">
        <v>46192</v>
      </c>
      <c r="B527" s="110" t="s">
        <v>782</v>
      </c>
      <c r="C527" s="29" t="s">
        <v>158</v>
      </c>
      <c r="D527" s="110" t="s">
        <v>252</v>
      </c>
      <c r="E527" s="110"/>
      <c r="F527" s="533">
        <v>7</v>
      </c>
      <c r="G527" s="525">
        <f t="shared" si="16"/>
        <v>3699307.0799999996</v>
      </c>
      <c r="H527" s="525">
        <f t="shared" si="15"/>
        <v>25895149.559999999</v>
      </c>
      <c r="I527" s="525" t="s">
        <v>1593</v>
      </c>
      <c r="J527" s="534">
        <v>389200</v>
      </c>
      <c r="K527" s="144" t="s">
        <v>1591</v>
      </c>
      <c r="L527" s="409">
        <v>9.5048999999999992</v>
      </c>
      <c r="M527" s="89"/>
    </row>
    <row r="528" spans="1:13" s="3" customFormat="1" ht="18.75" customHeight="1" x14ac:dyDescent="0.4">
      <c r="A528" s="482">
        <v>46192</v>
      </c>
      <c r="B528" s="110" t="s">
        <v>782</v>
      </c>
      <c r="C528" s="29" t="s">
        <v>150</v>
      </c>
      <c r="D528" s="110" t="s">
        <v>275</v>
      </c>
      <c r="E528" s="110"/>
      <c r="F528" s="533">
        <v>1</v>
      </c>
      <c r="G528" s="525">
        <f t="shared" si="16"/>
        <v>563735.61899999995</v>
      </c>
      <c r="H528" s="525">
        <f t="shared" si="15"/>
        <v>563735.61899999995</v>
      </c>
      <c r="I528" s="525" t="s">
        <v>1594</v>
      </c>
      <c r="J528" s="534">
        <v>59310</v>
      </c>
      <c r="K528" s="144" t="s">
        <v>1591</v>
      </c>
      <c r="L528" s="409">
        <v>9.5048999999999992</v>
      </c>
      <c r="M528" s="89"/>
    </row>
    <row r="529" spans="1:13" s="3" customFormat="1" ht="18.75" customHeight="1" x14ac:dyDescent="0.4">
      <c r="A529" s="482">
        <v>46192</v>
      </c>
      <c r="B529" s="110" t="s">
        <v>782</v>
      </c>
      <c r="C529" s="29" t="s">
        <v>153</v>
      </c>
      <c r="D529" s="110" t="s">
        <v>392</v>
      </c>
      <c r="E529" s="110"/>
      <c r="F529" s="533">
        <v>4</v>
      </c>
      <c r="G529" s="525">
        <f t="shared" si="16"/>
        <v>2987104.923</v>
      </c>
      <c r="H529" s="525">
        <f t="shared" si="15"/>
        <v>11948419.692</v>
      </c>
      <c r="I529" s="525" t="s">
        <v>1484</v>
      </c>
      <c r="J529" s="534">
        <v>314270</v>
      </c>
      <c r="K529" s="144" t="s">
        <v>1591</v>
      </c>
      <c r="L529" s="409">
        <v>9.5048999999999992</v>
      </c>
      <c r="M529" s="89"/>
    </row>
    <row r="530" spans="1:13" s="3" customFormat="1" ht="18.75" customHeight="1" x14ac:dyDescent="0.4">
      <c r="A530" s="482">
        <v>46192</v>
      </c>
      <c r="B530" s="110" t="s">
        <v>782</v>
      </c>
      <c r="C530" s="29" t="s">
        <v>153</v>
      </c>
      <c r="D530" s="110" t="s">
        <v>1483</v>
      </c>
      <c r="E530" s="110"/>
      <c r="F530" s="533">
        <v>2</v>
      </c>
      <c r="G530" s="525">
        <f t="shared" si="16"/>
        <v>2987104.923</v>
      </c>
      <c r="H530" s="525">
        <f t="shared" si="15"/>
        <v>5974209.8459999999</v>
      </c>
      <c r="I530" s="525" t="s">
        <v>1595</v>
      </c>
      <c r="J530" s="534">
        <v>314270</v>
      </c>
      <c r="K530" s="144" t="s">
        <v>1591</v>
      </c>
      <c r="L530" s="409">
        <v>9.5048999999999992</v>
      </c>
      <c r="M530" s="89"/>
    </row>
    <row r="531" spans="1:13" s="3" customFormat="1" ht="18.75" customHeight="1" x14ac:dyDescent="0.4">
      <c r="A531" s="482">
        <v>46199</v>
      </c>
      <c r="B531" s="110" t="s">
        <v>782</v>
      </c>
      <c r="C531" s="29" t="s">
        <v>160</v>
      </c>
      <c r="D531" s="110" t="s">
        <v>255</v>
      </c>
      <c r="E531" s="110"/>
      <c r="F531" s="533">
        <v>8</v>
      </c>
      <c r="G531" s="525">
        <f t="shared" si="16"/>
        <v>397525.10599999997</v>
      </c>
      <c r="H531" s="525">
        <f t="shared" si="15"/>
        <v>3180200.8479999998</v>
      </c>
      <c r="I531" s="525" t="s">
        <v>1194</v>
      </c>
      <c r="J531" s="534">
        <v>41620</v>
      </c>
      <c r="K531" s="144" t="s">
        <v>1596</v>
      </c>
      <c r="L531" s="409">
        <v>9.5512999999999995</v>
      </c>
      <c r="M531" s="89"/>
    </row>
    <row r="532" spans="1:13" s="3" customFormat="1" ht="18.75" customHeight="1" x14ac:dyDescent="0.4">
      <c r="A532" s="482">
        <v>46199</v>
      </c>
      <c r="B532" s="110" t="s">
        <v>782</v>
      </c>
      <c r="C532" s="29" t="s">
        <v>152</v>
      </c>
      <c r="D532" s="110" t="s">
        <v>263</v>
      </c>
      <c r="E532" s="110"/>
      <c r="F532" s="533">
        <v>4</v>
      </c>
      <c r="G532" s="525">
        <f t="shared" si="16"/>
        <v>956467.18199999991</v>
      </c>
      <c r="H532" s="525">
        <f t="shared" si="15"/>
        <v>3825868.7279999997</v>
      </c>
      <c r="I532" s="525" t="s">
        <v>1182</v>
      </c>
      <c r="J532" s="534">
        <v>100140</v>
      </c>
      <c r="K532" s="144" t="s">
        <v>1596</v>
      </c>
      <c r="L532" s="409">
        <v>9.5512999999999995</v>
      </c>
      <c r="M532" s="89"/>
    </row>
    <row r="533" spans="1:13" s="3" customFormat="1" ht="18.75" customHeight="1" x14ac:dyDescent="0.4">
      <c r="A533" s="482">
        <v>46199</v>
      </c>
      <c r="B533" s="110" t="s">
        <v>782</v>
      </c>
      <c r="C533" s="29" t="s">
        <v>160</v>
      </c>
      <c r="D533" s="59" t="s">
        <v>274</v>
      </c>
      <c r="E533" s="59"/>
      <c r="F533" s="525">
        <v>8</v>
      </c>
      <c r="G533" s="525">
        <f t="shared" si="16"/>
        <v>514146.47899999999</v>
      </c>
      <c r="H533" s="525">
        <f t="shared" si="15"/>
        <v>4113171.8319999999</v>
      </c>
      <c r="I533" s="525" t="s">
        <v>1195</v>
      </c>
      <c r="J533" s="534">
        <v>53830</v>
      </c>
      <c r="K533" s="144" t="s">
        <v>1596</v>
      </c>
      <c r="L533" s="409">
        <v>9.5512999999999995</v>
      </c>
      <c r="M533" s="89"/>
    </row>
    <row r="534" spans="1:13" s="3" customFormat="1" ht="18.75" customHeight="1" x14ac:dyDescent="0.4">
      <c r="A534" s="482">
        <v>46199</v>
      </c>
      <c r="B534" s="110" t="s">
        <v>782</v>
      </c>
      <c r="C534" s="29" t="s">
        <v>152</v>
      </c>
      <c r="D534" s="110" t="s">
        <v>263</v>
      </c>
      <c r="E534" s="110"/>
      <c r="F534" s="533">
        <v>4</v>
      </c>
      <c r="G534" s="525">
        <f t="shared" si="16"/>
        <v>956467.18199999991</v>
      </c>
      <c r="H534" s="525">
        <f t="shared" si="15"/>
        <v>3825868.7279999997</v>
      </c>
      <c r="I534" s="525" t="s">
        <v>1206</v>
      </c>
      <c r="J534" s="534">
        <v>100140</v>
      </c>
      <c r="K534" s="144" t="s">
        <v>1596</v>
      </c>
      <c r="L534" s="409">
        <v>9.5512999999999995</v>
      </c>
      <c r="M534" s="89"/>
    </row>
    <row r="535" spans="1:13" s="3" customFormat="1" ht="18.75" customHeight="1" x14ac:dyDescent="0.4">
      <c r="A535" s="482">
        <v>46199</v>
      </c>
      <c r="B535" s="110" t="s">
        <v>782</v>
      </c>
      <c r="C535" s="29" t="s">
        <v>157</v>
      </c>
      <c r="D535" s="59" t="s">
        <v>259</v>
      </c>
      <c r="E535" s="59"/>
      <c r="F535" s="525">
        <v>8</v>
      </c>
      <c r="G535" s="525">
        <f t="shared" si="16"/>
        <v>3501888.6319999998</v>
      </c>
      <c r="H535" s="525">
        <f t="shared" si="15"/>
        <v>28015109.055999998</v>
      </c>
      <c r="I535" s="525" t="s">
        <v>1479</v>
      </c>
      <c r="J535" s="534">
        <v>366640</v>
      </c>
      <c r="K535" s="144" t="s">
        <v>1596</v>
      </c>
      <c r="L535" s="409">
        <v>9.5512999999999995</v>
      </c>
      <c r="M535" s="89"/>
    </row>
    <row r="536" spans="1:13" s="3" customFormat="1" ht="18.75" customHeight="1" x14ac:dyDescent="0.4">
      <c r="A536" s="482">
        <v>46199</v>
      </c>
      <c r="B536" s="110" t="s">
        <v>782</v>
      </c>
      <c r="C536" s="29" t="s">
        <v>1597</v>
      </c>
      <c r="D536" s="110" t="s">
        <v>273</v>
      </c>
      <c r="E536" s="110"/>
      <c r="F536" s="533">
        <v>4</v>
      </c>
      <c r="G536" s="525">
        <f t="shared" si="16"/>
        <v>330761.51899999997</v>
      </c>
      <c r="H536" s="525">
        <f t="shared" si="15"/>
        <v>1323046.0759999999</v>
      </c>
      <c r="I536" s="525" t="s">
        <v>1480</v>
      </c>
      <c r="J536" s="534">
        <v>34630</v>
      </c>
      <c r="K536" s="144" t="s">
        <v>1596</v>
      </c>
      <c r="L536" s="409">
        <v>9.5512999999999995</v>
      </c>
      <c r="M536" s="89"/>
    </row>
    <row r="537" spans="1:13" s="3" customFormat="1" ht="18.75" customHeight="1" x14ac:dyDescent="0.4">
      <c r="A537" s="482">
        <v>46199</v>
      </c>
      <c r="B537" s="110" t="s">
        <v>782</v>
      </c>
      <c r="C537" s="29" t="s">
        <v>154</v>
      </c>
      <c r="D537" s="59" t="s">
        <v>652</v>
      </c>
      <c r="E537" s="59"/>
      <c r="F537" s="525">
        <v>1</v>
      </c>
      <c r="G537" s="525">
        <f t="shared" si="16"/>
        <v>1534511.858</v>
      </c>
      <c r="H537" s="525">
        <f t="shared" si="15"/>
        <v>1534511.858</v>
      </c>
      <c r="I537" s="525" t="s">
        <v>1481</v>
      </c>
      <c r="J537" s="534">
        <v>160660</v>
      </c>
      <c r="K537" s="144" t="s">
        <v>1596</v>
      </c>
      <c r="L537" s="409">
        <v>9.5512999999999995</v>
      </c>
      <c r="M537" s="89"/>
    </row>
    <row r="538" spans="1:13" s="3" customFormat="1" ht="18.75" customHeight="1" x14ac:dyDescent="0.4">
      <c r="A538" s="482">
        <v>46199</v>
      </c>
      <c r="B538" s="110" t="s">
        <v>782</v>
      </c>
      <c r="C538" s="29" t="s">
        <v>157</v>
      </c>
      <c r="D538" s="110" t="s">
        <v>338</v>
      </c>
      <c r="E538" s="110"/>
      <c r="F538" s="533">
        <v>4</v>
      </c>
      <c r="G538" s="525">
        <f t="shared" si="16"/>
        <v>330761.51899999997</v>
      </c>
      <c r="H538" s="525">
        <f t="shared" si="15"/>
        <v>1323046.0759999999</v>
      </c>
      <c r="I538" s="525" t="s">
        <v>1212</v>
      </c>
      <c r="J538" s="534">
        <v>34630</v>
      </c>
      <c r="K538" s="144" t="s">
        <v>1596</v>
      </c>
      <c r="L538" s="409">
        <v>9.5512999999999995</v>
      </c>
      <c r="M538" s="89"/>
    </row>
    <row r="539" spans="1:13" s="3" customFormat="1" ht="18.75" customHeight="1" x14ac:dyDescent="0.4">
      <c r="A539" s="482">
        <v>46199</v>
      </c>
      <c r="B539" s="110" t="s">
        <v>782</v>
      </c>
      <c r="C539" s="29" t="s">
        <v>157</v>
      </c>
      <c r="D539" s="110" t="s">
        <v>338</v>
      </c>
      <c r="E539" s="110"/>
      <c r="F539" s="533">
        <v>4</v>
      </c>
      <c r="G539" s="525">
        <f t="shared" si="16"/>
        <v>330761.51899999997</v>
      </c>
      <c r="H539" s="525">
        <f t="shared" si="15"/>
        <v>1323046.0759999999</v>
      </c>
      <c r="I539" s="525" t="s">
        <v>1327</v>
      </c>
      <c r="J539" s="534">
        <v>34630</v>
      </c>
      <c r="K539" s="144" t="s">
        <v>1596</v>
      </c>
      <c r="L539" s="409">
        <v>9.5512999999999995</v>
      </c>
      <c r="M539" s="89"/>
    </row>
    <row r="540" spans="1:13" s="3" customFormat="1" ht="18.75" customHeight="1" x14ac:dyDescent="0.4">
      <c r="A540" s="482">
        <v>46199</v>
      </c>
      <c r="B540" s="110" t="s">
        <v>782</v>
      </c>
      <c r="C540" s="29" t="s">
        <v>155</v>
      </c>
      <c r="D540" s="110" t="s">
        <v>253</v>
      </c>
      <c r="E540" s="110"/>
      <c r="F540" s="533">
        <v>6</v>
      </c>
      <c r="G540" s="525">
        <f t="shared" si="16"/>
        <v>3740862.1579999998</v>
      </c>
      <c r="H540" s="525">
        <f t="shared" si="15"/>
        <v>22445172.947999999</v>
      </c>
      <c r="I540" s="525" t="s">
        <v>1333</v>
      </c>
      <c r="J540" s="534">
        <v>391660</v>
      </c>
      <c r="K540" s="144" t="s">
        <v>1596</v>
      </c>
      <c r="L540" s="409">
        <v>9.5512999999999995</v>
      </c>
      <c r="M540" s="89"/>
    </row>
    <row r="541" spans="1:13" s="3" customFormat="1" ht="18.75" customHeight="1" x14ac:dyDescent="0.4">
      <c r="A541" s="482">
        <v>46199</v>
      </c>
      <c r="B541" s="110" t="s">
        <v>782</v>
      </c>
      <c r="C541" s="29" t="s">
        <v>150</v>
      </c>
      <c r="D541" s="110" t="s">
        <v>334</v>
      </c>
      <c r="E541" s="110"/>
      <c r="F541" s="533">
        <v>4</v>
      </c>
      <c r="G541" s="525">
        <f t="shared" si="16"/>
        <v>316148.02999999997</v>
      </c>
      <c r="H541" s="525">
        <f t="shared" si="15"/>
        <v>1264592.1199999999</v>
      </c>
      <c r="I541" s="525" t="s">
        <v>1342</v>
      </c>
      <c r="J541" s="534">
        <v>33100</v>
      </c>
      <c r="K541" s="144" t="s">
        <v>1596</v>
      </c>
      <c r="L541" s="409">
        <v>9.5512999999999995</v>
      </c>
      <c r="M541" s="89"/>
    </row>
    <row r="542" spans="1:13" s="3" customFormat="1" ht="18.75" customHeight="1" x14ac:dyDescent="0.4">
      <c r="A542" s="482">
        <v>46199</v>
      </c>
      <c r="B542" s="110" t="s">
        <v>782</v>
      </c>
      <c r="C542" s="29" t="s">
        <v>157</v>
      </c>
      <c r="D542" s="59" t="s">
        <v>270</v>
      </c>
      <c r="E542" s="59"/>
      <c r="F542" s="525">
        <v>7</v>
      </c>
      <c r="G542" s="525">
        <f t="shared" si="16"/>
        <v>3501888.6319999998</v>
      </c>
      <c r="H542" s="525">
        <f t="shared" si="15"/>
        <v>24513220.423999999</v>
      </c>
      <c r="I542" s="525" t="s">
        <v>1350</v>
      </c>
      <c r="J542" s="534">
        <v>366640</v>
      </c>
      <c r="K542" s="144" t="s">
        <v>1596</v>
      </c>
      <c r="L542" s="409">
        <v>9.5512999999999995</v>
      </c>
      <c r="M542" s="89"/>
    </row>
    <row r="543" spans="1:13" s="3" customFormat="1" ht="18.75" customHeight="1" x14ac:dyDescent="0.4">
      <c r="A543" s="482">
        <v>46199</v>
      </c>
      <c r="B543" s="110" t="s">
        <v>782</v>
      </c>
      <c r="C543" s="29" t="s">
        <v>150</v>
      </c>
      <c r="D543" s="110" t="s">
        <v>335</v>
      </c>
      <c r="E543" s="110"/>
      <c r="F543" s="533">
        <v>4</v>
      </c>
      <c r="G543" s="525">
        <f t="shared" si="16"/>
        <v>316148.02999999997</v>
      </c>
      <c r="H543" s="525">
        <f t="shared" si="15"/>
        <v>1264592.1199999999</v>
      </c>
      <c r="I543" s="525" t="s">
        <v>1460</v>
      </c>
      <c r="J543" s="534">
        <v>33100</v>
      </c>
      <c r="K543" s="144" t="s">
        <v>1596</v>
      </c>
      <c r="L543" s="409">
        <v>9.5512999999999995</v>
      </c>
      <c r="M543" s="89"/>
    </row>
    <row r="544" spans="1:13" s="3" customFormat="1" ht="18.75" customHeight="1" x14ac:dyDescent="0.4">
      <c r="A544" s="482">
        <v>46199</v>
      </c>
      <c r="B544" s="110" t="s">
        <v>782</v>
      </c>
      <c r="C544" s="29" t="s">
        <v>158</v>
      </c>
      <c r="D544" s="110" t="s">
        <v>252</v>
      </c>
      <c r="E544" s="110"/>
      <c r="F544" s="533">
        <v>1</v>
      </c>
      <c r="G544" s="525">
        <f t="shared" si="16"/>
        <v>3717365.96</v>
      </c>
      <c r="H544" s="525">
        <f t="shared" si="15"/>
        <v>3717365.96</v>
      </c>
      <c r="I544" s="525" t="s">
        <v>1593</v>
      </c>
      <c r="J544" s="534">
        <v>389200</v>
      </c>
      <c r="K544" s="144" t="s">
        <v>1596</v>
      </c>
      <c r="L544" s="409">
        <v>9.5512999999999995</v>
      </c>
      <c r="M544" s="89"/>
    </row>
    <row r="545" spans="1:13" s="3" customFormat="1" ht="18.75" customHeight="1" x14ac:dyDescent="0.4">
      <c r="A545" s="482">
        <v>46199</v>
      </c>
      <c r="B545" s="110" t="s">
        <v>782</v>
      </c>
      <c r="C545" s="29" t="s">
        <v>150</v>
      </c>
      <c r="D545" s="110" t="s">
        <v>335</v>
      </c>
      <c r="E545" s="110"/>
      <c r="F545" s="533">
        <v>4</v>
      </c>
      <c r="G545" s="525">
        <f t="shared" si="16"/>
        <v>321114.70600000001</v>
      </c>
      <c r="H545" s="525">
        <f t="shared" si="15"/>
        <v>1284458.824</v>
      </c>
      <c r="I545" s="525" t="s">
        <v>1598</v>
      </c>
      <c r="J545" s="534">
        <v>33620</v>
      </c>
      <c r="K545" s="144" t="s">
        <v>1596</v>
      </c>
      <c r="L545" s="409">
        <v>9.5512999999999995</v>
      </c>
      <c r="M545" s="89"/>
    </row>
    <row r="546" spans="1:13" s="3" customFormat="1" ht="18.75" customHeight="1" x14ac:dyDescent="0.4">
      <c r="A546" s="482">
        <v>46199</v>
      </c>
      <c r="B546" s="110" t="s">
        <v>782</v>
      </c>
      <c r="C546" s="29" t="s">
        <v>156</v>
      </c>
      <c r="D546" s="59" t="s">
        <v>261</v>
      </c>
      <c r="E546" s="59"/>
      <c r="F546" s="525">
        <v>1</v>
      </c>
      <c r="G546" s="525">
        <f t="shared" si="16"/>
        <v>2198804.773</v>
      </c>
      <c r="H546" s="525">
        <f t="shared" si="15"/>
        <v>2198804.773</v>
      </c>
      <c r="I546" s="525" t="s">
        <v>1594</v>
      </c>
      <c r="J546" s="534">
        <v>230210</v>
      </c>
      <c r="K546" s="144" t="s">
        <v>1596</v>
      </c>
      <c r="L546" s="409">
        <v>9.5512999999999995</v>
      </c>
      <c r="M546" s="89"/>
    </row>
    <row r="547" spans="1:13" s="3" customFormat="1" ht="18.75" customHeight="1" x14ac:dyDescent="0.4">
      <c r="A547" s="482">
        <v>46199</v>
      </c>
      <c r="B547" s="110" t="s">
        <v>782</v>
      </c>
      <c r="C547" s="29" t="s">
        <v>158</v>
      </c>
      <c r="D547" s="110" t="s">
        <v>252</v>
      </c>
      <c r="E547" s="110"/>
      <c r="F547" s="533">
        <v>6</v>
      </c>
      <c r="G547" s="525">
        <f t="shared" si="16"/>
        <v>3717365.96</v>
      </c>
      <c r="H547" s="525">
        <f t="shared" ref="H547:H554" si="17">F547*G547</f>
        <v>22304195.759999998</v>
      </c>
      <c r="I547" s="525" t="s">
        <v>1599</v>
      </c>
      <c r="J547" s="534">
        <v>389200</v>
      </c>
      <c r="K547" s="144" t="s">
        <v>1596</v>
      </c>
      <c r="L547" s="409">
        <v>9.5512999999999995</v>
      </c>
      <c r="M547" s="89"/>
    </row>
    <row r="548" spans="1:13" s="3" customFormat="1" ht="18.75" customHeight="1" x14ac:dyDescent="0.4">
      <c r="A548" s="482">
        <v>46199</v>
      </c>
      <c r="B548" s="110" t="s">
        <v>782</v>
      </c>
      <c r="C548" s="29" t="s">
        <v>150</v>
      </c>
      <c r="D548" s="110" t="s">
        <v>275</v>
      </c>
      <c r="E548" s="110"/>
      <c r="F548" s="533">
        <v>1</v>
      </c>
      <c r="G548" s="525">
        <f t="shared" ref="G548:G574" si="18">J548*L548</f>
        <v>566487.603</v>
      </c>
      <c r="H548" s="525">
        <f t="shared" si="17"/>
        <v>566487.603</v>
      </c>
      <c r="I548" s="525" t="s">
        <v>1600</v>
      </c>
      <c r="J548" s="534">
        <v>59310</v>
      </c>
      <c r="K548" s="144" t="s">
        <v>1596</v>
      </c>
      <c r="L548" s="409">
        <v>9.5512999999999995</v>
      </c>
      <c r="M548" s="89"/>
    </row>
    <row r="549" spans="1:13" s="3" customFormat="1" ht="18.75" customHeight="1" x14ac:dyDescent="0.4">
      <c r="A549" s="482">
        <v>46199</v>
      </c>
      <c r="B549" s="110" t="s">
        <v>782</v>
      </c>
      <c r="C549" s="29" t="s">
        <v>156</v>
      </c>
      <c r="D549" s="110" t="s">
        <v>271</v>
      </c>
      <c r="E549" s="110"/>
      <c r="F549" s="533">
        <v>2</v>
      </c>
      <c r="G549" s="525">
        <f t="shared" si="18"/>
        <v>1140234.1939999999</v>
      </c>
      <c r="H549" s="525">
        <f t="shared" si="17"/>
        <v>2280468.3879999998</v>
      </c>
      <c r="I549" s="525" t="s">
        <v>1601</v>
      </c>
      <c r="J549" s="534">
        <v>119380</v>
      </c>
      <c r="K549" s="144" t="s">
        <v>1596</v>
      </c>
      <c r="L549" s="409">
        <v>9.5512999999999995</v>
      </c>
      <c r="M549" s="89"/>
    </row>
    <row r="550" spans="1:13" s="3" customFormat="1" ht="18.75" customHeight="1" x14ac:dyDescent="0.4">
      <c r="A550" s="482">
        <v>46199</v>
      </c>
      <c r="B550" s="110" t="s">
        <v>782</v>
      </c>
      <c r="C550" s="29" t="s">
        <v>150</v>
      </c>
      <c r="D550" s="110" t="s">
        <v>335</v>
      </c>
      <c r="E550" s="110"/>
      <c r="F550" s="533">
        <v>2</v>
      </c>
      <c r="G550" s="525">
        <f t="shared" si="18"/>
        <v>321114.70600000001</v>
      </c>
      <c r="H550" s="525">
        <f t="shared" si="17"/>
        <v>642229.41200000001</v>
      </c>
      <c r="I550" s="525" t="s">
        <v>1601</v>
      </c>
      <c r="J550" s="534">
        <v>33620</v>
      </c>
      <c r="K550" s="144" t="s">
        <v>1596</v>
      </c>
      <c r="L550" s="409">
        <v>9.5512999999999995</v>
      </c>
      <c r="M550" s="89"/>
    </row>
    <row r="551" spans="1:13" s="3" customFormat="1" ht="18.75" customHeight="1" x14ac:dyDescent="0.4">
      <c r="A551" s="482">
        <v>46199</v>
      </c>
      <c r="B551" s="110" t="s">
        <v>782</v>
      </c>
      <c r="C551" s="29" t="s">
        <v>154</v>
      </c>
      <c r="D551" s="110" t="s">
        <v>1328</v>
      </c>
      <c r="E551" s="110"/>
      <c r="F551" s="533">
        <v>2</v>
      </c>
      <c r="G551" s="525">
        <f t="shared" si="18"/>
        <v>762862.33100000001</v>
      </c>
      <c r="H551" s="525">
        <f t="shared" si="17"/>
        <v>1525724.662</v>
      </c>
      <c r="I551" s="525" t="s">
        <v>1601</v>
      </c>
      <c r="J551" s="534">
        <v>79870</v>
      </c>
      <c r="K551" s="144" t="s">
        <v>1596</v>
      </c>
      <c r="L551" s="409">
        <v>9.5512999999999995</v>
      </c>
      <c r="M551" s="89"/>
    </row>
    <row r="552" spans="1:13" s="3" customFormat="1" ht="18.75" customHeight="1" x14ac:dyDescent="0.4">
      <c r="A552" s="482">
        <v>46199</v>
      </c>
      <c r="B552" s="110" t="s">
        <v>782</v>
      </c>
      <c r="C552" s="29" t="s">
        <v>157</v>
      </c>
      <c r="D552" s="110" t="s">
        <v>338</v>
      </c>
      <c r="E552" s="110"/>
      <c r="F552" s="533">
        <v>2</v>
      </c>
      <c r="G552" s="525">
        <f t="shared" si="18"/>
        <v>338402.55900000001</v>
      </c>
      <c r="H552" s="525">
        <f t="shared" si="17"/>
        <v>676805.11800000002</v>
      </c>
      <c r="I552" s="525" t="s">
        <v>1601</v>
      </c>
      <c r="J552" s="534">
        <v>35430</v>
      </c>
      <c r="K552" s="144" t="s">
        <v>1596</v>
      </c>
      <c r="L552" s="409">
        <v>9.5512999999999995</v>
      </c>
      <c r="M552" s="89"/>
    </row>
    <row r="553" spans="1:13" s="3" customFormat="1" ht="18.75" customHeight="1" x14ac:dyDescent="0.4">
      <c r="A553" s="482">
        <v>46199</v>
      </c>
      <c r="B553" s="110" t="s">
        <v>782</v>
      </c>
      <c r="C553" s="29" t="s">
        <v>150</v>
      </c>
      <c r="D553" s="110" t="s">
        <v>275</v>
      </c>
      <c r="E553" s="110"/>
      <c r="F553" s="533">
        <v>1</v>
      </c>
      <c r="G553" s="525">
        <f t="shared" si="18"/>
        <v>566487.603</v>
      </c>
      <c r="H553" s="525">
        <f t="shared" si="17"/>
        <v>566487.603</v>
      </c>
      <c r="I553" s="525" t="s">
        <v>1602</v>
      </c>
      <c r="J553" s="534">
        <v>59310</v>
      </c>
      <c r="K553" s="144" t="s">
        <v>1596</v>
      </c>
      <c r="L553" s="409">
        <v>9.5512999999999995</v>
      </c>
      <c r="M553" s="89"/>
    </row>
    <row r="554" spans="1:13" s="3" customFormat="1" ht="18.75" customHeight="1" x14ac:dyDescent="0.4">
      <c r="A554" s="482">
        <v>46199</v>
      </c>
      <c r="B554" s="110" t="s">
        <v>782</v>
      </c>
      <c r="C554" s="29" t="s">
        <v>153</v>
      </c>
      <c r="D554" s="110" t="s">
        <v>392</v>
      </c>
      <c r="E554" s="110"/>
      <c r="F554" s="533">
        <v>3</v>
      </c>
      <c r="G554" s="525">
        <f t="shared" si="18"/>
        <v>3001687.051</v>
      </c>
      <c r="H554" s="525">
        <f t="shared" si="17"/>
        <v>9005061.1530000009</v>
      </c>
      <c r="I554" s="525" t="s">
        <v>1595</v>
      </c>
      <c r="J554" s="534">
        <v>314270</v>
      </c>
      <c r="K554" s="144" t="s">
        <v>1596</v>
      </c>
      <c r="L554" s="409">
        <v>9.5512999999999995</v>
      </c>
      <c r="M554" s="89"/>
    </row>
    <row r="555" spans="1:13" s="3" customFormat="1" ht="18.75" customHeight="1" x14ac:dyDescent="0.4">
      <c r="A555" s="482">
        <v>46203</v>
      </c>
      <c r="B555" s="110" t="s">
        <v>782</v>
      </c>
      <c r="C555" s="29" t="s">
        <v>160</v>
      </c>
      <c r="D555" s="110" t="s">
        <v>255</v>
      </c>
      <c r="E555" s="110"/>
      <c r="F555" s="533">
        <v>10</v>
      </c>
      <c r="G555" s="525">
        <f t="shared" si="18"/>
        <v>399064.02900000004</v>
      </c>
      <c r="H555" s="525">
        <f t="shared" ref="H555:H569" si="19">F555*G555</f>
        <v>3990640.2900000005</v>
      </c>
      <c r="I555" s="525" t="s">
        <v>1193</v>
      </c>
      <c r="J555" s="534">
        <v>41410</v>
      </c>
      <c r="K555" s="144" t="s">
        <v>1603</v>
      </c>
      <c r="L555" s="409">
        <v>9.6369000000000007</v>
      </c>
      <c r="M555" s="89"/>
    </row>
    <row r="556" spans="1:13" s="3" customFormat="1" ht="18.75" customHeight="1" x14ac:dyDescent="0.4">
      <c r="A556" s="482">
        <v>46203</v>
      </c>
      <c r="B556" s="110" t="s">
        <v>782</v>
      </c>
      <c r="C556" s="29" t="s">
        <v>152</v>
      </c>
      <c r="D556" s="110" t="s">
        <v>263</v>
      </c>
      <c r="E556" s="110"/>
      <c r="F556" s="533">
        <v>4</v>
      </c>
      <c r="G556" s="525">
        <f t="shared" si="18"/>
        <v>972652.31700000004</v>
      </c>
      <c r="H556" s="525">
        <f t="shared" si="19"/>
        <v>3890609.2680000002</v>
      </c>
      <c r="I556" s="525" t="s">
        <v>1184</v>
      </c>
      <c r="J556" s="534">
        <v>100930</v>
      </c>
      <c r="K556" s="144" t="s">
        <v>1603</v>
      </c>
      <c r="L556" s="409">
        <v>9.6369000000000007</v>
      </c>
      <c r="M556" s="89"/>
    </row>
    <row r="557" spans="1:13" s="3" customFormat="1" ht="18.75" customHeight="1" x14ac:dyDescent="0.4">
      <c r="A557" s="482">
        <v>46203</v>
      </c>
      <c r="B557" s="110" t="s">
        <v>782</v>
      </c>
      <c r="C557" s="29" t="s">
        <v>152</v>
      </c>
      <c r="D557" s="110" t="s">
        <v>159</v>
      </c>
      <c r="E557" s="110"/>
      <c r="F557" s="533">
        <v>4</v>
      </c>
      <c r="G557" s="525">
        <f t="shared" si="18"/>
        <v>972652.31700000004</v>
      </c>
      <c r="H557" s="525">
        <f t="shared" si="19"/>
        <v>3890609.2680000002</v>
      </c>
      <c r="I557" s="525" t="s">
        <v>1185</v>
      </c>
      <c r="J557" s="534">
        <v>100930</v>
      </c>
      <c r="K557" s="144" t="s">
        <v>1603</v>
      </c>
      <c r="L557" s="409">
        <v>9.6369000000000007</v>
      </c>
      <c r="M557" s="89"/>
    </row>
    <row r="558" spans="1:13" s="3" customFormat="1" ht="18.75" customHeight="1" x14ac:dyDescent="0.4">
      <c r="A558" s="482">
        <v>46203</v>
      </c>
      <c r="B558" s="110" t="s">
        <v>782</v>
      </c>
      <c r="C558" s="29" t="s">
        <v>160</v>
      </c>
      <c r="D558" s="110" t="s">
        <v>274</v>
      </c>
      <c r="E558" s="110"/>
      <c r="F558" s="533">
        <v>8</v>
      </c>
      <c r="G558" s="525">
        <f t="shared" si="18"/>
        <v>524921.94300000009</v>
      </c>
      <c r="H558" s="525">
        <f t="shared" si="19"/>
        <v>4199375.5440000007</v>
      </c>
      <c r="I558" s="525" t="s">
        <v>1356</v>
      </c>
      <c r="J558" s="534">
        <v>54470</v>
      </c>
      <c r="K558" s="144" t="s">
        <v>1603</v>
      </c>
      <c r="L558" s="409">
        <v>9.6369000000000007</v>
      </c>
      <c r="M558" s="89"/>
    </row>
    <row r="559" spans="1:13" s="3" customFormat="1" ht="18.75" customHeight="1" x14ac:dyDescent="0.4">
      <c r="A559" s="482">
        <v>46203</v>
      </c>
      <c r="B559" s="110" t="s">
        <v>782</v>
      </c>
      <c r="C559" s="29" t="s">
        <v>154</v>
      </c>
      <c r="D559" s="110" t="s">
        <v>266</v>
      </c>
      <c r="E559" s="110"/>
      <c r="F559" s="533">
        <v>8</v>
      </c>
      <c r="G559" s="525">
        <f t="shared" si="18"/>
        <v>4040848.5390000003</v>
      </c>
      <c r="H559" s="525">
        <f t="shared" si="19"/>
        <v>32326788.312000003</v>
      </c>
      <c r="I559" s="525" t="s">
        <v>1356</v>
      </c>
      <c r="J559" s="534">
        <v>419310</v>
      </c>
      <c r="K559" s="144" t="s">
        <v>1603</v>
      </c>
      <c r="L559" s="409">
        <v>9.6369000000000007</v>
      </c>
      <c r="M559" s="89"/>
    </row>
    <row r="560" spans="1:13" s="3" customFormat="1" ht="18.75" customHeight="1" x14ac:dyDescent="0.4">
      <c r="A560" s="482">
        <v>46203</v>
      </c>
      <c r="B560" s="110" t="s">
        <v>782</v>
      </c>
      <c r="C560" s="29" t="s">
        <v>152</v>
      </c>
      <c r="D560" s="110" t="s">
        <v>159</v>
      </c>
      <c r="E560" s="110"/>
      <c r="F560" s="533">
        <v>4</v>
      </c>
      <c r="G560" s="525">
        <f t="shared" si="18"/>
        <v>972652.31700000004</v>
      </c>
      <c r="H560" s="525">
        <f t="shared" si="19"/>
        <v>3890609.2680000002</v>
      </c>
      <c r="I560" s="525" t="s">
        <v>1360</v>
      </c>
      <c r="J560" s="534">
        <v>100930</v>
      </c>
      <c r="K560" s="144" t="s">
        <v>1603</v>
      </c>
      <c r="L560" s="409">
        <v>9.6369000000000007</v>
      </c>
      <c r="M560" s="89"/>
    </row>
    <row r="561" spans="1:13" s="3" customFormat="1" ht="18.75" customHeight="1" x14ac:dyDescent="0.4">
      <c r="A561" s="482">
        <v>46203</v>
      </c>
      <c r="B561" s="110" t="s">
        <v>782</v>
      </c>
      <c r="C561" s="29" t="s">
        <v>150</v>
      </c>
      <c r="D561" s="110" t="s">
        <v>257</v>
      </c>
      <c r="E561" s="110"/>
      <c r="F561" s="533">
        <v>8</v>
      </c>
      <c r="G561" s="525">
        <f t="shared" si="18"/>
        <v>1213092.9720000001</v>
      </c>
      <c r="H561" s="525">
        <f t="shared" si="19"/>
        <v>9704743.7760000005</v>
      </c>
      <c r="I561" s="525" t="s">
        <v>1210</v>
      </c>
      <c r="J561" s="534">
        <v>125880</v>
      </c>
      <c r="K561" s="144" t="s">
        <v>1603</v>
      </c>
      <c r="L561" s="409">
        <v>9.6369000000000007</v>
      </c>
      <c r="M561" s="89"/>
    </row>
    <row r="562" spans="1:13" s="3" customFormat="1" ht="18.75" customHeight="1" x14ac:dyDescent="0.4">
      <c r="A562" s="482">
        <v>46203</v>
      </c>
      <c r="B562" s="110" t="s">
        <v>782</v>
      </c>
      <c r="C562" s="29" t="s">
        <v>154</v>
      </c>
      <c r="D562" s="110" t="s">
        <v>336</v>
      </c>
      <c r="E562" s="110"/>
      <c r="F562" s="533">
        <v>1</v>
      </c>
      <c r="G562" s="525">
        <f t="shared" si="18"/>
        <v>4040848.5390000003</v>
      </c>
      <c r="H562" s="525">
        <f t="shared" si="19"/>
        <v>4040848.5390000003</v>
      </c>
      <c r="I562" s="525" t="s">
        <v>1340</v>
      </c>
      <c r="J562" s="534">
        <v>419310</v>
      </c>
      <c r="K562" s="144" t="s">
        <v>1603</v>
      </c>
      <c r="L562" s="409">
        <v>9.6369000000000007</v>
      </c>
      <c r="M562" s="89"/>
    </row>
    <row r="563" spans="1:13" s="3" customFormat="1" ht="18.75" customHeight="1" x14ac:dyDescent="0.4">
      <c r="A563" s="482">
        <v>46203</v>
      </c>
      <c r="B563" s="110" t="s">
        <v>782</v>
      </c>
      <c r="C563" s="29" t="s">
        <v>155</v>
      </c>
      <c r="D563" s="110" t="s">
        <v>253</v>
      </c>
      <c r="E563" s="110"/>
      <c r="F563" s="533">
        <v>1</v>
      </c>
      <c r="G563" s="525">
        <f t="shared" si="18"/>
        <v>3774388.2540000002</v>
      </c>
      <c r="H563" s="525">
        <f t="shared" si="19"/>
        <v>3774388.2540000002</v>
      </c>
      <c r="I563" s="525" t="s">
        <v>1333</v>
      </c>
      <c r="J563" s="534">
        <v>391660</v>
      </c>
      <c r="K563" s="144" t="s">
        <v>1603</v>
      </c>
      <c r="L563" s="409">
        <v>9.6369000000000007</v>
      </c>
      <c r="M563" s="89"/>
    </row>
    <row r="564" spans="1:13" s="3" customFormat="1" ht="18.75" customHeight="1" x14ac:dyDescent="0.4">
      <c r="A564" s="482">
        <v>46203</v>
      </c>
      <c r="B564" s="110" t="s">
        <v>782</v>
      </c>
      <c r="C564" s="29" t="s">
        <v>155</v>
      </c>
      <c r="D564" s="110" t="s">
        <v>254</v>
      </c>
      <c r="E564" s="110"/>
      <c r="F564" s="533">
        <v>2</v>
      </c>
      <c r="G564" s="525">
        <f t="shared" si="18"/>
        <v>3774388.2540000002</v>
      </c>
      <c r="H564" s="525">
        <f t="shared" si="19"/>
        <v>7548776.5080000004</v>
      </c>
      <c r="I564" s="525" t="s">
        <v>1350</v>
      </c>
      <c r="J564" s="534">
        <v>391660</v>
      </c>
      <c r="K564" s="144" t="s">
        <v>1603</v>
      </c>
      <c r="L564" s="409">
        <v>9.6369000000000007</v>
      </c>
      <c r="M564" s="89"/>
    </row>
    <row r="565" spans="1:13" s="3" customFormat="1" ht="18.75" customHeight="1" x14ac:dyDescent="0.4">
      <c r="A565" s="482">
        <v>46203</v>
      </c>
      <c r="B565" s="110" t="s">
        <v>782</v>
      </c>
      <c r="C565" s="29" t="s">
        <v>157</v>
      </c>
      <c r="D565" s="110" t="s">
        <v>259</v>
      </c>
      <c r="E565" s="110"/>
      <c r="F565" s="533">
        <v>1</v>
      </c>
      <c r="G565" s="525">
        <f t="shared" si="18"/>
        <v>3533273.0160000003</v>
      </c>
      <c r="H565" s="525">
        <f t="shared" si="19"/>
        <v>3533273.0160000003</v>
      </c>
      <c r="I565" s="525" t="s">
        <v>1350</v>
      </c>
      <c r="J565" s="534">
        <v>366640</v>
      </c>
      <c r="K565" s="144" t="s">
        <v>1603</v>
      </c>
      <c r="L565" s="409">
        <v>9.6369000000000007</v>
      </c>
      <c r="M565" s="89"/>
    </row>
    <row r="566" spans="1:13" s="3" customFormat="1" ht="18.75" customHeight="1" x14ac:dyDescent="0.4">
      <c r="A566" s="482">
        <v>46203</v>
      </c>
      <c r="B566" s="110" t="s">
        <v>782</v>
      </c>
      <c r="C566" s="29" t="s">
        <v>157</v>
      </c>
      <c r="D566" s="110" t="s">
        <v>270</v>
      </c>
      <c r="E566" s="110"/>
      <c r="F566" s="533">
        <v>5</v>
      </c>
      <c r="G566" s="525">
        <f t="shared" si="18"/>
        <v>3636773.3220000002</v>
      </c>
      <c r="H566" s="525">
        <f t="shared" si="19"/>
        <v>18183866.609999999</v>
      </c>
      <c r="I566" s="525" t="s">
        <v>1593</v>
      </c>
      <c r="J566" s="534">
        <v>377380</v>
      </c>
      <c r="K566" s="144" t="s">
        <v>1603</v>
      </c>
      <c r="L566" s="409">
        <v>9.6369000000000007</v>
      </c>
      <c r="M566" s="89"/>
    </row>
    <row r="567" spans="1:13" s="3" customFormat="1" ht="18.75" customHeight="1" x14ac:dyDescent="0.4">
      <c r="A567" s="482">
        <v>46203</v>
      </c>
      <c r="B567" s="110" t="s">
        <v>782</v>
      </c>
      <c r="C567" s="29" t="s">
        <v>158</v>
      </c>
      <c r="D567" s="110" t="s">
        <v>252</v>
      </c>
      <c r="E567" s="110"/>
      <c r="F567" s="533">
        <v>1</v>
      </c>
      <c r="G567" s="525">
        <f t="shared" si="18"/>
        <v>3750681.4800000004</v>
      </c>
      <c r="H567" s="525">
        <f t="shared" si="19"/>
        <v>3750681.4800000004</v>
      </c>
      <c r="I567" s="525" t="s">
        <v>1599</v>
      </c>
      <c r="J567" s="534">
        <v>389200</v>
      </c>
      <c r="K567" s="144" t="s">
        <v>1603</v>
      </c>
      <c r="L567" s="409">
        <v>9.6369000000000007</v>
      </c>
      <c r="M567" s="89"/>
    </row>
    <row r="568" spans="1:13" s="3" customFormat="1" ht="18.75" customHeight="1" x14ac:dyDescent="0.4">
      <c r="A568" s="482">
        <v>46203</v>
      </c>
      <c r="B568" s="110" t="s">
        <v>782</v>
      </c>
      <c r="C568" s="29" t="s">
        <v>153</v>
      </c>
      <c r="D568" s="110" t="s">
        <v>392</v>
      </c>
      <c r="E568" s="110"/>
      <c r="F568" s="533">
        <v>1</v>
      </c>
      <c r="G568" s="525">
        <f t="shared" si="18"/>
        <v>3028588.5630000001</v>
      </c>
      <c r="H568" s="525">
        <f t="shared" si="19"/>
        <v>3028588.5630000001</v>
      </c>
      <c r="I568" s="525" t="s">
        <v>1595</v>
      </c>
      <c r="J568" s="534">
        <v>314270</v>
      </c>
      <c r="K568" s="144" t="s">
        <v>1603</v>
      </c>
      <c r="L568" s="409">
        <v>9.6369000000000007</v>
      </c>
      <c r="M568" s="89"/>
    </row>
    <row r="569" spans="1:13" s="3" customFormat="1" ht="18.75" customHeight="1" x14ac:dyDescent="0.4">
      <c r="A569" s="482">
        <v>46203</v>
      </c>
      <c r="B569" s="110" t="s">
        <v>782</v>
      </c>
      <c r="C569" s="29" t="s">
        <v>150</v>
      </c>
      <c r="D569" s="110" t="s">
        <v>275</v>
      </c>
      <c r="E569" s="110"/>
      <c r="F569" s="533">
        <v>1</v>
      </c>
      <c r="G569" s="525">
        <f t="shared" si="18"/>
        <v>571564.53899999999</v>
      </c>
      <c r="H569" s="525">
        <f t="shared" si="19"/>
        <v>571564.53899999999</v>
      </c>
      <c r="I569" s="525" t="s">
        <v>1608</v>
      </c>
      <c r="J569" s="534">
        <v>59310</v>
      </c>
      <c r="K569" s="144" t="s">
        <v>1603</v>
      </c>
      <c r="L569" s="409">
        <v>9.6369000000000007</v>
      </c>
      <c r="M569" s="89"/>
    </row>
    <row r="570" spans="1:13" s="3" customFormat="1" ht="18.75" customHeight="1" x14ac:dyDescent="0.4">
      <c r="A570" s="482">
        <v>46203</v>
      </c>
      <c r="B570" s="110" t="s">
        <v>782</v>
      </c>
      <c r="C570" s="29" t="s">
        <v>150</v>
      </c>
      <c r="D570" s="110" t="s">
        <v>258</v>
      </c>
      <c r="E570" s="110"/>
      <c r="F570" s="533">
        <v>1</v>
      </c>
      <c r="G570" s="525">
        <f t="shared" si="18"/>
        <v>140506.00200000001</v>
      </c>
      <c r="H570" s="525">
        <v>0</v>
      </c>
      <c r="I570" s="525" t="s">
        <v>1464</v>
      </c>
      <c r="J570" s="534">
        <v>14580</v>
      </c>
      <c r="K570" s="144" t="s">
        <v>1603</v>
      </c>
      <c r="L570" s="409">
        <v>9.6369000000000007</v>
      </c>
      <c r="M570" s="89"/>
    </row>
    <row r="571" spans="1:13" s="3" customFormat="1" ht="18.75" customHeight="1" x14ac:dyDescent="0.4">
      <c r="A571" s="482">
        <v>46203</v>
      </c>
      <c r="B571" s="110" t="s">
        <v>782</v>
      </c>
      <c r="C571" s="29" t="s">
        <v>150</v>
      </c>
      <c r="D571" s="110" t="s">
        <v>258</v>
      </c>
      <c r="E571" s="110"/>
      <c r="F571" s="533">
        <v>1</v>
      </c>
      <c r="G571" s="525">
        <f t="shared" si="18"/>
        <v>140506.00200000001</v>
      </c>
      <c r="H571" s="525">
        <v>0</v>
      </c>
      <c r="I571" s="525" t="s">
        <v>1604</v>
      </c>
      <c r="J571" s="534">
        <v>14580</v>
      </c>
      <c r="K571" s="144" t="s">
        <v>1603</v>
      </c>
      <c r="L571" s="409">
        <v>9.6369000000000007</v>
      </c>
      <c r="M571" s="89"/>
    </row>
    <row r="572" spans="1:13" s="3" customFormat="1" ht="18.75" customHeight="1" x14ac:dyDescent="0.4">
      <c r="A572" s="482">
        <v>46203</v>
      </c>
      <c r="B572" s="110" t="s">
        <v>782</v>
      </c>
      <c r="C572" s="29" t="s">
        <v>150</v>
      </c>
      <c r="D572" s="110" t="s">
        <v>258</v>
      </c>
      <c r="E572" s="110"/>
      <c r="F572" s="533">
        <v>1</v>
      </c>
      <c r="G572" s="525">
        <f t="shared" si="18"/>
        <v>140506.00200000001</v>
      </c>
      <c r="H572" s="525">
        <v>0</v>
      </c>
      <c r="I572" s="525" t="s">
        <v>1605</v>
      </c>
      <c r="J572" s="534">
        <v>14580</v>
      </c>
      <c r="K572" s="144" t="s">
        <v>1603</v>
      </c>
      <c r="L572" s="409">
        <v>9.6369000000000007</v>
      </c>
      <c r="M572" s="89"/>
    </row>
    <row r="573" spans="1:13" s="3" customFormat="1" ht="18.75" customHeight="1" x14ac:dyDescent="0.4">
      <c r="A573" s="482">
        <v>46203</v>
      </c>
      <c r="B573" s="110" t="s">
        <v>782</v>
      </c>
      <c r="C573" s="29" t="s">
        <v>150</v>
      </c>
      <c r="D573" s="110" t="s">
        <v>258</v>
      </c>
      <c r="E573" s="110"/>
      <c r="F573" s="533">
        <v>1</v>
      </c>
      <c r="G573" s="525">
        <f t="shared" si="18"/>
        <v>140506.00200000001</v>
      </c>
      <c r="H573" s="525">
        <v>0</v>
      </c>
      <c r="I573" s="525" t="s">
        <v>1606</v>
      </c>
      <c r="J573" s="534">
        <v>14580</v>
      </c>
      <c r="K573" s="144" t="s">
        <v>1603</v>
      </c>
      <c r="L573" s="409">
        <v>9.6369000000000007</v>
      </c>
      <c r="M573" s="89"/>
    </row>
    <row r="574" spans="1:13" s="3" customFormat="1" ht="18.75" customHeight="1" x14ac:dyDescent="0.4">
      <c r="A574" s="482">
        <v>46203</v>
      </c>
      <c r="B574" s="110" t="s">
        <v>782</v>
      </c>
      <c r="C574" s="29" t="s">
        <v>150</v>
      </c>
      <c r="D574" s="110" t="s">
        <v>258</v>
      </c>
      <c r="E574" s="110"/>
      <c r="F574" s="533">
        <v>1</v>
      </c>
      <c r="G574" s="525">
        <f t="shared" si="18"/>
        <v>140506.00200000001</v>
      </c>
      <c r="H574" s="525">
        <v>0</v>
      </c>
      <c r="I574" s="525" t="s">
        <v>1607</v>
      </c>
      <c r="J574" s="534">
        <v>14580</v>
      </c>
      <c r="K574" s="144" t="s">
        <v>1603</v>
      </c>
      <c r="L574" s="409">
        <v>9.6369000000000007</v>
      </c>
      <c r="M574" s="89"/>
    </row>
    <row r="575" spans="1:13" s="3" customFormat="1" ht="18.75" customHeight="1" x14ac:dyDescent="0.4">
      <c r="A575" s="483"/>
      <c r="B575" s="194"/>
      <c r="C575" s="40"/>
      <c r="D575" s="194"/>
      <c r="E575" s="194"/>
      <c r="F575" s="528"/>
      <c r="G575" s="529"/>
      <c r="H575" s="529">
        <f>SUM(H483:H554)-2</f>
        <v>459257430.70199978</v>
      </c>
      <c r="I575" s="529"/>
      <c r="J575" s="530"/>
      <c r="K575" s="145"/>
      <c r="L575" s="621"/>
      <c r="M575" s="89"/>
    </row>
    <row r="576" spans="1:13" s="3" customFormat="1" ht="18.75" customHeight="1" x14ac:dyDescent="0.4">
      <c r="A576" s="482">
        <v>46198</v>
      </c>
      <c r="B576" s="110" t="s">
        <v>1654</v>
      </c>
      <c r="C576" s="29" t="s">
        <v>1651</v>
      </c>
      <c r="D576" s="110" t="s">
        <v>860</v>
      </c>
      <c r="E576" s="110"/>
      <c r="F576" s="533">
        <v>2000</v>
      </c>
      <c r="G576" s="525">
        <v>340</v>
      </c>
      <c r="H576" s="525">
        <f t="shared" ref="H576:H581" si="20">F576*G576</f>
        <v>680000</v>
      </c>
      <c r="I576" s="525"/>
      <c r="J576" s="534"/>
      <c r="K576" s="144"/>
      <c r="L576" s="755"/>
      <c r="M576" s="89"/>
    </row>
    <row r="577" spans="1:16383" s="3" customFormat="1" ht="18.75" customHeight="1" x14ac:dyDescent="0.4">
      <c r="A577" s="482">
        <v>46198</v>
      </c>
      <c r="B577" s="110" t="s">
        <v>1654</v>
      </c>
      <c r="C577" s="29" t="s">
        <v>1372</v>
      </c>
      <c r="D577" s="110" t="s">
        <v>1374</v>
      </c>
      <c r="E577" s="110"/>
      <c r="F577" s="533">
        <v>6596</v>
      </c>
      <c r="G577" s="525">
        <v>270</v>
      </c>
      <c r="H577" s="525">
        <f t="shared" si="20"/>
        <v>1780920</v>
      </c>
      <c r="I577" s="525"/>
      <c r="J577" s="534"/>
      <c r="K577" s="144"/>
      <c r="L577" s="755"/>
      <c r="M577" s="89"/>
    </row>
    <row r="578" spans="1:16383" s="3" customFormat="1" ht="18.75" customHeight="1" x14ac:dyDescent="0.4">
      <c r="A578" s="482">
        <v>46198</v>
      </c>
      <c r="B578" s="110" t="s">
        <v>1654</v>
      </c>
      <c r="C578" s="29" t="s">
        <v>1651</v>
      </c>
      <c r="D578" s="110" t="s">
        <v>860</v>
      </c>
      <c r="E578" s="110"/>
      <c r="F578" s="533">
        <v>4000</v>
      </c>
      <c r="G578" s="525">
        <v>340</v>
      </c>
      <c r="H578" s="525">
        <f t="shared" si="20"/>
        <v>1360000</v>
      </c>
      <c r="I578" s="525"/>
      <c r="J578" s="534"/>
      <c r="K578" s="144"/>
      <c r="L578" s="755"/>
      <c r="M578" s="89"/>
    </row>
    <row r="579" spans="1:16383" s="3" customFormat="1" ht="18.75" customHeight="1" x14ac:dyDescent="0.4">
      <c r="A579" s="482">
        <v>46198</v>
      </c>
      <c r="B579" s="110" t="s">
        <v>1654</v>
      </c>
      <c r="C579" s="29" t="s">
        <v>1651</v>
      </c>
      <c r="D579" s="110" t="s">
        <v>860</v>
      </c>
      <c r="E579" s="110"/>
      <c r="F579" s="533">
        <v>4157</v>
      </c>
      <c r="G579" s="525">
        <v>340</v>
      </c>
      <c r="H579" s="525">
        <f t="shared" si="20"/>
        <v>1413380</v>
      </c>
      <c r="I579" s="525"/>
      <c r="J579" s="534"/>
      <c r="K579" s="144"/>
      <c r="L579" s="755"/>
      <c r="M579" s="89"/>
    </row>
    <row r="580" spans="1:16383" s="3" customFormat="1" ht="18.75" customHeight="1" x14ac:dyDescent="0.4">
      <c r="A580" s="482">
        <v>46198</v>
      </c>
      <c r="B580" s="110" t="s">
        <v>1654</v>
      </c>
      <c r="C580" s="29" t="s">
        <v>1372</v>
      </c>
      <c r="D580" s="110" t="s">
        <v>1374</v>
      </c>
      <c r="E580" s="110"/>
      <c r="F580" s="533">
        <v>1340</v>
      </c>
      <c r="G580" s="525">
        <v>270</v>
      </c>
      <c r="H580" s="525">
        <f t="shared" si="20"/>
        <v>361800</v>
      </c>
      <c r="I580" s="525"/>
      <c r="J580" s="534"/>
      <c r="K580" s="144"/>
      <c r="L580" s="755"/>
      <c r="M580" s="89"/>
    </row>
    <row r="581" spans="1:16383" s="3" customFormat="1" ht="18.75" customHeight="1" x14ac:dyDescent="0.4">
      <c r="A581" s="482">
        <v>46198</v>
      </c>
      <c r="B581" s="110" t="s">
        <v>1654</v>
      </c>
      <c r="C581" s="29" t="s">
        <v>1652</v>
      </c>
      <c r="D581" s="110" t="s">
        <v>1653</v>
      </c>
      <c r="E581" s="110"/>
      <c r="F581" s="533">
        <v>7400</v>
      </c>
      <c r="G581" s="525">
        <v>270</v>
      </c>
      <c r="H581" s="525">
        <f t="shared" si="20"/>
        <v>1998000</v>
      </c>
      <c r="I581" s="525"/>
      <c r="J581" s="534"/>
      <c r="K581" s="144"/>
      <c r="L581" s="755"/>
      <c r="M581" s="89"/>
    </row>
    <row r="582" spans="1:16383" s="3" customFormat="1" ht="18.75" customHeight="1" x14ac:dyDescent="0.4">
      <c r="A582" s="482"/>
      <c r="B582" s="110"/>
      <c r="C582" s="29"/>
      <c r="D582" s="110"/>
      <c r="E582" s="110"/>
      <c r="F582" s="533"/>
      <c r="G582" s="525"/>
      <c r="H582" s="525"/>
      <c r="I582" s="525"/>
      <c r="J582" s="534"/>
      <c r="K582" s="144"/>
      <c r="L582" s="755"/>
      <c r="M582" s="89"/>
    </row>
    <row r="583" spans="1:16383" s="3" customFormat="1" ht="18.75" customHeight="1" x14ac:dyDescent="0.4">
      <c r="A583" s="483"/>
      <c r="B583" s="194"/>
      <c r="C583" s="40"/>
      <c r="D583" s="194"/>
      <c r="E583" s="194"/>
      <c r="F583" s="528"/>
      <c r="G583" s="529"/>
      <c r="H583" s="529">
        <f>SUM(H576:H582)</f>
        <v>7594100</v>
      </c>
      <c r="I583" s="529"/>
      <c r="J583" s="530"/>
      <c r="K583" s="145"/>
      <c r="L583" s="754"/>
      <c r="M583" s="89"/>
    </row>
    <row r="584" spans="1:16383" s="3" customFormat="1" ht="18.75" customHeight="1" x14ac:dyDescent="0.4">
      <c r="A584" s="482"/>
      <c r="B584" s="110"/>
      <c r="C584" s="29"/>
      <c r="D584" s="110"/>
      <c r="E584" s="110"/>
      <c r="F584" s="533"/>
      <c r="G584" s="525"/>
      <c r="H584" s="525"/>
      <c r="I584" s="525"/>
      <c r="J584" s="534"/>
      <c r="K584" s="144"/>
      <c r="L584" s="755"/>
      <c r="M584" s="89"/>
    </row>
    <row r="585" spans="1:16383" s="3" customFormat="1" ht="18.75" customHeight="1" x14ac:dyDescent="0.4">
      <c r="A585" s="483"/>
      <c r="B585" s="194"/>
      <c r="C585" s="40"/>
      <c r="D585" s="194"/>
      <c r="E585" s="194"/>
      <c r="F585" s="528"/>
      <c r="G585" s="529"/>
      <c r="H585" s="529"/>
      <c r="I585" s="529"/>
      <c r="J585" s="530"/>
      <c r="K585" s="145"/>
      <c r="L585" s="754"/>
      <c r="M585" s="89"/>
    </row>
    <row r="586" spans="1:16383" s="50" customFormat="1" ht="18.75" customHeight="1" x14ac:dyDescent="0.4">
      <c r="A586" s="501">
        <v>46198</v>
      </c>
      <c r="B586" s="7" t="s">
        <v>1028</v>
      </c>
      <c r="C586" s="60" t="s">
        <v>1029</v>
      </c>
      <c r="D586" s="71" t="s">
        <v>1030</v>
      </c>
      <c r="E586" s="59" t="s">
        <v>424</v>
      </c>
      <c r="F586" s="7">
        <v>100</v>
      </c>
      <c r="G586" s="17">
        <v>147242</v>
      </c>
      <c r="H586" s="36">
        <f>F586*G586</f>
        <v>14724200</v>
      </c>
      <c r="I586" s="72"/>
      <c r="J586" s="72"/>
      <c r="K586" s="116"/>
      <c r="L586" s="19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  <c r="DA586" s="14"/>
      <c r="DB586" s="14"/>
      <c r="DC586" s="14"/>
      <c r="DD586" s="14"/>
      <c r="DE586" s="14"/>
      <c r="DF586" s="14"/>
      <c r="DG586" s="14"/>
      <c r="DH586" s="14"/>
      <c r="DI586" s="14"/>
      <c r="DJ586" s="14"/>
      <c r="DK586" s="14"/>
      <c r="DL586" s="14"/>
      <c r="DM586" s="14"/>
      <c r="DN586" s="14"/>
      <c r="DO586" s="14"/>
      <c r="DP586" s="14"/>
      <c r="DQ586" s="14"/>
      <c r="DR586" s="14"/>
      <c r="DS586" s="14"/>
      <c r="DT586" s="14"/>
      <c r="DU586" s="14"/>
      <c r="DV586" s="14"/>
      <c r="DW586" s="14"/>
      <c r="DX586" s="14"/>
      <c r="DY586" s="14"/>
      <c r="DZ586" s="14"/>
      <c r="EA586" s="14"/>
      <c r="EB586" s="14"/>
      <c r="EC586" s="14"/>
      <c r="ED586" s="14"/>
      <c r="EE586" s="14"/>
      <c r="EF586" s="14"/>
      <c r="EG586" s="14"/>
      <c r="EH586" s="14"/>
      <c r="EI586" s="14"/>
      <c r="EJ586" s="14"/>
      <c r="EK586" s="14"/>
      <c r="EL586" s="14"/>
      <c r="EM586" s="14"/>
      <c r="EN586" s="14"/>
      <c r="EO586" s="14"/>
      <c r="EP586" s="14"/>
      <c r="EQ586" s="14"/>
      <c r="ER586" s="14"/>
      <c r="ES586" s="14"/>
      <c r="ET586" s="14"/>
      <c r="EU586" s="14"/>
      <c r="EV586" s="14"/>
      <c r="EW586" s="14"/>
      <c r="EX586" s="14"/>
      <c r="EY586" s="14"/>
      <c r="EZ586" s="14"/>
      <c r="FA586" s="14"/>
      <c r="FB586" s="14"/>
      <c r="FC586" s="14"/>
      <c r="FD586" s="14"/>
      <c r="FE586" s="14"/>
      <c r="FF586" s="14"/>
      <c r="FG586" s="14"/>
      <c r="FH586" s="14"/>
      <c r="FI586" s="14"/>
      <c r="FJ586" s="14"/>
      <c r="FK586" s="14"/>
      <c r="FL586" s="14"/>
      <c r="FM586" s="14"/>
      <c r="FN586" s="14"/>
      <c r="FO586" s="14"/>
      <c r="FP586" s="14"/>
      <c r="FQ586" s="14"/>
      <c r="FR586" s="14"/>
      <c r="FS586" s="14"/>
      <c r="FT586" s="14"/>
      <c r="FU586" s="14"/>
      <c r="FV586" s="14"/>
      <c r="FW586" s="14"/>
      <c r="FX586" s="14"/>
      <c r="FY586" s="14"/>
      <c r="FZ586" s="14"/>
      <c r="GA586" s="14"/>
      <c r="GB586" s="14"/>
      <c r="GC586" s="14"/>
      <c r="GD586" s="14"/>
      <c r="GE586" s="14"/>
      <c r="GF586" s="14"/>
      <c r="GG586" s="14"/>
      <c r="GH586" s="14"/>
      <c r="GI586" s="14"/>
      <c r="GJ586" s="14"/>
      <c r="GK586" s="14"/>
      <c r="GL586" s="14"/>
      <c r="GM586" s="14"/>
      <c r="GN586" s="14"/>
      <c r="GO586" s="14"/>
      <c r="GP586" s="14"/>
      <c r="GQ586" s="14"/>
      <c r="GR586" s="14"/>
      <c r="GS586" s="14"/>
      <c r="GT586" s="14"/>
      <c r="GU586" s="14"/>
      <c r="GV586" s="14"/>
      <c r="GW586" s="14"/>
      <c r="GX586" s="14"/>
      <c r="GY586" s="14"/>
      <c r="GZ586" s="14"/>
      <c r="HA586" s="14"/>
      <c r="HB586" s="14"/>
      <c r="HC586" s="14"/>
      <c r="HD586" s="14"/>
      <c r="HE586" s="14"/>
      <c r="HF586" s="14"/>
      <c r="HG586" s="14"/>
      <c r="HH586" s="14"/>
      <c r="HI586" s="14"/>
      <c r="HJ586" s="14"/>
      <c r="HK586" s="14"/>
      <c r="HL586" s="14"/>
      <c r="HM586" s="14"/>
      <c r="HN586" s="14"/>
      <c r="HO586" s="14"/>
      <c r="HP586" s="14"/>
      <c r="HQ586" s="14"/>
      <c r="HR586" s="14"/>
      <c r="HS586" s="14"/>
      <c r="HT586" s="14"/>
      <c r="HU586" s="14"/>
      <c r="HV586" s="14"/>
      <c r="HW586" s="14"/>
      <c r="HX586" s="14"/>
      <c r="HY586" s="14"/>
      <c r="HZ586" s="14"/>
      <c r="IA586" s="14"/>
      <c r="IB586" s="14"/>
      <c r="IC586" s="14"/>
      <c r="ID586" s="14"/>
      <c r="IE586" s="14"/>
      <c r="IF586" s="14"/>
      <c r="IG586" s="14"/>
      <c r="IH586" s="14"/>
      <c r="II586" s="14"/>
      <c r="IJ586" s="14"/>
      <c r="IK586" s="14"/>
      <c r="IL586" s="14"/>
      <c r="IM586" s="14"/>
      <c r="IN586" s="14"/>
      <c r="IO586" s="14"/>
      <c r="IP586" s="14"/>
      <c r="IQ586" s="14"/>
      <c r="IR586" s="14"/>
      <c r="IS586" s="14"/>
      <c r="IT586" s="14"/>
      <c r="IU586" s="14"/>
      <c r="IV586" s="14"/>
      <c r="IW586" s="14"/>
      <c r="IX586" s="14"/>
      <c r="IY586" s="14"/>
      <c r="IZ586" s="14"/>
      <c r="JA586" s="14"/>
      <c r="JB586" s="14"/>
      <c r="JC586" s="14"/>
      <c r="JD586" s="14"/>
      <c r="JE586" s="14"/>
      <c r="JF586" s="14"/>
      <c r="JG586" s="14"/>
      <c r="JH586" s="14"/>
      <c r="JI586" s="14"/>
      <c r="JJ586" s="14"/>
      <c r="JK586" s="14"/>
      <c r="JL586" s="14"/>
      <c r="JM586" s="14"/>
      <c r="JN586" s="14"/>
      <c r="JO586" s="14"/>
      <c r="JP586" s="14"/>
      <c r="JQ586" s="14"/>
      <c r="JR586" s="14"/>
      <c r="JS586" s="14"/>
      <c r="JT586" s="14"/>
      <c r="JU586" s="14"/>
      <c r="JV586" s="14"/>
      <c r="JW586" s="14"/>
      <c r="JX586" s="14"/>
      <c r="JY586" s="14"/>
      <c r="JZ586" s="14"/>
      <c r="KA586" s="14"/>
      <c r="KB586" s="14"/>
      <c r="KC586" s="14"/>
      <c r="KD586" s="14"/>
      <c r="KE586" s="14"/>
      <c r="KF586" s="14"/>
      <c r="KG586" s="14"/>
      <c r="KH586" s="14"/>
      <c r="KI586" s="14"/>
      <c r="KJ586" s="14"/>
      <c r="KK586" s="14"/>
      <c r="KL586" s="14"/>
      <c r="KM586" s="14"/>
      <c r="KN586" s="14"/>
      <c r="KO586" s="14"/>
      <c r="KP586" s="14"/>
      <c r="KQ586" s="14"/>
      <c r="KR586" s="14"/>
      <c r="KS586" s="14"/>
      <c r="KT586" s="14"/>
      <c r="KU586" s="14"/>
      <c r="KV586" s="14"/>
      <c r="KW586" s="14"/>
      <c r="KX586" s="14"/>
      <c r="KY586" s="14"/>
      <c r="KZ586" s="14"/>
      <c r="LA586" s="14"/>
      <c r="LB586" s="14"/>
      <c r="LC586" s="14"/>
      <c r="LD586" s="14"/>
      <c r="LE586" s="14"/>
      <c r="LF586" s="14"/>
      <c r="LG586" s="14"/>
      <c r="LH586" s="14"/>
      <c r="LI586" s="14"/>
      <c r="LJ586" s="14"/>
      <c r="LK586" s="14"/>
      <c r="LL586" s="14"/>
      <c r="LM586" s="14"/>
      <c r="LN586" s="14"/>
      <c r="LO586" s="14"/>
      <c r="LP586" s="14"/>
      <c r="LQ586" s="14"/>
      <c r="LR586" s="14"/>
      <c r="LS586" s="14"/>
      <c r="LT586" s="14"/>
      <c r="LU586" s="14"/>
      <c r="LV586" s="14"/>
      <c r="LW586" s="14"/>
      <c r="LX586" s="14"/>
      <c r="LY586" s="14"/>
      <c r="LZ586" s="14"/>
      <c r="MA586" s="14"/>
      <c r="MB586" s="14"/>
      <c r="MC586" s="14"/>
      <c r="MD586" s="14"/>
      <c r="ME586" s="14"/>
      <c r="MF586" s="14"/>
      <c r="MG586" s="14"/>
      <c r="MH586" s="14"/>
      <c r="MI586" s="14"/>
      <c r="MJ586" s="14"/>
      <c r="MK586" s="14"/>
      <c r="ML586" s="14"/>
      <c r="MM586" s="14"/>
      <c r="MN586" s="14"/>
      <c r="MO586" s="14"/>
      <c r="MP586" s="14"/>
      <c r="MQ586" s="14"/>
      <c r="MR586" s="14"/>
      <c r="MS586" s="14"/>
      <c r="MT586" s="14"/>
      <c r="MU586" s="14"/>
      <c r="MV586" s="14"/>
      <c r="MW586" s="14"/>
      <c r="MX586" s="14"/>
      <c r="MY586" s="14"/>
      <c r="MZ586" s="14"/>
      <c r="NA586" s="14"/>
      <c r="NB586" s="14"/>
      <c r="NC586" s="14"/>
      <c r="ND586" s="14"/>
      <c r="NE586" s="14"/>
      <c r="NF586" s="14"/>
      <c r="NG586" s="14"/>
      <c r="NH586" s="14"/>
      <c r="NI586" s="14"/>
      <c r="NJ586" s="14"/>
      <c r="NK586" s="14"/>
      <c r="NL586" s="14"/>
      <c r="NM586" s="14"/>
      <c r="NN586" s="14"/>
      <c r="NO586" s="14"/>
      <c r="NP586" s="14"/>
      <c r="NQ586" s="14"/>
      <c r="NR586" s="14"/>
      <c r="NS586" s="14"/>
      <c r="NT586" s="14"/>
      <c r="NU586" s="14"/>
      <c r="NV586" s="14"/>
      <c r="NW586" s="14"/>
      <c r="NX586" s="14"/>
      <c r="NY586" s="14"/>
      <c r="NZ586" s="14"/>
      <c r="OA586" s="14"/>
      <c r="OB586" s="14"/>
      <c r="OC586" s="14"/>
      <c r="OD586" s="14"/>
      <c r="OE586" s="14"/>
      <c r="OF586" s="14"/>
      <c r="OG586" s="14"/>
      <c r="OH586" s="14"/>
      <c r="OI586" s="14"/>
      <c r="OJ586" s="14"/>
      <c r="OK586" s="14"/>
      <c r="OL586" s="14"/>
      <c r="OM586" s="14"/>
      <c r="ON586" s="14"/>
      <c r="OO586" s="14"/>
      <c r="OP586" s="14"/>
      <c r="OQ586" s="14"/>
      <c r="OR586" s="14"/>
      <c r="OS586" s="14"/>
      <c r="OT586" s="14"/>
      <c r="OU586" s="14"/>
      <c r="OV586" s="14"/>
      <c r="OW586" s="14"/>
      <c r="OX586" s="14"/>
      <c r="OY586" s="14"/>
      <c r="OZ586" s="14"/>
      <c r="PA586" s="14"/>
      <c r="PB586" s="14"/>
      <c r="PC586" s="14"/>
      <c r="PD586" s="14"/>
      <c r="PE586" s="14"/>
      <c r="PF586" s="14"/>
      <c r="PG586" s="14"/>
      <c r="PH586" s="14"/>
      <c r="PI586" s="14"/>
      <c r="PJ586" s="14"/>
      <c r="PK586" s="14"/>
      <c r="PL586" s="14"/>
      <c r="PM586" s="14"/>
      <c r="PN586" s="14"/>
      <c r="PO586" s="14"/>
      <c r="PP586" s="14"/>
      <c r="PQ586" s="14"/>
      <c r="PR586" s="14"/>
      <c r="PS586" s="14"/>
      <c r="PT586" s="14"/>
      <c r="PU586" s="14"/>
      <c r="PV586" s="14"/>
      <c r="PW586" s="14"/>
      <c r="PX586" s="14"/>
      <c r="PY586" s="14"/>
      <c r="PZ586" s="14"/>
      <c r="QA586" s="14"/>
      <c r="QB586" s="14"/>
      <c r="QC586" s="14"/>
      <c r="QD586" s="14"/>
      <c r="QE586" s="14"/>
      <c r="QF586" s="14"/>
      <c r="QG586" s="14"/>
      <c r="QH586" s="14"/>
      <c r="QI586" s="14"/>
      <c r="QJ586" s="14"/>
      <c r="QK586" s="14"/>
      <c r="QL586" s="14"/>
      <c r="QM586" s="14"/>
      <c r="QN586" s="14"/>
      <c r="QO586" s="14"/>
      <c r="QP586" s="14"/>
      <c r="QQ586" s="14"/>
      <c r="QR586" s="14"/>
      <c r="QS586" s="14"/>
      <c r="QT586" s="14"/>
      <c r="QU586" s="14"/>
      <c r="QV586" s="14"/>
      <c r="QW586" s="14"/>
      <c r="QX586" s="14"/>
      <c r="QY586" s="14"/>
      <c r="QZ586" s="14"/>
      <c r="RA586" s="14"/>
      <c r="RB586" s="14"/>
      <c r="RC586" s="14"/>
      <c r="RD586" s="14"/>
      <c r="RE586" s="14"/>
      <c r="RF586" s="14"/>
      <c r="RG586" s="14"/>
      <c r="RH586" s="14"/>
      <c r="RI586" s="14"/>
      <c r="RJ586" s="14"/>
      <c r="RK586" s="14"/>
      <c r="RL586" s="14"/>
      <c r="RM586" s="14"/>
      <c r="RN586" s="14"/>
      <c r="RO586" s="14"/>
      <c r="RP586" s="14"/>
      <c r="RQ586" s="14"/>
      <c r="RR586" s="14"/>
      <c r="RS586" s="14"/>
      <c r="RT586" s="14"/>
      <c r="RU586" s="14"/>
      <c r="RV586" s="14"/>
      <c r="RW586" s="14"/>
      <c r="RX586" s="14"/>
      <c r="RY586" s="14"/>
      <c r="RZ586" s="14"/>
      <c r="SA586" s="14"/>
      <c r="SB586" s="14"/>
      <c r="SC586" s="14"/>
      <c r="SD586" s="14"/>
      <c r="SE586" s="14"/>
      <c r="SF586" s="14"/>
      <c r="SG586" s="14"/>
      <c r="SH586" s="14"/>
      <c r="SI586" s="14"/>
      <c r="SJ586" s="14"/>
      <c r="SK586" s="14"/>
      <c r="SL586" s="14"/>
      <c r="SM586" s="14"/>
      <c r="SN586" s="14"/>
      <c r="SO586" s="14"/>
      <c r="SP586" s="14"/>
      <c r="SQ586" s="14"/>
      <c r="SR586" s="14"/>
      <c r="SS586" s="14"/>
      <c r="ST586" s="14"/>
      <c r="SU586" s="14"/>
      <c r="SV586" s="14"/>
      <c r="SW586" s="14"/>
      <c r="SX586" s="14"/>
      <c r="SY586" s="14"/>
      <c r="SZ586" s="14"/>
      <c r="TA586" s="14"/>
      <c r="TB586" s="14"/>
      <c r="TC586" s="14"/>
      <c r="TD586" s="14"/>
      <c r="TE586" s="14"/>
      <c r="TF586" s="14"/>
      <c r="TG586" s="14"/>
      <c r="TH586" s="14"/>
      <c r="TI586" s="14"/>
      <c r="TJ586" s="14"/>
      <c r="TK586" s="14"/>
      <c r="TL586" s="14"/>
      <c r="TM586" s="14"/>
      <c r="TN586" s="14"/>
      <c r="TO586" s="14"/>
      <c r="TP586" s="14"/>
      <c r="TQ586" s="14"/>
      <c r="TR586" s="14"/>
      <c r="TS586" s="14"/>
      <c r="TT586" s="14"/>
      <c r="TU586" s="14"/>
      <c r="TV586" s="14"/>
      <c r="TW586" s="14"/>
      <c r="TX586" s="14"/>
      <c r="TY586" s="14"/>
      <c r="TZ586" s="14"/>
      <c r="UA586" s="14"/>
      <c r="UB586" s="14"/>
      <c r="UC586" s="14"/>
      <c r="UD586" s="14"/>
      <c r="UE586" s="14"/>
      <c r="UF586" s="14"/>
      <c r="UG586" s="14"/>
      <c r="UH586" s="14"/>
      <c r="UI586" s="14"/>
      <c r="UJ586" s="14"/>
      <c r="UK586" s="14"/>
      <c r="UL586" s="14"/>
      <c r="UM586" s="14"/>
      <c r="UN586" s="14"/>
      <c r="UO586" s="14"/>
      <c r="UP586" s="14"/>
      <c r="UQ586" s="14"/>
      <c r="UR586" s="14"/>
      <c r="US586" s="14"/>
      <c r="UT586" s="14"/>
      <c r="UU586" s="14"/>
      <c r="UV586" s="14"/>
      <c r="UW586" s="14"/>
      <c r="UX586" s="14"/>
      <c r="UY586" s="14"/>
      <c r="UZ586" s="14"/>
      <c r="VA586" s="14"/>
      <c r="VB586" s="14"/>
      <c r="VC586" s="14"/>
      <c r="VD586" s="14"/>
      <c r="VE586" s="14"/>
      <c r="VF586" s="14"/>
      <c r="VG586" s="14"/>
      <c r="VH586" s="14"/>
      <c r="VI586" s="14"/>
      <c r="VJ586" s="14"/>
      <c r="VK586" s="14"/>
      <c r="VL586" s="14"/>
      <c r="VM586" s="14"/>
      <c r="VN586" s="14"/>
      <c r="VO586" s="14"/>
      <c r="VP586" s="14"/>
      <c r="VQ586" s="14"/>
      <c r="VR586" s="14"/>
      <c r="VS586" s="14"/>
      <c r="VT586" s="14"/>
      <c r="VU586" s="14"/>
      <c r="VV586" s="14"/>
      <c r="VW586" s="14"/>
      <c r="VX586" s="14"/>
      <c r="VY586" s="14"/>
      <c r="VZ586" s="14"/>
      <c r="WA586" s="14"/>
      <c r="WB586" s="14"/>
      <c r="WC586" s="14"/>
      <c r="WD586" s="14"/>
      <c r="WE586" s="14"/>
      <c r="WF586" s="14"/>
      <c r="WG586" s="14"/>
      <c r="WH586" s="14"/>
      <c r="WI586" s="14"/>
      <c r="WJ586" s="14"/>
      <c r="WK586" s="14"/>
      <c r="WL586" s="14"/>
      <c r="WM586" s="14"/>
      <c r="WN586" s="14"/>
      <c r="WO586" s="14"/>
      <c r="WP586" s="14"/>
      <c r="WQ586" s="14"/>
      <c r="WR586" s="14"/>
      <c r="WS586" s="14"/>
      <c r="WT586" s="14"/>
      <c r="WU586" s="14"/>
      <c r="WV586" s="14"/>
      <c r="WW586" s="14"/>
      <c r="WX586" s="14"/>
      <c r="WY586" s="14"/>
      <c r="WZ586" s="14"/>
      <c r="XA586" s="14"/>
      <c r="XB586" s="14"/>
      <c r="XC586" s="14"/>
      <c r="XD586" s="14"/>
      <c r="XE586" s="14"/>
      <c r="XF586" s="14"/>
      <c r="XG586" s="14"/>
      <c r="XH586" s="14"/>
      <c r="XI586" s="14"/>
      <c r="XJ586" s="14"/>
      <c r="XK586" s="14"/>
      <c r="XL586" s="14"/>
      <c r="XM586" s="14"/>
      <c r="XN586" s="14"/>
      <c r="XO586" s="14"/>
      <c r="XP586" s="14"/>
      <c r="XQ586" s="14"/>
      <c r="XR586" s="14"/>
      <c r="XS586" s="14"/>
      <c r="XT586" s="14"/>
      <c r="XU586" s="14"/>
      <c r="XV586" s="14"/>
      <c r="XW586" s="14"/>
      <c r="XX586" s="14"/>
      <c r="XY586" s="14"/>
      <c r="XZ586" s="14"/>
      <c r="YA586" s="14"/>
      <c r="YB586" s="14"/>
      <c r="YC586" s="14"/>
      <c r="YD586" s="14"/>
      <c r="YE586" s="14"/>
      <c r="YF586" s="14"/>
      <c r="YG586" s="14"/>
      <c r="YH586" s="14"/>
      <c r="YI586" s="14"/>
      <c r="YJ586" s="14"/>
      <c r="YK586" s="14"/>
      <c r="YL586" s="14"/>
      <c r="YM586" s="14"/>
      <c r="YN586" s="14"/>
      <c r="YO586" s="14"/>
      <c r="YP586" s="14"/>
      <c r="YQ586" s="14"/>
      <c r="YR586" s="14"/>
      <c r="YS586" s="14"/>
      <c r="YT586" s="14"/>
      <c r="YU586" s="14"/>
      <c r="YV586" s="14"/>
      <c r="YW586" s="14"/>
      <c r="YX586" s="14"/>
      <c r="YY586" s="14"/>
      <c r="YZ586" s="14"/>
      <c r="ZA586" s="14"/>
      <c r="ZB586" s="14"/>
      <c r="ZC586" s="14"/>
      <c r="ZD586" s="14"/>
      <c r="ZE586" s="14"/>
      <c r="ZF586" s="14"/>
      <c r="ZG586" s="14"/>
      <c r="ZH586" s="14"/>
      <c r="ZI586" s="14"/>
      <c r="ZJ586" s="14"/>
      <c r="ZK586" s="14"/>
      <c r="ZL586" s="14"/>
      <c r="ZM586" s="14"/>
      <c r="ZN586" s="14"/>
      <c r="ZO586" s="14"/>
      <c r="ZP586" s="14"/>
      <c r="ZQ586" s="14"/>
      <c r="ZR586" s="14"/>
      <c r="ZS586" s="14"/>
      <c r="ZT586" s="14"/>
      <c r="ZU586" s="14"/>
      <c r="ZV586" s="14"/>
      <c r="ZW586" s="14"/>
      <c r="ZX586" s="14"/>
      <c r="ZY586" s="14"/>
      <c r="ZZ586" s="14"/>
      <c r="AAA586" s="14"/>
      <c r="AAB586" s="14"/>
      <c r="AAC586" s="14"/>
      <c r="AAD586" s="14"/>
      <c r="AAE586" s="14"/>
      <c r="AAF586" s="14"/>
      <c r="AAG586" s="14"/>
      <c r="AAH586" s="14"/>
      <c r="AAI586" s="14"/>
      <c r="AAJ586" s="14"/>
      <c r="AAK586" s="14"/>
      <c r="AAL586" s="14"/>
      <c r="AAM586" s="14"/>
      <c r="AAN586" s="14"/>
      <c r="AAO586" s="14"/>
      <c r="AAP586" s="14"/>
      <c r="AAQ586" s="14"/>
      <c r="AAR586" s="14"/>
      <c r="AAS586" s="14"/>
      <c r="AAT586" s="14"/>
      <c r="AAU586" s="14"/>
      <c r="AAV586" s="14"/>
      <c r="AAW586" s="14"/>
      <c r="AAX586" s="14"/>
      <c r="AAY586" s="14"/>
      <c r="AAZ586" s="14"/>
      <c r="ABA586" s="14"/>
      <c r="ABB586" s="14"/>
      <c r="ABC586" s="14"/>
      <c r="ABD586" s="14"/>
      <c r="ABE586" s="14"/>
      <c r="ABF586" s="14"/>
      <c r="ABG586" s="14"/>
      <c r="ABH586" s="14"/>
      <c r="ABI586" s="14"/>
      <c r="ABJ586" s="14"/>
      <c r="ABK586" s="14"/>
      <c r="ABL586" s="14"/>
      <c r="ABM586" s="14"/>
      <c r="ABN586" s="14"/>
      <c r="ABO586" s="14"/>
      <c r="ABP586" s="14"/>
      <c r="ABQ586" s="14"/>
      <c r="ABR586" s="14"/>
      <c r="ABS586" s="14"/>
      <c r="ABT586" s="14"/>
      <c r="ABU586" s="14"/>
      <c r="ABV586" s="14"/>
      <c r="ABW586" s="14"/>
      <c r="ABX586" s="14"/>
      <c r="ABY586" s="14"/>
      <c r="ABZ586" s="14"/>
      <c r="ACA586" s="14"/>
      <c r="ACB586" s="14"/>
      <c r="ACC586" s="14"/>
      <c r="ACD586" s="14"/>
      <c r="ACE586" s="14"/>
      <c r="ACF586" s="14"/>
      <c r="ACG586" s="14"/>
      <c r="ACH586" s="14"/>
      <c r="ACI586" s="14"/>
      <c r="ACJ586" s="14"/>
      <c r="ACK586" s="14"/>
      <c r="ACL586" s="14"/>
      <c r="ACM586" s="14"/>
      <c r="ACN586" s="14"/>
      <c r="ACO586" s="14"/>
      <c r="ACP586" s="14"/>
      <c r="ACQ586" s="14"/>
      <c r="ACR586" s="14"/>
      <c r="ACS586" s="14"/>
      <c r="ACT586" s="14"/>
      <c r="ACU586" s="14"/>
      <c r="ACV586" s="14"/>
      <c r="ACW586" s="14"/>
      <c r="ACX586" s="14"/>
      <c r="ACY586" s="14"/>
      <c r="ACZ586" s="14"/>
      <c r="ADA586" s="14"/>
      <c r="ADB586" s="14"/>
      <c r="ADC586" s="14"/>
      <c r="ADD586" s="14"/>
      <c r="ADE586" s="14"/>
      <c r="ADF586" s="14"/>
      <c r="ADG586" s="14"/>
      <c r="ADH586" s="14"/>
      <c r="ADI586" s="14"/>
      <c r="ADJ586" s="14"/>
      <c r="ADK586" s="14"/>
      <c r="ADL586" s="14"/>
      <c r="ADM586" s="14"/>
      <c r="ADN586" s="14"/>
      <c r="ADO586" s="14"/>
      <c r="ADP586" s="14"/>
      <c r="ADQ586" s="14"/>
      <c r="ADR586" s="14"/>
      <c r="ADS586" s="14"/>
      <c r="ADT586" s="14"/>
      <c r="ADU586" s="14"/>
      <c r="ADV586" s="14"/>
      <c r="ADW586" s="14"/>
      <c r="ADX586" s="14"/>
      <c r="ADY586" s="14"/>
      <c r="ADZ586" s="14"/>
      <c r="AEA586" s="14"/>
      <c r="AEB586" s="14"/>
      <c r="AEC586" s="14"/>
      <c r="AED586" s="14"/>
      <c r="AEE586" s="14"/>
      <c r="AEF586" s="14"/>
      <c r="AEG586" s="14"/>
      <c r="AEH586" s="14"/>
      <c r="AEI586" s="14"/>
      <c r="AEJ586" s="14"/>
      <c r="AEK586" s="14"/>
      <c r="AEL586" s="14"/>
      <c r="AEM586" s="14"/>
      <c r="AEN586" s="14"/>
      <c r="AEO586" s="14"/>
      <c r="AEP586" s="14"/>
      <c r="AEQ586" s="14"/>
      <c r="AER586" s="14"/>
      <c r="AES586" s="14"/>
      <c r="AET586" s="14"/>
      <c r="AEU586" s="14"/>
      <c r="AEV586" s="14"/>
      <c r="AEW586" s="14"/>
      <c r="AEX586" s="14"/>
      <c r="AEY586" s="14"/>
      <c r="AEZ586" s="14"/>
      <c r="AFA586" s="14"/>
      <c r="AFB586" s="14"/>
      <c r="AFC586" s="14"/>
      <c r="AFD586" s="14"/>
      <c r="AFE586" s="14"/>
      <c r="AFF586" s="14"/>
      <c r="AFG586" s="14"/>
      <c r="AFH586" s="14"/>
      <c r="AFI586" s="14"/>
      <c r="AFJ586" s="14"/>
      <c r="AFK586" s="14"/>
      <c r="AFL586" s="14"/>
      <c r="AFM586" s="14"/>
      <c r="AFN586" s="14"/>
      <c r="AFO586" s="14"/>
      <c r="AFP586" s="14"/>
      <c r="AFQ586" s="14"/>
      <c r="AFR586" s="14"/>
      <c r="AFS586" s="14"/>
      <c r="AFT586" s="14"/>
      <c r="AFU586" s="14"/>
      <c r="AFV586" s="14"/>
      <c r="AFW586" s="14"/>
      <c r="AFX586" s="14"/>
      <c r="AFY586" s="14"/>
      <c r="AFZ586" s="14"/>
      <c r="AGA586" s="14"/>
      <c r="AGB586" s="14"/>
      <c r="AGC586" s="14"/>
      <c r="AGD586" s="14"/>
      <c r="AGE586" s="14"/>
      <c r="AGF586" s="14"/>
      <c r="AGG586" s="14"/>
      <c r="AGH586" s="14"/>
      <c r="AGI586" s="14"/>
      <c r="AGJ586" s="14"/>
      <c r="AGK586" s="14"/>
      <c r="AGL586" s="14"/>
      <c r="AGM586" s="14"/>
      <c r="AGN586" s="14"/>
      <c r="AGO586" s="14"/>
      <c r="AGP586" s="14"/>
      <c r="AGQ586" s="14"/>
      <c r="AGR586" s="14"/>
      <c r="AGS586" s="14"/>
      <c r="AGT586" s="14"/>
      <c r="AGU586" s="14"/>
      <c r="AGV586" s="14"/>
      <c r="AGW586" s="14"/>
      <c r="AGX586" s="14"/>
      <c r="AGY586" s="14"/>
      <c r="AGZ586" s="14"/>
      <c r="AHA586" s="14"/>
      <c r="AHB586" s="14"/>
      <c r="AHC586" s="14"/>
      <c r="AHD586" s="14"/>
      <c r="AHE586" s="14"/>
      <c r="AHF586" s="14"/>
      <c r="AHG586" s="14"/>
      <c r="AHH586" s="14"/>
      <c r="AHI586" s="14"/>
      <c r="AHJ586" s="14"/>
      <c r="AHK586" s="14"/>
      <c r="AHL586" s="14"/>
      <c r="AHM586" s="14"/>
      <c r="AHN586" s="14"/>
      <c r="AHO586" s="14"/>
      <c r="AHP586" s="14"/>
      <c r="AHQ586" s="14"/>
      <c r="AHR586" s="14"/>
      <c r="AHS586" s="14"/>
      <c r="AHT586" s="14"/>
      <c r="AHU586" s="14"/>
      <c r="AHV586" s="14"/>
      <c r="AHW586" s="14"/>
      <c r="AHX586" s="14"/>
      <c r="AHY586" s="14"/>
      <c r="AHZ586" s="14"/>
      <c r="AIA586" s="14"/>
      <c r="AIB586" s="14"/>
      <c r="AIC586" s="14"/>
      <c r="AID586" s="14"/>
      <c r="AIE586" s="14"/>
      <c r="AIF586" s="14"/>
      <c r="AIG586" s="14"/>
      <c r="AIH586" s="14"/>
      <c r="AII586" s="14"/>
      <c r="AIJ586" s="14"/>
      <c r="AIK586" s="14"/>
      <c r="AIL586" s="14"/>
      <c r="AIM586" s="14"/>
      <c r="AIN586" s="14"/>
      <c r="AIO586" s="14"/>
      <c r="AIP586" s="14"/>
      <c r="AIQ586" s="14"/>
      <c r="AIR586" s="14"/>
      <c r="AIS586" s="14"/>
      <c r="AIT586" s="14"/>
      <c r="AIU586" s="14"/>
      <c r="AIV586" s="14"/>
      <c r="AIW586" s="14"/>
      <c r="AIX586" s="14"/>
      <c r="AIY586" s="14"/>
      <c r="AIZ586" s="14"/>
      <c r="AJA586" s="14"/>
      <c r="AJB586" s="14"/>
      <c r="AJC586" s="14"/>
      <c r="AJD586" s="14"/>
      <c r="AJE586" s="14"/>
      <c r="AJF586" s="14"/>
      <c r="AJG586" s="14"/>
      <c r="AJH586" s="14"/>
      <c r="AJI586" s="14"/>
      <c r="AJJ586" s="14"/>
      <c r="AJK586" s="14"/>
      <c r="AJL586" s="14"/>
      <c r="AJM586" s="14"/>
      <c r="AJN586" s="14"/>
      <c r="AJO586" s="14"/>
      <c r="AJP586" s="14"/>
      <c r="AJQ586" s="14"/>
      <c r="AJR586" s="14"/>
      <c r="AJS586" s="14"/>
      <c r="AJT586" s="14"/>
      <c r="AJU586" s="14"/>
      <c r="AJV586" s="14"/>
      <c r="AJW586" s="14"/>
      <c r="AJX586" s="14"/>
      <c r="AJY586" s="14"/>
      <c r="AJZ586" s="14"/>
      <c r="AKA586" s="14"/>
      <c r="AKB586" s="14"/>
      <c r="AKC586" s="14"/>
      <c r="AKD586" s="14"/>
      <c r="AKE586" s="14"/>
      <c r="AKF586" s="14"/>
      <c r="AKG586" s="14"/>
      <c r="AKH586" s="14"/>
      <c r="AKI586" s="14"/>
      <c r="AKJ586" s="14"/>
      <c r="AKK586" s="14"/>
      <c r="AKL586" s="14"/>
      <c r="AKM586" s="14"/>
      <c r="AKN586" s="14"/>
      <c r="AKO586" s="14"/>
      <c r="AKP586" s="14"/>
      <c r="AKQ586" s="14"/>
      <c r="AKR586" s="14"/>
      <c r="AKS586" s="14"/>
      <c r="AKT586" s="14"/>
      <c r="AKU586" s="14"/>
      <c r="AKV586" s="14"/>
      <c r="AKW586" s="14"/>
      <c r="AKX586" s="14"/>
      <c r="AKY586" s="14"/>
      <c r="AKZ586" s="14"/>
      <c r="ALA586" s="14"/>
      <c r="ALB586" s="14"/>
      <c r="ALC586" s="14"/>
      <c r="ALD586" s="14"/>
      <c r="ALE586" s="14"/>
      <c r="ALF586" s="14"/>
      <c r="ALG586" s="14"/>
      <c r="ALH586" s="14"/>
      <c r="ALI586" s="14"/>
      <c r="ALJ586" s="14"/>
      <c r="ALK586" s="14"/>
      <c r="ALL586" s="14"/>
      <c r="ALM586" s="14"/>
      <c r="ALN586" s="14"/>
      <c r="ALO586" s="14"/>
      <c r="ALP586" s="14"/>
      <c r="ALQ586" s="14"/>
      <c r="ALR586" s="14"/>
      <c r="ALS586" s="14"/>
      <c r="ALT586" s="14"/>
      <c r="ALU586" s="14"/>
      <c r="ALV586" s="14"/>
      <c r="ALW586" s="14"/>
      <c r="ALX586" s="14"/>
      <c r="ALY586" s="14"/>
      <c r="ALZ586" s="14"/>
      <c r="AMA586" s="14"/>
      <c r="AMB586" s="14"/>
      <c r="AMC586" s="14"/>
      <c r="AMD586" s="14"/>
      <c r="AME586" s="14"/>
      <c r="AMF586" s="14"/>
      <c r="AMG586" s="14"/>
      <c r="AMH586" s="14"/>
      <c r="AMI586" s="14"/>
      <c r="AMJ586" s="14"/>
      <c r="AMK586" s="14"/>
      <c r="AML586" s="14"/>
      <c r="AMM586" s="14"/>
      <c r="AMN586" s="14"/>
      <c r="AMO586" s="14"/>
      <c r="AMP586" s="14"/>
      <c r="AMQ586" s="14"/>
      <c r="AMR586" s="14"/>
      <c r="AMS586" s="14"/>
      <c r="AMT586" s="14"/>
      <c r="AMU586" s="14"/>
      <c r="AMV586" s="14"/>
      <c r="AMW586" s="14"/>
      <c r="AMX586" s="14"/>
      <c r="AMY586" s="14"/>
      <c r="AMZ586" s="14"/>
      <c r="ANA586" s="14"/>
      <c r="ANB586" s="14"/>
      <c r="ANC586" s="14"/>
      <c r="AND586" s="14"/>
      <c r="ANE586" s="14"/>
      <c r="ANF586" s="14"/>
      <c r="ANG586" s="14"/>
      <c r="ANH586" s="14"/>
      <c r="ANI586" s="14"/>
      <c r="ANJ586" s="14"/>
      <c r="ANK586" s="14"/>
      <c r="ANL586" s="14"/>
      <c r="ANM586" s="14"/>
      <c r="ANN586" s="14"/>
      <c r="ANO586" s="14"/>
      <c r="ANP586" s="14"/>
      <c r="ANQ586" s="14"/>
      <c r="ANR586" s="14"/>
      <c r="ANS586" s="14"/>
      <c r="ANT586" s="14"/>
      <c r="ANU586" s="14"/>
      <c r="ANV586" s="14"/>
      <c r="ANW586" s="14"/>
      <c r="ANX586" s="14"/>
      <c r="ANY586" s="14"/>
      <c r="ANZ586" s="14"/>
      <c r="AOA586" s="14"/>
      <c r="AOB586" s="14"/>
      <c r="AOC586" s="14"/>
      <c r="AOD586" s="14"/>
      <c r="AOE586" s="14"/>
      <c r="AOF586" s="14"/>
      <c r="AOG586" s="14"/>
      <c r="AOH586" s="14"/>
      <c r="AOI586" s="14"/>
      <c r="AOJ586" s="14"/>
      <c r="AOK586" s="14"/>
      <c r="AOL586" s="14"/>
      <c r="AOM586" s="14"/>
      <c r="AON586" s="14"/>
      <c r="AOO586" s="14"/>
      <c r="AOP586" s="14"/>
      <c r="AOQ586" s="14"/>
      <c r="AOR586" s="14"/>
      <c r="AOS586" s="14"/>
      <c r="AOT586" s="14"/>
      <c r="AOU586" s="14"/>
      <c r="AOV586" s="14"/>
      <c r="AOW586" s="14"/>
      <c r="AOX586" s="14"/>
      <c r="AOY586" s="14"/>
      <c r="AOZ586" s="14"/>
      <c r="APA586" s="14"/>
      <c r="APB586" s="14"/>
      <c r="APC586" s="14"/>
      <c r="APD586" s="14"/>
      <c r="APE586" s="14"/>
      <c r="APF586" s="14"/>
      <c r="APG586" s="14"/>
      <c r="APH586" s="14"/>
      <c r="API586" s="14"/>
      <c r="APJ586" s="14"/>
      <c r="APK586" s="14"/>
      <c r="APL586" s="14"/>
      <c r="APM586" s="14"/>
      <c r="APN586" s="14"/>
      <c r="APO586" s="14"/>
      <c r="APP586" s="14"/>
      <c r="APQ586" s="14"/>
      <c r="APR586" s="14"/>
      <c r="APS586" s="14"/>
      <c r="APT586" s="14"/>
      <c r="APU586" s="14"/>
      <c r="APV586" s="14"/>
      <c r="APW586" s="14"/>
      <c r="APX586" s="14"/>
      <c r="APY586" s="14"/>
      <c r="APZ586" s="14"/>
      <c r="AQA586" s="14"/>
      <c r="AQB586" s="14"/>
      <c r="AQC586" s="14"/>
      <c r="AQD586" s="14"/>
      <c r="AQE586" s="14"/>
      <c r="AQF586" s="14"/>
      <c r="AQG586" s="14"/>
      <c r="AQH586" s="14"/>
      <c r="AQI586" s="14"/>
      <c r="AQJ586" s="14"/>
      <c r="AQK586" s="14"/>
      <c r="AQL586" s="14"/>
      <c r="AQM586" s="14"/>
      <c r="AQN586" s="14"/>
      <c r="AQO586" s="14"/>
      <c r="AQP586" s="14"/>
      <c r="AQQ586" s="14"/>
      <c r="AQR586" s="14"/>
      <c r="AQS586" s="14"/>
      <c r="AQT586" s="14"/>
      <c r="AQU586" s="14"/>
      <c r="AQV586" s="14"/>
      <c r="AQW586" s="14"/>
      <c r="AQX586" s="14"/>
      <c r="AQY586" s="14"/>
      <c r="AQZ586" s="14"/>
      <c r="ARA586" s="14"/>
      <c r="ARB586" s="14"/>
      <c r="ARC586" s="14"/>
      <c r="ARD586" s="14"/>
      <c r="ARE586" s="14"/>
      <c r="ARF586" s="14"/>
      <c r="ARG586" s="14"/>
      <c r="ARH586" s="14"/>
      <c r="ARI586" s="14"/>
      <c r="ARJ586" s="14"/>
      <c r="ARK586" s="14"/>
      <c r="ARL586" s="14"/>
      <c r="ARM586" s="14"/>
      <c r="ARN586" s="14"/>
      <c r="ARO586" s="14"/>
      <c r="ARP586" s="14"/>
      <c r="ARQ586" s="14"/>
      <c r="ARR586" s="14"/>
      <c r="ARS586" s="14"/>
      <c r="ART586" s="14"/>
      <c r="ARU586" s="14"/>
      <c r="ARV586" s="14"/>
      <c r="ARW586" s="14"/>
      <c r="ARX586" s="14"/>
      <c r="ARY586" s="14"/>
      <c r="ARZ586" s="14"/>
      <c r="ASA586" s="14"/>
      <c r="ASB586" s="14"/>
      <c r="ASC586" s="14"/>
      <c r="ASD586" s="14"/>
      <c r="ASE586" s="14"/>
      <c r="ASF586" s="14"/>
      <c r="ASG586" s="14"/>
      <c r="ASH586" s="14"/>
      <c r="ASI586" s="14"/>
      <c r="ASJ586" s="14"/>
      <c r="ASK586" s="14"/>
      <c r="ASL586" s="14"/>
      <c r="ASM586" s="14"/>
      <c r="ASN586" s="14"/>
      <c r="ASO586" s="14"/>
      <c r="ASP586" s="14"/>
      <c r="ASQ586" s="14"/>
      <c r="ASR586" s="14"/>
      <c r="ASS586" s="14"/>
      <c r="AST586" s="14"/>
      <c r="ASU586" s="14"/>
      <c r="ASV586" s="14"/>
      <c r="ASW586" s="14"/>
      <c r="ASX586" s="14"/>
      <c r="ASY586" s="14"/>
      <c r="ASZ586" s="14"/>
      <c r="ATA586" s="14"/>
      <c r="ATB586" s="14"/>
      <c r="ATC586" s="14"/>
      <c r="ATD586" s="14"/>
      <c r="ATE586" s="14"/>
      <c r="ATF586" s="14"/>
      <c r="ATG586" s="14"/>
      <c r="ATH586" s="14"/>
      <c r="ATI586" s="14"/>
      <c r="ATJ586" s="14"/>
      <c r="ATK586" s="14"/>
      <c r="ATL586" s="14"/>
      <c r="ATM586" s="14"/>
      <c r="ATN586" s="14"/>
      <c r="ATO586" s="14"/>
      <c r="ATP586" s="14"/>
      <c r="ATQ586" s="14"/>
      <c r="ATR586" s="14"/>
      <c r="ATS586" s="14"/>
      <c r="ATT586" s="14"/>
      <c r="ATU586" s="14"/>
      <c r="ATV586" s="14"/>
      <c r="ATW586" s="14"/>
      <c r="ATX586" s="14"/>
      <c r="ATY586" s="14"/>
      <c r="ATZ586" s="14"/>
      <c r="AUA586" s="14"/>
      <c r="AUB586" s="14"/>
      <c r="AUC586" s="14"/>
      <c r="AUD586" s="14"/>
      <c r="AUE586" s="14"/>
      <c r="AUF586" s="14"/>
      <c r="AUG586" s="14"/>
      <c r="AUH586" s="14"/>
      <c r="AUI586" s="14"/>
      <c r="AUJ586" s="14"/>
      <c r="AUK586" s="14"/>
      <c r="AUL586" s="14"/>
      <c r="AUM586" s="14"/>
      <c r="AUN586" s="14"/>
      <c r="AUO586" s="14"/>
      <c r="AUP586" s="14"/>
      <c r="AUQ586" s="14"/>
      <c r="AUR586" s="14"/>
      <c r="AUS586" s="14"/>
      <c r="AUT586" s="14"/>
      <c r="AUU586" s="14"/>
      <c r="AUV586" s="14"/>
      <c r="AUW586" s="14"/>
      <c r="AUX586" s="14"/>
      <c r="AUY586" s="14"/>
      <c r="AUZ586" s="14"/>
      <c r="AVA586" s="14"/>
      <c r="AVB586" s="14"/>
      <c r="AVC586" s="14"/>
      <c r="AVD586" s="14"/>
      <c r="AVE586" s="14"/>
      <c r="AVF586" s="14"/>
      <c r="AVG586" s="14"/>
      <c r="AVH586" s="14"/>
      <c r="AVI586" s="14"/>
      <c r="AVJ586" s="14"/>
      <c r="AVK586" s="14"/>
      <c r="AVL586" s="14"/>
      <c r="AVM586" s="14"/>
      <c r="AVN586" s="14"/>
      <c r="AVO586" s="14"/>
      <c r="AVP586" s="14"/>
      <c r="AVQ586" s="14"/>
      <c r="AVR586" s="14"/>
      <c r="AVS586" s="14"/>
      <c r="AVT586" s="14"/>
      <c r="AVU586" s="14"/>
      <c r="AVV586" s="14"/>
      <c r="AVW586" s="14"/>
      <c r="AVX586" s="14"/>
      <c r="AVY586" s="14"/>
      <c r="AVZ586" s="14"/>
      <c r="AWA586" s="14"/>
      <c r="AWB586" s="14"/>
      <c r="AWC586" s="14"/>
      <c r="AWD586" s="14"/>
      <c r="AWE586" s="14"/>
      <c r="AWF586" s="14"/>
      <c r="AWG586" s="14"/>
      <c r="AWH586" s="14"/>
      <c r="AWI586" s="14"/>
      <c r="AWJ586" s="14"/>
      <c r="AWK586" s="14"/>
      <c r="AWL586" s="14"/>
      <c r="AWM586" s="14"/>
      <c r="AWN586" s="14"/>
      <c r="AWO586" s="14"/>
      <c r="AWP586" s="14"/>
      <c r="AWQ586" s="14"/>
      <c r="AWR586" s="14"/>
      <c r="AWS586" s="14"/>
      <c r="AWT586" s="14"/>
      <c r="AWU586" s="14"/>
      <c r="AWV586" s="14"/>
      <c r="AWW586" s="14"/>
      <c r="AWX586" s="14"/>
      <c r="AWY586" s="14"/>
      <c r="AWZ586" s="14"/>
      <c r="AXA586" s="14"/>
      <c r="AXB586" s="14"/>
      <c r="AXC586" s="14"/>
      <c r="AXD586" s="14"/>
      <c r="AXE586" s="14"/>
      <c r="AXF586" s="14"/>
      <c r="AXG586" s="14"/>
      <c r="AXH586" s="14"/>
      <c r="AXI586" s="14"/>
      <c r="AXJ586" s="14"/>
      <c r="AXK586" s="14"/>
      <c r="AXL586" s="14"/>
      <c r="AXM586" s="14"/>
      <c r="AXN586" s="14"/>
      <c r="AXO586" s="14"/>
      <c r="AXP586" s="14"/>
      <c r="AXQ586" s="14"/>
      <c r="AXR586" s="14"/>
      <c r="AXS586" s="14"/>
      <c r="AXT586" s="14"/>
      <c r="AXU586" s="14"/>
      <c r="AXV586" s="14"/>
      <c r="AXW586" s="14"/>
      <c r="AXX586" s="14"/>
      <c r="AXY586" s="14"/>
      <c r="AXZ586" s="14"/>
      <c r="AYA586" s="14"/>
      <c r="AYB586" s="14"/>
      <c r="AYC586" s="14"/>
      <c r="AYD586" s="14"/>
      <c r="AYE586" s="14"/>
      <c r="AYF586" s="14"/>
      <c r="AYG586" s="14"/>
      <c r="AYH586" s="14"/>
      <c r="AYI586" s="14"/>
      <c r="AYJ586" s="14"/>
      <c r="AYK586" s="14"/>
      <c r="AYL586" s="14"/>
      <c r="AYM586" s="14"/>
      <c r="AYN586" s="14"/>
      <c r="AYO586" s="14"/>
      <c r="AYP586" s="14"/>
      <c r="AYQ586" s="14"/>
      <c r="AYR586" s="14"/>
      <c r="AYS586" s="14"/>
      <c r="AYT586" s="14"/>
      <c r="AYU586" s="14"/>
      <c r="AYV586" s="14"/>
      <c r="AYW586" s="14"/>
      <c r="AYX586" s="14"/>
      <c r="AYY586" s="14"/>
      <c r="AYZ586" s="14"/>
      <c r="AZA586" s="14"/>
      <c r="AZB586" s="14"/>
      <c r="AZC586" s="14"/>
      <c r="AZD586" s="14"/>
      <c r="AZE586" s="14"/>
      <c r="AZF586" s="14"/>
      <c r="AZG586" s="14"/>
      <c r="AZH586" s="14"/>
      <c r="AZI586" s="14"/>
      <c r="AZJ586" s="14"/>
      <c r="AZK586" s="14"/>
      <c r="AZL586" s="14"/>
      <c r="AZM586" s="14"/>
      <c r="AZN586" s="14"/>
      <c r="AZO586" s="14"/>
      <c r="AZP586" s="14"/>
      <c r="AZQ586" s="14"/>
      <c r="AZR586" s="14"/>
      <c r="AZS586" s="14"/>
      <c r="AZT586" s="14"/>
      <c r="AZU586" s="14"/>
      <c r="AZV586" s="14"/>
      <c r="AZW586" s="14"/>
      <c r="AZX586" s="14"/>
      <c r="AZY586" s="14"/>
      <c r="AZZ586" s="14"/>
      <c r="BAA586" s="14"/>
      <c r="BAB586" s="14"/>
      <c r="BAC586" s="14"/>
      <c r="BAD586" s="14"/>
      <c r="BAE586" s="14"/>
      <c r="BAF586" s="14"/>
      <c r="BAG586" s="14"/>
      <c r="BAH586" s="14"/>
      <c r="BAI586" s="14"/>
      <c r="BAJ586" s="14"/>
      <c r="BAK586" s="14"/>
      <c r="BAL586" s="14"/>
      <c r="BAM586" s="14"/>
      <c r="BAN586" s="14"/>
      <c r="BAO586" s="14"/>
      <c r="BAP586" s="14"/>
      <c r="BAQ586" s="14"/>
      <c r="BAR586" s="14"/>
      <c r="BAS586" s="14"/>
      <c r="BAT586" s="14"/>
      <c r="BAU586" s="14"/>
      <c r="BAV586" s="14"/>
      <c r="BAW586" s="14"/>
      <c r="BAX586" s="14"/>
      <c r="BAY586" s="14"/>
      <c r="BAZ586" s="14"/>
      <c r="BBA586" s="14"/>
      <c r="BBB586" s="14"/>
      <c r="BBC586" s="14"/>
      <c r="BBD586" s="14"/>
      <c r="BBE586" s="14"/>
      <c r="BBF586" s="14"/>
      <c r="BBG586" s="14"/>
      <c r="BBH586" s="14"/>
      <c r="BBI586" s="14"/>
      <c r="BBJ586" s="14"/>
      <c r="BBK586" s="14"/>
      <c r="BBL586" s="14"/>
      <c r="BBM586" s="14"/>
      <c r="BBN586" s="14"/>
      <c r="BBO586" s="14"/>
      <c r="BBP586" s="14"/>
      <c r="BBQ586" s="14"/>
      <c r="BBR586" s="14"/>
      <c r="BBS586" s="14"/>
      <c r="BBT586" s="14"/>
      <c r="BBU586" s="14"/>
      <c r="BBV586" s="14"/>
      <c r="BBW586" s="14"/>
      <c r="BBX586" s="14"/>
      <c r="BBY586" s="14"/>
      <c r="BBZ586" s="14"/>
      <c r="BCA586" s="14"/>
      <c r="BCB586" s="14"/>
      <c r="BCC586" s="14"/>
      <c r="BCD586" s="14"/>
      <c r="BCE586" s="14"/>
      <c r="BCF586" s="14"/>
      <c r="BCG586" s="14"/>
      <c r="BCH586" s="14"/>
      <c r="BCI586" s="14"/>
      <c r="BCJ586" s="14"/>
      <c r="BCK586" s="14"/>
      <c r="BCL586" s="14"/>
      <c r="BCM586" s="14"/>
      <c r="BCN586" s="14"/>
      <c r="BCO586" s="14"/>
      <c r="BCP586" s="14"/>
      <c r="BCQ586" s="14"/>
      <c r="BCR586" s="14"/>
      <c r="BCS586" s="14"/>
      <c r="BCT586" s="14"/>
      <c r="BCU586" s="14"/>
      <c r="BCV586" s="14"/>
      <c r="BCW586" s="14"/>
      <c r="BCX586" s="14"/>
      <c r="BCY586" s="14"/>
      <c r="BCZ586" s="14"/>
      <c r="BDA586" s="14"/>
      <c r="BDB586" s="14"/>
      <c r="BDC586" s="14"/>
      <c r="BDD586" s="14"/>
      <c r="BDE586" s="14"/>
      <c r="BDF586" s="14"/>
      <c r="BDG586" s="14"/>
      <c r="BDH586" s="14"/>
      <c r="BDI586" s="14"/>
      <c r="BDJ586" s="14"/>
      <c r="BDK586" s="14"/>
      <c r="BDL586" s="14"/>
      <c r="BDM586" s="14"/>
      <c r="BDN586" s="14"/>
      <c r="BDO586" s="14"/>
      <c r="BDP586" s="14"/>
      <c r="BDQ586" s="14"/>
      <c r="BDR586" s="14"/>
      <c r="BDS586" s="14"/>
      <c r="BDT586" s="14"/>
      <c r="BDU586" s="14"/>
      <c r="BDV586" s="14"/>
      <c r="BDW586" s="14"/>
      <c r="BDX586" s="14"/>
      <c r="BDY586" s="14"/>
      <c r="BDZ586" s="14"/>
      <c r="BEA586" s="14"/>
      <c r="BEB586" s="14"/>
      <c r="BEC586" s="14"/>
      <c r="BED586" s="14"/>
      <c r="BEE586" s="14"/>
      <c r="BEF586" s="14"/>
      <c r="BEG586" s="14"/>
      <c r="BEH586" s="14"/>
      <c r="BEI586" s="14"/>
      <c r="BEJ586" s="14"/>
      <c r="BEK586" s="14"/>
      <c r="BEL586" s="14"/>
      <c r="BEM586" s="14"/>
      <c r="BEN586" s="14"/>
      <c r="BEO586" s="14"/>
      <c r="BEP586" s="14"/>
      <c r="BEQ586" s="14"/>
      <c r="BER586" s="14"/>
      <c r="BES586" s="14"/>
      <c r="BET586" s="14"/>
      <c r="BEU586" s="14"/>
      <c r="BEV586" s="14"/>
      <c r="BEW586" s="14"/>
      <c r="BEX586" s="14"/>
      <c r="BEY586" s="14"/>
      <c r="BEZ586" s="14"/>
      <c r="BFA586" s="14"/>
      <c r="BFB586" s="14"/>
      <c r="BFC586" s="14"/>
      <c r="BFD586" s="14"/>
      <c r="BFE586" s="14"/>
      <c r="BFF586" s="14"/>
      <c r="BFG586" s="14"/>
      <c r="BFH586" s="14"/>
      <c r="BFI586" s="14"/>
      <c r="BFJ586" s="14"/>
      <c r="BFK586" s="14"/>
      <c r="BFL586" s="14"/>
      <c r="BFM586" s="14"/>
      <c r="BFN586" s="14"/>
      <c r="BFO586" s="14"/>
      <c r="BFP586" s="14"/>
      <c r="BFQ586" s="14"/>
      <c r="BFR586" s="14"/>
      <c r="BFS586" s="14"/>
      <c r="BFT586" s="14"/>
      <c r="BFU586" s="14"/>
      <c r="BFV586" s="14"/>
      <c r="BFW586" s="14"/>
      <c r="BFX586" s="14"/>
      <c r="BFY586" s="14"/>
      <c r="BFZ586" s="14"/>
      <c r="BGA586" s="14"/>
      <c r="BGB586" s="14"/>
      <c r="BGC586" s="14"/>
      <c r="BGD586" s="14"/>
      <c r="BGE586" s="14"/>
      <c r="BGF586" s="14"/>
      <c r="BGG586" s="14"/>
      <c r="BGH586" s="14"/>
      <c r="BGI586" s="14"/>
      <c r="BGJ586" s="14"/>
      <c r="BGK586" s="14"/>
      <c r="BGL586" s="14"/>
      <c r="BGM586" s="14"/>
      <c r="BGN586" s="14"/>
      <c r="BGO586" s="14"/>
      <c r="BGP586" s="14"/>
      <c r="BGQ586" s="14"/>
      <c r="BGR586" s="14"/>
      <c r="BGS586" s="14"/>
      <c r="BGT586" s="14"/>
      <c r="BGU586" s="14"/>
      <c r="BGV586" s="14"/>
      <c r="BGW586" s="14"/>
      <c r="BGX586" s="14"/>
      <c r="BGY586" s="14"/>
      <c r="BGZ586" s="14"/>
      <c r="BHA586" s="14"/>
      <c r="BHB586" s="14"/>
      <c r="BHC586" s="14"/>
      <c r="BHD586" s="14"/>
      <c r="BHE586" s="14"/>
      <c r="BHF586" s="14"/>
      <c r="BHG586" s="14"/>
      <c r="BHH586" s="14"/>
      <c r="BHI586" s="14"/>
      <c r="BHJ586" s="14"/>
      <c r="BHK586" s="14"/>
      <c r="BHL586" s="14"/>
      <c r="BHM586" s="14"/>
      <c r="BHN586" s="14"/>
      <c r="BHO586" s="14"/>
      <c r="BHP586" s="14"/>
      <c r="BHQ586" s="14"/>
      <c r="BHR586" s="14"/>
      <c r="BHS586" s="14"/>
      <c r="BHT586" s="14"/>
      <c r="BHU586" s="14"/>
      <c r="BHV586" s="14"/>
      <c r="BHW586" s="14"/>
      <c r="BHX586" s="14"/>
      <c r="BHY586" s="14"/>
      <c r="BHZ586" s="14"/>
      <c r="BIA586" s="14"/>
      <c r="BIB586" s="14"/>
      <c r="BIC586" s="14"/>
      <c r="BID586" s="14"/>
      <c r="BIE586" s="14"/>
      <c r="BIF586" s="14"/>
      <c r="BIG586" s="14"/>
      <c r="BIH586" s="14"/>
      <c r="BII586" s="14"/>
      <c r="BIJ586" s="14"/>
      <c r="BIK586" s="14"/>
      <c r="BIL586" s="14"/>
      <c r="BIM586" s="14"/>
      <c r="BIN586" s="14"/>
      <c r="BIO586" s="14"/>
      <c r="BIP586" s="14"/>
      <c r="BIQ586" s="14"/>
      <c r="BIR586" s="14"/>
      <c r="BIS586" s="14"/>
      <c r="BIT586" s="14"/>
      <c r="BIU586" s="14"/>
      <c r="BIV586" s="14"/>
      <c r="BIW586" s="14"/>
      <c r="BIX586" s="14"/>
      <c r="BIY586" s="14"/>
      <c r="BIZ586" s="14"/>
      <c r="BJA586" s="14"/>
      <c r="BJB586" s="14"/>
      <c r="BJC586" s="14"/>
      <c r="BJD586" s="14"/>
      <c r="BJE586" s="14"/>
      <c r="BJF586" s="14"/>
      <c r="BJG586" s="14"/>
      <c r="BJH586" s="14"/>
      <c r="BJI586" s="14"/>
      <c r="BJJ586" s="14"/>
      <c r="BJK586" s="14"/>
      <c r="BJL586" s="14"/>
      <c r="BJM586" s="14"/>
      <c r="BJN586" s="14"/>
      <c r="BJO586" s="14"/>
      <c r="BJP586" s="14"/>
      <c r="BJQ586" s="14"/>
      <c r="BJR586" s="14"/>
      <c r="BJS586" s="14"/>
      <c r="BJT586" s="14"/>
      <c r="BJU586" s="14"/>
      <c r="BJV586" s="14"/>
      <c r="BJW586" s="14"/>
      <c r="BJX586" s="14"/>
      <c r="BJY586" s="14"/>
      <c r="BJZ586" s="14"/>
      <c r="BKA586" s="14"/>
      <c r="BKB586" s="14"/>
      <c r="BKC586" s="14"/>
      <c r="BKD586" s="14"/>
      <c r="BKE586" s="14"/>
      <c r="BKF586" s="14"/>
      <c r="BKG586" s="14"/>
      <c r="BKH586" s="14"/>
      <c r="BKI586" s="14"/>
      <c r="BKJ586" s="14"/>
      <c r="BKK586" s="14"/>
      <c r="BKL586" s="14"/>
      <c r="BKM586" s="14"/>
      <c r="BKN586" s="14"/>
      <c r="BKO586" s="14"/>
      <c r="BKP586" s="14"/>
      <c r="BKQ586" s="14"/>
      <c r="BKR586" s="14"/>
      <c r="BKS586" s="14"/>
      <c r="BKT586" s="14"/>
      <c r="BKU586" s="14"/>
      <c r="BKV586" s="14"/>
      <c r="BKW586" s="14"/>
      <c r="BKX586" s="14"/>
      <c r="BKY586" s="14"/>
      <c r="BKZ586" s="14"/>
      <c r="BLA586" s="14"/>
      <c r="BLB586" s="14"/>
      <c r="BLC586" s="14"/>
      <c r="BLD586" s="14"/>
      <c r="BLE586" s="14"/>
      <c r="BLF586" s="14"/>
      <c r="BLG586" s="14"/>
      <c r="BLH586" s="14"/>
      <c r="BLI586" s="14"/>
      <c r="BLJ586" s="14"/>
      <c r="BLK586" s="14"/>
      <c r="BLL586" s="14"/>
      <c r="BLM586" s="14"/>
      <c r="BLN586" s="14"/>
      <c r="BLO586" s="14"/>
      <c r="BLP586" s="14"/>
      <c r="BLQ586" s="14"/>
      <c r="BLR586" s="14"/>
      <c r="BLS586" s="14"/>
      <c r="BLT586" s="14"/>
      <c r="BLU586" s="14"/>
      <c r="BLV586" s="14"/>
      <c r="BLW586" s="14"/>
      <c r="BLX586" s="14"/>
      <c r="BLY586" s="14"/>
      <c r="BLZ586" s="14"/>
      <c r="BMA586" s="14"/>
      <c r="BMB586" s="14"/>
      <c r="BMC586" s="14"/>
      <c r="BMD586" s="14"/>
      <c r="BME586" s="14"/>
      <c r="BMF586" s="14"/>
      <c r="BMG586" s="14"/>
      <c r="BMH586" s="14"/>
      <c r="BMI586" s="14"/>
      <c r="BMJ586" s="14"/>
      <c r="BMK586" s="14"/>
      <c r="BML586" s="14"/>
      <c r="BMM586" s="14"/>
      <c r="BMN586" s="14"/>
      <c r="BMO586" s="14"/>
      <c r="BMP586" s="14"/>
      <c r="BMQ586" s="14"/>
      <c r="BMR586" s="14"/>
      <c r="BMS586" s="14"/>
      <c r="BMT586" s="14"/>
      <c r="BMU586" s="14"/>
      <c r="BMV586" s="14"/>
      <c r="BMW586" s="14"/>
      <c r="BMX586" s="14"/>
      <c r="BMY586" s="14"/>
      <c r="BMZ586" s="14"/>
      <c r="BNA586" s="14"/>
      <c r="BNB586" s="14"/>
      <c r="BNC586" s="14"/>
      <c r="BND586" s="14"/>
      <c r="BNE586" s="14"/>
      <c r="BNF586" s="14"/>
      <c r="BNG586" s="14"/>
      <c r="BNH586" s="14"/>
      <c r="BNI586" s="14"/>
      <c r="BNJ586" s="14"/>
      <c r="BNK586" s="14"/>
      <c r="BNL586" s="14"/>
      <c r="BNM586" s="14"/>
      <c r="BNN586" s="14"/>
      <c r="BNO586" s="14"/>
      <c r="BNP586" s="14"/>
      <c r="BNQ586" s="14"/>
      <c r="BNR586" s="14"/>
      <c r="BNS586" s="14"/>
      <c r="BNT586" s="14"/>
      <c r="BNU586" s="14"/>
      <c r="BNV586" s="14"/>
      <c r="BNW586" s="14"/>
      <c r="BNX586" s="14"/>
      <c r="BNY586" s="14"/>
      <c r="BNZ586" s="14"/>
      <c r="BOA586" s="14"/>
      <c r="BOB586" s="14"/>
      <c r="BOC586" s="14"/>
      <c r="BOD586" s="14"/>
      <c r="BOE586" s="14"/>
      <c r="BOF586" s="14"/>
      <c r="BOG586" s="14"/>
      <c r="BOH586" s="14"/>
      <c r="BOI586" s="14"/>
      <c r="BOJ586" s="14"/>
      <c r="BOK586" s="14"/>
      <c r="BOL586" s="14"/>
      <c r="BOM586" s="14"/>
      <c r="BON586" s="14"/>
      <c r="BOO586" s="14"/>
      <c r="BOP586" s="14"/>
      <c r="BOQ586" s="14"/>
      <c r="BOR586" s="14"/>
      <c r="BOS586" s="14"/>
      <c r="BOT586" s="14"/>
      <c r="BOU586" s="14"/>
      <c r="BOV586" s="14"/>
      <c r="BOW586" s="14"/>
      <c r="BOX586" s="14"/>
      <c r="BOY586" s="14"/>
      <c r="BOZ586" s="14"/>
      <c r="BPA586" s="14"/>
      <c r="BPB586" s="14"/>
      <c r="BPC586" s="14"/>
      <c r="BPD586" s="14"/>
      <c r="BPE586" s="14"/>
      <c r="BPF586" s="14"/>
      <c r="BPG586" s="14"/>
      <c r="BPH586" s="14"/>
      <c r="BPI586" s="14"/>
      <c r="BPJ586" s="14"/>
      <c r="BPK586" s="14"/>
      <c r="BPL586" s="14"/>
      <c r="BPM586" s="14"/>
      <c r="BPN586" s="14"/>
      <c r="BPO586" s="14"/>
      <c r="BPP586" s="14"/>
      <c r="BPQ586" s="14"/>
      <c r="BPR586" s="14"/>
      <c r="BPS586" s="14"/>
      <c r="BPT586" s="14"/>
      <c r="BPU586" s="14"/>
      <c r="BPV586" s="14"/>
      <c r="BPW586" s="14"/>
      <c r="BPX586" s="14"/>
      <c r="BPY586" s="14"/>
      <c r="BPZ586" s="14"/>
      <c r="BQA586" s="14"/>
      <c r="BQB586" s="14"/>
      <c r="BQC586" s="14"/>
      <c r="BQD586" s="14"/>
      <c r="BQE586" s="14"/>
      <c r="BQF586" s="14"/>
      <c r="BQG586" s="14"/>
      <c r="BQH586" s="14"/>
      <c r="BQI586" s="14"/>
      <c r="BQJ586" s="14"/>
      <c r="BQK586" s="14"/>
      <c r="BQL586" s="14"/>
      <c r="BQM586" s="14"/>
      <c r="BQN586" s="14"/>
      <c r="BQO586" s="14"/>
      <c r="BQP586" s="14"/>
      <c r="BQQ586" s="14"/>
      <c r="BQR586" s="14"/>
      <c r="BQS586" s="14"/>
      <c r="BQT586" s="14"/>
      <c r="BQU586" s="14"/>
      <c r="BQV586" s="14"/>
      <c r="BQW586" s="14"/>
      <c r="BQX586" s="14"/>
      <c r="BQY586" s="14"/>
      <c r="BQZ586" s="14"/>
      <c r="BRA586" s="14"/>
      <c r="BRB586" s="14"/>
      <c r="BRC586" s="14"/>
      <c r="BRD586" s="14"/>
      <c r="BRE586" s="14"/>
      <c r="BRF586" s="14"/>
      <c r="BRG586" s="14"/>
      <c r="BRH586" s="14"/>
      <c r="BRI586" s="14"/>
      <c r="BRJ586" s="14"/>
      <c r="BRK586" s="14"/>
      <c r="BRL586" s="14"/>
      <c r="BRM586" s="14"/>
      <c r="BRN586" s="14"/>
      <c r="BRO586" s="14"/>
      <c r="BRP586" s="14"/>
      <c r="BRQ586" s="14"/>
      <c r="BRR586" s="14"/>
      <c r="BRS586" s="14"/>
      <c r="BRT586" s="14"/>
      <c r="BRU586" s="14"/>
      <c r="BRV586" s="14"/>
      <c r="BRW586" s="14"/>
      <c r="BRX586" s="14"/>
      <c r="BRY586" s="14"/>
      <c r="BRZ586" s="14"/>
      <c r="BSA586" s="14"/>
      <c r="BSB586" s="14"/>
      <c r="BSC586" s="14"/>
      <c r="BSD586" s="14"/>
      <c r="BSE586" s="14"/>
      <c r="BSF586" s="14"/>
      <c r="BSG586" s="14"/>
      <c r="BSH586" s="14"/>
      <c r="BSI586" s="14"/>
      <c r="BSJ586" s="14"/>
      <c r="BSK586" s="14"/>
      <c r="BSL586" s="14"/>
      <c r="BSM586" s="14"/>
      <c r="BSN586" s="14"/>
      <c r="BSO586" s="14"/>
      <c r="BSP586" s="14"/>
      <c r="BSQ586" s="14"/>
      <c r="BSR586" s="14"/>
      <c r="BSS586" s="14"/>
      <c r="BST586" s="14"/>
      <c r="BSU586" s="14"/>
      <c r="BSV586" s="14"/>
      <c r="BSW586" s="14"/>
      <c r="BSX586" s="14"/>
      <c r="BSY586" s="14"/>
      <c r="BSZ586" s="14"/>
      <c r="BTA586" s="14"/>
      <c r="BTB586" s="14"/>
      <c r="BTC586" s="14"/>
      <c r="BTD586" s="14"/>
      <c r="BTE586" s="14"/>
      <c r="BTF586" s="14"/>
      <c r="BTG586" s="14"/>
      <c r="BTH586" s="14"/>
      <c r="BTI586" s="14"/>
      <c r="BTJ586" s="14"/>
      <c r="BTK586" s="14"/>
      <c r="BTL586" s="14"/>
      <c r="BTM586" s="14"/>
      <c r="BTN586" s="14"/>
      <c r="BTO586" s="14"/>
      <c r="BTP586" s="14"/>
      <c r="BTQ586" s="14"/>
      <c r="BTR586" s="14"/>
      <c r="BTS586" s="14"/>
      <c r="BTT586" s="14"/>
      <c r="BTU586" s="14"/>
      <c r="BTV586" s="14"/>
      <c r="BTW586" s="14"/>
      <c r="BTX586" s="14"/>
      <c r="BTY586" s="14"/>
      <c r="BTZ586" s="14"/>
      <c r="BUA586" s="14"/>
      <c r="BUB586" s="14"/>
      <c r="BUC586" s="14"/>
      <c r="BUD586" s="14"/>
      <c r="BUE586" s="14"/>
      <c r="BUF586" s="14"/>
      <c r="BUG586" s="14"/>
      <c r="BUH586" s="14"/>
      <c r="BUI586" s="14"/>
      <c r="BUJ586" s="14"/>
      <c r="BUK586" s="14"/>
      <c r="BUL586" s="14"/>
      <c r="BUM586" s="14"/>
      <c r="BUN586" s="14"/>
      <c r="BUO586" s="14"/>
      <c r="BUP586" s="14"/>
      <c r="BUQ586" s="14"/>
      <c r="BUR586" s="14"/>
      <c r="BUS586" s="14"/>
      <c r="BUT586" s="14"/>
      <c r="BUU586" s="14"/>
      <c r="BUV586" s="14"/>
      <c r="BUW586" s="14"/>
      <c r="BUX586" s="14"/>
      <c r="BUY586" s="14"/>
      <c r="BUZ586" s="14"/>
      <c r="BVA586" s="14"/>
      <c r="BVB586" s="14"/>
      <c r="BVC586" s="14"/>
      <c r="BVD586" s="14"/>
      <c r="BVE586" s="14"/>
      <c r="BVF586" s="14"/>
      <c r="BVG586" s="14"/>
      <c r="BVH586" s="14"/>
      <c r="BVI586" s="14"/>
      <c r="BVJ586" s="14"/>
      <c r="BVK586" s="14"/>
      <c r="BVL586" s="14"/>
      <c r="BVM586" s="14"/>
      <c r="BVN586" s="14"/>
      <c r="BVO586" s="14"/>
      <c r="BVP586" s="14"/>
      <c r="BVQ586" s="14"/>
      <c r="BVR586" s="14"/>
      <c r="BVS586" s="14"/>
      <c r="BVT586" s="14"/>
      <c r="BVU586" s="14"/>
      <c r="BVV586" s="14"/>
      <c r="BVW586" s="14"/>
      <c r="BVX586" s="14"/>
      <c r="BVY586" s="14"/>
      <c r="BVZ586" s="14"/>
      <c r="BWA586" s="14"/>
      <c r="BWB586" s="14"/>
      <c r="BWC586" s="14"/>
      <c r="BWD586" s="14"/>
      <c r="BWE586" s="14"/>
      <c r="BWF586" s="14"/>
      <c r="BWG586" s="14"/>
      <c r="BWH586" s="14"/>
      <c r="BWI586" s="14"/>
      <c r="BWJ586" s="14"/>
      <c r="BWK586" s="14"/>
      <c r="BWL586" s="14"/>
      <c r="BWM586" s="14"/>
      <c r="BWN586" s="14"/>
      <c r="BWO586" s="14"/>
      <c r="BWP586" s="14"/>
      <c r="BWQ586" s="14"/>
      <c r="BWR586" s="14"/>
      <c r="BWS586" s="14"/>
      <c r="BWT586" s="14"/>
      <c r="BWU586" s="14"/>
      <c r="BWV586" s="14"/>
      <c r="BWW586" s="14"/>
      <c r="BWX586" s="14"/>
      <c r="BWY586" s="14"/>
      <c r="BWZ586" s="14"/>
      <c r="BXA586" s="14"/>
      <c r="BXB586" s="14"/>
      <c r="BXC586" s="14"/>
      <c r="BXD586" s="14"/>
      <c r="BXE586" s="14"/>
      <c r="BXF586" s="14"/>
      <c r="BXG586" s="14"/>
      <c r="BXH586" s="14"/>
      <c r="BXI586" s="14"/>
      <c r="BXJ586" s="14"/>
      <c r="BXK586" s="14"/>
      <c r="BXL586" s="14"/>
      <c r="BXM586" s="14"/>
      <c r="BXN586" s="14"/>
      <c r="BXO586" s="14"/>
      <c r="BXP586" s="14"/>
      <c r="BXQ586" s="14"/>
      <c r="BXR586" s="14"/>
      <c r="BXS586" s="14"/>
      <c r="BXT586" s="14"/>
      <c r="BXU586" s="14"/>
      <c r="BXV586" s="14"/>
      <c r="BXW586" s="14"/>
      <c r="BXX586" s="14"/>
      <c r="BXY586" s="14"/>
      <c r="BXZ586" s="14"/>
      <c r="BYA586" s="14"/>
      <c r="BYB586" s="14"/>
      <c r="BYC586" s="14"/>
      <c r="BYD586" s="14"/>
      <c r="BYE586" s="14"/>
      <c r="BYF586" s="14"/>
      <c r="BYG586" s="14"/>
      <c r="BYH586" s="14"/>
      <c r="BYI586" s="14"/>
      <c r="BYJ586" s="14"/>
      <c r="BYK586" s="14"/>
      <c r="BYL586" s="14"/>
      <c r="BYM586" s="14"/>
      <c r="BYN586" s="14"/>
      <c r="BYO586" s="14"/>
      <c r="BYP586" s="14"/>
      <c r="BYQ586" s="14"/>
      <c r="BYR586" s="14"/>
      <c r="BYS586" s="14"/>
      <c r="BYT586" s="14"/>
      <c r="BYU586" s="14"/>
      <c r="BYV586" s="14"/>
      <c r="BYW586" s="14"/>
      <c r="BYX586" s="14"/>
      <c r="BYY586" s="14"/>
      <c r="BYZ586" s="14"/>
      <c r="BZA586" s="14"/>
      <c r="BZB586" s="14"/>
      <c r="BZC586" s="14"/>
      <c r="BZD586" s="14"/>
      <c r="BZE586" s="14"/>
      <c r="BZF586" s="14"/>
      <c r="BZG586" s="14"/>
      <c r="BZH586" s="14"/>
      <c r="BZI586" s="14"/>
      <c r="BZJ586" s="14"/>
      <c r="BZK586" s="14"/>
      <c r="BZL586" s="14"/>
      <c r="BZM586" s="14"/>
      <c r="BZN586" s="14"/>
      <c r="BZO586" s="14"/>
      <c r="BZP586" s="14"/>
      <c r="BZQ586" s="14"/>
      <c r="BZR586" s="14"/>
      <c r="BZS586" s="14"/>
      <c r="BZT586" s="14"/>
      <c r="BZU586" s="14"/>
      <c r="BZV586" s="14"/>
      <c r="BZW586" s="14"/>
      <c r="BZX586" s="14"/>
      <c r="BZY586" s="14"/>
      <c r="BZZ586" s="14"/>
      <c r="CAA586" s="14"/>
      <c r="CAB586" s="14"/>
      <c r="CAC586" s="14"/>
      <c r="CAD586" s="14"/>
      <c r="CAE586" s="14"/>
      <c r="CAF586" s="14"/>
      <c r="CAG586" s="14"/>
      <c r="CAH586" s="14"/>
      <c r="CAI586" s="14"/>
      <c r="CAJ586" s="14"/>
      <c r="CAK586" s="14"/>
      <c r="CAL586" s="14"/>
      <c r="CAM586" s="14"/>
      <c r="CAN586" s="14"/>
      <c r="CAO586" s="14"/>
      <c r="CAP586" s="14"/>
      <c r="CAQ586" s="14"/>
      <c r="CAR586" s="14"/>
      <c r="CAS586" s="14"/>
      <c r="CAT586" s="14"/>
      <c r="CAU586" s="14"/>
      <c r="CAV586" s="14"/>
      <c r="CAW586" s="14"/>
      <c r="CAX586" s="14"/>
      <c r="CAY586" s="14"/>
      <c r="CAZ586" s="14"/>
      <c r="CBA586" s="14"/>
      <c r="CBB586" s="14"/>
      <c r="CBC586" s="14"/>
      <c r="CBD586" s="14"/>
      <c r="CBE586" s="14"/>
      <c r="CBF586" s="14"/>
      <c r="CBG586" s="14"/>
      <c r="CBH586" s="14"/>
      <c r="CBI586" s="14"/>
      <c r="CBJ586" s="14"/>
      <c r="CBK586" s="14"/>
      <c r="CBL586" s="14"/>
      <c r="CBM586" s="14"/>
      <c r="CBN586" s="14"/>
      <c r="CBO586" s="14"/>
      <c r="CBP586" s="14"/>
      <c r="CBQ586" s="14"/>
      <c r="CBR586" s="14"/>
      <c r="CBS586" s="14"/>
      <c r="CBT586" s="14"/>
      <c r="CBU586" s="14"/>
      <c r="CBV586" s="14"/>
      <c r="CBW586" s="14"/>
      <c r="CBX586" s="14"/>
      <c r="CBY586" s="14"/>
      <c r="CBZ586" s="14"/>
      <c r="CCA586" s="14"/>
      <c r="CCB586" s="14"/>
      <c r="CCC586" s="14"/>
      <c r="CCD586" s="14"/>
      <c r="CCE586" s="14"/>
      <c r="CCF586" s="14"/>
      <c r="CCG586" s="14"/>
      <c r="CCH586" s="14"/>
      <c r="CCI586" s="14"/>
      <c r="CCJ586" s="14"/>
      <c r="CCK586" s="14"/>
      <c r="CCL586" s="14"/>
      <c r="CCM586" s="14"/>
      <c r="CCN586" s="14"/>
      <c r="CCO586" s="14"/>
      <c r="CCP586" s="14"/>
      <c r="CCQ586" s="14"/>
      <c r="CCR586" s="14"/>
      <c r="CCS586" s="14"/>
      <c r="CCT586" s="14"/>
      <c r="CCU586" s="14"/>
      <c r="CCV586" s="14"/>
      <c r="CCW586" s="14"/>
      <c r="CCX586" s="14"/>
      <c r="CCY586" s="14"/>
      <c r="CCZ586" s="14"/>
      <c r="CDA586" s="14"/>
      <c r="CDB586" s="14"/>
      <c r="CDC586" s="14"/>
      <c r="CDD586" s="14"/>
      <c r="CDE586" s="14"/>
      <c r="CDF586" s="14"/>
      <c r="CDG586" s="14"/>
      <c r="CDH586" s="14"/>
      <c r="CDI586" s="14"/>
      <c r="CDJ586" s="14"/>
      <c r="CDK586" s="14"/>
      <c r="CDL586" s="14"/>
      <c r="CDM586" s="14"/>
      <c r="CDN586" s="14"/>
      <c r="CDO586" s="14"/>
      <c r="CDP586" s="14"/>
      <c r="CDQ586" s="14"/>
      <c r="CDR586" s="14"/>
      <c r="CDS586" s="14"/>
      <c r="CDT586" s="14"/>
      <c r="CDU586" s="14"/>
      <c r="CDV586" s="14"/>
      <c r="CDW586" s="14"/>
      <c r="CDX586" s="14"/>
      <c r="CDY586" s="14"/>
      <c r="CDZ586" s="14"/>
      <c r="CEA586" s="14"/>
      <c r="CEB586" s="14"/>
      <c r="CEC586" s="14"/>
      <c r="CED586" s="14"/>
      <c r="CEE586" s="14"/>
      <c r="CEF586" s="14"/>
      <c r="CEG586" s="14"/>
      <c r="CEH586" s="14"/>
      <c r="CEI586" s="14"/>
      <c r="CEJ586" s="14"/>
      <c r="CEK586" s="14"/>
      <c r="CEL586" s="14"/>
      <c r="CEM586" s="14"/>
      <c r="CEN586" s="14"/>
      <c r="CEO586" s="14"/>
      <c r="CEP586" s="14"/>
      <c r="CEQ586" s="14"/>
      <c r="CER586" s="14"/>
      <c r="CES586" s="14"/>
      <c r="CET586" s="14"/>
      <c r="CEU586" s="14"/>
      <c r="CEV586" s="14"/>
      <c r="CEW586" s="14"/>
      <c r="CEX586" s="14"/>
      <c r="CEY586" s="14"/>
      <c r="CEZ586" s="14"/>
      <c r="CFA586" s="14"/>
      <c r="CFB586" s="14"/>
      <c r="CFC586" s="14"/>
      <c r="CFD586" s="14"/>
      <c r="CFE586" s="14"/>
      <c r="CFF586" s="14"/>
      <c r="CFG586" s="14"/>
      <c r="CFH586" s="14"/>
      <c r="CFI586" s="14"/>
      <c r="CFJ586" s="14"/>
      <c r="CFK586" s="14"/>
      <c r="CFL586" s="14"/>
      <c r="CFM586" s="14"/>
      <c r="CFN586" s="14"/>
      <c r="CFO586" s="14"/>
      <c r="CFP586" s="14"/>
      <c r="CFQ586" s="14"/>
      <c r="CFR586" s="14"/>
      <c r="CFS586" s="14"/>
      <c r="CFT586" s="14"/>
      <c r="CFU586" s="14"/>
      <c r="CFV586" s="14"/>
      <c r="CFW586" s="14"/>
      <c r="CFX586" s="14"/>
      <c r="CFY586" s="14"/>
      <c r="CFZ586" s="14"/>
      <c r="CGA586" s="14"/>
      <c r="CGB586" s="14"/>
      <c r="CGC586" s="14"/>
      <c r="CGD586" s="14"/>
      <c r="CGE586" s="14"/>
      <c r="CGF586" s="14"/>
      <c r="CGG586" s="14"/>
      <c r="CGH586" s="14"/>
      <c r="CGI586" s="14"/>
      <c r="CGJ586" s="14"/>
      <c r="CGK586" s="14"/>
      <c r="CGL586" s="14"/>
      <c r="CGM586" s="14"/>
      <c r="CGN586" s="14"/>
      <c r="CGO586" s="14"/>
      <c r="CGP586" s="14"/>
      <c r="CGQ586" s="14"/>
      <c r="CGR586" s="14"/>
      <c r="CGS586" s="14"/>
      <c r="CGT586" s="14"/>
      <c r="CGU586" s="14"/>
      <c r="CGV586" s="14"/>
      <c r="CGW586" s="14"/>
      <c r="CGX586" s="14"/>
      <c r="CGY586" s="14"/>
      <c r="CGZ586" s="14"/>
      <c r="CHA586" s="14"/>
      <c r="CHB586" s="14"/>
      <c r="CHC586" s="14"/>
      <c r="CHD586" s="14"/>
      <c r="CHE586" s="14"/>
      <c r="CHF586" s="14"/>
      <c r="CHG586" s="14"/>
      <c r="CHH586" s="14"/>
      <c r="CHI586" s="14"/>
      <c r="CHJ586" s="14"/>
      <c r="CHK586" s="14"/>
      <c r="CHL586" s="14"/>
      <c r="CHM586" s="14"/>
      <c r="CHN586" s="14"/>
      <c r="CHO586" s="14"/>
      <c r="CHP586" s="14"/>
      <c r="CHQ586" s="14"/>
      <c r="CHR586" s="14"/>
      <c r="CHS586" s="14"/>
      <c r="CHT586" s="14"/>
      <c r="CHU586" s="14"/>
      <c r="CHV586" s="14"/>
      <c r="CHW586" s="14"/>
      <c r="CHX586" s="14"/>
      <c r="CHY586" s="14"/>
      <c r="CHZ586" s="14"/>
      <c r="CIA586" s="14"/>
      <c r="CIB586" s="14"/>
      <c r="CIC586" s="14"/>
      <c r="CID586" s="14"/>
      <c r="CIE586" s="14"/>
      <c r="CIF586" s="14"/>
      <c r="CIG586" s="14"/>
      <c r="CIH586" s="14"/>
      <c r="CII586" s="14"/>
      <c r="CIJ586" s="14"/>
      <c r="CIK586" s="14"/>
      <c r="CIL586" s="14"/>
      <c r="CIM586" s="14"/>
      <c r="CIN586" s="14"/>
      <c r="CIO586" s="14"/>
      <c r="CIP586" s="14"/>
      <c r="CIQ586" s="14"/>
      <c r="CIR586" s="14"/>
      <c r="CIS586" s="14"/>
      <c r="CIT586" s="14"/>
      <c r="CIU586" s="14"/>
      <c r="CIV586" s="14"/>
      <c r="CIW586" s="14"/>
      <c r="CIX586" s="14"/>
      <c r="CIY586" s="14"/>
      <c r="CIZ586" s="14"/>
      <c r="CJA586" s="14"/>
      <c r="CJB586" s="14"/>
      <c r="CJC586" s="14"/>
      <c r="CJD586" s="14"/>
      <c r="CJE586" s="14"/>
      <c r="CJF586" s="14"/>
      <c r="CJG586" s="14"/>
      <c r="CJH586" s="14"/>
      <c r="CJI586" s="14"/>
      <c r="CJJ586" s="14"/>
      <c r="CJK586" s="14"/>
      <c r="CJL586" s="14"/>
      <c r="CJM586" s="14"/>
      <c r="CJN586" s="14"/>
      <c r="CJO586" s="14"/>
      <c r="CJP586" s="14"/>
      <c r="CJQ586" s="14"/>
      <c r="CJR586" s="14"/>
      <c r="CJS586" s="14"/>
      <c r="CJT586" s="14"/>
      <c r="CJU586" s="14"/>
      <c r="CJV586" s="14"/>
      <c r="CJW586" s="14"/>
      <c r="CJX586" s="14"/>
      <c r="CJY586" s="14"/>
      <c r="CJZ586" s="14"/>
      <c r="CKA586" s="14"/>
      <c r="CKB586" s="14"/>
      <c r="CKC586" s="14"/>
      <c r="CKD586" s="14"/>
      <c r="CKE586" s="14"/>
      <c r="CKF586" s="14"/>
      <c r="CKG586" s="14"/>
      <c r="CKH586" s="14"/>
      <c r="CKI586" s="14"/>
      <c r="CKJ586" s="14"/>
      <c r="CKK586" s="14"/>
      <c r="CKL586" s="14"/>
      <c r="CKM586" s="14"/>
      <c r="CKN586" s="14"/>
      <c r="CKO586" s="14"/>
      <c r="CKP586" s="14"/>
      <c r="CKQ586" s="14"/>
      <c r="CKR586" s="14"/>
      <c r="CKS586" s="14"/>
      <c r="CKT586" s="14"/>
      <c r="CKU586" s="14"/>
      <c r="CKV586" s="14"/>
      <c r="CKW586" s="14"/>
      <c r="CKX586" s="14"/>
      <c r="CKY586" s="14"/>
      <c r="CKZ586" s="14"/>
      <c r="CLA586" s="14"/>
      <c r="CLB586" s="14"/>
      <c r="CLC586" s="14"/>
      <c r="CLD586" s="14"/>
      <c r="CLE586" s="14"/>
      <c r="CLF586" s="14"/>
      <c r="CLG586" s="14"/>
      <c r="CLH586" s="14"/>
      <c r="CLI586" s="14"/>
      <c r="CLJ586" s="14"/>
      <c r="CLK586" s="14"/>
      <c r="CLL586" s="14"/>
      <c r="CLM586" s="14"/>
      <c r="CLN586" s="14"/>
      <c r="CLO586" s="14"/>
      <c r="CLP586" s="14"/>
      <c r="CLQ586" s="14"/>
      <c r="CLR586" s="14"/>
      <c r="CLS586" s="14"/>
      <c r="CLT586" s="14"/>
      <c r="CLU586" s="14"/>
      <c r="CLV586" s="14"/>
      <c r="CLW586" s="14"/>
      <c r="CLX586" s="14"/>
      <c r="CLY586" s="14"/>
      <c r="CLZ586" s="14"/>
      <c r="CMA586" s="14"/>
      <c r="CMB586" s="14"/>
      <c r="CMC586" s="14"/>
      <c r="CMD586" s="14"/>
      <c r="CME586" s="14"/>
      <c r="CMF586" s="14"/>
      <c r="CMG586" s="14"/>
      <c r="CMH586" s="14"/>
      <c r="CMI586" s="14"/>
      <c r="CMJ586" s="14"/>
      <c r="CMK586" s="14"/>
      <c r="CML586" s="14"/>
      <c r="CMM586" s="14"/>
      <c r="CMN586" s="14"/>
      <c r="CMO586" s="14"/>
      <c r="CMP586" s="14"/>
      <c r="CMQ586" s="14"/>
      <c r="CMR586" s="14"/>
      <c r="CMS586" s="14"/>
      <c r="CMT586" s="14"/>
      <c r="CMU586" s="14"/>
      <c r="CMV586" s="14"/>
      <c r="CMW586" s="14"/>
      <c r="CMX586" s="14"/>
      <c r="CMY586" s="14"/>
      <c r="CMZ586" s="14"/>
      <c r="CNA586" s="14"/>
      <c r="CNB586" s="14"/>
      <c r="CNC586" s="14"/>
      <c r="CND586" s="14"/>
      <c r="CNE586" s="14"/>
      <c r="CNF586" s="14"/>
      <c r="CNG586" s="14"/>
      <c r="CNH586" s="14"/>
      <c r="CNI586" s="14"/>
      <c r="CNJ586" s="14"/>
      <c r="CNK586" s="14"/>
      <c r="CNL586" s="14"/>
      <c r="CNM586" s="14"/>
      <c r="CNN586" s="14"/>
      <c r="CNO586" s="14"/>
      <c r="CNP586" s="14"/>
      <c r="CNQ586" s="14"/>
      <c r="CNR586" s="14"/>
      <c r="CNS586" s="14"/>
      <c r="CNT586" s="14"/>
      <c r="CNU586" s="14"/>
      <c r="CNV586" s="14"/>
      <c r="CNW586" s="14"/>
      <c r="CNX586" s="14"/>
      <c r="CNY586" s="14"/>
      <c r="CNZ586" s="14"/>
      <c r="COA586" s="14"/>
      <c r="COB586" s="14"/>
      <c r="COC586" s="14"/>
      <c r="COD586" s="14"/>
      <c r="COE586" s="14"/>
      <c r="COF586" s="14"/>
      <c r="COG586" s="14"/>
      <c r="COH586" s="14"/>
      <c r="COI586" s="14"/>
      <c r="COJ586" s="14"/>
      <c r="COK586" s="14"/>
      <c r="COL586" s="14"/>
      <c r="COM586" s="14"/>
      <c r="CON586" s="14"/>
      <c r="COO586" s="14"/>
      <c r="COP586" s="14"/>
      <c r="COQ586" s="14"/>
      <c r="COR586" s="14"/>
      <c r="COS586" s="14"/>
      <c r="COT586" s="14"/>
      <c r="COU586" s="14"/>
      <c r="COV586" s="14"/>
      <c r="COW586" s="14"/>
      <c r="COX586" s="14"/>
      <c r="COY586" s="14"/>
      <c r="COZ586" s="14"/>
      <c r="CPA586" s="14"/>
      <c r="CPB586" s="14"/>
      <c r="CPC586" s="14"/>
      <c r="CPD586" s="14"/>
      <c r="CPE586" s="14"/>
      <c r="CPF586" s="14"/>
      <c r="CPG586" s="14"/>
      <c r="CPH586" s="14"/>
      <c r="CPI586" s="14"/>
      <c r="CPJ586" s="14"/>
      <c r="CPK586" s="14"/>
      <c r="CPL586" s="14"/>
      <c r="CPM586" s="14"/>
      <c r="CPN586" s="14"/>
      <c r="CPO586" s="14"/>
      <c r="CPP586" s="14"/>
      <c r="CPQ586" s="14"/>
      <c r="CPR586" s="14"/>
      <c r="CPS586" s="14"/>
      <c r="CPT586" s="14"/>
      <c r="CPU586" s="14"/>
      <c r="CPV586" s="14"/>
      <c r="CPW586" s="14"/>
      <c r="CPX586" s="14"/>
      <c r="CPY586" s="14"/>
      <c r="CPZ586" s="14"/>
      <c r="CQA586" s="14"/>
      <c r="CQB586" s="14"/>
      <c r="CQC586" s="14"/>
      <c r="CQD586" s="14"/>
      <c r="CQE586" s="14"/>
      <c r="CQF586" s="14"/>
      <c r="CQG586" s="14"/>
      <c r="CQH586" s="14"/>
      <c r="CQI586" s="14"/>
      <c r="CQJ586" s="14"/>
      <c r="CQK586" s="14"/>
      <c r="CQL586" s="14"/>
      <c r="CQM586" s="14"/>
      <c r="CQN586" s="14"/>
      <c r="CQO586" s="14"/>
      <c r="CQP586" s="14"/>
      <c r="CQQ586" s="14"/>
      <c r="CQR586" s="14"/>
      <c r="CQS586" s="14"/>
      <c r="CQT586" s="14"/>
      <c r="CQU586" s="14"/>
      <c r="CQV586" s="14"/>
      <c r="CQW586" s="14"/>
      <c r="CQX586" s="14"/>
      <c r="CQY586" s="14"/>
      <c r="CQZ586" s="14"/>
      <c r="CRA586" s="14"/>
      <c r="CRB586" s="14"/>
      <c r="CRC586" s="14"/>
      <c r="CRD586" s="14"/>
      <c r="CRE586" s="14"/>
      <c r="CRF586" s="14"/>
      <c r="CRG586" s="14"/>
      <c r="CRH586" s="14"/>
      <c r="CRI586" s="14"/>
      <c r="CRJ586" s="14"/>
      <c r="CRK586" s="14"/>
      <c r="CRL586" s="14"/>
      <c r="CRM586" s="14"/>
      <c r="CRN586" s="14"/>
      <c r="CRO586" s="14"/>
      <c r="CRP586" s="14"/>
      <c r="CRQ586" s="14"/>
      <c r="CRR586" s="14"/>
      <c r="CRS586" s="14"/>
      <c r="CRT586" s="14"/>
      <c r="CRU586" s="14"/>
      <c r="CRV586" s="14"/>
      <c r="CRW586" s="14"/>
      <c r="CRX586" s="14"/>
      <c r="CRY586" s="14"/>
      <c r="CRZ586" s="14"/>
      <c r="CSA586" s="14"/>
      <c r="CSB586" s="14"/>
      <c r="CSC586" s="14"/>
      <c r="CSD586" s="14"/>
      <c r="CSE586" s="14"/>
      <c r="CSF586" s="14"/>
      <c r="CSG586" s="14"/>
      <c r="CSH586" s="14"/>
      <c r="CSI586" s="14"/>
      <c r="CSJ586" s="14"/>
      <c r="CSK586" s="14"/>
      <c r="CSL586" s="14"/>
      <c r="CSM586" s="14"/>
      <c r="CSN586" s="14"/>
      <c r="CSO586" s="14"/>
      <c r="CSP586" s="14"/>
      <c r="CSQ586" s="14"/>
      <c r="CSR586" s="14"/>
      <c r="CSS586" s="14"/>
      <c r="CST586" s="14"/>
      <c r="CSU586" s="14"/>
      <c r="CSV586" s="14"/>
      <c r="CSW586" s="14"/>
      <c r="CSX586" s="14"/>
      <c r="CSY586" s="14"/>
      <c r="CSZ586" s="14"/>
      <c r="CTA586" s="14"/>
      <c r="CTB586" s="14"/>
      <c r="CTC586" s="14"/>
      <c r="CTD586" s="14"/>
      <c r="CTE586" s="14"/>
      <c r="CTF586" s="14"/>
      <c r="CTG586" s="14"/>
      <c r="CTH586" s="14"/>
      <c r="CTI586" s="14"/>
      <c r="CTJ586" s="14"/>
      <c r="CTK586" s="14"/>
      <c r="CTL586" s="14"/>
      <c r="CTM586" s="14"/>
      <c r="CTN586" s="14"/>
      <c r="CTO586" s="14"/>
      <c r="CTP586" s="14"/>
      <c r="CTQ586" s="14"/>
      <c r="CTR586" s="14"/>
      <c r="CTS586" s="14"/>
      <c r="CTT586" s="14"/>
      <c r="CTU586" s="14"/>
      <c r="CTV586" s="14"/>
      <c r="CTW586" s="14"/>
      <c r="CTX586" s="14"/>
      <c r="CTY586" s="14"/>
      <c r="CTZ586" s="14"/>
      <c r="CUA586" s="14"/>
      <c r="CUB586" s="14"/>
      <c r="CUC586" s="14"/>
      <c r="CUD586" s="14"/>
      <c r="CUE586" s="14"/>
      <c r="CUF586" s="14"/>
      <c r="CUG586" s="14"/>
      <c r="CUH586" s="14"/>
      <c r="CUI586" s="14"/>
      <c r="CUJ586" s="14"/>
      <c r="CUK586" s="14"/>
      <c r="CUL586" s="14"/>
      <c r="CUM586" s="14"/>
      <c r="CUN586" s="14"/>
      <c r="CUO586" s="14"/>
      <c r="CUP586" s="14"/>
      <c r="CUQ586" s="14"/>
      <c r="CUR586" s="14"/>
      <c r="CUS586" s="14"/>
      <c r="CUT586" s="14"/>
      <c r="CUU586" s="14"/>
      <c r="CUV586" s="14"/>
      <c r="CUW586" s="14"/>
      <c r="CUX586" s="14"/>
      <c r="CUY586" s="14"/>
      <c r="CUZ586" s="14"/>
      <c r="CVA586" s="14"/>
      <c r="CVB586" s="14"/>
      <c r="CVC586" s="14"/>
      <c r="CVD586" s="14"/>
      <c r="CVE586" s="14"/>
      <c r="CVF586" s="14"/>
      <c r="CVG586" s="14"/>
      <c r="CVH586" s="14"/>
      <c r="CVI586" s="14"/>
      <c r="CVJ586" s="14"/>
      <c r="CVK586" s="14"/>
      <c r="CVL586" s="14"/>
      <c r="CVM586" s="14"/>
      <c r="CVN586" s="14"/>
      <c r="CVO586" s="14"/>
      <c r="CVP586" s="14"/>
      <c r="CVQ586" s="14"/>
      <c r="CVR586" s="14"/>
      <c r="CVS586" s="14"/>
      <c r="CVT586" s="14"/>
      <c r="CVU586" s="14"/>
      <c r="CVV586" s="14"/>
      <c r="CVW586" s="14"/>
      <c r="CVX586" s="14"/>
      <c r="CVY586" s="14"/>
      <c r="CVZ586" s="14"/>
      <c r="CWA586" s="14"/>
      <c r="CWB586" s="14"/>
      <c r="CWC586" s="14"/>
      <c r="CWD586" s="14"/>
      <c r="CWE586" s="14"/>
      <c r="CWF586" s="14"/>
      <c r="CWG586" s="14"/>
      <c r="CWH586" s="14"/>
      <c r="CWI586" s="14"/>
      <c r="CWJ586" s="14"/>
      <c r="CWK586" s="14"/>
      <c r="CWL586" s="14"/>
      <c r="CWM586" s="14"/>
      <c r="CWN586" s="14"/>
      <c r="CWO586" s="14"/>
      <c r="CWP586" s="14"/>
      <c r="CWQ586" s="14"/>
      <c r="CWR586" s="14"/>
      <c r="CWS586" s="14"/>
      <c r="CWT586" s="14"/>
      <c r="CWU586" s="14"/>
      <c r="CWV586" s="14"/>
      <c r="CWW586" s="14"/>
      <c r="CWX586" s="14"/>
      <c r="CWY586" s="14"/>
      <c r="CWZ586" s="14"/>
      <c r="CXA586" s="14"/>
      <c r="CXB586" s="14"/>
      <c r="CXC586" s="14"/>
      <c r="CXD586" s="14"/>
      <c r="CXE586" s="14"/>
      <c r="CXF586" s="14"/>
      <c r="CXG586" s="14"/>
      <c r="CXH586" s="14"/>
      <c r="CXI586" s="14"/>
      <c r="CXJ586" s="14"/>
      <c r="CXK586" s="14"/>
      <c r="CXL586" s="14"/>
      <c r="CXM586" s="14"/>
      <c r="CXN586" s="14"/>
      <c r="CXO586" s="14"/>
      <c r="CXP586" s="14"/>
      <c r="CXQ586" s="14"/>
      <c r="CXR586" s="14"/>
      <c r="CXS586" s="14"/>
      <c r="CXT586" s="14"/>
      <c r="CXU586" s="14"/>
      <c r="CXV586" s="14"/>
      <c r="CXW586" s="14"/>
      <c r="CXX586" s="14"/>
      <c r="CXY586" s="14"/>
      <c r="CXZ586" s="14"/>
      <c r="CYA586" s="14"/>
      <c r="CYB586" s="14"/>
      <c r="CYC586" s="14"/>
      <c r="CYD586" s="14"/>
      <c r="CYE586" s="14"/>
      <c r="CYF586" s="14"/>
      <c r="CYG586" s="14"/>
      <c r="CYH586" s="14"/>
      <c r="CYI586" s="14"/>
      <c r="CYJ586" s="14"/>
      <c r="CYK586" s="14"/>
      <c r="CYL586" s="14"/>
      <c r="CYM586" s="14"/>
      <c r="CYN586" s="14"/>
      <c r="CYO586" s="14"/>
      <c r="CYP586" s="14"/>
      <c r="CYQ586" s="14"/>
      <c r="CYR586" s="14"/>
      <c r="CYS586" s="14"/>
      <c r="CYT586" s="14"/>
      <c r="CYU586" s="14"/>
      <c r="CYV586" s="14"/>
      <c r="CYW586" s="14"/>
      <c r="CYX586" s="14"/>
      <c r="CYY586" s="14"/>
      <c r="CYZ586" s="14"/>
      <c r="CZA586" s="14"/>
      <c r="CZB586" s="14"/>
      <c r="CZC586" s="14"/>
      <c r="CZD586" s="14"/>
      <c r="CZE586" s="14"/>
      <c r="CZF586" s="14"/>
      <c r="CZG586" s="14"/>
      <c r="CZH586" s="14"/>
      <c r="CZI586" s="14"/>
      <c r="CZJ586" s="14"/>
      <c r="CZK586" s="14"/>
      <c r="CZL586" s="14"/>
      <c r="CZM586" s="14"/>
      <c r="CZN586" s="14"/>
      <c r="CZO586" s="14"/>
      <c r="CZP586" s="14"/>
      <c r="CZQ586" s="14"/>
      <c r="CZR586" s="14"/>
      <c r="CZS586" s="14"/>
      <c r="CZT586" s="14"/>
      <c r="CZU586" s="14"/>
      <c r="CZV586" s="14"/>
      <c r="CZW586" s="14"/>
      <c r="CZX586" s="14"/>
      <c r="CZY586" s="14"/>
      <c r="CZZ586" s="14"/>
      <c r="DAA586" s="14"/>
      <c r="DAB586" s="14"/>
      <c r="DAC586" s="14"/>
      <c r="DAD586" s="14"/>
      <c r="DAE586" s="14"/>
      <c r="DAF586" s="14"/>
      <c r="DAG586" s="14"/>
      <c r="DAH586" s="14"/>
      <c r="DAI586" s="14"/>
      <c r="DAJ586" s="14"/>
      <c r="DAK586" s="14"/>
      <c r="DAL586" s="14"/>
      <c r="DAM586" s="14"/>
      <c r="DAN586" s="14"/>
      <c r="DAO586" s="14"/>
      <c r="DAP586" s="14"/>
      <c r="DAQ586" s="14"/>
      <c r="DAR586" s="14"/>
      <c r="DAS586" s="14"/>
      <c r="DAT586" s="14"/>
      <c r="DAU586" s="14"/>
      <c r="DAV586" s="14"/>
      <c r="DAW586" s="14"/>
      <c r="DAX586" s="14"/>
      <c r="DAY586" s="14"/>
      <c r="DAZ586" s="14"/>
      <c r="DBA586" s="14"/>
      <c r="DBB586" s="14"/>
      <c r="DBC586" s="14"/>
      <c r="DBD586" s="14"/>
      <c r="DBE586" s="14"/>
      <c r="DBF586" s="14"/>
      <c r="DBG586" s="14"/>
      <c r="DBH586" s="14"/>
      <c r="DBI586" s="14"/>
      <c r="DBJ586" s="14"/>
      <c r="DBK586" s="14"/>
      <c r="DBL586" s="14"/>
      <c r="DBM586" s="14"/>
      <c r="DBN586" s="14"/>
      <c r="DBO586" s="14"/>
      <c r="DBP586" s="14"/>
      <c r="DBQ586" s="14"/>
      <c r="DBR586" s="14"/>
      <c r="DBS586" s="14"/>
      <c r="DBT586" s="14"/>
      <c r="DBU586" s="14"/>
      <c r="DBV586" s="14"/>
      <c r="DBW586" s="14"/>
      <c r="DBX586" s="14"/>
      <c r="DBY586" s="14"/>
      <c r="DBZ586" s="14"/>
      <c r="DCA586" s="14"/>
      <c r="DCB586" s="14"/>
      <c r="DCC586" s="14"/>
      <c r="DCD586" s="14"/>
      <c r="DCE586" s="14"/>
      <c r="DCF586" s="14"/>
      <c r="DCG586" s="14"/>
      <c r="DCH586" s="14"/>
      <c r="DCI586" s="14"/>
      <c r="DCJ586" s="14"/>
      <c r="DCK586" s="14"/>
      <c r="DCL586" s="14"/>
      <c r="DCM586" s="14"/>
      <c r="DCN586" s="14"/>
      <c r="DCO586" s="14"/>
      <c r="DCP586" s="14"/>
      <c r="DCQ586" s="14"/>
      <c r="DCR586" s="14"/>
      <c r="DCS586" s="14"/>
      <c r="DCT586" s="14"/>
      <c r="DCU586" s="14"/>
      <c r="DCV586" s="14"/>
      <c r="DCW586" s="14"/>
      <c r="DCX586" s="14"/>
      <c r="DCY586" s="14"/>
      <c r="DCZ586" s="14"/>
      <c r="DDA586" s="14"/>
      <c r="DDB586" s="14"/>
      <c r="DDC586" s="14"/>
      <c r="DDD586" s="14"/>
      <c r="DDE586" s="14"/>
      <c r="DDF586" s="14"/>
      <c r="DDG586" s="14"/>
      <c r="DDH586" s="14"/>
      <c r="DDI586" s="14"/>
      <c r="DDJ586" s="14"/>
      <c r="DDK586" s="14"/>
      <c r="DDL586" s="14"/>
      <c r="DDM586" s="14"/>
      <c r="DDN586" s="14"/>
      <c r="DDO586" s="14"/>
      <c r="DDP586" s="14"/>
      <c r="DDQ586" s="14"/>
      <c r="DDR586" s="14"/>
      <c r="DDS586" s="14"/>
      <c r="DDT586" s="14"/>
      <c r="DDU586" s="14"/>
      <c r="DDV586" s="14"/>
      <c r="DDW586" s="14"/>
      <c r="DDX586" s="14"/>
      <c r="DDY586" s="14"/>
      <c r="DDZ586" s="14"/>
      <c r="DEA586" s="14"/>
      <c r="DEB586" s="14"/>
      <c r="DEC586" s="14"/>
      <c r="DED586" s="14"/>
      <c r="DEE586" s="14"/>
      <c r="DEF586" s="14"/>
      <c r="DEG586" s="14"/>
      <c r="DEH586" s="14"/>
      <c r="DEI586" s="14"/>
      <c r="DEJ586" s="14"/>
      <c r="DEK586" s="14"/>
      <c r="DEL586" s="14"/>
      <c r="DEM586" s="14"/>
      <c r="DEN586" s="14"/>
      <c r="DEO586" s="14"/>
      <c r="DEP586" s="14"/>
      <c r="DEQ586" s="14"/>
      <c r="DER586" s="14"/>
      <c r="DES586" s="14"/>
      <c r="DET586" s="14"/>
      <c r="DEU586" s="14"/>
      <c r="DEV586" s="14"/>
      <c r="DEW586" s="14"/>
      <c r="DEX586" s="14"/>
      <c r="DEY586" s="14"/>
      <c r="DEZ586" s="14"/>
      <c r="DFA586" s="14"/>
      <c r="DFB586" s="14"/>
      <c r="DFC586" s="14"/>
      <c r="DFD586" s="14"/>
      <c r="DFE586" s="14"/>
      <c r="DFF586" s="14"/>
      <c r="DFG586" s="14"/>
      <c r="DFH586" s="14"/>
      <c r="DFI586" s="14"/>
      <c r="DFJ586" s="14"/>
      <c r="DFK586" s="14"/>
      <c r="DFL586" s="14"/>
      <c r="DFM586" s="14"/>
      <c r="DFN586" s="14"/>
      <c r="DFO586" s="14"/>
      <c r="DFP586" s="14"/>
      <c r="DFQ586" s="14"/>
      <c r="DFR586" s="14"/>
      <c r="DFS586" s="14"/>
      <c r="DFT586" s="14"/>
      <c r="DFU586" s="14"/>
      <c r="DFV586" s="14"/>
      <c r="DFW586" s="14"/>
      <c r="DFX586" s="14"/>
      <c r="DFY586" s="14"/>
      <c r="DFZ586" s="14"/>
      <c r="DGA586" s="14"/>
      <c r="DGB586" s="14"/>
      <c r="DGC586" s="14"/>
      <c r="DGD586" s="14"/>
      <c r="DGE586" s="14"/>
      <c r="DGF586" s="14"/>
      <c r="DGG586" s="14"/>
      <c r="DGH586" s="14"/>
      <c r="DGI586" s="14"/>
      <c r="DGJ586" s="14"/>
      <c r="DGK586" s="14"/>
      <c r="DGL586" s="14"/>
      <c r="DGM586" s="14"/>
      <c r="DGN586" s="14"/>
      <c r="DGO586" s="14"/>
      <c r="DGP586" s="14"/>
      <c r="DGQ586" s="14"/>
      <c r="DGR586" s="14"/>
      <c r="DGS586" s="14"/>
      <c r="DGT586" s="14"/>
      <c r="DGU586" s="14"/>
      <c r="DGV586" s="14"/>
      <c r="DGW586" s="14"/>
      <c r="DGX586" s="14"/>
      <c r="DGY586" s="14"/>
      <c r="DGZ586" s="14"/>
      <c r="DHA586" s="14"/>
      <c r="DHB586" s="14"/>
      <c r="DHC586" s="14"/>
      <c r="DHD586" s="14"/>
      <c r="DHE586" s="14"/>
      <c r="DHF586" s="14"/>
      <c r="DHG586" s="14"/>
      <c r="DHH586" s="14"/>
      <c r="DHI586" s="14"/>
      <c r="DHJ586" s="14"/>
      <c r="DHK586" s="14"/>
      <c r="DHL586" s="14"/>
      <c r="DHM586" s="14"/>
      <c r="DHN586" s="14"/>
      <c r="DHO586" s="14"/>
      <c r="DHP586" s="14"/>
      <c r="DHQ586" s="14"/>
      <c r="DHR586" s="14"/>
      <c r="DHS586" s="14"/>
      <c r="DHT586" s="14"/>
      <c r="DHU586" s="14"/>
      <c r="DHV586" s="14"/>
      <c r="DHW586" s="14"/>
      <c r="DHX586" s="14"/>
      <c r="DHY586" s="14"/>
      <c r="DHZ586" s="14"/>
      <c r="DIA586" s="14"/>
      <c r="DIB586" s="14"/>
      <c r="DIC586" s="14"/>
      <c r="DID586" s="14"/>
      <c r="DIE586" s="14"/>
      <c r="DIF586" s="14"/>
      <c r="DIG586" s="14"/>
      <c r="DIH586" s="14"/>
      <c r="DII586" s="14"/>
      <c r="DIJ586" s="14"/>
      <c r="DIK586" s="14"/>
      <c r="DIL586" s="14"/>
      <c r="DIM586" s="14"/>
      <c r="DIN586" s="14"/>
      <c r="DIO586" s="14"/>
      <c r="DIP586" s="14"/>
      <c r="DIQ586" s="14"/>
      <c r="DIR586" s="14"/>
      <c r="DIS586" s="14"/>
      <c r="DIT586" s="14"/>
      <c r="DIU586" s="14"/>
      <c r="DIV586" s="14"/>
      <c r="DIW586" s="14"/>
      <c r="DIX586" s="14"/>
      <c r="DIY586" s="14"/>
      <c r="DIZ586" s="14"/>
      <c r="DJA586" s="14"/>
      <c r="DJB586" s="14"/>
      <c r="DJC586" s="14"/>
      <c r="DJD586" s="14"/>
      <c r="DJE586" s="14"/>
      <c r="DJF586" s="14"/>
      <c r="DJG586" s="14"/>
      <c r="DJH586" s="14"/>
      <c r="DJI586" s="14"/>
      <c r="DJJ586" s="14"/>
      <c r="DJK586" s="14"/>
      <c r="DJL586" s="14"/>
      <c r="DJM586" s="14"/>
      <c r="DJN586" s="14"/>
      <c r="DJO586" s="14"/>
      <c r="DJP586" s="14"/>
      <c r="DJQ586" s="14"/>
      <c r="DJR586" s="14"/>
      <c r="DJS586" s="14"/>
      <c r="DJT586" s="14"/>
      <c r="DJU586" s="14"/>
      <c r="DJV586" s="14"/>
      <c r="DJW586" s="14"/>
      <c r="DJX586" s="14"/>
      <c r="DJY586" s="14"/>
      <c r="DJZ586" s="14"/>
      <c r="DKA586" s="14"/>
      <c r="DKB586" s="14"/>
      <c r="DKC586" s="14"/>
      <c r="DKD586" s="14"/>
      <c r="DKE586" s="14"/>
      <c r="DKF586" s="14"/>
      <c r="DKG586" s="14"/>
      <c r="DKH586" s="14"/>
      <c r="DKI586" s="14"/>
      <c r="DKJ586" s="14"/>
      <c r="DKK586" s="14"/>
      <c r="DKL586" s="14"/>
      <c r="DKM586" s="14"/>
      <c r="DKN586" s="14"/>
      <c r="DKO586" s="14"/>
      <c r="DKP586" s="14"/>
      <c r="DKQ586" s="14"/>
      <c r="DKR586" s="14"/>
      <c r="DKS586" s="14"/>
      <c r="DKT586" s="14"/>
      <c r="DKU586" s="14"/>
      <c r="DKV586" s="14"/>
      <c r="DKW586" s="14"/>
      <c r="DKX586" s="14"/>
      <c r="DKY586" s="14"/>
      <c r="DKZ586" s="14"/>
      <c r="DLA586" s="14"/>
      <c r="DLB586" s="14"/>
      <c r="DLC586" s="14"/>
      <c r="DLD586" s="14"/>
      <c r="DLE586" s="14"/>
      <c r="DLF586" s="14"/>
      <c r="DLG586" s="14"/>
      <c r="DLH586" s="14"/>
      <c r="DLI586" s="14"/>
      <c r="DLJ586" s="14"/>
      <c r="DLK586" s="14"/>
      <c r="DLL586" s="14"/>
      <c r="DLM586" s="14"/>
      <c r="DLN586" s="14"/>
      <c r="DLO586" s="14"/>
      <c r="DLP586" s="14"/>
      <c r="DLQ586" s="14"/>
      <c r="DLR586" s="14"/>
      <c r="DLS586" s="14"/>
      <c r="DLT586" s="14"/>
      <c r="DLU586" s="14"/>
      <c r="DLV586" s="14"/>
      <c r="DLW586" s="14"/>
      <c r="DLX586" s="14"/>
      <c r="DLY586" s="14"/>
      <c r="DLZ586" s="14"/>
      <c r="DMA586" s="14"/>
      <c r="DMB586" s="14"/>
      <c r="DMC586" s="14"/>
      <c r="DMD586" s="14"/>
      <c r="DME586" s="14"/>
      <c r="DMF586" s="14"/>
      <c r="DMG586" s="14"/>
      <c r="DMH586" s="14"/>
      <c r="DMI586" s="14"/>
      <c r="DMJ586" s="14"/>
      <c r="DMK586" s="14"/>
      <c r="DML586" s="14"/>
      <c r="DMM586" s="14"/>
      <c r="DMN586" s="14"/>
      <c r="DMO586" s="14"/>
      <c r="DMP586" s="14"/>
      <c r="DMQ586" s="14"/>
      <c r="DMR586" s="14"/>
      <c r="DMS586" s="14"/>
      <c r="DMT586" s="14"/>
      <c r="DMU586" s="14"/>
      <c r="DMV586" s="14"/>
      <c r="DMW586" s="14"/>
      <c r="DMX586" s="14"/>
      <c r="DMY586" s="14"/>
      <c r="DMZ586" s="14"/>
      <c r="DNA586" s="14"/>
      <c r="DNB586" s="14"/>
      <c r="DNC586" s="14"/>
      <c r="DND586" s="14"/>
      <c r="DNE586" s="14"/>
      <c r="DNF586" s="14"/>
      <c r="DNG586" s="14"/>
      <c r="DNH586" s="14"/>
      <c r="DNI586" s="14"/>
      <c r="DNJ586" s="14"/>
      <c r="DNK586" s="14"/>
      <c r="DNL586" s="14"/>
      <c r="DNM586" s="14"/>
      <c r="DNN586" s="14"/>
      <c r="DNO586" s="14"/>
      <c r="DNP586" s="14"/>
      <c r="DNQ586" s="14"/>
      <c r="DNR586" s="14"/>
      <c r="DNS586" s="14"/>
      <c r="DNT586" s="14"/>
      <c r="DNU586" s="14"/>
      <c r="DNV586" s="14"/>
      <c r="DNW586" s="14"/>
      <c r="DNX586" s="14"/>
      <c r="DNY586" s="14"/>
      <c r="DNZ586" s="14"/>
      <c r="DOA586" s="14"/>
      <c r="DOB586" s="14"/>
      <c r="DOC586" s="14"/>
      <c r="DOD586" s="14"/>
      <c r="DOE586" s="14"/>
      <c r="DOF586" s="14"/>
      <c r="DOG586" s="14"/>
      <c r="DOH586" s="14"/>
      <c r="DOI586" s="14"/>
      <c r="DOJ586" s="14"/>
      <c r="DOK586" s="14"/>
      <c r="DOL586" s="14"/>
      <c r="DOM586" s="14"/>
      <c r="DON586" s="14"/>
      <c r="DOO586" s="14"/>
      <c r="DOP586" s="14"/>
      <c r="DOQ586" s="14"/>
      <c r="DOR586" s="14"/>
      <c r="DOS586" s="14"/>
      <c r="DOT586" s="14"/>
      <c r="DOU586" s="14"/>
      <c r="DOV586" s="14"/>
      <c r="DOW586" s="14"/>
      <c r="DOX586" s="14"/>
      <c r="DOY586" s="14"/>
      <c r="DOZ586" s="14"/>
      <c r="DPA586" s="14"/>
      <c r="DPB586" s="14"/>
      <c r="DPC586" s="14"/>
      <c r="DPD586" s="14"/>
      <c r="DPE586" s="14"/>
      <c r="DPF586" s="14"/>
      <c r="DPG586" s="14"/>
      <c r="DPH586" s="14"/>
      <c r="DPI586" s="14"/>
      <c r="DPJ586" s="14"/>
      <c r="DPK586" s="14"/>
      <c r="DPL586" s="14"/>
      <c r="DPM586" s="14"/>
      <c r="DPN586" s="14"/>
      <c r="DPO586" s="14"/>
      <c r="DPP586" s="14"/>
      <c r="DPQ586" s="14"/>
      <c r="DPR586" s="14"/>
      <c r="DPS586" s="14"/>
      <c r="DPT586" s="14"/>
      <c r="DPU586" s="14"/>
      <c r="DPV586" s="14"/>
      <c r="DPW586" s="14"/>
      <c r="DPX586" s="14"/>
      <c r="DPY586" s="14"/>
      <c r="DPZ586" s="14"/>
      <c r="DQA586" s="14"/>
      <c r="DQB586" s="14"/>
      <c r="DQC586" s="14"/>
      <c r="DQD586" s="14"/>
      <c r="DQE586" s="14"/>
      <c r="DQF586" s="14"/>
      <c r="DQG586" s="14"/>
      <c r="DQH586" s="14"/>
      <c r="DQI586" s="14"/>
      <c r="DQJ586" s="14"/>
      <c r="DQK586" s="14"/>
      <c r="DQL586" s="14"/>
      <c r="DQM586" s="14"/>
      <c r="DQN586" s="14"/>
      <c r="DQO586" s="14"/>
      <c r="DQP586" s="14"/>
      <c r="DQQ586" s="14"/>
      <c r="DQR586" s="14"/>
      <c r="DQS586" s="14"/>
      <c r="DQT586" s="14"/>
      <c r="DQU586" s="14"/>
      <c r="DQV586" s="14"/>
      <c r="DQW586" s="14"/>
      <c r="DQX586" s="14"/>
      <c r="DQY586" s="14"/>
      <c r="DQZ586" s="14"/>
      <c r="DRA586" s="14"/>
      <c r="DRB586" s="14"/>
      <c r="DRC586" s="14"/>
      <c r="DRD586" s="14"/>
      <c r="DRE586" s="14"/>
      <c r="DRF586" s="14"/>
      <c r="DRG586" s="14"/>
      <c r="DRH586" s="14"/>
      <c r="DRI586" s="14"/>
      <c r="DRJ586" s="14"/>
      <c r="DRK586" s="14"/>
      <c r="DRL586" s="14"/>
      <c r="DRM586" s="14"/>
      <c r="DRN586" s="14"/>
      <c r="DRO586" s="14"/>
      <c r="DRP586" s="14"/>
      <c r="DRQ586" s="14"/>
      <c r="DRR586" s="14"/>
      <c r="DRS586" s="14"/>
      <c r="DRT586" s="14"/>
      <c r="DRU586" s="14"/>
      <c r="DRV586" s="14"/>
      <c r="DRW586" s="14"/>
      <c r="DRX586" s="14"/>
      <c r="DRY586" s="14"/>
      <c r="DRZ586" s="14"/>
      <c r="DSA586" s="14"/>
      <c r="DSB586" s="14"/>
      <c r="DSC586" s="14"/>
      <c r="DSD586" s="14"/>
      <c r="DSE586" s="14"/>
      <c r="DSF586" s="14"/>
      <c r="DSG586" s="14"/>
      <c r="DSH586" s="14"/>
      <c r="DSI586" s="14"/>
      <c r="DSJ586" s="14"/>
      <c r="DSK586" s="14"/>
      <c r="DSL586" s="14"/>
      <c r="DSM586" s="14"/>
      <c r="DSN586" s="14"/>
      <c r="DSO586" s="14"/>
      <c r="DSP586" s="14"/>
      <c r="DSQ586" s="14"/>
      <c r="DSR586" s="14"/>
      <c r="DSS586" s="14"/>
      <c r="DST586" s="14"/>
      <c r="DSU586" s="14"/>
      <c r="DSV586" s="14"/>
      <c r="DSW586" s="14"/>
      <c r="DSX586" s="14"/>
      <c r="DSY586" s="14"/>
      <c r="DSZ586" s="14"/>
      <c r="DTA586" s="14"/>
      <c r="DTB586" s="14"/>
      <c r="DTC586" s="14"/>
      <c r="DTD586" s="14"/>
      <c r="DTE586" s="14"/>
      <c r="DTF586" s="14"/>
      <c r="DTG586" s="14"/>
      <c r="DTH586" s="14"/>
      <c r="DTI586" s="14"/>
      <c r="DTJ586" s="14"/>
      <c r="DTK586" s="14"/>
      <c r="DTL586" s="14"/>
      <c r="DTM586" s="14"/>
      <c r="DTN586" s="14"/>
      <c r="DTO586" s="14"/>
      <c r="DTP586" s="14"/>
      <c r="DTQ586" s="14"/>
      <c r="DTR586" s="14"/>
      <c r="DTS586" s="14"/>
      <c r="DTT586" s="14"/>
      <c r="DTU586" s="14"/>
      <c r="DTV586" s="14"/>
      <c r="DTW586" s="14"/>
      <c r="DTX586" s="14"/>
      <c r="DTY586" s="14"/>
      <c r="DTZ586" s="14"/>
      <c r="DUA586" s="14"/>
      <c r="DUB586" s="14"/>
      <c r="DUC586" s="14"/>
      <c r="DUD586" s="14"/>
      <c r="DUE586" s="14"/>
      <c r="DUF586" s="14"/>
      <c r="DUG586" s="14"/>
      <c r="DUH586" s="14"/>
      <c r="DUI586" s="14"/>
      <c r="DUJ586" s="14"/>
      <c r="DUK586" s="14"/>
      <c r="DUL586" s="14"/>
      <c r="DUM586" s="14"/>
      <c r="DUN586" s="14"/>
      <c r="DUO586" s="14"/>
      <c r="DUP586" s="14"/>
      <c r="DUQ586" s="14"/>
      <c r="DUR586" s="14"/>
      <c r="DUS586" s="14"/>
      <c r="DUT586" s="14"/>
      <c r="DUU586" s="14"/>
      <c r="DUV586" s="14"/>
      <c r="DUW586" s="14"/>
      <c r="DUX586" s="14"/>
      <c r="DUY586" s="14"/>
      <c r="DUZ586" s="14"/>
      <c r="DVA586" s="14"/>
      <c r="DVB586" s="14"/>
      <c r="DVC586" s="14"/>
      <c r="DVD586" s="14"/>
      <c r="DVE586" s="14"/>
      <c r="DVF586" s="14"/>
      <c r="DVG586" s="14"/>
      <c r="DVH586" s="14"/>
      <c r="DVI586" s="14"/>
      <c r="DVJ586" s="14"/>
      <c r="DVK586" s="14"/>
      <c r="DVL586" s="14"/>
      <c r="DVM586" s="14"/>
      <c r="DVN586" s="14"/>
      <c r="DVO586" s="14"/>
      <c r="DVP586" s="14"/>
      <c r="DVQ586" s="14"/>
      <c r="DVR586" s="14"/>
      <c r="DVS586" s="14"/>
      <c r="DVT586" s="14"/>
      <c r="DVU586" s="14"/>
      <c r="DVV586" s="14"/>
      <c r="DVW586" s="14"/>
      <c r="DVX586" s="14"/>
      <c r="DVY586" s="14"/>
      <c r="DVZ586" s="14"/>
      <c r="DWA586" s="14"/>
      <c r="DWB586" s="14"/>
      <c r="DWC586" s="14"/>
      <c r="DWD586" s="14"/>
      <c r="DWE586" s="14"/>
      <c r="DWF586" s="14"/>
      <c r="DWG586" s="14"/>
      <c r="DWH586" s="14"/>
      <c r="DWI586" s="14"/>
      <c r="DWJ586" s="14"/>
      <c r="DWK586" s="14"/>
      <c r="DWL586" s="14"/>
      <c r="DWM586" s="14"/>
      <c r="DWN586" s="14"/>
      <c r="DWO586" s="14"/>
      <c r="DWP586" s="14"/>
      <c r="DWQ586" s="14"/>
      <c r="DWR586" s="14"/>
      <c r="DWS586" s="14"/>
      <c r="DWT586" s="14"/>
      <c r="DWU586" s="14"/>
      <c r="DWV586" s="14"/>
      <c r="DWW586" s="14"/>
      <c r="DWX586" s="14"/>
      <c r="DWY586" s="14"/>
      <c r="DWZ586" s="14"/>
      <c r="DXA586" s="14"/>
      <c r="DXB586" s="14"/>
      <c r="DXC586" s="14"/>
      <c r="DXD586" s="14"/>
      <c r="DXE586" s="14"/>
      <c r="DXF586" s="14"/>
      <c r="DXG586" s="14"/>
      <c r="DXH586" s="14"/>
      <c r="DXI586" s="14"/>
      <c r="DXJ586" s="14"/>
      <c r="DXK586" s="14"/>
      <c r="DXL586" s="14"/>
      <c r="DXM586" s="14"/>
      <c r="DXN586" s="14"/>
      <c r="DXO586" s="14"/>
      <c r="DXP586" s="14"/>
      <c r="DXQ586" s="14"/>
      <c r="DXR586" s="14"/>
      <c r="DXS586" s="14"/>
      <c r="DXT586" s="14"/>
      <c r="DXU586" s="14"/>
      <c r="DXV586" s="14"/>
      <c r="DXW586" s="14"/>
      <c r="DXX586" s="14"/>
      <c r="DXY586" s="14"/>
      <c r="DXZ586" s="14"/>
      <c r="DYA586" s="14"/>
      <c r="DYB586" s="14"/>
      <c r="DYC586" s="14"/>
      <c r="DYD586" s="14"/>
      <c r="DYE586" s="14"/>
      <c r="DYF586" s="14"/>
      <c r="DYG586" s="14"/>
      <c r="DYH586" s="14"/>
      <c r="DYI586" s="14"/>
      <c r="DYJ586" s="14"/>
      <c r="DYK586" s="14"/>
      <c r="DYL586" s="14"/>
      <c r="DYM586" s="14"/>
      <c r="DYN586" s="14"/>
      <c r="DYO586" s="14"/>
      <c r="DYP586" s="14"/>
      <c r="DYQ586" s="14"/>
      <c r="DYR586" s="14"/>
      <c r="DYS586" s="14"/>
      <c r="DYT586" s="14"/>
      <c r="DYU586" s="14"/>
      <c r="DYV586" s="14"/>
      <c r="DYW586" s="14"/>
      <c r="DYX586" s="14"/>
      <c r="DYY586" s="14"/>
      <c r="DYZ586" s="14"/>
      <c r="DZA586" s="14"/>
      <c r="DZB586" s="14"/>
      <c r="DZC586" s="14"/>
      <c r="DZD586" s="14"/>
      <c r="DZE586" s="14"/>
      <c r="DZF586" s="14"/>
      <c r="DZG586" s="14"/>
      <c r="DZH586" s="14"/>
      <c r="DZI586" s="14"/>
      <c r="DZJ586" s="14"/>
      <c r="DZK586" s="14"/>
      <c r="DZL586" s="14"/>
      <c r="DZM586" s="14"/>
      <c r="DZN586" s="14"/>
      <c r="DZO586" s="14"/>
      <c r="DZP586" s="14"/>
      <c r="DZQ586" s="14"/>
      <c r="DZR586" s="14"/>
      <c r="DZS586" s="14"/>
      <c r="DZT586" s="14"/>
      <c r="DZU586" s="14"/>
      <c r="DZV586" s="14"/>
      <c r="DZW586" s="14"/>
      <c r="DZX586" s="14"/>
      <c r="DZY586" s="14"/>
      <c r="DZZ586" s="14"/>
      <c r="EAA586" s="14"/>
      <c r="EAB586" s="14"/>
      <c r="EAC586" s="14"/>
      <c r="EAD586" s="14"/>
      <c r="EAE586" s="14"/>
      <c r="EAF586" s="14"/>
      <c r="EAG586" s="14"/>
      <c r="EAH586" s="14"/>
      <c r="EAI586" s="14"/>
      <c r="EAJ586" s="14"/>
      <c r="EAK586" s="14"/>
      <c r="EAL586" s="14"/>
      <c r="EAM586" s="14"/>
      <c r="EAN586" s="14"/>
      <c r="EAO586" s="14"/>
      <c r="EAP586" s="14"/>
      <c r="EAQ586" s="14"/>
      <c r="EAR586" s="14"/>
      <c r="EAS586" s="14"/>
      <c r="EAT586" s="14"/>
      <c r="EAU586" s="14"/>
      <c r="EAV586" s="14"/>
      <c r="EAW586" s="14"/>
      <c r="EAX586" s="14"/>
      <c r="EAY586" s="14"/>
      <c r="EAZ586" s="14"/>
      <c r="EBA586" s="14"/>
      <c r="EBB586" s="14"/>
      <c r="EBC586" s="14"/>
      <c r="EBD586" s="14"/>
      <c r="EBE586" s="14"/>
      <c r="EBF586" s="14"/>
      <c r="EBG586" s="14"/>
      <c r="EBH586" s="14"/>
      <c r="EBI586" s="14"/>
      <c r="EBJ586" s="14"/>
      <c r="EBK586" s="14"/>
      <c r="EBL586" s="14"/>
      <c r="EBM586" s="14"/>
      <c r="EBN586" s="14"/>
      <c r="EBO586" s="14"/>
      <c r="EBP586" s="14"/>
      <c r="EBQ586" s="14"/>
      <c r="EBR586" s="14"/>
      <c r="EBS586" s="14"/>
      <c r="EBT586" s="14"/>
      <c r="EBU586" s="14"/>
      <c r="EBV586" s="14"/>
      <c r="EBW586" s="14"/>
      <c r="EBX586" s="14"/>
      <c r="EBY586" s="14"/>
      <c r="EBZ586" s="14"/>
      <c r="ECA586" s="14"/>
      <c r="ECB586" s="14"/>
      <c r="ECC586" s="14"/>
      <c r="ECD586" s="14"/>
      <c r="ECE586" s="14"/>
      <c r="ECF586" s="14"/>
      <c r="ECG586" s="14"/>
      <c r="ECH586" s="14"/>
      <c r="ECI586" s="14"/>
      <c r="ECJ586" s="14"/>
      <c r="ECK586" s="14"/>
      <c r="ECL586" s="14"/>
      <c r="ECM586" s="14"/>
      <c r="ECN586" s="14"/>
      <c r="ECO586" s="14"/>
      <c r="ECP586" s="14"/>
      <c r="ECQ586" s="14"/>
      <c r="ECR586" s="14"/>
      <c r="ECS586" s="14"/>
      <c r="ECT586" s="14"/>
      <c r="ECU586" s="14"/>
      <c r="ECV586" s="14"/>
      <c r="ECW586" s="14"/>
      <c r="ECX586" s="14"/>
      <c r="ECY586" s="14"/>
      <c r="ECZ586" s="14"/>
      <c r="EDA586" s="14"/>
      <c r="EDB586" s="14"/>
      <c r="EDC586" s="14"/>
      <c r="EDD586" s="14"/>
      <c r="EDE586" s="14"/>
      <c r="EDF586" s="14"/>
      <c r="EDG586" s="14"/>
      <c r="EDH586" s="14"/>
      <c r="EDI586" s="14"/>
      <c r="EDJ586" s="14"/>
      <c r="EDK586" s="14"/>
      <c r="EDL586" s="14"/>
      <c r="EDM586" s="14"/>
      <c r="EDN586" s="14"/>
      <c r="EDO586" s="14"/>
      <c r="EDP586" s="14"/>
      <c r="EDQ586" s="14"/>
      <c r="EDR586" s="14"/>
      <c r="EDS586" s="14"/>
      <c r="EDT586" s="14"/>
      <c r="EDU586" s="14"/>
      <c r="EDV586" s="14"/>
      <c r="EDW586" s="14"/>
      <c r="EDX586" s="14"/>
      <c r="EDY586" s="14"/>
      <c r="EDZ586" s="14"/>
      <c r="EEA586" s="14"/>
      <c r="EEB586" s="14"/>
      <c r="EEC586" s="14"/>
      <c r="EED586" s="14"/>
      <c r="EEE586" s="14"/>
      <c r="EEF586" s="14"/>
      <c r="EEG586" s="14"/>
      <c r="EEH586" s="14"/>
      <c r="EEI586" s="14"/>
      <c r="EEJ586" s="14"/>
      <c r="EEK586" s="14"/>
      <c r="EEL586" s="14"/>
      <c r="EEM586" s="14"/>
      <c r="EEN586" s="14"/>
      <c r="EEO586" s="14"/>
      <c r="EEP586" s="14"/>
      <c r="EEQ586" s="14"/>
      <c r="EER586" s="14"/>
      <c r="EES586" s="14"/>
      <c r="EET586" s="14"/>
      <c r="EEU586" s="14"/>
      <c r="EEV586" s="14"/>
      <c r="EEW586" s="14"/>
      <c r="EEX586" s="14"/>
      <c r="EEY586" s="14"/>
      <c r="EEZ586" s="14"/>
      <c r="EFA586" s="14"/>
      <c r="EFB586" s="14"/>
      <c r="EFC586" s="14"/>
      <c r="EFD586" s="14"/>
      <c r="EFE586" s="14"/>
      <c r="EFF586" s="14"/>
      <c r="EFG586" s="14"/>
      <c r="EFH586" s="14"/>
      <c r="EFI586" s="14"/>
      <c r="EFJ586" s="14"/>
      <c r="EFK586" s="14"/>
      <c r="EFL586" s="14"/>
      <c r="EFM586" s="14"/>
      <c r="EFN586" s="14"/>
      <c r="EFO586" s="14"/>
      <c r="EFP586" s="14"/>
      <c r="EFQ586" s="14"/>
      <c r="EFR586" s="14"/>
      <c r="EFS586" s="14"/>
      <c r="EFT586" s="14"/>
      <c r="EFU586" s="14"/>
      <c r="EFV586" s="14"/>
      <c r="EFW586" s="14"/>
      <c r="EFX586" s="14"/>
      <c r="EFY586" s="14"/>
      <c r="EFZ586" s="14"/>
      <c r="EGA586" s="14"/>
      <c r="EGB586" s="14"/>
      <c r="EGC586" s="14"/>
      <c r="EGD586" s="14"/>
      <c r="EGE586" s="14"/>
      <c r="EGF586" s="14"/>
      <c r="EGG586" s="14"/>
      <c r="EGH586" s="14"/>
      <c r="EGI586" s="14"/>
      <c r="EGJ586" s="14"/>
      <c r="EGK586" s="14"/>
      <c r="EGL586" s="14"/>
      <c r="EGM586" s="14"/>
      <c r="EGN586" s="14"/>
      <c r="EGO586" s="14"/>
      <c r="EGP586" s="14"/>
      <c r="EGQ586" s="14"/>
      <c r="EGR586" s="14"/>
      <c r="EGS586" s="14"/>
      <c r="EGT586" s="14"/>
      <c r="EGU586" s="14"/>
      <c r="EGV586" s="14"/>
      <c r="EGW586" s="14"/>
      <c r="EGX586" s="14"/>
      <c r="EGY586" s="14"/>
      <c r="EGZ586" s="14"/>
      <c r="EHA586" s="14"/>
      <c r="EHB586" s="14"/>
      <c r="EHC586" s="14"/>
      <c r="EHD586" s="14"/>
      <c r="EHE586" s="14"/>
      <c r="EHF586" s="14"/>
      <c r="EHG586" s="14"/>
      <c r="EHH586" s="14"/>
      <c r="EHI586" s="14"/>
      <c r="EHJ586" s="14"/>
      <c r="EHK586" s="14"/>
      <c r="EHL586" s="14"/>
      <c r="EHM586" s="14"/>
      <c r="EHN586" s="14"/>
      <c r="EHO586" s="14"/>
      <c r="EHP586" s="14"/>
      <c r="EHQ586" s="14"/>
      <c r="EHR586" s="14"/>
      <c r="EHS586" s="14"/>
      <c r="EHT586" s="14"/>
      <c r="EHU586" s="14"/>
      <c r="EHV586" s="14"/>
      <c r="EHW586" s="14"/>
      <c r="EHX586" s="14"/>
      <c r="EHY586" s="14"/>
      <c r="EHZ586" s="14"/>
      <c r="EIA586" s="14"/>
      <c r="EIB586" s="14"/>
      <c r="EIC586" s="14"/>
      <c r="EID586" s="14"/>
      <c r="EIE586" s="14"/>
      <c r="EIF586" s="14"/>
      <c r="EIG586" s="14"/>
      <c r="EIH586" s="14"/>
      <c r="EII586" s="14"/>
      <c r="EIJ586" s="14"/>
      <c r="EIK586" s="14"/>
      <c r="EIL586" s="14"/>
      <c r="EIM586" s="14"/>
      <c r="EIN586" s="14"/>
      <c r="EIO586" s="14"/>
      <c r="EIP586" s="14"/>
      <c r="EIQ586" s="14"/>
      <c r="EIR586" s="14"/>
      <c r="EIS586" s="14"/>
      <c r="EIT586" s="14"/>
      <c r="EIU586" s="14"/>
      <c r="EIV586" s="14"/>
      <c r="EIW586" s="14"/>
      <c r="EIX586" s="14"/>
      <c r="EIY586" s="14"/>
      <c r="EIZ586" s="14"/>
      <c r="EJA586" s="14"/>
      <c r="EJB586" s="14"/>
      <c r="EJC586" s="14"/>
      <c r="EJD586" s="14"/>
      <c r="EJE586" s="14"/>
      <c r="EJF586" s="14"/>
      <c r="EJG586" s="14"/>
      <c r="EJH586" s="14"/>
      <c r="EJI586" s="14"/>
      <c r="EJJ586" s="14"/>
      <c r="EJK586" s="14"/>
      <c r="EJL586" s="14"/>
      <c r="EJM586" s="14"/>
      <c r="EJN586" s="14"/>
      <c r="EJO586" s="14"/>
      <c r="EJP586" s="14"/>
      <c r="EJQ586" s="14"/>
      <c r="EJR586" s="14"/>
      <c r="EJS586" s="14"/>
      <c r="EJT586" s="14"/>
      <c r="EJU586" s="14"/>
      <c r="EJV586" s="14"/>
      <c r="EJW586" s="14"/>
      <c r="EJX586" s="14"/>
      <c r="EJY586" s="14"/>
      <c r="EJZ586" s="14"/>
      <c r="EKA586" s="14"/>
      <c r="EKB586" s="14"/>
      <c r="EKC586" s="14"/>
      <c r="EKD586" s="14"/>
      <c r="EKE586" s="14"/>
      <c r="EKF586" s="14"/>
      <c r="EKG586" s="14"/>
      <c r="EKH586" s="14"/>
      <c r="EKI586" s="14"/>
      <c r="EKJ586" s="14"/>
      <c r="EKK586" s="14"/>
      <c r="EKL586" s="14"/>
      <c r="EKM586" s="14"/>
      <c r="EKN586" s="14"/>
      <c r="EKO586" s="14"/>
      <c r="EKP586" s="14"/>
      <c r="EKQ586" s="14"/>
      <c r="EKR586" s="14"/>
      <c r="EKS586" s="14"/>
      <c r="EKT586" s="14"/>
      <c r="EKU586" s="14"/>
      <c r="EKV586" s="14"/>
      <c r="EKW586" s="14"/>
      <c r="EKX586" s="14"/>
      <c r="EKY586" s="14"/>
      <c r="EKZ586" s="14"/>
      <c r="ELA586" s="14"/>
      <c r="ELB586" s="14"/>
      <c r="ELC586" s="14"/>
      <c r="ELD586" s="14"/>
      <c r="ELE586" s="14"/>
      <c r="ELF586" s="14"/>
      <c r="ELG586" s="14"/>
      <c r="ELH586" s="14"/>
      <c r="ELI586" s="14"/>
      <c r="ELJ586" s="14"/>
      <c r="ELK586" s="14"/>
      <c r="ELL586" s="14"/>
      <c r="ELM586" s="14"/>
      <c r="ELN586" s="14"/>
      <c r="ELO586" s="14"/>
      <c r="ELP586" s="14"/>
      <c r="ELQ586" s="14"/>
      <c r="ELR586" s="14"/>
      <c r="ELS586" s="14"/>
      <c r="ELT586" s="14"/>
      <c r="ELU586" s="14"/>
      <c r="ELV586" s="14"/>
      <c r="ELW586" s="14"/>
      <c r="ELX586" s="14"/>
      <c r="ELY586" s="14"/>
      <c r="ELZ586" s="14"/>
      <c r="EMA586" s="14"/>
      <c r="EMB586" s="14"/>
      <c r="EMC586" s="14"/>
      <c r="EMD586" s="14"/>
      <c r="EME586" s="14"/>
      <c r="EMF586" s="14"/>
      <c r="EMG586" s="14"/>
      <c r="EMH586" s="14"/>
      <c r="EMI586" s="14"/>
      <c r="EMJ586" s="14"/>
      <c r="EMK586" s="14"/>
      <c r="EML586" s="14"/>
      <c r="EMM586" s="14"/>
      <c r="EMN586" s="14"/>
      <c r="EMO586" s="14"/>
      <c r="EMP586" s="14"/>
      <c r="EMQ586" s="14"/>
      <c r="EMR586" s="14"/>
      <c r="EMS586" s="14"/>
      <c r="EMT586" s="14"/>
      <c r="EMU586" s="14"/>
      <c r="EMV586" s="14"/>
      <c r="EMW586" s="14"/>
      <c r="EMX586" s="14"/>
      <c r="EMY586" s="14"/>
      <c r="EMZ586" s="14"/>
      <c r="ENA586" s="14"/>
      <c r="ENB586" s="14"/>
      <c r="ENC586" s="14"/>
      <c r="END586" s="14"/>
      <c r="ENE586" s="14"/>
      <c r="ENF586" s="14"/>
      <c r="ENG586" s="14"/>
      <c r="ENH586" s="14"/>
      <c r="ENI586" s="14"/>
      <c r="ENJ586" s="14"/>
      <c r="ENK586" s="14"/>
      <c r="ENL586" s="14"/>
      <c r="ENM586" s="14"/>
      <c r="ENN586" s="14"/>
      <c r="ENO586" s="14"/>
      <c r="ENP586" s="14"/>
      <c r="ENQ586" s="14"/>
      <c r="ENR586" s="14"/>
      <c r="ENS586" s="14"/>
      <c r="ENT586" s="14"/>
      <c r="ENU586" s="14"/>
      <c r="ENV586" s="14"/>
      <c r="ENW586" s="14"/>
      <c r="ENX586" s="14"/>
      <c r="ENY586" s="14"/>
      <c r="ENZ586" s="14"/>
      <c r="EOA586" s="14"/>
      <c r="EOB586" s="14"/>
      <c r="EOC586" s="14"/>
      <c r="EOD586" s="14"/>
      <c r="EOE586" s="14"/>
      <c r="EOF586" s="14"/>
      <c r="EOG586" s="14"/>
      <c r="EOH586" s="14"/>
      <c r="EOI586" s="14"/>
      <c r="EOJ586" s="14"/>
      <c r="EOK586" s="14"/>
      <c r="EOL586" s="14"/>
      <c r="EOM586" s="14"/>
      <c r="EON586" s="14"/>
      <c r="EOO586" s="14"/>
      <c r="EOP586" s="14"/>
      <c r="EOQ586" s="14"/>
      <c r="EOR586" s="14"/>
      <c r="EOS586" s="14"/>
      <c r="EOT586" s="14"/>
      <c r="EOU586" s="14"/>
      <c r="EOV586" s="14"/>
      <c r="EOW586" s="14"/>
      <c r="EOX586" s="14"/>
      <c r="EOY586" s="14"/>
      <c r="EOZ586" s="14"/>
      <c r="EPA586" s="14"/>
      <c r="EPB586" s="14"/>
      <c r="EPC586" s="14"/>
      <c r="EPD586" s="14"/>
      <c r="EPE586" s="14"/>
      <c r="EPF586" s="14"/>
      <c r="EPG586" s="14"/>
      <c r="EPH586" s="14"/>
      <c r="EPI586" s="14"/>
      <c r="EPJ586" s="14"/>
      <c r="EPK586" s="14"/>
      <c r="EPL586" s="14"/>
      <c r="EPM586" s="14"/>
      <c r="EPN586" s="14"/>
      <c r="EPO586" s="14"/>
      <c r="EPP586" s="14"/>
      <c r="EPQ586" s="14"/>
      <c r="EPR586" s="14"/>
      <c r="EPS586" s="14"/>
      <c r="EPT586" s="14"/>
      <c r="EPU586" s="14"/>
      <c r="EPV586" s="14"/>
      <c r="EPW586" s="14"/>
      <c r="EPX586" s="14"/>
      <c r="EPY586" s="14"/>
      <c r="EPZ586" s="14"/>
      <c r="EQA586" s="14"/>
      <c r="EQB586" s="14"/>
      <c r="EQC586" s="14"/>
      <c r="EQD586" s="14"/>
      <c r="EQE586" s="14"/>
      <c r="EQF586" s="14"/>
      <c r="EQG586" s="14"/>
      <c r="EQH586" s="14"/>
      <c r="EQI586" s="14"/>
      <c r="EQJ586" s="14"/>
      <c r="EQK586" s="14"/>
      <c r="EQL586" s="14"/>
      <c r="EQM586" s="14"/>
      <c r="EQN586" s="14"/>
      <c r="EQO586" s="14"/>
      <c r="EQP586" s="14"/>
      <c r="EQQ586" s="14"/>
      <c r="EQR586" s="14"/>
      <c r="EQS586" s="14"/>
      <c r="EQT586" s="14"/>
      <c r="EQU586" s="14"/>
      <c r="EQV586" s="14"/>
      <c r="EQW586" s="14"/>
      <c r="EQX586" s="14"/>
      <c r="EQY586" s="14"/>
      <c r="EQZ586" s="14"/>
      <c r="ERA586" s="14"/>
      <c r="ERB586" s="14"/>
      <c r="ERC586" s="14"/>
      <c r="ERD586" s="14"/>
      <c r="ERE586" s="14"/>
      <c r="ERF586" s="14"/>
      <c r="ERG586" s="14"/>
      <c r="ERH586" s="14"/>
      <c r="ERI586" s="14"/>
      <c r="ERJ586" s="14"/>
      <c r="ERK586" s="14"/>
      <c r="ERL586" s="14"/>
      <c r="ERM586" s="14"/>
      <c r="ERN586" s="14"/>
      <c r="ERO586" s="14"/>
      <c r="ERP586" s="14"/>
      <c r="ERQ586" s="14"/>
      <c r="ERR586" s="14"/>
      <c r="ERS586" s="14"/>
      <c r="ERT586" s="14"/>
      <c r="ERU586" s="14"/>
      <c r="ERV586" s="14"/>
      <c r="ERW586" s="14"/>
      <c r="ERX586" s="14"/>
      <c r="ERY586" s="14"/>
      <c r="ERZ586" s="14"/>
      <c r="ESA586" s="14"/>
      <c r="ESB586" s="14"/>
      <c r="ESC586" s="14"/>
      <c r="ESD586" s="14"/>
      <c r="ESE586" s="14"/>
      <c r="ESF586" s="14"/>
      <c r="ESG586" s="14"/>
      <c r="ESH586" s="14"/>
      <c r="ESI586" s="14"/>
      <c r="ESJ586" s="14"/>
      <c r="ESK586" s="14"/>
      <c r="ESL586" s="14"/>
      <c r="ESM586" s="14"/>
      <c r="ESN586" s="14"/>
      <c r="ESO586" s="14"/>
      <c r="ESP586" s="14"/>
      <c r="ESQ586" s="14"/>
      <c r="ESR586" s="14"/>
      <c r="ESS586" s="14"/>
      <c r="EST586" s="14"/>
      <c r="ESU586" s="14"/>
      <c r="ESV586" s="14"/>
      <c r="ESW586" s="14"/>
      <c r="ESX586" s="14"/>
      <c r="ESY586" s="14"/>
      <c r="ESZ586" s="14"/>
      <c r="ETA586" s="14"/>
      <c r="ETB586" s="14"/>
      <c r="ETC586" s="14"/>
      <c r="ETD586" s="14"/>
      <c r="ETE586" s="14"/>
      <c r="ETF586" s="14"/>
      <c r="ETG586" s="14"/>
      <c r="ETH586" s="14"/>
      <c r="ETI586" s="14"/>
      <c r="ETJ586" s="14"/>
      <c r="ETK586" s="14"/>
      <c r="ETL586" s="14"/>
      <c r="ETM586" s="14"/>
      <c r="ETN586" s="14"/>
      <c r="ETO586" s="14"/>
      <c r="ETP586" s="14"/>
      <c r="ETQ586" s="14"/>
      <c r="ETR586" s="14"/>
      <c r="ETS586" s="14"/>
      <c r="ETT586" s="14"/>
      <c r="ETU586" s="14"/>
      <c r="ETV586" s="14"/>
      <c r="ETW586" s="14"/>
      <c r="ETX586" s="14"/>
      <c r="ETY586" s="14"/>
      <c r="ETZ586" s="14"/>
      <c r="EUA586" s="14"/>
      <c r="EUB586" s="14"/>
      <c r="EUC586" s="14"/>
      <c r="EUD586" s="14"/>
      <c r="EUE586" s="14"/>
      <c r="EUF586" s="14"/>
      <c r="EUG586" s="14"/>
      <c r="EUH586" s="14"/>
      <c r="EUI586" s="14"/>
      <c r="EUJ586" s="14"/>
      <c r="EUK586" s="14"/>
      <c r="EUL586" s="14"/>
      <c r="EUM586" s="14"/>
      <c r="EUN586" s="14"/>
      <c r="EUO586" s="14"/>
      <c r="EUP586" s="14"/>
      <c r="EUQ586" s="14"/>
      <c r="EUR586" s="14"/>
      <c r="EUS586" s="14"/>
      <c r="EUT586" s="14"/>
      <c r="EUU586" s="14"/>
      <c r="EUV586" s="14"/>
      <c r="EUW586" s="14"/>
      <c r="EUX586" s="14"/>
      <c r="EUY586" s="14"/>
      <c r="EUZ586" s="14"/>
      <c r="EVA586" s="14"/>
      <c r="EVB586" s="14"/>
      <c r="EVC586" s="14"/>
      <c r="EVD586" s="14"/>
      <c r="EVE586" s="14"/>
      <c r="EVF586" s="14"/>
      <c r="EVG586" s="14"/>
      <c r="EVH586" s="14"/>
      <c r="EVI586" s="14"/>
      <c r="EVJ586" s="14"/>
      <c r="EVK586" s="14"/>
      <c r="EVL586" s="14"/>
      <c r="EVM586" s="14"/>
      <c r="EVN586" s="14"/>
      <c r="EVO586" s="14"/>
      <c r="EVP586" s="14"/>
      <c r="EVQ586" s="14"/>
      <c r="EVR586" s="14"/>
      <c r="EVS586" s="14"/>
      <c r="EVT586" s="14"/>
      <c r="EVU586" s="14"/>
      <c r="EVV586" s="14"/>
      <c r="EVW586" s="14"/>
      <c r="EVX586" s="14"/>
      <c r="EVY586" s="14"/>
      <c r="EVZ586" s="14"/>
      <c r="EWA586" s="14"/>
      <c r="EWB586" s="14"/>
      <c r="EWC586" s="14"/>
      <c r="EWD586" s="14"/>
      <c r="EWE586" s="14"/>
      <c r="EWF586" s="14"/>
      <c r="EWG586" s="14"/>
      <c r="EWH586" s="14"/>
      <c r="EWI586" s="14"/>
      <c r="EWJ586" s="14"/>
      <c r="EWK586" s="14"/>
      <c r="EWL586" s="14"/>
      <c r="EWM586" s="14"/>
      <c r="EWN586" s="14"/>
      <c r="EWO586" s="14"/>
      <c r="EWP586" s="14"/>
      <c r="EWQ586" s="14"/>
      <c r="EWR586" s="14"/>
      <c r="EWS586" s="14"/>
      <c r="EWT586" s="14"/>
      <c r="EWU586" s="14"/>
      <c r="EWV586" s="14"/>
      <c r="EWW586" s="14"/>
      <c r="EWX586" s="14"/>
      <c r="EWY586" s="14"/>
      <c r="EWZ586" s="14"/>
      <c r="EXA586" s="14"/>
      <c r="EXB586" s="14"/>
      <c r="EXC586" s="14"/>
      <c r="EXD586" s="14"/>
      <c r="EXE586" s="14"/>
      <c r="EXF586" s="14"/>
      <c r="EXG586" s="14"/>
      <c r="EXH586" s="14"/>
      <c r="EXI586" s="14"/>
      <c r="EXJ586" s="14"/>
      <c r="EXK586" s="14"/>
      <c r="EXL586" s="14"/>
      <c r="EXM586" s="14"/>
      <c r="EXN586" s="14"/>
      <c r="EXO586" s="14"/>
      <c r="EXP586" s="14"/>
      <c r="EXQ586" s="14"/>
      <c r="EXR586" s="14"/>
      <c r="EXS586" s="14"/>
      <c r="EXT586" s="14"/>
      <c r="EXU586" s="14"/>
      <c r="EXV586" s="14"/>
      <c r="EXW586" s="14"/>
      <c r="EXX586" s="14"/>
      <c r="EXY586" s="14"/>
      <c r="EXZ586" s="14"/>
      <c r="EYA586" s="14"/>
      <c r="EYB586" s="14"/>
      <c r="EYC586" s="14"/>
      <c r="EYD586" s="14"/>
      <c r="EYE586" s="14"/>
      <c r="EYF586" s="14"/>
      <c r="EYG586" s="14"/>
      <c r="EYH586" s="14"/>
      <c r="EYI586" s="14"/>
      <c r="EYJ586" s="14"/>
      <c r="EYK586" s="14"/>
      <c r="EYL586" s="14"/>
      <c r="EYM586" s="14"/>
      <c r="EYN586" s="14"/>
      <c r="EYO586" s="14"/>
      <c r="EYP586" s="14"/>
      <c r="EYQ586" s="14"/>
      <c r="EYR586" s="14"/>
      <c r="EYS586" s="14"/>
      <c r="EYT586" s="14"/>
      <c r="EYU586" s="14"/>
      <c r="EYV586" s="14"/>
      <c r="EYW586" s="14"/>
      <c r="EYX586" s="14"/>
      <c r="EYY586" s="14"/>
      <c r="EYZ586" s="14"/>
      <c r="EZA586" s="14"/>
      <c r="EZB586" s="14"/>
      <c r="EZC586" s="14"/>
      <c r="EZD586" s="14"/>
      <c r="EZE586" s="14"/>
      <c r="EZF586" s="14"/>
      <c r="EZG586" s="14"/>
      <c r="EZH586" s="14"/>
      <c r="EZI586" s="14"/>
      <c r="EZJ586" s="14"/>
      <c r="EZK586" s="14"/>
      <c r="EZL586" s="14"/>
      <c r="EZM586" s="14"/>
      <c r="EZN586" s="14"/>
      <c r="EZO586" s="14"/>
      <c r="EZP586" s="14"/>
      <c r="EZQ586" s="14"/>
      <c r="EZR586" s="14"/>
      <c r="EZS586" s="14"/>
      <c r="EZT586" s="14"/>
      <c r="EZU586" s="14"/>
      <c r="EZV586" s="14"/>
      <c r="EZW586" s="14"/>
      <c r="EZX586" s="14"/>
      <c r="EZY586" s="14"/>
      <c r="EZZ586" s="14"/>
      <c r="FAA586" s="14"/>
      <c r="FAB586" s="14"/>
      <c r="FAC586" s="14"/>
      <c r="FAD586" s="14"/>
      <c r="FAE586" s="14"/>
      <c r="FAF586" s="14"/>
      <c r="FAG586" s="14"/>
      <c r="FAH586" s="14"/>
      <c r="FAI586" s="14"/>
      <c r="FAJ586" s="14"/>
      <c r="FAK586" s="14"/>
      <c r="FAL586" s="14"/>
      <c r="FAM586" s="14"/>
      <c r="FAN586" s="14"/>
      <c r="FAO586" s="14"/>
      <c r="FAP586" s="14"/>
      <c r="FAQ586" s="14"/>
      <c r="FAR586" s="14"/>
      <c r="FAS586" s="14"/>
      <c r="FAT586" s="14"/>
      <c r="FAU586" s="14"/>
      <c r="FAV586" s="14"/>
      <c r="FAW586" s="14"/>
      <c r="FAX586" s="14"/>
      <c r="FAY586" s="14"/>
      <c r="FAZ586" s="14"/>
      <c r="FBA586" s="14"/>
      <c r="FBB586" s="14"/>
      <c r="FBC586" s="14"/>
      <c r="FBD586" s="14"/>
      <c r="FBE586" s="14"/>
      <c r="FBF586" s="14"/>
      <c r="FBG586" s="14"/>
      <c r="FBH586" s="14"/>
      <c r="FBI586" s="14"/>
      <c r="FBJ586" s="14"/>
      <c r="FBK586" s="14"/>
      <c r="FBL586" s="14"/>
      <c r="FBM586" s="14"/>
      <c r="FBN586" s="14"/>
      <c r="FBO586" s="14"/>
      <c r="FBP586" s="14"/>
      <c r="FBQ586" s="14"/>
      <c r="FBR586" s="14"/>
      <c r="FBS586" s="14"/>
      <c r="FBT586" s="14"/>
      <c r="FBU586" s="14"/>
      <c r="FBV586" s="14"/>
      <c r="FBW586" s="14"/>
      <c r="FBX586" s="14"/>
      <c r="FBY586" s="14"/>
      <c r="FBZ586" s="14"/>
      <c r="FCA586" s="14"/>
      <c r="FCB586" s="14"/>
      <c r="FCC586" s="14"/>
      <c r="FCD586" s="14"/>
      <c r="FCE586" s="14"/>
      <c r="FCF586" s="14"/>
      <c r="FCG586" s="14"/>
      <c r="FCH586" s="14"/>
      <c r="FCI586" s="14"/>
      <c r="FCJ586" s="14"/>
      <c r="FCK586" s="14"/>
      <c r="FCL586" s="14"/>
      <c r="FCM586" s="14"/>
      <c r="FCN586" s="14"/>
      <c r="FCO586" s="14"/>
      <c r="FCP586" s="14"/>
      <c r="FCQ586" s="14"/>
      <c r="FCR586" s="14"/>
      <c r="FCS586" s="14"/>
      <c r="FCT586" s="14"/>
      <c r="FCU586" s="14"/>
      <c r="FCV586" s="14"/>
      <c r="FCW586" s="14"/>
      <c r="FCX586" s="14"/>
      <c r="FCY586" s="14"/>
      <c r="FCZ586" s="14"/>
      <c r="FDA586" s="14"/>
      <c r="FDB586" s="14"/>
      <c r="FDC586" s="14"/>
      <c r="FDD586" s="14"/>
      <c r="FDE586" s="14"/>
      <c r="FDF586" s="14"/>
      <c r="FDG586" s="14"/>
      <c r="FDH586" s="14"/>
      <c r="FDI586" s="14"/>
      <c r="FDJ586" s="14"/>
      <c r="FDK586" s="14"/>
      <c r="FDL586" s="14"/>
      <c r="FDM586" s="14"/>
      <c r="FDN586" s="14"/>
      <c r="FDO586" s="14"/>
      <c r="FDP586" s="14"/>
      <c r="FDQ586" s="14"/>
      <c r="FDR586" s="14"/>
      <c r="FDS586" s="14"/>
      <c r="FDT586" s="14"/>
      <c r="FDU586" s="14"/>
      <c r="FDV586" s="14"/>
      <c r="FDW586" s="14"/>
      <c r="FDX586" s="14"/>
      <c r="FDY586" s="14"/>
      <c r="FDZ586" s="14"/>
      <c r="FEA586" s="14"/>
      <c r="FEB586" s="14"/>
      <c r="FEC586" s="14"/>
      <c r="FED586" s="14"/>
      <c r="FEE586" s="14"/>
      <c r="FEF586" s="14"/>
      <c r="FEG586" s="14"/>
      <c r="FEH586" s="14"/>
      <c r="FEI586" s="14"/>
      <c r="FEJ586" s="14"/>
      <c r="FEK586" s="14"/>
      <c r="FEL586" s="14"/>
      <c r="FEM586" s="14"/>
      <c r="FEN586" s="14"/>
      <c r="FEO586" s="14"/>
      <c r="FEP586" s="14"/>
      <c r="FEQ586" s="14"/>
      <c r="FER586" s="14"/>
      <c r="FES586" s="14"/>
      <c r="FET586" s="14"/>
      <c r="FEU586" s="14"/>
      <c r="FEV586" s="14"/>
      <c r="FEW586" s="14"/>
      <c r="FEX586" s="14"/>
      <c r="FEY586" s="14"/>
      <c r="FEZ586" s="14"/>
      <c r="FFA586" s="14"/>
      <c r="FFB586" s="14"/>
      <c r="FFC586" s="14"/>
      <c r="FFD586" s="14"/>
      <c r="FFE586" s="14"/>
      <c r="FFF586" s="14"/>
      <c r="FFG586" s="14"/>
      <c r="FFH586" s="14"/>
      <c r="FFI586" s="14"/>
      <c r="FFJ586" s="14"/>
      <c r="FFK586" s="14"/>
      <c r="FFL586" s="14"/>
      <c r="FFM586" s="14"/>
      <c r="FFN586" s="14"/>
      <c r="FFO586" s="14"/>
      <c r="FFP586" s="14"/>
      <c r="FFQ586" s="14"/>
      <c r="FFR586" s="14"/>
      <c r="FFS586" s="14"/>
      <c r="FFT586" s="14"/>
      <c r="FFU586" s="14"/>
      <c r="FFV586" s="14"/>
      <c r="FFW586" s="14"/>
      <c r="FFX586" s="14"/>
      <c r="FFY586" s="14"/>
      <c r="FFZ586" s="14"/>
      <c r="FGA586" s="14"/>
      <c r="FGB586" s="14"/>
      <c r="FGC586" s="14"/>
      <c r="FGD586" s="14"/>
      <c r="FGE586" s="14"/>
      <c r="FGF586" s="14"/>
      <c r="FGG586" s="14"/>
      <c r="FGH586" s="14"/>
      <c r="FGI586" s="14"/>
      <c r="FGJ586" s="14"/>
      <c r="FGK586" s="14"/>
      <c r="FGL586" s="14"/>
      <c r="FGM586" s="14"/>
      <c r="FGN586" s="14"/>
      <c r="FGO586" s="14"/>
      <c r="FGP586" s="14"/>
      <c r="FGQ586" s="14"/>
      <c r="FGR586" s="14"/>
      <c r="FGS586" s="14"/>
      <c r="FGT586" s="14"/>
      <c r="FGU586" s="14"/>
      <c r="FGV586" s="14"/>
      <c r="FGW586" s="14"/>
      <c r="FGX586" s="14"/>
      <c r="FGY586" s="14"/>
      <c r="FGZ586" s="14"/>
      <c r="FHA586" s="14"/>
      <c r="FHB586" s="14"/>
      <c r="FHC586" s="14"/>
      <c r="FHD586" s="14"/>
      <c r="FHE586" s="14"/>
      <c r="FHF586" s="14"/>
      <c r="FHG586" s="14"/>
      <c r="FHH586" s="14"/>
      <c r="FHI586" s="14"/>
      <c r="FHJ586" s="14"/>
      <c r="FHK586" s="14"/>
      <c r="FHL586" s="14"/>
      <c r="FHM586" s="14"/>
      <c r="FHN586" s="14"/>
      <c r="FHO586" s="14"/>
      <c r="FHP586" s="14"/>
      <c r="FHQ586" s="14"/>
      <c r="FHR586" s="14"/>
      <c r="FHS586" s="14"/>
      <c r="FHT586" s="14"/>
      <c r="FHU586" s="14"/>
      <c r="FHV586" s="14"/>
      <c r="FHW586" s="14"/>
      <c r="FHX586" s="14"/>
      <c r="FHY586" s="14"/>
      <c r="FHZ586" s="14"/>
      <c r="FIA586" s="14"/>
      <c r="FIB586" s="14"/>
      <c r="FIC586" s="14"/>
      <c r="FID586" s="14"/>
      <c r="FIE586" s="14"/>
      <c r="FIF586" s="14"/>
      <c r="FIG586" s="14"/>
      <c r="FIH586" s="14"/>
      <c r="FII586" s="14"/>
      <c r="FIJ586" s="14"/>
      <c r="FIK586" s="14"/>
      <c r="FIL586" s="14"/>
      <c r="FIM586" s="14"/>
      <c r="FIN586" s="14"/>
      <c r="FIO586" s="14"/>
      <c r="FIP586" s="14"/>
      <c r="FIQ586" s="14"/>
      <c r="FIR586" s="14"/>
      <c r="FIS586" s="14"/>
      <c r="FIT586" s="14"/>
      <c r="FIU586" s="14"/>
      <c r="FIV586" s="14"/>
      <c r="FIW586" s="14"/>
      <c r="FIX586" s="14"/>
      <c r="FIY586" s="14"/>
      <c r="FIZ586" s="14"/>
      <c r="FJA586" s="14"/>
      <c r="FJB586" s="14"/>
      <c r="FJC586" s="14"/>
      <c r="FJD586" s="14"/>
      <c r="FJE586" s="14"/>
      <c r="FJF586" s="14"/>
      <c r="FJG586" s="14"/>
      <c r="FJH586" s="14"/>
      <c r="FJI586" s="14"/>
      <c r="FJJ586" s="14"/>
      <c r="FJK586" s="14"/>
      <c r="FJL586" s="14"/>
      <c r="FJM586" s="14"/>
      <c r="FJN586" s="14"/>
      <c r="FJO586" s="14"/>
      <c r="FJP586" s="14"/>
      <c r="FJQ586" s="14"/>
      <c r="FJR586" s="14"/>
      <c r="FJS586" s="14"/>
      <c r="FJT586" s="14"/>
      <c r="FJU586" s="14"/>
      <c r="FJV586" s="14"/>
      <c r="FJW586" s="14"/>
      <c r="FJX586" s="14"/>
      <c r="FJY586" s="14"/>
      <c r="FJZ586" s="14"/>
      <c r="FKA586" s="14"/>
      <c r="FKB586" s="14"/>
      <c r="FKC586" s="14"/>
      <c r="FKD586" s="14"/>
      <c r="FKE586" s="14"/>
      <c r="FKF586" s="14"/>
      <c r="FKG586" s="14"/>
      <c r="FKH586" s="14"/>
      <c r="FKI586" s="14"/>
      <c r="FKJ586" s="14"/>
      <c r="FKK586" s="14"/>
      <c r="FKL586" s="14"/>
      <c r="FKM586" s="14"/>
      <c r="FKN586" s="14"/>
      <c r="FKO586" s="14"/>
      <c r="FKP586" s="14"/>
      <c r="FKQ586" s="14"/>
      <c r="FKR586" s="14"/>
      <c r="FKS586" s="14"/>
      <c r="FKT586" s="14"/>
      <c r="FKU586" s="14"/>
      <c r="FKV586" s="14"/>
      <c r="FKW586" s="14"/>
      <c r="FKX586" s="14"/>
      <c r="FKY586" s="14"/>
      <c r="FKZ586" s="14"/>
      <c r="FLA586" s="14"/>
      <c r="FLB586" s="14"/>
      <c r="FLC586" s="14"/>
      <c r="FLD586" s="14"/>
      <c r="FLE586" s="14"/>
      <c r="FLF586" s="14"/>
      <c r="FLG586" s="14"/>
      <c r="FLH586" s="14"/>
      <c r="FLI586" s="14"/>
      <c r="FLJ586" s="14"/>
      <c r="FLK586" s="14"/>
      <c r="FLL586" s="14"/>
      <c r="FLM586" s="14"/>
      <c r="FLN586" s="14"/>
      <c r="FLO586" s="14"/>
      <c r="FLP586" s="14"/>
      <c r="FLQ586" s="14"/>
      <c r="FLR586" s="14"/>
      <c r="FLS586" s="14"/>
      <c r="FLT586" s="14"/>
      <c r="FLU586" s="14"/>
      <c r="FLV586" s="14"/>
      <c r="FLW586" s="14"/>
      <c r="FLX586" s="14"/>
      <c r="FLY586" s="14"/>
      <c r="FLZ586" s="14"/>
      <c r="FMA586" s="14"/>
      <c r="FMB586" s="14"/>
      <c r="FMC586" s="14"/>
      <c r="FMD586" s="14"/>
      <c r="FME586" s="14"/>
      <c r="FMF586" s="14"/>
      <c r="FMG586" s="14"/>
      <c r="FMH586" s="14"/>
      <c r="FMI586" s="14"/>
      <c r="FMJ586" s="14"/>
      <c r="FMK586" s="14"/>
      <c r="FML586" s="14"/>
      <c r="FMM586" s="14"/>
      <c r="FMN586" s="14"/>
      <c r="FMO586" s="14"/>
      <c r="FMP586" s="14"/>
      <c r="FMQ586" s="14"/>
      <c r="FMR586" s="14"/>
      <c r="FMS586" s="14"/>
      <c r="FMT586" s="14"/>
      <c r="FMU586" s="14"/>
      <c r="FMV586" s="14"/>
      <c r="FMW586" s="14"/>
      <c r="FMX586" s="14"/>
      <c r="FMY586" s="14"/>
      <c r="FMZ586" s="14"/>
      <c r="FNA586" s="14"/>
      <c r="FNB586" s="14"/>
      <c r="FNC586" s="14"/>
      <c r="FND586" s="14"/>
      <c r="FNE586" s="14"/>
      <c r="FNF586" s="14"/>
      <c r="FNG586" s="14"/>
      <c r="FNH586" s="14"/>
      <c r="FNI586" s="14"/>
      <c r="FNJ586" s="14"/>
      <c r="FNK586" s="14"/>
      <c r="FNL586" s="14"/>
      <c r="FNM586" s="14"/>
      <c r="FNN586" s="14"/>
      <c r="FNO586" s="14"/>
      <c r="FNP586" s="14"/>
      <c r="FNQ586" s="14"/>
      <c r="FNR586" s="14"/>
      <c r="FNS586" s="14"/>
      <c r="FNT586" s="14"/>
      <c r="FNU586" s="14"/>
      <c r="FNV586" s="14"/>
      <c r="FNW586" s="14"/>
      <c r="FNX586" s="14"/>
      <c r="FNY586" s="14"/>
      <c r="FNZ586" s="14"/>
      <c r="FOA586" s="14"/>
      <c r="FOB586" s="14"/>
      <c r="FOC586" s="14"/>
      <c r="FOD586" s="14"/>
      <c r="FOE586" s="14"/>
      <c r="FOF586" s="14"/>
      <c r="FOG586" s="14"/>
      <c r="FOH586" s="14"/>
      <c r="FOI586" s="14"/>
      <c r="FOJ586" s="14"/>
      <c r="FOK586" s="14"/>
      <c r="FOL586" s="14"/>
      <c r="FOM586" s="14"/>
      <c r="FON586" s="14"/>
      <c r="FOO586" s="14"/>
      <c r="FOP586" s="14"/>
      <c r="FOQ586" s="14"/>
      <c r="FOR586" s="14"/>
      <c r="FOS586" s="14"/>
      <c r="FOT586" s="14"/>
      <c r="FOU586" s="14"/>
      <c r="FOV586" s="14"/>
      <c r="FOW586" s="14"/>
      <c r="FOX586" s="14"/>
      <c r="FOY586" s="14"/>
      <c r="FOZ586" s="14"/>
      <c r="FPA586" s="14"/>
      <c r="FPB586" s="14"/>
      <c r="FPC586" s="14"/>
      <c r="FPD586" s="14"/>
      <c r="FPE586" s="14"/>
      <c r="FPF586" s="14"/>
      <c r="FPG586" s="14"/>
      <c r="FPH586" s="14"/>
      <c r="FPI586" s="14"/>
      <c r="FPJ586" s="14"/>
      <c r="FPK586" s="14"/>
      <c r="FPL586" s="14"/>
      <c r="FPM586" s="14"/>
      <c r="FPN586" s="14"/>
      <c r="FPO586" s="14"/>
      <c r="FPP586" s="14"/>
      <c r="FPQ586" s="14"/>
      <c r="FPR586" s="14"/>
      <c r="FPS586" s="14"/>
      <c r="FPT586" s="14"/>
      <c r="FPU586" s="14"/>
      <c r="FPV586" s="14"/>
      <c r="FPW586" s="14"/>
      <c r="FPX586" s="14"/>
      <c r="FPY586" s="14"/>
      <c r="FPZ586" s="14"/>
      <c r="FQA586" s="14"/>
      <c r="FQB586" s="14"/>
      <c r="FQC586" s="14"/>
      <c r="FQD586" s="14"/>
      <c r="FQE586" s="14"/>
      <c r="FQF586" s="14"/>
      <c r="FQG586" s="14"/>
      <c r="FQH586" s="14"/>
      <c r="FQI586" s="14"/>
      <c r="FQJ586" s="14"/>
      <c r="FQK586" s="14"/>
      <c r="FQL586" s="14"/>
      <c r="FQM586" s="14"/>
      <c r="FQN586" s="14"/>
      <c r="FQO586" s="14"/>
      <c r="FQP586" s="14"/>
      <c r="FQQ586" s="14"/>
      <c r="FQR586" s="14"/>
      <c r="FQS586" s="14"/>
      <c r="FQT586" s="14"/>
      <c r="FQU586" s="14"/>
      <c r="FQV586" s="14"/>
      <c r="FQW586" s="14"/>
      <c r="FQX586" s="14"/>
      <c r="FQY586" s="14"/>
      <c r="FQZ586" s="14"/>
      <c r="FRA586" s="14"/>
      <c r="FRB586" s="14"/>
      <c r="FRC586" s="14"/>
      <c r="FRD586" s="14"/>
      <c r="FRE586" s="14"/>
      <c r="FRF586" s="14"/>
      <c r="FRG586" s="14"/>
      <c r="FRH586" s="14"/>
      <c r="FRI586" s="14"/>
      <c r="FRJ586" s="14"/>
      <c r="FRK586" s="14"/>
      <c r="FRL586" s="14"/>
      <c r="FRM586" s="14"/>
      <c r="FRN586" s="14"/>
      <c r="FRO586" s="14"/>
      <c r="FRP586" s="14"/>
      <c r="FRQ586" s="14"/>
      <c r="FRR586" s="14"/>
      <c r="FRS586" s="14"/>
      <c r="FRT586" s="14"/>
      <c r="FRU586" s="14"/>
      <c r="FRV586" s="14"/>
      <c r="FRW586" s="14"/>
      <c r="FRX586" s="14"/>
      <c r="FRY586" s="14"/>
      <c r="FRZ586" s="14"/>
      <c r="FSA586" s="14"/>
      <c r="FSB586" s="14"/>
      <c r="FSC586" s="14"/>
      <c r="FSD586" s="14"/>
      <c r="FSE586" s="14"/>
      <c r="FSF586" s="14"/>
      <c r="FSG586" s="14"/>
      <c r="FSH586" s="14"/>
      <c r="FSI586" s="14"/>
      <c r="FSJ586" s="14"/>
      <c r="FSK586" s="14"/>
      <c r="FSL586" s="14"/>
      <c r="FSM586" s="14"/>
      <c r="FSN586" s="14"/>
      <c r="FSO586" s="14"/>
      <c r="FSP586" s="14"/>
      <c r="FSQ586" s="14"/>
      <c r="FSR586" s="14"/>
      <c r="FSS586" s="14"/>
      <c r="FST586" s="14"/>
      <c r="FSU586" s="14"/>
      <c r="FSV586" s="14"/>
      <c r="FSW586" s="14"/>
      <c r="FSX586" s="14"/>
      <c r="FSY586" s="14"/>
      <c r="FSZ586" s="14"/>
      <c r="FTA586" s="14"/>
      <c r="FTB586" s="14"/>
      <c r="FTC586" s="14"/>
      <c r="FTD586" s="14"/>
      <c r="FTE586" s="14"/>
      <c r="FTF586" s="14"/>
      <c r="FTG586" s="14"/>
      <c r="FTH586" s="14"/>
      <c r="FTI586" s="14"/>
      <c r="FTJ586" s="14"/>
      <c r="FTK586" s="14"/>
      <c r="FTL586" s="14"/>
      <c r="FTM586" s="14"/>
      <c r="FTN586" s="14"/>
      <c r="FTO586" s="14"/>
      <c r="FTP586" s="14"/>
      <c r="FTQ586" s="14"/>
      <c r="FTR586" s="14"/>
      <c r="FTS586" s="14"/>
      <c r="FTT586" s="14"/>
      <c r="FTU586" s="14"/>
      <c r="FTV586" s="14"/>
      <c r="FTW586" s="14"/>
      <c r="FTX586" s="14"/>
      <c r="FTY586" s="14"/>
      <c r="FTZ586" s="14"/>
      <c r="FUA586" s="14"/>
      <c r="FUB586" s="14"/>
      <c r="FUC586" s="14"/>
      <c r="FUD586" s="14"/>
      <c r="FUE586" s="14"/>
      <c r="FUF586" s="14"/>
      <c r="FUG586" s="14"/>
      <c r="FUH586" s="14"/>
      <c r="FUI586" s="14"/>
      <c r="FUJ586" s="14"/>
      <c r="FUK586" s="14"/>
      <c r="FUL586" s="14"/>
      <c r="FUM586" s="14"/>
      <c r="FUN586" s="14"/>
      <c r="FUO586" s="14"/>
      <c r="FUP586" s="14"/>
      <c r="FUQ586" s="14"/>
      <c r="FUR586" s="14"/>
      <c r="FUS586" s="14"/>
      <c r="FUT586" s="14"/>
      <c r="FUU586" s="14"/>
      <c r="FUV586" s="14"/>
      <c r="FUW586" s="14"/>
      <c r="FUX586" s="14"/>
      <c r="FUY586" s="14"/>
      <c r="FUZ586" s="14"/>
      <c r="FVA586" s="14"/>
      <c r="FVB586" s="14"/>
      <c r="FVC586" s="14"/>
      <c r="FVD586" s="14"/>
      <c r="FVE586" s="14"/>
      <c r="FVF586" s="14"/>
      <c r="FVG586" s="14"/>
      <c r="FVH586" s="14"/>
      <c r="FVI586" s="14"/>
      <c r="FVJ586" s="14"/>
      <c r="FVK586" s="14"/>
      <c r="FVL586" s="14"/>
      <c r="FVM586" s="14"/>
      <c r="FVN586" s="14"/>
      <c r="FVO586" s="14"/>
      <c r="FVP586" s="14"/>
      <c r="FVQ586" s="14"/>
      <c r="FVR586" s="14"/>
      <c r="FVS586" s="14"/>
      <c r="FVT586" s="14"/>
      <c r="FVU586" s="14"/>
      <c r="FVV586" s="14"/>
      <c r="FVW586" s="14"/>
      <c r="FVX586" s="14"/>
      <c r="FVY586" s="14"/>
      <c r="FVZ586" s="14"/>
      <c r="FWA586" s="14"/>
      <c r="FWB586" s="14"/>
      <c r="FWC586" s="14"/>
      <c r="FWD586" s="14"/>
      <c r="FWE586" s="14"/>
      <c r="FWF586" s="14"/>
      <c r="FWG586" s="14"/>
      <c r="FWH586" s="14"/>
      <c r="FWI586" s="14"/>
      <c r="FWJ586" s="14"/>
      <c r="FWK586" s="14"/>
      <c r="FWL586" s="14"/>
      <c r="FWM586" s="14"/>
      <c r="FWN586" s="14"/>
      <c r="FWO586" s="14"/>
      <c r="FWP586" s="14"/>
      <c r="FWQ586" s="14"/>
      <c r="FWR586" s="14"/>
      <c r="FWS586" s="14"/>
      <c r="FWT586" s="14"/>
      <c r="FWU586" s="14"/>
      <c r="FWV586" s="14"/>
      <c r="FWW586" s="14"/>
      <c r="FWX586" s="14"/>
      <c r="FWY586" s="14"/>
      <c r="FWZ586" s="14"/>
      <c r="FXA586" s="14"/>
      <c r="FXB586" s="14"/>
      <c r="FXC586" s="14"/>
      <c r="FXD586" s="14"/>
      <c r="FXE586" s="14"/>
      <c r="FXF586" s="14"/>
      <c r="FXG586" s="14"/>
      <c r="FXH586" s="14"/>
      <c r="FXI586" s="14"/>
      <c r="FXJ586" s="14"/>
      <c r="FXK586" s="14"/>
      <c r="FXL586" s="14"/>
      <c r="FXM586" s="14"/>
      <c r="FXN586" s="14"/>
      <c r="FXO586" s="14"/>
      <c r="FXP586" s="14"/>
      <c r="FXQ586" s="14"/>
      <c r="FXR586" s="14"/>
      <c r="FXS586" s="14"/>
      <c r="FXT586" s="14"/>
      <c r="FXU586" s="14"/>
      <c r="FXV586" s="14"/>
      <c r="FXW586" s="14"/>
      <c r="FXX586" s="14"/>
      <c r="FXY586" s="14"/>
      <c r="FXZ586" s="14"/>
      <c r="FYA586" s="14"/>
      <c r="FYB586" s="14"/>
      <c r="FYC586" s="14"/>
      <c r="FYD586" s="14"/>
      <c r="FYE586" s="14"/>
      <c r="FYF586" s="14"/>
      <c r="FYG586" s="14"/>
      <c r="FYH586" s="14"/>
      <c r="FYI586" s="14"/>
      <c r="FYJ586" s="14"/>
      <c r="FYK586" s="14"/>
      <c r="FYL586" s="14"/>
      <c r="FYM586" s="14"/>
      <c r="FYN586" s="14"/>
      <c r="FYO586" s="14"/>
      <c r="FYP586" s="14"/>
      <c r="FYQ586" s="14"/>
      <c r="FYR586" s="14"/>
      <c r="FYS586" s="14"/>
      <c r="FYT586" s="14"/>
      <c r="FYU586" s="14"/>
      <c r="FYV586" s="14"/>
      <c r="FYW586" s="14"/>
      <c r="FYX586" s="14"/>
      <c r="FYY586" s="14"/>
      <c r="FYZ586" s="14"/>
      <c r="FZA586" s="14"/>
      <c r="FZB586" s="14"/>
      <c r="FZC586" s="14"/>
      <c r="FZD586" s="14"/>
      <c r="FZE586" s="14"/>
      <c r="FZF586" s="14"/>
      <c r="FZG586" s="14"/>
      <c r="FZH586" s="14"/>
      <c r="FZI586" s="14"/>
      <c r="FZJ586" s="14"/>
      <c r="FZK586" s="14"/>
      <c r="FZL586" s="14"/>
      <c r="FZM586" s="14"/>
      <c r="FZN586" s="14"/>
      <c r="FZO586" s="14"/>
      <c r="FZP586" s="14"/>
      <c r="FZQ586" s="14"/>
      <c r="FZR586" s="14"/>
      <c r="FZS586" s="14"/>
      <c r="FZT586" s="14"/>
      <c r="FZU586" s="14"/>
      <c r="FZV586" s="14"/>
      <c r="FZW586" s="14"/>
      <c r="FZX586" s="14"/>
      <c r="FZY586" s="14"/>
      <c r="FZZ586" s="14"/>
      <c r="GAA586" s="14"/>
      <c r="GAB586" s="14"/>
      <c r="GAC586" s="14"/>
      <c r="GAD586" s="14"/>
      <c r="GAE586" s="14"/>
      <c r="GAF586" s="14"/>
      <c r="GAG586" s="14"/>
      <c r="GAH586" s="14"/>
      <c r="GAI586" s="14"/>
      <c r="GAJ586" s="14"/>
      <c r="GAK586" s="14"/>
      <c r="GAL586" s="14"/>
      <c r="GAM586" s="14"/>
      <c r="GAN586" s="14"/>
      <c r="GAO586" s="14"/>
      <c r="GAP586" s="14"/>
      <c r="GAQ586" s="14"/>
      <c r="GAR586" s="14"/>
      <c r="GAS586" s="14"/>
      <c r="GAT586" s="14"/>
      <c r="GAU586" s="14"/>
      <c r="GAV586" s="14"/>
      <c r="GAW586" s="14"/>
      <c r="GAX586" s="14"/>
      <c r="GAY586" s="14"/>
      <c r="GAZ586" s="14"/>
      <c r="GBA586" s="14"/>
      <c r="GBB586" s="14"/>
      <c r="GBC586" s="14"/>
      <c r="GBD586" s="14"/>
      <c r="GBE586" s="14"/>
      <c r="GBF586" s="14"/>
      <c r="GBG586" s="14"/>
      <c r="GBH586" s="14"/>
      <c r="GBI586" s="14"/>
      <c r="GBJ586" s="14"/>
      <c r="GBK586" s="14"/>
      <c r="GBL586" s="14"/>
      <c r="GBM586" s="14"/>
      <c r="GBN586" s="14"/>
      <c r="GBO586" s="14"/>
      <c r="GBP586" s="14"/>
      <c r="GBQ586" s="14"/>
      <c r="GBR586" s="14"/>
      <c r="GBS586" s="14"/>
      <c r="GBT586" s="14"/>
      <c r="GBU586" s="14"/>
      <c r="GBV586" s="14"/>
      <c r="GBW586" s="14"/>
      <c r="GBX586" s="14"/>
      <c r="GBY586" s="14"/>
      <c r="GBZ586" s="14"/>
      <c r="GCA586" s="14"/>
      <c r="GCB586" s="14"/>
      <c r="GCC586" s="14"/>
      <c r="GCD586" s="14"/>
      <c r="GCE586" s="14"/>
      <c r="GCF586" s="14"/>
      <c r="GCG586" s="14"/>
      <c r="GCH586" s="14"/>
      <c r="GCI586" s="14"/>
      <c r="GCJ586" s="14"/>
      <c r="GCK586" s="14"/>
      <c r="GCL586" s="14"/>
      <c r="GCM586" s="14"/>
      <c r="GCN586" s="14"/>
      <c r="GCO586" s="14"/>
      <c r="GCP586" s="14"/>
      <c r="GCQ586" s="14"/>
      <c r="GCR586" s="14"/>
      <c r="GCS586" s="14"/>
      <c r="GCT586" s="14"/>
      <c r="GCU586" s="14"/>
      <c r="GCV586" s="14"/>
      <c r="GCW586" s="14"/>
      <c r="GCX586" s="14"/>
      <c r="GCY586" s="14"/>
      <c r="GCZ586" s="14"/>
      <c r="GDA586" s="14"/>
      <c r="GDB586" s="14"/>
      <c r="GDC586" s="14"/>
      <c r="GDD586" s="14"/>
      <c r="GDE586" s="14"/>
      <c r="GDF586" s="14"/>
      <c r="GDG586" s="14"/>
      <c r="GDH586" s="14"/>
      <c r="GDI586" s="14"/>
      <c r="GDJ586" s="14"/>
      <c r="GDK586" s="14"/>
      <c r="GDL586" s="14"/>
      <c r="GDM586" s="14"/>
      <c r="GDN586" s="14"/>
      <c r="GDO586" s="14"/>
      <c r="GDP586" s="14"/>
      <c r="GDQ586" s="14"/>
      <c r="GDR586" s="14"/>
      <c r="GDS586" s="14"/>
      <c r="GDT586" s="14"/>
      <c r="GDU586" s="14"/>
      <c r="GDV586" s="14"/>
      <c r="GDW586" s="14"/>
      <c r="GDX586" s="14"/>
      <c r="GDY586" s="14"/>
      <c r="GDZ586" s="14"/>
      <c r="GEA586" s="14"/>
      <c r="GEB586" s="14"/>
      <c r="GEC586" s="14"/>
      <c r="GED586" s="14"/>
      <c r="GEE586" s="14"/>
      <c r="GEF586" s="14"/>
      <c r="GEG586" s="14"/>
      <c r="GEH586" s="14"/>
      <c r="GEI586" s="14"/>
      <c r="GEJ586" s="14"/>
      <c r="GEK586" s="14"/>
      <c r="GEL586" s="14"/>
      <c r="GEM586" s="14"/>
      <c r="GEN586" s="14"/>
      <c r="GEO586" s="14"/>
      <c r="GEP586" s="14"/>
      <c r="GEQ586" s="14"/>
      <c r="GER586" s="14"/>
      <c r="GES586" s="14"/>
      <c r="GET586" s="14"/>
      <c r="GEU586" s="14"/>
      <c r="GEV586" s="14"/>
      <c r="GEW586" s="14"/>
      <c r="GEX586" s="14"/>
      <c r="GEY586" s="14"/>
      <c r="GEZ586" s="14"/>
      <c r="GFA586" s="14"/>
      <c r="GFB586" s="14"/>
      <c r="GFC586" s="14"/>
      <c r="GFD586" s="14"/>
      <c r="GFE586" s="14"/>
      <c r="GFF586" s="14"/>
      <c r="GFG586" s="14"/>
      <c r="GFH586" s="14"/>
      <c r="GFI586" s="14"/>
      <c r="GFJ586" s="14"/>
      <c r="GFK586" s="14"/>
      <c r="GFL586" s="14"/>
      <c r="GFM586" s="14"/>
      <c r="GFN586" s="14"/>
      <c r="GFO586" s="14"/>
      <c r="GFP586" s="14"/>
      <c r="GFQ586" s="14"/>
      <c r="GFR586" s="14"/>
      <c r="GFS586" s="14"/>
      <c r="GFT586" s="14"/>
      <c r="GFU586" s="14"/>
      <c r="GFV586" s="14"/>
      <c r="GFW586" s="14"/>
      <c r="GFX586" s="14"/>
      <c r="GFY586" s="14"/>
      <c r="GFZ586" s="14"/>
      <c r="GGA586" s="14"/>
      <c r="GGB586" s="14"/>
      <c r="GGC586" s="14"/>
      <c r="GGD586" s="14"/>
      <c r="GGE586" s="14"/>
      <c r="GGF586" s="14"/>
      <c r="GGG586" s="14"/>
      <c r="GGH586" s="14"/>
      <c r="GGI586" s="14"/>
      <c r="GGJ586" s="14"/>
      <c r="GGK586" s="14"/>
      <c r="GGL586" s="14"/>
      <c r="GGM586" s="14"/>
      <c r="GGN586" s="14"/>
      <c r="GGO586" s="14"/>
      <c r="GGP586" s="14"/>
      <c r="GGQ586" s="14"/>
      <c r="GGR586" s="14"/>
      <c r="GGS586" s="14"/>
      <c r="GGT586" s="14"/>
      <c r="GGU586" s="14"/>
      <c r="GGV586" s="14"/>
      <c r="GGW586" s="14"/>
      <c r="GGX586" s="14"/>
      <c r="GGY586" s="14"/>
      <c r="GGZ586" s="14"/>
      <c r="GHA586" s="14"/>
      <c r="GHB586" s="14"/>
      <c r="GHC586" s="14"/>
      <c r="GHD586" s="14"/>
      <c r="GHE586" s="14"/>
      <c r="GHF586" s="14"/>
      <c r="GHG586" s="14"/>
      <c r="GHH586" s="14"/>
      <c r="GHI586" s="14"/>
      <c r="GHJ586" s="14"/>
      <c r="GHK586" s="14"/>
      <c r="GHL586" s="14"/>
      <c r="GHM586" s="14"/>
      <c r="GHN586" s="14"/>
      <c r="GHO586" s="14"/>
      <c r="GHP586" s="14"/>
      <c r="GHQ586" s="14"/>
      <c r="GHR586" s="14"/>
      <c r="GHS586" s="14"/>
      <c r="GHT586" s="14"/>
      <c r="GHU586" s="14"/>
      <c r="GHV586" s="14"/>
      <c r="GHW586" s="14"/>
      <c r="GHX586" s="14"/>
      <c r="GHY586" s="14"/>
      <c r="GHZ586" s="14"/>
      <c r="GIA586" s="14"/>
      <c r="GIB586" s="14"/>
      <c r="GIC586" s="14"/>
      <c r="GID586" s="14"/>
      <c r="GIE586" s="14"/>
      <c r="GIF586" s="14"/>
      <c r="GIG586" s="14"/>
      <c r="GIH586" s="14"/>
      <c r="GII586" s="14"/>
      <c r="GIJ586" s="14"/>
      <c r="GIK586" s="14"/>
      <c r="GIL586" s="14"/>
      <c r="GIM586" s="14"/>
      <c r="GIN586" s="14"/>
      <c r="GIO586" s="14"/>
      <c r="GIP586" s="14"/>
      <c r="GIQ586" s="14"/>
      <c r="GIR586" s="14"/>
      <c r="GIS586" s="14"/>
      <c r="GIT586" s="14"/>
      <c r="GIU586" s="14"/>
      <c r="GIV586" s="14"/>
      <c r="GIW586" s="14"/>
      <c r="GIX586" s="14"/>
      <c r="GIY586" s="14"/>
      <c r="GIZ586" s="14"/>
      <c r="GJA586" s="14"/>
      <c r="GJB586" s="14"/>
      <c r="GJC586" s="14"/>
      <c r="GJD586" s="14"/>
      <c r="GJE586" s="14"/>
      <c r="GJF586" s="14"/>
      <c r="GJG586" s="14"/>
      <c r="GJH586" s="14"/>
      <c r="GJI586" s="14"/>
      <c r="GJJ586" s="14"/>
      <c r="GJK586" s="14"/>
      <c r="GJL586" s="14"/>
      <c r="GJM586" s="14"/>
      <c r="GJN586" s="14"/>
      <c r="GJO586" s="14"/>
      <c r="GJP586" s="14"/>
      <c r="GJQ586" s="14"/>
      <c r="GJR586" s="14"/>
      <c r="GJS586" s="14"/>
      <c r="GJT586" s="14"/>
      <c r="GJU586" s="14"/>
      <c r="GJV586" s="14"/>
      <c r="GJW586" s="14"/>
      <c r="GJX586" s="14"/>
      <c r="GJY586" s="14"/>
      <c r="GJZ586" s="14"/>
      <c r="GKA586" s="14"/>
      <c r="GKB586" s="14"/>
      <c r="GKC586" s="14"/>
      <c r="GKD586" s="14"/>
      <c r="GKE586" s="14"/>
      <c r="GKF586" s="14"/>
      <c r="GKG586" s="14"/>
      <c r="GKH586" s="14"/>
      <c r="GKI586" s="14"/>
      <c r="GKJ586" s="14"/>
      <c r="GKK586" s="14"/>
      <c r="GKL586" s="14"/>
      <c r="GKM586" s="14"/>
      <c r="GKN586" s="14"/>
      <c r="GKO586" s="14"/>
      <c r="GKP586" s="14"/>
      <c r="GKQ586" s="14"/>
      <c r="GKR586" s="14"/>
      <c r="GKS586" s="14"/>
      <c r="GKT586" s="14"/>
      <c r="GKU586" s="14"/>
      <c r="GKV586" s="14"/>
      <c r="GKW586" s="14"/>
      <c r="GKX586" s="14"/>
      <c r="GKY586" s="14"/>
      <c r="GKZ586" s="14"/>
      <c r="GLA586" s="14"/>
      <c r="GLB586" s="14"/>
      <c r="GLC586" s="14"/>
      <c r="GLD586" s="14"/>
      <c r="GLE586" s="14"/>
      <c r="GLF586" s="14"/>
      <c r="GLG586" s="14"/>
      <c r="GLH586" s="14"/>
      <c r="GLI586" s="14"/>
      <c r="GLJ586" s="14"/>
      <c r="GLK586" s="14"/>
      <c r="GLL586" s="14"/>
      <c r="GLM586" s="14"/>
      <c r="GLN586" s="14"/>
      <c r="GLO586" s="14"/>
      <c r="GLP586" s="14"/>
      <c r="GLQ586" s="14"/>
      <c r="GLR586" s="14"/>
      <c r="GLS586" s="14"/>
      <c r="GLT586" s="14"/>
      <c r="GLU586" s="14"/>
      <c r="GLV586" s="14"/>
      <c r="GLW586" s="14"/>
      <c r="GLX586" s="14"/>
      <c r="GLY586" s="14"/>
      <c r="GLZ586" s="14"/>
      <c r="GMA586" s="14"/>
      <c r="GMB586" s="14"/>
      <c r="GMC586" s="14"/>
      <c r="GMD586" s="14"/>
      <c r="GME586" s="14"/>
      <c r="GMF586" s="14"/>
      <c r="GMG586" s="14"/>
      <c r="GMH586" s="14"/>
      <c r="GMI586" s="14"/>
      <c r="GMJ586" s="14"/>
      <c r="GMK586" s="14"/>
      <c r="GML586" s="14"/>
      <c r="GMM586" s="14"/>
      <c r="GMN586" s="14"/>
      <c r="GMO586" s="14"/>
      <c r="GMP586" s="14"/>
      <c r="GMQ586" s="14"/>
      <c r="GMR586" s="14"/>
      <c r="GMS586" s="14"/>
      <c r="GMT586" s="14"/>
      <c r="GMU586" s="14"/>
      <c r="GMV586" s="14"/>
      <c r="GMW586" s="14"/>
      <c r="GMX586" s="14"/>
      <c r="GMY586" s="14"/>
      <c r="GMZ586" s="14"/>
      <c r="GNA586" s="14"/>
      <c r="GNB586" s="14"/>
      <c r="GNC586" s="14"/>
      <c r="GND586" s="14"/>
      <c r="GNE586" s="14"/>
      <c r="GNF586" s="14"/>
      <c r="GNG586" s="14"/>
      <c r="GNH586" s="14"/>
      <c r="GNI586" s="14"/>
      <c r="GNJ586" s="14"/>
      <c r="GNK586" s="14"/>
      <c r="GNL586" s="14"/>
      <c r="GNM586" s="14"/>
      <c r="GNN586" s="14"/>
      <c r="GNO586" s="14"/>
      <c r="GNP586" s="14"/>
      <c r="GNQ586" s="14"/>
      <c r="GNR586" s="14"/>
      <c r="GNS586" s="14"/>
      <c r="GNT586" s="14"/>
      <c r="GNU586" s="14"/>
      <c r="GNV586" s="14"/>
      <c r="GNW586" s="14"/>
      <c r="GNX586" s="14"/>
      <c r="GNY586" s="14"/>
      <c r="GNZ586" s="14"/>
      <c r="GOA586" s="14"/>
      <c r="GOB586" s="14"/>
      <c r="GOC586" s="14"/>
      <c r="GOD586" s="14"/>
      <c r="GOE586" s="14"/>
      <c r="GOF586" s="14"/>
      <c r="GOG586" s="14"/>
      <c r="GOH586" s="14"/>
      <c r="GOI586" s="14"/>
      <c r="GOJ586" s="14"/>
      <c r="GOK586" s="14"/>
      <c r="GOL586" s="14"/>
      <c r="GOM586" s="14"/>
      <c r="GON586" s="14"/>
      <c r="GOO586" s="14"/>
      <c r="GOP586" s="14"/>
      <c r="GOQ586" s="14"/>
      <c r="GOR586" s="14"/>
      <c r="GOS586" s="14"/>
      <c r="GOT586" s="14"/>
      <c r="GOU586" s="14"/>
      <c r="GOV586" s="14"/>
      <c r="GOW586" s="14"/>
      <c r="GOX586" s="14"/>
      <c r="GOY586" s="14"/>
      <c r="GOZ586" s="14"/>
      <c r="GPA586" s="14"/>
      <c r="GPB586" s="14"/>
      <c r="GPC586" s="14"/>
      <c r="GPD586" s="14"/>
      <c r="GPE586" s="14"/>
      <c r="GPF586" s="14"/>
      <c r="GPG586" s="14"/>
      <c r="GPH586" s="14"/>
      <c r="GPI586" s="14"/>
      <c r="GPJ586" s="14"/>
      <c r="GPK586" s="14"/>
      <c r="GPL586" s="14"/>
      <c r="GPM586" s="14"/>
      <c r="GPN586" s="14"/>
      <c r="GPO586" s="14"/>
      <c r="GPP586" s="14"/>
      <c r="GPQ586" s="14"/>
      <c r="GPR586" s="14"/>
      <c r="GPS586" s="14"/>
      <c r="GPT586" s="14"/>
      <c r="GPU586" s="14"/>
      <c r="GPV586" s="14"/>
      <c r="GPW586" s="14"/>
      <c r="GPX586" s="14"/>
      <c r="GPY586" s="14"/>
      <c r="GPZ586" s="14"/>
      <c r="GQA586" s="14"/>
      <c r="GQB586" s="14"/>
      <c r="GQC586" s="14"/>
      <c r="GQD586" s="14"/>
      <c r="GQE586" s="14"/>
      <c r="GQF586" s="14"/>
      <c r="GQG586" s="14"/>
      <c r="GQH586" s="14"/>
      <c r="GQI586" s="14"/>
      <c r="GQJ586" s="14"/>
      <c r="GQK586" s="14"/>
      <c r="GQL586" s="14"/>
      <c r="GQM586" s="14"/>
      <c r="GQN586" s="14"/>
      <c r="GQO586" s="14"/>
      <c r="GQP586" s="14"/>
      <c r="GQQ586" s="14"/>
      <c r="GQR586" s="14"/>
      <c r="GQS586" s="14"/>
      <c r="GQT586" s="14"/>
      <c r="GQU586" s="14"/>
      <c r="GQV586" s="14"/>
      <c r="GQW586" s="14"/>
      <c r="GQX586" s="14"/>
      <c r="GQY586" s="14"/>
      <c r="GQZ586" s="14"/>
      <c r="GRA586" s="14"/>
      <c r="GRB586" s="14"/>
      <c r="GRC586" s="14"/>
      <c r="GRD586" s="14"/>
      <c r="GRE586" s="14"/>
      <c r="GRF586" s="14"/>
      <c r="GRG586" s="14"/>
      <c r="GRH586" s="14"/>
      <c r="GRI586" s="14"/>
      <c r="GRJ586" s="14"/>
      <c r="GRK586" s="14"/>
      <c r="GRL586" s="14"/>
      <c r="GRM586" s="14"/>
      <c r="GRN586" s="14"/>
      <c r="GRO586" s="14"/>
      <c r="GRP586" s="14"/>
      <c r="GRQ586" s="14"/>
      <c r="GRR586" s="14"/>
      <c r="GRS586" s="14"/>
      <c r="GRT586" s="14"/>
      <c r="GRU586" s="14"/>
      <c r="GRV586" s="14"/>
      <c r="GRW586" s="14"/>
      <c r="GRX586" s="14"/>
      <c r="GRY586" s="14"/>
      <c r="GRZ586" s="14"/>
      <c r="GSA586" s="14"/>
      <c r="GSB586" s="14"/>
      <c r="GSC586" s="14"/>
      <c r="GSD586" s="14"/>
      <c r="GSE586" s="14"/>
      <c r="GSF586" s="14"/>
      <c r="GSG586" s="14"/>
      <c r="GSH586" s="14"/>
      <c r="GSI586" s="14"/>
      <c r="GSJ586" s="14"/>
      <c r="GSK586" s="14"/>
      <c r="GSL586" s="14"/>
      <c r="GSM586" s="14"/>
      <c r="GSN586" s="14"/>
      <c r="GSO586" s="14"/>
      <c r="GSP586" s="14"/>
      <c r="GSQ586" s="14"/>
      <c r="GSR586" s="14"/>
      <c r="GSS586" s="14"/>
      <c r="GST586" s="14"/>
      <c r="GSU586" s="14"/>
      <c r="GSV586" s="14"/>
      <c r="GSW586" s="14"/>
      <c r="GSX586" s="14"/>
      <c r="GSY586" s="14"/>
      <c r="GSZ586" s="14"/>
      <c r="GTA586" s="14"/>
      <c r="GTB586" s="14"/>
      <c r="GTC586" s="14"/>
      <c r="GTD586" s="14"/>
      <c r="GTE586" s="14"/>
      <c r="GTF586" s="14"/>
      <c r="GTG586" s="14"/>
      <c r="GTH586" s="14"/>
      <c r="GTI586" s="14"/>
      <c r="GTJ586" s="14"/>
      <c r="GTK586" s="14"/>
      <c r="GTL586" s="14"/>
      <c r="GTM586" s="14"/>
      <c r="GTN586" s="14"/>
      <c r="GTO586" s="14"/>
      <c r="GTP586" s="14"/>
      <c r="GTQ586" s="14"/>
      <c r="GTR586" s="14"/>
      <c r="GTS586" s="14"/>
      <c r="GTT586" s="14"/>
      <c r="GTU586" s="14"/>
      <c r="GTV586" s="14"/>
      <c r="GTW586" s="14"/>
      <c r="GTX586" s="14"/>
      <c r="GTY586" s="14"/>
      <c r="GTZ586" s="14"/>
      <c r="GUA586" s="14"/>
      <c r="GUB586" s="14"/>
      <c r="GUC586" s="14"/>
      <c r="GUD586" s="14"/>
      <c r="GUE586" s="14"/>
      <c r="GUF586" s="14"/>
      <c r="GUG586" s="14"/>
      <c r="GUH586" s="14"/>
      <c r="GUI586" s="14"/>
      <c r="GUJ586" s="14"/>
      <c r="GUK586" s="14"/>
      <c r="GUL586" s="14"/>
      <c r="GUM586" s="14"/>
      <c r="GUN586" s="14"/>
      <c r="GUO586" s="14"/>
      <c r="GUP586" s="14"/>
      <c r="GUQ586" s="14"/>
      <c r="GUR586" s="14"/>
      <c r="GUS586" s="14"/>
      <c r="GUT586" s="14"/>
      <c r="GUU586" s="14"/>
      <c r="GUV586" s="14"/>
      <c r="GUW586" s="14"/>
      <c r="GUX586" s="14"/>
      <c r="GUY586" s="14"/>
      <c r="GUZ586" s="14"/>
      <c r="GVA586" s="14"/>
      <c r="GVB586" s="14"/>
      <c r="GVC586" s="14"/>
      <c r="GVD586" s="14"/>
      <c r="GVE586" s="14"/>
      <c r="GVF586" s="14"/>
      <c r="GVG586" s="14"/>
      <c r="GVH586" s="14"/>
      <c r="GVI586" s="14"/>
      <c r="GVJ586" s="14"/>
      <c r="GVK586" s="14"/>
      <c r="GVL586" s="14"/>
      <c r="GVM586" s="14"/>
      <c r="GVN586" s="14"/>
      <c r="GVO586" s="14"/>
      <c r="GVP586" s="14"/>
      <c r="GVQ586" s="14"/>
      <c r="GVR586" s="14"/>
      <c r="GVS586" s="14"/>
      <c r="GVT586" s="14"/>
      <c r="GVU586" s="14"/>
      <c r="GVV586" s="14"/>
      <c r="GVW586" s="14"/>
      <c r="GVX586" s="14"/>
      <c r="GVY586" s="14"/>
      <c r="GVZ586" s="14"/>
      <c r="GWA586" s="14"/>
      <c r="GWB586" s="14"/>
      <c r="GWC586" s="14"/>
      <c r="GWD586" s="14"/>
      <c r="GWE586" s="14"/>
      <c r="GWF586" s="14"/>
      <c r="GWG586" s="14"/>
      <c r="GWH586" s="14"/>
      <c r="GWI586" s="14"/>
      <c r="GWJ586" s="14"/>
      <c r="GWK586" s="14"/>
      <c r="GWL586" s="14"/>
      <c r="GWM586" s="14"/>
      <c r="GWN586" s="14"/>
      <c r="GWO586" s="14"/>
      <c r="GWP586" s="14"/>
      <c r="GWQ586" s="14"/>
      <c r="GWR586" s="14"/>
      <c r="GWS586" s="14"/>
      <c r="GWT586" s="14"/>
      <c r="GWU586" s="14"/>
      <c r="GWV586" s="14"/>
      <c r="GWW586" s="14"/>
      <c r="GWX586" s="14"/>
      <c r="GWY586" s="14"/>
      <c r="GWZ586" s="14"/>
      <c r="GXA586" s="14"/>
      <c r="GXB586" s="14"/>
      <c r="GXC586" s="14"/>
      <c r="GXD586" s="14"/>
      <c r="GXE586" s="14"/>
      <c r="GXF586" s="14"/>
      <c r="GXG586" s="14"/>
      <c r="GXH586" s="14"/>
      <c r="GXI586" s="14"/>
      <c r="GXJ586" s="14"/>
      <c r="GXK586" s="14"/>
      <c r="GXL586" s="14"/>
      <c r="GXM586" s="14"/>
      <c r="GXN586" s="14"/>
      <c r="GXO586" s="14"/>
      <c r="GXP586" s="14"/>
      <c r="GXQ586" s="14"/>
      <c r="GXR586" s="14"/>
      <c r="GXS586" s="14"/>
      <c r="GXT586" s="14"/>
      <c r="GXU586" s="14"/>
      <c r="GXV586" s="14"/>
      <c r="GXW586" s="14"/>
      <c r="GXX586" s="14"/>
      <c r="GXY586" s="14"/>
      <c r="GXZ586" s="14"/>
      <c r="GYA586" s="14"/>
      <c r="GYB586" s="14"/>
      <c r="GYC586" s="14"/>
      <c r="GYD586" s="14"/>
      <c r="GYE586" s="14"/>
      <c r="GYF586" s="14"/>
      <c r="GYG586" s="14"/>
      <c r="GYH586" s="14"/>
      <c r="GYI586" s="14"/>
      <c r="GYJ586" s="14"/>
      <c r="GYK586" s="14"/>
      <c r="GYL586" s="14"/>
      <c r="GYM586" s="14"/>
      <c r="GYN586" s="14"/>
      <c r="GYO586" s="14"/>
      <c r="GYP586" s="14"/>
      <c r="GYQ586" s="14"/>
      <c r="GYR586" s="14"/>
      <c r="GYS586" s="14"/>
      <c r="GYT586" s="14"/>
      <c r="GYU586" s="14"/>
      <c r="GYV586" s="14"/>
      <c r="GYW586" s="14"/>
      <c r="GYX586" s="14"/>
      <c r="GYY586" s="14"/>
      <c r="GYZ586" s="14"/>
      <c r="GZA586" s="14"/>
      <c r="GZB586" s="14"/>
      <c r="GZC586" s="14"/>
      <c r="GZD586" s="14"/>
      <c r="GZE586" s="14"/>
      <c r="GZF586" s="14"/>
      <c r="GZG586" s="14"/>
      <c r="GZH586" s="14"/>
      <c r="GZI586" s="14"/>
      <c r="GZJ586" s="14"/>
      <c r="GZK586" s="14"/>
      <c r="GZL586" s="14"/>
      <c r="GZM586" s="14"/>
      <c r="GZN586" s="14"/>
      <c r="GZO586" s="14"/>
      <c r="GZP586" s="14"/>
      <c r="GZQ586" s="14"/>
      <c r="GZR586" s="14"/>
      <c r="GZS586" s="14"/>
      <c r="GZT586" s="14"/>
      <c r="GZU586" s="14"/>
      <c r="GZV586" s="14"/>
      <c r="GZW586" s="14"/>
      <c r="GZX586" s="14"/>
      <c r="GZY586" s="14"/>
      <c r="GZZ586" s="14"/>
      <c r="HAA586" s="14"/>
      <c r="HAB586" s="14"/>
      <c r="HAC586" s="14"/>
      <c r="HAD586" s="14"/>
      <c r="HAE586" s="14"/>
      <c r="HAF586" s="14"/>
      <c r="HAG586" s="14"/>
      <c r="HAH586" s="14"/>
      <c r="HAI586" s="14"/>
      <c r="HAJ586" s="14"/>
      <c r="HAK586" s="14"/>
      <c r="HAL586" s="14"/>
      <c r="HAM586" s="14"/>
      <c r="HAN586" s="14"/>
      <c r="HAO586" s="14"/>
      <c r="HAP586" s="14"/>
      <c r="HAQ586" s="14"/>
      <c r="HAR586" s="14"/>
      <c r="HAS586" s="14"/>
      <c r="HAT586" s="14"/>
      <c r="HAU586" s="14"/>
      <c r="HAV586" s="14"/>
      <c r="HAW586" s="14"/>
      <c r="HAX586" s="14"/>
      <c r="HAY586" s="14"/>
      <c r="HAZ586" s="14"/>
      <c r="HBA586" s="14"/>
      <c r="HBB586" s="14"/>
      <c r="HBC586" s="14"/>
      <c r="HBD586" s="14"/>
      <c r="HBE586" s="14"/>
      <c r="HBF586" s="14"/>
      <c r="HBG586" s="14"/>
      <c r="HBH586" s="14"/>
      <c r="HBI586" s="14"/>
      <c r="HBJ586" s="14"/>
      <c r="HBK586" s="14"/>
      <c r="HBL586" s="14"/>
      <c r="HBM586" s="14"/>
      <c r="HBN586" s="14"/>
      <c r="HBO586" s="14"/>
      <c r="HBP586" s="14"/>
      <c r="HBQ586" s="14"/>
      <c r="HBR586" s="14"/>
      <c r="HBS586" s="14"/>
      <c r="HBT586" s="14"/>
      <c r="HBU586" s="14"/>
      <c r="HBV586" s="14"/>
      <c r="HBW586" s="14"/>
      <c r="HBX586" s="14"/>
      <c r="HBY586" s="14"/>
      <c r="HBZ586" s="14"/>
      <c r="HCA586" s="14"/>
      <c r="HCB586" s="14"/>
      <c r="HCC586" s="14"/>
      <c r="HCD586" s="14"/>
      <c r="HCE586" s="14"/>
      <c r="HCF586" s="14"/>
      <c r="HCG586" s="14"/>
      <c r="HCH586" s="14"/>
      <c r="HCI586" s="14"/>
      <c r="HCJ586" s="14"/>
      <c r="HCK586" s="14"/>
      <c r="HCL586" s="14"/>
      <c r="HCM586" s="14"/>
      <c r="HCN586" s="14"/>
      <c r="HCO586" s="14"/>
      <c r="HCP586" s="14"/>
      <c r="HCQ586" s="14"/>
      <c r="HCR586" s="14"/>
      <c r="HCS586" s="14"/>
      <c r="HCT586" s="14"/>
      <c r="HCU586" s="14"/>
      <c r="HCV586" s="14"/>
      <c r="HCW586" s="14"/>
      <c r="HCX586" s="14"/>
      <c r="HCY586" s="14"/>
      <c r="HCZ586" s="14"/>
      <c r="HDA586" s="14"/>
      <c r="HDB586" s="14"/>
      <c r="HDC586" s="14"/>
      <c r="HDD586" s="14"/>
      <c r="HDE586" s="14"/>
      <c r="HDF586" s="14"/>
      <c r="HDG586" s="14"/>
      <c r="HDH586" s="14"/>
      <c r="HDI586" s="14"/>
      <c r="HDJ586" s="14"/>
      <c r="HDK586" s="14"/>
      <c r="HDL586" s="14"/>
      <c r="HDM586" s="14"/>
      <c r="HDN586" s="14"/>
      <c r="HDO586" s="14"/>
      <c r="HDP586" s="14"/>
      <c r="HDQ586" s="14"/>
      <c r="HDR586" s="14"/>
      <c r="HDS586" s="14"/>
      <c r="HDT586" s="14"/>
      <c r="HDU586" s="14"/>
      <c r="HDV586" s="14"/>
      <c r="HDW586" s="14"/>
      <c r="HDX586" s="14"/>
      <c r="HDY586" s="14"/>
      <c r="HDZ586" s="14"/>
      <c r="HEA586" s="14"/>
      <c r="HEB586" s="14"/>
      <c r="HEC586" s="14"/>
      <c r="HED586" s="14"/>
      <c r="HEE586" s="14"/>
      <c r="HEF586" s="14"/>
      <c r="HEG586" s="14"/>
      <c r="HEH586" s="14"/>
      <c r="HEI586" s="14"/>
      <c r="HEJ586" s="14"/>
      <c r="HEK586" s="14"/>
      <c r="HEL586" s="14"/>
      <c r="HEM586" s="14"/>
      <c r="HEN586" s="14"/>
      <c r="HEO586" s="14"/>
      <c r="HEP586" s="14"/>
      <c r="HEQ586" s="14"/>
      <c r="HER586" s="14"/>
      <c r="HES586" s="14"/>
      <c r="HET586" s="14"/>
      <c r="HEU586" s="14"/>
      <c r="HEV586" s="14"/>
      <c r="HEW586" s="14"/>
      <c r="HEX586" s="14"/>
      <c r="HEY586" s="14"/>
      <c r="HEZ586" s="14"/>
      <c r="HFA586" s="14"/>
      <c r="HFB586" s="14"/>
      <c r="HFC586" s="14"/>
      <c r="HFD586" s="14"/>
      <c r="HFE586" s="14"/>
      <c r="HFF586" s="14"/>
      <c r="HFG586" s="14"/>
      <c r="HFH586" s="14"/>
      <c r="HFI586" s="14"/>
      <c r="HFJ586" s="14"/>
      <c r="HFK586" s="14"/>
      <c r="HFL586" s="14"/>
      <c r="HFM586" s="14"/>
      <c r="HFN586" s="14"/>
      <c r="HFO586" s="14"/>
      <c r="HFP586" s="14"/>
      <c r="HFQ586" s="14"/>
      <c r="HFR586" s="14"/>
      <c r="HFS586" s="14"/>
      <c r="HFT586" s="14"/>
      <c r="HFU586" s="14"/>
      <c r="HFV586" s="14"/>
      <c r="HFW586" s="14"/>
      <c r="HFX586" s="14"/>
      <c r="HFY586" s="14"/>
      <c r="HFZ586" s="14"/>
      <c r="HGA586" s="14"/>
      <c r="HGB586" s="14"/>
      <c r="HGC586" s="14"/>
      <c r="HGD586" s="14"/>
      <c r="HGE586" s="14"/>
      <c r="HGF586" s="14"/>
      <c r="HGG586" s="14"/>
      <c r="HGH586" s="14"/>
      <c r="HGI586" s="14"/>
      <c r="HGJ586" s="14"/>
      <c r="HGK586" s="14"/>
      <c r="HGL586" s="14"/>
      <c r="HGM586" s="14"/>
      <c r="HGN586" s="14"/>
      <c r="HGO586" s="14"/>
      <c r="HGP586" s="14"/>
      <c r="HGQ586" s="14"/>
      <c r="HGR586" s="14"/>
      <c r="HGS586" s="14"/>
      <c r="HGT586" s="14"/>
      <c r="HGU586" s="14"/>
      <c r="HGV586" s="14"/>
      <c r="HGW586" s="14"/>
      <c r="HGX586" s="14"/>
      <c r="HGY586" s="14"/>
      <c r="HGZ586" s="14"/>
      <c r="HHA586" s="14"/>
      <c r="HHB586" s="14"/>
      <c r="HHC586" s="14"/>
      <c r="HHD586" s="14"/>
      <c r="HHE586" s="14"/>
      <c r="HHF586" s="14"/>
      <c r="HHG586" s="14"/>
      <c r="HHH586" s="14"/>
      <c r="HHI586" s="14"/>
      <c r="HHJ586" s="14"/>
      <c r="HHK586" s="14"/>
      <c r="HHL586" s="14"/>
      <c r="HHM586" s="14"/>
      <c r="HHN586" s="14"/>
      <c r="HHO586" s="14"/>
      <c r="HHP586" s="14"/>
      <c r="HHQ586" s="14"/>
      <c r="HHR586" s="14"/>
      <c r="HHS586" s="14"/>
      <c r="HHT586" s="14"/>
      <c r="HHU586" s="14"/>
      <c r="HHV586" s="14"/>
      <c r="HHW586" s="14"/>
      <c r="HHX586" s="14"/>
      <c r="HHY586" s="14"/>
      <c r="HHZ586" s="14"/>
      <c r="HIA586" s="14"/>
      <c r="HIB586" s="14"/>
      <c r="HIC586" s="14"/>
      <c r="HID586" s="14"/>
      <c r="HIE586" s="14"/>
      <c r="HIF586" s="14"/>
      <c r="HIG586" s="14"/>
      <c r="HIH586" s="14"/>
      <c r="HII586" s="14"/>
      <c r="HIJ586" s="14"/>
      <c r="HIK586" s="14"/>
      <c r="HIL586" s="14"/>
      <c r="HIM586" s="14"/>
      <c r="HIN586" s="14"/>
      <c r="HIO586" s="14"/>
      <c r="HIP586" s="14"/>
      <c r="HIQ586" s="14"/>
      <c r="HIR586" s="14"/>
      <c r="HIS586" s="14"/>
      <c r="HIT586" s="14"/>
      <c r="HIU586" s="14"/>
      <c r="HIV586" s="14"/>
      <c r="HIW586" s="14"/>
      <c r="HIX586" s="14"/>
      <c r="HIY586" s="14"/>
      <c r="HIZ586" s="14"/>
      <c r="HJA586" s="14"/>
      <c r="HJB586" s="14"/>
      <c r="HJC586" s="14"/>
      <c r="HJD586" s="14"/>
      <c r="HJE586" s="14"/>
      <c r="HJF586" s="14"/>
      <c r="HJG586" s="14"/>
      <c r="HJH586" s="14"/>
      <c r="HJI586" s="14"/>
      <c r="HJJ586" s="14"/>
      <c r="HJK586" s="14"/>
      <c r="HJL586" s="14"/>
      <c r="HJM586" s="14"/>
      <c r="HJN586" s="14"/>
      <c r="HJO586" s="14"/>
      <c r="HJP586" s="14"/>
      <c r="HJQ586" s="14"/>
      <c r="HJR586" s="14"/>
      <c r="HJS586" s="14"/>
      <c r="HJT586" s="14"/>
      <c r="HJU586" s="14"/>
      <c r="HJV586" s="14"/>
      <c r="HJW586" s="14"/>
      <c r="HJX586" s="14"/>
      <c r="HJY586" s="14"/>
      <c r="HJZ586" s="14"/>
      <c r="HKA586" s="14"/>
      <c r="HKB586" s="14"/>
      <c r="HKC586" s="14"/>
      <c r="HKD586" s="14"/>
      <c r="HKE586" s="14"/>
      <c r="HKF586" s="14"/>
      <c r="HKG586" s="14"/>
      <c r="HKH586" s="14"/>
      <c r="HKI586" s="14"/>
      <c r="HKJ586" s="14"/>
      <c r="HKK586" s="14"/>
      <c r="HKL586" s="14"/>
      <c r="HKM586" s="14"/>
      <c r="HKN586" s="14"/>
      <c r="HKO586" s="14"/>
      <c r="HKP586" s="14"/>
      <c r="HKQ586" s="14"/>
      <c r="HKR586" s="14"/>
      <c r="HKS586" s="14"/>
      <c r="HKT586" s="14"/>
      <c r="HKU586" s="14"/>
      <c r="HKV586" s="14"/>
      <c r="HKW586" s="14"/>
      <c r="HKX586" s="14"/>
      <c r="HKY586" s="14"/>
      <c r="HKZ586" s="14"/>
      <c r="HLA586" s="14"/>
      <c r="HLB586" s="14"/>
      <c r="HLC586" s="14"/>
      <c r="HLD586" s="14"/>
      <c r="HLE586" s="14"/>
      <c r="HLF586" s="14"/>
      <c r="HLG586" s="14"/>
      <c r="HLH586" s="14"/>
      <c r="HLI586" s="14"/>
      <c r="HLJ586" s="14"/>
      <c r="HLK586" s="14"/>
      <c r="HLL586" s="14"/>
      <c r="HLM586" s="14"/>
      <c r="HLN586" s="14"/>
      <c r="HLO586" s="14"/>
      <c r="HLP586" s="14"/>
      <c r="HLQ586" s="14"/>
      <c r="HLR586" s="14"/>
      <c r="HLS586" s="14"/>
      <c r="HLT586" s="14"/>
      <c r="HLU586" s="14"/>
      <c r="HLV586" s="14"/>
      <c r="HLW586" s="14"/>
      <c r="HLX586" s="14"/>
      <c r="HLY586" s="14"/>
      <c r="HLZ586" s="14"/>
      <c r="HMA586" s="14"/>
      <c r="HMB586" s="14"/>
      <c r="HMC586" s="14"/>
      <c r="HMD586" s="14"/>
      <c r="HME586" s="14"/>
      <c r="HMF586" s="14"/>
      <c r="HMG586" s="14"/>
      <c r="HMH586" s="14"/>
      <c r="HMI586" s="14"/>
      <c r="HMJ586" s="14"/>
      <c r="HMK586" s="14"/>
      <c r="HML586" s="14"/>
      <c r="HMM586" s="14"/>
      <c r="HMN586" s="14"/>
      <c r="HMO586" s="14"/>
      <c r="HMP586" s="14"/>
      <c r="HMQ586" s="14"/>
      <c r="HMR586" s="14"/>
      <c r="HMS586" s="14"/>
      <c r="HMT586" s="14"/>
      <c r="HMU586" s="14"/>
      <c r="HMV586" s="14"/>
      <c r="HMW586" s="14"/>
      <c r="HMX586" s="14"/>
      <c r="HMY586" s="14"/>
      <c r="HMZ586" s="14"/>
      <c r="HNA586" s="14"/>
      <c r="HNB586" s="14"/>
      <c r="HNC586" s="14"/>
      <c r="HND586" s="14"/>
      <c r="HNE586" s="14"/>
      <c r="HNF586" s="14"/>
      <c r="HNG586" s="14"/>
      <c r="HNH586" s="14"/>
      <c r="HNI586" s="14"/>
      <c r="HNJ586" s="14"/>
      <c r="HNK586" s="14"/>
      <c r="HNL586" s="14"/>
      <c r="HNM586" s="14"/>
      <c r="HNN586" s="14"/>
      <c r="HNO586" s="14"/>
      <c r="HNP586" s="14"/>
      <c r="HNQ586" s="14"/>
      <c r="HNR586" s="14"/>
      <c r="HNS586" s="14"/>
      <c r="HNT586" s="14"/>
      <c r="HNU586" s="14"/>
      <c r="HNV586" s="14"/>
      <c r="HNW586" s="14"/>
      <c r="HNX586" s="14"/>
      <c r="HNY586" s="14"/>
      <c r="HNZ586" s="14"/>
      <c r="HOA586" s="14"/>
      <c r="HOB586" s="14"/>
      <c r="HOC586" s="14"/>
      <c r="HOD586" s="14"/>
      <c r="HOE586" s="14"/>
      <c r="HOF586" s="14"/>
      <c r="HOG586" s="14"/>
      <c r="HOH586" s="14"/>
      <c r="HOI586" s="14"/>
      <c r="HOJ586" s="14"/>
      <c r="HOK586" s="14"/>
      <c r="HOL586" s="14"/>
      <c r="HOM586" s="14"/>
      <c r="HON586" s="14"/>
      <c r="HOO586" s="14"/>
      <c r="HOP586" s="14"/>
      <c r="HOQ586" s="14"/>
      <c r="HOR586" s="14"/>
      <c r="HOS586" s="14"/>
      <c r="HOT586" s="14"/>
      <c r="HOU586" s="14"/>
      <c r="HOV586" s="14"/>
      <c r="HOW586" s="14"/>
      <c r="HOX586" s="14"/>
      <c r="HOY586" s="14"/>
      <c r="HOZ586" s="14"/>
      <c r="HPA586" s="14"/>
      <c r="HPB586" s="14"/>
      <c r="HPC586" s="14"/>
      <c r="HPD586" s="14"/>
      <c r="HPE586" s="14"/>
      <c r="HPF586" s="14"/>
      <c r="HPG586" s="14"/>
      <c r="HPH586" s="14"/>
      <c r="HPI586" s="14"/>
      <c r="HPJ586" s="14"/>
      <c r="HPK586" s="14"/>
      <c r="HPL586" s="14"/>
      <c r="HPM586" s="14"/>
      <c r="HPN586" s="14"/>
      <c r="HPO586" s="14"/>
      <c r="HPP586" s="14"/>
      <c r="HPQ586" s="14"/>
      <c r="HPR586" s="14"/>
      <c r="HPS586" s="14"/>
      <c r="HPT586" s="14"/>
      <c r="HPU586" s="14"/>
      <c r="HPV586" s="14"/>
      <c r="HPW586" s="14"/>
      <c r="HPX586" s="14"/>
      <c r="HPY586" s="14"/>
      <c r="HPZ586" s="14"/>
      <c r="HQA586" s="14"/>
      <c r="HQB586" s="14"/>
      <c r="HQC586" s="14"/>
      <c r="HQD586" s="14"/>
      <c r="HQE586" s="14"/>
      <c r="HQF586" s="14"/>
      <c r="HQG586" s="14"/>
      <c r="HQH586" s="14"/>
      <c r="HQI586" s="14"/>
      <c r="HQJ586" s="14"/>
      <c r="HQK586" s="14"/>
      <c r="HQL586" s="14"/>
      <c r="HQM586" s="14"/>
      <c r="HQN586" s="14"/>
      <c r="HQO586" s="14"/>
      <c r="HQP586" s="14"/>
      <c r="HQQ586" s="14"/>
      <c r="HQR586" s="14"/>
      <c r="HQS586" s="14"/>
      <c r="HQT586" s="14"/>
      <c r="HQU586" s="14"/>
      <c r="HQV586" s="14"/>
      <c r="HQW586" s="14"/>
      <c r="HQX586" s="14"/>
      <c r="HQY586" s="14"/>
      <c r="HQZ586" s="14"/>
      <c r="HRA586" s="14"/>
      <c r="HRB586" s="14"/>
      <c r="HRC586" s="14"/>
      <c r="HRD586" s="14"/>
      <c r="HRE586" s="14"/>
      <c r="HRF586" s="14"/>
      <c r="HRG586" s="14"/>
      <c r="HRH586" s="14"/>
      <c r="HRI586" s="14"/>
      <c r="HRJ586" s="14"/>
      <c r="HRK586" s="14"/>
      <c r="HRL586" s="14"/>
      <c r="HRM586" s="14"/>
      <c r="HRN586" s="14"/>
      <c r="HRO586" s="14"/>
      <c r="HRP586" s="14"/>
      <c r="HRQ586" s="14"/>
      <c r="HRR586" s="14"/>
      <c r="HRS586" s="14"/>
      <c r="HRT586" s="14"/>
      <c r="HRU586" s="14"/>
      <c r="HRV586" s="14"/>
      <c r="HRW586" s="14"/>
      <c r="HRX586" s="14"/>
      <c r="HRY586" s="14"/>
      <c r="HRZ586" s="14"/>
      <c r="HSA586" s="14"/>
      <c r="HSB586" s="14"/>
      <c r="HSC586" s="14"/>
      <c r="HSD586" s="14"/>
      <c r="HSE586" s="14"/>
      <c r="HSF586" s="14"/>
      <c r="HSG586" s="14"/>
      <c r="HSH586" s="14"/>
      <c r="HSI586" s="14"/>
      <c r="HSJ586" s="14"/>
      <c r="HSK586" s="14"/>
      <c r="HSL586" s="14"/>
      <c r="HSM586" s="14"/>
      <c r="HSN586" s="14"/>
      <c r="HSO586" s="14"/>
      <c r="HSP586" s="14"/>
      <c r="HSQ586" s="14"/>
      <c r="HSR586" s="14"/>
      <c r="HSS586" s="14"/>
      <c r="HST586" s="14"/>
      <c r="HSU586" s="14"/>
      <c r="HSV586" s="14"/>
      <c r="HSW586" s="14"/>
      <c r="HSX586" s="14"/>
      <c r="HSY586" s="14"/>
      <c r="HSZ586" s="14"/>
      <c r="HTA586" s="14"/>
      <c r="HTB586" s="14"/>
      <c r="HTC586" s="14"/>
      <c r="HTD586" s="14"/>
      <c r="HTE586" s="14"/>
      <c r="HTF586" s="14"/>
      <c r="HTG586" s="14"/>
      <c r="HTH586" s="14"/>
      <c r="HTI586" s="14"/>
      <c r="HTJ586" s="14"/>
      <c r="HTK586" s="14"/>
      <c r="HTL586" s="14"/>
      <c r="HTM586" s="14"/>
      <c r="HTN586" s="14"/>
      <c r="HTO586" s="14"/>
      <c r="HTP586" s="14"/>
      <c r="HTQ586" s="14"/>
      <c r="HTR586" s="14"/>
      <c r="HTS586" s="14"/>
      <c r="HTT586" s="14"/>
      <c r="HTU586" s="14"/>
      <c r="HTV586" s="14"/>
      <c r="HTW586" s="14"/>
      <c r="HTX586" s="14"/>
      <c r="HTY586" s="14"/>
      <c r="HTZ586" s="14"/>
      <c r="HUA586" s="14"/>
      <c r="HUB586" s="14"/>
      <c r="HUC586" s="14"/>
      <c r="HUD586" s="14"/>
      <c r="HUE586" s="14"/>
      <c r="HUF586" s="14"/>
      <c r="HUG586" s="14"/>
      <c r="HUH586" s="14"/>
      <c r="HUI586" s="14"/>
      <c r="HUJ586" s="14"/>
      <c r="HUK586" s="14"/>
      <c r="HUL586" s="14"/>
      <c r="HUM586" s="14"/>
      <c r="HUN586" s="14"/>
      <c r="HUO586" s="14"/>
      <c r="HUP586" s="14"/>
      <c r="HUQ586" s="14"/>
      <c r="HUR586" s="14"/>
      <c r="HUS586" s="14"/>
      <c r="HUT586" s="14"/>
      <c r="HUU586" s="14"/>
      <c r="HUV586" s="14"/>
      <c r="HUW586" s="14"/>
      <c r="HUX586" s="14"/>
      <c r="HUY586" s="14"/>
      <c r="HUZ586" s="14"/>
      <c r="HVA586" s="14"/>
      <c r="HVB586" s="14"/>
      <c r="HVC586" s="14"/>
      <c r="HVD586" s="14"/>
      <c r="HVE586" s="14"/>
      <c r="HVF586" s="14"/>
      <c r="HVG586" s="14"/>
      <c r="HVH586" s="14"/>
      <c r="HVI586" s="14"/>
      <c r="HVJ586" s="14"/>
      <c r="HVK586" s="14"/>
      <c r="HVL586" s="14"/>
      <c r="HVM586" s="14"/>
      <c r="HVN586" s="14"/>
      <c r="HVO586" s="14"/>
      <c r="HVP586" s="14"/>
      <c r="HVQ586" s="14"/>
      <c r="HVR586" s="14"/>
      <c r="HVS586" s="14"/>
      <c r="HVT586" s="14"/>
      <c r="HVU586" s="14"/>
      <c r="HVV586" s="14"/>
      <c r="HVW586" s="14"/>
      <c r="HVX586" s="14"/>
      <c r="HVY586" s="14"/>
      <c r="HVZ586" s="14"/>
      <c r="HWA586" s="14"/>
      <c r="HWB586" s="14"/>
      <c r="HWC586" s="14"/>
      <c r="HWD586" s="14"/>
      <c r="HWE586" s="14"/>
      <c r="HWF586" s="14"/>
      <c r="HWG586" s="14"/>
      <c r="HWH586" s="14"/>
      <c r="HWI586" s="14"/>
      <c r="HWJ586" s="14"/>
      <c r="HWK586" s="14"/>
      <c r="HWL586" s="14"/>
      <c r="HWM586" s="14"/>
      <c r="HWN586" s="14"/>
      <c r="HWO586" s="14"/>
      <c r="HWP586" s="14"/>
      <c r="HWQ586" s="14"/>
      <c r="HWR586" s="14"/>
      <c r="HWS586" s="14"/>
      <c r="HWT586" s="14"/>
      <c r="HWU586" s="14"/>
      <c r="HWV586" s="14"/>
      <c r="HWW586" s="14"/>
      <c r="HWX586" s="14"/>
      <c r="HWY586" s="14"/>
      <c r="HWZ586" s="14"/>
      <c r="HXA586" s="14"/>
      <c r="HXB586" s="14"/>
      <c r="HXC586" s="14"/>
      <c r="HXD586" s="14"/>
      <c r="HXE586" s="14"/>
      <c r="HXF586" s="14"/>
      <c r="HXG586" s="14"/>
      <c r="HXH586" s="14"/>
      <c r="HXI586" s="14"/>
      <c r="HXJ586" s="14"/>
      <c r="HXK586" s="14"/>
      <c r="HXL586" s="14"/>
      <c r="HXM586" s="14"/>
      <c r="HXN586" s="14"/>
      <c r="HXO586" s="14"/>
      <c r="HXP586" s="14"/>
      <c r="HXQ586" s="14"/>
      <c r="HXR586" s="14"/>
      <c r="HXS586" s="14"/>
      <c r="HXT586" s="14"/>
      <c r="HXU586" s="14"/>
      <c r="HXV586" s="14"/>
      <c r="HXW586" s="14"/>
      <c r="HXX586" s="14"/>
      <c r="HXY586" s="14"/>
      <c r="HXZ586" s="14"/>
      <c r="HYA586" s="14"/>
      <c r="HYB586" s="14"/>
      <c r="HYC586" s="14"/>
      <c r="HYD586" s="14"/>
      <c r="HYE586" s="14"/>
      <c r="HYF586" s="14"/>
      <c r="HYG586" s="14"/>
      <c r="HYH586" s="14"/>
      <c r="HYI586" s="14"/>
      <c r="HYJ586" s="14"/>
      <c r="HYK586" s="14"/>
      <c r="HYL586" s="14"/>
      <c r="HYM586" s="14"/>
      <c r="HYN586" s="14"/>
      <c r="HYO586" s="14"/>
      <c r="HYP586" s="14"/>
      <c r="HYQ586" s="14"/>
      <c r="HYR586" s="14"/>
      <c r="HYS586" s="14"/>
      <c r="HYT586" s="14"/>
      <c r="HYU586" s="14"/>
      <c r="HYV586" s="14"/>
      <c r="HYW586" s="14"/>
      <c r="HYX586" s="14"/>
      <c r="HYY586" s="14"/>
      <c r="HYZ586" s="14"/>
      <c r="HZA586" s="14"/>
      <c r="HZB586" s="14"/>
      <c r="HZC586" s="14"/>
      <c r="HZD586" s="14"/>
      <c r="HZE586" s="14"/>
      <c r="HZF586" s="14"/>
      <c r="HZG586" s="14"/>
      <c r="HZH586" s="14"/>
      <c r="HZI586" s="14"/>
      <c r="HZJ586" s="14"/>
      <c r="HZK586" s="14"/>
      <c r="HZL586" s="14"/>
      <c r="HZM586" s="14"/>
      <c r="HZN586" s="14"/>
      <c r="HZO586" s="14"/>
      <c r="HZP586" s="14"/>
      <c r="HZQ586" s="14"/>
      <c r="HZR586" s="14"/>
      <c r="HZS586" s="14"/>
      <c r="HZT586" s="14"/>
      <c r="HZU586" s="14"/>
      <c r="HZV586" s="14"/>
      <c r="HZW586" s="14"/>
      <c r="HZX586" s="14"/>
      <c r="HZY586" s="14"/>
      <c r="HZZ586" s="14"/>
      <c r="IAA586" s="14"/>
      <c r="IAB586" s="14"/>
      <c r="IAC586" s="14"/>
      <c r="IAD586" s="14"/>
      <c r="IAE586" s="14"/>
      <c r="IAF586" s="14"/>
      <c r="IAG586" s="14"/>
      <c r="IAH586" s="14"/>
      <c r="IAI586" s="14"/>
      <c r="IAJ586" s="14"/>
      <c r="IAK586" s="14"/>
      <c r="IAL586" s="14"/>
      <c r="IAM586" s="14"/>
      <c r="IAN586" s="14"/>
      <c r="IAO586" s="14"/>
      <c r="IAP586" s="14"/>
      <c r="IAQ586" s="14"/>
      <c r="IAR586" s="14"/>
      <c r="IAS586" s="14"/>
      <c r="IAT586" s="14"/>
      <c r="IAU586" s="14"/>
      <c r="IAV586" s="14"/>
      <c r="IAW586" s="14"/>
      <c r="IAX586" s="14"/>
      <c r="IAY586" s="14"/>
      <c r="IAZ586" s="14"/>
      <c r="IBA586" s="14"/>
      <c r="IBB586" s="14"/>
      <c r="IBC586" s="14"/>
      <c r="IBD586" s="14"/>
      <c r="IBE586" s="14"/>
      <c r="IBF586" s="14"/>
      <c r="IBG586" s="14"/>
      <c r="IBH586" s="14"/>
      <c r="IBI586" s="14"/>
      <c r="IBJ586" s="14"/>
      <c r="IBK586" s="14"/>
      <c r="IBL586" s="14"/>
      <c r="IBM586" s="14"/>
      <c r="IBN586" s="14"/>
      <c r="IBO586" s="14"/>
      <c r="IBP586" s="14"/>
      <c r="IBQ586" s="14"/>
      <c r="IBR586" s="14"/>
      <c r="IBS586" s="14"/>
      <c r="IBT586" s="14"/>
      <c r="IBU586" s="14"/>
      <c r="IBV586" s="14"/>
      <c r="IBW586" s="14"/>
      <c r="IBX586" s="14"/>
      <c r="IBY586" s="14"/>
      <c r="IBZ586" s="14"/>
      <c r="ICA586" s="14"/>
      <c r="ICB586" s="14"/>
      <c r="ICC586" s="14"/>
      <c r="ICD586" s="14"/>
      <c r="ICE586" s="14"/>
      <c r="ICF586" s="14"/>
      <c r="ICG586" s="14"/>
      <c r="ICH586" s="14"/>
      <c r="ICI586" s="14"/>
      <c r="ICJ586" s="14"/>
      <c r="ICK586" s="14"/>
      <c r="ICL586" s="14"/>
      <c r="ICM586" s="14"/>
      <c r="ICN586" s="14"/>
      <c r="ICO586" s="14"/>
      <c r="ICP586" s="14"/>
      <c r="ICQ586" s="14"/>
      <c r="ICR586" s="14"/>
      <c r="ICS586" s="14"/>
      <c r="ICT586" s="14"/>
      <c r="ICU586" s="14"/>
      <c r="ICV586" s="14"/>
      <c r="ICW586" s="14"/>
      <c r="ICX586" s="14"/>
      <c r="ICY586" s="14"/>
      <c r="ICZ586" s="14"/>
      <c r="IDA586" s="14"/>
      <c r="IDB586" s="14"/>
      <c r="IDC586" s="14"/>
      <c r="IDD586" s="14"/>
      <c r="IDE586" s="14"/>
      <c r="IDF586" s="14"/>
      <c r="IDG586" s="14"/>
      <c r="IDH586" s="14"/>
      <c r="IDI586" s="14"/>
      <c r="IDJ586" s="14"/>
      <c r="IDK586" s="14"/>
      <c r="IDL586" s="14"/>
      <c r="IDM586" s="14"/>
      <c r="IDN586" s="14"/>
      <c r="IDO586" s="14"/>
      <c r="IDP586" s="14"/>
      <c r="IDQ586" s="14"/>
      <c r="IDR586" s="14"/>
      <c r="IDS586" s="14"/>
      <c r="IDT586" s="14"/>
      <c r="IDU586" s="14"/>
      <c r="IDV586" s="14"/>
      <c r="IDW586" s="14"/>
      <c r="IDX586" s="14"/>
      <c r="IDY586" s="14"/>
      <c r="IDZ586" s="14"/>
      <c r="IEA586" s="14"/>
      <c r="IEB586" s="14"/>
      <c r="IEC586" s="14"/>
      <c r="IED586" s="14"/>
      <c r="IEE586" s="14"/>
      <c r="IEF586" s="14"/>
      <c r="IEG586" s="14"/>
      <c r="IEH586" s="14"/>
      <c r="IEI586" s="14"/>
      <c r="IEJ586" s="14"/>
      <c r="IEK586" s="14"/>
      <c r="IEL586" s="14"/>
      <c r="IEM586" s="14"/>
      <c r="IEN586" s="14"/>
      <c r="IEO586" s="14"/>
      <c r="IEP586" s="14"/>
      <c r="IEQ586" s="14"/>
      <c r="IER586" s="14"/>
      <c r="IES586" s="14"/>
      <c r="IET586" s="14"/>
      <c r="IEU586" s="14"/>
      <c r="IEV586" s="14"/>
      <c r="IEW586" s="14"/>
      <c r="IEX586" s="14"/>
      <c r="IEY586" s="14"/>
      <c r="IEZ586" s="14"/>
      <c r="IFA586" s="14"/>
      <c r="IFB586" s="14"/>
      <c r="IFC586" s="14"/>
      <c r="IFD586" s="14"/>
      <c r="IFE586" s="14"/>
      <c r="IFF586" s="14"/>
      <c r="IFG586" s="14"/>
      <c r="IFH586" s="14"/>
      <c r="IFI586" s="14"/>
      <c r="IFJ586" s="14"/>
      <c r="IFK586" s="14"/>
      <c r="IFL586" s="14"/>
      <c r="IFM586" s="14"/>
      <c r="IFN586" s="14"/>
      <c r="IFO586" s="14"/>
      <c r="IFP586" s="14"/>
      <c r="IFQ586" s="14"/>
      <c r="IFR586" s="14"/>
      <c r="IFS586" s="14"/>
      <c r="IFT586" s="14"/>
      <c r="IFU586" s="14"/>
      <c r="IFV586" s="14"/>
      <c r="IFW586" s="14"/>
      <c r="IFX586" s="14"/>
      <c r="IFY586" s="14"/>
      <c r="IFZ586" s="14"/>
      <c r="IGA586" s="14"/>
      <c r="IGB586" s="14"/>
      <c r="IGC586" s="14"/>
      <c r="IGD586" s="14"/>
      <c r="IGE586" s="14"/>
      <c r="IGF586" s="14"/>
      <c r="IGG586" s="14"/>
      <c r="IGH586" s="14"/>
      <c r="IGI586" s="14"/>
      <c r="IGJ586" s="14"/>
      <c r="IGK586" s="14"/>
      <c r="IGL586" s="14"/>
      <c r="IGM586" s="14"/>
      <c r="IGN586" s="14"/>
      <c r="IGO586" s="14"/>
      <c r="IGP586" s="14"/>
      <c r="IGQ586" s="14"/>
      <c r="IGR586" s="14"/>
      <c r="IGS586" s="14"/>
      <c r="IGT586" s="14"/>
      <c r="IGU586" s="14"/>
      <c r="IGV586" s="14"/>
      <c r="IGW586" s="14"/>
      <c r="IGX586" s="14"/>
      <c r="IGY586" s="14"/>
      <c r="IGZ586" s="14"/>
      <c r="IHA586" s="14"/>
      <c r="IHB586" s="14"/>
      <c r="IHC586" s="14"/>
      <c r="IHD586" s="14"/>
      <c r="IHE586" s="14"/>
      <c r="IHF586" s="14"/>
      <c r="IHG586" s="14"/>
      <c r="IHH586" s="14"/>
      <c r="IHI586" s="14"/>
      <c r="IHJ586" s="14"/>
      <c r="IHK586" s="14"/>
      <c r="IHL586" s="14"/>
      <c r="IHM586" s="14"/>
      <c r="IHN586" s="14"/>
      <c r="IHO586" s="14"/>
      <c r="IHP586" s="14"/>
      <c r="IHQ586" s="14"/>
      <c r="IHR586" s="14"/>
      <c r="IHS586" s="14"/>
      <c r="IHT586" s="14"/>
      <c r="IHU586" s="14"/>
      <c r="IHV586" s="14"/>
      <c r="IHW586" s="14"/>
      <c r="IHX586" s="14"/>
      <c r="IHY586" s="14"/>
      <c r="IHZ586" s="14"/>
      <c r="IIA586" s="14"/>
      <c r="IIB586" s="14"/>
      <c r="IIC586" s="14"/>
      <c r="IID586" s="14"/>
      <c r="IIE586" s="14"/>
      <c r="IIF586" s="14"/>
      <c r="IIG586" s="14"/>
      <c r="IIH586" s="14"/>
      <c r="III586" s="14"/>
      <c r="IIJ586" s="14"/>
      <c r="IIK586" s="14"/>
      <c r="IIL586" s="14"/>
      <c r="IIM586" s="14"/>
      <c r="IIN586" s="14"/>
      <c r="IIO586" s="14"/>
      <c r="IIP586" s="14"/>
      <c r="IIQ586" s="14"/>
      <c r="IIR586" s="14"/>
      <c r="IIS586" s="14"/>
      <c r="IIT586" s="14"/>
      <c r="IIU586" s="14"/>
      <c r="IIV586" s="14"/>
      <c r="IIW586" s="14"/>
      <c r="IIX586" s="14"/>
      <c r="IIY586" s="14"/>
      <c r="IIZ586" s="14"/>
      <c r="IJA586" s="14"/>
      <c r="IJB586" s="14"/>
      <c r="IJC586" s="14"/>
      <c r="IJD586" s="14"/>
      <c r="IJE586" s="14"/>
      <c r="IJF586" s="14"/>
      <c r="IJG586" s="14"/>
      <c r="IJH586" s="14"/>
      <c r="IJI586" s="14"/>
      <c r="IJJ586" s="14"/>
      <c r="IJK586" s="14"/>
      <c r="IJL586" s="14"/>
      <c r="IJM586" s="14"/>
      <c r="IJN586" s="14"/>
      <c r="IJO586" s="14"/>
      <c r="IJP586" s="14"/>
      <c r="IJQ586" s="14"/>
      <c r="IJR586" s="14"/>
      <c r="IJS586" s="14"/>
      <c r="IJT586" s="14"/>
      <c r="IJU586" s="14"/>
      <c r="IJV586" s="14"/>
      <c r="IJW586" s="14"/>
      <c r="IJX586" s="14"/>
      <c r="IJY586" s="14"/>
      <c r="IJZ586" s="14"/>
      <c r="IKA586" s="14"/>
      <c r="IKB586" s="14"/>
      <c r="IKC586" s="14"/>
      <c r="IKD586" s="14"/>
      <c r="IKE586" s="14"/>
      <c r="IKF586" s="14"/>
      <c r="IKG586" s="14"/>
      <c r="IKH586" s="14"/>
      <c r="IKI586" s="14"/>
      <c r="IKJ586" s="14"/>
      <c r="IKK586" s="14"/>
      <c r="IKL586" s="14"/>
      <c r="IKM586" s="14"/>
      <c r="IKN586" s="14"/>
      <c r="IKO586" s="14"/>
      <c r="IKP586" s="14"/>
      <c r="IKQ586" s="14"/>
      <c r="IKR586" s="14"/>
      <c r="IKS586" s="14"/>
      <c r="IKT586" s="14"/>
      <c r="IKU586" s="14"/>
      <c r="IKV586" s="14"/>
      <c r="IKW586" s="14"/>
      <c r="IKX586" s="14"/>
      <c r="IKY586" s="14"/>
      <c r="IKZ586" s="14"/>
      <c r="ILA586" s="14"/>
      <c r="ILB586" s="14"/>
      <c r="ILC586" s="14"/>
      <c r="ILD586" s="14"/>
      <c r="ILE586" s="14"/>
      <c r="ILF586" s="14"/>
      <c r="ILG586" s="14"/>
      <c r="ILH586" s="14"/>
      <c r="ILI586" s="14"/>
      <c r="ILJ586" s="14"/>
      <c r="ILK586" s="14"/>
      <c r="ILL586" s="14"/>
      <c r="ILM586" s="14"/>
      <c r="ILN586" s="14"/>
      <c r="ILO586" s="14"/>
      <c r="ILP586" s="14"/>
      <c r="ILQ586" s="14"/>
      <c r="ILR586" s="14"/>
      <c r="ILS586" s="14"/>
      <c r="ILT586" s="14"/>
      <c r="ILU586" s="14"/>
      <c r="ILV586" s="14"/>
      <c r="ILW586" s="14"/>
      <c r="ILX586" s="14"/>
      <c r="ILY586" s="14"/>
      <c r="ILZ586" s="14"/>
      <c r="IMA586" s="14"/>
      <c r="IMB586" s="14"/>
      <c r="IMC586" s="14"/>
      <c r="IMD586" s="14"/>
      <c r="IME586" s="14"/>
      <c r="IMF586" s="14"/>
      <c r="IMG586" s="14"/>
      <c r="IMH586" s="14"/>
      <c r="IMI586" s="14"/>
      <c r="IMJ586" s="14"/>
      <c r="IMK586" s="14"/>
      <c r="IML586" s="14"/>
      <c r="IMM586" s="14"/>
      <c r="IMN586" s="14"/>
      <c r="IMO586" s="14"/>
      <c r="IMP586" s="14"/>
      <c r="IMQ586" s="14"/>
      <c r="IMR586" s="14"/>
      <c r="IMS586" s="14"/>
      <c r="IMT586" s="14"/>
      <c r="IMU586" s="14"/>
      <c r="IMV586" s="14"/>
      <c r="IMW586" s="14"/>
      <c r="IMX586" s="14"/>
      <c r="IMY586" s="14"/>
      <c r="IMZ586" s="14"/>
      <c r="INA586" s="14"/>
      <c r="INB586" s="14"/>
      <c r="INC586" s="14"/>
      <c r="IND586" s="14"/>
      <c r="INE586" s="14"/>
      <c r="INF586" s="14"/>
      <c r="ING586" s="14"/>
      <c r="INH586" s="14"/>
      <c r="INI586" s="14"/>
      <c r="INJ586" s="14"/>
      <c r="INK586" s="14"/>
      <c r="INL586" s="14"/>
      <c r="INM586" s="14"/>
      <c r="INN586" s="14"/>
      <c r="INO586" s="14"/>
      <c r="INP586" s="14"/>
      <c r="INQ586" s="14"/>
      <c r="INR586" s="14"/>
      <c r="INS586" s="14"/>
      <c r="INT586" s="14"/>
      <c r="INU586" s="14"/>
      <c r="INV586" s="14"/>
      <c r="INW586" s="14"/>
      <c r="INX586" s="14"/>
      <c r="INY586" s="14"/>
      <c r="INZ586" s="14"/>
      <c r="IOA586" s="14"/>
      <c r="IOB586" s="14"/>
      <c r="IOC586" s="14"/>
      <c r="IOD586" s="14"/>
      <c r="IOE586" s="14"/>
      <c r="IOF586" s="14"/>
      <c r="IOG586" s="14"/>
      <c r="IOH586" s="14"/>
      <c r="IOI586" s="14"/>
      <c r="IOJ586" s="14"/>
      <c r="IOK586" s="14"/>
      <c r="IOL586" s="14"/>
      <c r="IOM586" s="14"/>
      <c r="ION586" s="14"/>
      <c r="IOO586" s="14"/>
      <c r="IOP586" s="14"/>
      <c r="IOQ586" s="14"/>
      <c r="IOR586" s="14"/>
      <c r="IOS586" s="14"/>
      <c r="IOT586" s="14"/>
      <c r="IOU586" s="14"/>
      <c r="IOV586" s="14"/>
      <c r="IOW586" s="14"/>
      <c r="IOX586" s="14"/>
      <c r="IOY586" s="14"/>
      <c r="IOZ586" s="14"/>
      <c r="IPA586" s="14"/>
      <c r="IPB586" s="14"/>
      <c r="IPC586" s="14"/>
      <c r="IPD586" s="14"/>
      <c r="IPE586" s="14"/>
      <c r="IPF586" s="14"/>
      <c r="IPG586" s="14"/>
      <c r="IPH586" s="14"/>
      <c r="IPI586" s="14"/>
      <c r="IPJ586" s="14"/>
      <c r="IPK586" s="14"/>
      <c r="IPL586" s="14"/>
      <c r="IPM586" s="14"/>
      <c r="IPN586" s="14"/>
      <c r="IPO586" s="14"/>
      <c r="IPP586" s="14"/>
      <c r="IPQ586" s="14"/>
      <c r="IPR586" s="14"/>
      <c r="IPS586" s="14"/>
      <c r="IPT586" s="14"/>
      <c r="IPU586" s="14"/>
      <c r="IPV586" s="14"/>
      <c r="IPW586" s="14"/>
      <c r="IPX586" s="14"/>
      <c r="IPY586" s="14"/>
      <c r="IPZ586" s="14"/>
      <c r="IQA586" s="14"/>
      <c r="IQB586" s="14"/>
      <c r="IQC586" s="14"/>
      <c r="IQD586" s="14"/>
      <c r="IQE586" s="14"/>
      <c r="IQF586" s="14"/>
      <c r="IQG586" s="14"/>
      <c r="IQH586" s="14"/>
      <c r="IQI586" s="14"/>
      <c r="IQJ586" s="14"/>
      <c r="IQK586" s="14"/>
      <c r="IQL586" s="14"/>
      <c r="IQM586" s="14"/>
      <c r="IQN586" s="14"/>
      <c r="IQO586" s="14"/>
      <c r="IQP586" s="14"/>
      <c r="IQQ586" s="14"/>
      <c r="IQR586" s="14"/>
      <c r="IQS586" s="14"/>
      <c r="IQT586" s="14"/>
      <c r="IQU586" s="14"/>
      <c r="IQV586" s="14"/>
      <c r="IQW586" s="14"/>
      <c r="IQX586" s="14"/>
      <c r="IQY586" s="14"/>
      <c r="IQZ586" s="14"/>
      <c r="IRA586" s="14"/>
      <c r="IRB586" s="14"/>
      <c r="IRC586" s="14"/>
      <c r="IRD586" s="14"/>
      <c r="IRE586" s="14"/>
      <c r="IRF586" s="14"/>
      <c r="IRG586" s="14"/>
      <c r="IRH586" s="14"/>
      <c r="IRI586" s="14"/>
      <c r="IRJ586" s="14"/>
      <c r="IRK586" s="14"/>
      <c r="IRL586" s="14"/>
      <c r="IRM586" s="14"/>
      <c r="IRN586" s="14"/>
      <c r="IRO586" s="14"/>
      <c r="IRP586" s="14"/>
      <c r="IRQ586" s="14"/>
      <c r="IRR586" s="14"/>
      <c r="IRS586" s="14"/>
      <c r="IRT586" s="14"/>
      <c r="IRU586" s="14"/>
      <c r="IRV586" s="14"/>
      <c r="IRW586" s="14"/>
      <c r="IRX586" s="14"/>
      <c r="IRY586" s="14"/>
      <c r="IRZ586" s="14"/>
      <c r="ISA586" s="14"/>
      <c r="ISB586" s="14"/>
      <c r="ISC586" s="14"/>
      <c r="ISD586" s="14"/>
      <c r="ISE586" s="14"/>
      <c r="ISF586" s="14"/>
      <c r="ISG586" s="14"/>
      <c r="ISH586" s="14"/>
      <c r="ISI586" s="14"/>
      <c r="ISJ586" s="14"/>
      <c r="ISK586" s="14"/>
      <c r="ISL586" s="14"/>
      <c r="ISM586" s="14"/>
      <c r="ISN586" s="14"/>
      <c r="ISO586" s="14"/>
      <c r="ISP586" s="14"/>
      <c r="ISQ586" s="14"/>
      <c r="ISR586" s="14"/>
      <c r="ISS586" s="14"/>
      <c r="IST586" s="14"/>
      <c r="ISU586" s="14"/>
      <c r="ISV586" s="14"/>
      <c r="ISW586" s="14"/>
      <c r="ISX586" s="14"/>
      <c r="ISY586" s="14"/>
      <c r="ISZ586" s="14"/>
      <c r="ITA586" s="14"/>
      <c r="ITB586" s="14"/>
      <c r="ITC586" s="14"/>
      <c r="ITD586" s="14"/>
      <c r="ITE586" s="14"/>
      <c r="ITF586" s="14"/>
      <c r="ITG586" s="14"/>
      <c r="ITH586" s="14"/>
      <c r="ITI586" s="14"/>
      <c r="ITJ586" s="14"/>
      <c r="ITK586" s="14"/>
      <c r="ITL586" s="14"/>
      <c r="ITM586" s="14"/>
      <c r="ITN586" s="14"/>
      <c r="ITO586" s="14"/>
      <c r="ITP586" s="14"/>
      <c r="ITQ586" s="14"/>
      <c r="ITR586" s="14"/>
      <c r="ITS586" s="14"/>
      <c r="ITT586" s="14"/>
      <c r="ITU586" s="14"/>
      <c r="ITV586" s="14"/>
      <c r="ITW586" s="14"/>
      <c r="ITX586" s="14"/>
      <c r="ITY586" s="14"/>
      <c r="ITZ586" s="14"/>
      <c r="IUA586" s="14"/>
      <c r="IUB586" s="14"/>
      <c r="IUC586" s="14"/>
      <c r="IUD586" s="14"/>
      <c r="IUE586" s="14"/>
      <c r="IUF586" s="14"/>
      <c r="IUG586" s="14"/>
      <c r="IUH586" s="14"/>
      <c r="IUI586" s="14"/>
      <c r="IUJ586" s="14"/>
      <c r="IUK586" s="14"/>
      <c r="IUL586" s="14"/>
      <c r="IUM586" s="14"/>
      <c r="IUN586" s="14"/>
      <c r="IUO586" s="14"/>
      <c r="IUP586" s="14"/>
      <c r="IUQ586" s="14"/>
      <c r="IUR586" s="14"/>
      <c r="IUS586" s="14"/>
      <c r="IUT586" s="14"/>
      <c r="IUU586" s="14"/>
      <c r="IUV586" s="14"/>
      <c r="IUW586" s="14"/>
      <c r="IUX586" s="14"/>
      <c r="IUY586" s="14"/>
      <c r="IUZ586" s="14"/>
      <c r="IVA586" s="14"/>
      <c r="IVB586" s="14"/>
      <c r="IVC586" s="14"/>
      <c r="IVD586" s="14"/>
      <c r="IVE586" s="14"/>
      <c r="IVF586" s="14"/>
      <c r="IVG586" s="14"/>
      <c r="IVH586" s="14"/>
      <c r="IVI586" s="14"/>
      <c r="IVJ586" s="14"/>
      <c r="IVK586" s="14"/>
      <c r="IVL586" s="14"/>
      <c r="IVM586" s="14"/>
      <c r="IVN586" s="14"/>
      <c r="IVO586" s="14"/>
      <c r="IVP586" s="14"/>
      <c r="IVQ586" s="14"/>
      <c r="IVR586" s="14"/>
      <c r="IVS586" s="14"/>
      <c r="IVT586" s="14"/>
      <c r="IVU586" s="14"/>
      <c r="IVV586" s="14"/>
      <c r="IVW586" s="14"/>
      <c r="IVX586" s="14"/>
      <c r="IVY586" s="14"/>
      <c r="IVZ586" s="14"/>
      <c r="IWA586" s="14"/>
      <c r="IWB586" s="14"/>
      <c r="IWC586" s="14"/>
      <c r="IWD586" s="14"/>
      <c r="IWE586" s="14"/>
      <c r="IWF586" s="14"/>
      <c r="IWG586" s="14"/>
      <c r="IWH586" s="14"/>
      <c r="IWI586" s="14"/>
      <c r="IWJ586" s="14"/>
      <c r="IWK586" s="14"/>
      <c r="IWL586" s="14"/>
      <c r="IWM586" s="14"/>
      <c r="IWN586" s="14"/>
      <c r="IWO586" s="14"/>
      <c r="IWP586" s="14"/>
      <c r="IWQ586" s="14"/>
      <c r="IWR586" s="14"/>
      <c r="IWS586" s="14"/>
      <c r="IWT586" s="14"/>
      <c r="IWU586" s="14"/>
      <c r="IWV586" s="14"/>
      <c r="IWW586" s="14"/>
      <c r="IWX586" s="14"/>
      <c r="IWY586" s="14"/>
      <c r="IWZ586" s="14"/>
      <c r="IXA586" s="14"/>
      <c r="IXB586" s="14"/>
      <c r="IXC586" s="14"/>
      <c r="IXD586" s="14"/>
      <c r="IXE586" s="14"/>
      <c r="IXF586" s="14"/>
      <c r="IXG586" s="14"/>
      <c r="IXH586" s="14"/>
      <c r="IXI586" s="14"/>
      <c r="IXJ586" s="14"/>
      <c r="IXK586" s="14"/>
      <c r="IXL586" s="14"/>
      <c r="IXM586" s="14"/>
      <c r="IXN586" s="14"/>
      <c r="IXO586" s="14"/>
      <c r="IXP586" s="14"/>
      <c r="IXQ586" s="14"/>
      <c r="IXR586" s="14"/>
      <c r="IXS586" s="14"/>
      <c r="IXT586" s="14"/>
      <c r="IXU586" s="14"/>
      <c r="IXV586" s="14"/>
      <c r="IXW586" s="14"/>
      <c r="IXX586" s="14"/>
      <c r="IXY586" s="14"/>
      <c r="IXZ586" s="14"/>
      <c r="IYA586" s="14"/>
      <c r="IYB586" s="14"/>
      <c r="IYC586" s="14"/>
      <c r="IYD586" s="14"/>
      <c r="IYE586" s="14"/>
      <c r="IYF586" s="14"/>
      <c r="IYG586" s="14"/>
      <c r="IYH586" s="14"/>
      <c r="IYI586" s="14"/>
      <c r="IYJ586" s="14"/>
      <c r="IYK586" s="14"/>
      <c r="IYL586" s="14"/>
      <c r="IYM586" s="14"/>
      <c r="IYN586" s="14"/>
      <c r="IYO586" s="14"/>
      <c r="IYP586" s="14"/>
      <c r="IYQ586" s="14"/>
      <c r="IYR586" s="14"/>
      <c r="IYS586" s="14"/>
      <c r="IYT586" s="14"/>
      <c r="IYU586" s="14"/>
      <c r="IYV586" s="14"/>
      <c r="IYW586" s="14"/>
      <c r="IYX586" s="14"/>
      <c r="IYY586" s="14"/>
      <c r="IYZ586" s="14"/>
      <c r="IZA586" s="14"/>
      <c r="IZB586" s="14"/>
      <c r="IZC586" s="14"/>
      <c r="IZD586" s="14"/>
      <c r="IZE586" s="14"/>
      <c r="IZF586" s="14"/>
      <c r="IZG586" s="14"/>
      <c r="IZH586" s="14"/>
      <c r="IZI586" s="14"/>
      <c r="IZJ586" s="14"/>
      <c r="IZK586" s="14"/>
      <c r="IZL586" s="14"/>
      <c r="IZM586" s="14"/>
      <c r="IZN586" s="14"/>
      <c r="IZO586" s="14"/>
      <c r="IZP586" s="14"/>
      <c r="IZQ586" s="14"/>
      <c r="IZR586" s="14"/>
      <c r="IZS586" s="14"/>
      <c r="IZT586" s="14"/>
      <c r="IZU586" s="14"/>
      <c r="IZV586" s="14"/>
      <c r="IZW586" s="14"/>
      <c r="IZX586" s="14"/>
      <c r="IZY586" s="14"/>
      <c r="IZZ586" s="14"/>
      <c r="JAA586" s="14"/>
      <c r="JAB586" s="14"/>
      <c r="JAC586" s="14"/>
      <c r="JAD586" s="14"/>
      <c r="JAE586" s="14"/>
      <c r="JAF586" s="14"/>
      <c r="JAG586" s="14"/>
      <c r="JAH586" s="14"/>
      <c r="JAI586" s="14"/>
      <c r="JAJ586" s="14"/>
      <c r="JAK586" s="14"/>
      <c r="JAL586" s="14"/>
      <c r="JAM586" s="14"/>
      <c r="JAN586" s="14"/>
      <c r="JAO586" s="14"/>
      <c r="JAP586" s="14"/>
      <c r="JAQ586" s="14"/>
      <c r="JAR586" s="14"/>
      <c r="JAS586" s="14"/>
      <c r="JAT586" s="14"/>
      <c r="JAU586" s="14"/>
      <c r="JAV586" s="14"/>
      <c r="JAW586" s="14"/>
      <c r="JAX586" s="14"/>
      <c r="JAY586" s="14"/>
      <c r="JAZ586" s="14"/>
      <c r="JBA586" s="14"/>
      <c r="JBB586" s="14"/>
      <c r="JBC586" s="14"/>
      <c r="JBD586" s="14"/>
      <c r="JBE586" s="14"/>
      <c r="JBF586" s="14"/>
      <c r="JBG586" s="14"/>
      <c r="JBH586" s="14"/>
      <c r="JBI586" s="14"/>
      <c r="JBJ586" s="14"/>
      <c r="JBK586" s="14"/>
      <c r="JBL586" s="14"/>
      <c r="JBM586" s="14"/>
      <c r="JBN586" s="14"/>
      <c r="JBO586" s="14"/>
      <c r="JBP586" s="14"/>
      <c r="JBQ586" s="14"/>
      <c r="JBR586" s="14"/>
      <c r="JBS586" s="14"/>
      <c r="JBT586" s="14"/>
      <c r="JBU586" s="14"/>
      <c r="JBV586" s="14"/>
      <c r="JBW586" s="14"/>
      <c r="JBX586" s="14"/>
      <c r="JBY586" s="14"/>
      <c r="JBZ586" s="14"/>
      <c r="JCA586" s="14"/>
      <c r="JCB586" s="14"/>
      <c r="JCC586" s="14"/>
      <c r="JCD586" s="14"/>
      <c r="JCE586" s="14"/>
      <c r="JCF586" s="14"/>
      <c r="JCG586" s="14"/>
      <c r="JCH586" s="14"/>
      <c r="JCI586" s="14"/>
      <c r="JCJ586" s="14"/>
      <c r="JCK586" s="14"/>
      <c r="JCL586" s="14"/>
      <c r="JCM586" s="14"/>
      <c r="JCN586" s="14"/>
      <c r="JCO586" s="14"/>
      <c r="JCP586" s="14"/>
      <c r="JCQ586" s="14"/>
      <c r="JCR586" s="14"/>
      <c r="JCS586" s="14"/>
      <c r="JCT586" s="14"/>
      <c r="JCU586" s="14"/>
      <c r="JCV586" s="14"/>
      <c r="JCW586" s="14"/>
      <c r="JCX586" s="14"/>
      <c r="JCY586" s="14"/>
      <c r="JCZ586" s="14"/>
      <c r="JDA586" s="14"/>
      <c r="JDB586" s="14"/>
      <c r="JDC586" s="14"/>
      <c r="JDD586" s="14"/>
      <c r="JDE586" s="14"/>
      <c r="JDF586" s="14"/>
      <c r="JDG586" s="14"/>
      <c r="JDH586" s="14"/>
      <c r="JDI586" s="14"/>
      <c r="JDJ586" s="14"/>
      <c r="JDK586" s="14"/>
      <c r="JDL586" s="14"/>
      <c r="JDM586" s="14"/>
      <c r="JDN586" s="14"/>
      <c r="JDO586" s="14"/>
      <c r="JDP586" s="14"/>
      <c r="JDQ586" s="14"/>
      <c r="JDR586" s="14"/>
      <c r="JDS586" s="14"/>
      <c r="JDT586" s="14"/>
      <c r="JDU586" s="14"/>
      <c r="JDV586" s="14"/>
      <c r="JDW586" s="14"/>
      <c r="JDX586" s="14"/>
      <c r="JDY586" s="14"/>
      <c r="JDZ586" s="14"/>
      <c r="JEA586" s="14"/>
      <c r="JEB586" s="14"/>
      <c r="JEC586" s="14"/>
      <c r="JED586" s="14"/>
      <c r="JEE586" s="14"/>
      <c r="JEF586" s="14"/>
      <c r="JEG586" s="14"/>
      <c r="JEH586" s="14"/>
      <c r="JEI586" s="14"/>
      <c r="JEJ586" s="14"/>
      <c r="JEK586" s="14"/>
      <c r="JEL586" s="14"/>
      <c r="JEM586" s="14"/>
      <c r="JEN586" s="14"/>
      <c r="JEO586" s="14"/>
      <c r="JEP586" s="14"/>
      <c r="JEQ586" s="14"/>
      <c r="JER586" s="14"/>
      <c r="JES586" s="14"/>
      <c r="JET586" s="14"/>
      <c r="JEU586" s="14"/>
      <c r="JEV586" s="14"/>
      <c r="JEW586" s="14"/>
      <c r="JEX586" s="14"/>
      <c r="JEY586" s="14"/>
      <c r="JEZ586" s="14"/>
      <c r="JFA586" s="14"/>
      <c r="JFB586" s="14"/>
      <c r="JFC586" s="14"/>
      <c r="JFD586" s="14"/>
      <c r="JFE586" s="14"/>
      <c r="JFF586" s="14"/>
      <c r="JFG586" s="14"/>
      <c r="JFH586" s="14"/>
      <c r="JFI586" s="14"/>
      <c r="JFJ586" s="14"/>
      <c r="JFK586" s="14"/>
      <c r="JFL586" s="14"/>
      <c r="JFM586" s="14"/>
      <c r="JFN586" s="14"/>
      <c r="JFO586" s="14"/>
      <c r="JFP586" s="14"/>
      <c r="JFQ586" s="14"/>
      <c r="JFR586" s="14"/>
      <c r="JFS586" s="14"/>
      <c r="JFT586" s="14"/>
      <c r="JFU586" s="14"/>
      <c r="JFV586" s="14"/>
      <c r="JFW586" s="14"/>
      <c r="JFX586" s="14"/>
      <c r="JFY586" s="14"/>
      <c r="JFZ586" s="14"/>
      <c r="JGA586" s="14"/>
      <c r="JGB586" s="14"/>
      <c r="JGC586" s="14"/>
      <c r="JGD586" s="14"/>
      <c r="JGE586" s="14"/>
      <c r="JGF586" s="14"/>
      <c r="JGG586" s="14"/>
      <c r="JGH586" s="14"/>
      <c r="JGI586" s="14"/>
      <c r="JGJ586" s="14"/>
      <c r="JGK586" s="14"/>
      <c r="JGL586" s="14"/>
      <c r="JGM586" s="14"/>
      <c r="JGN586" s="14"/>
      <c r="JGO586" s="14"/>
      <c r="JGP586" s="14"/>
      <c r="JGQ586" s="14"/>
      <c r="JGR586" s="14"/>
      <c r="JGS586" s="14"/>
      <c r="JGT586" s="14"/>
      <c r="JGU586" s="14"/>
      <c r="JGV586" s="14"/>
      <c r="JGW586" s="14"/>
      <c r="JGX586" s="14"/>
      <c r="JGY586" s="14"/>
      <c r="JGZ586" s="14"/>
      <c r="JHA586" s="14"/>
      <c r="JHB586" s="14"/>
      <c r="JHC586" s="14"/>
      <c r="JHD586" s="14"/>
      <c r="JHE586" s="14"/>
      <c r="JHF586" s="14"/>
      <c r="JHG586" s="14"/>
      <c r="JHH586" s="14"/>
      <c r="JHI586" s="14"/>
      <c r="JHJ586" s="14"/>
      <c r="JHK586" s="14"/>
      <c r="JHL586" s="14"/>
      <c r="JHM586" s="14"/>
      <c r="JHN586" s="14"/>
      <c r="JHO586" s="14"/>
      <c r="JHP586" s="14"/>
      <c r="JHQ586" s="14"/>
      <c r="JHR586" s="14"/>
      <c r="JHS586" s="14"/>
      <c r="JHT586" s="14"/>
      <c r="JHU586" s="14"/>
      <c r="JHV586" s="14"/>
      <c r="JHW586" s="14"/>
      <c r="JHX586" s="14"/>
      <c r="JHY586" s="14"/>
      <c r="JHZ586" s="14"/>
      <c r="JIA586" s="14"/>
      <c r="JIB586" s="14"/>
      <c r="JIC586" s="14"/>
      <c r="JID586" s="14"/>
      <c r="JIE586" s="14"/>
      <c r="JIF586" s="14"/>
      <c r="JIG586" s="14"/>
      <c r="JIH586" s="14"/>
      <c r="JII586" s="14"/>
      <c r="JIJ586" s="14"/>
      <c r="JIK586" s="14"/>
      <c r="JIL586" s="14"/>
      <c r="JIM586" s="14"/>
      <c r="JIN586" s="14"/>
      <c r="JIO586" s="14"/>
      <c r="JIP586" s="14"/>
      <c r="JIQ586" s="14"/>
      <c r="JIR586" s="14"/>
      <c r="JIS586" s="14"/>
      <c r="JIT586" s="14"/>
      <c r="JIU586" s="14"/>
      <c r="JIV586" s="14"/>
      <c r="JIW586" s="14"/>
      <c r="JIX586" s="14"/>
      <c r="JIY586" s="14"/>
      <c r="JIZ586" s="14"/>
      <c r="JJA586" s="14"/>
      <c r="JJB586" s="14"/>
      <c r="JJC586" s="14"/>
      <c r="JJD586" s="14"/>
      <c r="JJE586" s="14"/>
      <c r="JJF586" s="14"/>
      <c r="JJG586" s="14"/>
      <c r="JJH586" s="14"/>
      <c r="JJI586" s="14"/>
      <c r="JJJ586" s="14"/>
      <c r="JJK586" s="14"/>
      <c r="JJL586" s="14"/>
      <c r="JJM586" s="14"/>
      <c r="JJN586" s="14"/>
      <c r="JJO586" s="14"/>
      <c r="JJP586" s="14"/>
      <c r="JJQ586" s="14"/>
      <c r="JJR586" s="14"/>
      <c r="JJS586" s="14"/>
      <c r="JJT586" s="14"/>
      <c r="JJU586" s="14"/>
      <c r="JJV586" s="14"/>
      <c r="JJW586" s="14"/>
      <c r="JJX586" s="14"/>
      <c r="JJY586" s="14"/>
      <c r="JJZ586" s="14"/>
      <c r="JKA586" s="14"/>
      <c r="JKB586" s="14"/>
      <c r="JKC586" s="14"/>
      <c r="JKD586" s="14"/>
      <c r="JKE586" s="14"/>
      <c r="JKF586" s="14"/>
      <c r="JKG586" s="14"/>
      <c r="JKH586" s="14"/>
      <c r="JKI586" s="14"/>
      <c r="JKJ586" s="14"/>
      <c r="JKK586" s="14"/>
      <c r="JKL586" s="14"/>
      <c r="JKM586" s="14"/>
      <c r="JKN586" s="14"/>
      <c r="JKO586" s="14"/>
      <c r="JKP586" s="14"/>
      <c r="JKQ586" s="14"/>
      <c r="JKR586" s="14"/>
      <c r="JKS586" s="14"/>
      <c r="JKT586" s="14"/>
      <c r="JKU586" s="14"/>
      <c r="JKV586" s="14"/>
      <c r="JKW586" s="14"/>
      <c r="JKX586" s="14"/>
      <c r="JKY586" s="14"/>
      <c r="JKZ586" s="14"/>
      <c r="JLA586" s="14"/>
      <c r="JLB586" s="14"/>
      <c r="JLC586" s="14"/>
      <c r="JLD586" s="14"/>
      <c r="JLE586" s="14"/>
      <c r="JLF586" s="14"/>
      <c r="JLG586" s="14"/>
      <c r="JLH586" s="14"/>
      <c r="JLI586" s="14"/>
      <c r="JLJ586" s="14"/>
      <c r="JLK586" s="14"/>
      <c r="JLL586" s="14"/>
      <c r="JLM586" s="14"/>
      <c r="JLN586" s="14"/>
      <c r="JLO586" s="14"/>
      <c r="JLP586" s="14"/>
      <c r="JLQ586" s="14"/>
      <c r="JLR586" s="14"/>
      <c r="JLS586" s="14"/>
      <c r="JLT586" s="14"/>
      <c r="JLU586" s="14"/>
      <c r="JLV586" s="14"/>
      <c r="JLW586" s="14"/>
      <c r="JLX586" s="14"/>
      <c r="JLY586" s="14"/>
      <c r="JLZ586" s="14"/>
      <c r="JMA586" s="14"/>
      <c r="JMB586" s="14"/>
      <c r="JMC586" s="14"/>
      <c r="JMD586" s="14"/>
      <c r="JME586" s="14"/>
      <c r="JMF586" s="14"/>
      <c r="JMG586" s="14"/>
      <c r="JMH586" s="14"/>
      <c r="JMI586" s="14"/>
      <c r="JMJ586" s="14"/>
      <c r="JMK586" s="14"/>
      <c r="JML586" s="14"/>
      <c r="JMM586" s="14"/>
      <c r="JMN586" s="14"/>
      <c r="JMO586" s="14"/>
      <c r="JMP586" s="14"/>
      <c r="JMQ586" s="14"/>
      <c r="JMR586" s="14"/>
      <c r="JMS586" s="14"/>
      <c r="JMT586" s="14"/>
      <c r="JMU586" s="14"/>
      <c r="JMV586" s="14"/>
      <c r="JMW586" s="14"/>
      <c r="JMX586" s="14"/>
      <c r="JMY586" s="14"/>
      <c r="JMZ586" s="14"/>
      <c r="JNA586" s="14"/>
      <c r="JNB586" s="14"/>
      <c r="JNC586" s="14"/>
      <c r="JND586" s="14"/>
      <c r="JNE586" s="14"/>
      <c r="JNF586" s="14"/>
      <c r="JNG586" s="14"/>
      <c r="JNH586" s="14"/>
      <c r="JNI586" s="14"/>
      <c r="JNJ586" s="14"/>
      <c r="JNK586" s="14"/>
      <c r="JNL586" s="14"/>
      <c r="JNM586" s="14"/>
      <c r="JNN586" s="14"/>
      <c r="JNO586" s="14"/>
      <c r="JNP586" s="14"/>
      <c r="JNQ586" s="14"/>
      <c r="JNR586" s="14"/>
      <c r="JNS586" s="14"/>
      <c r="JNT586" s="14"/>
      <c r="JNU586" s="14"/>
      <c r="JNV586" s="14"/>
      <c r="JNW586" s="14"/>
      <c r="JNX586" s="14"/>
      <c r="JNY586" s="14"/>
      <c r="JNZ586" s="14"/>
      <c r="JOA586" s="14"/>
      <c r="JOB586" s="14"/>
      <c r="JOC586" s="14"/>
      <c r="JOD586" s="14"/>
      <c r="JOE586" s="14"/>
      <c r="JOF586" s="14"/>
      <c r="JOG586" s="14"/>
      <c r="JOH586" s="14"/>
      <c r="JOI586" s="14"/>
      <c r="JOJ586" s="14"/>
      <c r="JOK586" s="14"/>
      <c r="JOL586" s="14"/>
      <c r="JOM586" s="14"/>
      <c r="JON586" s="14"/>
      <c r="JOO586" s="14"/>
      <c r="JOP586" s="14"/>
      <c r="JOQ586" s="14"/>
      <c r="JOR586" s="14"/>
      <c r="JOS586" s="14"/>
      <c r="JOT586" s="14"/>
      <c r="JOU586" s="14"/>
      <c r="JOV586" s="14"/>
      <c r="JOW586" s="14"/>
      <c r="JOX586" s="14"/>
      <c r="JOY586" s="14"/>
      <c r="JOZ586" s="14"/>
      <c r="JPA586" s="14"/>
      <c r="JPB586" s="14"/>
      <c r="JPC586" s="14"/>
      <c r="JPD586" s="14"/>
      <c r="JPE586" s="14"/>
      <c r="JPF586" s="14"/>
      <c r="JPG586" s="14"/>
      <c r="JPH586" s="14"/>
      <c r="JPI586" s="14"/>
      <c r="JPJ586" s="14"/>
      <c r="JPK586" s="14"/>
      <c r="JPL586" s="14"/>
      <c r="JPM586" s="14"/>
      <c r="JPN586" s="14"/>
      <c r="JPO586" s="14"/>
      <c r="JPP586" s="14"/>
      <c r="JPQ586" s="14"/>
      <c r="JPR586" s="14"/>
      <c r="JPS586" s="14"/>
      <c r="JPT586" s="14"/>
      <c r="JPU586" s="14"/>
      <c r="JPV586" s="14"/>
      <c r="JPW586" s="14"/>
      <c r="JPX586" s="14"/>
      <c r="JPY586" s="14"/>
      <c r="JPZ586" s="14"/>
      <c r="JQA586" s="14"/>
      <c r="JQB586" s="14"/>
      <c r="JQC586" s="14"/>
      <c r="JQD586" s="14"/>
      <c r="JQE586" s="14"/>
      <c r="JQF586" s="14"/>
      <c r="JQG586" s="14"/>
      <c r="JQH586" s="14"/>
      <c r="JQI586" s="14"/>
      <c r="JQJ586" s="14"/>
      <c r="JQK586" s="14"/>
      <c r="JQL586" s="14"/>
      <c r="JQM586" s="14"/>
      <c r="JQN586" s="14"/>
      <c r="JQO586" s="14"/>
      <c r="JQP586" s="14"/>
      <c r="JQQ586" s="14"/>
      <c r="JQR586" s="14"/>
      <c r="JQS586" s="14"/>
      <c r="JQT586" s="14"/>
      <c r="JQU586" s="14"/>
      <c r="JQV586" s="14"/>
      <c r="JQW586" s="14"/>
      <c r="JQX586" s="14"/>
      <c r="JQY586" s="14"/>
      <c r="JQZ586" s="14"/>
      <c r="JRA586" s="14"/>
      <c r="JRB586" s="14"/>
      <c r="JRC586" s="14"/>
      <c r="JRD586" s="14"/>
      <c r="JRE586" s="14"/>
      <c r="JRF586" s="14"/>
      <c r="JRG586" s="14"/>
      <c r="JRH586" s="14"/>
      <c r="JRI586" s="14"/>
      <c r="JRJ586" s="14"/>
      <c r="JRK586" s="14"/>
      <c r="JRL586" s="14"/>
      <c r="JRM586" s="14"/>
      <c r="JRN586" s="14"/>
      <c r="JRO586" s="14"/>
      <c r="JRP586" s="14"/>
      <c r="JRQ586" s="14"/>
      <c r="JRR586" s="14"/>
      <c r="JRS586" s="14"/>
      <c r="JRT586" s="14"/>
      <c r="JRU586" s="14"/>
      <c r="JRV586" s="14"/>
      <c r="JRW586" s="14"/>
      <c r="JRX586" s="14"/>
      <c r="JRY586" s="14"/>
      <c r="JRZ586" s="14"/>
      <c r="JSA586" s="14"/>
      <c r="JSB586" s="14"/>
      <c r="JSC586" s="14"/>
      <c r="JSD586" s="14"/>
      <c r="JSE586" s="14"/>
      <c r="JSF586" s="14"/>
      <c r="JSG586" s="14"/>
      <c r="JSH586" s="14"/>
      <c r="JSI586" s="14"/>
      <c r="JSJ586" s="14"/>
      <c r="JSK586" s="14"/>
      <c r="JSL586" s="14"/>
      <c r="JSM586" s="14"/>
      <c r="JSN586" s="14"/>
      <c r="JSO586" s="14"/>
      <c r="JSP586" s="14"/>
      <c r="JSQ586" s="14"/>
      <c r="JSR586" s="14"/>
      <c r="JSS586" s="14"/>
      <c r="JST586" s="14"/>
      <c r="JSU586" s="14"/>
      <c r="JSV586" s="14"/>
      <c r="JSW586" s="14"/>
      <c r="JSX586" s="14"/>
      <c r="JSY586" s="14"/>
      <c r="JSZ586" s="14"/>
      <c r="JTA586" s="14"/>
      <c r="JTB586" s="14"/>
      <c r="JTC586" s="14"/>
      <c r="JTD586" s="14"/>
      <c r="JTE586" s="14"/>
      <c r="JTF586" s="14"/>
      <c r="JTG586" s="14"/>
      <c r="JTH586" s="14"/>
      <c r="JTI586" s="14"/>
      <c r="JTJ586" s="14"/>
      <c r="JTK586" s="14"/>
      <c r="JTL586" s="14"/>
      <c r="JTM586" s="14"/>
      <c r="JTN586" s="14"/>
      <c r="JTO586" s="14"/>
      <c r="JTP586" s="14"/>
      <c r="JTQ586" s="14"/>
      <c r="JTR586" s="14"/>
      <c r="JTS586" s="14"/>
      <c r="JTT586" s="14"/>
      <c r="JTU586" s="14"/>
      <c r="JTV586" s="14"/>
      <c r="JTW586" s="14"/>
      <c r="JTX586" s="14"/>
      <c r="JTY586" s="14"/>
      <c r="JTZ586" s="14"/>
      <c r="JUA586" s="14"/>
      <c r="JUB586" s="14"/>
      <c r="JUC586" s="14"/>
      <c r="JUD586" s="14"/>
      <c r="JUE586" s="14"/>
      <c r="JUF586" s="14"/>
      <c r="JUG586" s="14"/>
      <c r="JUH586" s="14"/>
      <c r="JUI586" s="14"/>
      <c r="JUJ586" s="14"/>
      <c r="JUK586" s="14"/>
      <c r="JUL586" s="14"/>
      <c r="JUM586" s="14"/>
      <c r="JUN586" s="14"/>
      <c r="JUO586" s="14"/>
      <c r="JUP586" s="14"/>
      <c r="JUQ586" s="14"/>
      <c r="JUR586" s="14"/>
      <c r="JUS586" s="14"/>
      <c r="JUT586" s="14"/>
      <c r="JUU586" s="14"/>
      <c r="JUV586" s="14"/>
      <c r="JUW586" s="14"/>
      <c r="JUX586" s="14"/>
      <c r="JUY586" s="14"/>
      <c r="JUZ586" s="14"/>
      <c r="JVA586" s="14"/>
      <c r="JVB586" s="14"/>
      <c r="JVC586" s="14"/>
      <c r="JVD586" s="14"/>
      <c r="JVE586" s="14"/>
      <c r="JVF586" s="14"/>
      <c r="JVG586" s="14"/>
      <c r="JVH586" s="14"/>
      <c r="JVI586" s="14"/>
      <c r="JVJ586" s="14"/>
      <c r="JVK586" s="14"/>
      <c r="JVL586" s="14"/>
      <c r="JVM586" s="14"/>
      <c r="JVN586" s="14"/>
      <c r="JVO586" s="14"/>
      <c r="JVP586" s="14"/>
      <c r="JVQ586" s="14"/>
      <c r="JVR586" s="14"/>
      <c r="JVS586" s="14"/>
      <c r="JVT586" s="14"/>
      <c r="JVU586" s="14"/>
      <c r="JVV586" s="14"/>
      <c r="JVW586" s="14"/>
      <c r="JVX586" s="14"/>
      <c r="JVY586" s="14"/>
      <c r="JVZ586" s="14"/>
      <c r="JWA586" s="14"/>
      <c r="JWB586" s="14"/>
      <c r="JWC586" s="14"/>
      <c r="JWD586" s="14"/>
      <c r="JWE586" s="14"/>
      <c r="JWF586" s="14"/>
      <c r="JWG586" s="14"/>
      <c r="JWH586" s="14"/>
      <c r="JWI586" s="14"/>
      <c r="JWJ586" s="14"/>
      <c r="JWK586" s="14"/>
      <c r="JWL586" s="14"/>
      <c r="JWM586" s="14"/>
      <c r="JWN586" s="14"/>
      <c r="JWO586" s="14"/>
      <c r="JWP586" s="14"/>
      <c r="JWQ586" s="14"/>
      <c r="JWR586" s="14"/>
      <c r="JWS586" s="14"/>
      <c r="JWT586" s="14"/>
      <c r="JWU586" s="14"/>
      <c r="JWV586" s="14"/>
      <c r="JWW586" s="14"/>
      <c r="JWX586" s="14"/>
      <c r="JWY586" s="14"/>
      <c r="JWZ586" s="14"/>
      <c r="JXA586" s="14"/>
      <c r="JXB586" s="14"/>
      <c r="JXC586" s="14"/>
      <c r="JXD586" s="14"/>
      <c r="JXE586" s="14"/>
      <c r="JXF586" s="14"/>
      <c r="JXG586" s="14"/>
      <c r="JXH586" s="14"/>
      <c r="JXI586" s="14"/>
      <c r="JXJ586" s="14"/>
      <c r="JXK586" s="14"/>
      <c r="JXL586" s="14"/>
      <c r="JXM586" s="14"/>
      <c r="JXN586" s="14"/>
      <c r="JXO586" s="14"/>
      <c r="JXP586" s="14"/>
      <c r="JXQ586" s="14"/>
      <c r="JXR586" s="14"/>
      <c r="JXS586" s="14"/>
      <c r="JXT586" s="14"/>
      <c r="JXU586" s="14"/>
      <c r="JXV586" s="14"/>
      <c r="JXW586" s="14"/>
      <c r="JXX586" s="14"/>
      <c r="JXY586" s="14"/>
      <c r="JXZ586" s="14"/>
      <c r="JYA586" s="14"/>
      <c r="JYB586" s="14"/>
      <c r="JYC586" s="14"/>
      <c r="JYD586" s="14"/>
      <c r="JYE586" s="14"/>
      <c r="JYF586" s="14"/>
      <c r="JYG586" s="14"/>
      <c r="JYH586" s="14"/>
      <c r="JYI586" s="14"/>
      <c r="JYJ586" s="14"/>
      <c r="JYK586" s="14"/>
      <c r="JYL586" s="14"/>
      <c r="JYM586" s="14"/>
      <c r="JYN586" s="14"/>
      <c r="JYO586" s="14"/>
      <c r="JYP586" s="14"/>
      <c r="JYQ586" s="14"/>
      <c r="JYR586" s="14"/>
      <c r="JYS586" s="14"/>
      <c r="JYT586" s="14"/>
      <c r="JYU586" s="14"/>
      <c r="JYV586" s="14"/>
      <c r="JYW586" s="14"/>
      <c r="JYX586" s="14"/>
      <c r="JYY586" s="14"/>
      <c r="JYZ586" s="14"/>
      <c r="JZA586" s="14"/>
      <c r="JZB586" s="14"/>
      <c r="JZC586" s="14"/>
      <c r="JZD586" s="14"/>
      <c r="JZE586" s="14"/>
      <c r="JZF586" s="14"/>
      <c r="JZG586" s="14"/>
      <c r="JZH586" s="14"/>
      <c r="JZI586" s="14"/>
      <c r="JZJ586" s="14"/>
      <c r="JZK586" s="14"/>
      <c r="JZL586" s="14"/>
      <c r="JZM586" s="14"/>
      <c r="JZN586" s="14"/>
      <c r="JZO586" s="14"/>
      <c r="JZP586" s="14"/>
      <c r="JZQ586" s="14"/>
      <c r="JZR586" s="14"/>
      <c r="JZS586" s="14"/>
      <c r="JZT586" s="14"/>
      <c r="JZU586" s="14"/>
      <c r="JZV586" s="14"/>
      <c r="JZW586" s="14"/>
      <c r="JZX586" s="14"/>
      <c r="JZY586" s="14"/>
      <c r="JZZ586" s="14"/>
      <c r="KAA586" s="14"/>
      <c r="KAB586" s="14"/>
      <c r="KAC586" s="14"/>
      <c r="KAD586" s="14"/>
      <c r="KAE586" s="14"/>
      <c r="KAF586" s="14"/>
      <c r="KAG586" s="14"/>
      <c r="KAH586" s="14"/>
      <c r="KAI586" s="14"/>
      <c r="KAJ586" s="14"/>
      <c r="KAK586" s="14"/>
      <c r="KAL586" s="14"/>
      <c r="KAM586" s="14"/>
      <c r="KAN586" s="14"/>
      <c r="KAO586" s="14"/>
      <c r="KAP586" s="14"/>
      <c r="KAQ586" s="14"/>
      <c r="KAR586" s="14"/>
      <c r="KAS586" s="14"/>
      <c r="KAT586" s="14"/>
      <c r="KAU586" s="14"/>
      <c r="KAV586" s="14"/>
      <c r="KAW586" s="14"/>
      <c r="KAX586" s="14"/>
      <c r="KAY586" s="14"/>
      <c r="KAZ586" s="14"/>
      <c r="KBA586" s="14"/>
      <c r="KBB586" s="14"/>
      <c r="KBC586" s="14"/>
      <c r="KBD586" s="14"/>
      <c r="KBE586" s="14"/>
      <c r="KBF586" s="14"/>
      <c r="KBG586" s="14"/>
      <c r="KBH586" s="14"/>
      <c r="KBI586" s="14"/>
      <c r="KBJ586" s="14"/>
      <c r="KBK586" s="14"/>
      <c r="KBL586" s="14"/>
      <c r="KBM586" s="14"/>
      <c r="KBN586" s="14"/>
      <c r="KBO586" s="14"/>
      <c r="KBP586" s="14"/>
      <c r="KBQ586" s="14"/>
      <c r="KBR586" s="14"/>
      <c r="KBS586" s="14"/>
      <c r="KBT586" s="14"/>
      <c r="KBU586" s="14"/>
      <c r="KBV586" s="14"/>
      <c r="KBW586" s="14"/>
      <c r="KBX586" s="14"/>
      <c r="KBY586" s="14"/>
      <c r="KBZ586" s="14"/>
      <c r="KCA586" s="14"/>
      <c r="KCB586" s="14"/>
      <c r="KCC586" s="14"/>
      <c r="KCD586" s="14"/>
      <c r="KCE586" s="14"/>
      <c r="KCF586" s="14"/>
      <c r="KCG586" s="14"/>
      <c r="KCH586" s="14"/>
      <c r="KCI586" s="14"/>
      <c r="KCJ586" s="14"/>
      <c r="KCK586" s="14"/>
      <c r="KCL586" s="14"/>
      <c r="KCM586" s="14"/>
      <c r="KCN586" s="14"/>
      <c r="KCO586" s="14"/>
      <c r="KCP586" s="14"/>
      <c r="KCQ586" s="14"/>
      <c r="KCR586" s="14"/>
      <c r="KCS586" s="14"/>
      <c r="KCT586" s="14"/>
      <c r="KCU586" s="14"/>
      <c r="KCV586" s="14"/>
      <c r="KCW586" s="14"/>
      <c r="KCX586" s="14"/>
      <c r="KCY586" s="14"/>
      <c r="KCZ586" s="14"/>
      <c r="KDA586" s="14"/>
      <c r="KDB586" s="14"/>
      <c r="KDC586" s="14"/>
      <c r="KDD586" s="14"/>
      <c r="KDE586" s="14"/>
      <c r="KDF586" s="14"/>
      <c r="KDG586" s="14"/>
      <c r="KDH586" s="14"/>
      <c r="KDI586" s="14"/>
      <c r="KDJ586" s="14"/>
      <c r="KDK586" s="14"/>
      <c r="KDL586" s="14"/>
      <c r="KDM586" s="14"/>
      <c r="KDN586" s="14"/>
      <c r="KDO586" s="14"/>
      <c r="KDP586" s="14"/>
      <c r="KDQ586" s="14"/>
      <c r="KDR586" s="14"/>
      <c r="KDS586" s="14"/>
      <c r="KDT586" s="14"/>
      <c r="KDU586" s="14"/>
      <c r="KDV586" s="14"/>
      <c r="KDW586" s="14"/>
      <c r="KDX586" s="14"/>
      <c r="KDY586" s="14"/>
      <c r="KDZ586" s="14"/>
      <c r="KEA586" s="14"/>
      <c r="KEB586" s="14"/>
      <c r="KEC586" s="14"/>
      <c r="KED586" s="14"/>
      <c r="KEE586" s="14"/>
      <c r="KEF586" s="14"/>
      <c r="KEG586" s="14"/>
      <c r="KEH586" s="14"/>
      <c r="KEI586" s="14"/>
      <c r="KEJ586" s="14"/>
      <c r="KEK586" s="14"/>
      <c r="KEL586" s="14"/>
      <c r="KEM586" s="14"/>
      <c r="KEN586" s="14"/>
      <c r="KEO586" s="14"/>
      <c r="KEP586" s="14"/>
      <c r="KEQ586" s="14"/>
      <c r="KER586" s="14"/>
      <c r="KES586" s="14"/>
      <c r="KET586" s="14"/>
      <c r="KEU586" s="14"/>
      <c r="KEV586" s="14"/>
      <c r="KEW586" s="14"/>
      <c r="KEX586" s="14"/>
      <c r="KEY586" s="14"/>
      <c r="KEZ586" s="14"/>
      <c r="KFA586" s="14"/>
      <c r="KFB586" s="14"/>
      <c r="KFC586" s="14"/>
      <c r="KFD586" s="14"/>
      <c r="KFE586" s="14"/>
      <c r="KFF586" s="14"/>
      <c r="KFG586" s="14"/>
      <c r="KFH586" s="14"/>
      <c r="KFI586" s="14"/>
      <c r="KFJ586" s="14"/>
      <c r="KFK586" s="14"/>
      <c r="KFL586" s="14"/>
      <c r="KFM586" s="14"/>
      <c r="KFN586" s="14"/>
      <c r="KFO586" s="14"/>
      <c r="KFP586" s="14"/>
      <c r="KFQ586" s="14"/>
      <c r="KFR586" s="14"/>
      <c r="KFS586" s="14"/>
      <c r="KFT586" s="14"/>
      <c r="KFU586" s="14"/>
      <c r="KFV586" s="14"/>
      <c r="KFW586" s="14"/>
      <c r="KFX586" s="14"/>
      <c r="KFY586" s="14"/>
      <c r="KFZ586" s="14"/>
      <c r="KGA586" s="14"/>
      <c r="KGB586" s="14"/>
      <c r="KGC586" s="14"/>
      <c r="KGD586" s="14"/>
      <c r="KGE586" s="14"/>
      <c r="KGF586" s="14"/>
      <c r="KGG586" s="14"/>
      <c r="KGH586" s="14"/>
      <c r="KGI586" s="14"/>
      <c r="KGJ586" s="14"/>
      <c r="KGK586" s="14"/>
      <c r="KGL586" s="14"/>
      <c r="KGM586" s="14"/>
      <c r="KGN586" s="14"/>
      <c r="KGO586" s="14"/>
      <c r="KGP586" s="14"/>
      <c r="KGQ586" s="14"/>
      <c r="KGR586" s="14"/>
      <c r="KGS586" s="14"/>
      <c r="KGT586" s="14"/>
      <c r="KGU586" s="14"/>
      <c r="KGV586" s="14"/>
      <c r="KGW586" s="14"/>
      <c r="KGX586" s="14"/>
      <c r="KGY586" s="14"/>
      <c r="KGZ586" s="14"/>
      <c r="KHA586" s="14"/>
      <c r="KHB586" s="14"/>
      <c r="KHC586" s="14"/>
      <c r="KHD586" s="14"/>
      <c r="KHE586" s="14"/>
      <c r="KHF586" s="14"/>
      <c r="KHG586" s="14"/>
      <c r="KHH586" s="14"/>
      <c r="KHI586" s="14"/>
      <c r="KHJ586" s="14"/>
      <c r="KHK586" s="14"/>
      <c r="KHL586" s="14"/>
      <c r="KHM586" s="14"/>
      <c r="KHN586" s="14"/>
      <c r="KHO586" s="14"/>
      <c r="KHP586" s="14"/>
      <c r="KHQ586" s="14"/>
      <c r="KHR586" s="14"/>
      <c r="KHS586" s="14"/>
      <c r="KHT586" s="14"/>
      <c r="KHU586" s="14"/>
      <c r="KHV586" s="14"/>
      <c r="KHW586" s="14"/>
      <c r="KHX586" s="14"/>
      <c r="KHY586" s="14"/>
      <c r="KHZ586" s="14"/>
      <c r="KIA586" s="14"/>
      <c r="KIB586" s="14"/>
      <c r="KIC586" s="14"/>
      <c r="KID586" s="14"/>
      <c r="KIE586" s="14"/>
      <c r="KIF586" s="14"/>
      <c r="KIG586" s="14"/>
      <c r="KIH586" s="14"/>
      <c r="KII586" s="14"/>
      <c r="KIJ586" s="14"/>
      <c r="KIK586" s="14"/>
      <c r="KIL586" s="14"/>
      <c r="KIM586" s="14"/>
      <c r="KIN586" s="14"/>
      <c r="KIO586" s="14"/>
      <c r="KIP586" s="14"/>
      <c r="KIQ586" s="14"/>
      <c r="KIR586" s="14"/>
      <c r="KIS586" s="14"/>
      <c r="KIT586" s="14"/>
      <c r="KIU586" s="14"/>
      <c r="KIV586" s="14"/>
      <c r="KIW586" s="14"/>
      <c r="KIX586" s="14"/>
      <c r="KIY586" s="14"/>
      <c r="KIZ586" s="14"/>
      <c r="KJA586" s="14"/>
      <c r="KJB586" s="14"/>
      <c r="KJC586" s="14"/>
      <c r="KJD586" s="14"/>
      <c r="KJE586" s="14"/>
      <c r="KJF586" s="14"/>
      <c r="KJG586" s="14"/>
      <c r="KJH586" s="14"/>
      <c r="KJI586" s="14"/>
      <c r="KJJ586" s="14"/>
      <c r="KJK586" s="14"/>
      <c r="KJL586" s="14"/>
      <c r="KJM586" s="14"/>
      <c r="KJN586" s="14"/>
      <c r="KJO586" s="14"/>
      <c r="KJP586" s="14"/>
      <c r="KJQ586" s="14"/>
      <c r="KJR586" s="14"/>
      <c r="KJS586" s="14"/>
      <c r="KJT586" s="14"/>
      <c r="KJU586" s="14"/>
      <c r="KJV586" s="14"/>
      <c r="KJW586" s="14"/>
      <c r="KJX586" s="14"/>
      <c r="KJY586" s="14"/>
      <c r="KJZ586" s="14"/>
      <c r="KKA586" s="14"/>
      <c r="KKB586" s="14"/>
      <c r="KKC586" s="14"/>
      <c r="KKD586" s="14"/>
      <c r="KKE586" s="14"/>
      <c r="KKF586" s="14"/>
      <c r="KKG586" s="14"/>
      <c r="KKH586" s="14"/>
      <c r="KKI586" s="14"/>
      <c r="KKJ586" s="14"/>
      <c r="KKK586" s="14"/>
      <c r="KKL586" s="14"/>
      <c r="KKM586" s="14"/>
      <c r="KKN586" s="14"/>
      <c r="KKO586" s="14"/>
      <c r="KKP586" s="14"/>
      <c r="KKQ586" s="14"/>
      <c r="KKR586" s="14"/>
      <c r="KKS586" s="14"/>
      <c r="KKT586" s="14"/>
      <c r="KKU586" s="14"/>
      <c r="KKV586" s="14"/>
      <c r="KKW586" s="14"/>
      <c r="KKX586" s="14"/>
      <c r="KKY586" s="14"/>
      <c r="KKZ586" s="14"/>
      <c r="KLA586" s="14"/>
      <c r="KLB586" s="14"/>
      <c r="KLC586" s="14"/>
      <c r="KLD586" s="14"/>
      <c r="KLE586" s="14"/>
      <c r="KLF586" s="14"/>
      <c r="KLG586" s="14"/>
      <c r="KLH586" s="14"/>
      <c r="KLI586" s="14"/>
      <c r="KLJ586" s="14"/>
      <c r="KLK586" s="14"/>
      <c r="KLL586" s="14"/>
      <c r="KLM586" s="14"/>
      <c r="KLN586" s="14"/>
      <c r="KLO586" s="14"/>
      <c r="KLP586" s="14"/>
      <c r="KLQ586" s="14"/>
      <c r="KLR586" s="14"/>
      <c r="KLS586" s="14"/>
      <c r="KLT586" s="14"/>
      <c r="KLU586" s="14"/>
      <c r="KLV586" s="14"/>
      <c r="KLW586" s="14"/>
      <c r="KLX586" s="14"/>
      <c r="KLY586" s="14"/>
      <c r="KLZ586" s="14"/>
      <c r="KMA586" s="14"/>
      <c r="KMB586" s="14"/>
      <c r="KMC586" s="14"/>
      <c r="KMD586" s="14"/>
      <c r="KME586" s="14"/>
      <c r="KMF586" s="14"/>
      <c r="KMG586" s="14"/>
      <c r="KMH586" s="14"/>
      <c r="KMI586" s="14"/>
      <c r="KMJ586" s="14"/>
      <c r="KMK586" s="14"/>
      <c r="KML586" s="14"/>
      <c r="KMM586" s="14"/>
      <c r="KMN586" s="14"/>
      <c r="KMO586" s="14"/>
      <c r="KMP586" s="14"/>
      <c r="KMQ586" s="14"/>
      <c r="KMR586" s="14"/>
      <c r="KMS586" s="14"/>
      <c r="KMT586" s="14"/>
      <c r="KMU586" s="14"/>
      <c r="KMV586" s="14"/>
      <c r="KMW586" s="14"/>
      <c r="KMX586" s="14"/>
      <c r="KMY586" s="14"/>
      <c r="KMZ586" s="14"/>
      <c r="KNA586" s="14"/>
      <c r="KNB586" s="14"/>
      <c r="KNC586" s="14"/>
      <c r="KND586" s="14"/>
      <c r="KNE586" s="14"/>
      <c r="KNF586" s="14"/>
      <c r="KNG586" s="14"/>
      <c r="KNH586" s="14"/>
      <c r="KNI586" s="14"/>
      <c r="KNJ586" s="14"/>
      <c r="KNK586" s="14"/>
      <c r="KNL586" s="14"/>
      <c r="KNM586" s="14"/>
      <c r="KNN586" s="14"/>
      <c r="KNO586" s="14"/>
      <c r="KNP586" s="14"/>
      <c r="KNQ586" s="14"/>
      <c r="KNR586" s="14"/>
      <c r="KNS586" s="14"/>
      <c r="KNT586" s="14"/>
      <c r="KNU586" s="14"/>
      <c r="KNV586" s="14"/>
      <c r="KNW586" s="14"/>
      <c r="KNX586" s="14"/>
      <c r="KNY586" s="14"/>
      <c r="KNZ586" s="14"/>
      <c r="KOA586" s="14"/>
      <c r="KOB586" s="14"/>
      <c r="KOC586" s="14"/>
      <c r="KOD586" s="14"/>
      <c r="KOE586" s="14"/>
      <c r="KOF586" s="14"/>
      <c r="KOG586" s="14"/>
      <c r="KOH586" s="14"/>
      <c r="KOI586" s="14"/>
      <c r="KOJ586" s="14"/>
      <c r="KOK586" s="14"/>
      <c r="KOL586" s="14"/>
      <c r="KOM586" s="14"/>
      <c r="KON586" s="14"/>
      <c r="KOO586" s="14"/>
      <c r="KOP586" s="14"/>
      <c r="KOQ586" s="14"/>
      <c r="KOR586" s="14"/>
      <c r="KOS586" s="14"/>
      <c r="KOT586" s="14"/>
      <c r="KOU586" s="14"/>
      <c r="KOV586" s="14"/>
      <c r="KOW586" s="14"/>
      <c r="KOX586" s="14"/>
      <c r="KOY586" s="14"/>
      <c r="KOZ586" s="14"/>
      <c r="KPA586" s="14"/>
      <c r="KPB586" s="14"/>
      <c r="KPC586" s="14"/>
      <c r="KPD586" s="14"/>
      <c r="KPE586" s="14"/>
      <c r="KPF586" s="14"/>
      <c r="KPG586" s="14"/>
      <c r="KPH586" s="14"/>
      <c r="KPI586" s="14"/>
      <c r="KPJ586" s="14"/>
      <c r="KPK586" s="14"/>
      <c r="KPL586" s="14"/>
      <c r="KPM586" s="14"/>
      <c r="KPN586" s="14"/>
      <c r="KPO586" s="14"/>
      <c r="KPP586" s="14"/>
      <c r="KPQ586" s="14"/>
      <c r="KPR586" s="14"/>
      <c r="KPS586" s="14"/>
      <c r="KPT586" s="14"/>
      <c r="KPU586" s="14"/>
      <c r="KPV586" s="14"/>
      <c r="KPW586" s="14"/>
      <c r="KPX586" s="14"/>
      <c r="KPY586" s="14"/>
      <c r="KPZ586" s="14"/>
      <c r="KQA586" s="14"/>
      <c r="KQB586" s="14"/>
      <c r="KQC586" s="14"/>
      <c r="KQD586" s="14"/>
      <c r="KQE586" s="14"/>
      <c r="KQF586" s="14"/>
      <c r="KQG586" s="14"/>
      <c r="KQH586" s="14"/>
      <c r="KQI586" s="14"/>
      <c r="KQJ586" s="14"/>
      <c r="KQK586" s="14"/>
      <c r="KQL586" s="14"/>
      <c r="KQM586" s="14"/>
      <c r="KQN586" s="14"/>
      <c r="KQO586" s="14"/>
      <c r="KQP586" s="14"/>
      <c r="KQQ586" s="14"/>
      <c r="KQR586" s="14"/>
      <c r="KQS586" s="14"/>
      <c r="KQT586" s="14"/>
      <c r="KQU586" s="14"/>
      <c r="KQV586" s="14"/>
      <c r="KQW586" s="14"/>
      <c r="KQX586" s="14"/>
      <c r="KQY586" s="14"/>
      <c r="KQZ586" s="14"/>
      <c r="KRA586" s="14"/>
      <c r="KRB586" s="14"/>
      <c r="KRC586" s="14"/>
      <c r="KRD586" s="14"/>
      <c r="KRE586" s="14"/>
      <c r="KRF586" s="14"/>
      <c r="KRG586" s="14"/>
      <c r="KRH586" s="14"/>
      <c r="KRI586" s="14"/>
      <c r="KRJ586" s="14"/>
      <c r="KRK586" s="14"/>
      <c r="KRL586" s="14"/>
      <c r="KRM586" s="14"/>
      <c r="KRN586" s="14"/>
      <c r="KRO586" s="14"/>
      <c r="KRP586" s="14"/>
      <c r="KRQ586" s="14"/>
      <c r="KRR586" s="14"/>
      <c r="KRS586" s="14"/>
      <c r="KRT586" s="14"/>
      <c r="KRU586" s="14"/>
      <c r="KRV586" s="14"/>
      <c r="KRW586" s="14"/>
      <c r="KRX586" s="14"/>
      <c r="KRY586" s="14"/>
      <c r="KRZ586" s="14"/>
      <c r="KSA586" s="14"/>
      <c r="KSB586" s="14"/>
      <c r="KSC586" s="14"/>
      <c r="KSD586" s="14"/>
      <c r="KSE586" s="14"/>
      <c r="KSF586" s="14"/>
      <c r="KSG586" s="14"/>
      <c r="KSH586" s="14"/>
      <c r="KSI586" s="14"/>
      <c r="KSJ586" s="14"/>
      <c r="KSK586" s="14"/>
      <c r="KSL586" s="14"/>
      <c r="KSM586" s="14"/>
      <c r="KSN586" s="14"/>
      <c r="KSO586" s="14"/>
      <c r="KSP586" s="14"/>
      <c r="KSQ586" s="14"/>
      <c r="KSR586" s="14"/>
      <c r="KSS586" s="14"/>
      <c r="KST586" s="14"/>
      <c r="KSU586" s="14"/>
      <c r="KSV586" s="14"/>
      <c r="KSW586" s="14"/>
      <c r="KSX586" s="14"/>
      <c r="KSY586" s="14"/>
      <c r="KSZ586" s="14"/>
      <c r="KTA586" s="14"/>
      <c r="KTB586" s="14"/>
      <c r="KTC586" s="14"/>
      <c r="KTD586" s="14"/>
      <c r="KTE586" s="14"/>
      <c r="KTF586" s="14"/>
      <c r="KTG586" s="14"/>
      <c r="KTH586" s="14"/>
      <c r="KTI586" s="14"/>
      <c r="KTJ586" s="14"/>
      <c r="KTK586" s="14"/>
      <c r="KTL586" s="14"/>
      <c r="KTM586" s="14"/>
      <c r="KTN586" s="14"/>
      <c r="KTO586" s="14"/>
      <c r="KTP586" s="14"/>
      <c r="KTQ586" s="14"/>
      <c r="KTR586" s="14"/>
      <c r="KTS586" s="14"/>
      <c r="KTT586" s="14"/>
      <c r="KTU586" s="14"/>
      <c r="KTV586" s="14"/>
      <c r="KTW586" s="14"/>
      <c r="KTX586" s="14"/>
      <c r="KTY586" s="14"/>
      <c r="KTZ586" s="14"/>
      <c r="KUA586" s="14"/>
      <c r="KUB586" s="14"/>
      <c r="KUC586" s="14"/>
      <c r="KUD586" s="14"/>
      <c r="KUE586" s="14"/>
      <c r="KUF586" s="14"/>
      <c r="KUG586" s="14"/>
      <c r="KUH586" s="14"/>
      <c r="KUI586" s="14"/>
      <c r="KUJ586" s="14"/>
      <c r="KUK586" s="14"/>
      <c r="KUL586" s="14"/>
      <c r="KUM586" s="14"/>
      <c r="KUN586" s="14"/>
      <c r="KUO586" s="14"/>
      <c r="KUP586" s="14"/>
      <c r="KUQ586" s="14"/>
      <c r="KUR586" s="14"/>
      <c r="KUS586" s="14"/>
      <c r="KUT586" s="14"/>
      <c r="KUU586" s="14"/>
      <c r="KUV586" s="14"/>
      <c r="KUW586" s="14"/>
      <c r="KUX586" s="14"/>
      <c r="KUY586" s="14"/>
      <c r="KUZ586" s="14"/>
      <c r="KVA586" s="14"/>
      <c r="KVB586" s="14"/>
      <c r="KVC586" s="14"/>
      <c r="KVD586" s="14"/>
      <c r="KVE586" s="14"/>
      <c r="KVF586" s="14"/>
      <c r="KVG586" s="14"/>
      <c r="KVH586" s="14"/>
      <c r="KVI586" s="14"/>
      <c r="KVJ586" s="14"/>
      <c r="KVK586" s="14"/>
      <c r="KVL586" s="14"/>
      <c r="KVM586" s="14"/>
      <c r="KVN586" s="14"/>
      <c r="KVO586" s="14"/>
      <c r="KVP586" s="14"/>
      <c r="KVQ586" s="14"/>
      <c r="KVR586" s="14"/>
      <c r="KVS586" s="14"/>
      <c r="KVT586" s="14"/>
      <c r="KVU586" s="14"/>
      <c r="KVV586" s="14"/>
      <c r="KVW586" s="14"/>
      <c r="KVX586" s="14"/>
      <c r="KVY586" s="14"/>
      <c r="KVZ586" s="14"/>
      <c r="KWA586" s="14"/>
      <c r="KWB586" s="14"/>
      <c r="KWC586" s="14"/>
      <c r="KWD586" s="14"/>
      <c r="KWE586" s="14"/>
      <c r="KWF586" s="14"/>
      <c r="KWG586" s="14"/>
      <c r="KWH586" s="14"/>
      <c r="KWI586" s="14"/>
      <c r="KWJ586" s="14"/>
      <c r="KWK586" s="14"/>
      <c r="KWL586" s="14"/>
      <c r="KWM586" s="14"/>
      <c r="KWN586" s="14"/>
      <c r="KWO586" s="14"/>
      <c r="KWP586" s="14"/>
      <c r="KWQ586" s="14"/>
      <c r="KWR586" s="14"/>
      <c r="KWS586" s="14"/>
      <c r="KWT586" s="14"/>
      <c r="KWU586" s="14"/>
      <c r="KWV586" s="14"/>
      <c r="KWW586" s="14"/>
      <c r="KWX586" s="14"/>
      <c r="KWY586" s="14"/>
      <c r="KWZ586" s="14"/>
      <c r="KXA586" s="14"/>
      <c r="KXB586" s="14"/>
      <c r="KXC586" s="14"/>
      <c r="KXD586" s="14"/>
      <c r="KXE586" s="14"/>
      <c r="KXF586" s="14"/>
      <c r="KXG586" s="14"/>
      <c r="KXH586" s="14"/>
      <c r="KXI586" s="14"/>
      <c r="KXJ586" s="14"/>
      <c r="KXK586" s="14"/>
      <c r="KXL586" s="14"/>
      <c r="KXM586" s="14"/>
      <c r="KXN586" s="14"/>
      <c r="KXO586" s="14"/>
      <c r="KXP586" s="14"/>
      <c r="KXQ586" s="14"/>
      <c r="KXR586" s="14"/>
      <c r="KXS586" s="14"/>
      <c r="KXT586" s="14"/>
      <c r="KXU586" s="14"/>
      <c r="KXV586" s="14"/>
      <c r="KXW586" s="14"/>
      <c r="KXX586" s="14"/>
      <c r="KXY586" s="14"/>
      <c r="KXZ586" s="14"/>
      <c r="KYA586" s="14"/>
      <c r="KYB586" s="14"/>
      <c r="KYC586" s="14"/>
      <c r="KYD586" s="14"/>
      <c r="KYE586" s="14"/>
      <c r="KYF586" s="14"/>
      <c r="KYG586" s="14"/>
      <c r="KYH586" s="14"/>
      <c r="KYI586" s="14"/>
      <c r="KYJ586" s="14"/>
      <c r="KYK586" s="14"/>
      <c r="KYL586" s="14"/>
      <c r="KYM586" s="14"/>
      <c r="KYN586" s="14"/>
      <c r="KYO586" s="14"/>
      <c r="KYP586" s="14"/>
      <c r="KYQ586" s="14"/>
      <c r="KYR586" s="14"/>
      <c r="KYS586" s="14"/>
      <c r="KYT586" s="14"/>
      <c r="KYU586" s="14"/>
      <c r="KYV586" s="14"/>
      <c r="KYW586" s="14"/>
      <c r="KYX586" s="14"/>
      <c r="KYY586" s="14"/>
      <c r="KYZ586" s="14"/>
      <c r="KZA586" s="14"/>
      <c r="KZB586" s="14"/>
      <c r="KZC586" s="14"/>
      <c r="KZD586" s="14"/>
      <c r="KZE586" s="14"/>
      <c r="KZF586" s="14"/>
      <c r="KZG586" s="14"/>
      <c r="KZH586" s="14"/>
      <c r="KZI586" s="14"/>
      <c r="KZJ586" s="14"/>
      <c r="KZK586" s="14"/>
      <c r="KZL586" s="14"/>
      <c r="KZM586" s="14"/>
      <c r="KZN586" s="14"/>
      <c r="KZO586" s="14"/>
      <c r="KZP586" s="14"/>
      <c r="KZQ586" s="14"/>
      <c r="KZR586" s="14"/>
      <c r="KZS586" s="14"/>
      <c r="KZT586" s="14"/>
      <c r="KZU586" s="14"/>
      <c r="KZV586" s="14"/>
      <c r="KZW586" s="14"/>
      <c r="KZX586" s="14"/>
      <c r="KZY586" s="14"/>
      <c r="KZZ586" s="14"/>
      <c r="LAA586" s="14"/>
      <c r="LAB586" s="14"/>
      <c r="LAC586" s="14"/>
      <c r="LAD586" s="14"/>
      <c r="LAE586" s="14"/>
      <c r="LAF586" s="14"/>
      <c r="LAG586" s="14"/>
      <c r="LAH586" s="14"/>
      <c r="LAI586" s="14"/>
      <c r="LAJ586" s="14"/>
      <c r="LAK586" s="14"/>
      <c r="LAL586" s="14"/>
      <c r="LAM586" s="14"/>
      <c r="LAN586" s="14"/>
      <c r="LAO586" s="14"/>
      <c r="LAP586" s="14"/>
      <c r="LAQ586" s="14"/>
      <c r="LAR586" s="14"/>
      <c r="LAS586" s="14"/>
      <c r="LAT586" s="14"/>
      <c r="LAU586" s="14"/>
      <c r="LAV586" s="14"/>
      <c r="LAW586" s="14"/>
      <c r="LAX586" s="14"/>
      <c r="LAY586" s="14"/>
      <c r="LAZ586" s="14"/>
      <c r="LBA586" s="14"/>
      <c r="LBB586" s="14"/>
      <c r="LBC586" s="14"/>
      <c r="LBD586" s="14"/>
      <c r="LBE586" s="14"/>
      <c r="LBF586" s="14"/>
      <c r="LBG586" s="14"/>
      <c r="LBH586" s="14"/>
      <c r="LBI586" s="14"/>
      <c r="LBJ586" s="14"/>
      <c r="LBK586" s="14"/>
      <c r="LBL586" s="14"/>
      <c r="LBM586" s="14"/>
      <c r="LBN586" s="14"/>
      <c r="LBO586" s="14"/>
      <c r="LBP586" s="14"/>
      <c r="LBQ586" s="14"/>
      <c r="LBR586" s="14"/>
      <c r="LBS586" s="14"/>
      <c r="LBT586" s="14"/>
      <c r="LBU586" s="14"/>
      <c r="LBV586" s="14"/>
      <c r="LBW586" s="14"/>
      <c r="LBX586" s="14"/>
      <c r="LBY586" s="14"/>
      <c r="LBZ586" s="14"/>
      <c r="LCA586" s="14"/>
      <c r="LCB586" s="14"/>
      <c r="LCC586" s="14"/>
      <c r="LCD586" s="14"/>
      <c r="LCE586" s="14"/>
      <c r="LCF586" s="14"/>
      <c r="LCG586" s="14"/>
      <c r="LCH586" s="14"/>
      <c r="LCI586" s="14"/>
      <c r="LCJ586" s="14"/>
      <c r="LCK586" s="14"/>
      <c r="LCL586" s="14"/>
      <c r="LCM586" s="14"/>
      <c r="LCN586" s="14"/>
      <c r="LCO586" s="14"/>
      <c r="LCP586" s="14"/>
      <c r="LCQ586" s="14"/>
      <c r="LCR586" s="14"/>
      <c r="LCS586" s="14"/>
      <c r="LCT586" s="14"/>
      <c r="LCU586" s="14"/>
      <c r="LCV586" s="14"/>
      <c r="LCW586" s="14"/>
      <c r="LCX586" s="14"/>
      <c r="LCY586" s="14"/>
      <c r="LCZ586" s="14"/>
      <c r="LDA586" s="14"/>
      <c r="LDB586" s="14"/>
      <c r="LDC586" s="14"/>
      <c r="LDD586" s="14"/>
      <c r="LDE586" s="14"/>
      <c r="LDF586" s="14"/>
      <c r="LDG586" s="14"/>
      <c r="LDH586" s="14"/>
      <c r="LDI586" s="14"/>
      <c r="LDJ586" s="14"/>
      <c r="LDK586" s="14"/>
      <c r="LDL586" s="14"/>
      <c r="LDM586" s="14"/>
      <c r="LDN586" s="14"/>
      <c r="LDO586" s="14"/>
      <c r="LDP586" s="14"/>
      <c r="LDQ586" s="14"/>
      <c r="LDR586" s="14"/>
      <c r="LDS586" s="14"/>
      <c r="LDT586" s="14"/>
      <c r="LDU586" s="14"/>
      <c r="LDV586" s="14"/>
      <c r="LDW586" s="14"/>
      <c r="LDX586" s="14"/>
      <c r="LDY586" s="14"/>
      <c r="LDZ586" s="14"/>
      <c r="LEA586" s="14"/>
      <c r="LEB586" s="14"/>
      <c r="LEC586" s="14"/>
      <c r="LED586" s="14"/>
      <c r="LEE586" s="14"/>
      <c r="LEF586" s="14"/>
      <c r="LEG586" s="14"/>
      <c r="LEH586" s="14"/>
      <c r="LEI586" s="14"/>
      <c r="LEJ586" s="14"/>
      <c r="LEK586" s="14"/>
      <c r="LEL586" s="14"/>
      <c r="LEM586" s="14"/>
      <c r="LEN586" s="14"/>
      <c r="LEO586" s="14"/>
      <c r="LEP586" s="14"/>
      <c r="LEQ586" s="14"/>
      <c r="LER586" s="14"/>
      <c r="LES586" s="14"/>
      <c r="LET586" s="14"/>
      <c r="LEU586" s="14"/>
      <c r="LEV586" s="14"/>
      <c r="LEW586" s="14"/>
      <c r="LEX586" s="14"/>
      <c r="LEY586" s="14"/>
      <c r="LEZ586" s="14"/>
      <c r="LFA586" s="14"/>
      <c r="LFB586" s="14"/>
      <c r="LFC586" s="14"/>
      <c r="LFD586" s="14"/>
      <c r="LFE586" s="14"/>
      <c r="LFF586" s="14"/>
      <c r="LFG586" s="14"/>
      <c r="LFH586" s="14"/>
      <c r="LFI586" s="14"/>
      <c r="LFJ586" s="14"/>
      <c r="LFK586" s="14"/>
      <c r="LFL586" s="14"/>
      <c r="LFM586" s="14"/>
      <c r="LFN586" s="14"/>
      <c r="LFO586" s="14"/>
      <c r="LFP586" s="14"/>
      <c r="LFQ586" s="14"/>
      <c r="LFR586" s="14"/>
      <c r="LFS586" s="14"/>
      <c r="LFT586" s="14"/>
      <c r="LFU586" s="14"/>
      <c r="LFV586" s="14"/>
      <c r="LFW586" s="14"/>
      <c r="LFX586" s="14"/>
      <c r="LFY586" s="14"/>
      <c r="LFZ586" s="14"/>
      <c r="LGA586" s="14"/>
      <c r="LGB586" s="14"/>
      <c r="LGC586" s="14"/>
      <c r="LGD586" s="14"/>
      <c r="LGE586" s="14"/>
      <c r="LGF586" s="14"/>
      <c r="LGG586" s="14"/>
      <c r="LGH586" s="14"/>
      <c r="LGI586" s="14"/>
      <c r="LGJ586" s="14"/>
      <c r="LGK586" s="14"/>
      <c r="LGL586" s="14"/>
      <c r="LGM586" s="14"/>
      <c r="LGN586" s="14"/>
      <c r="LGO586" s="14"/>
      <c r="LGP586" s="14"/>
      <c r="LGQ586" s="14"/>
      <c r="LGR586" s="14"/>
      <c r="LGS586" s="14"/>
      <c r="LGT586" s="14"/>
      <c r="LGU586" s="14"/>
      <c r="LGV586" s="14"/>
      <c r="LGW586" s="14"/>
      <c r="LGX586" s="14"/>
      <c r="LGY586" s="14"/>
      <c r="LGZ586" s="14"/>
      <c r="LHA586" s="14"/>
      <c r="LHB586" s="14"/>
      <c r="LHC586" s="14"/>
      <c r="LHD586" s="14"/>
      <c r="LHE586" s="14"/>
      <c r="LHF586" s="14"/>
      <c r="LHG586" s="14"/>
      <c r="LHH586" s="14"/>
      <c r="LHI586" s="14"/>
      <c r="LHJ586" s="14"/>
      <c r="LHK586" s="14"/>
      <c r="LHL586" s="14"/>
      <c r="LHM586" s="14"/>
      <c r="LHN586" s="14"/>
      <c r="LHO586" s="14"/>
      <c r="LHP586" s="14"/>
      <c r="LHQ586" s="14"/>
      <c r="LHR586" s="14"/>
      <c r="LHS586" s="14"/>
      <c r="LHT586" s="14"/>
      <c r="LHU586" s="14"/>
      <c r="LHV586" s="14"/>
      <c r="LHW586" s="14"/>
      <c r="LHX586" s="14"/>
      <c r="LHY586" s="14"/>
      <c r="LHZ586" s="14"/>
      <c r="LIA586" s="14"/>
      <c r="LIB586" s="14"/>
      <c r="LIC586" s="14"/>
      <c r="LID586" s="14"/>
      <c r="LIE586" s="14"/>
      <c r="LIF586" s="14"/>
      <c r="LIG586" s="14"/>
      <c r="LIH586" s="14"/>
      <c r="LII586" s="14"/>
      <c r="LIJ586" s="14"/>
      <c r="LIK586" s="14"/>
      <c r="LIL586" s="14"/>
      <c r="LIM586" s="14"/>
      <c r="LIN586" s="14"/>
      <c r="LIO586" s="14"/>
      <c r="LIP586" s="14"/>
      <c r="LIQ586" s="14"/>
      <c r="LIR586" s="14"/>
      <c r="LIS586" s="14"/>
      <c r="LIT586" s="14"/>
      <c r="LIU586" s="14"/>
      <c r="LIV586" s="14"/>
      <c r="LIW586" s="14"/>
      <c r="LIX586" s="14"/>
      <c r="LIY586" s="14"/>
      <c r="LIZ586" s="14"/>
      <c r="LJA586" s="14"/>
      <c r="LJB586" s="14"/>
      <c r="LJC586" s="14"/>
      <c r="LJD586" s="14"/>
      <c r="LJE586" s="14"/>
      <c r="LJF586" s="14"/>
      <c r="LJG586" s="14"/>
      <c r="LJH586" s="14"/>
      <c r="LJI586" s="14"/>
      <c r="LJJ586" s="14"/>
      <c r="LJK586" s="14"/>
      <c r="LJL586" s="14"/>
      <c r="LJM586" s="14"/>
      <c r="LJN586" s="14"/>
      <c r="LJO586" s="14"/>
      <c r="LJP586" s="14"/>
      <c r="LJQ586" s="14"/>
      <c r="LJR586" s="14"/>
      <c r="LJS586" s="14"/>
      <c r="LJT586" s="14"/>
      <c r="LJU586" s="14"/>
      <c r="LJV586" s="14"/>
      <c r="LJW586" s="14"/>
      <c r="LJX586" s="14"/>
      <c r="LJY586" s="14"/>
      <c r="LJZ586" s="14"/>
      <c r="LKA586" s="14"/>
      <c r="LKB586" s="14"/>
      <c r="LKC586" s="14"/>
      <c r="LKD586" s="14"/>
      <c r="LKE586" s="14"/>
      <c r="LKF586" s="14"/>
      <c r="LKG586" s="14"/>
      <c r="LKH586" s="14"/>
      <c r="LKI586" s="14"/>
      <c r="LKJ586" s="14"/>
      <c r="LKK586" s="14"/>
      <c r="LKL586" s="14"/>
      <c r="LKM586" s="14"/>
      <c r="LKN586" s="14"/>
      <c r="LKO586" s="14"/>
      <c r="LKP586" s="14"/>
      <c r="LKQ586" s="14"/>
      <c r="LKR586" s="14"/>
      <c r="LKS586" s="14"/>
      <c r="LKT586" s="14"/>
      <c r="LKU586" s="14"/>
      <c r="LKV586" s="14"/>
      <c r="LKW586" s="14"/>
      <c r="LKX586" s="14"/>
      <c r="LKY586" s="14"/>
      <c r="LKZ586" s="14"/>
      <c r="LLA586" s="14"/>
      <c r="LLB586" s="14"/>
      <c r="LLC586" s="14"/>
      <c r="LLD586" s="14"/>
      <c r="LLE586" s="14"/>
      <c r="LLF586" s="14"/>
      <c r="LLG586" s="14"/>
      <c r="LLH586" s="14"/>
      <c r="LLI586" s="14"/>
      <c r="LLJ586" s="14"/>
      <c r="LLK586" s="14"/>
      <c r="LLL586" s="14"/>
      <c r="LLM586" s="14"/>
      <c r="LLN586" s="14"/>
      <c r="LLO586" s="14"/>
      <c r="LLP586" s="14"/>
      <c r="LLQ586" s="14"/>
      <c r="LLR586" s="14"/>
      <c r="LLS586" s="14"/>
      <c r="LLT586" s="14"/>
      <c r="LLU586" s="14"/>
      <c r="LLV586" s="14"/>
      <c r="LLW586" s="14"/>
      <c r="LLX586" s="14"/>
      <c r="LLY586" s="14"/>
      <c r="LLZ586" s="14"/>
      <c r="LMA586" s="14"/>
      <c r="LMB586" s="14"/>
      <c r="LMC586" s="14"/>
      <c r="LMD586" s="14"/>
      <c r="LME586" s="14"/>
      <c r="LMF586" s="14"/>
      <c r="LMG586" s="14"/>
      <c r="LMH586" s="14"/>
      <c r="LMI586" s="14"/>
      <c r="LMJ586" s="14"/>
      <c r="LMK586" s="14"/>
      <c r="LML586" s="14"/>
      <c r="LMM586" s="14"/>
      <c r="LMN586" s="14"/>
      <c r="LMO586" s="14"/>
      <c r="LMP586" s="14"/>
      <c r="LMQ586" s="14"/>
      <c r="LMR586" s="14"/>
      <c r="LMS586" s="14"/>
      <c r="LMT586" s="14"/>
      <c r="LMU586" s="14"/>
      <c r="LMV586" s="14"/>
      <c r="LMW586" s="14"/>
      <c r="LMX586" s="14"/>
      <c r="LMY586" s="14"/>
      <c r="LMZ586" s="14"/>
      <c r="LNA586" s="14"/>
      <c r="LNB586" s="14"/>
      <c r="LNC586" s="14"/>
      <c r="LND586" s="14"/>
      <c r="LNE586" s="14"/>
      <c r="LNF586" s="14"/>
      <c r="LNG586" s="14"/>
      <c r="LNH586" s="14"/>
      <c r="LNI586" s="14"/>
      <c r="LNJ586" s="14"/>
      <c r="LNK586" s="14"/>
      <c r="LNL586" s="14"/>
      <c r="LNM586" s="14"/>
      <c r="LNN586" s="14"/>
      <c r="LNO586" s="14"/>
      <c r="LNP586" s="14"/>
      <c r="LNQ586" s="14"/>
      <c r="LNR586" s="14"/>
      <c r="LNS586" s="14"/>
      <c r="LNT586" s="14"/>
      <c r="LNU586" s="14"/>
      <c r="LNV586" s="14"/>
      <c r="LNW586" s="14"/>
      <c r="LNX586" s="14"/>
      <c r="LNY586" s="14"/>
      <c r="LNZ586" s="14"/>
      <c r="LOA586" s="14"/>
      <c r="LOB586" s="14"/>
      <c r="LOC586" s="14"/>
      <c r="LOD586" s="14"/>
      <c r="LOE586" s="14"/>
      <c r="LOF586" s="14"/>
      <c r="LOG586" s="14"/>
      <c r="LOH586" s="14"/>
      <c r="LOI586" s="14"/>
      <c r="LOJ586" s="14"/>
      <c r="LOK586" s="14"/>
      <c r="LOL586" s="14"/>
      <c r="LOM586" s="14"/>
      <c r="LON586" s="14"/>
      <c r="LOO586" s="14"/>
      <c r="LOP586" s="14"/>
      <c r="LOQ586" s="14"/>
      <c r="LOR586" s="14"/>
      <c r="LOS586" s="14"/>
      <c r="LOT586" s="14"/>
      <c r="LOU586" s="14"/>
      <c r="LOV586" s="14"/>
      <c r="LOW586" s="14"/>
      <c r="LOX586" s="14"/>
      <c r="LOY586" s="14"/>
      <c r="LOZ586" s="14"/>
      <c r="LPA586" s="14"/>
      <c r="LPB586" s="14"/>
      <c r="LPC586" s="14"/>
      <c r="LPD586" s="14"/>
      <c r="LPE586" s="14"/>
      <c r="LPF586" s="14"/>
      <c r="LPG586" s="14"/>
      <c r="LPH586" s="14"/>
      <c r="LPI586" s="14"/>
      <c r="LPJ586" s="14"/>
      <c r="LPK586" s="14"/>
      <c r="LPL586" s="14"/>
      <c r="LPM586" s="14"/>
      <c r="LPN586" s="14"/>
      <c r="LPO586" s="14"/>
      <c r="LPP586" s="14"/>
      <c r="LPQ586" s="14"/>
      <c r="LPR586" s="14"/>
      <c r="LPS586" s="14"/>
      <c r="LPT586" s="14"/>
      <c r="LPU586" s="14"/>
      <c r="LPV586" s="14"/>
      <c r="LPW586" s="14"/>
      <c r="LPX586" s="14"/>
      <c r="LPY586" s="14"/>
      <c r="LPZ586" s="14"/>
      <c r="LQA586" s="14"/>
      <c r="LQB586" s="14"/>
      <c r="LQC586" s="14"/>
      <c r="LQD586" s="14"/>
      <c r="LQE586" s="14"/>
      <c r="LQF586" s="14"/>
      <c r="LQG586" s="14"/>
      <c r="LQH586" s="14"/>
      <c r="LQI586" s="14"/>
      <c r="LQJ586" s="14"/>
      <c r="LQK586" s="14"/>
      <c r="LQL586" s="14"/>
      <c r="LQM586" s="14"/>
      <c r="LQN586" s="14"/>
      <c r="LQO586" s="14"/>
      <c r="LQP586" s="14"/>
      <c r="LQQ586" s="14"/>
      <c r="LQR586" s="14"/>
      <c r="LQS586" s="14"/>
      <c r="LQT586" s="14"/>
      <c r="LQU586" s="14"/>
      <c r="LQV586" s="14"/>
      <c r="LQW586" s="14"/>
      <c r="LQX586" s="14"/>
      <c r="LQY586" s="14"/>
      <c r="LQZ586" s="14"/>
      <c r="LRA586" s="14"/>
      <c r="LRB586" s="14"/>
      <c r="LRC586" s="14"/>
      <c r="LRD586" s="14"/>
      <c r="LRE586" s="14"/>
      <c r="LRF586" s="14"/>
      <c r="LRG586" s="14"/>
      <c r="LRH586" s="14"/>
      <c r="LRI586" s="14"/>
      <c r="LRJ586" s="14"/>
      <c r="LRK586" s="14"/>
      <c r="LRL586" s="14"/>
      <c r="LRM586" s="14"/>
      <c r="LRN586" s="14"/>
      <c r="LRO586" s="14"/>
      <c r="LRP586" s="14"/>
      <c r="LRQ586" s="14"/>
      <c r="LRR586" s="14"/>
      <c r="LRS586" s="14"/>
      <c r="LRT586" s="14"/>
      <c r="LRU586" s="14"/>
      <c r="LRV586" s="14"/>
      <c r="LRW586" s="14"/>
      <c r="LRX586" s="14"/>
      <c r="LRY586" s="14"/>
      <c r="LRZ586" s="14"/>
      <c r="LSA586" s="14"/>
      <c r="LSB586" s="14"/>
      <c r="LSC586" s="14"/>
      <c r="LSD586" s="14"/>
      <c r="LSE586" s="14"/>
      <c r="LSF586" s="14"/>
      <c r="LSG586" s="14"/>
      <c r="LSH586" s="14"/>
      <c r="LSI586" s="14"/>
      <c r="LSJ586" s="14"/>
      <c r="LSK586" s="14"/>
      <c r="LSL586" s="14"/>
      <c r="LSM586" s="14"/>
      <c r="LSN586" s="14"/>
      <c r="LSO586" s="14"/>
      <c r="LSP586" s="14"/>
      <c r="LSQ586" s="14"/>
      <c r="LSR586" s="14"/>
      <c r="LSS586" s="14"/>
      <c r="LST586" s="14"/>
      <c r="LSU586" s="14"/>
      <c r="LSV586" s="14"/>
      <c r="LSW586" s="14"/>
      <c r="LSX586" s="14"/>
      <c r="LSY586" s="14"/>
      <c r="LSZ586" s="14"/>
      <c r="LTA586" s="14"/>
      <c r="LTB586" s="14"/>
      <c r="LTC586" s="14"/>
      <c r="LTD586" s="14"/>
      <c r="LTE586" s="14"/>
      <c r="LTF586" s="14"/>
      <c r="LTG586" s="14"/>
      <c r="LTH586" s="14"/>
      <c r="LTI586" s="14"/>
      <c r="LTJ586" s="14"/>
      <c r="LTK586" s="14"/>
      <c r="LTL586" s="14"/>
      <c r="LTM586" s="14"/>
      <c r="LTN586" s="14"/>
      <c r="LTO586" s="14"/>
      <c r="LTP586" s="14"/>
      <c r="LTQ586" s="14"/>
      <c r="LTR586" s="14"/>
      <c r="LTS586" s="14"/>
      <c r="LTT586" s="14"/>
      <c r="LTU586" s="14"/>
      <c r="LTV586" s="14"/>
      <c r="LTW586" s="14"/>
      <c r="LTX586" s="14"/>
      <c r="LTY586" s="14"/>
      <c r="LTZ586" s="14"/>
      <c r="LUA586" s="14"/>
      <c r="LUB586" s="14"/>
      <c r="LUC586" s="14"/>
      <c r="LUD586" s="14"/>
      <c r="LUE586" s="14"/>
      <c r="LUF586" s="14"/>
      <c r="LUG586" s="14"/>
      <c r="LUH586" s="14"/>
      <c r="LUI586" s="14"/>
      <c r="LUJ586" s="14"/>
      <c r="LUK586" s="14"/>
      <c r="LUL586" s="14"/>
      <c r="LUM586" s="14"/>
      <c r="LUN586" s="14"/>
      <c r="LUO586" s="14"/>
      <c r="LUP586" s="14"/>
      <c r="LUQ586" s="14"/>
      <c r="LUR586" s="14"/>
      <c r="LUS586" s="14"/>
      <c r="LUT586" s="14"/>
      <c r="LUU586" s="14"/>
      <c r="LUV586" s="14"/>
      <c r="LUW586" s="14"/>
      <c r="LUX586" s="14"/>
      <c r="LUY586" s="14"/>
      <c r="LUZ586" s="14"/>
      <c r="LVA586" s="14"/>
      <c r="LVB586" s="14"/>
      <c r="LVC586" s="14"/>
      <c r="LVD586" s="14"/>
      <c r="LVE586" s="14"/>
      <c r="LVF586" s="14"/>
      <c r="LVG586" s="14"/>
      <c r="LVH586" s="14"/>
      <c r="LVI586" s="14"/>
      <c r="LVJ586" s="14"/>
      <c r="LVK586" s="14"/>
      <c r="LVL586" s="14"/>
      <c r="LVM586" s="14"/>
      <c r="LVN586" s="14"/>
      <c r="LVO586" s="14"/>
      <c r="LVP586" s="14"/>
      <c r="LVQ586" s="14"/>
      <c r="LVR586" s="14"/>
      <c r="LVS586" s="14"/>
      <c r="LVT586" s="14"/>
      <c r="LVU586" s="14"/>
      <c r="LVV586" s="14"/>
      <c r="LVW586" s="14"/>
      <c r="LVX586" s="14"/>
      <c r="LVY586" s="14"/>
      <c r="LVZ586" s="14"/>
      <c r="LWA586" s="14"/>
      <c r="LWB586" s="14"/>
      <c r="LWC586" s="14"/>
      <c r="LWD586" s="14"/>
      <c r="LWE586" s="14"/>
      <c r="LWF586" s="14"/>
      <c r="LWG586" s="14"/>
      <c r="LWH586" s="14"/>
      <c r="LWI586" s="14"/>
      <c r="LWJ586" s="14"/>
      <c r="LWK586" s="14"/>
      <c r="LWL586" s="14"/>
      <c r="LWM586" s="14"/>
      <c r="LWN586" s="14"/>
      <c r="LWO586" s="14"/>
      <c r="LWP586" s="14"/>
      <c r="LWQ586" s="14"/>
      <c r="LWR586" s="14"/>
      <c r="LWS586" s="14"/>
      <c r="LWT586" s="14"/>
      <c r="LWU586" s="14"/>
      <c r="LWV586" s="14"/>
      <c r="LWW586" s="14"/>
      <c r="LWX586" s="14"/>
      <c r="LWY586" s="14"/>
      <c r="LWZ586" s="14"/>
      <c r="LXA586" s="14"/>
      <c r="LXB586" s="14"/>
      <c r="LXC586" s="14"/>
      <c r="LXD586" s="14"/>
      <c r="LXE586" s="14"/>
      <c r="LXF586" s="14"/>
      <c r="LXG586" s="14"/>
      <c r="LXH586" s="14"/>
      <c r="LXI586" s="14"/>
      <c r="LXJ586" s="14"/>
      <c r="LXK586" s="14"/>
      <c r="LXL586" s="14"/>
      <c r="LXM586" s="14"/>
      <c r="LXN586" s="14"/>
      <c r="LXO586" s="14"/>
      <c r="LXP586" s="14"/>
      <c r="LXQ586" s="14"/>
      <c r="LXR586" s="14"/>
      <c r="LXS586" s="14"/>
      <c r="LXT586" s="14"/>
      <c r="LXU586" s="14"/>
      <c r="LXV586" s="14"/>
      <c r="LXW586" s="14"/>
      <c r="LXX586" s="14"/>
      <c r="LXY586" s="14"/>
      <c r="LXZ586" s="14"/>
      <c r="LYA586" s="14"/>
      <c r="LYB586" s="14"/>
      <c r="LYC586" s="14"/>
      <c r="LYD586" s="14"/>
      <c r="LYE586" s="14"/>
      <c r="LYF586" s="14"/>
      <c r="LYG586" s="14"/>
      <c r="LYH586" s="14"/>
      <c r="LYI586" s="14"/>
      <c r="LYJ586" s="14"/>
      <c r="LYK586" s="14"/>
      <c r="LYL586" s="14"/>
      <c r="LYM586" s="14"/>
      <c r="LYN586" s="14"/>
      <c r="LYO586" s="14"/>
      <c r="LYP586" s="14"/>
      <c r="LYQ586" s="14"/>
      <c r="LYR586" s="14"/>
      <c r="LYS586" s="14"/>
      <c r="LYT586" s="14"/>
      <c r="LYU586" s="14"/>
      <c r="LYV586" s="14"/>
      <c r="LYW586" s="14"/>
      <c r="LYX586" s="14"/>
      <c r="LYY586" s="14"/>
      <c r="LYZ586" s="14"/>
      <c r="LZA586" s="14"/>
      <c r="LZB586" s="14"/>
      <c r="LZC586" s="14"/>
      <c r="LZD586" s="14"/>
      <c r="LZE586" s="14"/>
      <c r="LZF586" s="14"/>
      <c r="LZG586" s="14"/>
      <c r="LZH586" s="14"/>
      <c r="LZI586" s="14"/>
      <c r="LZJ586" s="14"/>
      <c r="LZK586" s="14"/>
      <c r="LZL586" s="14"/>
      <c r="LZM586" s="14"/>
      <c r="LZN586" s="14"/>
      <c r="LZO586" s="14"/>
      <c r="LZP586" s="14"/>
      <c r="LZQ586" s="14"/>
      <c r="LZR586" s="14"/>
      <c r="LZS586" s="14"/>
      <c r="LZT586" s="14"/>
      <c r="LZU586" s="14"/>
      <c r="LZV586" s="14"/>
      <c r="LZW586" s="14"/>
      <c r="LZX586" s="14"/>
      <c r="LZY586" s="14"/>
      <c r="LZZ586" s="14"/>
      <c r="MAA586" s="14"/>
      <c r="MAB586" s="14"/>
      <c r="MAC586" s="14"/>
      <c r="MAD586" s="14"/>
      <c r="MAE586" s="14"/>
      <c r="MAF586" s="14"/>
      <c r="MAG586" s="14"/>
      <c r="MAH586" s="14"/>
      <c r="MAI586" s="14"/>
      <c r="MAJ586" s="14"/>
      <c r="MAK586" s="14"/>
      <c r="MAL586" s="14"/>
      <c r="MAM586" s="14"/>
      <c r="MAN586" s="14"/>
      <c r="MAO586" s="14"/>
      <c r="MAP586" s="14"/>
      <c r="MAQ586" s="14"/>
      <c r="MAR586" s="14"/>
      <c r="MAS586" s="14"/>
      <c r="MAT586" s="14"/>
      <c r="MAU586" s="14"/>
      <c r="MAV586" s="14"/>
      <c r="MAW586" s="14"/>
      <c r="MAX586" s="14"/>
      <c r="MAY586" s="14"/>
      <c r="MAZ586" s="14"/>
      <c r="MBA586" s="14"/>
      <c r="MBB586" s="14"/>
      <c r="MBC586" s="14"/>
      <c r="MBD586" s="14"/>
      <c r="MBE586" s="14"/>
      <c r="MBF586" s="14"/>
      <c r="MBG586" s="14"/>
      <c r="MBH586" s="14"/>
      <c r="MBI586" s="14"/>
      <c r="MBJ586" s="14"/>
      <c r="MBK586" s="14"/>
      <c r="MBL586" s="14"/>
      <c r="MBM586" s="14"/>
      <c r="MBN586" s="14"/>
      <c r="MBO586" s="14"/>
      <c r="MBP586" s="14"/>
      <c r="MBQ586" s="14"/>
      <c r="MBR586" s="14"/>
      <c r="MBS586" s="14"/>
      <c r="MBT586" s="14"/>
      <c r="MBU586" s="14"/>
      <c r="MBV586" s="14"/>
      <c r="MBW586" s="14"/>
      <c r="MBX586" s="14"/>
      <c r="MBY586" s="14"/>
      <c r="MBZ586" s="14"/>
      <c r="MCA586" s="14"/>
      <c r="MCB586" s="14"/>
      <c r="MCC586" s="14"/>
      <c r="MCD586" s="14"/>
      <c r="MCE586" s="14"/>
      <c r="MCF586" s="14"/>
      <c r="MCG586" s="14"/>
      <c r="MCH586" s="14"/>
      <c r="MCI586" s="14"/>
      <c r="MCJ586" s="14"/>
      <c r="MCK586" s="14"/>
      <c r="MCL586" s="14"/>
      <c r="MCM586" s="14"/>
      <c r="MCN586" s="14"/>
      <c r="MCO586" s="14"/>
      <c r="MCP586" s="14"/>
      <c r="MCQ586" s="14"/>
      <c r="MCR586" s="14"/>
      <c r="MCS586" s="14"/>
      <c r="MCT586" s="14"/>
      <c r="MCU586" s="14"/>
      <c r="MCV586" s="14"/>
      <c r="MCW586" s="14"/>
      <c r="MCX586" s="14"/>
      <c r="MCY586" s="14"/>
      <c r="MCZ586" s="14"/>
      <c r="MDA586" s="14"/>
      <c r="MDB586" s="14"/>
      <c r="MDC586" s="14"/>
      <c r="MDD586" s="14"/>
      <c r="MDE586" s="14"/>
      <c r="MDF586" s="14"/>
      <c r="MDG586" s="14"/>
      <c r="MDH586" s="14"/>
      <c r="MDI586" s="14"/>
      <c r="MDJ586" s="14"/>
      <c r="MDK586" s="14"/>
      <c r="MDL586" s="14"/>
      <c r="MDM586" s="14"/>
      <c r="MDN586" s="14"/>
      <c r="MDO586" s="14"/>
      <c r="MDP586" s="14"/>
      <c r="MDQ586" s="14"/>
      <c r="MDR586" s="14"/>
      <c r="MDS586" s="14"/>
      <c r="MDT586" s="14"/>
      <c r="MDU586" s="14"/>
      <c r="MDV586" s="14"/>
      <c r="MDW586" s="14"/>
      <c r="MDX586" s="14"/>
      <c r="MDY586" s="14"/>
      <c r="MDZ586" s="14"/>
      <c r="MEA586" s="14"/>
      <c r="MEB586" s="14"/>
      <c r="MEC586" s="14"/>
      <c r="MED586" s="14"/>
      <c r="MEE586" s="14"/>
      <c r="MEF586" s="14"/>
      <c r="MEG586" s="14"/>
      <c r="MEH586" s="14"/>
      <c r="MEI586" s="14"/>
      <c r="MEJ586" s="14"/>
      <c r="MEK586" s="14"/>
      <c r="MEL586" s="14"/>
      <c r="MEM586" s="14"/>
      <c r="MEN586" s="14"/>
      <c r="MEO586" s="14"/>
      <c r="MEP586" s="14"/>
      <c r="MEQ586" s="14"/>
      <c r="MER586" s="14"/>
      <c r="MES586" s="14"/>
      <c r="MET586" s="14"/>
      <c r="MEU586" s="14"/>
      <c r="MEV586" s="14"/>
      <c r="MEW586" s="14"/>
      <c r="MEX586" s="14"/>
      <c r="MEY586" s="14"/>
      <c r="MEZ586" s="14"/>
      <c r="MFA586" s="14"/>
      <c r="MFB586" s="14"/>
      <c r="MFC586" s="14"/>
      <c r="MFD586" s="14"/>
      <c r="MFE586" s="14"/>
      <c r="MFF586" s="14"/>
      <c r="MFG586" s="14"/>
      <c r="MFH586" s="14"/>
      <c r="MFI586" s="14"/>
      <c r="MFJ586" s="14"/>
      <c r="MFK586" s="14"/>
      <c r="MFL586" s="14"/>
      <c r="MFM586" s="14"/>
      <c r="MFN586" s="14"/>
      <c r="MFO586" s="14"/>
      <c r="MFP586" s="14"/>
      <c r="MFQ586" s="14"/>
      <c r="MFR586" s="14"/>
      <c r="MFS586" s="14"/>
      <c r="MFT586" s="14"/>
      <c r="MFU586" s="14"/>
      <c r="MFV586" s="14"/>
      <c r="MFW586" s="14"/>
      <c r="MFX586" s="14"/>
      <c r="MFY586" s="14"/>
      <c r="MFZ586" s="14"/>
      <c r="MGA586" s="14"/>
      <c r="MGB586" s="14"/>
      <c r="MGC586" s="14"/>
      <c r="MGD586" s="14"/>
      <c r="MGE586" s="14"/>
      <c r="MGF586" s="14"/>
      <c r="MGG586" s="14"/>
      <c r="MGH586" s="14"/>
      <c r="MGI586" s="14"/>
      <c r="MGJ586" s="14"/>
      <c r="MGK586" s="14"/>
      <c r="MGL586" s="14"/>
      <c r="MGM586" s="14"/>
      <c r="MGN586" s="14"/>
      <c r="MGO586" s="14"/>
      <c r="MGP586" s="14"/>
      <c r="MGQ586" s="14"/>
      <c r="MGR586" s="14"/>
      <c r="MGS586" s="14"/>
      <c r="MGT586" s="14"/>
      <c r="MGU586" s="14"/>
      <c r="MGV586" s="14"/>
      <c r="MGW586" s="14"/>
      <c r="MGX586" s="14"/>
      <c r="MGY586" s="14"/>
      <c r="MGZ586" s="14"/>
      <c r="MHA586" s="14"/>
      <c r="MHB586" s="14"/>
      <c r="MHC586" s="14"/>
      <c r="MHD586" s="14"/>
      <c r="MHE586" s="14"/>
      <c r="MHF586" s="14"/>
      <c r="MHG586" s="14"/>
      <c r="MHH586" s="14"/>
      <c r="MHI586" s="14"/>
      <c r="MHJ586" s="14"/>
      <c r="MHK586" s="14"/>
      <c r="MHL586" s="14"/>
      <c r="MHM586" s="14"/>
      <c r="MHN586" s="14"/>
      <c r="MHO586" s="14"/>
      <c r="MHP586" s="14"/>
      <c r="MHQ586" s="14"/>
      <c r="MHR586" s="14"/>
      <c r="MHS586" s="14"/>
      <c r="MHT586" s="14"/>
      <c r="MHU586" s="14"/>
      <c r="MHV586" s="14"/>
      <c r="MHW586" s="14"/>
      <c r="MHX586" s="14"/>
      <c r="MHY586" s="14"/>
      <c r="MHZ586" s="14"/>
      <c r="MIA586" s="14"/>
      <c r="MIB586" s="14"/>
      <c r="MIC586" s="14"/>
      <c r="MID586" s="14"/>
      <c r="MIE586" s="14"/>
      <c r="MIF586" s="14"/>
      <c r="MIG586" s="14"/>
      <c r="MIH586" s="14"/>
      <c r="MII586" s="14"/>
      <c r="MIJ586" s="14"/>
      <c r="MIK586" s="14"/>
      <c r="MIL586" s="14"/>
      <c r="MIM586" s="14"/>
      <c r="MIN586" s="14"/>
      <c r="MIO586" s="14"/>
      <c r="MIP586" s="14"/>
      <c r="MIQ586" s="14"/>
      <c r="MIR586" s="14"/>
      <c r="MIS586" s="14"/>
      <c r="MIT586" s="14"/>
      <c r="MIU586" s="14"/>
      <c r="MIV586" s="14"/>
      <c r="MIW586" s="14"/>
      <c r="MIX586" s="14"/>
      <c r="MIY586" s="14"/>
      <c r="MIZ586" s="14"/>
      <c r="MJA586" s="14"/>
      <c r="MJB586" s="14"/>
      <c r="MJC586" s="14"/>
      <c r="MJD586" s="14"/>
      <c r="MJE586" s="14"/>
      <c r="MJF586" s="14"/>
      <c r="MJG586" s="14"/>
      <c r="MJH586" s="14"/>
      <c r="MJI586" s="14"/>
      <c r="MJJ586" s="14"/>
      <c r="MJK586" s="14"/>
      <c r="MJL586" s="14"/>
      <c r="MJM586" s="14"/>
      <c r="MJN586" s="14"/>
      <c r="MJO586" s="14"/>
      <c r="MJP586" s="14"/>
      <c r="MJQ586" s="14"/>
      <c r="MJR586" s="14"/>
      <c r="MJS586" s="14"/>
      <c r="MJT586" s="14"/>
      <c r="MJU586" s="14"/>
      <c r="MJV586" s="14"/>
      <c r="MJW586" s="14"/>
      <c r="MJX586" s="14"/>
      <c r="MJY586" s="14"/>
      <c r="MJZ586" s="14"/>
      <c r="MKA586" s="14"/>
      <c r="MKB586" s="14"/>
      <c r="MKC586" s="14"/>
      <c r="MKD586" s="14"/>
      <c r="MKE586" s="14"/>
      <c r="MKF586" s="14"/>
      <c r="MKG586" s="14"/>
      <c r="MKH586" s="14"/>
      <c r="MKI586" s="14"/>
      <c r="MKJ586" s="14"/>
      <c r="MKK586" s="14"/>
      <c r="MKL586" s="14"/>
      <c r="MKM586" s="14"/>
      <c r="MKN586" s="14"/>
      <c r="MKO586" s="14"/>
      <c r="MKP586" s="14"/>
      <c r="MKQ586" s="14"/>
      <c r="MKR586" s="14"/>
      <c r="MKS586" s="14"/>
      <c r="MKT586" s="14"/>
      <c r="MKU586" s="14"/>
      <c r="MKV586" s="14"/>
      <c r="MKW586" s="14"/>
      <c r="MKX586" s="14"/>
      <c r="MKY586" s="14"/>
      <c r="MKZ586" s="14"/>
      <c r="MLA586" s="14"/>
      <c r="MLB586" s="14"/>
      <c r="MLC586" s="14"/>
      <c r="MLD586" s="14"/>
      <c r="MLE586" s="14"/>
      <c r="MLF586" s="14"/>
      <c r="MLG586" s="14"/>
      <c r="MLH586" s="14"/>
      <c r="MLI586" s="14"/>
      <c r="MLJ586" s="14"/>
      <c r="MLK586" s="14"/>
      <c r="MLL586" s="14"/>
      <c r="MLM586" s="14"/>
      <c r="MLN586" s="14"/>
      <c r="MLO586" s="14"/>
      <c r="MLP586" s="14"/>
      <c r="MLQ586" s="14"/>
      <c r="MLR586" s="14"/>
      <c r="MLS586" s="14"/>
      <c r="MLT586" s="14"/>
      <c r="MLU586" s="14"/>
      <c r="MLV586" s="14"/>
      <c r="MLW586" s="14"/>
      <c r="MLX586" s="14"/>
      <c r="MLY586" s="14"/>
      <c r="MLZ586" s="14"/>
      <c r="MMA586" s="14"/>
      <c r="MMB586" s="14"/>
      <c r="MMC586" s="14"/>
      <c r="MMD586" s="14"/>
      <c r="MME586" s="14"/>
      <c r="MMF586" s="14"/>
      <c r="MMG586" s="14"/>
      <c r="MMH586" s="14"/>
      <c r="MMI586" s="14"/>
      <c r="MMJ586" s="14"/>
      <c r="MMK586" s="14"/>
      <c r="MML586" s="14"/>
      <c r="MMM586" s="14"/>
      <c r="MMN586" s="14"/>
      <c r="MMO586" s="14"/>
      <c r="MMP586" s="14"/>
      <c r="MMQ586" s="14"/>
      <c r="MMR586" s="14"/>
      <c r="MMS586" s="14"/>
      <c r="MMT586" s="14"/>
      <c r="MMU586" s="14"/>
      <c r="MMV586" s="14"/>
      <c r="MMW586" s="14"/>
      <c r="MMX586" s="14"/>
      <c r="MMY586" s="14"/>
      <c r="MMZ586" s="14"/>
      <c r="MNA586" s="14"/>
      <c r="MNB586" s="14"/>
      <c r="MNC586" s="14"/>
      <c r="MND586" s="14"/>
      <c r="MNE586" s="14"/>
      <c r="MNF586" s="14"/>
      <c r="MNG586" s="14"/>
      <c r="MNH586" s="14"/>
      <c r="MNI586" s="14"/>
      <c r="MNJ586" s="14"/>
      <c r="MNK586" s="14"/>
      <c r="MNL586" s="14"/>
      <c r="MNM586" s="14"/>
      <c r="MNN586" s="14"/>
      <c r="MNO586" s="14"/>
      <c r="MNP586" s="14"/>
      <c r="MNQ586" s="14"/>
      <c r="MNR586" s="14"/>
      <c r="MNS586" s="14"/>
      <c r="MNT586" s="14"/>
      <c r="MNU586" s="14"/>
      <c r="MNV586" s="14"/>
      <c r="MNW586" s="14"/>
      <c r="MNX586" s="14"/>
      <c r="MNY586" s="14"/>
      <c r="MNZ586" s="14"/>
      <c r="MOA586" s="14"/>
      <c r="MOB586" s="14"/>
      <c r="MOC586" s="14"/>
      <c r="MOD586" s="14"/>
      <c r="MOE586" s="14"/>
      <c r="MOF586" s="14"/>
      <c r="MOG586" s="14"/>
      <c r="MOH586" s="14"/>
      <c r="MOI586" s="14"/>
      <c r="MOJ586" s="14"/>
      <c r="MOK586" s="14"/>
      <c r="MOL586" s="14"/>
      <c r="MOM586" s="14"/>
      <c r="MON586" s="14"/>
      <c r="MOO586" s="14"/>
      <c r="MOP586" s="14"/>
      <c r="MOQ586" s="14"/>
      <c r="MOR586" s="14"/>
      <c r="MOS586" s="14"/>
      <c r="MOT586" s="14"/>
      <c r="MOU586" s="14"/>
      <c r="MOV586" s="14"/>
      <c r="MOW586" s="14"/>
      <c r="MOX586" s="14"/>
      <c r="MOY586" s="14"/>
      <c r="MOZ586" s="14"/>
      <c r="MPA586" s="14"/>
      <c r="MPB586" s="14"/>
      <c r="MPC586" s="14"/>
      <c r="MPD586" s="14"/>
      <c r="MPE586" s="14"/>
      <c r="MPF586" s="14"/>
      <c r="MPG586" s="14"/>
      <c r="MPH586" s="14"/>
      <c r="MPI586" s="14"/>
      <c r="MPJ586" s="14"/>
      <c r="MPK586" s="14"/>
      <c r="MPL586" s="14"/>
      <c r="MPM586" s="14"/>
      <c r="MPN586" s="14"/>
      <c r="MPO586" s="14"/>
      <c r="MPP586" s="14"/>
      <c r="MPQ586" s="14"/>
      <c r="MPR586" s="14"/>
      <c r="MPS586" s="14"/>
      <c r="MPT586" s="14"/>
      <c r="MPU586" s="14"/>
      <c r="MPV586" s="14"/>
      <c r="MPW586" s="14"/>
      <c r="MPX586" s="14"/>
      <c r="MPY586" s="14"/>
      <c r="MPZ586" s="14"/>
      <c r="MQA586" s="14"/>
      <c r="MQB586" s="14"/>
      <c r="MQC586" s="14"/>
      <c r="MQD586" s="14"/>
      <c r="MQE586" s="14"/>
      <c r="MQF586" s="14"/>
      <c r="MQG586" s="14"/>
      <c r="MQH586" s="14"/>
      <c r="MQI586" s="14"/>
      <c r="MQJ586" s="14"/>
      <c r="MQK586" s="14"/>
      <c r="MQL586" s="14"/>
      <c r="MQM586" s="14"/>
      <c r="MQN586" s="14"/>
      <c r="MQO586" s="14"/>
      <c r="MQP586" s="14"/>
      <c r="MQQ586" s="14"/>
      <c r="MQR586" s="14"/>
      <c r="MQS586" s="14"/>
      <c r="MQT586" s="14"/>
      <c r="MQU586" s="14"/>
      <c r="MQV586" s="14"/>
      <c r="MQW586" s="14"/>
      <c r="MQX586" s="14"/>
      <c r="MQY586" s="14"/>
      <c r="MQZ586" s="14"/>
      <c r="MRA586" s="14"/>
      <c r="MRB586" s="14"/>
      <c r="MRC586" s="14"/>
      <c r="MRD586" s="14"/>
      <c r="MRE586" s="14"/>
      <c r="MRF586" s="14"/>
      <c r="MRG586" s="14"/>
      <c r="MRH586" s="14"/>
      <c r="MRI586" s="14"/>
      <c r="MRJ586" s="14"/>
      <c r="MRK586" s="14"/>
      <c r="MRL586" s="14"/>
      <c r="MRM586" s="14"/>
      <c r="MRN586" s="14"/>
      <c r="MRO586" s="14"/>
      <c r="MRP586" s="14"/>
      <c r="MRQ586" s="14"/>
      <c r="MRR586" s="14"/>
      <c r="MRS586" s="14"/>
      <c r="MRT586" s="14"/>
      <c r="MRU586" s="14"/>
      <c r="MRV586" s="14"/>
      <c r="MRW586" s="14"/>
      <c r="MRX586" s="14"/>
      <c r="MRY586" s="14"/>
      <c r="MRZ586" s="14"/>
      <c r="MSA586" s="14"/>
      <c r="MSB586" s="14"/>
      <c r="MSC586" s="14"/>
      <c r="MSD586" s="14"/>
      <c r="MSE586" s="14"/>
      <c r="MSF586" s="14"/>
      <c r="MSG586" s="14"/>
      <c r="MSH586" s="14"/>
      <c r="MSI586" s="14"/>
      <c r="MSJ586" s="14"/>
      <c r="MSK586" s="14"/>
      <c r="MSL586" s="14"/>
      <c r="MSM586" s="14"/>
      <c r="MSN586" s="14"/>
      <c r="MSO586" s="14"/>
      <c r="MSP586" s="14"/>
      <c r="MSQ586" s="14"/>
      <c r="MSR586" s="14"/>
      <c r="MSS586" s="14"/>
      <c r="MST586" s="14"/>
      <c r="MSU586" s="14"/>
      <c r="MSV586" s="14"/>
      <c r="MSW586" s="14"/>
      <c r="MSX586" s="14"/>
      <c r="MSY586" s="14"/>
      <c r="MSZ586" s="14"/>
      <c r="MTA586" s="14"/>
      <c r="MTB586" s="14"/>
      <c r="MTC586" s="14"/>
      <c r="MTD586" s="14"/>
      <c r="MTE586" s="14"/>
      <c r="MTF586" s="14"/>
      <c r="MTG586" s="14"/>
      <c r="MTH586" s="14"/>
      <c r="MTI586" s="14"/>
      <c r="MTJ586" s="14"/>
      <c r="MTK586" s="14"/>
      <c r="MTL586" s="14"/>
      <c r="MTM586" s="14"/>
      <c r="MTN586" s="14"/>
      <c r="MTO586" s="14"/>
      <c r="MTP586" s="14"/>
      <c r="MTQ586" s="14"/>
      <c r="MTR586" s="14"/>
      <c r="MTS586" s="14"/>
      <c r="MTT586" s="14"/>
      <c r="MTU586" s="14"/>
      <c r="MTV586" s="14"/>
      <c r="MTW586" s="14"/>
      <c r="MTX586" s="14"/>
      <c r="MTY586" s="14"/>
      <c r="MTZ586" s="14"/>
      <c r="MUA586" s="14"/>
      <c r="MUB586" s="14"/>
      <c r="MUC586" s="14"/>
      <c r="MUD586" s="14"/>
      <c r="MUE586" s="14"/>
      <c r="MUF586" s="14"/>
      <c r="MUG586" s="14"/>
      <c r="MUH586" s="14"/>
      <c r="MUI586" s="14"/>
      <c r="MUJ586" s="14"/>
      <c r="MUK586" s="14"/>
      <c r="MUL586" s="14"/>
      <c r="MUM586" s="14"/>
      <c r="MUN586" s="14"/>
      <c r="MUO586" s="14"/>
      <c r="MUP586" s="14"/>
      <c r="MUQ586" s="14"/>
      <c r="MUR586" s="14"/>
      <c r="MUS586" s="14"/>
      <c r="MUT586" s="14"/>
      <c r="MUU586" s="14"/>
      <c r="MUV586" s="14"/>
      <c r="MUW586" s="14"/>
      <c r="MUX586" s="14"/>
      <c r="MUY586" s="14"/>
      <c r="MUZ586" s="14"/>
      <c r="MVA586" s="14"/>
      <c r="MVB586" s="14"/>
      <c r="MVC586" s="14"/>
      <c r="MVD586" s="14"/>
      <c r="MVE586" s="14"/>
      <c r="MVF586" s="14"/>
      <c r="MVG586" s="14"/>
      <c r="MVH586" s="14"/>
      <c r="MVI586" s="14"/>
      <c r="MVJ586" s="14"/>
      <c r="MVK586" s="14"/>
      <c r="MVL586" s="14"/>
      <c r="MVM586" s="14"/>
      <c r="MVN586" s="14"/>
      <c r="MVO586" s="14"/>
      <c r="MVP586" s="14"/>
      <c r="MVQ586" s="14"/>
      <c r="MVR586" s="14"/>
      <c r="MVS586" s="14"/>
      <c r="MVT586" s="14"/>
      <c r="MVU586" s="14"/>
      <c r="MVV586" s="14"/>
      <c r="MVW586" s="14"/>
      <c r="MVX586" s="14"/>
      <c r="MVY586" s="14"/>
      <c r="MVZ586" s="14"/>
      <c r="MWA586" s="14"/>
      <c r="MWB586" s="14"/>
      <c r="MWC586" s="14"/>
      <c r="MWD586" s="14"/>
      <c r="MWE586" s="14"/>
      <c r="MWF586" s="14"/>
      <c r="MWG586" s="14"/>
      <c r="MWH586" s="14"/>
      <c r="MWI586" s="14"/>
      <c r="MWJ586" s="14"/>
      <c r="MWK586" s="14"/>
      <c r="MWL586" s="14"/>
      <c r="MWM586" s="14"/>
      <c r="MWN586" s="14"/>
      <c r="MWO586" s="14"/>
      <c r="MWP586" s="14"/>
      <c r="MWQ586" s="14"/>
      <c r="MWR586" s="14"/>
      <c r="MWS586" s="14"/>
      <c r="MWT586" s="14"/>
      <c r="MWU586" s="14"/>
      <c r="MWV586" s="14"/>
      <c r="MWW586" s="14"/>
      <c r="MWX586" s="14"/>
      <c r="MWY586" s="14"/>
      <c r="MWZ586" s="14"/>
      <c r="MXA586" s="14"/>
      <c r="MXB586" s="14"/>
      <c r="MXC586" s="14"/>
      <c r="MXD586" s="14"/>
      <c r="MXE586" s="14"/>
      <c r="MXF586" s="14"/>
      <c r="MXG586" s="14"/>
      <c r="MXH586" s="14"/>
      <c r="MXI586" s="14"/>
      <c r="MXJ586" s="14"/>
      <c r="MXK586" s="14"/>
      <c r="MXL586" s="14"/>
      <c r="MXM586" s="14"/>
      <c r="MXN586" s="14"/>
      <c r="MXO586" s="14"/>
      <c r="MXP586" s="14"/>
      <c r="MXQ586" s="14"/>
      <c r="MXR586" s="14"/>
      <c r="MXS586" s="14"/>
      <c r="MXT586" s="14"/>
      <c r="MXU586" s="14"/>
      <c r="MXV586" s="14"/>
      <c r="MXW586" s="14"/>
      <c r="MXX586" s="14"/>
      <c r="MXY586" s="14"/>
      <c r="MXZ586" s="14"/>
      <c r="MYA586" s="14"/>
      <c r="MYB586" s="14"/>
      <c r="MYC586" s="14"/>
      <c r="MYD586" s="14"/>
      <c r="MYE586" s="14"/>
      <c r="MYF586" s="14"/>
      <c r="MYG586" s="14"/>
      <c r="MYH586" s="14"/>
      <c r="MYI586" s="14"/>
      <c r="MYJ586" s="14"/>
      <c r="MYK586" s="14"/>
      <c r="MYL586" s="14"/>
      <c r="MYM586" s="14"/>
      <c r="MYN586" s="14"/>
      <c r="MYO586" s="14"/>
      <c r="MYP586" s="14"/>
      <c r="MYQ586" s="14"/>
      <c r="MYR586" s="14"/>
      <c r="MYS586" s="14"/>
      <c r="MYT586" s="14"/>
      <c r="MYU586" s="14"/>
      <c r="MYV586" s="14"/>
      <c r="MYW586" s="14"/>
      <c r="MYX586" s="14"/>
      <c r="MYY586" s="14"/>
      <c r="MYZ586" s="14"/>
      <c r="MZA586" s="14"/>
      <c r="MZB586" s="14"/>
      <c r="MZC586" s="14"/>
      <c r="MZD586" s="14"/>
      <c r="MZE586" s="14"/>
      <c r="MZF586" s="14"/>
      <c r="MZG586" s="14"/>
      <c r="MZH586" s="14"/>
      <c r="MZI586" s="14"/>
      <c r="MZJ586" s="14"/>
      <c r="MZK586" s="14"/>
      <c r="MZL586" s="14"/>
      <c r="MZM586" s="14"/>
      <c r="MZN586" s="14"/>
      <c r="MZO586" s="14"/>
      <c r="MZP586" s="14"/>
      <c r="MZQ586" s="14"/>
      <c r="MZR586" s="14"/>
      <c r="MZS586" s="14"/>
      <c r="MZT586" s="14"/>
      <c r="MZU586" s="14"/>
      <c r="MZV586" s="14"/>
      <c r="MZW586" s="14"/>
      <c r="MZX586" s="14"/>
      <c r="MZY586" s="14"/>
      <c r="MZZ586" s="14"/>
      <c r="NAA586" s="14"/>
      <c r="NAB586" s="14"/>
      <c r="NAC586" s="14"/>
      <c r="NAD586" s="14"/>
      <c r="NAE586" s="14"/>
      <c r="NAF586" s="14"/>
      <c r="NAG586" s="14"/>
      <c r="NAH586" s="14"/>
      <c r="NAI586" s="14"/>
      <c r="NAJ586" s="14"/>
      <c r="NAK586" s="14"/>
      <c r="NAL586" s="14"/>
      <c r="NAM586" s="14"/>
      <c r="NAN586" s="14"/>
      <c r="NAO586" s="14"/>
      <c r="NAP586" s="14"/>
      <c r="NAQ586" s="14"/>
      <c r="NAR586" s="14"/>
      <c r="NAS586" s="14"/>
      <c r="NAT586" s="14"/>
      <c r="NAU586" s="14"/>
      <c r="NAV586" s="14"/>
      <c r="NAW586" s="14"/>
      <c r="NAX586" s="14"/>
      <c r="NAY586" s="14"/>
      <c r="NAZ586" s="14"/>
      <c r="NBA586" s="14"/>
      <c r="NBB586" s="14"/>
      <c r="NBC586" s="14"/>
      <c r="NBD586" s="14"/>
      <c r="NBE586" s="14"/>
      <c r="NBF586" s="14"/>
      <c r="NBG586" s="14"/>
      <c r="NBH586" s="14"/>
      <c r="NBI586" s="14"/>
      <c r="NBJ586" s="14"/>
      <c r="NBK586" s="14"/>
      <c r="NBL586" s="14"/>
      <c r="NBM586" s="14"/>
      <c r="NBN586" s="14"/>
      <c r="NBO586" s="14"/>
      <c r="NBP586" s="14"/>
      <c r="NBQ586" s="14"/>
      <c r="NBR586" s="14"/>
      <c r="NBS586" s="14"/>
      <c r="NBT586" s="14"/>
      <c r="NBU586" s="14"/>
      <c r="NBV586" s="14"/>
      <c r="NBW586" s="14"/>
      <c r="NBX586" s="14"/>
      <c r="NBY586" s="14"/>
      <c r="NBZ586" s="14"/>
      <c r="NCA586" s="14"/>
      <c r="NCB586" s="14"/>
      <c r="NCC586" s="14"/>
      <c r="NCD586" s="14"/>
      <c r="NCE586" s="14"/>
      <c r="NCF586" s="14"/>
      <c r="NCG586" s="14"/>
      <c r="NCH586" s="14"/>
      <c r="NCI586" s="14"/>
      <c r="NCJ586" s="14"/>
      <c r="NCK586" s="14"/>
      <c r="NCL586" s="14"/>
      <c r="NCM586" s="14"/>
      <c r="NCN586" s="14"/>
      <c r="NCO586" s="14"/>
      <c r="NCP586" s="14"/>
      <c r="NCQ586" s="14"/>
      <c r="NCR586" s="14"/>
      <c r="NCS586" s="14"/>
      <c r="NCT586" s="14"/>
      <c r="NCU586" s="14"/>
      <c r="NCV586" s="14"/>
      <c r="NCW586" s="14"/>
      <c r="NCX586" s="14"/>
      <c r="NCY586" s="14"/>
      <c r="NCZ586" s="14"/>
      <c r="NDA586" s="14"/>
      <c r="NDB586" s="14"/>
      <c r="NDC586" s="14"/>
      <c r="NDD586" s="14"/>
      <c r="NDE586" s="14"/>
      <c r="NDF586" s="14"/>
      <c r="NDG586" s="14"/>
      <c r="NDH586" s="14"/>
      <c r="NDI586" s="14"/>
      <c r="NDJ586" s="14"/>
      <c r="NDK586" s="14"/>
      <c r="NDL586" s="14"/>
      <c r="NDM586" s="14"/>
      <c r="NDN586" s="14"/>
      <c r="NDO586" s="14"/>
      <c r="NDP586" s="14"/>
      <c r="NDQ586" s="14"/>
      <c r="NDR586" s="14"/>
      <c r="NDS586" s="14"/>
      <c r="NDT586" s="14"/>
      <c r="NDU586" s="14"/>
      <c r="NDV586" s="14"/>
      <c r="NDW586" s="14"/>
      <c r="NDX586" s="14"/>
      <c r="NDY586" s="14"/>
      <c r="NDZ586" s="14"/>
      <c r="NEA586" s="14"/>
      <c r="NEB586" s="14"/>
      <c r="NEC586" s="14"/>
      <c r="NED586" s="14"/>
      <c r="NEE586" s="14"/>
      <c r="NEF586" s="14"/>
      <c r="NEG586" s="14"/>
      <c r="NEH586" s="14"/>
      <c r="NEI586" s="14"/>
      <c r="NEJ586" s="14"/>
      <c r="NEK586" s="14"/>
      <c r="NEL586" s="14"/>
      <c r="NEM586" s="14"/>
      <c r="NEN586" s="14"/>
      <c r="NEO586" s="14"/>
      <c r="NEP586" s="14"/>
      <c r="NEQ586" s="14"/>
      <c r="NER586" s="14"/>
      <c r="NES586" s="14"/>
      <c r="NET586" s="14"/>
      <c r="NEU586" s="14"/>
      <c r="NEV586" s="14"/>
      <c r="NEW586" s="14"/>
      <c r="NEX586" s="14"/>
      <c r="NEY586" s="14"/>
      <c r="NEZ586" s="14"/>
      <c r="NFA586" s="14"/>
      <c r="NFB586" s="14"/>
      <c r="NFC586" s="14"/>
      <c r="NFD586" s="14"/>
      <c r="NFE586" s="14"/>
      <c r="NFF586" s="14"/>
      <c r="NFG586" s="14"/>
      <c r="NFH586" s="14"/>
      <c r="NFI586" s="14"/>
      <c r="NFJ586" s="14"/>
      <c r="NFK586" s="14"/>
      <c r="NFL586" s="14"/>
      <c r="NFM586" s="14"/>
      <c r="NFN586" s="14"/>
      <c r="NFO586" s="14"/>
      <c r="NFP586" s="14"/>
      <c r="NFQ586" s="14"/>
      <c r="NFR586" s="14"/>
      <c r="NFS586" s="14"/>
      <c r="NFT586" s="14"/>
      <c r="NFU586" s="14"/>
      <c r="NFV586" s="14"/>
      <c r="NFW586" s="14"/>
      <c r="NFX586" s="14"/>
      <c r="NFY586" s="14"/>
      <c r="NFZ586" s="14"/>
      <c r="NGA586" s="14"/>
      <c r="NGB586" s="14"/>
      <c r="NGC586" s="14"/>
      <c r="NGD586" s="14"/>
      <c r="NGE586" s="14"/>
      <c r="NGF586" s="14"/>
      <c r="NGG586" s="14"/>
      <c r="NGH586" s="14"/>
      <c r="NGI586" s="14"/>
      <c r="NGJ586" s="14"/>
      <c r="NGK586" s="14"/>
      <c r="NGL586" s="14"/>
      <c r="NGM586" s="14"/>
      <c r="NGN586" s="14"/>
      <c r="NGO586" s="14"/>
      <c r="NGP586" s="14"/>
      <c r="NGQ586" s="14"/>
      <c r="NGR586" s="14"/>
      <c r="NGS586" s="14"/>
      <c r="NGT586" s="14"/>
      <c r="NGU586" s="14"/>
      <c r="NGV586" s="14"/>
      <c r="NGW586" s="14"/>
      <c r="NGX586" s="14"/>
      <c r="NGY586" s="14"/>
      <c r="NGZ586" s="14"/>
      <c r="NHA586" s="14"/>
      <c r="NHB586" s="14"/>
      <c r="NHC586" s="14"/>
      <c r="NHD586" s="14"/>
      <c r="NHE586" s="14"/>
      <c r="NHF586" s="14"/>
      <c r="NHG586" s="14"/>
      <c r="NHH586" s="14"/>
      <c r="NHI586" s="14"/>
      <c r="NHJ586" s="14"/>
      <c r="NHK586" s="14"/>
      <c r="NHL586" s="14"/>
      <c r="NHM586" s="14"/>
      <c r="NHN586" s="14"/>
      <c r="NHO586" s="14"/>
      <c r="NHP586" s="14"/>
      <c r="NHQ586" s="14"/>
      <c r="NHR586" s="14"/>
      <c r="NHS586" s="14"/>
      <c r="NHT586" s="14"/>
      <c r="NHU586" s="14"/>
      <c r="NHV586" s="14"/>
      <c r="NHW586" s="14"/>
      <c r="NHX586" s="14"/>
      <c r="NHY586" s="14"/>
      <c r="NHZ586" s="14"/>
      <c r="NIA586" s="14"/>
      <c r="NIB586" s="14"/>
      <c r="NIC586" s="14"/>
      <c r="NID586" s="14"/>
      <c r="NIE586" s="14"/>
      <c r="NIF586" s="14"/>
      <c r="NIG586" s="14"/>
      <c r="NIH586" s="14"/>
      <c r="NII586" s="14"/>
      <c r="NIJ586" s="14"/>
      <c r="NIK586" s="14"/>
      <c r="NIL586" s="14"/>
      <c r="NIM586" s="14"/>
      <c r="NIN586" s="14"/>
      <c r="NIO586" s="14"/>
      <c r="NIP586" s="14"/>
      <c r="NIQ586" s="14"/>
      <c r="NIR586" s="14"/>
      <c r="NIS586" s="14"/>
      <c r="NIT586" s="14"/>
      <c r="NIU586" s="14"/>
      <c r="NIV586" s="14"/>
      <c r="NIW586" s="14"/>
      <c r="NIX586" s="14"/>
      <c r="NIY586" s="14"/>
      <c r="NIZ586" s="14"/>
      <c r="NJA586" s="14"/>
      <c r="NJB586" s="14"/>
      <c r="NJC586" s="14"/>
      <c r="NJD586" s="14"/>
      <c r="NJE586" s="14"/>
      <c r="NJF586" s="14"/>
      <c r="NJG586" s="14"/>
      <c r="NJH586" s="14"/>
      <c r="NJI586" s="14"/>
      <c r="NJJ586" s="14"/>
      <c r="NJK586" s="14"/>
      <c r="NJL586" s="14"/>
      <c r="NJM586" s="14"/>
      <c r="NJN586" s="14"/>
      <c r="NJO586" s="14"/>
      <c r="NJP586" s="14"/>
      <c r="NJQ586" s="14"/>
      <c r="NJR586" s="14"/>
      <c r="NJS586" s="14"/>
      <c r="NJT586" s="14"/>
      <c r="NJU586" s="14"/>
      <c r="NJV586" s="14"/>
      <c r="NJW586" s="14"/>
      <c r="NJX586" s="14"/>
      <c r="NJY586" s="14"/>
      <c r="NJZ586" s="14"/>
      <c r="NKA586" s="14"/>
      <c r="NKB586" s="14"/>
      <c r="NKC586" s="14"/>
      <c r="NKD586" s="14"/>
      <c r="NKE586" s="14"/>
      <c r="NKF586" s="14"/>
      <c r="NKG586" s="14"/>
      <c r="NKH586" s="14"/>
      <c r="NKI586" s="14"/>
      <c r="NKJ586" s="14"/>
      <c r="NKK586" s="14"/>
      <c r="NKL586" s="14"/>
      <c r="NKM586" s="14"/>
      <c r="NKN586" s="14"/>
      <c r="NKO586" s="14"/>
      <c r="NKP586" s="14"/>
      <c r="NKQ586" s="14"/>
      <c r="NKR586" s="14"/>
      <c r="NKS586" s="14"/>
      <c r="NKT586" s="14"/>
      <c r="NKU586" s="14"/>
      <c r="NKV586" s="14"/>
      <c r="NKW586" s="14"/>
      <c r="NKX586" s="14"/>
      <c r="NKY586" s="14"/>
      <c r="NKZ586" s="14"/>
      <c r="NLA586" s="14"/>
      <c r="NLB586" s="14"/>
      <c r="NLC586" s="14"/>
      <c r="NLD586" s="14"/>
      <c r="NLE586" s="14"/>
      <c r="NLF586" s="14"/>
      <c r="NLG586" s="14"/>
      <c r="NLH586" s="14"/>
      <c r="NLI586" s="14"/>
      <c r="NLJ586" s="14"/>
      <c r="NLK586" s="14"/>
      <c r="NLL586" s="14"/>
      <c r="NLM586" s="14"/>
      <c r="NLN586" s="14"/>
      <c r="NLO586" s="14"/>
      <c r="NLP586" s="14"/>
      <c r="NLQ586" s="14"/>
      <c r="NLR586" s="14"/>
      <c r="NLS586" s="14"/>
      <c r="NLT586" s="14"/>
      <c r="NLU586" s="14"/>
      <c r="NLV586" s="14"/>
      <c r="NLW586" s="14"/>
      <c r="NLX586" s="14"/>
      <c r="NLY586" s="14"/>
      <c r="NLZ586" s="14"/>
      <c r="NMA586" s="14"/>
      <c r="NMB586" s="14"/>
      <c r="NMC586" s="14"/>
      <c r="NMD586" s="14"/>
      <c r="NME586" s="14"/>
      <c r="NMF586" s="14"/>
      <c r="NMG586" s="14"/>
      <c r="NMH586" s="14"/>
      <c r="NMI586" s="14"/>
      <c r="NMJ586" s="14"/>
      <c r="NMK586" s="14"/>
      <c r="NML586" s="14"/>
      <c r="NMM586" s="14"/>
      <c r="NMN586" s="14"/>
      <c r="NMO586" s="14"/>
      <c r="NMP586" s="14"/>
      <c r="NMQ586" s="14"/>
      <c r="NMR586" s="14"/>
      <c r="NMS586" s="14"/>
      <c r="NMT586" s="14"/>
      <c r="NMU586" s="14"/>
      <c r="NMV586" s="14"/>
      <c r="NMW586" s="14"/>
      <c r="NMX586" s="14"/>
      <c r="NMY586" s="14"/>
      <c r="NMZ586" s="14"/>
      <c r="NNA586" s="14"/>
      <c r="NNB586" s="14"/>
      <c r="NNC586" s="14"/>
      <c r="NND586" s="14"/>
      <c r="NNE586" s="14"/>
      <c r="NNF586" s="14"/>
      <c r="NNG586" s="14"/>
      <c r="NNH586" s="14"/>
      <c r="NNI586" s="14"/>
      <c r="NNJ586" s="14"/>
      <c r="NNK586" s="14"/>
      <c r="NNL586" s="14"/>
      <c r="NNM586" s="14"/>
      <c r="NNN586" s="14"/>
      <c r="NNO586" s="14"/>
      <c r="NNP586" s="14"/>
      <c r="NNQ586" s="14"/>
      <c r="NNR586" s="14"/>
      <c r="NNS586" s="14"/>
      <c r="NNT586" s="14"/>
      <c r="NNU586" s="14"/>
      <c r="NNV586" s="14"/>
      <c r="NNW586" s="14"/>
      <c r="NNX586" s="14"/>
      <c r="NNY586" s="14"/>
      <c r="NNZ586" s="14"/>
      <c r="NOA586" s="14"/>
      <c r="NOB586" s="14"/>
      <c r="NOC586" s="14"/>
      <c r="NOD586" s="14"/>
      <c r="NOE586" s="14"/>
      <c r="NOF586" s="14"/>
      <c r="NOG586" s="14"/>
      <c r="NOH586" s="14"/>
      <c r="NOI586" s="14"/>
      <c r="NOJ586" s="14"/>
      <c r="NOK586" s="14"/>
      <c r="NOL586" s="14"/>
      <c r="NOM586" s="14"/>
      <c r="NON586" s="14"/>
      <c r="NOO586" s="14"/>
      <c r="NOP586" s="14"/>
      <c r="NOQ586" s="14"/>
      <c r="NOR586" s="14"/>
      <c r="NOS586" s="14"/>
      <c r="NOT586" s="14"/>
      <c r="NOU586" s="14"/>
      <c r="NOV586" s="14"/>
      <c r="NOW586" s="14"/>
      <c r="NOX586" s="14"/>
      <c r="NOY586" s="14"/>
      <c r="NOZ586" s="14"/>
      <c r="NPA586" s="14"/>
      <c r="NPB586" s="14"/>
      <c r="NPC586" s="14"/>
      <c r="NPD586" s="14"/>
      <c r="NPE586" s="14"/>
      <c r="NPF586" s="14"/>
      <c r="NPG586" s="14"/>
      <c r="NPH586" s="14"/>
      <c r="NPI586" s="14"/>
      <c r="NPJ586" s="14"/>
      <c r="NPK586" s="14"/>
      <c r="NPL586" s="14"/>
      <c r="NPM586" s="14"/>
      <c r="NPN586" s="14"/>
      <c r="NPO586" s="14"/>
      <c r="NPP586" s="14"/>
      <c r="NPQ586" s="14"/>
      <c r="NPR586" s="14"/>
      <c r="NPS586" s="14"/>
      <c r="NPT586" s="14"/>
      <c r="NPU586" s="14"/>
      <c r="NPV586" s="14"/>
      <c r="NPW586" s="14"/>
      <c r="NPX586" s="14"/>
      <c r="NPY586" s="14"/>
      <c r="NPZ586" s="14"/>
      <c r="NQA586" s="14"/>
      <c r="NQB586" s="14"/>
      <c r="NQC586" s="14"/>
      <c r="NQD586" s="14"/>
      <c r="NQE586" s="14"/>
      <c r="NQF586" s="14"/>
      <c r="NQG586" s="14"/>
      <c r="NQH586" s="14"/>
      <c r="NQI586" s="14"/>
      <c r="NQJ586" s="14"/>
      <c r="NQK586" s="14"/>
      <c r="NQL586" s="14"/>
      <c r="NQM586" s="14"/>
      <c r="NQN586" s="14"/>
      <c r="NQO586" s="14"/>
      <c r="NQP586" s="14"/>
      <c r="NQQ586" s="14"/>
      <c r="NQR586" s="14"/>
      <c r="NQS586" s="14"/>
      <c r="NQT586" s="14"/>
      <c r="NQU586" s="14"/>
      <c r="NQV586" s="14"/>
      <c r="NQW586" s="14"/>
      <c r="NQX586" s="14"/>
      <c r="NQY586" s="14"/>
      <c r="NQZ586" s="14"/>
      <c r="NRA586" s="14"/>
      <c r="NRB586" s="14"/>
      <c r="NRC586" s="14"/>
      <c r="NRD586" s="14"/>
      <c r="NRE586" s="14"/>
      <c r="NRF586" s="14"/>
      <c r="NRG586" s="14"/>
      <c r="NRH586" s="14"/>
      <c r="NRI586" s="14"/>
      <c r="NRJ586" s="14"/>
      <c r="NRK586" s="14"/>
      <c r="NRL586" s="14"/>
      <c r="NRM586" s="14"/>
      <c r="NRN586" s="14"/>
      <c r="NRO586" s="14"/>
      <c r="NRP586" s="14"/>
      <c r="NRQ586" s="14"/>
      <c r="NRR586" s="14"/>
      <c r="NRS586" s="14"/>
      <c r="NRT586" s="14"/>
      <c r="NRU586" s="14"/>
      <c r="NRV586" s="14"/>
      <c r="NRW586" s="14"/>
      <c r="NRX586" s="14"/>
      <c r="NRY586" s="14"/>
      <c r="NRZ586" s="14"/>
      <c r="NSA586" s="14"/>
      <c r="NSB586" s="14"/>
      <c r="NSC586" s="14"/>
      <c r="NSD586" s="14"/>
      <c r="NSE586" s="14"/>
      <c r="NSF586" s="14"/>
      <c r="NSG586" s="14"/>
      <c r="NSH586" s="14"/>
      <c r="NSI586" s="14"/>
      <c r="NSJ586" s="14"/>
      <c r="NSK586" s="14"/>
      <c r="NSL586" s="14"/>
      <c r="NSM586" s="14"/>
      <c r="NSN586" s="14"/>
      <c r="NSO586" s="14"/>
      <c r="NSP586" s="14"/>
      <c r="NSQ586" s="14"/>
      <c r="NSR586" s="14"/>
      <c r="NSS586" s="14"/>
      <c r="NST586" s="14"/>
      <c r="NSU586" s="14"/>
      <c r="NSV586" s="14"/>
      <c r="NSW586" s="14"/>
      <c r="NSX586" s="14"/>
      <c r="NSY586" s="14"/>
      <c r="NSZ586" s="14"/>
      <c r="NTA586" s="14"/>
      <c r="NTB586" s="14"/>
      <c r="NTC586" s="14"/>
      <c r="NTD586" s="14"/>
      <c r="NTE586" s="14"/>
      <c r="NTF586" s="14"/>
      <c r="NTG586" s="14"/>
      <c r="NTH586" s="14"/>
      <c r="NTI586" s="14"/>
      <c r="NTJ586" s="14"/>
      <c r="NTK586" s="14"/>
      <c r="NTL586" s="14"/>
      <c r="NTM586" s="14"/>
      <c r="NTN586" s="14"/>
      <c r="NTO586" s="14"/>
      <c r="NTP586" s="14"/>
      <c r="NTQ586" s="14"/>
      <c r="NTR586" s="14"/>
      <c r="NTS586" s="14"/>
      <c r="NTT586" s="14"/>
      <c r="NTU586" s="14"/>
      <c r="NTV586" s="14"/>
      <c r="NTW586" s="14"/>
      <c r="NTX586" s="14"/>
      <c r="NTY586" s="14"/>
      <c r="NTZ586" s="14"/>
      <c r="NUA586" s="14"/>
      <c r="NUB586" s="14"/>
      <c r="NUC586" s="14"/>
      <c r="NUD586" s="14"/>
      <c r="NUE586" s="14"/>
      <c r="NUF586" s="14"/>
      <c r="NUG586" s="14"/>
      <c r="NUH586" s="14"/>
      <c r="NUI586" s="14"/>
      <c r="NUJ586" s="14"/>
      <c r="NUK586" s="14"/>
      <c r="NUL586" s="14"/>
      <c r="NUM586" s="14"/>
      <c r="NUN586" s="14"/>
      <c r="NUO586" s="14"/>
      <c r="NUP586" s="14"/>
      <c r="NUQ586" s="14"/>
      <c r="NUR586" s="14"/>
      <c r="NUS586" s="14"/>
      <c r="NUT586" s="14"/>
      <c r="NUU586" s="14"/>
      <c r="NUV586" s="14"/>
      <c r="NUW586" s="14"/>
      <c r="NUX586" s="14"/>
      <c r="NUY586" s="14"/>
      <c r="NUZ586" s="14"/>
      <c r="NVA586" s="14"/>
      <c r="NVB586" s="14"/>
      <c r="NVC586" s="14"/>
      <c r="NVD586" s="14"/>
      <c r="NVE586" s="14"/>
      <c r="NVF586" s="14"/>
      <c r="NVG586" s="14"/>
      <c r="NVH586" s="14"/>
      <c r="NVI586" s="14"/>
      <c r="NVJ586" s="14"/>
      <c r="NVK586" s="14"/>
      <c r="NVL586" s="14"/>
      <c r="NVM586" s="14"/>
      <c r="NVN586" s="14"/>
      <c r="NVO586" s="14"/>
      <c r="NVP586" s="14"/>
      <c r="NVQ586" s="14"/>
      <c r="NVR586" s="14"/>
      <c r="NVS586" s="14"/>
      <c r="NVT586" s="14"/>
      <c r="NVU586" s="14"/>
      <c r="NVV586" s="14"/>
      <c r="NVW586" s="14"/>
      <c r="NVX586" s="14"/>
      <c r="NVY586" s="14"/>
      <c r="NVZ586" s="14"/>
      <c r="NWA586" s="14"/>
      <c r="NWB586" s="14"/>
      <c r="NWC586" s="14"/>
      <c r="NWD586" s="14"/>
      <c r="NWE586" s="14"/>
      <c r="NWF586" s="14"/>
      <c r="NWG586" s="14"/>
      <c r="NWH586" s="14"/>
      <c r="NWI586" s="14"/>
      <c r="NWJ586" s="14"/>
      <c r="NWK586" s="14"/>
      <c r="NWL586" s="14"/>
      <c r="NWM586" s="14"/>
      <c r="NWN586" s="14"/>
      <c r="NWO586" s="14"/>
      <c r="NWP586" s="14"/>
      <c r="NWQ586" s="14"/>
      <c r="NWR586" s="14"/>
      <c r="NWS586" s="14"/>
      <c r="NWT586" s="14"/>
      <c r="NWU586" s="14"/>
      <c r="NWV586" s="14"/>
      <c r="NWW586" s="14"/>
      <c r="NWX586" s="14"/>
      <c r="NWY586" s="14"/>
      <c r="NWZ586" s="14"/>
      <c r="NXA586" s="14"/>
      <c r="NXB586" s="14"/>
      <c r="NXC586" s="14"/>
      <c r="NXD586" s="14"/>
      <c r="NXE586" s="14"/>
      <c r="NXF586" s="14"/>
      <c r="NXG586" s="14"/>
      <c r="NXH586" s="14"/>
      <c r="NXI586" s="14"/>
      <c r="NXJ586" s="14"/>
      <c r="NXK586" s="14"/>
      <c r="NXL586" s="14"/>
      <c r="NXM586" s="14"/>
      <c r="NXN586" s="14"/>
      <c r="NXO586" s="14"/>
      <c r="NXP586" s="14"/>
      <c r="NXQ586" s="14"/>
      <c r="NXR586" s="14"/>
      <c r="NXS586" s="14"/>
      <c r="NXT586" s="14"/>
      <c r="NXU586" s="14"/>
      <c r="NXV586" s="14"/>
      <c r="NXW586" s="14"/>
      <c r="NXX586" s="14"/>
      <c r="NXY586" s="14"/>
      <c r="NXZ586" s="14"/>
      <c r="NYA586" s="14"/>
      <c r="NYB586" s="14"/>
      <c r="NYC586" s="14"/>
      <c r="NYD586" s="14"/>
      <c r="NYE586" s="14"/>
      <c r="NYF586" s="14"/>
      <c r="NYG586" s="14"/>
      <c r="NYH586" s="14"/>
      <c r="NYI586" s="14"/>
      <c r="NYJ586" s="14"/>
      <c r="NYK586" s="14"/>
      <c r="NYL586" s="14"/>
      <c r="NYM586" s="14"/>
      <c r="NYN586" s="14"/>
      <c r="NYO586" s="14"/>
      <c r="NYP586" s="14"/>
      <c r="NYQ586" s="14"/>
      <c r="NYR586" s="14"/>
      <c r="NYS586" s="14"/>
      <c r="NYT586" s="14"/>
      <c r="NYU586" s="14"/>
      <c r="NYV586" s="14"/>
      <c r="NYW586" s="14"/>
      <c r="NYX586" s="14"/>
      <c r="NYY586" s="14"/>
      <c r="NYZ586" s="14"/>
      <c r="NZA586" s="14"/>
      <c r="NZB586" s="14"/>
      <c r="NZC586" s="14"/>
      <c r="NZD586" s="14"/>
      <c r="NZE586" s="14"/>
      <c r="NZF586" s="14"/>
      <c r="NZG586" s="14"/>
      <c r="NZH586" s="14"/>
      <c r="NZI586" s="14"/>
      <c r="NZJ586" s="14"/>
      <c r="NZK586" s="14"/>
      <c r="NZL586" s="14"/>
      <c r="NZM586" s="14"/>
      <c r="NZN586" s="14"/>
      <c r="NZO586" s="14"/>
      <c r="NZP586" s="14"/>
      <c r="NZQ586" s="14"/>
      <c r="NZR586" s="14"/>
      <c r="NZS586" s="14"/>
      <c r="NZT586" s="14"/>
      <c r="NZU586" s="14"/>
      <c r="NZV586" s="14"/>
      <c r="NZW586" s="14"/>
      <c r="NZX586" s="14"/>
      <c r="NZY586" s="14"/>
      <c r="NZZ586" s="14"/>
      <c r="OAA586" s="14"/>
      <c r="OAB586" s="14"/>
      <c r="OAC586" s="14"/>
      <c r="OAD586" s="14"/>
      <c r="OAE586" s="14"/>
      <c r="OAF586" s="14"/>
      <c r="OAG586" s="14"/>
      <c r="OAH586" s="14"/>
      <c r="OAI586" s="14"/>
      <c r="OAJ586" s="14"/>
      <c r="OAK586" s="14"/>
      <c r="OAL586" s="14"/>
      <c r="OAM586" s="14"/>
      <c r="OAN586" s="14"/>
      <c r="OAO586" s="14"/>
      <c r="OAP586" s="14"/>
      <c r="OAQ586" s="14"/>
      <c r="OAR586" s="14"/>
      <c r="OAS586" s="14"/>
      <c r="OAT586" s="14"/>
      <c r="OAU586" s="14"/>
      <c r="OAV586" s="14"/>
      <c r="OAW586" s="14"/>
      <c r="OAX586" s="14"/>
      <c r="OAY586" s="14"/>
      <c r="OAZ586" s="14"/>
      <c r="OBA586" s="14"/>
      <c r="OBB586" s="14"/>
      <c r="OBC586" s="14"/>
      <c r="OBD586" s="14"/>
      <c r="OBE586" s="14"/>
      <c r="OBF586" s="14"/>
      <c r="OBG586" s="14"/>
      <c r="OBH586" s="14"/>
      <c r="OBI586" s="14"/>
      <c r="OBJ586" s="14"/>
      <c r="OBK586" s="14"/>
      <c r="OBL586" s="14"/>
      <c r="OBM586" s="14"/>
      <c r="OBN586" s="14"/>
      <c r="OBO586" s="14"/>
      <c r="OBP586" s="14"/>
      <c r="OBQ586" s="14"/>
      <c r="OBR586" s="14"/>
      <c r="OBS586" s="14"/>
      <c r="OBT586" s="14"/>
      <c r="OBU586" s="14"/>
      <c r="OBV586" s="14"/>
      <c r="OBW586" s="14"/>
      <c r="OBX586" s="14"/>
      <c r="OBY586" s="14"/>
      <c r="OBZ586" s="14"/>
      <c r="OCA586" s="14"/>
      <c r="OCB586" s="14"/>
      <c r="OCC586" s="14"/>
      <c r="OCD586" s="14"/>
      <c r="OCE586" s="14"/>
      <c r="OCF586" s="14"/>
      <c r="OCG586" s="14"/>
      <c r="OCH586" s="14"/>
      <c r="OCI586" s="14"/>
      <c r="OCJ586" s="14"/>
      <c r="OCK586" s="14"/>
      <c r="OCL586" s="14"/>
      <c r="OCM586" s="14"/>
      <c r="OCN586" s="14"/>
      <c r="OCO586" s="14"/>
      <c r="OCP586" s="14"/>
      <c r="OCQ586" s="14"/>
      <c r="OCR586" s="14"/>
      <c r="OCS586" s="14"/>
      <c r="OCT586" s="14"/>
      <c r="OCU586" s="14"/>
      <c r="OCV586" s="14"/>
      <c r="OCW586" s="14"/>
      <c r="OCX586" s="14"/>
      <c r="OCY586" s="14"/>
      <c r="OCZ586" s="14"/>
      <c r="ODA586" s="14"/>
      <c r="ODB586" s="14"/>
      <c r="ODC586" s="14"/>
      <c r="ODD586" s="14"/>
      <c r="ODE586" s="14"/>
      <c r="ODF586" s="14"/>
      <c r="ODG586" s="14"/>
      <c r="ODH586" s="14"/>
      <c r="ODI586" s="14"/>
      <c r="ODJ586" s="14"/>
      <c r="ODK586" s="14"/>
      <c r="ODL586" s="14"/>
      <c r="ODM586" s="14"/>
      <c r="ODN586" s="14"/>
      <c r="ODO586" s="14"/>
      <c r="ODP586" s="14"/>
      <c r="ODQ586" s="14"/>
      <c r="ODR586" s="14"/>
      <c r="ODS586" s="14"/>
      <c r="ODT586" s="14"/>
      <c r="ODU586" s="14"/>
      <c r="ODV586" s="14"/>
      <c r="ODW586" s="14"/>
      <c r="ODX586" s="14"/>
      <c r="ODY586" s="14"/>
      <c r="ODZ586" s="14"/>
      <c r="OEA586" s="14"/>
      <c r="OEB586" s="14"/>
      <c r="OEC586" s="14"/>
      <c r="OED586" s="14"/>
      <c r="OEE586" s="14"/>
      <c r="OEF586" s="14"/>
      <c r="OEG586" s="14"/>
      <c r="OEH586" s="14"/>
      <c r="OEI586" s="14"/>
      <c r="OEJ586" s="14"/>
      <c r="OEK586" s="14"/>
      <c r="OEL586" s="14"/>
      <c r="OEM586" s="14"/>
      <c r="OEN586" s="14"/>
      <c r="OEO586" s="14"/>
      <c r="OEP586" s="14"/>
      <c r="OEQ586" s="14"/>
      <c r="OER586" s="14"/>
      <c r="OES586" s="14"/>
      <c r="OET586" s="14"/>
      <c r="OEU586" s="14"/>
      <c r="OEV586" s="14"/>
      <c r="OEW586" s="14"/>
      <c r="OEX586" s="14"/>
      <c r="OEY586" s="14"/>
      <c r="OEZ586" s="14"/>
      <c r="OFA586" s="14"/>
      <c r="OFB586" s="14"/>
      <c r="OFC586" s="14"/>
      <c r="OFD586" s="14"/>
      <c r="OFE586" s="14"/>
      <c r="OFF586" s="14"/>
      <c r="OFG586" s="14"/>
      <c r="OFH586" s="14"/>
      <c r="OFI586" s="14"/>
      <c r="OFJ586" s="14"/>
      <c r="OFK586" s="14"/>
      <c r="OFL586" s="14"/>
      <c r="OFM586" s="14"/>
      <c r="OFN586" s="14"/>
      <c r="OFO586" s="14"/>
      <c r="OFP586" s="14"/>
      <c r="OFQ586" s="14"/>
      <c r="OFR586" s="14"/>
      <c r="OFS586" s="14"/>
      <c r="OFT586" s="14"/>
      <c r="OFU586" s="14"/>
      <c r="OFV586" s="14"/>
      <c r="OFW586" s="14"/>
      <c r="OFX586" s="14"/>
      <c r="OFY586" s="14"/>
      <c r="OFZ586" s="14"/>
      <c r="OGA586" s="14"/>
      <c r="OGB586" s="14"/>
      <c r="OGC586" s="14"/>
      <c r="OGD586" s="14"/>
      <c r="OGE586" s="14"/>
      <c r="OGF586" s="14"/>
      <c r="OGG586" s="14"/>
      <c r="OGH586" s="14"/>
      <c r="OGI586" s="14"/>
      <c r="OGJ586" s="14"/>
      <c r="OGK586" s="14"/>
      <c r="OGL586" s="14"/>
      <c r="OGM586" s="14"/>
      <c r="OGN586" s="14"/>
      <c r="OGO586" s="14"/>
      <c r="OGP586" s="14"/>
      <c r="OGQ586" s="14"/>
      <c r="OGR586" s="14"/>
      <c r="OGS586" s="14"/>
      <c r="OGT586" s="14"/>
      <c r="OGU586" s="14"/>
      <c r="OGV586" s="14"/>
      <c r="OGW586" s="14"/>
      <c r="OGX586" s="14"/>
      <c r="OGY586" s="14"/>
      <c r="OGZ586" s="14"/>
      <c r="OHA586" s="14"/>
      <c r="OHB586" s="14"/>
      <c r="OHC586" s="14"/>
      <c r="OHD586" s="14"/>
      <c r="OHE586" s="14"/>
      <c r="OHF586" s="14"/>
      <c r="OHG586" s="14"/>
      <c r="OHH586" s="14"/>
      <c r="OHI586" s="14"/>
      <c r="OHJ586" s="14"/>
      <c r="OHK586" s="14"/>
      <c r="OHL586" s="14"/>
      <c r="OHM586" s="14"/>
      <c r="OHN586" s="14"/>
      <c r="OHO586" s="14"/>
      <c r="OHP586" s="14"/>
      <c r="OHQ586" s="14"/>
      <c r="OHR586" s="14"/>
      <c r="OHS586" s="14"/>
      <c r="OHT586" s="14"/>
      <c r="OHU586" s="14"/>
      <c r="OHV586" s="14"/>
      <c r="OHW586" s="14"/>
      <c r="OHX586" s="14"/>
      <c r="OHY586" s="14"/>
      <c r="OHZ586" s="14"/>
      <c r="OIA586" s="14"/>
      <c r="OIB586" s="14"/>
      <c r="OIC586" s="14"/>
      <c r="OID586" s="14"/>
      <c r="OIE586" s="14"/>
      <c r="OIF586" s="14"/>
      <c r="OIG586" s="14"/>
      <c r="OIH586" s="14"/>
      <c r="OII586" s="14"/>
      <c r="OIJ586" s="14"/>
      <c r="OIK586" s="14"/>
      <c r="OIL586" s="14"/>
      <c r="OIM586" s="14"/>
      <c r="OIN586" s="14"/>
      <c r="OIO586" s="14"/>
      <c r="OIP586" s="14"/>
      <c r="OIQ586" s="14"/>
      <c r="OIR586" s="14"/>
      <c r="OIS586" s="14"/>
      <c r="OIT586" s="14"/>
      <c r="OIU586" s="14"/>
      <c r="OIV586" s="14"/>
      <c r="OIW586" s="14"/>
      <c r="OIX586" s="14"/>
      <c r="OIY586" s="14"/>
      <c r="OIZ586" s="14"/>
      <c r="OJA586" s="14"/>
      <c r="OJB586" s="14"/>
      <c r="OJC586" s="14"/>
      <c r="OJD586" s="14"/>
      <c r="OJE586" s="14"/>
      <c r="OJF586" s="14"/>
      <c r="OJG586" s="14"/>
      <c r="OJH586" s="14"/>
      <c r="OJI586" s="14"/>
      <c r="OJJ586" s="14"/>
      <c r="OJK586" s="14"/>
      <c r="OJL586" s="14"/>
      <c r="OJM586" s="14"/>
      <c r="OJN586" s="14"/>
      <c r="OJO586" s="14"/>
      <c r="OJP586" s="14"/>
      <c r="OJQ586" s="14"/>
      <c r="OJR586" s="14"/>
      <c r="OJS586" s="14"/>
      <c r="OJT586" s="14"/>
      <c r="OJU586" s="14"/>
      <c r="OJV586" s="14"/>
      <c r="OJW586" s="14"/>
      <c r="OJX586" s="14"/>
      <c r="OJY586" s="14"/>
      <c r="OJZ586" s="14"/>
      <c r="OKA586" s="14"/>
      <c r="OKB586" s="14"/>
      <c r="OKC586" s="14"/>
      <c r="OKD586" s="14"/>
      <c r="OKE586" s="14"/>
      <c r="OKF586" s="14"/>
      <c r="OKG586" s="14"/>
      <c r="OKH586" s="14"/>
      <c r="OKI586" s="14"/>
      <c r="OKJ586" s="14"/>
      <c r="OKK586" s="14"/>
      <c r="OKL586" s="14"/>
      <c r="OKM586" s="14"/>
      <c r="OKN586" s="14"/>
      <c r="OKO586" s="14"/>
      <c r="OKP586" s="14"/>
      <c r="OKQ586" s="14"/>
      <c r="OKR586" s="14"/>
      <c r="OKS586" s="14"/>
      <c r="OKT586" s="14"/>
      <c r="OKU586" s="14"/>
      <c r="OKV586" s="14"/>
      <c r="OKW586" s="14"/>
      <c r="OKX586" s="14"/>
      <c r="OKY586" s="14"/>
      <c r="OKZ586" s="14"/>
      <c r="OLA586" s="14"/>
      <c r="OLB586" s="14"/>
      <c r="OLC586" s="14"/>
      <c r="OLD586" s="14"/>
      <c r="OLE586" s="14"/>
      <c r="OLF586" s="14"/>
      <c r="OLG586" s="14"/>
      <c r="OLH586" s="14"/>
      <c r="OLI586" s="14"/>
      <c r="OLJ586" s="14"/>
      <c r="OLK586" s="14"/>
      <c r="OLL586" s="14"/>
      <c r="OLM586" s="14"/>
      <c r="OLN586" s="14"/>
      <c r="OLO586" s="14"/>
      <c r="OLP586" s="14"/>
      <c r="OLQ586" s="14"/>
      <c r="OLR586" s="14"/>
      <c r="OLS586" s="14"/>
      <c r="OLT586" s="14"/>
      <c r="OLU586" s="14"/>
      <c r="OLV586" s="14"/>
      <c r="OLW586" s="14"/>
      <c r="OLX586" s="14"/>
      <c r="OLY586" s="14"/>
      <c r="OLZ586" s="14"/>
      <c r="OMA586" s="14"/>
      <c r="OMB586" s="14"/>
      <c r="OMC586" s="14"/>
      <c r="OMD586" s="14"/>
      <c r="OME586" s="14"/>
      <c r="OMF586" s="14"/>
      <c r="OMG586" s="14"/>
      <c r="OMH586" s="14"/>
      <c r="OMI586" s="14"/>
      <c r="OMJ586" s="14"/>
      <c r="OMK586" s="14"/>
      <c r="OML586" s="14"/>
      <c r="OMM586" s="14"/>
      <c r="OMN586" s="14"/>
      <c r="OMO586" s="14"/>
      <c r="OMP586" s="14"/>
      <c r="OMQ586" s="14"/>
      <c r="OMR586" s="14"/>
      <c r="OMS586" s="14"/>
      <c r="OMT586" s="14"/>
      <c r="OMU586" s="14"/>
      <c r="OMV586" s="14"/>
      <c r="OMW586" s="14"/>
      <c r="OMX586" s="14"/>
      <c r="OMY586" s="14"/>
      <c r="OMZ586" s="14"/>
      <c r="ONA586" s="14"/>
      <c r="ONB586" s="14"/>
      <c r="ONC586" s="14"/>
      <c r="OND586" s="14"/>
      <c r="ONE586" s="14"/>
      <c r="ONF586" s="14"/>
      <c r="ONG586" s="14"/>
      <c r="ONH586" s="14"/>
      <c r="ONI586" s="14"/>
      <c r="ONJ586" s="14"/>
      <c r="ONK586" s="14"/>
      <c r="ONL586" s="14"/>
      <c r="ONM586" s="14"/>
      <c r="ONN586" s="14"/>
      <c r="ONO586" s="14"/>
      <c r="ONP586" s="14"/>
      <c r="ONQ586" s="14"/>
      <c r="ONR586" s="14"/>
      <c r="ONS586" s="14"/>
      <c r="ONT586" s="14"/>
      <c r="ONU586" s="14"/>
      <c r="ONV586" s="14"/>
      <c r="ONW586" s="14"/>
      <c r="ONX586" s="14"/>
      <c r="ONY586" s="14"/>
      <c r="ONZ586" s="14"/>
      <c r="OOA586" s="14"/>
      <c r="OOB586" s="14"/>
      <c r="OOC586" s="14"/>
      <c r="OOD586" s="14"/>
      <c r="OOE586" s="14"/>
      <c r="OOF586" s="14"/>
      <c r="OOG586" s="14"/>
      <c r="OOH586" s="14"/>
      <c r="OOI586" s="14"/>
      <c r="OOJ586" s="14"/>
      <c r="OOK586" s="14"/>
      <c r="OOL586" s="14"/>
      <c r="OOM586" s="14"/>
      <c r="OON586" s="14"/>
      <c r="OOO586" s="14"/>
      <c r="OOP586" s="14"/>
      <c r="OOQ586" s="14"/>
      <c r="OOR586" s="14"/>
      <c r="OOS586" s="14"/>
      <c r="OOT586" s="14"/>
      <c r="OOU586" s="14"/>
      <c r="OOV586" s="14"/>
      <c r="OOW586" s="14"/>
      <c r="OOX586" s="14"/>
      <c r="OOY586" s="14"/>
      <c r="OOZ586" s="14"/>
      <c r="OPA586" s="14"/>
      <c r="OPB586" s="14"/>
      <c r="OPC586" s="14"/>
      <c r="OPD586" s="14"/>
      <c r="OPE586" s="14"/>
      <c r="OPF586" s="14"/>
      <c r="OPG586" s="14"/>
      <c r="OPH586" s="14"/>
      <c r="OPI586" s="14"/>
      <c r="OPJ586" s="14"/>
      <c r="OPK586" s="14"/>
      <c r="OPL586" s="14"/>
      <c r="OPM586" s="14"/>
      <c r="OPN586" s="14"/>
      <c r="OPO586" s="14"/>
      <c r="OPP586" s="14"/>
      <c r="OPQ586" s="14"/>
      <c r="OPR586" s="14"/>
      <c r="OPS586" s="14"/>
      <c r="OPT586" s="14"/>
      <c r="OPU586" s="14"/>
      <c r="OPV586" s="14"/>
      <c r="OPW586" s="14"/>
      <c r="OPX586" s="14"/>
      <c r="OPY586" s="14"/>
      <c r="OPZ586" s="14"/>
      <c r="OQA586" s="14"/>
      <c r="OQB586" s="14"/>
      <c r="OQC586" s="14"/>
      <c r="OQD586" s="14"/>
      <c r="OQE586" s="14"/>
      <c r="OQF586" s="14"/>
      <c r="OQG586" s="14"/>
      <c r="OQH586" s="14"/>
      <c r="OQI586" s="14"/>
      <c r="OQJ586" s="14"/>
      <c r="OQK586" s="14"/>
      <c r="OQL586" s="14"/>
      <c r="OQM586" s="14"/>
      <c r="OQN586" s="14"/>
      <c r="OQO586" s="14"/>
      <c r="OQP586" s="14"/>
      <c r="OQQ586" s="14"/>
      <c r="OQR586" s="14"/>
      <c r="OQS586" s="14"/>
      <c r="OQT586" s="14"/>
      <c r="OQU586" s="14"/>
      <c r="OQV586" s="14"/>
      <c r="OQW586" s="14"/>
      <c r="OQX586" s="14"/>
      <c r="OQY586" s="14"/>
      <c r="OQZ586" s="14"/>
      <c r="ORA586" s="14"/>
      <c r="ORB586" s="14"/>
      <c r="ORC586" s="14"/>
      <c r="ORD586" s="14"/>
      <c r="ORE586" s="14"/>
      <c r="ORF586" s="14"/>
      <c r="ORG586" s="14"/>
      <c r="ORH586" s="14"/>
      <c r="ORI586" s="14"/>
      <c r="ORJ586" s="14"/>
      <c r="ORK586" s="14"/>
      <c r="ORL586" s="14"/>
      <c r="ORM586" s="14"/>
      <c r="ORN586" s="14"/>
      <c r="ORO586" s="14"/>
      <c r="ORP586" s="14"/>
      <c r="ORQ586" s="14"/>
      <c r="ORR586" s="14"/>
      <c r="ORS586" s="14"/>
      <c r="ORT586" s="14"/>
      <c r="ORU586" s="14"/>
      <c r="ORV586" s="14"/>
      <c r="ORW586" s="14"/>
      <c r="ORX586" s="14"/>
      <c r="ORY586" s="14"/>
      <c r="ORZ586" s="14"/>
      <c r="OSA586" s="14"/>
      <c r="OSB586" s="14"/>
      <c r="OSC586" s="14"/>
      <c r="OSD586" s="14"/>
      <c r="OSE586" s="14"/>
      <c r="OSF586" s="14"/>
      <c r="OSG586" s="14"/>
      <c r="OSH586" s="14"/>
      <c r="OSI586" s="14"/>
      <c r="OSJ586" s="14"/>
      <c r="OSK586" s="14"/>
      <c r="OSL586" s="14"/>
      <c r="OSM586" s="14"/>
      <c r="OSN586" s="14"/>
      <c r="OSO586" s="14"/>
      <c r="OSP586" s="14"/>
      <c r="OSQ586" s="14"/>
      <c r="OSR586" s="14"/>
      <c r="OSS586" s="14"/>
      <c r="OST586" s="14"/>
      <c r="OSU586" s="14"/>
      <c r="OSV586" s="14"/>
      <c r="OSW586" s="14"/>
      <c r="OSX586" s="14"/>
      <c r="OSY586" s="14"/>
      <c r="OSZ586" s="14"/>
      <c r="OTA586" s="14"/>
      <c r="OTB586" s="14"/>
      <c r="OTC586" s="14"/>
      <c r="OTD586" s="14"/>
      <c r="OTE586" s="14"/>
      <c r="OTF586" s="14"/>
      <c r="OTG586" s="14"/>
      <c r="OTH586" s="14"/>
      <c r="OTI586" s="14"/>
      <c r="OTJ586" s="14"/>
      <c r="OTK586" s="14"/>
      <c r="OTL586" s="14"/>
      <c r="OTM586" s="14"/>
      <c r="OTN586" s="14"/>
      <c r="OTO586" s="14"/>
      <c r="OTP586" s="14"/>
      <c r="OTQ586" s="14"/>
      <c r="OTR586" s="14"/>
      <c r="OTS586" s="14"/>
      <c r="OTT586" s="14"/>
      <c r="OTU586" s="14"/>
      <c r="OTV586" s="14"/>
      <c r="OTW586" s="14"/>
      <c r="OTX586" s="14"/>
      <c r="OTY586" s="14"/>
      <c r="OTZ586" s="14"/>
      <c r="OUA586" s="14"/>
      <c r="OUB586" s="14"/>
      <c r="OUC586" s="14"/>
      <c r="OUD586" s="14"/>
      <c r="OUE586" s="14"/>
      <c r="OUF586" s="14"/>
      <c r="OUG586" s="14"/>
      <c r="OUH586" s="14"/>
      <c r="OUI586" s="14"/>
      <c r="OUJ586" s="14"/>
      <c r="OUK586" s="14"/>
      <c r="OUL586" s="14"/>
      <c r="OUM586" s="14"/>
      <c r="OUN586" s="14"/>
      <c r="OUO586" s="14"/>
      <c r="OUP586" s="14"/>
      <c r="OUQ586" s="14"/>
      <c r="OUR586" s="14"/>
      <c r="OUS586" s="14"/>
      <c r="OUT586" s="14"/>
      <c r="OUU586" s="14"/>
      <c r="OUV586" s="14"/>
      <c r="OUW586" s="14"/>
      <c r="OUX586" s="14"/>
      <c r="OUY586" s="14"/>
      <c r="OUZ586" s="14"/>
      <c r="OVA586" s="14"/>
      <c r="OVB586" s="14"/>
      <c r="OVC586" s="14"/>
      <c r="OVD586" s="14"/>
      <c r="OVE586" s="14"/>
      <c r="OVF586" s="14"/>
      <c r="OVG586" s="14"/>
      <c r="OVH586" s="14"/>
      <c r="OVI586" s="14"/>
      <c r="OVJ586" s="14"/>
      <c r="OVK586" s="14"/>
      <c r="OVL586" s="14"/>
      <c r="OVM586" s="14"/>
      <c r="OVN586" s="14"/>
      <c r="OVO586" s="14"/>
      <c r="OVP586" s="14"/>
      <c r="OVQ586" s="14"/>
      <c r="OVR586" s="14"/>
      <c r="OVS586" s="14"/>
      <c r="OVT586" s="14"/>
      <c r="OVU586" s="14"/>
      <c r="OVV586" s="14"/>
      <c r="OVW586" s="14"/>
      <c r="OVX586" s="14"/>
      <c r="OVY586" s="14"/>
      <c r="OVZ586" s="14"/>
      <c r="OWA586" s="14"/>
      <c r="OWB586" s="14"/>
      <c r="OWC586" s="14"/>
      <c r="OWD586" s="14"/>
      <c r="OWE586" s="14"/>
      <c r="OWF586" s="14"/>
      <c r="OWG586" s="14"/>
      <c r="OWH586" s="14"/>
      <c r="OWI586" s="14"/>
      <c r="OWJ586" s="14"/>
      <c r="OWK586" s="14"/>
      <c r="OWL586" s="14"/>
      <c r="OWM586" s="14"/>
      <c r="OWN586" s="14"/>
      <c r="OWO586" s="14"/>
      <c r="OWP586" s="14"/>
      <c r="OWQ586" s="14"/>
      <c r="OWR586" s="14"/>
      <c r="OWS586" s="14"/>
      <c r="OWT586" s="14"/>
      <c r="OWU586" s="14"/>
      <c r="OWV586" s="14"/>
      <c r="OWW586" s="14"/>
      <c r="OWX586" s="14"/>
      <c r="OWY586" s="14"/>
      <c r="OWZ586" s="14"/>
      <c r="OXA586" s="14"/>
      <c r="OXB586" s="14"/>
      <c r="OXC586" s="14"/>
      <c r="OXD586" s="14"/>
      <c r="OXE586" s="14"/>
      <c r="OXF586" s="14"/>
      <c r="OXG586" s="14"/>
      <c r="OXH586" s="14"/>
      <c r="OXI586" s="14"/>
      <c r="OXJ586" s="14"/>
      <c r="OXK586" s="14"/>
      <c r="OXL586" s="14"/>
      <c r="OXM586" s="14"/>
      <c r="OXN586" s="14"/>
      <c r="OXO586" s="14"/>
      <c r="OXP586" s="14"/>
      <c r="OXQ586" s="14"/>
      <c r="OXR586" s="14"/>
      <c r="OXS586" s="14"/>
      <c r="OXT586" s="14"/>
      <c r="OXU586" s="14"/>
      <c r="OXV586" s="14"/>
      <c r="OXW586" s="14"/>
      <c r="OXX586" s="14"/>
      <c r="OXY586" s="14"/>
      <c r="OXZ586" s="14"/>
      <c r="OYA586" s="14"/>
      <c r="OYB586" s="14"/>
      <c r="OYC586" s="14"/>
      <c r="OYD586" s="14"/>
      <c r="OYE586" s="14"/>
      <c r="OYF586" s="14"/>
      <c r="OYG586" s="14"/>
      <c r="OYH586" s="14"/>
      <c r="OYI586" s="14"/>
      <c r="OYJ586" s="14"/>
      <c r="OYK586" s="14"/>
      <c r="OYL586" s="14"/>
      <c r="OYM586" s="14"/>
      <c r="OYN586" s="14"/>
      <c r="OYO586" s="14"/>
      <c r="OYP586" s="14"/>
      <c r="OYQ586" s="14"/>
      <c r="OYR586" s="14"/>
      <c r="OYS586" s="14"/>
      <c r="OYT586" s="14"/>
      <c r="OYU586" s="14"/>
      <c r="OYV586" s="14"/>
      <c r="OYW586" s="14"/>
      <c r="OYX586" s="14"/>
      <c r="OYY586" s="14"/>
      <c r="OYZ586" s="14"/>
      <c r="OZA586" s="14"/>
      <c r="OZB586" s="14"/>
      <c r="OZC586" s="14"/>
      <c r="OZD586" s="14"/>
      <c r="OZE586" s="14"/>
      <c r="OZF586" s="14"/>
      <c r="OZG586" s="14"/>
      <c r="OZH586" s="14"/>
      <c r="OZI586" s="14"/>
      <c r="OZJ586" s="14"/>
      <c r="OZK586" s="14"/>
      <c r="OZL586" s="14"/>
      <c r="OZM586" s="14"/>
      <c r="OZN586" s="14"/>
      <c r="OZO586" s="14"/>
      <c r="OZP586" s="14"/>
      <c r="OZQ586" s="14"/>
      <c r="OZR586" s="14"/>
      <c r="OZS586" s="14"/>
      <c r="OZT586" s="14"/>
      <c r="OZU586" s="14"/>
      <c r="OZV586" s="14"/>
      <c r="OZW586" s="14"/>
      <c r="OZX586" s="14"/>
      <c r="OZY586" s="14"/>
      <c r="OZZ586" s="14"/>
      <c r="PAA586" s="14"/>
      <c r="PAB586" s="14"/>
      <c r="PAC586" s="14"/>
      <c r="PAD586" s="14"/>
      <c r="PAE586" s="14"/>
      <c r="PAF586" s="14"/>
      <c r="PAG586" s="14"/>
      <c r="PAH586" s="14"/>
      <c r="PAI586" s="14"/>
      <c r="PAJ586" s="14"/>
      <c r="PAK586" s="14"/>
      <c r="PAL586" s="14"/>
      <c r="PAM586" s="14"/>
      <c r="PAN586" s="14"/>
      <c r="PAO586" s="14"/>
      <c r="PAP586" s="14"/>
      <c r="PAQ586" s="14"/>
      <c r="PAR586" s="14"/>
      <c r="PAS586" s="14"/>
      <c r="PAT586" s="14"/>
      <c r="PAU586" s="14"/>
      <c r="PAV586" s="14"/>
      <c r="PAW586" s="14"/>
      <c r="PAX586" s="14"/>
      <c r="PAY586" s="14"/>
      <c r="PAZ586" s="14"/>
      <c r="PBA586" s="14"/>
      <c r="PBB586" s="14"/>
      <c r="PBC586" s="14"/>
      <c r="PBD586" s="14"/>
      <c r="PBE586" s="14"/>
      <c r="PBF586" s="14"/>
      <c r="PBG586" s="14"/>
      <c r="PBH586" s="14"/>
      <c r="PBI586" s="14"/>
      <c r="PBJ586" s="14"/>
      <c r="PBK586" s="14"/>
      <c r="PBL586" s="14"/>
      <c r="PBM586" s="14"/>
      <c r="PBN586" s="14"/>
      <c r="PBO586" s="14"/>
      <c r="PBP586" s="14"/>
      <c r="PBQ586" s="14"/>
      <c r="PBR586" s="14"/>
      <c r="PBS586" s="14"/>
      <c r="PBT586" s="14"/>
      <c r="PBU586" s="14"/>
      <c r="PBV586" s="14"/>
      <c r="PBW586" s="14"/>
      <c r="PBX586" s="14"/>
      <c r="PBY586" s="14"/>
      <c r="PBZ586" s="14"/>
      <c r="PCA586" s="14"/>
      <c r="PCB586" s="14"/>
      <c r="PCC586" s="14"/>
      <c r="PCD586" s="14"/>
      <c r="PCE586" s="14"/>
      <c r="PCF586" s="14"/>
      <c r="PCG586" s="14"/>
      <c r="PCH586" s="14"/>
      <c r="PCI586" s="14"/>
      <c r="PCJ586" s="14"/>
      <c r="PCK586" s="14"/>
      <c r="PCL586" s="14"/>
      <c r="PCM586" s="14"/>
      <c r="PCN586" s="14"/>
      <c r="PCO586" s="14"/>
      <c r="PCP586" s="14"/>
      <c r="PCQ586" s="14"/>
      <c r="PCR586" s="14"/>
      <c r="PCS586" s="14"/>
      <c r="PCT586" s="14"/>
      <c r="PCU586" s="14"/>
      <c r="PCV586" s="14"/>
      <c r="PCW586" s="14"/>
      <c r="PCX586" s="14"/>
      <c r="PCY586" s="14"/>
      <c r="PCZ586" s="14"/>
      <c r="PDA586" s="14"/>
      <c r="PDB586" s="14"/>
      <c r="PDC586" s="14"/>
      <c r="PDD586" s="14"/>
      <c r="PDE586" s="14"/>
      <c r="PDF586" s="14"/>
      <c r="PDG586" s="14"/>
      <c r="PDH586" s="14"/>
      <c r="PDI586" s="14"/>
      <c r="PDJ586" s="14"/>
      <c r="PDK586" s="14"/>
      <c r="PDL586" s="14"/>
      <c r="PDM586" s="14"/>
      <c r="PDN586" s="14"/>
      <c r="PDO586" s="14"/>
      <c r="PDP586" s="14"/>
      <c r="PDQ586" s="14"/>
      <c r="PDR586" s="14"/>
      <c r="PDS586" s="14"/>
      <c r="PDT586" s="14"/>
      <c r="PDU586" s="14"/>
      <c r="PDV586" s="14"/>
      <c r="PDW586" s="14"/>
      <c r="PDX586" s="14"/>
      <c r="PDY586" s="14"/>
      <c r="PDZ586" s="14"/>
      <c r="PEA586" s="14"/>
      <c r="PEB586" s="14"/>
      <c r="PEC586" s="14"/>
      <c r="PED586" s="14"/>
      <c r="PEE586" s="14"/>
      <c r="PEF586" s="14"/>
      <c r="PEG586" s="14"/>
      <c r="PEH586" s="14"/>
      <c r="PEI586" s="14"/>
      <c r="PEJ586" s="14"/>
      <c r="PEK586" s="14"/>
      <c r="PEL586" s="14"/>
      <c r="PEM586" s="14"/>
      <c r="PEN586" s="14"/>
      <c r="PEO586" s="14"/>
      <c r="PEP586" s="14"/>
      <c r="PEQ586" s="14"/>
      <c r="PER586" s="14"/>
      <c r="PES586" s="14"/>
      <c r="PET586" s="14"/>
      <c r="PEU586" s="14"/>
      <c r="PEV586" s="14"/>
      <c r="PEW586" s="14"/>
      <c r="PEX586" s="14"/>
      <c r="PEY586" s="14"/>
      <c r="PEZ586" s="14"/>
      <c r="PFA586" s="14"/>
      <c r="PFB586" s="14"/>
      <c r="PFC586" s="14"/>
      <c r="PFD586" s="14"/>
      <c r="PFE586" s="14"/>
      <c r="PFF586" s="14"/>
      <c r="PFG586" s="14"/>
      <c r="PFH586" s="14"/>
      <c r="PFI586" s="14"/>
      <c r="PFJ586" s="14"/>
      <c r="PFK586" s="14"/>
      <c r="PFL586" s="14"/>
      <c r="PFM586" s="14"/>
      <c r="PFN586" s="14"/>
      <c r="PFO586" s="14"/>
      <c r="PFP586" s="14"/>
      <c r="PFQ586" s="14"/>
      <c r="PFR586" s="14"/>
      <c r="PFS586" s="14"/>
      <c r="PFT586" s="14"/>
      <c r="PFU586" s="14"/>
      <c r="PFV586" s="14"/>
      <c r="PFW586" s="14"/>
      <c r="PFX586" s="14"/>
      <c r="PFY586" s="14"/>
      <c r="PFZ586" s="14"/>
      <c r="PGA586" s="14"/>
      <c r="PGB586" s="14"/>
      <c r="PGC586" s="14"/>
      <c r="PGD586" s="14"/>
      <c r="PGE586" s="14"/>
      <c r="PGF586" s="14"/>
      <c r="PGG586" s="14"/>
      <c r="PGH586" s="14"/>
      <c r="PGI586" s="14"/>
      <c r="PGJ586" s="14"/>
      <c r="PGK586" s="14"/>
      <c r="PGL586" s="14"/>
      <c r="PGM586" s="14"/>
      <c r="PGN586" s="14"/>
      <c r="PGO586" s="14"/>
      <c r="PGP586" s="14"/>
      <c r="PGQ586" s="14"/>
      <c r="PGR586" s="14"/>
      <c r="PGS586" s="14"/>
      <c r="PGT586" s="14"/>
      <c r="PGU586" s="14"/>
      <c r="PGV586" s="14"/>
      <c r="PGW586" s="14"/>
      <c r="PGX586" s="14"/>
      <c r="PGY586" s="14"/>
      <c r="PGZ586" s="14"/>
      <c r="PHA586" s="14"/>
      <c r="PHB586" s="14"/>
      <c r="PHC586" s="14"/>
      <c r="PHD586" s="14"/>
      <c r="PHE586" s="14"/>
      <c r="PHF586" s="14"/>
      <c r="PHG586" s="14"/>
      <c r="PHH586" s="14"/>
      <c r="PHI586" s="14"/>
      <c r="PHJ586" s="14"/>
      <c r="PHK586" s="14"/>
      <c r="PHL586" s="14"/>
      <c r="PHM586" s="14"/>
      <c r="PHN586" s="14"/>
      <c r="PHO586" s="14"/>
      <c r="PHP586" s="14"/>
      <c r="PHQ586" s="14"/>
      <c r="PHR586" s="14"/>
      <c r="PHS586" s="14"/>
      <c r="PHT586" s="14"/>
      <c r="PHU586" s="14"/>
      <c r="PHV586" s="14"/>
      <c r="PHW586" s="14"/>
      <c r="PHX586" s="14"/>
      <c r="PHY586" s="14"/>
      <c r="PHZ586" s="14"/>
      <c r="PIA586" s="14"/>
      <c r="PIB586" s="14"/>
      <c r="PIC586" s="14"/>
      <c r="PID586" s="14"/>
      <c r="PIE586" s="14"/>
      <c r="PIF586" s="14"/>
      <c r="PIG586" s="14"/>
      <c r="PIH586" s="14"/>
      <c r="PII586" s="14"/>
      <c r="PIJ586" s="14"/>
      <c r="PIK586" s="14"/>
      <c r="PIL586" s="14"/>
      <c r="PIM586" s="14"/>
      <c r="PIN586" s="14"/>
      <c r="PIO586" s="14"/>
      <c r="PIP586" s="14"/>
      <c r="PIQ586" s="14"/>
      <c r="PIR586" s="14"/>
      <c r="PIS586" s="14"/>
      <c r="PIT586" s="14"/>
      <c r="PIU586" s="14"/>
      <c r="PIV586" s="14"/>
      <c r="PIW586" s="14"/>
      <c r="PIX586" s="14"/>
      <c r="PIY586" s="14"/>
      <c r="PIZ586" s="14"/>
      <c r="PJA586" s="14"/>
      <c r="PJB586" s="14"/>
      <c r="PJC586" s="14"/>
      <c r="PJD586" s="14"/>
      <c r="PJE586" s="14"/>
      <c r="PJF586" s="14"/>
      <c r="PJG586" s="14"/>
      <c r="PJH586" s="14"/>
      <c r="PJI586" s="14"/>
      <c r="PJJ586" s="14"/>
      <c r="PJK586" s="14"/>
      <c r="PJL586" s="14"/>
      <c r="PJM586" s="14"/>
      <c r="PJN586" s="14"/>
      <c r="PJO586" s="14"/>
      <c r="PJP586" s="14"/>
      <c r="PJQ586" s="14"/>
      <c r="PJR586" s="14"/>
      <c r="PJS586" s="14"/>
      <c r="PJT586" s="14"/>
      <c r="PJU586" s="14"/>
      <c r="PJV586" s="14"/>
      <c r="PJW586" s="14"/>
      <c r="PJX586" s="14"/>
      <c r="PJY586" s="14"/>
      <c r="PJZ586" s="14"/>
      <c r="PKA586" s="14"/>
      <c r="PKB586" s="14"/>
      <c r="PKC586" s="14"/>
      <c r="PKD586" s="14"/>
      <c r="PKE586" s="14"/>
      <c r="PKF586" s="14"/>
      <c r="PKG586" s="14"/>
      <c r="PKH586" s="14"/>
      <c r="PKI586" s="14"/>
      <c r="PKJ586" s="14"/>
      <c r="PKK586" s="14"/>
      <c r="PKL586" s="14"/>
      <c r="PKM586" s="14"/>
      <c r="PKN586" s="14"/>
      <c r="PKO586" s="14"/>
      <c r="PKP586" s="14"/>
      <c r="PKQ586" s="14"/>
      <c r="PKR586" s="14"/>
      <c r="PKS586" s="14"/>
      <c r="PKT586" s="14"/>
      <c r="PKU586" s="14"/>
      <c r="PKV586" s="14"/>
      <c r="PKW586" s="14"/>
      <c r="PKX586" s="14"/>
      <c r="PKY586" s="14"/>
      <c r="PKZ586" s="14"/>
      <c r="PLA586" s="14"/>
      <c r="PLB586" s="14"/>
      <c r="PLC586" s="14"/>
      <c r="PLD586" s="14"/>
      <c r="PLE586" s="14"/>
      <c r="PLF586" s="14"/>
      <c r="PLG586" s="14"/>
      <c r="PLH586" s="14"/>
      <c r="PLI586" s="14"/>
      <c r="PLJ586" s="14"/>
      <c r="PLK586" s="14"/>
      <c r="PLL586" s="14"/>
      <c r="PLM586" s="14"/>
      <c r="PLN586" s="14"/>
      <c r="PLO586" s="14"/>
      <c r="PLP586" s="14"/>
      <c r="PLQ586" s="14"/>
      <c r="PLR586" s="14"/>
      <c r="PLS586" s="14"/>
      <c r="PLT586" s="14"/>
      <c r="PLU586" s="14"/>
      <c r="PLV586" s="14"/>
      <c r="PLW586" s="14"/>
      <c r="PLX586" s="14"/>
      <c r="PLY586" s="14"/>
      <c r="PLZ586" s="14"/>
      <c r="PMA586" s="14"/>
      <c r="PMB586" s="14"/>
      <c r="PMC586" s="14"/>
      <c r="PMD586" s="14"/>
      <c r="PME586" s="14"/>
      <c r="PMF586" s="14"/>
      <c r="PMG586" s="14"/>
      <c r="PMH586" s="14"/>
      <c r="PMI586" s="14"/>
      <c r="PMJ586" s="14"/>
      <c r="PMK586" s="14"/>
      <c r="PML586" s="14"/>
      <c r="PMM586" s="14"/>
      <c r="PMN586" s="14"/>
      <c r="PMO586" s="14"/>
      <c r="PMP586" s="14"/>
      <c r="PMQ586" s="14"/>
      <c r="PMR586" s="14"/>
      <c r="PMS586" s="14"/>
      <c r="PMT586" s="14"/>
      <c r="PMU586" s="14"/>
      <c r="PMV586" s="14"/>
      <c r="PMW586" s="14"/>
      <c r="PMX586" s="14"/>
      <c r="PMY586" s="14"/>
      <c r="PMZ586" s="14"/>
      <c r="PNA586" s="14"/>
      <c r="PNB586" s="14"/>
      <c r="PNC586" s="14"/>
      <c r="PND586" s="14"/>
      <c r="PNE586" s="14"/>
      <c r="PNF586" s="14"/>
      <c r="PNG586" s="14"/>
      <c r="PNH586" s="14"/>
      <c r="PNI586" s="14"/>
      <c r="PNJ586" s="14"/>
      <c r="PNK586" s="14"/>
      <c r="PNL586" s="14"/>
      <c r="PNM586" s="14"/>
      <c r="PNN586" s="14"/>
      <c r="PNO586" s="14"/>
      <c r="PNP586" s="14"/>
      <c r="PNQ586" s="14"/>
      <c r="PNR586" s="14"/>
      <c r="PNS586" s="14"/>
      <c r="PNT586" s="14"/>
      <c r="PNU586" s="14"/>
      <c r="PNV586" s="14"/>
      <c r="PNW586" s="14"/>
      <c r="PNX586" s="14"/>
      <c r="PNY586" s="14"/>
      <c r="PNZ586" s="14"/>
      <c r="POA586" s="14"/>
      <c r="POB586" s="14"/>
      <c r="POC586" s="14"/>
      <c r="POD586" s="14"/>
      <c r="POE586" s="14"/>
      <c r="POF586" s="14"/>
      <c r="POG586" s="14"/>
      <c r="POH586" s="14"/>
      <c r="POI586" s="14"/>
      <c r="POJ586" s="14"/>
      <c r="POK586" s="14"/>
      <c r="POL586" s="14"/>
      <c r="POM586" s="14"/>
      <c r="PON586" s="14"/>
      <c r="POO586" s="14"/>
      <c r="POP586" s="14"/>
      <c r="POQ586" s="14"/>
      <c r="POR586" s="14"/>
      <c r="POS586" s="14"/>
      <c r="POT586" s="14"/>
      <c r="POU586" s="14"/>
      <c r="POV586" s="14"/>
      <c r="POW586" s="14"/>
      <c r="POX586" s="14"/>
      <c r="POY586" s="14"/>
      <c r="POZ586" s="14"/>
      <c r="PPA586" s="14"/>
      <c r="PPB586" s="14"/>
      <c r="PPC586" s="14"/>
      <c r="PPD586" s="14"/>
      <c r="PPE586" s="14"/>
      <c r="PPF586" s="14"/>
      <c r="PPG586" s="14"/>
      <c r="PPH586" s="14"/>
      <c r="PPI586" s="14"/>
      <c r="PPJ586" s="14"/>
      <c r="PPK586" s="14"/>
      <c r="PPL586" s="14"/>
      <c r="PPM586" s="14"/>
      <c r="PPN586" s="14"/>
      <c r="PPO586" s="14"/>
      <c r="PPP586" s="14"/>
      <c r="PPQ586" s="14"/>
      <c r="PPR586" s="14"/>
      <c r="PPS586" s="14"/>
      <c r="PPT586" s="14"/>
      <c r="PPU586" s="14"/>
      <c r="PPV586" s="14"/>
      <c r="PPW586" s="14"/>
      <c r="PPX586" s="14"/>
      <c r="PPY586" s="14"/>
      <c r="PPZ586" s="14"/>
      <c r="PQA586" s="14"/>
      <c r="PQB586" s="14"/>
      <c r="PQC586" s="14"/>
      <c r="PQD586" s="14"/>
      <c r="PQE586" s="14"/>
      <c r="PQF586" s="14"/>
      <c r="PQG586" s="14"/>
      <c r="PQH586" s="14"/>
      <c r="PQI586" s="14"/>
      <c r="PQJ586" s="14"/>
      <c r="PQK586" s="14"/>
      <c r="PQL586" s="14"/>
      <c r="PQM586" s="14"/>
      <c r="PQN586" s="14"/>
      <c r="PQO586" s="14"/>
      <c r="PQP586" s="14"/>
      <c r="PQQ586" s="14"/>
      <c r="PQR586" s="14"/>
      <c r="PQS586" s="14"/>
      <c r="PQT586" s="14"/>
      <c r="PQU586" s="14"/>
      <c r="PQV586" s="14"/>
      <c r="PQW586" s="14"/>
      <c r="PQX586" s="14"/>
      <c r="PQY586" s="14"/>
      <c r="PQZ586" s="14"/>
      <c r="PRA586" s="14"/>
      <c r="PRB586" s="14"/>
      <c r="PRC586" s="14"/>
      <c r="PRD586" s="14"/>
      <c r="PRE586" s="14"/>
      <c r="PRF586" s="14"/>
      <c r="PRG586" s="14"/>
      <c r="PRH586" s="14"/>
      <c r="PRI586" s="14"/>
      <c r="PRJ586" s="14"/>
      <c r="PRK586" s="14"/>
      <c r="PRL586" s="14"/>
      <c r="PRM586" s="14"/>
      <c r="PRN586" s="14"/>
      <c r="PRO586" s="14"/>
      <c r="PRP586" s="14"/>
      <c r="PRQ586" s="14"/>
      <c r="PRR586" s="14"/>
      <c r="PRS586" s="14"/>
      <c r="PRT586" s="14"/>
      <c r="PRU586" s="14"/>
      <c r="PRV586" s="14"/>
      <c r="PRW586" s="14"/>
      <c r="PRX586" s="14"/>
      <c r="PRY586" s="14"/>
      <c r="PRZ586" s="14"/>
      <c r="PSA586" s="14"/>
      <c r="PSB586" s="14"/>
      <c r="PSC586" s="14"/>
      <c r="PSD586" s="14"/>
      <c r="PSE586" s="14"/>
      <c r="PSF586" s="14"/>
      <c r="PSG586" s="14"/>
      <c r="PSH586" s="14"/>
      <c r="PSI586" s="14"/>
      <c r="PSJ586" s="14"/>
      <c r="PSK586" s="14"/>
      <c r="PSL586" s="14"/>
      <c r="PSM586" s="14"/>
      <c r="PSN586" s="14"/>
      <c r="PSO586" s="14"/>
      <c r="PSP586" s="14"/>
      <c r="PSQ586" s="14"/>
      <c r="PSR586" s="14"/>
      <c r="PSS586" s="14"/>
      <c r="PST586" s="14"/>
      <c r="PSU586" s="14"/>
      <c r="PSV586" s="14"/>
      <c r="PSW586" s="14"/>
      <c r="PSX586" s="14"/>
      <c r="PSY586" s="14"/>
      <c r="PSZ586" s="14"/>
      <c r="PTA586" s="14"/>
      <c r="PTB586" s="14"/>
      <c r="PTC586" s="14"/>
      <c r="PTD586" s="14"/>
      <c r="PTE586" s="14"/>
      <c r="PTF586" s="14"/>
      <c r="PTG586" s="14"/>
      <c r="PTH586" s="14"/>
      <c r="PTI586" s="14"/>
      <c r="PTJ586" s="14"/>
      <c r="PTK586" s="14"/>
      <c r="PTL586" s="14"/>
      <c r="PTM586" s="14"/>
      <c r="PTN586" s="14"/>
      <c r="PTO586" s="14"/>
      <c r="PTP586" s="14"/>
      <c r="PTQ586" s="14"/>
      <c r="PTR586" s="14"/>
      <c r="PTS586" s="14"/>
      <c r="PTT586" s="14"/>
      <c r="PTU586" s="14"/>
      <c r="PTV586" s="14"/>
      <c r="PTW586" s="14"/>
      <c r="PTX586" s="14"/>
      <c r="PTY586" s="14"/>
      <c r="PTZ586" s="14"/>
      <c r="PUA586" s="14"/>
      <c r="PUB586" s="14"/>
      <c r="PUC586" s="14"/>
      <c r="PUD586" s="14"/>
      <c r="PUE586" s="14"/>
      <c r="PUF586" s="14"/>
      <c r="PUG586" s="14"/>
      <c r="PUH586" s="14"/>
      <c r="PUI586" s="14"/>
      <c r="PUJ586" s="14"/>
      <c r="PUK586" s="14"/>
      <c r="PUL586" s="14"/>
      <c r="PUM586" s="14"/>
      <c r="PUN586" s="14"/>
      <c r="PUO586" s="14"/>
      <c r="PUP586" s="14"/>
      <c r="PUQ586" s="14"/>
      <c r="PUR586" s="14"/>
      <c r="PUS586" s="14"/>
      <c r="PUT586" s="14"/>
      <c r="PUU586" s="14"/>
      <c r="PUV586" s="14"/>
      <c r="PUW586" s="14"/>
      <c r="PUX586" s="14"/>
      <c r="PUY586" s="14"/>
      <c r="PUZ586" s="14"/>
      <c r="PVA586" s="14"/>
      <c r="PVB586" s="14"/>
      <c r="PVC586" s="14"/>
      <c r="PVD586" s="14"/>
      <c r="PVE586" s="14"/>
      <c r="PVF586" s="14"/>
      <c r="PVG586" s="14"/>
      <c r="PVH586" s="14"/>
      <c r="PVI586" s="14"/>
      <c r="PVJ586" s="14"/>
      <c r="PVK586" s="14"/>
      <c r="PVL586" s="14"/>
      <c r="PVM586" s="14"/>
      <c r="PVN586" s="14"/>
      <c r="PVO586" s="14"/>
      <c r="PVP586" s="14"/>
      <c r="PVQ586" s="14"/>
      <c r="PVR586" s="14"/>
      <c r="PVS586" s="14"/>
      <c r="PVT586" s="14"/>
      <c r="PVU586" s="14"/>
      <c r="PVV586" s="14"/>
      <c r="PVW586" s="14"/>
      <c r="PVX586" s="14"/>
      <c r="PVY586" s="14"/>
      <c r="PVZ586" s="14"/>
      <c r="PWA586" s="14"/>
      <c r="PWB586" s="14"/>
      <c r="PWC586" s="14"/>
      <c r="PWD586" s="14"/>
      <c r="PWE586" s="14"/>
      <c r="PWF586" s="14"/>
      <c r="PWG586" s="14"/>
      <c r="PWH586" s="14"/>
      <c r="PWI586" s="14"/>
      <c r="PWJ586" s="14"/>
      <c r="PWK586" s="14"/>
      <c r="PWL586" s="14"/>
      <c r="PWM586" s="14"/>
      <c r="PWN586" s="14"/>
      <c r="PWO586" s="14"/>
      <c r="PWP586" s="14"/>
      <c r="PWQ586" s="14"/>
      <c r="PWR586" s="14"/>
      <c r="PWS586" s="14"/>
      <c r="PWT586" s="14"/>
      <c r="PWU586" s="14"/>
      <c r="PWV586" s="14"/>
      <c r="PWW586" s="14"/>
      <c r="PWX586" s="14"/>
      <c r="PWY586" s="14"/>
      <c r="PWZ586" s="14"/>
      <c r="PXA586" s="14"/>
      <c r="PXB586" s="14"/>
      <c r="PXC586" s="14"/>
      <c r="PXD586" s="14"/>
      <c r="PXE586" s="14"/>
      <c r="PXF586" s="14"/>
      <c r="PXG586" s="14"/>
      <c r="PXH586" s="14"/>
      <c r="PXI586" s="14"/>
      <c r="PXJ586" s="14"/>
      <c r="PXK586" s="14"/>
      <c r="PXL586" s="14"/>
      <c r="PXM586" s="14"/>
      <c r="PXN586" s="14"/>
      <c r="PXO586" s="14"/>
      <c r="PXP586" s="14"/>
      <c r="PXQ586" s="14"/>
      <c r="PXR586" s="14"/>
      <c r="PXS586" s="14"/>
      <c r="PXT586" s="14"/>
      <c r="PXU586" s="14"/>
      <c r="PXV586" s="14"/>
      <c r="PXW586" s="14"/>
      <c r="PXX586" s="14"/>
      <c r="PXY586" s="14"/>
      <c r="PXZ586" s="14"/>
      <c r="PYA586" s="14"/>
      <c r="PYB586" s="14"/>
      <c r="PYC586" s="14"/>
      <c r="PYD586" s="14"/>
      <c r="PYE586" s="14"/>
      <c r="PYF586" s="14"/>
      <c r="PYG586" s="14"/>
      <c r="PYH586" s="14"/>
      <c r="PYI586" s="14"/>
      <c r="PYJ586" s="14"/>
      <c r="PYK586" s="14"/>
      <c r="PYL586" s="14"/>
      <c r="PYM586" s="14"/>
      <c r="PYN586" s="14"/>
      <c r="PYO586" s="14"/>
      <c r="PYP586" s="14"/>
      <c r="PYQ586" s="14"/>
      <c r="PYR586" s="14"/>
      <c r="PYS586" s="14"/>
      <c r="PYT586" s="14"/>
      <c r="PYU586" s="14"/>
      <c r="PYV586" s="14"/>
      <c r="PYW586" s="14"/>
      <c r="PYX586" s="14"/>
      <c r="PYY586" s="14"/>
      <c r="PYZ586" s="14"/>
      <c r="PZA586" s="14"/>
      <c r="PZB586" s="14"/>
      <c r="PZC586" s="14"/>
      <c r="PZD586" s="14"/>
      <c r="PZE586" s="14"/>
      <c r="PZF586" s="14"/>
      <c r="PZG586" s="14"/>
      <c r="PZH586" s="14"/>
      <c r="PZI586" s="14"/>
      <c r="PZJ586" s="14"/>
      <c r="PZK586" s="14"/>
      <c r="PZL586" s="14"/>
      <c r="PZM586" s="14"/>
      <c r="PZN586" s="14"/>
      <c r="PZO586" s="14"/>
      <c r="PZP586" s="14"/>
      <c r="PZQ586" s="14"/>
      <c r="PZR586" s="14"/>
      <c r="PZS586" s="14"/>
      <c r="PZT586" s="14"/>
      <c r="PZU586" s="14"/>
      <c r="PZV586" s="14"/>
      <c r="PZW586" s="14"/>
      <c r="PZX586" s="14"/>
      <c r="PZY586" s="14"/>
      <c r="PZZ586" s="14"/>
      <c r="QAA586" s="14"/>
      <c r="QAB586" s="14"/>
      <c r="QAC586" s="14"/>
      <c r="QAD586" s="14"/>
      <c r="QAE586" s="14"/>
      <c r="QAF586" s="14"/>
      <c r="QAG586" s="14"/>
      <c r="QAH586" s="14"/>
      <c r="QAI586" s="14"/>
      <c r="QAJ586" s="14"/>
      <c r="QAK586" s="14"/>
      <c r="QAL586" s="14"/>
      <c r="QAM586" s="14"/>
      <c r="QAN586" s="14"/>
      <c r="QAO586" s="14"/>
      <c r="QAP586" s="14"/>
      <c r="QAQ586" s="14"/>
      <c r="QAR586" s="14"/>
      <c r="QAS586" s="14"/>
      <c r="QAT586" s="14"/>
      <c r="QAU586" s="14"/>
      <c r="QAV586" s="14"/>
      <c r="QAW586" s="14"/>
      <c r="QAX586" s="14"/>
      <c r="QAY586" s="14"/>
      <c r="QAZ586" s="14"/>
      <c r="QBA586" s="14"/>
      <c r="QBB586" s="14"/>
      <c r="QBC586" s="14"/>
      <c r="QBD586" s="14"/>
      <c r="QBE586" s="14"/>
      <c r="QBF586" s="14"/>
      <c r="QBG586" s="14"/>
      <c r="QBH586" s="14"/>
      <c r="QBI586" s="14"/>
      <c r="QBJ586" s="14"/>
      <c r="QBK586" s="14"/>
      <c r="QBL586" s="14"/>
      <c r="QBM586" s="14"/>
      <c r="QBN586" s="14"/>
      <c r="QBO586" s="14"/>
      <c r="QBP586" s="14"/>
      <c r="QBQ586" s="14"/>
      <c r="QBR586" s="14"/>
      <c r="QBS586" s="14"/>
      <c r="QBT586" s="14"/>
      <c r="QBU586" s="14"/>
      <c r="QBV586" s="14"/>
      <c r="QBW586" s="14"/>
      <c r="QBX586" s="14"/>
      <c r="QBY586" s="14"/>
      <c r="QBZ586" s="14"/>
      <c r="QCA586" s="14"/>
      <c r="QCB586" s="14"/>
      <c r="QCC586" s="14"/>
      <c r="QCD586" s="14"/>
      <c r="QCE586" s="14"/>
      <c r="QCF586" s="14"/>
      <c r="QCG586" s="14"/>
      <c r="QCH586" s="14"/>
      <c r="QCI586" s="14"/>
      <c r="QCJ586" s="14"/>
      <c r="QCK586" s="14"/>
      <c r="QCL586" s="14"/>
      <c r="QCM586" s="14"/>
      <c r="QCN586" s="14"/>
      <c r="QCO586" s="14"/>
      <c r="QCP586" s="14"/>
      <c r="QCQ586" s="14"/>
      <c r="QCR586" s="14"/>
      <c r="QCS586" s="14"/>
      <c r="QCT586" s="14"/>
      <c r="QCU586" s="14"/>
      <c r="QCV586" s="14"/>
      <c r="QCW586" s="14"/>
      <c r="QCX586" s="14"/>
      <c r="QCY586" s="14"/>
      <c r="QCZ586" s="14"/>
      <c r="QDA586" s="14"/>
      <c r="QDB586" s="14"/>
      <c r="QDC586" s="14"/>
      <c r="QDD586" s="14"/>
      <c r="QDE586" s="14"/>
      <c r="QDF586" s="14"/>
      <c r="QDG586" s="14"/>
      <c r="QDH586" s="14"/>
      <c r="QDI586" s="14"/>
      <c r="QDJ586" s="14"/>
      <c r="QDK586" s="14"/>
      <c r="QDL586" s="14"/>
      <c r="QDM586" s="14"/>
      <c r="QDN586" s="14"/>
      <c r="QDO586" s="14"/>
      <c r="QDP586" s="14"/>
      <c r="QDQ586" s="14"/>
      <c r="QDR586" s="14"/>
      <c r="QDS586" s="14"/>
      <c r="QDT586" s="14"/>
      <c r="QDU586" s="14"/>
      <c r="QDV586" s="14"/>
      <c r="QDW586" s="14"/>
      <c r="QDX586" s="14"/>
      <c r="QDY586" s="14"/>
      <c r="QDZ586" s="14"/>
      <c r="QEA586" s="14"/>
      <c r="QEB586" s="14"/>
      <c r="QEC586" s="14"/>
      <c r="QED586" s="14"/>
      <c r="QEE586" s="14"/>
      <c r="QEF586" s="14"/>
      <c r="QEG586" s="14"/>
      <c r="QEH586" s="14"/>
      <c r="QEI586" s="14"/>
      <c r="QEJ586" s="14"/>
      <c r="QEK586" s="14"/>
      <c r="QEL586" s="14"/>
      <c r="QEM586" s="14"/>
      <c r="QEN586" s="14"/>
      <c r="QEO586" s="14"/>
      <c r="QEP586" s="14"/>
      <c r="QEQ586" s="14"/>
      <c r="QER586" s="14"/>
      <c r="QES586" s="14"/>
      <c r="QET586" s="14"/>
      <c r="QEU586" s="14"/>
      <c r="QEV586" s="14"/>
      <c r="QEW586" s="14"/>
      <c r="QEX586" s="14"/>
      <c r="QEY586" s="14"/>
      <c r="QEZ586" s="14"/>
      <c r="QFA586" s="14"/>
      <c r="QFB586" s="14"/>
      <c r="QFC586" s="14"/>
      <c r="QFD586" s="14"/>
      <c r="QFE586" s="14"/>
      <c r="QFF586" s="14"/>
      <c r="QFG586" s="14"/>
      <c r="QFH586" s="14"/>
      <c r="QFI586" s="14"/>
      <c r="QFJ586" s="14"/>
      <c r="QFK586" s="14"/>
      <c r="QFL586" s="14"/>
      <c r="QFM586" s="14"/>
      <c r="QFN586" s="14"/>
      <c r="QFO586" s="14"/>
      <c r="QFP586" s="14"/>
      <c r="QFQ586" s="14"/>
      <c r="QFR586" s="14"/>
      <c r="QFS586" s="14"/>
      <c r="QFT586" s="14"/>
      <c r="QFU586" s="14"/>
      <c r="QFV586" s="14"/>
      <c r="QFW586" s="14"/>
      <c r="QFX586" s="14"/>
      <c r="QFY586" s="14"/>
      <c r="QFZ586" s="14"/>
      <c r="QGA586" s="14"/>
      <c r="QGB586" s="14"/>
      <c r="QGC586" s="14"/>
      <c r="QGD586" s="14"/>
      <c r="QGE586" s="14"/>
      <c r="QGF586" s="14"/>
      <c r="QGG586" s="14"/>
      <c r="QGH586" s="14"/>
      <c r="QGI586" s="14"/>
      <c r="QGJ586" s="14"/>
      <c r="QGK586" s="14"/>
      <c r="QGL586" s="14"/>
      <c r="QGM586" s="14"/>
      <c r="QGN586" s="14"/>
      <c r="QGO586" s="14"/>
      <c r="QGP586" s="14"/>
      <c r="QGQ586" s="14"/>
      <c r="QGR586" s="14"/>
      <c r="QGS586" s="14"/>
      <c r="QGT586" s="14"/>
      <c r="QGU586" s="14"/>
      <c r="QGV586" s="14"/>
      <c r="QGW586" s="14"/>
      <c r="QGX586" s="14"/>
      <c r="QGY586" s="14"/>
      <c r="QGZ586" s="14"/>
      <c r="QHA586" s="14"/>
      <c r="QHB586" s="14"/>
      <c r="QHC586" s="14"/>
      <c r="QHD586" s="14"/>
      <c r="QHE586" s="14"/>
      <c r="QHF586" s="14"/>
      <c r="QHG586" s="14"/>
      <c r="QHH586" s="14"/>
      <c r="QHI586" s="14"/>
      <c r="QHJ586" s="14"/>
      <c r="QHK586" s="14"/>
      <c r="QHL586" s="14"/>
      <c r="QHM586" s="14"/>
      <c r="QHN586" s="14"/>
      <c r="QHO586" s="14"/>
      <c r="QHP586" s="14"/>
      <c r="QHQ586" s="14"/>
      <c r="QHR586" s="14"/>
      <c r="QHS586" s="14"/>
      <c r="QHT586" s="14"/>
      <c r="QHU586" s="14"/>
      <c r="QHV586" s="14"/>
      <c r="QHW586" s="14"/>
      <c r="QHX586" s="14"/>
      <c r="QHY586" s="14"/>
      <c r="QHZ586" s="14"/>
      <c r="QIA586" s="14"/>
      <c r="QIB586" s="14"/>
      <c r="QIC586" s="14"/>
      <c r="QID586" s="14"/>
      <c r="QIE586" s="14"/>
      <c r="QIF586" s="14"/>
      <c r="QIG586" s="14"/>
      <c r="QIH586" s="14"/>
      <c r="QII586" s="14"/>
      <c r="QIJ586" s="14"/>
      <c r="QIK586" s="14"/>
      <c r="QIL586" s="14"/>
      <c r="QIM586" s="14"/>
      <c r="QIN586" s="14"/>
      <c r="QIO586" s="14"/>
      <c r="QIP586" s="14"/>
      <c r="QIQ586" s="14"/>
      <c r="QIR586" s="14"/>
      <c r="QIS586" s="14"/>
      <c r="QIT586" s="14"/>
      <c r="QIU586" s="14"/>
      <c r="QIV586" s="14"/>
      <c r="QIW586" s="14"/>
      <c r="QIX586" s="14"/>
      <c r="QIY586" s="14"/>
      <c r="QIZ586" s="14"/>
      <c r="QJA586" s="14"/>
      <c r="QJB586" s="14"/>
      <c r="QJC586" s="14"/>
      <c r="QJD586" s="14"/>
      <c r="QJE586" s="14"/>
      <c r="QJF586" s="14"/>
      <c r="QJG586" s="14"/>
      <c r="QJH586" s="14"/>
      <c r="QJI586" s="14"/>
      <c r="QJJ586" s="14"/>
      <c r="QJK586" s="14"/>
      <c r="QJL586" s="14"/>
      <c r="QJM586" s="14"/>
      <c r="QJN586" s="14"/>
      <c r="QJO586" s="14"/>
      <c r="QJP586" s="14"/>
      <c r="QJQ586" s="14"/>
      <c r="QJR586" s="14"/>
      <c r="QJS586" s="14"/>
      <c r="QJT586" s="14"/>
      <c r="QJU586" s="14"/>
      <c r="QJV586" s="14"/>
      <c r="QJW586" s="14"/>
      <c r="QJX586" s="14"/>
      <c r="QJY586" s="14"/>
      <c r="QJZ586" s="14"/>
      <c r="QKA586" s="14"/>
      <c r="QKB586" s="14"/>
      <c r="QKC586" s="14"/>
      <c r="QKD586" s="14"/>
      <c r="QKE586" s="14"/>
      <c r="QKF586" s="14"/>
      <c r="QKG586" s="14"/>
      <c r="QKH586" s="14"/>
      <c r="QKI586" s="14"/>
      <c r="QKJ586" s="14"/>
      <c r="QKK586" s="14"/>
      <c r="QKL586" s="14"/>
      <c r="QKM586" s="14"/>
      <c r="QKN586" s="14"/>
      <c r="QKO586" s="14"/>
      <c r="QKP586" s="14"/>
      <c r="QKQ586" s="14"/>
      <c r="QKR586" s="14"/>
      <c r="QKS586" s="14"/>
      <c r="QKT586" s="14"/>
      <c r="QKU586" s="14"/>
      <c r="QKV586" s="14"/>
      <c r="QKW586" s="14"/>
      <c r="QKX586" s="14"/>
      <c r="QKY586" s="14"/>
      <c r="QKZ586" s="14"/>
      <c r="QLA586" s="14"/>
      <c r="QLB586" s="14"/>
      <c r="QLC586" s="14"/>
      <c r="QLD586" s="14"/>
      <c r="QLE586" s="14"/>
      <c r="QLF586" s="14"/>
      <c r="QLG586" s="14"/>
      <c r="QLH586" s="14"/>
      <c r="QLI586" s="14"/>
      <c r="QLJ586" s="14"/>
      <c r="QLK586" s="14"/>
      <c r="QLL586" s="14"/>
      <c r="QLM586" s="14"/>
      <c r="QLN586" s="14"/>
      <c r="QLO586" s="14"/>
      <c r="QLP586" s="14"/>
      <c r="QLQ586" s="14"/>
      <c r="QLR586" s="14"/>
      <c r="QLS586" s="14"/>
      <c r="QLT586" s="14"/>
      <c r="QLU586" s="14"/>
      <c r="QLV586" s="14"/>
      <c r="QLW586" s="14"/>
      <c r="QLX586" s="14"/>
      <c r="QLY586" s="14"/>
      <c r="QLZ586" s="14"/>
      <c r="QMA586" s="14"/>
      <c r="QMB586" s="14"/>
      <c r="QMC586" s="14"/>
      <c r="QMD586" s="14"/>
      <c r="QME586" s="14"/>
      <c r="QMF586" s="14"/>
      <c r="QMG586" s="14"/>
      <c r="QMH586" s="14"/>
      <c r="QMI586" s="14"/>
      <c r="QMJ586" s="14"/>
      <c r="QMK586" s="14"/>
      <c r="QML586" s="14"/>
      <c r="QMM586" s="14"/>
      <c r="QMN586" s="14"/>
      <c r="QMO586" s="14"/>
      <c r="QMP586" s="14"/>
      <c r="QMQ586" s="14"/>
      <c r="QMR586" s="14"/>
      <c r="QMS586" s="14"/>
      <c r="QMT586" s="14"/>
      <c r="QMU586" s="14"/>
      <c r="QMV586" s="14"/>
      <c r="QMW586" s="14"/>
      <c r="QMX586" s="14"/>
      <c r="QMY586" s="14"/>
      <c r="QMZ586" s="14"/>
      <c r="QNA586" s="14"/>
      <c r="QNB586" s="14"/>
      <c r="QNC586" s="14"/>
      <c r="QND586" s="14"/>
      <c r="QNE586" s="14"/>
      <c r="QNF586" s="14"/>
      <c r="QNG586" s="14"/>
      <c r="QNH586" s="14"/>
      <c r="QNI586" s="14"/>
      <c r="QNJ586" s="14"/>
      <c r="QNK586" s="14"/>
      <c r="QNL586" s="14"/>
      <c r="QNM586" s="14"/>
      <c r="QNN586" s="14"/>
      <c r="QNO586" s="14"/>
      <c r="QNP586" s="14"/>
      <c r="QNQ586" s="14"/>
      <c r="QNR586" s="14"/>
      <c r="QNS586" s="14"/>
      <c r="QNT586" s="14"/>
      <c r="QNU586" s="14"/>
      <c r="QNV586" s="14"/>
      <c r="QNW586" s="14"/>
      <c r="QNX586" s="14"/>
      <c r="QNY586" s="14"/>
      <c r="QNZ586" s="14"/>
      <c r="QOA586" s="14"/>
      <c r="QOB586" s="14"/>
      <c r="QOC586" s="14"/>
      <c r="QOD586" s="14"/>
      <c r="QOE586" s="14"/>
      <c r="QOF586" s="14"/>
      <c r="QOG586" s="14"/>
      <c r="QOH586" s="14"/>
      <c r="QOI586" s="14"/>
      <c r="QOJ586" s="14"/>
      <c r="QOK586" s="14"/>
      <c r="QOL586" s="14"/>
      <c r="QOM586" s="14"/>
      <c r="QON586" s="14"/>
      <c r="QOO586" s="14"/>
      <c r="QOP586" s="14"/>
      <c r="QOQ586" s="14"/>
      <c r="QOR586" s="14"/>
      <c r="QOS586" s="14"/>
      <c r="QOT586" s="14"/>
      <c r="QOU586" s="14"/>
      <c r="QOV586" s="14"/>
      <c r="QOW586" s="14"/>
      <c r="QOX586" s="14"/>
      <c r="QOY586" s="14"/>
      <c r="QOZ586" s="14"/>
      <c r="QPA586" s="14"/>
      <c r="QPB586" s="14"/>
      <c r="QPC586" s="14"/>
      <c r="QPD586" s="14"/>
      <c r="QPE586" s="14"/>
      <c r="QPF586" s="14"/>
      <c r="QPG586" s="14"/>
      <c r="QPH586" s="14"/>
      <c r="QPI586" s="14"/>
      <c r="QPJ586" s="14"/>
      <c r="QPK586" s="14"/>
      <c r="QPL586" s="14"/>
      <c r="QPM586" s="14"/>
      <c r="QPN586" s="14"/>
      <c r="QPO586" s="14"/>
      <c r="QPP586" s="14"/>
      <c r="QPQ586" s="14"/>
      <c r="QPR586" s="14"/>
      <c r="QPS586" s="14"/>
      <c r="QPT586" s="14"/>
      <c r="QPU586" s="14"/>
      <c r="QPV586" s="14"/>
      <c r="QPW586" s="14"/>
      <c r="QPX586" s="14"/>
      <c r="QPY586" s="14"/>
      <c r="QPZ586" s="14"/>
      <c r="QQA586" s="14"/>
      <c r="QQB586" s="14"/>
      <c r="QQC586" s="14"/>
      <c r="QQD586" s="14"/>
      <c r="QQE586" s="14"/>
      <c r="QQF586" s="14"/>
      <c r="QQG586" s="14"/>
      <c r="QQH586" s="14"/>
      <c r="QQI586" s="14"/>
      <c r="QQJ586" s="14"/>
      <c r="QQK586" s="14"/>
      <c r="QQL586" s="14"/>
      <c r="QQM586" s="14"/>
      <c r="QQN586" s="14"/>
      <c r="QQO586" s="14"/>
      <c r="QQP586" s="14"/>
      <c r="QQQ586" s="14"/>
      <c r="QQR586" s="14"/>
      <c r="QQS586" s="14"/>
      <c r="QQT586" s="14"/>
      <c r="QQU586" s="14"/>
      <c r="QQV586" s="14"/>
      <c r="QQW586" s="14"/>
      <c r="QQX586" s="14"/>
      <c r="QQY586" s="14"/>
      <c r="QQZ586" s="14"/>
      <c r="QRA586" s="14"/>
      <c r="QRB586" s="14"/>
      <c r="QRC586" s="14"/>
      <c r="QRD586" s="14"/>
      <c r="QRE586" s="14"/>
      <c r="QRF586" s="14"/>
      <c r="QRG586" s="14"/>
      <c r="QRH586" s="14"/>
      <c r="QRI586" s="14"/>
      <c r="QRJ586" s="14"/>
      <c r="QRK586" s="14"/>
      <c r="QRL586" s="14"/>
      <c r="QRM586" s="14"/>
      <c r="QRN586" s="14"/>
      <c r="QRO586" s="14"/>
      <c r="QRP586" s="14"/>
      <c r="QRQ586" s="14"/>
      <c r="QRR586" s="14"/>
      <c r="QRS586" s="14"/>
      <c r="QRT586" s="14"/>
      <c r="QRU586" s="14"/>
      <c r="QRV586" s="14"/>
      <c r="QRW586" s="14"/>
      <c r="QRX586" s="14"/>
      <c r="QRY586" s="14"/>
      <c r="QRZ586" s="14"/>
      <c r="QSA586" s="14"/>
      <c r="QSB586" s="14"/>
      <c r="QSC586" s="14"/>
      <c r="QSD586" s="14"/>
      <c r="QSE586" s="14"/>
      <c r="QSF586" s="14"/>
      <c r="QSG586" s="14"/>
      <c r="QSH586" s="14"/>
      <c r="QSI586" s="14"/>
      <c r="QSJ586" s="14"/>
      <c r="QSK586" s="14"/>
      <c r="QSL586" s="14"/>
      <c r="QSM586" s="14"/>
      <c r="QSN586" s="14"/>
      <c r="QSO586" s="14"/>
      <c r="QSP586" s="14"/>
      <c r="QSQ586" s="14"/>
      <c r="QSR586" s="14"/>
      <c r="QSS586" s="14"/>
      <c r="QST586" s="14"/>
      <c r="QSU586" s="14"/>
      <c r="QSV586" s="14"/>
      <c r="QSW586" s="14"/>
      <c r="QSX586" s="14"/>
      <c r="QSY586" s="14"/>
      <c r="QSZ586" s="14"/>
      <c r="QTA586" s="14"/>
      <c r="QTB586" s="14"/>
      <c r="QTC586" s="14"/>
      <c r="QTD586" s="14"/>
      <c r="QTE586" s="14"/>
      <c r="QTF586" s="14"/>
      <c r="QTG586" s="14"/>
      <c r="QTH586" s="14"/>
      <c r="QTI586" s="14"/>
      <c r="QTJ586" s="14"/>
      <c r="QTK586" s="14"/>
      <c r="QTL586" s="14"/>
      <c r="QTM586" s="14"/>
      <c r="QTN586" s="14"/>
      <c r="QTO586" s="14"/>
      <c r="QTP586" s="14"/>
      <c r="QTQ586" s="14"/>
      <c r="QTR586" s="14"/>
      <c r="QTS586" s="14"/>
      <c r="QTT586" s="14"/>
      <c r="QTU586" s="14"/>
      <c r="QTV586" s="14"/>
      <c r="QTW586" s="14"/>
      <c r="QTX586" s="14"/>
      <c r="QTY586" s="14"/>
      <c r="QTZ586" s="14"/>
      <c r="QUA586" s="14"/>
      <c r="QUB586" s="14"/>
      <c r="QUC586" s="14"/>
      <c r="QUD586" s="14"/>
      <c r="QUE586" s="14"/>
      <c r="QUF586" s="14"/>
      <c r="QUG586" s="14"/>
      <c r="QUH586" s="14"/>
      <c r="QUI586" s="14"/>
      <c r="QUJ586" s="14"/>
      <c r="QUK586" s="14"/>
      <c r="QUL586" s="14"/>
      <c r="QUM586" s="14"/>
      <c r="QUN586" s="14"/>
      <c r="QUO586" s="14"/>
      <c r="QUP586" s="14"/>
      <c r="QUQ586" s="14"/>
      <c r="QUR586" s="14"/>
      <c r="QUS586" s="14"/>
      <c r="QUT586" s="14"/>
      <c r="QUU586" s="14"/>
      <c r="QUV586" s="14"/>
      <c r="QUW586" s="14"/>
      <c r="QUX586" s="14"/>
      <c r="QUY586" s="14"/>
      <c r="QUZ586" s="14"/>
      <c r="QVA586" s="14"/>
      <c r="QVB586" s="14"/>
      <c r="QVC586" s="14"/>
      <c r="QVD586" s="14"/>
      <c r="QVE586" s="14"/>
      <c r="QVF586" s="14"/>
      <c r="QVG586" s="14"/>
      <c r="QVH586" s="14"/>
      <c r="QVI586" s="14"/>
      <c r="QVJ586" s="14"/>
      <c r="QVK586" s="14"/>
      <c r="QVL586" s="14"/>
      <c r="QVM586" s="14"/>
      <c r="QVN586" s="14"/>
      <c r="QVO586" s="14"/>
      <c r="QVP586" s="14"/>
      <c r="QVQ586" s="14"/>
      <c r="QVR586" s="14"/>
      <c r="QVS586" s="14"/>
      <c r="QVT586" s="14"/>
      <c r="QVU586" s="14"/>
      <c r="QVV586" s="14"/>
      <c r="QVW586" s="14"/>
      <c r="QVX586" s="14"/>
      <c r="QVY586" s="14"/>
      <c r="QVZ586" s="14"/>
      <c r="QWA586" s="14"/>
      <c r="QWB586" s="14"/>
      <c r="QWC586" s="14"/>
      <c r="QWD586" s="14"/>
      <c r="QWE586" s="14"/>
      <c r="QWF586" s="14"/>
      <c r="QWG586" s="14"/>
      <c r="QWH586" s="14"/>
      <c r="QWI586" s="14"/>
      <c r="QWJ586" s="14"/>
      <c r="QWK586" s="14"/>
      <c r="QWL586" s="14"/>
      <c r="QWM586" s="14"/>
      <c r="QWN586" s="14"/>
      <c r="QWO586" s="14"/>
      <c r="QWP586" s="14"/>
      <c r="QWQ586" s="14"/>
      <c r="QWR586" s="14"/>
      <c r="QWS586" s="14"/>
      <c r="QWT586" s="14"/>
      <c r="QWU586" s="14"/>
      <c r="QWV586" s="14"/>
      <c r="QWW586" s="14"/>
      <c r="QWX586" s="14"/>
      <c r="QWY586" s="14"/>
      <c r="QWZ586" s="14"/>
      <c r="QXA586" s="14"/>
      <c r="QXB586" s="14"/>
      <c r="QXC586" s="14"/>
      <c r="QXD586" s="14"/>
      <c r="QXE586" s="14"/>
      <c r="QXF586" s="14"/>
      <c r="QXG586" s="14"/>
      <c r="QXH586" s="14"/>
      <c r="QXI586" s="14"/>
      <c r="QXJ586" s="14"/>
      <c r="QXK586" s="14"/>
      <c r="QXL586" s="14"/>
      <c r="QXM586" s="14"/>
      <c r="QXN586" s="14"/>
      <c r="QXO586" s="14"/>
      <c r="QXP586" s="14"/>
      <c r="QXQ586" s="14"/>
      <c r="QXR586" s="14"/>
      <c r="QXS586" s="14"/>
      <c r="QXT586" s="14"/>
      <c r="QXU586" s="14"/>
      <c r="QXV586" s="14"/>
      <c r="QXW586" s="14"/>
      <c r="QXX586" s="14"/>
      <c r="QXY586" s="14"/>
      <c r="QXZ586" s="14"/>
      <c r="QYA586" s="14"/>
      <c r="QYB586" s="14"/>
      <c r="QYC586" s="14"/>
      <c r="QYD586" s="14"/>
      <c r="QYE586" s="14"/>
      <c r="QYF586" s="14"/>
      <c r="QYG586" s="14"/>
      <c r="QYH586" s="14"/>
      <c r="QYI586" s="14"/>
      <c r="QYJ586" s="14"/>
      <c r="QYK586" s="14"/>
      <c r="QYL586" s="14"/>
      <c r="QYM586" s="14"/>
      <c r="QYN586" s="14"/>
      <c r="QYO586" s="14"/>
      <c r="QYP586" s="14"/>
      <c r="QYQ586" s="14"/>
      <c r="QYR586" s="14"/>
      <c r="QYS586" s="14"/>
      <c r="QYT586" s="14"/>
      <c r="QYU586" s="14"/>
      <c r="QYV586" s="14"/>
      <c r="QYW586" s="14"/>
      <c r="QYX586" s="14"/>
      <c r="QYY586" s="14"/>
      <c r="QYZ586" s="14"/>
      <c r="QZA586" s="14"/>
      <c r="QZB586" s="14"/>
      <c r="QZC586" s="14"/>
      <c r="QZD586" s="14"/>
      <c r="QZE586" s="14"/>
      <c r="QZF586" s="14"/>
      <c r="QZG586" s="14"/>
      <c r="QZH586" s="14"/>
      <c r="QZI586" s="14"/>
      <c r="QZJ586" s="14"/>
      <c r="QZK586" s="14"/>
      <c r="QZL586" s="14"/>
      <c r="QZM586" s="14"/>
      <c r="QZN586" s="14"/>
      <c r="QZO586" s="14"/>
      <c r="QZP586" s="14"/>
      <c r="QZQ586" s="14"/>
      <c r="QZR586" s="14"/>
      <c r="QZS586" s="14"/>
      <c r="QZT586" s="14"/>
      <c r="QZU586" s="14"/>
      <c r="QZV586" s="14"/>
      <c r="QZW586" s="14"/>
      <c r="QZX586" s="14"/>
      <c r="QZY586" s="14"/>
      <c r="QZZ586" s="14"/>
      <c r="RAA586" s="14"/>
      <c r="RAB586" s="14"/>
      <c r="RAC586" s="14"/>
      <c r="RAD586" s="14"/>
      <c r="RAE586" s="14"/>
      <c r="RAF586" s="14"/>
      <c r="RAG586" s="14"/>
      <c r="RAH586" s="14"/>
      <c r="RAI586" s="14"/>
      <c r="RAJ586" s="14"/>
      <c r="RAK586" s="14"/>
      <c r="RAL586" s="14"/>
      <c r="RAM586" s="14"/>
      <c r="RAN586" s="14"/>
      <c r="RAO586" s="14"/>
      <c r="RAP586" s="14"/>
      <c r="RAQ586" s="14"/>
      <c r="RAR586" s="14"/>
      <c r="RAS586" s="14"/>
      <c r="RAT586" s="14"/>
      <c r="RAU586" s="14"/>
      <c r="RAV586" s="14"/>
      <c r="RAW586" s="14"/>
      <c r="RAX586" s="14"/>
      <c r="RAY586" s="14"/>
      <c r="RAZ586" s="14"/>
      <c r="RBA586" s="14"/>
      <c r="RBB586" s="14"/>
      <c r="RBC586" s="14"/>
      <c r="RBD586" s="14"/>
      <c r="RBE586" s="14"/>
      <c r="RBF586" s="14"/>
      <c r="RBG586" s="14"/>
      <c r="RBH586" s="14"/>
      <c r="RBI586" s="14"/>
      <c r="RBJ586" s="14"/>
      <c r="RBK586" s="14"/>
      <c r="RBL586" s="14"/>
      <c r="RBM586" s="14"/>
      <c r="RBN586" s="14"/>
      <c r="RBO586" s="14"/>
      <c r="RBP586" s="14"/>
      <c r="RBQ586" s="14"/>
      <c r="RBR586" s="14"/>
      <c r="RBS586" s="14"/>
      <c r="RBT586" s="14"/>
      <c r="RBU586" s="14"/>
      <c r="RBV586" s="14"/>
      <c r="RBW586" s="14"/>
      <c r="RBX586" s="14"/>
      <c r="RBY586" s="14"/>
      <c r="RBZ586" s="14"/>
      <c r="RCA586" s="14"/>
      <c r="RCB586" s="14"/>
      <c r="RCC586" s="14"/>
      <c r="RCD586" s="14"/>
      <c r="RCE586" s="14"/>
      <c r="RCF586" s="14"/>
      <c r="RCG586" s="14"/>
      <c r="RCH586" s="14"/>
      <c r="RCI586" s="14"/>
      <c r="RCJ586" s="14"/>
      <c r="RCK586" s="14"/>
      <c r="RCL586" s="14"/>
      <c r="RCM586" s="14"/>
      <c r="RCN586" s="14"/>
      <c r="RCO586" s="14"/>
      <c r="RCP586" s="14"/>
      <c r="RCQ586" s="14"/>
      <c r="RCR586" s="14"/>
      <c r="RCS586" s="14"/>
      <c r="RCT586" s="14"/>
      <c r="RCU586" s="14"/>
      <c r="RCV586" s="14"/>
      <c r="RCW586" s="14"/>
      <c r="RCX586" s="14"/>
      <c r="RCY586" s="14"/>
      <c r="RCZ586" s="14"/>
      <c r="RDA586" s="14"/>
      <c r="RDB586" s="14"/>
      <c r="RDC586" s="14"/>
      <c r="RDD586" s="14"/>
      <c r="RDE586" s="14"/>
      <c r="RDF586" s="14"/>
      <c r="RDG586" s="14"/>
      <c r="RDH586" s="14"/>
      <c r="RDI586" s="14"/>
      <c r="RDJ586" s="14"/>
      <c r="RDK586" s="14"/>
      <c r="RDL586" s="14"/>
      <c r="RDM586" s="14"/>
      <c r="RDN586" s="14"/>
      <c r="RDO586" s="14"/>
      <c r="RDP586" s="14"/>
      <c r="RDQ586" s="14"/>
      <c r="RDR586" s="14"/>
      <c r="RDS586" s="14"/>
      <c r="RDT586" s="14"/>
      <c r="RDU586" s="14"/>
      <c r="RDV586" s="14"/>
      <c r="RDW586" s="14"/>
      <c r="RDX586" s="14"/>
      <c r="RDY586" s="14"/>
      <c r="RDZ586" s="14"/>
      <c r="REA586" s="14"/>
      <c r="REB586" s="14"/>
      <c r="REC586" s="14"/>
      <c r="RED586" s="14"/>
      <c r="REE586" s="14"/>
      <c r="REF586" s="14"/>
      <c r="REG586" s="14"/>
      <c r="REH586" s="14"/>
      <c r="REI586" s="14"/>
      <c r="REJ586" s="14"/>
      <c r="REK586" s="14"/>
      <c r="REL586" s="14"/>
      <c r="REM586" s="14"/>
      <c r="REN586" s="14"/>
      <c r="REO586" s="14"/>
      <c r="REP586" s="14"/>
      <c r="REQ586" s="14"/>
      <c r="RER586" s="14"/>
      <c r="RES586" s="14"/>
      <c r="RET586" s="14"/>
      <c r="REU586" s="14"/>
      <c r="REV586" s="14"/>
      <c r="REW586" s="14"/>
      <c r="REX586" s="14"/>
      <c r="REY586" s="14"/>
      <c r="REZ586" s="14"/>
      <c r="RFA586" s="14"/>
      <c r="RFB586" s="14"/>
      <c r="RFC586" s="14"/>
      <c r="RFD586" s="14"/>
      <c r="RFE586" s="14"/>
      <c r="RFF586" s="14"/>
      <c r="RFG586" s="14"/>
      <c r="RFH586" s="14"/>
      <c r="RFI586" s="14"/>
      <c r="RFJ586" s="14"/>
      <c r="RFK586" s="14"/>
      <c r="RFL586" s="14"/>
      <c r="RFM586" s="14"/>
      <c r="RFN586" s="14"/>
      <c r="RFO586" s="14"/>
      <c r="RFP586" s="14"/>
      <c r="RFQ586" s="14"/>
      <c r="RFR586" s="14"/>
      <c r="RFS586" s="14"/>
      <c r="RFT586" s="14"/>
      <c r="RFU586" s="14"/>
      <c r="RFV586" s="14"/>
      <c r="RFW586" s="14"/>
      <c r="RFX586" s="14"/>
      <c r="RFY586" s="14"/>
      <c r="RFZ586" s="14"/>
      <c r="RGA586" s="14"/>
      <c r="RGB586" s="14"/>
      <c r="RGC586" s="14"/>
      <c r="RGD586" s="14"/>
      <c r="RGE586" s="14"/>
      <c r="RGF586" s="14"/>
      <c r="RGG586" s="14"/>
      <c r="RGH586" s="14"/>
      <c r="RGI586" s="14"/>
      <c r="RGJ586" s="14"/>
      <c r="RGK586" s="14"/>
      <c r="RGL586" s="14"/>
      <c r="RGM586" s="14"/>
      <c r="RGN586" s="14"/>
      <c r="RGO586" s="14"/>
      <c r="RGP586" s="14"/>
      <c r="RGQ586" s="14"/>
      <c r="RGR586" s="14"/>
      <c r="RGS586" s="14"/>
      <c r="RGT586" s="14"/>
      <c r="RGU586" s="14"/>
      <c r="RGV586" s="14"/>
      <c r="RGW586" s="14"/>
      <c r="RGX586" s="14"/>
      <c r="RGY586" s="14"/>
      <c r="RGZ586" s="14"/>
      <c r="RHA586" s="14"/>
      <c r="RHB586" s="14"/>
      <c r="RHC586" s="14"/>
      <c r="RHD586" s="14"/>
      <c r="RHE586" s="14"/>
      <c r="RHF586" s="14"/>
      <c r="RHG586" s="14"/>
      <c r="RHH586" s="14"/>
      <c r="RHI586" s="14"/>
      <c r="RHJ586" s="14"/>
      <c r="RHK586" s="14"/>
      <c r="RHL586" s="14"/>
      <c r="RHM586" s="14"/>
      <c r="RHN586" s="14"/>
      <c r="RHO586" s="14"/>
      <c r="RHP586" s="14"/>
      <c r="RHQ586" s="14"/>
      <c r="RHR586" s="14"/>
      <c r="RHS586" s="14"/>
      <c r="RHT586" s="14"/>
      <c r="RHU586" s="14"/>
      <c r="RHV586" s="14"/>
      <c r="RHW586" s="14"/>
      <c r="RHX586" s="14"/>
      <c r="RHY586" s="14"/>
      <c r="RHZ586" s="14"/>
      <c r="RIA586" s="14"/>
      <c r="RIB586" s="14"/>
      <c r="RIC586" s="14"/>
      <c r="RID586" s="14"/>
      <c r="RIE586" s="14"/>
      <c r="RIF586" s="14"/>
      <c r="RIG586" s="14"/>
      <c r="RIH586" s="14"/>
      <c r="RII586" s="14"/>
      <c r="RIJ586" s="14"/>
      <c r="RIK586" s="14"/>
      <c r="RIL586" s="14"/>
      <c r="RIM586" s="14"/>
      <c r="RIN586" s="14"/>
      <c r="RIO586" s="14"/>
      <c r="RIP586" s="14"/>
      <c r="RIQ586" s="14"/>
      <c r="RIR586" s="14"/>
      <c r="RIS586" s="14"/>
      <c r="RIT586" s="14"/>
      <c r="RIU586" s="14"/>
      <c r="RIV586" s="14"/>
      <c r="RIW586" s="14"/>
      <c r="RIX586" s="14"/>
      <c r="RIY586" s="14"/>
      <c r="RIZ586" s="14"/>
      <c r="RJA586" s="14"/>
      <c r="RJB586" s="14"/>
      <c r="RJC586" s="14"/>
      <c r="RJD586" s="14"/>
      <c r="RJE586" s="14"/>
      <c r="RJF586" s="14"/>
      <c r="RJG586" s="14"/>
      <c r="RJH586" s="14"/>
      <c r="RJI586" s="14"/>
      <c r="RJJ586" s="14"/>
      <c r="RJK586" s="14"/>
      <c r="RJL586" s="14"/>
      <c r="RJM586" s="14"/>
      <c r="RJN586" s="14"/>
      <c r="RJO586" s="14"/>
      <c r="RJP586" s="14"/>
      <c r="RJQ586" s="14"/>
      <c r="RJR586" s="14"/>
      <c r="RJS586" s="14"/>
      <c r="RJT586" s="14"/>
      <c r="RJU586" s="14"/>
      <c r="RJV586" s="14"/>
      <c r="RJW586" s="14"/>
      <c r="RJX586" s="14"/>
      <c r="RJY586" s="14"/>
      <c r="RJZ586" s="14"/>
      <c r="RKA586" s="14"/>
      <c r="RKB586" s="14"/>
      <c r="RKC586" s="14"/>
      <c r="RKD586" s="14"/>
      <c r="RKE586" s="14"/>
      <c r="RKF586" s="14"/>
      <c r="RKG586" s="14"/>
      <c r="RKH586" s="14"/>
      <c r="RKI586" s="14"/>
      <c r="RKJ586" s="14"/>
      <c r="RKK586" s="14"/>
      <c r="RKL586" s="14"/>
      <c r="RKM586" s="14"/>
      <c r="RKN586" s="14"/>
      <c r="RKO586" s="14"/>
      <c r="RKP586" s="14"/>
      <c r="RKQ586" s="14"/>
      <c r="RKR586" s="14"/>
      <c r="RKS586" s="14"/>
      <c r="RKT586" s="14"/>
      <c r="RKU586" s="14"/>
      <c r="RKV586" s="14"/>
      <c r="RKW586" s="14"/>
      <c r="RKX586" s="14"/>
      <c r="RKY586" s="14"/>
      <c r="RKZ586" s="14"/>
      <c r="RLA586" s="14"/>
      <c r="RLB586" s="14"/>
      <c r="RLC586" s="14"/>
      <c r="RLD586" s="14"/>
      <c r="RLE586" s="14"/>
      <c r="RLF586" s="14"/>
      <c r="RLG586" s="14"/>
      <c r="RLH586" s="14"/>
      <c r="RLI586" s="14"/>
      <c r="RLJ586" s="14"/>
      <c r="RLK586" s="14"/>
      <c r="RLL586" s="14"/>
      <c r="RLM586" s="14"/>
      <c r="RLN586" s="14"/>
      <c r="RLO586" s="14"/>
      <c r="RLP586" s="14"/>
      <c r="RLQ586" s="14"/>
      <c r="RLR586" s="14"/>
      <c r="RLS586" s="14"/>
      <c r="RLT586" s="14"/>
      <c r="RLU586" s="14"/>
      <c r="RLV586" s="14"/>
      <c r="RLW586" s="14"/>
      <c r="RLX586" s="14"/>
      <c r="RLY586" s="14"/>
      <c r="RLZ586" s="14"/>
      <c r="RMA586" s="14"/>
      <c r="RMB586" s="14"/>
      <c r="RMC586" s="14"/>
      <c r="RMD586" s="14"/>
      <c r="RME586" s="14"/>
      <c r="RMF586" s="14"/>
      <c r="RMG586" s="14"/>
      <c r="RMH586" s="14"/>
      <c r="RMI586" s="14"/>
      <c r="RMJ586" s="14"/>
      <c r="RMK586" s="14"/>
      <c r="RML586" s="14"/>
      <c r="RMM586" s="14"/>
      <c r="RMN586" s="14"/>
      <c r="RMO586" s="14"/>
      <c r="RMP586" s="14"/>
      <c r="RMQ586" s="14"/>
      <c r="RMR586" s="14"/>
      <c r="RMS586" s="14"/>
      <c r="RMT586" s="14"/>
      <c r="RMU586" s="14"/>
      <c r="RMV586" s="14"/>
      <c r="RMW586" s="14"/>
      <c r="RMX586" s="14"/>
      <c r="RMY586" s="14"/>
      <c r="RMZ586" s="14"/>
      <c r="RNA586" s="14"/>
      <c r="RNB586" s="14"/>
      <c r="RNC586" s="14"/>
      <c r="RND586" s="14"/>
      <c r="RNE586" s="14"/>
      <c r="RNF586" s="14"/>
      <c r="RNG586" s="14"/>
      <c r="RNH586" s="14"/>
      <c r="RNI586" s="14"/>
      <c r="RNJ586" s="14"/>
      <c r="RNK586" s="14"/>
      <c r="RNL586" s="14"/>
      <c r="RNM586" s="14"/>
      <c r="RNN586" s="14"/>
      <c r="RNO586" s="14"/>
      <c r="RNP586" s="14"/>
      <c r="RNQ586" s="14"/>
      <c r="RNR586" s="14"/>
      <c r="RNS586" s="14"/>
      <c r="RNT586" s="14"/>
      <c r="RNU586" s="14"/>
      <c r="RNV586" s="14"/>
      <c r="RNW586" s="14"/>
      <c r="RNX586" s="14"/>
      <c r="RNY586" s="14"/>
      <c r="RNZ586" s="14"/>
      <c r="ROA586" s="14"/>
      <c r="ROB586" s="14"/>
      <c r="ROC586" s="14"/>
      <c r="ROD586" s="14"/>
      <c r="ROE586" s="14"/>
      <c r="ROF586" s="14"/>
      <c r="ROG586" s="14"/>
      <c r="ROH586" s="14"/>
      <c r="ROI586" s="14"/>
      <c r="ROJ586" s="14"/>
      <c r="ROK586" s="14"/>
      <c r="ROL586" s="14"/>
      <c r="ROM586" s="14"/>
      <c r="RON586" s="14"/>
      <c r="ROO586" s="14"/>
      <c r="ROP586" s="14"/>
      <c r="ROQ586" s="14"/>
      <c r="ROR586" s="14"/>
      <c r="ROS586" s="14"/>
      <c r="ROT586" s="14"/>
      <c r="ROU586" s="14"/>
      <c r="ROV586" s="14"/>
      <c r="ROW586" s="14"/>
      <c r="ROX586" s="14"/>
      <c r="ROY586" s="14"/>
      <c r="ROZ586" s="14"/>
      <c r="RPA586" s="14"/>
      <c r="RPB586" s="14"/>
      <c r="RPC586" s="14"/>
      <c r="RPD586" s="14"/>
      <c r="RPE586" s="14"/>
      <c r="RPF586" s="14"/>
      <c r="RPG586" s="14"/>
      <c r="RPH586" s="14"/>
      <c r="RPI586" s="14"/>
      <c r="RPJ586" s="14"/>
      <c r="RPK586" s="14"/>
      <c r="RPL586" s="14"/>
      <c r="RPM586" s="14"/>
      <c r="RPN586" s="14"/>
      <c r="RPO586" s="14"/>
      <c r="RPP586" s="14"/>
      <c r="RPQ586" s="14"/>
      <c r="RPR586" s="14"/>
      <c r="RPS586" s="14"/>
      <c r="RPT586" s="14"/>
      <c r="RPU586" s="14"/>
      <c r="RPV586" s="14"/>
      <c r="RPW586" s="14"/>
      <c r="RPX586" s="14"/>
      <c r="RPY586" s="14"/>
      <c r="RPZ586" s="14"/>
      <c r="RQA586" s="14"/>
      <c r="RQB586" s="14"/>
      <c r="RQC586" s="14"/>
      <c r="RQD586" s="14"/>
      <c r="RQE586" s="14"/>
      <c r="RQF586" s="14"/>
      <c r="RQG586" s="14"/>
      <c r="RQH586" s="14"/>
      <c r="RQI586" s="14"/>
      <c r="RQJ586" s="14"/>
      <c r="RQK586" s="14"/>
      <c r="RQL586" s="14"/>
      <c r="RQM586" s="14"/>
      <c r="RQN586" s="14"/>
      <c r="RQO586" s="14"/>
      <c r="RQP586" s="14"/>
      <c r="RQQ586" s="14"/>
      <c r="RQR586" s="14"/>
      <c r="RQS586" s="14"/>
      <c r="RQT586" s="14"/>
      <c r="RQU586" s="14"/>
      <c r="RQV586" s="14"/>
      <c r="RQW586" s="14"/>
      <c r="RQX586" s="14"/>
      <c r="RQY586" s="14"/>
      <c r="RQZ586" s="14"/>
      <c r="RRA586" s="14"/>
      <c r="RRB586" s="14"/>
      <c r="RRC586" s="14"/>
      <c r="RRD586" s="14"/>
      <c r="RRE586" s="14"/>
      <c r="RRF586" s="14"/>
      <c r="RRG586" s="14"/>
      <c r="RRH586" s="14"/>
      <c r="RRI586" s="14"/>
      <c r="RRJ586" s="14"/>
      <c r="RRK586" s="14"/>
      <c r="RRL586" s="14"/>
      <c r="RRM586" s="14"/>
      <c r="RRN586" s="14"/>
      <c r="RRO586" s="14"/>
      <c r="RRP586" s="14"/>
      <c r="RRQ586" s="14"/>
      <c r="RRR586" s="14"/>
      <c r="RRS586" s="14"/>
      <c r="RRT586" s="14"/>
      <c r="RRU586" s="14"/>
      <c r="RRV586" s="14"/>
      <c r="RRW586" s="14"/>
      <c r="RRX586" s="14"/>
      <c r="RRY586" s="14"/>
      <c r="RRZ586" s="14"/>
      <c r="RSA586" s="14"/>
      <c r="RSB586" s="14"/>
      <c r="RSC586" s="14"/>
      <c r="RSD586" s="14"/>
      <c r="RSE586" s="14"/>
      <c r="RSF586" s="14"/>
      <c r="RSG586" s="14"/>
      <c r="RSH586" s="14"/>
      <c r="RSI586" s="14"/>
      <c r="RSJ586" s="14"/>
      <c r="RSK586" s="14"/>
      <c r="RSL586" s="14"/>
      <c r="RSM586" s="14"/>
      <c r="RSN586" s="14"/>
      <c r="RSO586" s="14"/>
      <c r="RSP586" s="14"/>
      <c r="RSQ586" s="14"/>
      <c r="RSR586" s="14"/>
      <c r="RSS586" s="14"/>
      <c r="RST586" s="14"/>
      <c r="RSU586" s="14"/>
      <c r="RSV586" s="14"/>
      <c r="RSW586" s="14"/>
      <c r="RSX586" s="14"/>
      <c r="RSY586" s="14"/>
      <c r="RSZ586" s="14"/>
      <c r="RTA586" s="14"/>
      <c r="RTB586" s="14"/>
      <c r="RTC586" s="14"/>
      <c r="RTD586" s="14"/>
      <c r="RTE586" s="14"/>
      <c r="RTF586" s="14"/>
      <c r="RTG586" s="14"/>
      <c r="RTH586" s="14"/>
      <c r="RTI586" s="14"/>
      <c r="RTJ586" s="14"/>
      <c r="RTK586" s="14"/>
      <c r="RTL586" s="14"/>
      <c r="RTM586" s="14"/>
      <c r="RTN586" s="14"/>
      <c r="RTO586" s="14"/>
      <c r="RTP586" s="14"/>
      <c r="RTQ586" s="14"/>
      <c r="RTR586" s="14"/>
      <c r="RTS586" s="14"/>
      <c r="RTT586" s="14"/>
      <c r="RTU586" s="14"/>
      <c r="RTV586" s="14"/>
      <c r="RTW586" s="14"/>
      <c r="RTX586" s="14"/>
      <c r="RTY586" s="14"/>
      <c r="RTZ586" s="14"/>
      <c r="RUA586" s="14"/>
      <c r="RUB586" s="14"/>
      <c r="RUC586" s="14"/>
      <c r="RUD586" s="14"/>
      <c r="RUE586" s="14"/>
      <c r="RUF586" s="14"/>
      <c r="RUG586" s="14"/>
      <c r="RUH586" s="14"/>
      <c r="RUI586" s="14"/>
      <c r="RUJ586" s="14"/>
      <c r="RUK586" s="14"/>
      <c r="RUL586" s="14"/>
      <c r="RUM586" s="14"/>
      <c r="RUN586" s="14"/>
      <c r="RUO586" s="14"/>
      <c r="RUP586" s="14"/>
      <c r="RUQ586" s="14"/>
      <c r="RUR586" s="14"/>
      <c r="RUS586" s="14"/>
      <c r="RUT586" s="14"/>
      <c r="RUU586" s="14"/>
      <c r="RUV586" s="14"/>
      <c r="RUW586" s="14"/>
      <c r="RUX586" s="14"/>
      <c r="RUY586" s="14"/>
      <c r="RUZ586" s="14"/>
      <c r="RVA586" s="14"/>
      <c r="RVB586" s="14"/>
      <c r="RVC586" s="14"/>
      <c r="RVD586" s="14"/>
      <c r="RVE586" s="14"/>
      <c r="RVF586" s="14"/>
      <c r="RVG586" s="14"/>
      <c r="RVH586" s="14"/>
      <c r="RVI586" s="14"/>
      <c r="RVJ586" s="14"/>
      <c r="RVK586" s="14"/>
      <c r="RVL586" s="14"/>
      <c r="RVM586" s="14"/>
      <c r="RVN586" s="14"/>
      <c r="RVO586" s="14"/>
      <c r="RVP586" s="14"/>
      <c r="RVQ586" s="14"/>
      <c r="RVR586" s="14"/>
      <c r="RVS586" s="14"/>
      <c r="RVT586" s="14"/>
      <c r="RVU586" s="14"/>
      <c r="RVV586" s="14"/>
      <c r="RVW586" s="14"/>
      <c r="RVX586" s="14"/>
      <c r="RVY586" s="14"/>
      <c r="RVZ586" s="14"/>
      <c r="RWA586" s="14"/>
      <c r="RWB586" s="14"/>
      <c r="RWC586" s="14"/>
      <c r="RWD586" s="14"/>
      <c r="RWE586" s="14"/>
      <c r="RWF586" s="14"/>
      <c r="RWG586" s="14"/>
      <c r="RWH586" s="14"/>
      <c r="RWI586" s="14"/>
      <c r="RWJ586" s="14"/>
      <c r="RWK586" s="14"/>
      <c r="RWL586" s="14"/>
      <c r="RWM586" s="14"/>
      <c r="RWN586" s="14"/>
      <c r="RWO586" s="14"/>
      <c r="RWP586" s="14"/>
      <c r="RWQ586" s="14"/>
      <c r="RWR586" s="14"/>
      <c r="RWS586" s="14"/>
      <c r="RWT586" s="14"/>
      <c r="RWU586" s="14"/>
      <c r="RWV586" s="14"/>
      <c r="RWW586" s="14"/>
      <c r="RWX586" s="14"/>
      <c r="RWY586" s="14"/>
      <c r="RWZ586" s="14"/>
      <c r="RXA586" s="14"/>
      <c r="RXB586" s="14"/>
      <c r="RXC586" s="14"/>
      <c r="RXD586" s="14"/>
      <c r="RXE586" s="14"/>
      <c r="RXF586" s="14"/>
      <c r="RXG586" s="14"/>
      <c r="RXH586" s="14"/>
      <c r="RXI586" s="14"/>
      <c r="RXJ586" s="14"/>
      <c r="RXK586" s="14"/>
      <c r="RXL586" s="14"/>
      <c r="RXM586" s="14"/>
      <c r="RXN586" s="14"/>
      <c r="RXO586" s="14"/>
      <c r="RXP586" s="14"/>
      <c r="RXQ586" s="14"/>
      <c r="RXR586" s="14"/>
      <c r="RXS586" s="14"/>
      <c r="RXT586" s="14"/>
      <c r="RXU586" s="14"/>
      <c r="RXV586" s="14"/>
      <c r="RXW586" s="14"/>
      <c r="RXX586" s="14"/>
      <c r="RXY586" s="14"/>
      <c r="RXZ586" s="14"/>
      <c r="RYA586" s="14"/>
      <c r="RYB586" s="14"/>
      <c r="RYC586" s="14"/>
      <c r="RYD586" s="14"/>
      <c r="RYE586" s="14"/>
      <c r="RYF586" s="14"/>
      <c r="RYG586" s="14"/>
      <c r="RYH586" s="14"/>
      <c r="RYI586" s="14"/>
      <c r="RYJ586" s="14"/>
      <c r="RYK586" s="14"/>
      <c r="RYL586" s="14"/>
      <c r="RYM586" s="14"/>
      <c r="RYN586" s="14"/>
      <c r="RYO586" s="14"/>
      <c r="RYP586" s="14"/>
      <c r="RYQ586" s="14"/>
      <c r="RYR586" s="14"/>
      <c r="RYS586" s="14"/>
      <c r="RYT586" s="14"/>
      <c r="RYU586" s="14"/>
      <c r="RYV586" s="14"/>
      <c r="RYW586" s="14"/>
      <c r="RYX586" s="14"/>
      <c r="RYY586" s="14"/>
      <c r="RYZ586" s="14"/>
      <c r="RZA586" s="14"/>
      <c r="RZB586" s="14"/>
      <c r="RZC586" s="14"/>
      <c r="RZD586" s="14"/>
      <c r="RZE586" s="14"/>
      <c r="RZF586" s="14"/>
      <c r="RZG586" s="14"/>
      <c r="RZH586" s="14"/>
      <c r="RZI586" s="14"/>
      <c r="RZJ586" s="14"/>
      <c r="RZK586" s="14"/>
      <c r="RZL586" s="14"/>
      <c r="RZM586" s="14"/>
      <c r="RZN586" s="14"/>
      <c r="RZO586" s="14"/>
      <c r="RZP586" s="14"/>
      <c r="RZQ586" s="14"/>
      <c r="RZR586" s="14"/>
      <c r="RZS586" s="14"/>
      <c r="RZT586" s="14"/>
      <c r="RZU586" s="14"/>
      <c r="RZV586" s="14"/>
      <c r="RZW586" s="14"/>
      <c r="RZX586" s="14"/>
      <c r="RZY586" s="14"/>
      <c r="RZZ586" s="14"/>
      <c r="SAA586" s="14"/>
      <c r="SAB586" s="14"/>
      <c r="SAC586" s="14"/>
      <c r="SAD586" s="14"/>
      <c r="SAE586" s="14"/>
      <c r="SAF586" s="14"/>
      <c r="SAG586" s="14"/>
      <c r="SAH586" s="14"/>
      <c r="SAI586" s="14"/>
      <c r="SAJ586" s="14"/>
      <c r="SAK586" s="14"/>
      <c r="SAL586" s="14"/>
      <c r="SAM586" s="14"/>
      <c r="SAN586" s="14"/>
      <c r="SAO586" s="14"/>
      <c r="SAP586" s="14"/>
      <c r="SAQ586" s="14"/>
      <c r="SAR586" s="14"/>
      <c r="SAS586" s="14"/>
      <c r="SAT586" s="14"/>
      <c r="SAU586" s="14"/>
      <c r="SAV586" s="14"/>
      <c r="SAW586" s="14"/>
      <c r="SAX586" s="14"/>
      <c r="SAY586" s="14"/>
      <c r="SAZ586" s="14"/>
      <c r="SBA586" s="14"/>
      <c r="SBB586" s="14"/>
      <c r="SBC586" s="14"/>
      <c r="SBD586" s="14"/>
      <c r="SBE586" s="14"/>
      <c r="SBF586" s="14"/>
      <c r="SBG586" s="14"/>
      <c r="SBH586" s="14"/>
      <c r="SBI586" s="14"/>
      <c r="SBJ586" s="14"/>
      <c r="SBK586" s="14"/>
      <c r="SBL586" s="14"/>
      <c r="SBM586" s="14"/>
      <c r="SBN586" s="14"/>
      <c r="SBO586" s="14"/>
      <c r="SBP586" s="14"/>
      <c r="SBQ586" s="14"/>
      <c r="SBR586" s="14"/>
      <c r="SBS586" s="14"/>
      <c r="SBT586" s="14"/>
      <c r="SBU586" s="14"/>
      <c r="SBV586" s="14"/>
      <c r="SBW586" s="14"/>
      <c r="SBX586" s="14"/>
      <c r="SBY586" s="14"/>
      <c r="SBZ586" s="14"/>
      <c r="SCA586" s="14"/>
      <c r="SCB586" s="14"/>
      <c r="SCC586" s="14"/>
      <c r="SCD586" s="14"/>
      <c r="SCE586" s="14"/>
      <c r="SCF586" s="14"/>
      <c r="SCG586" s="14"/>
      <c r="SCH586" s="14"/>
      <c r="SCI586" s="14"/>
      <c r="SCJ586" s="14"/>
      <c r="SCK586" s="14"/>
      <c r="SCL586" s="14"/>
      <c r="SCM586" s="14"/>
      <c r="SCN586" s="14"/>
      <c r="SCO586" s="14"/>
      <c r="SCP586" s="14"/>
      <c r="SCQ586" s="14"/>
      <c r="SCR586" s="14"/>
      <c r="SCS586" s="14"/>
      <c r="SCT586" s="14"/>
      <c r="SCU586" s="14"/>
      <c r="SCV586" s="14"/>
      <c r="SCW586" s="14"/>
      <c r="SCX586" s="14"/>
      <c r="SCY586" s="14"/>
      <c r="SCZ586" s="14"/>
      <c r="SDA586" s="14"/>
      <c r="SDB586" s="14"/>
      <c r="SDC586" s="14"/>
      <c r="SDD586" s="14"/>
      <c r="SDE586" s="14"/>
      <c r="SDF586" s="14"/>
      <c r="SDG586" s="14"/>
      <c r="SDH586" s="14"/>
      <c r="SDI586" s="14"/>
      <c r="SDJ586" s="14"/>
      <c r="SDK586" s="14"/>
      <c r="SDL586" s="14"/>
      <c r="SDM586" s="14"/>
      <c r="SDN586" s="14"/>
      <c r="SDO586" s="14"/>
      <c r="SDP586" s="14"/>
      <c r="SDQ586" s="14"/>
      <c r="SDR586" s="14"/>
      <c r="SDS586" s="14"/>
      <c r="SDT586" s="14"/>
      <c r="SDU586" s="14"/>
      <c r="SDV586" s="14"/>
      <c r="SDW586" s="14"/>
      <c r="SDX586" s="14"/>
      <c r="SDY586" s="14"/>
      <c r="SDZ586" s="14"/>
      <c r="SEA586" s="14"/>
      <c r="SEB586" s="14"/>
      <c r="SEC586" s="14"/>
      <c r="SED586" s="14"/>
      <c r="SEE586" s="14"/>
      <c r="SEF586" s="14"/>
      <c r="SEG586" s="14"/>
      <c r="SEH586" s="14"/>
      <c r="SEI586" s="14"/>
      <c r="SEJ586" s="14"/>
      <c r="SEK586" s="14"/>
      <c r="SEL586" s="14"/>
      <c r="SEM586" s="14"/>
      <c r="SEN586" s="14"/>
      <c r="SEO586" s="14"/>
      <c r="SEP586" s="14"/>
      <c r="SEQ586" s="14"/>
      <c r="SER586" s="14"/>
      <c r="SES586" s="14"/>
      <c r="SET586" s="14"/>
      <c r="SEU586" s="14"/>
      <c r="SEV586" s="14"/>
      <c r="SEW586" s="14"/>
      <c r="SEX586" s="14"/>
      <c r="SEY586" s="14"/>
      <c r="SEZ586" s="14"/>
      <c r="SFA586" s="14"/>
      <c r="SFB586" s="14"/>
      <c r="SFC586" s="14"/>
      <c r="SFD586" s="14"/>
      <c r="SFE586" s="14"/>
      <c r="SFF586" s="14"/>
      <c r="SFG586" s="14"/>
      <c r="SFH586" s="14"/>
      <c r="SFI586" s="14"/>
      <c r="SFJ586" s="14"/>
      <c r="SFK586" s="14"/>
      <c r="SFL586" s="14"/>
      <c r="SFM586" s="14"/>
      <c r="SFN586" s="14"/>
      <c r="SFO586" s="14"/>
      <c r="SFP586" s="14"/>
      <c r="SFQ586" s="14"/>
      <c r="SFR586" s="14"/>
      <c r="SFS586" s="14"/>
      <c r="SFT586" s="14"/>
      <c r="SFU586" s="14"/>
      <c r="SFV586" s="14"/>
      <c r="SFW586" s="14"/>
      <c r="SFX586" s="14"/>
      <c r="SFY586" s="14"/>
      <c r="SFZ586" s="14"/>
      <c r="SGA586" s="14"/>
      <c r="SGB586" s="14"/>
      <c r="SGC586" s="14"/>
      <c r="SGD586" s="14"/>
      <c r="SGE586" s="14"/>
      <c r="SGF586" s="14"/>
      <c r="SGG586" s="14"/>
      <c r="SGH586" s="14"/>
      <c r="SGI586" s="14"/>
      <c r="SGJ586" s="14"/>
      <c r="SGK586" s="14"/>
      <c r="SGL586" s="14"/>
      <c r="SGM586" s="14"/>
      <c r="SGN586" s="14"/>
      <c r="SGO586" s="14"/>
      <c r="SGP586" s="14"/>
      <c r="SGQ586" s="14"/>
      <c r="SGR586" s="14"/>
      <c r="SGS586" s="14"/>
      <c r="SGT586" s="14"/>
      <c r="SGU586" s="14"/>
      <c r="SGV586" s="14"/>
      <c r="SGW586" s="14"/>
      <c r="SGX586" s="14"/>
      <c r="SGY586" s="14"/>
      <c r="SGZ586" s="14"/>
      <c r="SHA586" s="14"/>
      <c r="SHB586" s="14"/>
      <c r="SHC586" s="14"/>
      <c r="SHD586" s="14"/>
      <c r="SHE586" s="14"/>
      <c r="SHF586" s="14"/>
      <c r="SHG586" s="14"/>
      <c r="SHH586" s="14"/>
      <c r="SHI586" s="14"/>
      <c r="SHJ586" s="14"/>
      <c r="SHK586" s="14"/>
      <c r="SHL586" s="14"/>
      <c r="SHM586" s="14"/>
      <c r="SHN586" s="14"/>
      <c r="SHO586" s="14"/>
      <c r="SHP586" s="14"/>
      <c r="SHQ586" s="14"/>
      <c r="SHR586" s="14"/>
      <c r="SHS586" s="14"/>
      <c r="SHT586" s="14"/>
      <c r="SHU586" s="14"/>
      <c r="SHV586" s="14"/>
      <c r="SHW586" s="14"/>
      <c r="SHX586" s="14"/>
      <c r="SHY586" s="14"/>
      <c r="SHZ586" s="14"/>
      <c r="SIA586" s="14"/>
      <c r="SIB586" s="14"/>
      <c r="SIC586" s="14"/>
      <c r="SID586" s="14"/>
      <c r="SIE586" s="14"/>
      <c r="SIF586" s="14"/>
      <c r="SIG586" s="14"/>
      <c r="SIH586" s="14"/>
      <c r="SII586" s="14"/>
      <c r="SIJ586" s="14"/>
      <c r="SIK586" s="14"/>
      <c r="SIL586" s="14"/>
      <c r="SIM586" s="14"/>
      <c r="SIN586" s="14"/>
      <c r="SIO586" s="14"/>
      <c r="SIP586" s="14"/>
      <c r="SIQ586" s="14"/>
      <c r="SIR586" s="14"/>
      <c r="SIS586" s="14"/>
      <c r="SIT586" s="14"/>
      <c r="SIU586" s="14"/>
      <c r="SIV586" s="14"/>
      <c r="SIW586" s="14"/>
      <c r="SIX586" s="14"/>
      <c r="SIY586" s="14"/>
      <c r="SIZ586" s="14"/>
      <c r="SJA586" s="14"/>
      <c r="SJB586" s="14"/>
      <c r="SJC586" s="14"/>
      <c r="SJD586" s="14"/>
      <c r="SJE586" s="14"/>
      <c r="SJF586" s="14"/>
      <c r="SJG586" s="14"/>
      <c r="SJH586" s="14"/>
      <c r="SJI586" s="14"/>
      <c r="SJJ586" s="14"/>
      <c r="SJK586" s="14"/>
      <c r="SJL586" s="14"/>
      <c r="SJM586" s="14"/>
      <c r="SJN586" s="14"/>
      <c r="SJO586" s="14"/>
      <c r="SJP586" s="14"/>
      <c r="SJQ586" s="14"/>
      <c r="SJR586" s="14"/>
      <c r="SJS586" s="14"/>
      <c r="SJT586" s="14"/>
      <c r="SJU586" s="14"/>
      <c r="SJV586" s="14"/>
      <c r="SJW586" s="14"/>
      <c r="SJX586" s="14"/>
      <c r="SJY586" s="14"/>
      <c r="SJZ586" s="14"/>
      <c r="SKA586" s="14"/>
      <c r="SKB586" s="14"/>
      <c r="SKC586" s="14"/>
      <c r="SKD586" s="14"/>
      <c r="SKE586" s="14"/>
      <c r="SKF586" s="14"/>
      <c r="SKG586" s="14"/>
      <c r="SKH586" s="14"/>
      <c r="SKI586" s="14"/>
      <c r="SKJ586" s="14"/>
      <c r="SKK586" s="14"/>
      <c r="SKL586" s="14"/>
      <c r="SKM586" s="14"/>
      <c r="SKN586" s="14"/>
      <c r="SKO586" s="14"/>
      <c r="SKP586" s="14"/>
      <c r="SKQ586" s="14"/>
      <c r="SKR586" s="14"/>
      <c r="SKS586" s="14"/>
      <c r="SKT586" s="14"/>
      <c r="SKU586" s="14"/>
      <c r="SKV586" s="14"/>
      <c r="SKW586" s="14"/>
      <c r="SKX586" s="14"/>
      <c r="SKY586" s="14"/>
      <c r="SKZ586" s="14"/>
      <c r="SLA586" s="14"/>
      <c r="SLB586" s="14"/>
      <c r="SLC586" s="14"/>
      <c r="SLD586" s="14"/>
      <c r="SLE586" s="14"/>
      <c r="SLF586" s="14"/>
      <c r="SLG586" s="14"/>
      <c r="SLH586" s="14"/>
      <c r="SLI586" s="14"/>
      <c r="SLJ586" s="14"/>
      <c r="SLK586" s="14"/>
      <c r="SLL586" s="14"/>
      <c r="SLM586" s="14"/>
      <c r="SLN586" s="14"/>
      <c r="SLO586" s="14"/>
      <c r="SLP586" s="14"/>
      <c r="SLQ586" s="14"/>
      <c r="SLR586" s="14"/>
      <c r="SLS586" s="14"/>
      <c r="SLT586" s="14"/>
      <c r="SLU586" s="14"/>
      <c r="SLV586" s="14"/>
      <c r="SLW586" s="14"/>
      <c r="SLX586" s="14"/>
      <c r="SLY586" s="14"/>
      <c r="SLZ586" s="14"/>
      <c r="SMA586" s="14"/>
      <c r="SMB586" s="14"/>
      <c r="SMC586" s="14"/>
      <c r="SMD586" s="14"/>
      <c r="SME586" s="14"/>
      <c r="SMF586" s="14"/>
      <c r="SMG586" s="14"/>
      <c r="SMH586" s="14"/>
      <c r="SMI586" s="14"/>
      <c r="SMJ586" s="14"/>
      <c r="SMK586" s="14"/>
      <c r="SML586" s="14"/>
      <c r="SMM586" s="14"/>
      <c r="SMN586" s="14"/>
      <c r="SMO586" s="14"/>
      <c r="SMP586" s="14"/>
      <c r="SMQ586" s="14"/>
      <c r="SMR586" s="14"/>
      <c r="SMS586" s="14"/>
      <c r="SMT586" s="14"/>
      <c r="SMU586" s="14"/>
      <c r="SMV586" s="14"/>
      <c r="SMW586" s="14"/>
      <c r="SMX586" s="14"/>
      <c r="SMY586" s="14"/>
      <c r="SMZ586" s="14"/>
      <c r="SNA586" s="14"/>
      <c r="SNB586" s="14"/>
      <c r="SNC586" s="14"/>
      <c r="SND586" s="14"/>
      <c r="SNE586" s="14"/>
      <c r="SNF586" s="14"/>
      <c r="SNG586" s="14"/>
      <c r="SNH586" s="14"/>
      <c r="SNI586" s="14"/>
      <c r="SNJ586" s="14"/>
      <c r="SNK586" s="14"/>
      <c r="SNL586" s="14"/>
      <c r="SNM586" s="14"/>
      <c r="SNN586" s="14"/>
      <c r="SNO586" s="14"/>
      <c r="SNP586" s="14"/>
      <c r="SNQ586" s="14"/>
      <c r="SNR586" s="14"/>
      <c r="SNS586" s="14"/>
      <c r="SNT586" s="14"/>
      <c r="SNU586" s="14"/>
      <c r="SNV586" s="14"/>
      <c r="SNW586" s="14"/>
      <c r="SNX586" s="14"/>
      <c r="SNY586" s="14"/>
      <c r="SNZ586" s="14"/>
      <c r="SOA586" s="14"/>
      <c r="SOB586" s="14"/>
      <c r="SOC586" s="14"/>
      <c r="SOD586" s="14"/>
      <c r="SOE586" s="14"/>
      <c r="SOF586" s="14"/>
      <c r="SOG586" s="14"/>
      <c r="SOH586" s="14"/>
      <c r="SOI586" s="14"/>
      <c r="SOJ586" s="14"/>
      <c r="SOK586" s="14"/>
      <c r="SOL586" s="14"/>
      <c r="SOM586" s="14"/>
      <c r="SON586" s="14"/>
      <c r="SOO586" s="14"/>
      <c r="SOP586" s="14"/>
      <c r="SOQ586" s="14"/>
      <c r="SOR586" s="14"/>
      <c r="SOS586" s="14"/>
      <c r="SOT586" s="14"/>
      <c r="SOU586" s="14"/>
      <c r="SOV586" s="14"/>
      <c r="SOW586" s="14"/>
      <c r="SOX586" s="14"/>
      <c r="SOY586" s="14"/>
      <c r="SOZ586" s="14"/>
      <c r="SPA586" s="14"/>
      <c r="SPB586" s="14"/>
      <c r="SPC586" s="14"/>
      <c r="SPD586" s="14"/>
      <c r="SPE586" s="14"/>
      <c r="SPF586" s="14"/>
      <c r="SPG586" s="14"/>
      <c r="SPH586" s="14"/>
      <c r="SPI586" s="14"/>
      <c r="SPJ586" s="14"/>
      <c r="SPK586" s="14"/>
      <c r="SPL586" s="14"/>
      <c r="SPM586" s="14"/>
      <c r="SPN586" s="14"/>
      <c r="SPO586" s="14"/>
      <c r="SPP586" s="14"/>
      <c r="SPQ586" s="14"/>
      <c r="SPR586" s="14"/>
      <c r="SPS586" s="14"/>
      <c r="SPT586" s="14"/>
      <c r="SPU586" s="14"/>
      <c r="SPV586" s="14"/>
      <c r="SPW586" s="14"/>
      <c r="SPX586" s="14"/>
      <c r="SPY586" s="14"/>
      <c r="SPZ586" s="14"/>
      <c r="SQA586" s="14"/>
      <c r="SQB586" s="14"/>
      <c r="SQC586" s="14"/>
      <c r="SQD586" s="14"/>
      <c r="SQE586" s="14"/>
      <c r="SQF586" s="14"/>
      <c r="SQG586" s="14"/>
      <c r="SQH586" s="14"/>
      <c r="SQI586" s="14"/>
      <c r="SQJ586" s="14"/>
      <c r="SQK586" s="14"/>
      <c r="SQL586" s="14"/>
      <c r="SQM586" s="14"/>
      <c r="SQN586" s="14"/>
      <c r="SQO586" s="14"/>
      <c r="SQP586" s="14"/>
      <c r="SQQ586" s="14"/>
      <c r="SQR586" s="14"/>
      <c r="SQS586" s="14"/>
      <c r="SQT586" s="14"/>
      <c r="SQU586" s="14"/>
      <c r="SQV586" s="14"/>
      <c r="SQW586" s="14"/>
      <c r="SQX586" s="14"/>
      <c r="SQY586" s="14"/>
      <c r="SQZ586" s="14"/>
      <c r="SRA586" s="14"/>
      <c r="SRB586" s="14"/>
      <c r="SRC586" s="14"/>
      <c r="SRD586" s="14"/>
      <c r="SRE586" s="14"/>
      <c r="SRF586" s="14"/>
      <c r="SRG586" s="14"/>
      <c r="SRH586" s="14"/>
      <c r="SRI586" s="14"/>
      <c r="SRJ586" s="14"/>
      <c r="SRK586" s="14"/>
      <c r="SRL586" s="14"/>
      <c r="SRM586" s="14"/>
      <c r="SRN586" s="14"/>
      <c r="SRO586" s="14"/>
      <c r="SRP586" s="14"/>
      <c r="SRQ586" s="14"/>
      <c r="SRR586" s="14"/>
      <c r="SRS586" s="14"/>
      <c r="SRT586" s="14"/>
      <c r="SRU586" s="14"/>
      <c r="SRV586" s="14"/>
      <c r="SRW586" s="14"/>
      <c r="SRX586" s="14"/>
      <c r="SRY586" s="14"/>
      <c r="SRZ586" s="14"/>
      <c r="SSA586" s="14"/>
      <c r="SSB586" s="14"/>
      <c r="SSC586" s="14"/>
      <c r="SSD586" s="14"/>
      <c r="SSE586" s="14"/>
      <c r="SSF586" s="14"/>
      <c r="SSG586" s="14"/>
      <c r="SSH586" s="14"/>
      <c r="SSI586" s="14"/>
      <c r="SSJ586" s="14"/>
      <c r="SSK586" s="14"/>
      <c r="SSL586" s="14"/>
      <c r="SSM586" s="14"/>
      <c r="SSN586" s="14"/>
      <c r="SSO586" s="14"/>
      <c r="SSP586" s="14"/>
      <c r="SSQ586" s="14"/>
      <c r="SSR586" s="14"/>
      <c r="SSS586" s="14"/>
      <c r="SST586" s="14"/>
      <c r="SSU586" s="14"/>
      <c r="SSV586" s="14"/>
      <c r="SSW586" s="14"/>
      <c r="SSX586" s="14"/>
      <c r="SSY586" s="14"/>
      <c r="SSZ586" s="14"/>
      <c r="STA586" s="14"/>
      <c r="STB586" s="14"/>
      <c r="STC586" s="14"/>
      <c r="STD586" s="14"/>
      <c r="STE586" s="14"/>
      <c r="STF586" s="14"/>
      <c r="STG586" s="14"/>
      <c r="STH586" s="14"/>
      <c r="STI586" s="14"/>
      <c r="STJ586" s="14"/>
      <c r="STK586" s="14"/>
      <c r="STL586" s="14"/>
      <c r="STM586" s="14"/>
      <c r="STN586" s="14"/>
      <c r="STO586" s="14"/>
      <c r="STP586" s="14"/>
      <c r="STQ586" s="14"/>
      <c r="STR586" s="14"/>
      <c r="STS586" s="14"/>
      <c r="STT586" s="14"/>
      <c r="STU586" s="14"/>
      <c r="STV586" s="14"/>
      <c r="STW586" s="14"/>
      <c r="STX586" s="14"/>
      <c r="STY586" s="14"/>
      <c r="STZ586" s="14"/>
      <c r="SUA586" s="14"/>
      <c r="SUB586" s="14"/>
      <c r="SUC586" s="14"/>
      <c r="SUD586" s="14"/>
      <c r="SUE586" s="14"/>
      <c r="SUF586" s="14"/>
      <c r="SUG586" s="14"/>
      <c r="SUH586" s="14"/>
      <c r="SUI586" s="14"/>
      <c r="SUJ586" s="14"/>
      <c r="SUK586" s="14"/>
      <c r="SUL586" s="14"/>
      <c r="SUM586" s="14"/>
      <c r="SUN586" s="14"/>
      <c r="SUO586" s="14"/>
      <c r="SUP586" s="14"/>
      <c r="SUQ586" s="14"/>
      <c r="SUR586" s="14"/>
      <c r="SUS586" s="14"/>
      <c r="SUT586" s="14"/>
      <c r="SUU586" s="14"/>
      <c r="SUV586" s="14"/>
      <c r="SUW586" s="14"/>
      <c r="SUX586" s="14"/>
      <c r="SUY586" s="14"/>
      <c r="SUZ586" s="14"/>
      <c r="SVA586" s="14"/>
      <c r="SVB586" s="14"/>
      <c r="SVC586" s="14"/>
      <c r="SVD586" s="14"/>
      <c r="SVE586" s="14"/>
      <c r="SVF586" s="14"/>
      <c r="SVG586" s="14"/>
      <c r="SVH586" s="14"/>
      <c r="SVI586" s="14"/>
      <c r="SVJ586" s="14"/>
      <c r="SVK586" s="14"/>
      <c r="SVL586" s="14"/>
      <c r="SVM586" s="14"/>
      <c r="SVN586" s="14"/>
      <c r="SVO586" s="14"/>
      <c r="SVP586" s="14"/>
      <c r="SVQ586" s="14"/>
      <c r="SVR586" s="14"/>
      <c r="SVS586" s="14"/>
      <c r="SVT586" s="14"/>
      <c r="SVU586" s="14"/>
      <c r="SVV586" s="14"/>
      <c r="SVW586" s="14"/>
      <c r="SVX586" s="14"/>
      <c r="SVY586" s="14"/>
      <c r="SVZ586" s="14"/>
      <c r="SWA586" s="14"/>
      <c r="SWB586" s="14"/>
      <c r="SWC586" s="14"/>
      <c r="SWD586" s="14"/>
      <c r="SWE586" s="14"/>
      <c r="SWF586" s="14"/>
      <c r="SWG586" s="14"/>
      <c r="SWH586" s="14"/>
      <c r="SWI586" s="14"/>
      <c r="SWJ586" s="14"/>
      <c r="SWK586" s="14"/>
      <c r="SWL586" s="14"/>
      <c r="SWM586" s="14"/>
      <c r="SWN586" s="14"/>
      <c r="SWO586" s="14"/>
      <c r="SWP586" s="14"/>
      <c r="SWQ586" s="14"/>
      <c r="SWR586" s="14"/>
      <c r="SWS586" s="14"/>
      <c r="SWT586" s="14"/>
      <c r="SWU586" s="14"/>
      <c r="SWV586" s="14"/>
      <c r="SWW586" s="14"/>
      <c r="SWX586" s="14"/>
      <c r="SWY586" s="14"/>
      <c r="SWZ586" s="14"/>
      <c r="SXA586" s="14"/>
      <c r="SXB586" s="14"/>
      <c r="SXC586" s="14"/>
      <c r="SXD586" s="14"/>
      <c r="SXE586" s="14"/>
      <c r="SXF586" s="14"/>
      <c r="SXG586" s="14"/>
      <c r="SXH586" s="14"/>
      <c r="SXI586" s="14"/>
      <c r="SXJ586" s="14"/>
      <c r="SXK586" s="14"/>
      <c r="SXL586" s="14"/>
      <c r="SXM586" s="14"/>
      <c r="SXN586" s="14"/>
      <c r="SXO586" s="14"/>
      <c r="SXP586" s="14"/>
      <c r="SXQ586" s="14"/>
      <c r="SXR586" s="14"/>
      <c r="SXS586" s="14"/>
      <c r="SXT586" s="14"/>
      <c r="SXU586" s="14"/>
      <c r="SXV586" s="14"/>
      <c r="SXW586" s="14"/>
      <c r="SXX586" s="14"/>
      <c r="SXY586" s="14"/>
      <c r="SXZ586" s="14"/>
      <c r="SYA586" s="14"/>
      <c r="SYB586" s="14"/>
      <c r="SYC586" s="14"/>
      <c r="SYD586" s="14"/>
      <c r="SYE586" s="14"/>
      <c r="SYF586" s="14"/>
      <c r="SYG586" s="14"/>
      <c r="SYH586" s="14"/>
      <c r="SYI586" s="14"/>
      <c r="SYJ586" s="14"/>
      <c r="SYK586" s="14"/>
      <c r="SYL586" s="14"/>
      <c r="SYM586" s="14"/>
      <c r="SYN586" s="14"/>
      <c r="SYO586" s="14"/>
      <c r="SYP586" s="14"/>
      <c r="SYQ586" s="14"/>
      <c r="SYR586" s="14"/>
      <c r="SYS586" s="14"/>
      <c r="SYT586" s="14"/>
      <c r="SYU586" s="14"/>
      <c r="SYV586" s="14"/>
      <c r="SYW586" s="14"/>
      <c r="SYX586" s="14"/>
      <c r="SYY586" s="14"/>
      <c r="SYZ586" s="14"/>
      <c r="SZA586" s="14"/>
      <c r="SZB586" s="14"/>
      <c r="SZC586" s="14"/>
      <c r="SZD586" s="14"/>
      <c r="SZE586" s="14"/>
      <c r="SZF586" s="14"/>
      <c r="SZG586" s="14"/>
      <c r="SZH586" s="14"/>
      <c r="SZI586" s="14"/>
      <c r="SZJ586" s="14"/>
      <c r="SZK586" s="14"/>
      <c r="SZL586" s="14"/>
      <c r="SZM586" s="14"/>
      <c r="SZN586" s="14"/>
      <c r="SZO586" s="14"/>
      <c r="SZP586" s="14"/>
      <c r="SZQ586" s="14"/>
      <c r="SZR586" s="14"/>
      <c r="SZS586" s="14"/>
      <c r="SZT586" s="14"/>
      <c r="SZU586" s="14"/>
      <c r="SZV586" s="14"/>
      <c r="SZW586" s="14"/>
      <c r="SZX586" s="14"/>
      <c r="SZY586" s="14"/>
      <c r="SZZ586" s="14"/>
      <c r="TAA586" s="14"/>
      <c r="TAB586" s="14"/>
      <c r="TAC586" s="14"/>
      <c r="TAD586" s="14"/>
      <c r="TAE586" s="14"/>
      <c r="TAF586" s="14"/>
      <c r="TAG586" s="14"/>
      <c r="TAH586" s="14"/>
      <c r="TAI586" s="14"/>
      <c r="TAJ586" s="14"/>
      <c r="TAK586" s="14"/>
      <c r="TAL586" s="14"/>
      <c r="TAM586" s="14"/>
      <c r="TAN586" s="14"/>
      <c r="TAO586" s="14"/>
      <c r="TAP586" s="14"/>
      <c r="TAQ586" s="14"/>
      <c r="TAR586" s="14"/>
      <c r="TAS586" s="14"/>
      <c r="TAT586" s="14"/>
      <c r="TAU586" s="14"/>
      <c r="TAV586" s="14"/>
      <c r="TAW586" s="14"/>
      <c r="TAX586" s="14"/>
      <c r="TAY586" s="14"/>
      <c r="TAZ586" s="14"/>
      <c r="TBA586" s="14"/>
      <c r="TBB586" s="14"/>
      <c r="TBC586" s="14"/>
      <c r="TBD586" s="14"/>
      <c r="TBE586" s="14"/>
      <c r="TBF586" s="14"/>
      <c r="TBG586" s="14"/>
      <c r="TBH586" s="14"/>
      <c r="TBI586" s="14"/>
      <c r="TBJ586" s="14"/>
      <c r="TBK586" s="14"/>
      <c r="TBL586" s="14"/>
      <c r="TBM586" s="14"/>
      <c r="TBN586" s="14"/>
      <c r="TBO586" s="14"/>
      <c r="TBP586" s="14"/>
      <c r="TBQ586" s="14"/>
      <c r="TBR586" s="14"/>
      <c r="TBS586" s="14"/>
      <c r="TBT586" s="14"/>
      <c r="TBU586" s="14"/>
      <c r="TBV586" s="14"/>
      <c r="TBW586" s="14"/>
      <c r="TBX586" s="14"/>
      <c r="TBY586" s="14"/>
      <c r="TBZ586" s="14"/>
      <c r="TCA586" s="14"/>
      <c r="TCB586" s="14"/>
      <c r="TCC586" s="14"/>
      <c r="TCD586" s="14"/>
      <c r="TCE586" s="14"/>
      <c r="TCF586" s="14"/>
      <c r="TCG586" s="14"/>
      <c r="TCH586" s="14"/>
      <c r="TCI586" s="14"/>
      <c r="TCJ586" s="14"/>
      <c r="TCK586" s="14"/>
      <c r="TCL586" s="14"/>
      <c r="TCM586" s="14"/>
      <c r="TCN586" s="14"/>
      <c r="TCO586" s="14"/>
      <c r="TCP586" s="14"/>
      <c r="TCQ586" s="14"/>
      <c r="TCR586" s="14"/>
      <c r="TCS586" s="14"/>
      <c r="TCT586" s="14"/>
      <c r="TCU586" s="14"/>
      <c r="TCV586" s="14"/>
      <c r="TCW586" s="14"/>
      <c r="TCX586" s="14"/>
      <c r="TCY586" s="14"/>
      <c r="TCZ586" s="14"/>
      <c r="TDA586" s="14"/>
      <c r="TDB586" s="14"/>
      <c r="TDC586" s="14"/>
      <c r="TDD586" s="14"/>
      <c r="TDE586" s="14"/>
      <c r="TDF586" s="14"/>
      <c r="TDG586" s="14"/>
      <c r="TDH586" s="14"/>
      <c r="TDI586" s="14"/>
      <c r="TDJ586" s="14"/>
      <c r="TDK586" s="14"/>
      <c r="TDL586" s="14"/>
      <c r="TDM586" s="14"/>
      <c r="TDN586" s="14"/>
      <c r="TDO586" s="14"/>
      <c r="TDP586" s="14"/>
      <c r="TDQ586" s="14"/>
      <c r="TDR586" s="14"/>
      <c r="TDS586" s="14"/>
      <c r="TDT586" s="14"/>
      <c r="TDU586" s="14"/>
      <c r="TDV586" s="14"/>
      <c r="TDW586" s="14"/>
      <c r="TDX586" s="14"/>
      <c r="TDY586" s="14"/>
      <c r="TDZ586" s="14"/>
      <c r="TEA586" s="14"/>
      <c r="TEB586" s="14"/>
      <c r="TEC586" s="14"/>
      <c r="TED586" s="14"/>
      <c r="TEE586" s="14"/>
      <c r="TEF586" s="14"/>
      <c r="TEG586" s="14"/>
      <c r="TEH586" s="14"/>
      <c r="TEI586" s="14"/>
      <c r="TEJ586" s="14"/>
      <c r="TEK586" s="14"/>
      <c r="TEL586" s="14"/>
      <c r="TEM586" s="14"/>
      <c r="TEN586" s="14"/>
      <c r="TEO586" s="14"/>
      <c r="TEP586" s="14"/>
      <c r="TEQ586" s="14"/>
      <c r="TER586" s="14"/>
      <c r="TES586" s="14"/>
      <c r="TET586" s="14"/>
      <c r="TEU586" s="14"/>
      <c r="TEV586" s="14"/>
      <c r="TEW586" s="14"/>
      <c r="TEX586" s="14"/>
      <c r="TEY586" s="14"/>
      <c r="TEZ586" s="14"/>
      <c r="TFA586" s="14"/>
      <c r="TFB586" s="14"/>
      <c r="TFC586" s="14"/>
      <c r="TFD586" s="14"/>
      <c r="TFE586" s="14"/>
      <c r="TFF586" s="14"/>
      <c r="TFG586" s="14"/>
      <c r="TFH586" s="14"/>
      <c r="TFI586" s="14"/>
      <c r="TFJ586" s="14"/>
      <c r="TFK586" s="14"/>
      <c r="TFL586" s="14"/>
      <c r="TFM586" s="14"/>
      <c r="TFN586" s="14"/>
      <c r="TFO586" s="14"/>
      <c r="TFP586" s="14"/>
      <c r="TFQ586" s="14"/>
      <c r="TFR586" s="14"/>
      <c r="TFS586" s="14"/>
      <c r="TFT586" s="14"/>
      <c r="TFU586" s="14"/>
      <c r="TFV586" s="14"/>
      <c r="TFW586" s="14"/>
      <c r="TFX586" s="14"/>
      <c r="TFY586" s="14"/>
      <c r="TFZ586" s="14"/>
      <c r="TGA586" s="14"/>
      <c r="TGB586" s="14"/>
      <c r="TGC586" s="14"/>
      <c r="TGD586" s="14"/>
      <c r="TGE586" s="14"/>
      <c r="TGF586" s="14"/>
      <c r="TGG586" s="14"/>
      <c r="TGH586" s="14"/>
      <c r="TGI586" s="14"/>
      <c r="TGJ586" s="14"/>
      <c r="TGK586" s="14"/>
      <c r="TGL586" s="14"/>
      <c r="TGM586" s="14"/>
      <c r="TGN586" s="14"/>
      <c r="TGO586" s="14"/>
      <c r="TGP586" s="14"/>
      <c r="TGQ586" s="14"/>
      <c r="TGR586" s="14"/>
      <c r="TGS586" s="14"/>
      <c r="TGT586" s="14"/>
      <c r="TGU586" s="14"/>
      <c r="TGV586" s="14"/>
      <c r="TGW586" s="14"/>
      <c r="TGX586" s="14"/>
      <c r="TGY586" s="14"/>
      <c r="TGZ586" s="14"/>
      <c r="THA586" s="14"/>
      <c r="THB586" s="14"/>
      <c r="THC586" s="14"/>
      <c r="THD586" s="14"/>
      <c r="THE586" s="14"/>
      <c r="THF586" s="14"/>
      <c r="THG586" s="14"/>
      <c r="THH586" s="14"/>
      <c r="THI586" s="14"/>
      <c r="THJ586" s="14"/>
      <c r="THK586" s="14"/>
      <c r="THL586" s="14"/>
      <c r="THM586" s="14"/>
      <c r="THN586" s="14"/>
      <c r="THO586" s="14"/>
      <c r="THP586" s="14"/>
      <c r="THQ586" s="14"/>
      <c r="THR586" s="14"/>
      <c r="THS586" s="14"/>
      <c r="THT586" s="14"/>
      <c r="THU586" s="14"/>
      <c r="THV586" s="14"/>
      <c r="THW586" s="14"/>
      <c r="THX586" s="14"/>
      <c r="THY586" s="14"/>
      <c r="THZ586" s="14"/>
      <c r="TIA586" s="14"/>
      <c r="TIB586" s="14"/>
      <c r="TIC586" s="14"/>
      <c r="TID586" s="14"/>
      <c r="TIE586" s="14"/>
      <c r="TIF586" s="14"/>
      <c r="TIG586" s="14"/>
      <c r="TIH586" s="14"/>
      <c r="TII586" s="14"/>
      <c r="TIJ586" s="14"/>
      <c r="TIK586" s="14"/>
      <c r="TIL586" s="14"/>
      <c r="TIM586" s="14"/>
      <c r="TIN586" s="14"/>
      <c r="TIO586" s="14"/>
      <c r="TIP586" s="14"/>
      <c r="TIQ586" s="14"/>
      <c r="TIR586" s="14"/>
      <c r="TIS586" s="14"/>
      <c r="TIT586" s="14"/>
      <c r="TIU586" s="14"/>
      <c r="TIV586" s="14"/>
      <c r="TIW586" s="14"/>
      <c r="TIX586" s="14"/>
      <c r="TIY586" s="14"/>
      <c r="TIZ586" s="14"/>
      <c r="TJA586" s="14"/>
      <c r="TJB586" s="14"/>
      <c r="TJC586" s="14"/>
      <c r="TJD586" s="14"/>
      <c r="TJE586" s="14"/>
      <c r="TJF586" s="14"/>
      <c r="TJG586" s="14"/>
      <c r="TJH586" s="14"/>
      <c r="TJI586" s="14"/>
      <c r="TJJ586" s="14"/>
      <c r="TJK586" s="14"/>
      <c r="TJL586" s="14"/>
      <c r="TJM586" s="14"/>
      <c r="TJN586" s="14"/>
      <c r="TJO586" s="14"/>
      <c r="TJP586" s="14"/>
      <c r="TJQ586" s="14"/>
      <c r="TJR586" s="14"/>
      <c r="TJS586" s="14"/>
      <c r="TJT586" s="14"/>
      <c r="TJU586" s="14"/>
      <c r="TJV586" s="14"/>
      <c r="TJW586" s="14"/>
      <c r="TJX586" s="14"/>
      <c r="TJY586" s="14"/>
      <c r="TJZ586" s="14"/>
      <c r="TKA586" s="14"/>
      <c r="TKB586" s="14"/>
      <c r="TKC586" s="14"/>
      <c r="TKD586" s="14"/>
      <c r="TKE586" s="14"/>
      <c r="TKF586" s="14"/>
      <c r="TKG586" s="14"/>
      <c r="TKH586" s="14"/>
      <c r="TKI586" s="14"/>
      <c r="TKJ586" s="14"/>
      <c r="TKK586" s="14"/>
      <c r="TKL586" s="14"/>
      <c r="TKM586" s="14"/>
      <c r="TKN586" s="14"/>
      <c r="TKO586" s="14"/>
      <c r="TKP586" s="14"/>
      <c r="TKQ586" s="14"/>
      <c r="TKR586" s="14"/>
      <c r="TKS586" s="14"/>
      <c r="TKT586" s="14"/>
      <c r="TKU586" s="14"/>
      <c r="TKV586" s="14"/>
      <c r="TKW586" s="14"/>
      <c r="TKX586" s="14"/>
      <c r="TKY586" s="14"/>
      <c r="TKZ586" s="14"/>
      <c r="TLA586" s="14"/>
      <c r="TLB586" s="14"/>
      <c r="TLC586" s="14"/>
      <c r="TLD586" s="14"/>
      <c r="TLE586" s="14"/>
      <c r="TLF586" s="14"/>
      <c r="TLG586" s="14"/>
      <c r="TLH586" s="14"/>
      <c r="TLI586" s="14"/>
      <c r="TLJ586" s="14"/>
      <c r="TLK586" s="14"/>
      <c r="TLL586" s="14"/>
      <c r="TLM586" s="14"/>
      <c r="TLN586" s="14"/>
      <c r="TLO586" s="14"/>
      <c r="TLP586" s="14"/>
      <c r="TLQ586" s="14"/>
      <c r="TLR586" s="14"/>
      <c r="TLS586" s="14"/>
      <c r="TLT586" s="14"/>
      <c r="TLU586" s="14"/>
      <c r="TLV586" s="14"/>
      <c r="TLW586" s="14"/>
      <c r="TLX586" s="14"/>
      <c r="TLY586" s="14"/>
      <c r="TLZ586" s="14"/>
      <c r="TMA586" s="14"/>
      <c r="TMB586" s="14"/>
      <c r="TMC586" s="14"/>
      <c r="TMD586" s="14"/>
      <c r="TME586" s="14"/>
      <c r="TMF586" s="14"/>
      <c r="TMG586" s="14"/>
      <c r="TMH586" s="14"/>
      <c r="TMI586" s="14"/>
      <c r="TMJ586" s="14"/>
      <c r="TMK586" s="14"/>
      <c r="TML586" s="14"/>
      <c r="TMM586" s="14"/>
      <c r="TMN586" s="14"/>
      <c r="TMO586" s="14"/>
      <c r="TMP586" s="14"/>
      <c r="TMQ586" s="14"/>
      <c r="TMR586" s="14"/>
      <c r="TMS586" s="14"/>
      <c r="TMT586" s="14"/>
      <c r="TMU586" s="14"/>
      <c r="TMV586" s="14"/>
      <c r="TMW586" s="14"/>
      <c r="TMX586" s="14"/>
      <c r="TMY586" s="14"/>
      <c r="TMZ586" s="14"/>
      <c r="TNA586" s="14"/>
      <c r="TNB586" s="14"/>
      <c r="TNC586" s="14"/>
      <c r="TND586" s="14"/>
      <c r="TNE586" s="14"/>
      <c r="TNF586" s="14"/>
      <c r="TNG586" s="14"/>
      <c r="TNH586" s="14"/>
      <c r="TNI586" s="14"/>
      <c r="TNJ586" s="14"/>
      <c r="TNK586" s="14"/>
      <c r="TNL586" s="14"/>
      <c r="TNM586" s="14"/>
      <c r="TNN586" s="14"/>
      <c r="TNO586" s="14"/>
      <c r="TNP586" s="14"/>
      <c r="TNQ586" s="14"/>
      <c r="TNR586" s="14"/>
      <c r="TNS586" s="14"/>
      <c r="TNT586" s="14"/>
      <c r="TNU586" s="14"/>
      <c r="TNV586" s="14"/>
      <c r="TNW586" s="14"/>
      <c r="TNX586" s="14"/>
      <c r="TNY586" s="14"/>
      <c r="TNZ586" s="14"/>
      <c r="TOA586" s="14"/>
      <c r="TOB586" s="14"/>
      <c r="TOC586" s="14"/>
      <c r="TOD586" s="14"/>
      <c r="TOE586" s="14"/>
      <c r="TOF586" s="14"/>
      <c r="TOG586" s="14"/>
      <c r="TOH586" s="14"/>
      <c r="TOI586" s="14"/>
      <c r="TOJ586" s="14"/>
      <c r="TOK586" s="14"/>
      <c r="TOL586" s="14"/>
      <c r="TOM586" s="14"/>
      <c r="TON586" s="14"/>
      <c r="TOO586" s="14"/>
      <c r="TOP586" s="14"/>
      <c r="TOQ586" s="14"/>
      <c r="TOR586" s="14"/>
      <c r="TOS586" s="14"/>
      <c r="TOT586" s="14"/>
      <c r="TOU586" s="14"/>
      <c r="TOV586" s="14"/>
      <c r="TOW586" s="14"/>
      <c r="TOX586" s="14"/>
      <c r="TOY586" s="14"/>
      <c r="TOZ586" s="14"/>
      <c r="TPA586" s="14"/>
      <c r="TPB586" s="14"/>
      <c r="TPC586" s="14"/>
      <c r="TPD586" s="14"/>
      <c r="TPE586" s="14"/>
      <c r="TPF586" s="14"/>
      <c r="TPG586" s="14"/>
      <c r="TPH586" s="14"/>
      <c r="TPI586" s="14"/>
      <c r="TPJ586" s="14"/>
      <c r="TPK586" s="14"/>
      <c r="TPL586" s="14"/>
      <c r="TPM586" s="14"/>
      <c r="TPN586" s="14"/>
      <c r="TPO586" s="14"/>
      <c r="TPP586" s="14"/>
      <c r="TPQ586" s="14"/>
      <c r="TPR586" s="14"/>
      <c r="TPS586" s="14"/>
      <c r="TPT586" s="14"/>
      <c r="TPU586" s="14"/>
      <c r="TPV586" s="14"/>
      <c r="TPW586" s="14"/>
      <c r="TPX586" s="14"/>
      <c r="TPY586" s="14"/>
      <c r="TPZ586" s="14"/>
      <c r="TQA586" s="14"/>
      <c r="TQB586" s="14"/>
      <c r="TQC586" s="14"/>
      <c r="TQD586" s="14"/>
      <c r="TQE586" s="14"/>
      <c r="TQF586" s="14"/>
      <c r="TQG586" s="14"/>
      <c r="TQH586" s="14"/>
      <c r="TQI586" s="14"/>
      <c r="TQJ586" s="14"/>
      <c r="TQK586" s="14"/>
      <c r="TQL586" s="14"/>
      <c r="TQM586" s="14"/>
      <c r="TQN586" s="14"/>
      <c r="TQO586" s="14"/>
      <c r="TQP586" s="14"/>
      <c r="TQQ586" s="14"/>
      <c r="TQR586" s="14"/>
      <c r="TQS586" s="14"/>
      <c r="TQT586" s="14"/>
      <c r="TQU586" s="14"/>
      <c r="TQV586" s="14"/>
      <c r="TQW586" s="14"/>
      <c r="TQX586" s="14"/>
      <c r="TQY586" s="14"/>
      <c r="TQZ586" s="14"/>
      <c r="TRA586" s="14"/>
      <c r="TRB586" s="14"/>
      <c r="TRC586" s="14"/>
      <c r="TRD586" s="14"/>
      <c r="TRE586" s="14"/>
      <c r="TRF586" s="14"/>
      <c r="TRG586" s="14"/>
      <c r="TRH586" s="14"/>
      <c r="TRI586" s="14"/>
      <c r="TRJ586" s="14"/>
      <c r="TRK586" s="14"/>
      <c r="TRL586" s="14"/>
      <c r="TRM586" s="14"/>
      <c r="TRN586" s="14"/>
      <c r="TRO586" s="14"/>
      <c r="TRP586" s="14"/>
      <c r="TRQ586" s="14"/>
      <c r="TRR586" s="14"/>
      <c r="TRS586" s="14"/>
      <c r="TRT586" s="14"/>
      <c r="TRU586" s="14"/>
      <c r="TRV586" s="14"/>
      <c r="TRW586" s="14"/>
      <c r="TRX586" s="14"/>
      <c r="TRY586" s="14"/>
      <c r="TRZ586" s="14"/>
      <c r="TSA586" s="14"/>
      <c r="TSB586" s="14"/>
      <c r="TSC586" s="14"/>
      <c r="TSD586" s="14"/>
      <c r="TSE586" s="14"/>
      <c r="TSF586" s="14"/>
      <c r="TSG586" s="14"/>
      <c r="TSH586" s="14"/>
      <c r="TSI586" s="14"/>
      <c r="TSJ586" s="14"/>
      <c r="TSK586" s="14"/>
      <c r="TSL586" s="14"/>
      <c r="TSM586" s="14"/>
      <c r="TSN586" s="14"/>
      <c r="TSO586" s="14"/>
      <c r="TSP586" s="14"/>
      <c r="TSQ586" s="14"/>
      <c r="TSR586" s="14"/>
      <c r="TSS586" s="14"/>
      <c r="TST586" s="14"/>
      <c r="TSU586" s="14"/>
      <c r="TSV586" s="14"/>
      <c r="TSW586" s="14"/>
      <c r="TSX586" s="14"/>
      <c r="TSY586" s="14"/>
      <c r="TSZ586" s="14"/>
      <c r="TTA586" s="14"/>
      <c r="TTB586" s="14"/>
      <c r="TTC586" s="14"/>
      <c r="TTD586" s="14"/>
      <c r="TTE586" s="14"/>
      <c r="TTF586" s="14"/>
      <c r="TTG586" s="14"/>
      <c r="TTH586" s="14"/>
      <c r="TTI586" s="14"/>
      <c r="TTJ586" s="14"/>
      <c r="TTK586" s="14"/>
      <c r="TTL586" s="14"/>
      <c r="TTM586" s="14"/>
      <c r="TTN586" s="14"/>
      <c r="TTO586" s="14"/>
      <c r="TTP586" s="14"/>
      <c r="TTQ586" s="14"/>
      <c r="TTR586" s="14"/>
      <c r="TTS586" s="14"/>
      <c r="TTT586" s="14"/>
      <c r="TTU586" s="14"/>
      <c r="TTV586" s="14"/>
      <c r="TTW586" s="14"/>
      <c r="TTX586" s="14"/>
      <c r="TTY586" s="14"/>
      <c r="TTZ586" s="14"/>
      <c r="TUA586" s="14"/>
      <c r="TUB586" s="14"/>
      <c r="TUC586" s="14"/>
      <c r="TUD586" s="14"/>
      <c r="TUE586" s="14"/>
      <c r="TUF586" s="14"/>
      <c r="TUG586" s="14"/>
      <c r="TUH586" s="14"/>
      <c r="TUI586" s="14"/>
      <c r="TUJ586" s="14"/>
      <c r="TUK586" s="14"/>
      <c r="TUL586" s="14"/>
      <c r="TUM586" s="14"/>
      <c r="TUN586" s="14"/>
      <c r="TUO586" s="14"/>
      <c r="TUP586" s="14"/>
      <c r="TUQ586" s="14"/>
      <c r="TUR586" s="14"/>
      <c r="TUS586" s="14"/>
      <c r="TUT586" s="14"/>
      <c r="TUU586" s="14"/>
      <c r="TUV586" s="14"/>
      <c r="TUW586" s="14"/>
      <c r="TUX586" s="14"/>
      <c r="TUY586" s="14"/>
      <c r="TUZ586" s="14"/>
      <c r="TVA586" s="14"/>
      <c r="TVB586" s="14"/>
      <c r="TVC586" s="14"/>
      <c r="TVD586" s="14"/>
      <c r="TVE586" s="14"/>
      <c r="TVF586" s="14"/>
      <c r="TVG586" s="14"/>
      <c r="TVH586" s="14"/>
      <c r="TVI586" s="14"/>
      <c r="TVJ586" s="14"/>
      <c r="TVK586" s="14"/>
      <c r="TVL586" s="14"/>
      <c r="TVM586" s="14"/>
      <c r="TVN586" s="14"/>
      <c r="TVO586" s="14"/>
      <c r="TVP586" s="14"/>
      <c r="TVQ586" s="14"/>
      <c r="TVR586" s="14"/>
      <c r="TVS586" s="14"/>
      <c r="TVT586" s="14"/>
      <c r="TVU586" s="14"/>
      <c r="TVV586" s="14"/>
      <c r="TVW586" s="14"/>
      <c r="TVX586" s="14"/>
      <c r="TVY586" s="14"/>
      <c r="TVZ586" s="14"/>
      <c r="TWA586" s="14"/>
      <c r="TWB586" s="14"/>
      <c r="TWC586" s="14"/>
      <c r="TWD586" s="14"/>
      <c r="TWE586" s="14"/>
      <c r="TWF586" s="14"/>
      <c r="TWG586" s="14"/>
      <c r="TWH586" s="14"/>
      <c r="TWI586" s="14"/>
      <c r="TWJ586" s="14"/>
      <c r="TWK586" s="14"/>
      <c r="TWL586" s="14"/>
      <c r="TWM586" s="14"/>
      <c r="TWN586" s="14"/>
      <c r="TWO586" s="14"/>
      <c r="TWP586" s="14"/>
      <c r="TWQ586" s="14"/>
      <c r="TWR586" s="14"/>
      <c r="TWS586" s="14"/>
      <c r="TWT586" s="14"/>
      <c r="TWU586" s="14"/>
      <c r="TWV586" s="14"/>
      <c r="TWW586" s="14"/>
      <c r="TWX586" s="14"/>
      <c r="TWY586" s="14"/>
      <c r="TWZ586" s="14"/>
      <c r="TXA586" s="14"/>
      <c r="TXB586" s="14"/>
      <c r="TXC586" s="14"/>
      <c r="TXD586" s="14"/>
      <c r="TXE586" s="14"/>
      <c r="TXF586" s="14"/>
      <c r="TXG586" s="14"/>
      <c r="TXH586" s="14"/>
      <c r="TXI586" s="14"/>
      <c r="TXJ586" s="14"/>
      <c r="TXK586" s="14"/>
      <c r="TXL586" s="14"/>
      <c r="TXM586" s="14"/>
      <c r="TXN586" s="14"/>
      <c r="TXO586" s="14"/>
      <c r="TXP586" s="14"/>
      <c r="TXQ586" s="14"/>
      <c r="TXR586" s="14"/>
      <c r="TXS586" s="14"/>
      <c r="TXT586" s="14"/>
      <c r="TXU586" s="14"/>
      <c r="TXV586" s="14"/>
      <c r="TXW586" s="14"/>
      <c r="TXX586" s="14"/>
      <c r="TXY586" s="14"/>
      <c r="TXZ586" s="14"/>
      <c r="TYA586" s="14"/>
      <c r="TYB586" s="14"/>
      <c r="TYC586" s="14"/>
      <c r="TYD586" s="14"/>
      <c r="TYE586" s="14"/>
      <c r="TYF586" s="14"/>
      <c r="TYG586" s="14"/>
      <c r="TYH586" s="14"/>
      <c r="TYI586" s="14"/>
      <c r="TYJ586" s="14"/>
      <c r="TYK586" s="14"/>
      <c r="TYL586" s="14"/>
      <c r="TYM586" s="14"/>
      <c r="TYN586" s="14"/>
      <c r="TYO586" s="14"/>
      <c r="TYP586" s="14"/>
      <c r="TYQ586" s="14"/>
      <c r="TYR586" s="14"/>
      <c r="TYS586" s="14"/>
      <c r="TYT586" s="14"/>
      <c r="TYU586" s="14"/>
      <c r="TYV586" s="14"/>
      <c r="TYW586" s="14"/>
      <c r="TYX586" s="14"/>
      <c r="TYY586" s="14"/>
      <c r="TYZ586" s="14"/>
      <c r="TZA586" s="14"/>
      <c r="TZB586" s="14"/>
      <c r="TZC586" s="14"/>
      <c r="TZD586" s="14"/>
      <c r="TZE586" s="14"/>
      <c r="TZF586" s="14"/>
      <c r="TZG586" s="14"/>
      <c r="TZH586" s="14"/>
      <c r="TZI586" s="14"/>
      <c r="TZJ586" s="14"/>
      <c r="TZK586" s="14"/>
      <c r="TZL586" s="14"/>
      <c r="TZM586" s="14"/>
      <c r="TZN586" s="14"/>
      <c r="TZO586" s="14"/>
      <c r="TZP586" s="14"/>
      <c r="TZQ586" s="14"/>
      <c r="TZR586" s="14"/>
      <c r="TZS586" s="14"/>
      <c r="TZT586" s="14"/>
      <c r="TZU586" s="14"/>
      <c r="TZV586" s="14"/>
      <c r="TZW586" s="14"/>
      <c r="TZX586" s="14"/>
      <c r="TZY586" s="14"/>
      <c r="TZZ586" s="14"/>
      <c r="UAA586" s="14"/>
      <c r="UAB586" s="14"/>
      <c r="UAC586" s="14"/>
      <c r="UAD586" s="14"/>
      <c r="UAE586" s="14"/>
      <c r="UAF586" s="14"/>
      <c r="UAG586" s="14"/>
      <c r="UAH586" s="14"/>
      <c r="UAI586" s="14"/>
      <c r="UAJ586" s="14"/>
      <c r="UAK586" s="14"/>
      <c r="UAL586" s="14"/>
      <c r="UAM586" s="14"/>
      <c r="UAN586" s="14"/>
      <c r="UAO586" s="14"/>
      <c r="UAP586" s="14"/>
      <c r="UAQ586" s="14"/>
      <c r="UAR586" s="14"/>
      <c r="UAS586" s="14"/>
      <c r="UAT586" s="14"/>
      <c r="UAU586" s="14"/>
      <c r="UAV586" s="14"/>
      <c r="UAW586" s="14"/>
      <c r="UAX586" s="14"/>
      <c r="UAY586" s="14"/>
      <c r="UAZ586" s="14"/>
      <c r="UBA586" s="14"/>
      <c r="UBB586" s="14"/>
      <c r="UBC586" s="14"/>
      <c r="UBD586" s="14"/>
      <c r="UBE586" s="14"/>
      <c r="UBF586" s="14"/>
      <c r="UBG586" s="14"/>
      <c r="UBH586" s="14"/>
      <c r="UBI586" s="14"/>
      <c r="UBJ586" s="14"/>
      <c r="UBK586" s="14"/>
      <c r="UBL586" s="14"/>
      <c r="UBM586" s="14"/>
      <c r="UBN586" s="14"/>
      <c r="UBO586" s="14"/>
      <c r="UBP586" s="14"/>
      <c r="UBQ586" s="14"/>
      <c r="UBR586" s="14"/>
      <c r="UBS586" s="14"/>
      <c r="UBT586" s="14"/>
      <c r="UBU586" s="14"/>
      <c r="UBV586" s="14"/>
      <c r="UBW586" s="14"/>
      <c r="UBX586" s="14"/>
      <c r="UBY586" s="14"/>
      <c r="UBZ586" s="14"/>
      <c r="UCA586" s="14"/>
      <c r="UCB586" s="14"/>
      <c r="UCC586" s="14"/>
      <c r="UCD586" s="14"/>
      <c r="UCE586" s="14"/>
      <c r="UCF586" s="14"/>
      <c r="UCG586" s="14"/>
      <c r="UCH586" s="14"/>
      <c r="UCI586" s="14"/>
      <c r="UCJ586" s="14"/>
      <c r="UCK586" s="14"/>
      <c r="UCL586" s="14"/>
      <c r="UCM586" s="14"/>
      <c r="UCN586" s="14"/>
      <c r="UCO586" s="14"/>
      <c r="UCP586" s="14"/>
      <c r="UCQ586" s="14"/>
      <c r="UCR586" s="14"/>
      <c r="UCS586" s="14"/>
      <c r="UCT586" s="14"/>
      <c r="UCU586" s="14"/>
      <c r="UCV586" s="14"/>
      <c r="UCW586" s="14"/>
      <c r="UCX586" s="14"/>
      <c r="UCY586" s="14"/>
      <c r="UCZ586" s="14"/>
      <c r="UDA586" s="14"/>
      <c r="UDB586" s="14"/>
      <c r="UDC586" s="14"/>
      <c r="UDD586" s="14"/>
      <c r="UDE586" s="14"/>
      <c r="UDF586" s="14"/>
      <c r="UDG586" s="14"/>
      <c r="UDH586" s="14"/>
      <c r="UDI586" s="14"/>
      <c r="UDJ586" s="14"/>
      <c r="UDK586" s="14"/>
      <c r="UDL586" s="14"/>
      <c r="UDM586" s="14"/>
      <c r="UDN586" s="14"/>
      <c r="UDO586" s="14"/>
      <c r="UDP586" s="14"/>
      <c r="UDQ586" s="14"/>
      <c r="UDR586" s="14"/>
      <c r="UDS586" s="14"/>
      <c r="UDT586" s="14"/>
      <c r="UDU586" s="14"/>
      <c r="UDV586" s="14"/>
      <c r="UDW586" s="14"/>
      <c r="UDX586" s="14"/>
      <c r="UDY586" s="14"/>
      <c r="UDZ586" s="14"/>
      <c r="UEA586" s="14"/>
      <c r="UEB586" s="14"/>
      <c r="UEC586" s="14"/>
      <c r="UED586" s="14"/>
      <c r="UEE586" s="14"/>
      <c r="UEF586" s="14"/>
      <c r="UEG586" s="14"/>
      <c r="UEH586" s="14"/>
      <c r="UEI586" s="14"/>
      <c r="UEJ586" s="14"/>
      <c r="UEK586" s="14"/>
      <c r="UEL586" s="14"/>
      <c r="UEM586" s="14"/>
      <c r="UEN586" s="14"/>
      <c r="UEO586" s="14"/>
      <c r="UEP586" s="14"/>
      <c r="UEQ586" s="14"/>
      <c r="UER586" s="14"/>
      <c r="UES586" s="14"/>
      <c r="UET586" s="14"/>
      <c r="UEU586" s="14"/>
      <c r="UEV586" s="14"/>
      <c r="UEW586" s="14"/>
      <c r="UEX586" s="14"/>
      <c r="UEY586" s="14"/>
      <c r="UEZ586" s="14"/>
      <c r="UFA586" s="14"/>
      <c r="UFB586" s="14"/>
      <c r="UFC586" s="14"/>
      <c r="UFD586" s="14"/>
      <c r="UFE586" s="14"/>
      <c r="UFF586" s="14"/>
      <c r="UFG586" s="14"/>
      <c r="UFH586" s="14"/>
      <c r="UFI586" s="14"/>
      <c r="UFJ586" s="14"/>
      <c r="UFK586" s="14"/>
      <c r="UFL586" s="14"/>
      <c r="UFM586" s="14"/>
      <c r="UFN586" s="14"/>
      <c r="UFO586" s="14"/>
      <c r="UFP586" s="14"/>
      <c r="UFQ586" s="14"/>
      <c r="UFR586" s="14"/>
      <c r="UFS586" s="14"/>
      <c r="UFT586" s="14"/>
      <c r="UFU586" s="14"/>
      <c r="UFV586" s="14"/>
      <c r="UFW586" s="14"/>
      <c r="UFX586" s="14"/>
      <c r="UFY586" s="14"/>
      <c r="UFZ586" s="14"/>
      <c r="UGA586" s="14"/>
      <c r="UGB586" s="14"/>
      <c r="UGC586" s="14"/>
      <c r="UGD586" s="14"/>
      <c r="UGE586" s="14"/>
      <c r="UGF586" s="14"/>
      <c r="UGG586" s="14"/>
      <c r="UGH586" s="14"/>
      <c r="UGI586" s="14"/>
      <c r="UGJ586" s="14"/>
      <c r="UGK586" s="14"/>
      <c r="UGL586" s="14"/>
      <c r="UGM586" s="14"/>
      <c r="UGN586" s="14"/>
      <c r="UGO586" s="14"/>
      <c r="UGP586" s="14"/>
      <c r="UGQ586" s="14"/>
      <c r="UGR586" s="14"/>
      <c r="UGS586" s="14"/>
      <c r="UGT586" s="14"/>
      <c r="UGU586" s="14"/>
      <c r="UGV586" s="14"/>
      <c r="UGW586" s="14"/>
      <c r="UGX586" s="14"/>
      <c r="UGY586" s="14"/>
      <c r="UGZ586" s="14"/>
      <c r="UHA586" s="14"/>
      <c r="UHB586" s="14"/>
      <c r="UHC586" s="14"/>
      <c r="UHD586" s="14"/>
      <c r="UHE586" s="14"/>
      <c r="UHF586" s="14"/>
      <c r="UHG586" s="14"/>
      <c r="UHH586" s="14"/>
      <c r="UHI586" s="14"/>
      <c r="UHJ586" s="14"/>
      <c r="UHK586" s="14"/>
      <c r="UHL586" s="14"/>
      <c r="UHM586" s="14"/>
      <c r="UHN586" s="14"/>
      <c r="UHO586" s="14"/>
      <c r="UHP586" s="14"/>
      <c r="UHQ586" s="14"/>
      <c r="UHR586" s="14"/>
      <c r="UHS586" s="14"/>
      <c r="UHT586" s="14"/>
      <c r="UHU586" s="14"/>
      <c r="UHV586" s="14"/>
      <c r="UHW586" s="14"/>
      <c r="UHX586" s="14"/>
      <c r="UHY586" s="14"/>
      <c r="UHZ586" s="14"/>
      <c r="UIA586" s="14"/>
      <c r="UIB586" s="14"/>
      <c r="UIC586" s="14"/>
      <c r="UID586" s="14"/>
      <c r="UIE586" s="14"/>
      <c r="UIF586" s="14"/>
      <c r="UIG586" s="14"/>
      <c r="UIH586" s="14"/>
      <c r="UII586" s="14"/>
      <c r="UIJ586" s="14"/>
      <c r="UIK586" s="14"/>
      <c r="UIL586" s="14"/>
      <c r="UIM586" s="14"/>
      <c r="UIN586" s="14"/>
      <c r="UIO586" s="14"/>
      <c r="UIP586" s="14"/>
      <c r="UIQ586" s="14"/>
      <c r="UIR586" s="14"/>
      <c r="UIS586" s="14"/>
      <c r="UIT586" s="14"/>
      <c r="UIU586" s="14"/>
      <c r="UIV586" s="14"/>
      <c r="UIW586" s="14"/>
      <c r="UIX586" s="14"/>
      <c r="UIY586" s="14"/>
      <c r="UIZ586" s="14"/>
      <c r="UJA586" s="14"/>
      <c r="UJB586" s="14"/>
      <c r="UJC586" s="14"/>
      <c r="UJD586" s="14"/>
      <c r="UJE586" s="14"/>
      <c r="UJF586" s="14"/>
      <c r="UJG586" s="14"/>
      <c r="UJH586" s="14"/>
      <c r="UJI586" s="14"/>
      <c r="UJJ586" s="14"/>
      <c r="UJK586" s="14"/>
      <c r="UJL586" s="14"/>
      <c r="UJM586" s="14"/>
      <c r="UJN586" s="14"/>
      <c r="UJO586" s="14"/>
      <c r="UJP586" s="14"/>
      <c r="UJQ586" s="14"/>
      <c r="UJR586" s="14"/>
      <c r="UJS586" s="14"/>
      <c r="UJT586" s="14"/>
      <c r="UJU586" s="14"/>
      <c r="UJV586" s="14"/>
      <c r="UJW586" s="14"/>
      <c r="UJX586" s="14"/>
      <c r="UJY586" s="14"/>
      <c r="UJZ586" s="14"/>
      <c r="UKA586" s="14"/>
      <c r="UKB586" s="14"/>
      <c r="UKC586" s="14"/>
      <c r="UKD586" s="14"/>
      <c r="UKE586" s="14"/>
      <c r="UKF586" s="14"/>
      <c r="UKG586" s="14"/>
      <c r="UKH586" s="14"/>
      <c r="UKI586" s="14"/>
      <c r="UKJ586" s="14"/>
      <c r="UKK586" s="14"/>
      <c r="UKL586" s="14"/>
      <c r="UKM586" s="14"/>
      <c r="UKN586" s="14"/>
      <c r="UKO586" s="14"/>
      <c r="UKP586" s="14"/>
      <c r="UKQ586" s="14"/>
      <c r="UKR586" s="14"/>
      <c r="UKS586" s="14"/>
      <c r="UKT586" s="14"/>
      <c r="UKU586" s="14"/>
      <c r="UKV586" s="14"/>
      <c r="UKW586" s="14"/>
      <c r="UKX586" s="14"/>
      <c r="UKY586" s="14"/>
      <c r="UKZ586" s="14"/>
      <c r="ULA586" s="14"/>
      <c r="ULB586" s="14"/>
      <c r="ULC586" s="14"/>
      <c r="ULD586" s="14"/>
      <c r="ULE586" s="14"/>
      <c r="ULF586" s="14"/>
      <c r="ULG586" s="14"/>
      <c r="ULH586" s="14"/>
      <c r="ULI586" s="14"/>
      <c r="ULJ586" s="14"/>
      <c r="ULK586" s="14"/>
      <c r="ULL586" s="14"/>
      <c r="ULM586" s="14"/>
      <c r="ULN586" s="14"/>
      <c r="ULO586" s="14"/>
      <c r="ULP586" s="14"/>
      <c r="ULQ586" s="14"/>
      <c r="ULR586" s="14"/>
      <c r="ULS586" s="14"/>
      <c r="ULT586" s="14"/>
      <c r="ULU586" s="14"/>
      <c r="ULV586" s="14"/>
      <c r="ULW586" s="14"/>
      <c r="ULX586" s="14"/>
      <c r="ULY586" s="14"/>
      <c r="ULZ586" s="14"/>
      <c r="UMA586" s="14"/>
      <c r="UMB586" s="14"/>
      <c r="UMC586" s="14"/>
      <c r="UMD586" s="14"/>
      <c r="UME586" s="14"/>
      <c r="UMF586" s="14"/>
      <c r="UMG586" s="14"/>
      <c r="UMH586" s="14"/>
      <c r="UMI586" s="14"/>
      <c r="UMJ586" s="14"/>
      <c r="UMK586" s="14"/>
      <c r="UML586" s="14"/>
      <c r="UMM586" s="14"/>
      <c r="UMN586" s="14"/>
      <c r="UMO586" s="14"/>
      <c r="UMP586" s="14"/>
      <c r="UMQ586" s="14"/>
      <c r="UMR586" s="14"/>
      <c r="UMS586" s="14"/>
      <c r="UMT586" s="14"/>
      <c r="UMU586" s="14"/>
      <c r="UMV586" s="14"/>
      <c r="UMW586" s="14"/>
      <c r="UMX586" s="14"/>
      <c r="UMY586" s="14"/>
      <c r="UMZ586" s="14"/>
      <c r="UNA586" s="14"/>
      <c r="UNB586" s="14"/>
      <c r="UNC586" s="14"/>
      <c r="UND586" s="14"/>
      <c r="UNE586" s="14"/>
      <c r="UNF586" s="14"/>
      <c r="UNG586" s="14"/>
      <c r="UNH586" s="14"/>
      <c r="UNI586" s="14"/>
      <c r="UNJ586" s="14"/>
      <c r="UNK586" s="14"/>
      <c r="UNL586" s="14"/>
      <c r="UNM586" s="14"/>
      <c r="UNN586" s="14"/>
      <c r="UNO586" s="14"/>
      <c r="UNP586" s="14"/>
      <c r="UNQ586" s="14"/>
      <c r="UNR586" s="14"/>
      <c r="UNS586" s="14"/>
      <c r="UNT586" s="14"/>
      <c r="UNU586" s="14"/>
      <c r="UNV586" s="14"/>
      <c r="UNW586" s="14"/>
      <c r="UNX586" s="14"/>
      <c r="UNY586" s="14"/>
      <c r="UNZ586" s="14"/>
      <c r="UOA586" s="14"/>
      <c r="UOB586" s="14"/>
      <c r="UOC586" s="14"/>
      <c r="UOD586" s="14"/>
      <c r="UOE586" s="14"/>
      <c r="UOF586" s="14"/>
      <c r="UOG586" s="14"/>
      <c r="UOH586" s="14"/>
      <c r="UOI586" s="14"/>
      <c r="UOJ586" s="14"/>
      <c r="UOK586" s="14"/>
      <c r="UOL586" s="14"/>
      <c r="UOM586" s="14"/>
      <c r="UON586" s="14"/>
      <c r="UOO586" s="14"/>
      <c r="UOP586" s="14"/>
      <c r="UOQ586" s="14"/>
      <c r="UOR586" s="14"/>
      <c r="UOS586" s="14"/>
      <c r="UOT586" s="14"/>
      <c r="UOU586" s="14"/>
      <c r="UOV586" s="14"/>
      <c r="UOW586" s="14"/>
      <c r="UOX586" s="14"/>
      <c r="UOY586" s="14"/>
      <c r="UOZ586" s="14"/>
      <c r="UPA586" s="14"/>
      <c r="UPB586" s="14"/>
      <c r="UPC586" s="14"/>
      <c r="UPD586" s="14"/>
      <c r="UPE586" s="14"/>
      <c r="UPF586" s="14"/>
      <c r="UPG586" s="14"/>
      <c r="UPH586" s="14"/>
      <c r="UPI586" s="14"/>
      <c r="UPJ586" s="14"/>
      <c r="UPK586" s="14"/>
      <c r="UPL586" s="14"/>
      <c r="UPM586" s="14"/>
      <c r="UPN586" s="14"/>
      <c r="UPO586" s="14"/>
      <c r="UPP586" s="14"/>
      <c r="UPQ586" s="14"/>
      <c r="UPR586" s="14"/>
      <c r="UPS586" s="14"/>
      <c r="UPT586" s="14"/>
      <c r="UPU586" s="14"/>
      <c r="UPV586" s="14"/>
      <c r="UPW586" s="14"/>
      <c r="UPX586" s="14"/>
      <c r="UPY586" s="14"/>
      <c r="UPZ586" s="14"/>
      <c r="UQA586" s="14"/>
      <c r="UQB586" s="14"/>
      <c r="UQC586" s="14"/>
      <c r="UQD586" s="14"/>
      <c r="UQE586" s="14"/>
      <c r="UQF586" s="14"/>
      <c r="UQG586" s="14"/>
      <c r="UQH586" s="14"/>
      <c r="UQI586" s="14"/>
      <c r="UQJ586" s="14"/>
      <c r="UQK586" s="14"/>
      <c r="UQL586" s="14"/>
      <c r="UQM586" s="14"/>
      <c r="UQN586" s="14"/>
      <c r="UQO586" s="14"/>
      <c r="UQP586" s="14"/>
      <c r="UQQ586" s="14"/>
      <c r="UQR586" s="14"/>
      <c r="UQS586" s="14"/>
      <c r="UQT586" s="14"/>
      <c r="UQU586" s="14"/>
      <c r="UQV586" s="14"/>
      <c r="UQW586" s="14"/>
      <c r="UQX586" s="14"/>
      <c r="UQY586" s="14"/>
      <c r="UQZ586" s="14"/>
      <c r="URA586" s="14"/>
      <c r="URB586" s="14"/>
      <c r="URC586" s="14"/>
      <c r="URD586" s="14"/>
      <c r="URE586" s="14"/>
      <c r="URF586" s="14"/>
      <c r="URG586" s="14"/>
      <c r="URH586" s="14"/>
      <c r="URI586" s="14"/>
      <c r="URJ586" s="14"/>
      <c r="URK586" s="14"/>
      <c r="URL586" s="14"/>
      <c r="URM586" s="14"/>
      <c r="URN586" s="14"/>
      <c r="URO586" s="14"/>
      <c r="URP586" s="14"/>
      <c r="URQ586" s="14"/>
      <c r="URR586" s="14"/>
      <c r="URS586" s="14"/>
      <c r="URT586" s="14"/>
      <c r="URU586" s="14"/>
      <c r="URV586" s="14"/>
      <c r="URW586" s="14"/>
      <c r="URX586" s="14"/>
      <c r="URY586" s="14"/>
      <c r="URZ586" s="14"/>
      <c r="USA586" s="14"/>
      <c r="USB586" s="14"/>
      <c r="USC586" s="14"/>
      <c r="USD586" s="14"/>
      <c r="USE586" s="14"/>
      <c r="USF586" s="14"/>
      <c r="USG586" s="14"/>
      <c r="USH586" s="14"/>
      <c r="USI586" s="14"/>
      <c r="USJ586" s="14"/>
      <c r="USK586" s="14"/>
      <c r="USL586" s="14"/>
      <c r="USM586" s="14"/>
      <c r="USN586" s="14"/>
      <c r="USO586" s="14"/>
      <c r="USP586" s="14"/>
      <c r="USQ586" s="14"/>
      <c r="USR586" s="14"/>
      <c r="USS586" s="14"/>
      <c r="UST586" s="14"/>
      <c r="USU586" s="14"/>
      <c r="USV586" s="14"/>
      <c r="USW586" s="14"/>
      <c r="USX586" s="14"/>
      <c r="USY586" s="14"/>
      <c r="USZ586" s="14"/>
      <c r="UTA586" s="14"/>
      <c r="UTB586" s="14"/>
      <c r="UTC586" s="14"/>
      <c r="UTD586" s="14"/>
      <c r="UTE586" s="14"/>
      <c r="UTF586" s="14"/>
      <c r="UTG586" s="14"/>
      <c r="UTH586" s="14"/>
      <c r="UTI586" s="14"/>
      <c r="UTJ586" s="14"/>
      <c r="UTK586" s="14"/>
      <c r="UTL586" s="14"/>
      <c r="UTM586" s="14"/>
      <c r="UTN586" s="14"/>
      <c r="UTO586" s="14"/>
      <c r="UTP586" s="14"/>
      <c r="UTQ586" s="14"/>
      <c r="UTR586" s="14"/>
      <c r="UTS586" s="14"/>
      <c r="UTT586" s="14"/>
      <c r="UTU586" s="14"/>
      <c r="UTV586" s="14"/>
      <c r="UTW586" s="14"/>
      <c r="UTX586" s="14"/>
      <c r="UTY586" s="14"/>
      <c r="UTZ586" s="14"/>
      <c r="UUA586" s="14"/>
      <c r="UUB586" s="14"/>
      <c r="UUC586" s="14"/>
      <c r="UUD586" s="14"/>
      <c r="UUE586" s="14"/>
      <c r="UUF586" s="14"/>
      <c r="UUG586" s="14"/>
      <c r="UUH586" s="14"/>
      <c r="UUI586" s="14"/>
      <c r="UUJ586" s="14"/>
      <c r="UUK586" s="14"/>
      <c r="UUL586" s="14"/>
      <c r="UUM586" s="14"/>
      <c r="UUN586" s="14"/>
      <c r="UUO586" s="14"/>
      <c r="UUP586" s="14"/>
      <c r="UUQ586" s="14"/>
      <c r="UUR586" s="14"/>
      <c r="UUS586" s="14"/>
      <c r="UUT586" s="14"/>
      <c r="UUU586" s="14"/>
      <c r="UUV586" s="14"/>
      <c r="UUW586" s="14"/>
      <c r="UUX586" s="14"/>
      <c r="UUY586" s="14"/>
      <c r="UUZ586" s="14"/>
      <c r="UVA586" s="14"/>
      <c r="UVB586" s="14"/>
      <c r="UVC586" s="14"/>
      <c r="UVD586" s="14"/>
      <c r="UVE586" s="14"/>
      <c r="UVF586" s="14"/>
      <c r="UVG586" s="14"/>
      <c r="UVH586" s="14"/>
      <c r="UVI586" s="14"/>
      <c r="UVJ586" s="14"/>
      <c r="UVK586" s="14"/>
      <c r="UVL586" s="14"/>
      <c r="UVM586" s="14"/>
      <c r="UVN586" s="14"/>
      <c r="UVO586" s="14"/>
      <c r="UVP586" s="14"/>
      <c r="UVQ586" s="14"/>
      <c r="UVR586" s="14"/>
      <c r="UVS586" s="14"/>
      <c r="UVT586" s="14"/>
      <c r="UVU586" s="14"/>
      <c r="UVV586" s="14"/>
      <c r="UVW586" s="14"/>
      <c r="UVX586" s="14"/>
      <c r="UVY586" s="14"/>
      <c r="UVZ586" s="14"/>
      <c r="UWA586" s="14"/>
      <c r="UWB586" s="14"/>
      <c r="UWC586" s="14"/>
      <c r="UWD586" s="14"/>
      <c r="UWE586" s="14"/>
      <c r="UWF586" s="14"/>
      <c r="UWG586" s="14"/>
      <c r="UWH586" s="14"/>
      <c r="UWI586" s="14"/>
      <c r="UWJ586" s="14"/>
      <c r="UWK586" s="14"/>
      <c r="UWL586" s="14"/>
      <c r="UWM586" s="14"/>
      <c r="UWN586" s="14"/>
      <c r="UWO586" s="14"/>
      <c r="UWP586" s="14"/>
      <c r="UWQ586" s="14"/>
      <c r="UWR586" s="14"/>
      <c r="UWS586" s="14"/>
      <c r="UWT586" s="14"/>
      <c r="UWU586" s="14"/>
      <c r="UWV586" s="14"/>
      <c r="UWW586" s="14"/>
      <c r="UWX586" s="14"/>
      <c r="UWY586" s="14"/>
      <c r="UWZ586" s="14"/>
      <c r="UXA586" s="14"/>
      <c r="UXB586" s="14"/>
      <c r="UXC586" s="14"/>
      <c r="UXD586" s="14"/>
      <c r="UXE586" s="14"/>
      <c r="UXF586" s="14"/>
      <c r="UXG586" s="14"/>
      <c r="UXH586" s="14"/>
      <c r="UXI586" s="14"/>
      <c r="UXJ586" s="14"/>
      <c r="UXK586" s="14"/>
      <c r="UXL586" s="14"/>
      <c r="UXM586" s="14"/>
      <c r="UXN586" s="14"/>
      <c r="UXO586" s="14"/>
      <c r="UXP586" s="14"/>
      <c r="UXQ586" s="14"/>
      <c r="UXR586" s="14"/>
      <c r="UXS586" s="14"/>
      <c r="UXT586" s="14"/>
      <c r="UXU586" s="14"/>
      <c r="UXV586" s="14"/>
      <c r="UXW586" s="14"/>
      <c r="UXX586" s="14"/>
      <c r="UXY586" s="14"/>
      <c r="UXZ586" s="14"/>
      <c r="UYA586" s="14"/>
      <c r="UYB586" s="14"/>
      <c r="UYC586" s="14"/>
      <c r="UYD586" s="14"/>
      <c r="UYE586" s="14"/>
      <c r="UYF586" s="14"/>
      <c r="UYG586" s="14"/>
      <c r="UYH586" s="14"/>
      <c r="UYI586" s="14"/>
      <c r="UYJ586" s="14"/>
      <c r="UYK586" s="14"/>
      <c r="UYL586" s="14"/>
      <c r="UYM586" s="14"/>
      <c r="UYN586" s="14"/>
      <c r="UYO586" s="14"/>
      <c r="UYP586" s="14"/>
      <c r="UYQ586" s="14"/>
      <c r="UYR586" s="14"/>
      <c r="UYS586" s="14"/>
      <c r="UYT586" s="14"/>
      <c r="UYU586" s="14"/>
      <c r="UYV586" s="14"/>
      <c r="UYW586" s="14"/>
      <c r="UYX586" s="14"/>
      <c r="UYY586" s="14"/>
      <c r="UYZ586" s="14"/>
      <c r="UZA586" s="14"/>
      <c r="UZB586" s="14"/>
      <c r="UZC586" s="14"/>
      <c r="UZD586" s="14"/>
      <c r="UZE586" s="14"/>
      <c r="UZF586" s="14"/>
      <c r="UZG586" s="14"/>
      <c r="UZH586" s="14"/>
      <c r="UZI586" s="14"/>
      <c r="UZJ586" s="14"/>
      <c r="UZK586" s="14"/>
      <c r="UZL586" s="14"/>
      <c r="UZM586" s="14"/>
      <c r="UZN586" s="14"/>
      <c r="UZO586" s="14"/>
      <c r="UZP586" s="14"/>
      <c r="UZQ586" s="14"/>
      <c r="UZR586" s="14"/>
      <c r="UZS586" s="14"/>
      <c r="UZT586" s="14"/>
      <c r="UZU586" s="14"/>
      <c r="UZV586" s="14"/>
      <c r="UZW586" s="14"/>
      <c r="UZX586" s="14"/>
      <c r="UZY586" s="14"/>
      <c r="UZZ586" s="14"/>
      <c r="VAA586" s="14"/>
      <c r="VAB586" s="14"/>
      <c r="VAC586" s="14"/>
      <c r="VAD586" s="14"/>
      <c r="VAE586" s="14"/>
      <c r="VAF586" s="14"/>
      <c r="VAG586" s="14"/>
      <c r="VAH586" s="14"/>
      <c r="VAI586" s="14"/>
      <c r="VAJ586" s="14"/>
      <c r="VAK586" s="14"/>
      <c r="VAL586" s="14"/>
      <c r="VAM586" s="14"/>
      <c r="VAN586" s="14"/>
      <c r="VAO586" s="14"/>
      <c r="VAP586" s="14"/>
      <c r="VAQ586" s="14"/>
      <c r="VAR586" s="14"/>
      <c r="VAS586" s="14"/>
      <c r="VAT586" s="14"/>
      <c r="VAU586" s="14"/>
      <c r="VAV586" s="14"/>
      <c r="VAW586" s="14"/>
      <c r="VAX586" s="14"/>
      <c r="VAY586" s="14"/>
      <c r="VAZ586" s="14"/>
      <c r="VBA586" s="14"/>
      <c r="VBB586" s="14"/>
      <c r="VBC586" s="14"/>
      <c r="VBD586" s="14"/>
      <c r="VBE586" s="14"/>
      <c r="VBF586" s="14"/>
      <c r="VBG586" s="14"/>
      <c r="VBH586" s="14"/>
      <c r="VBI586" s="14"/>
      <c r="VBJ586" s="14"/>
      <c r="VBK586" s="14"/>
      <c r="VBL586" s="14"/>
      <c r="VBM586" s="14"/>
      <c r="VBN586" s="14"/>
      <c r="VBO586" s="14"/>
      <c r="VBP586" s="14"/>
      <c r="VBQ586" s="14"/>
      <c r="VBR586" s="14"/>
      <c r="VBS586" s="14"/>
      <c r="VBT586" s="14"/>
      <c r="VBU586" s="14"/>
      <c r="VBV586" s="14"/>
      <c r="VBW586" s="14"/>
      <c r="VBX586" s="14"/>
      <c r="VBY586" s="14"/>
      <c r="VBZ586" s="14"/>
      <c r="VCA586" s="14"/>
      <c r="VCB586" s="14"/>
      <c r="VCC586" s="14"/>
      <c r="VCD586" s="14"/>
      <c r="VCE586" s="14"/>
      <c r="VCF586" s="14"/>
      <c r="VCG586" s="14"/>
      <c r="VCH586" s="14"/>
      <c r="VCI586" s="14"/>
      <c r="VCJ586" s="14"/>
      <c r="VCK586" s="14"/>
      <c r="VCL586" s="14"/>
      <c r="VCM586" s="14"/>
      <c r="VCN586" s="14"/>
      <c r="VCO586" s="14"/>
      <c r="VCP586" s="14"/>
      <c r="VCQ586" s="14"/>
      <c r="VCR586" s="14"/>
      <c r="VCS586" s="14"/>
      <c r="VCT586" s="14"/>
      <c r="VCU586" s="14"/>
      <c r="VCV586" s="14"/>
      <c r="VCW586" s="14"/>
      <c r="VCX586" s="14"/>
      <c r="VCY586" s="14"/>
      <c r="VCZ586" s="14"/>
      <c r="VDA586" s="14"/>
      <c r="VDB586" s="14"/>
      <c r="VDC586" s="14"/>
      <c r="VDD586" s="14"/>
      <c r="VDE586" s="14"/>
      <c r="VDF586" s="14"/>
      <c r="VDG586" s="14"/>
      <c r="VDH586" s="14"/>
      <c r="VDI586" s="14"/>
      <c r="VDJ586" s="14"/>
      <c r="VDK586" s="14"/>
      <c r="VDL586" s="14"/>
      <c r="VDM586" s="14"/>
      <c r="VDN586" s="14"/>
      <c r="VDO586" s="14"/>
      <c r="VDP586" s="14"/>
      <c r="VDQ586" s="14"/>
      <c r="VDR586" s="14"/>
      <c r="VDS586" s="14"/>
      <c r="VDT586" s="14"/>
      <c r="VDU586" s="14"/>
      <c r="VDV586" s="14"/>
      <c r="VDW586" s="14"/>
      <c r="VDX586" s="14"/>
      <c r="VDY586" s="14"/>
      <c r="VDZ586" s="14"/>
      <c r="VEA586" s="14"/>
      <c r="VEB586" s="14"/>
      <c r="VEC586" s="14"/>
      <c r="VED586" s="14"/>
      <c r="VEE586" s="14"/>
      <c r="VEF586" s="14"/>
      <c r="VEG586" s="14"/>
      <c r="VEH586" s="14"/>
      <c r="VEI586" s="14"/>
      <c r="VEJ586" s="14"/>
      <c r="VEK586" s="14"/>
      <c r="VEL586" s="14"/>
      <c r="VEM586" s="14"/>
      <c r="VEN586" s="14"/>
      <c r="VEO586" s="14"/>
      <c r="VEP586" s="14"/>
      <c r="VEQ586" s="14"/>
      <c r="VER586" s="14"/>
      <c r="VES586" s="14"/>
      <c r="VET586" s="14"/>
      <c r="VEU586" s="14"/>
      <c r="VEV586" s="14"/>
      <c r="VEW586" s="14"/>
      <c r="VEX586" s="14"/>
      <c r="VEY586" s="14"/>
      <c r="VEZ586" s="14"/>
      <c r="VFA586" s="14"/>
      <c r="VFB586" s="14"/>
      <c r="VFC586" s="14"/>
      <c r="VFD586" s="14"/>
      <c r="VFE586" s="14"/>
      <c r="VFF586" s="14"/>
      <c r="VFG586" s="14"/>
      <c r="VFH586" s="14"/>
      <c r="VFI586" s="14"/>
      <c r="VFJ586" s="14"/>
      <c r="VFK586" s="14"/>
      <c r="VFL586" s="14"/>
      <c r="VFM586" s="14"/>
      <c r="VFN586" s="14"/>
      <c r="VFO586" s="14"/>
      <c r="VFP586" s="14"/>
      <c r="VFQ586" s="14"/>
      <c r="VFR586" s="14"/>
      <c r="VFS586" s="14"/>
      <c r="VFT586" s="14"/>
      <c r="VFU586" s="14"/>
      <c r="VFV586" s="14"/>
      <c r="VFW586" s="14"/>
      <c r="VFX586" s="14"/>
      <c r="VFY586" s="14"/>
      <c r="VFZ586" s="14"/>
      <c r="VGA586" s="14"/>
      <c r="VGB586" s="14"/>
      <c r="VGC586" s="14"/>
      <c r="VGD586" s="14"/>
      <c r="VGE586" s="14"/>
      <c r="VGF586" s="14"/>
      <c r="VGG586" s="14"/>
      <c r="VGH586" s="14"/>
      <c r="VGI586" s="14"/>
      <c r="VGJ586" s="14"/>
      <c r="VGK586" s="14"/>
      <c r="VGL586" s="14"/>
      <c r="VGM586" s="14"/>
      <c r="VGN586" s="14"/>
      <c r="VGO586" s="14"/>
      <c r="VGP586" s="14"/>
      <c r="VGQ586" s="14"/>
      <c r="VGR586" s="14"/>
      <c r="VGS586" s="14"/>
      <c r="VGT586" s="14"/>
      <c r="VGU586" s="14"/>
      <c r="VGV586" s="14"/>
      <c r="VGW586" s="14"/>
      <c r="VGX586" s="14"/>
      <c r="VGY586" s="14"/>
      <c r="VGZ586" s="14"/>
      <c r="VHA586" s="14"/>
      <c r="VHB586" s="14"/>
      <c r="VHC586" s="14"/>
      <c r="VHD586" s="14"/>
      <c r="VHE586" s="14"/>
      <c r="VHF586" s="14"/>
      <c r="VHG586" s="14"/>
      <c r="VHH586" s="14"/>
      <c r="VHI586" s="14"/>
      <c r="VHJ586" s="14"/>
      <c r="VHK586" s="14"/>
      <c r="VHL586" s="14"/>
      <c r="VHM586" s="14"/>
      <c r="VHN586" s="14"/>
      <c r="VHO586" s="14"/>
      <c r="VHP586" s="14"/>
      <c r="VHQ586" s="14"/>
      <c r="VHR586" s="14"/>
      <c r="VHS586" s="14"/>
      <c r="VHT586" s="14"/>
      <c r="VHU586" s="14"/>
      <c r="VHV586" s="14"/>
      <c r="VHW586" s="14"/>
      <c r="VHX586" s="14"/>
      <c r="VHY586" s="14"/>
      <c r="VHZ586" s="14"/>
      <c r="VIA586" s="14"/>
      <c r="VIB586" s="14"/>
      <c r="VIC586" s="14"/>
      <c r="VID586" s="14"/>
      <c r="VIE586" s="14"/>
      <c r="VIF586" s="14"/>
      <c r="VIG586" s="14"/>
      <c r="VIH586" s="14"/>
      <c r="VII586" s="14"/>
      <c r="VIJ586" s="14"/>
      <c r="VIK586" s="14"/>
      <c r="VIL586" s="14"/>
      <c r="VIM586" s="14"/>
      <c r="VIN586" s="14"/>
      <c r="VIO586" s="14"/>
      <c r="VIP586" s="14"/>
      <c r="VIQ586" s="14"/>
      <c r="VIR586" s="14"/>
      <c r="VIS586" s="14"/>
      <c r="VIT586" s="14"/>
      <c r="VIU586" s="14"/>
      <c r="VIV586" s="14"/>
      <c r="VIW586" s="14"/>
      <c r="VIX586" s="14"/>
      <c r="VIY586" s="14"/>
      <c r="VIZ586" s="14"/>
      <c r="VJA586" s="14"/>
      <c r="VJB586" s="14"/>
      <c r="VJC586" s="14"/>
      <c r="VJD586" s="14"/>
      <c r="VJE586" s="14"/>
      <c r="VJF586" s="14"/>
      <c r="VJG586" s="14"/>
      <c r="VJH586" s="14"/>
      <c r="VJI586" s="14"/>
      <c r="VJJ586" s="14"/>
      <c r="VJK586" s="14"/>
      <c r="VJL586" s="14"/>
      <c r="VJM586" s="14"/>
      <c r="VJN586" s="14"/>
      <c r="VJO586" s="14"/>
      <c r="VJP586" s="14"/>
      <c r="VJQ586" s="14"/>
      <c r="VJR586" s="14"/>
      <c r="VJS586" s="14"/>
      <c r="VJT586" s="14"/>
      <c r="VJU586" s="14"/>
      <c r="VJV586" s="14"/>
      <c r="VJW586" s="14"/>
      <c r="VJX586" s="14"/>
      <c r="VJY586" s="14"/>
      <c r="VJZ586" s="14"/>
      <c r="VKA586" s="14"/>
      <c r="VKB586" s="14"/>
      <c r="VKC586" s="14"/>
      <c r="VKD586" s="14"/>
      <c r="VKE586" s="14"/>
      <c r="VKF586" s="14"/>
      <c r="VKG586" s="14"/>
      <c r="VKH586" s="14"/>
      <c r="VKI586" s="14"/>
      <c r="VKJ586" s="14"/>
      <c r="VKK586" s="14"/>
      <c r="VKL586" s="14"/>
      <c r="VKM586" s="14"/>
      <c r="VKN586" s="14"/>
      <c r="VKO586" s="14"/>
      <c r="VKP586" s="14"/>
      <c r="VKQ586" s="14"/>
      <c r="VKR586" s="14"/>
      <c r="VKS586" s="14"/>
      <c r="VKT586" s="14"/>
      <c r="VKU586" s="14"/>
      <c r="VKV586" s="14"/>
      <c r="VKW586" s="14"/>
      <c r="VKX586" s="14"/>
      <c r="VKY586" s="14"/>
      <c r="VKZ586" s="14"/>
      <c r="VLA586" s="14"/>
      <c r="VLB586" s="14"/>
      <c r="VLC586" s="14"/>
      <c r="VLD586" s="14"/>
      <c r="VLE586" s="14"/>
      <c r="VLF586" s="14"/>
      <c r="VLG586" s="14"/>
      <c r="VLH586" s="14"/>
      <c r="VLI586" s="14"/>
      <c r="VLJ586" s="14"/>
      <c r="VLK586" s="14"/>
      <c r="VLL586" s="14"/>
      <c r="VLM586" s="14"/>
      <c r="VLN586" s="14"/>
      <c r="VLO586" s="14"/>
      <c r="VLP586" s="14"/>
      <c r="VLQ586" s="14"/>
      <c r="VLR586" s="14"/>
      <c r="VLS586" s="14"/>
      <c r="VLT586" s="14"/>
      <c r="VLU586" s="14"/>
      <c r="VLV586" s="14"/>
      <c r="VLW586" s="14"/>
      <c r="VLX586" s="14"/>
      <c r="VLY586" s="14"/>
      <c r="VLZ586" s="14"/>
      <c r="VMA586" s="14"/>
      <c r="VMB586" s="14"/>
      <c r="VMC586" s="14"/>
      <c r="VMD586" s="14"/>
      <c r="VME586" s="14"/>
      <c r="VMF586" s="14"/>
      <c r="VMG586" s="14"/>
      <c r="VMH586" s="14"/>
      <c r="VMI586" s="14"/>
      <c r="VMJ586" s="14"/>
      <c r="VMK586" s="14"/>
      <c r="VML586" s="14"/>
      <c r="VMM586" s="14"/>
      <c r="VMN586" s="14"/>
      <c r="VMO586" s="14"/>
      <c r="VMP586" s="14"/>
      <c r="VMQ586" s="14"/>
      <c r="VMR586" s="14"/>
      <c r="VMS586" s="14"/>
      <c r="VMT586" s="14"/>
      <c r="VMU586" s="14"/>
      <c r="VMV586" s="14"/>
      <c r="VMW586" s="14"/>
      <c r="VMX586" s="14"/>
      <c r="VMY586" s="14"/>
      <c r="VMZ586" s="14"/>
      <c r="VNA586" s="14"/>
      <c r="VNB586" s="14"/>
      <c r="VNC586" s="14"/>
      <c r="VND586" s="14"/>
      <c r="VNE586" s="14"/>
      <c r="VNF586" s="14"/>
      <c r="VNG586" s="14"/>
      <c r="VNH586" s="14"/>
      <c r="VNI586" s="14"/>
      <c r="VNJ586" s="14"/>
      <c r="VNK586" s="14"/>
      <c r="VNL586" s="14"/>
      <c r="VNM586" s="14"/>
      <c r="VNN586" s="14"/>
      <c r="VNO586" s="14"/>
      <c r="VNP586" s="14"/>
      <c r="VNQ586" s="14"/>
      <c r="VNR586" s="14"/>
      <c r="VNS586" s="14"/>
      <c r="VNT586" s="14"/>
      <c r="VNU586" s="14"/>
      <c r="VNV586" s="14"/>
      <c r="VNW586" s="14"/>
      <c r="VNX586" s="14"/>
      <c r="VNY586" s="14"/>
      <c r="VNZ586" s="14"/>
      <c r="VOA586" s="14"/>
      <c r="VOB586" s="14"/>
      <c r="VOC586" s="14"/>
      <c r="VOD586" s="14"/>
      <c r="VOE586" s="14"/>
      <c r="VOF586" s="14"/>
      <c r="VOG586" s="14"/>
      <c r="VOH586" s="14"/>
      <c r="VOI586" s="14"/>
      <c r="VOJ586" s="14"/>
      <c r="VOK586" s="14"/>
      <c r="VOL586" s="14"/>
      <c r="VOM586" s="14"/>
      <c r="VON586" s="14"/>
      <c r="VOO586" s="14"/>
      <c r="VOP586" s="14"/>
      <c r="VOQ586" s="14"/>
      <c r="VOR586" s="14"/>
      <c r="VOS586" s="14"/>
      <c r="VOT586" s="14"/>
      <c r="VOU586" s="14"/>
      <c r="VOV586" s="14"/>
      <c r="VOW586" s="14"/>
      <c r="VOX586" s="14"/>
      <c r="VOY586" s="14"/>
      <c r="VOZ586" s="14"/>
      <c r="VPA586" s="14"/>
      <c r="VPB586" s="14"/>
      <c r="VPC586" s="14"/>
      <c r="VPD586" s="14"/>
      <c r="VPE586" s="14"/>
      <c r="VPF586" s="14"/>
      <c r="VPG586" s="14"/>
      <c r="VPH586" s="14"/>
      <c r="VPI586" s="14"/>
      <c r="VPJ586" s="14"/>
      <c r="VPK586" s="14"/>
      <c r="VPL586" s="14"/>
      <c r="VPM586" s="14"/>
      <c r="VPN586" s="14"/>
      <c r="VPO586" s="14"/>
      <c r="VPP586" s="14"/>
      <c r="VPQ586" s="14"/>
      <c r="VPR586" s="14"/>
      <c r="VPS586" s="14"/>
      <c r="VPT586" s="14"/>
      <c r="VPU586" s="14"/>
      <c r="VPV586" s="14"/>
      <c r="VPW586" s="14"/>
      <c r="VPX586" s="14"/>
      <c r="VPY586" s="14"/>
      <c r="VPZ586" s="14"/>
      <c r="VQA586" s="14"/>
      <c r="VQB586" s="14"/>
      <c r="VQC586" s="14"/>
      <c r="VQD586" s="14"/>
      <c r="VQE586" s="14"/>
      <c r="VQF586" s="14"/>
      <c r="VQG586" s="14"/>
      <c r="VQH586" s="14"/>
      <c r="VQI586" s="14"/>
      <c r="VQJ586" s="14"/>
      <c r="VQK586" s="14"/>
      <c r="VQL586" s="14"/>
      <c r="VQM586" s="14"/>
      <c r="VQN586" s="14"/>
      <c r="VQO586" s="14"/>
      <c r="VQP586" s="14"/>
      <c r="VQQ586" s="14"/>
      <c r="VQR586" s="14"/>
      <c r="VQS586" s="14"/>
      <c r="VQT586" s="14"/>
      <c r="VQU586" s="14"/>
      <c r="VQV586" s="14"/>
      <c r="VQW586" s="14"/>
      <c r="VQX586" s="14"/>
      <c r="VQY586" s="14"/>
      <c r="VQZ586" s="14"/>
      <c r="VRA586" s="14"/>
      <c r="VRB586" s="14"/>
      <c r="VRC586" s="14"/>
      <c r="VRD586" s="14"/>
      <c r="VRE586" s="14"/>
      <c r="VRF586" s="14"/>
      <c r="VRG586" s="14"/>
      <c r="VRH586" s="14"/>
      <c r="VRI586" s="14"/>
      <c r="VRJ586" s="14"/>
      <c r="VRK586" s="14"/>
      <c r="VRL586" s="14"/>
      <c r="VRM586" s="14"/>
      <c r="VRN586" s="14"/>
      <c r="VRO586" s="14"/>
      <c r="VRP586" s="14"/>
      <c r="VRQ586" s="14"/>
      <c r="VRR586" s="14"/>
      <c r="VRS586" s="14"/>
      <c r="VRT586" s="14"/>
      <c r="VRU586" s="14"/>
      <c r="VRV586" s="14"/>
      <c r="VRW586" s="14"/>
      <c r="VRX586" s="14"/>
      <c r="VRY586" s="14"/>
      <c r="VRZ586" s="14"/>
      <c r="VSA586" s="14"/>
      <c r="VSB586" s="14"/>
      <c r="VSC586" s="14"/>
      <c r="VSD586" s="14"/>
      <c r="VSE586" s="14"/>
      <c r="VSF586" s="14"/>
      <c r="VSG586" s="14"/>
      <c r="VSH586" s="14"/>
      <c r="VSI586" s="14"/>
      <c r="VSJ586" s="14"/>
      <c r="VSK586" s="14"/>
      <c r="VSL586" s="14"/>
      <c r="VSM586" s="14"/>
      <c r="VSN586" s="14"/>
      <c r="VSO586" s="14"/>
      <c r="VSP586" s="14"/>
      <c r="VSQ586" s="14"/>
      <c r="VSR586" s="14"/>
      <c r="VSS586" s="14"/>
      <c r="VST586" s="14"/>
      <c r="VSU586" s="14"/>
      <c r="VSV586" s="14"/>
      <c r="VSW586" s="14"/>
      <c r="VSX586" s="14"/>
      <c r="VSY586" s="14"/>
      <c r="VSZ586" s="14"/>
      <c r="VTA586" s="14"/>
      <c r="VTB586" s="14"/>
      <c r="VTC586" s="14"/>
      <c r="VTD586" s="14"/>
      <c r="VTE586" s="14"/>
      <c r="VTF586" s="14"/>
      <c r="VTG586" s="14"/>
      <c r="VTH586" s="14"/>
      <c r="VTI586" s="14"/>
      <c r="VTJ586" s="14"/>
      <c r="VTK586" s="14"/>
      <c r="VTL586" s="14"/>
      <c r="VTM586" s="14"/>
      <c r="VTN586" s="14"/>
      <c r="VTO586" s="14"/>
      <c r="VTP586" s="14"/>
      <c r="VTQ586" s="14"/>
      <c r="VTR586" s="14"/>
      <c r="VTS586" s="14"/>
      <c r="VTT586" s="14"/>
      <c r="VTU586" s="14"/>
      <c r="VTV586" s="14"/>
      <c r="VTW586" s="14"/>
      <c r="VTX586" s="14"/>
      <c r="VTY586" s="14"/>
      <c r="VTZ586" s="14"/>
      <c r="VUA586" s="14"/>
      <c r="VUB586" s="14"/>
      <c r="VUC586" s="14"/>
      <c r="VUD586" s="14"/>
      <c r="VUE586" s="14"/>
      <c r="VUF586" s="14"/>
      <c r="VUG586" s="14"/>
      <c r="VUH586" s="14"/>
      <c r="VUI586" s="14"/>
      <c r="VUJ586" s="14"/>
      <c r="VUK586" s="14"/>
      <c r="VUL586" s="14"/>
      <c r="VUM586" s="14"/>
      <c r="VUN586" s="14"/>
      <c r="VUO586" s="14"/>
      <c r="VUP586" s="14"/>
      <c r="VUQ586" s="14"/>
      <c r="VUR586" s="14"/>
      <c r="VUS586" s="14"/>
      <c r="VUT586" s="14"/>
      <c r="VUU586" s="14"/>
      <c r="VUV586" s="14"/>
      <c r="VUW586" s="14"/>
      <c r="VUX586" s="14"/>
      <c r="VUY586" s="14"/>
      <c r="VUZ586" s="14"/>
      <c r="VVA586" s="14"/>
      <c r="VVB586" s="14"/>
      <c r="VVC586" s="14"/>
      <c r="VVD586" s="14"/>
      <c r="VVE586" s="14"/>
      <c r="VVF586" s="14"/>
      <c r="VVG586" s="14"/>
      <c r="VVH586" s="14"/>
      <c r="VVI586" s="14"/>
      <c r="VVJ586" s="14"/>
      <c r="VVK586" s="14"/>
      <c r="VVL586" s="14"/>
      <c r="VVM586" s="14"/>
      <c r="VVN586" s="14"/>
      <c r="VVO586" s="14"/>
      <c r="VVP586" s="14"/>
      <c r="VVQ586" s="14"/>
      <c r="VVR586" s="14"/>
      <c r="VVS586" s="14"/>
      <c r="VVT586" s="14"/>
      <c r="VVU586" s="14"/>
      <c r="VVV586" s="14"/>
      <c r="VVW586" s="14"/>
      <c r="VVX586" s="14"/>
      <c r="VVY586" s="14"/>
      <c r="VVZ586" s="14"/>
      <c r="VWA586" s="14"/>
      <c r="VWB586" s="14"/>
      <c r="VWC586" s="14"/>
      <c r="VWD586" s="14"/>
      <c r="VWE586" s="14"/>
      <c r="VWF586" s="14"/>
      <c r="VWG586" s="14"/>
      <c r="VWH586" s="14"/>
      <c r="VWI586" s="14"/>
      <c r="VWJ586" s="14"/>
      <c r="VWK586" s="14"/>
      <c r="VWL586" s="14"/>
      <c r="VWM586" s="14"/>
      <c r="VWN586" s="14"/>
      <c r="VWO586" s="14"/>
      <c r="VWP586" s="14"/>
      <c r="VWQ586" s="14"/>
      <c r="VWR586" s="14"/>
      <c r="VWS586" s="14"/>
      <c r="VWT586" s="14"/>
      <c r="VWU586" s="14"/>
      <c r="VWV586" s="14"/>
      <c r="VWW586" s="14"/>
      <c r="VWX586" s="14"/>
      <c r="VWY586" s="14"/>
      <c r="VWZ586" s="14"/>
      <c r="VXA586" s="14"/>
      <c r="VXB586" s="14"/>
      <c r="VXC586" s="14"/>
      <c r="VXD586" s="14"/>
      <c r="VXE586" s="14"/>
      <c r="VXF586" s="14"/>
      <c r="VXG586" s="14"/>
      <c r="VXH586" s="14"/>
      <c r="VXI586" s="14"/>
      <c r="VXJ586" s="14"/>
      <c r="VXK586" s="14"/>
      <c r="VXL586" s="14"/>
      <c r="VXM586" s="14"/>
      <c r="VXN586" s="14"/>
      <c r="VXO586" s="14"/>
      <c r="VXP586" s="14"/>
      <c r="VXQ586" s="14"/>
      <c r="VXR586" s="14"/>
      <c r="VXS586" s="14"/>
      <c r="VXT586" s="14"/>
      <c r="VXU586" s="14"/>
      <c r="VXV586" s="14"/>
      <c r="VXW586" s="14"/>
      <c r="VXX586" s="14"/>
      <c r="VXY586" s="14"/>
      <c r="VXZ586" s="14"/>
      <c r="VYA586" s="14"/>
      <c r="VYB586" s="14"/>
      <c r="VYC586" s="14"/>
      <c r="VYD586" s="14"/>
      <c r="VYE586" s="14"/>
      <c r="VYF586" s="14"/>
      <c r="VYG586" s="14"/>
      <c r="VYH586" s="14"/>
      <c r="VYI586" s="14"/>
      <c r="VYJ586" s="14"/>
      <c r="VYK586" s="14"/>
      <c r="VYL586" s="14"/>
      <c r="VYM586" s="14"/>
      <c r="VYN586" s="14"/>
      <c r="VYO586" s="14"/>
      <c r="VYP586" s="14"/>
      <c r="VYQ586" s="14"/>
      <c r="VYR586" s="14"/>
      <c r="VYS586" s="14"/>
      <c r="VYT586" s="14"/>
      <c r="VYU586" s="14"/>
      <c r="VYV586" s="14"/>
      <c r="VYW586" s="14"/>
      <c r="VYX586" s="14"/>
      <c r="VYY586" s="14"/>
      <c r="VYZ586" s="14"/>
      <c r="VZA586" s="14"/>
      <c r="VZB586" s="14"/>
      <c r="VZC586" s="14"/>
      <c r="VZD586" s="14"/>
      <c r="VZE586" s="14"/>
      <c r="VZF586" s="14"/>
      <c r="VZG586" s="14"/>
      <c r="VZH586" s="14"/>
      <c r="VZI586" s="14"/>
      <c r="VZJ586" s="14"/>
      <c r="VZK586" s="14"/>
      <c r="VZL586" s="14"/>
      <c r="VZM586" s="14"/>
      <c r="VZN586" s="14"/>
      <c r="VZO586" s="14"/>
      <c r="VZP586" s="14"/>
      <c r="VZQ586" s="14"/>
      <c r="VZR586" s="14"/>
      <c r="VZS586" s="14"/>
      <c r="VZT586" s="14"/>
      <c r="VZU586" s="14"/>
      <c r="VZV586" s="14"/>
      <c r="VZW586" s="14"/>
      <c r="VZX586" s="14"/>
      <c r="VZY586" s="14"/>
      <c r="VZZ586" s="14"/>
      <c r="WAA586" s="14"/>
      <c r="WAB586" s="14"/>
      <c r="WAC586" s="14"/>
      <c r="WAD586" s="14"/>
      <c r="WAE586" s="14"/>
      <c r="WAF586" s="14"/>
      <c r="WAG586" s="14"/>
      <c r="WAH586" s="14"/>
      <c r="WAI586" s="14"/>
      <c r="WAJ586" s="14"/>
      <c r="WAK586" s="14"/>
      <c r="WAL586" s="14"/>
      <c r="WAM586" s="14"/>
      <c r="WAN586" s="14"/>
      <c r="WAO586" s="14"/>
      <c r="WAP586" s="14"/>
      <c r="WAQ586" s="14"/>
      <c r="WAR586" s="14"/>
      <c r="WAS586" s="14"/>
      <c r="WAT586" s="14"/>
      <c r="WAU586" s="14"/>
      <c r="WAV586" s="14"/>
      <c r="WAW586" s="14"/>
      <c r="WAX586" s="14"/>
      <c r="WAY586" s="14"/>
      <c r="WAZ586" s="14"/>
      <c r="WBA586" s="14"/>
      <c r="WBB586" s="14"/>
      <c r="WBC586" s="14"/>
      <c r="WBD586" s="14"/>
      <c r="WBE586" s="14"/>
      <c r="WBF586" s="14"/>
      <c r="WBG586" s="14"/>
      <c r="WBH586" s="14"/>
      <c r="WBI586" s="14"/>
      <c r="WBJ586" s="14"/>
      <c r="WBK586" s="14"/>
      <c r="WBL586" s="14"/>
      <c r="WBM586" s="14"/>
      <c r="WBN586" s="14"/>
      <c r="WBO586" s="14"/>
      <c r="WBP586" s="14"/>
      <c r="WBQ586" s="14"/>
      <c r="WBR586" s="14"/>
      <c r="WBS586" s="14"/>
      <c r="WBT586" s="14"/>
      <c r="WBU586" s="14"/>
      <c r="WBV586" s="14"/>
      <c r="WBW586" s="14"/>
      <c r="WBX586" s="14"/>
      <c r="WBY586" s="14"/>
      <c r="WBZ586" s="14"/>
      <c r="WCA586" s="14"/>
      <c r="WCB586" s="14"/>
      <c r="WCC586" s="14"/>
      <c r="WCD586" s="14"/>
      <c r="WCE586" s="14"/>
      <c r="WCF586" s="14"/>
      <c r="WCG586" s="14"/>
      <c r="WCH586" s="14"/>
      <c r="WCI586" s="14"/>
      <c r="WCJ586" s="14"/>
      <c r="WCK586" s="14"/>
      <c r="WCL586" s="14"/>
      <c r="WCM586" s="14"/>
      <c r="WCN586" s="14"/>
      <c r="WCO586" s="14"/>
      <c r="WCP586" s="14"/>
      <c r="WCQ586" s="14"/>
      <c r="WCR586" s="14"/>
      <c r="WCS586" s="14"/>
      <c r="WCT586" s="14"/>
      <c r="WCU586" s="14"/>
      <c r="WCV586" s="14"/>
      <c r="WCW586" s="14"/>
      <c r="WCX586" s="14"/>
      <c r="WCY586" s="14"/>
      <c r="WCZ586" s="14"/>
      <c r="WDA586" s="14"/>
      <c r="WDB586" s="14"/>
      <c r="WDC586" s="14"/>
      <c r="WDD586" s="14"/>
      <c r="WDE586" s="14"/>
      <c r="WDF586" s="14"/>
      <c r="WDG586" s="14"/>
      <c r="WDH586" s="14"/>
      <c r="WDI586" s="14"/>
      <c r="WDJ586" s="14"/>
      <c r="WDK586" s="14"/>
      <c r="WDL586" s="14"/>
      <c r="WDM586" s="14"/>
      <c r="WDN586" s="14"/>
      <c r="WDO586" s="14"/>
      <c r="WDP586" s="14"/>
      <c r="WDQ586" s="14"/>
      <c r="WDR586" s="14"/>
      <c r="WDS586" s="14"/>
      <c r="WDT586" s="14"/>
      <c r="WDU586" s="14"/>
      <c r="WDV586" s="14"/>
      <c r="WDW586" s="14"/>
      <c r="WDX586" s="14"/>
      <c r="WDY586" s="14"/>
      <c r="WDZ586" s="14"/>
      <c r="WEA586" s="14"/>
      <c r="WEB586" s="14"/>
      <c r="WEC586" s="14"/>
      <c r="WED586" s="14"/>
      <c r="WEE586" s="14"/>
      <c r="WEF586" s="14"/>
      <c r="WEG586" s="14"/>
      <c r="WEH586" s="14"/>
      <c r="WEI586" s="14"/>
      <c r="WEJ586" s="14"/>
      <c r="WEK586" s="14"/>
      <c r="WEL586" s="14"/>
      <c r="WEM586" s="14"/>
      <c r="WEN586" s="14"/>
      <c r="WEO586" s="14"/>
      <c r="WEP586" s="14"/>
      <c r="WEQ586" s="14"/>
      <c r="WER586" s="14"/>
      <c r="WES586" s="14"/>
      <c r="WET586" s="14"/>
      <c r="WEU586" s="14"/>
      <c r="WEV586" s="14"/>
      <c r="WEW586" s="14"/>
      <c r="WEX586" s="14"/>
      <c r="WEY586" s="14"/>
      <c r="WEZ586" s="14"/>
      <c r="WFA586" s="14"/>
      <c r="WFB586" s="14"/>
      <c r="WFC586" s="14"/>
      <c r="WFD586" s="14"/>
      <c r="WFE586" s="14"/>
      <c r="WFF586" s="14"/>
      <c r="WFG586" s="14"/>
      <c r="WFH586" s="14"/>
      <c r="WFI586" s="14"/>
      <c r="WFJ586" s="14"/>
      <c r="WFK586" s="14"/>
      <c r="WFL586" s="14"/>
      <c r="WFM586" s="14"/>
      <c r="WFN586" s="14"/>
      <c r="WFO586" s="14"/>
      <c r="WFP586" s="14"/>
      <c r="WFQ586" s="14"/>
      <c r="WFR586" s="14"/>
      <c r="WFS586" s="14"/>
      <c r="WFT586" s="14"/>
      <c r="WFU586" s="14"/>
      <c r="WFV586" s="14"/>
      <c r="WFW586" s="14"/>
      <c r="WFX586" s="14"/>
      <c r="WFY586" s="14"/>
      <c r="WFZ586" s="14"/>
      <c r="WGA586" s="14"/>
      <c r="WGB586" s="14"/>
      <c r="WGC586" s="14"/>
      <c r="WGD586" s="14"/>
      <c r="WGE586" s="14"/>
      <c r="WGF586" s="14"/>
      <c r="WGG586" s="14"/>
      <c r="WGH586" s="14"/>
      <c r="WGI586" s="14"/>
      <c r="WGJ586" s="14"/>
      <c r="WGK586" s="14"/>
      <c r="WGL586" s="14"/>
      <c r="WGM586" s="14"/>
      <c r="WGN586" s="14"/>
      <c r="WGO586" s="14"/>
      <c r="WGP586" s="14"/>
      <c r="WGQ586" s="14"/>
      <c r="WGR586" s="14"/>
      <c r="WGS586" s="14"/>
      <c r="WGT586" s="14"/>
      <c r="WGU586" s="14"/>
      <c r="WGV586" s="14"/>
      <c r="WGW586" s="14"/>
      <c r="WGX586" s="14"/>
      <c r="WGY586" s="14"/>
      <c r="WGZ586" s="14"/>
      <c r="WHA586" s="14"/>
      <c r="WHB586" s="14"/>
      <c r="WHC586" s="14"/>
      <c r="WHD586" s="14"/>
      <c r="WHE586" s="14"/>
      <c r="WHF586" s="14"/>
      <c r="WHG586" s="14"/>
      <c r="WHH586" s="14"/>
      <c r="WHI586" s="14"/>
      <c r="WHJ586" s="14"/>
      <c r="WHK586" s="14"/>
      <c r="WHL586" s="14"/>
      <c r="WHM586" s="14"/>
      <c r="WHN586" s="14"/>
      <c r="WHO586" s="14"/>
      <c r="WHP586" s="14"/>
      <c r="WHQ586" s="14"/>
      <c r="WHR586" s="14"/>
      <c r="WHS586" s="14"/>
      <c r="WHT586" s="14"/>
      <c r="WHU586" s="14"/>
      <c r="WHV586" s="14"/>
      <c r="WHW586" s="14"/>
      <c r="WHX586" s="14"/>
      <c r="WHY586" s="14"/>
      <c r="WHZ586" s="14"/>
      <c r="WIA586" s="14"/>
      <c r="WIB586" s="14"/>
      <c r="WIC586" s="14"/>
      <c r="WID586" s="14"/>
      <c r="WIE586" s="14"/>
      <c r="WIF586" s="14"/>
      <c r="WIG586" s="14"/>
      <c r="WIH586" s="14"/>
      <c r="WII586" s="14"/>
      <c r="WIJ586" s="14"/>
      <c r="WIK586" s="14"/>
      <c r="WIL586" s="14"/>
      <c r="WIM586" s="14"/>
      <c r="WIN586" s="14"/>
      <c r="WIO586" s="14"/>
      <c r="WIP586" s="14"/>
      <c r="WIQ586" s="14"/>
      <c r="WIR586" s="14"/>
      <c r="WIS586" s="14"/>
      <c r="WIT586" s="14"/>
      <c r="WIU586" s="14"/>
      <c r="WIV586" s="14"/>
      <c r="WIW586" s="14"/>
      <c r="WIX586" s="14"/>
      <c r="WIY586" s="14"/>
      <c r="WIZ586" s="14"/>
      <c r="WJA586" s="14"/>
      <c r="WJB586" s="14"/>
      <c r="WJC586" s="14"/>
      <c r="WJD586" s="14"/>
      <c r="WJE586" s="14"/>
      <c r="WJF586" s="14"/>
      <c r="WJG586" s="14"/>
      <c r="WJH586" s="14"/>
      <c r="WJI586" s="14"/>
      <c r="WJJ586" s="14"/>
      <c r="WJK586" s="14"/>
      <c r="WJL586" s="14"/>
      <c r="WJM586" s="14"/>
      <c r="WJN586" s="14"/>
      <c r="WJO586" s="14"/>
      <c r="WJP586" s="14"/>
      <c r="WJQ586" s="14"/>
      <c r="WJR586" s="14"/>
      <c r="WJS586" s="14"/>
      <c r="WJT586" s="14"/>
      <c r="WJU586" s="14"/>
      <c r="WJV586" s="14"/>
      <c r="WJW586" s="14"/>
      <c r="WJX586" s="14"/>
      <c r="WJY586" s="14"/>
      <c r="WJZ586" s="14"/>
      <c r="WKA586" s="14"/>
      <c r="WKB586" s="14"/>
      <c r="WKC586" s="14"/>
      <c r="WKD586" s="14"/>
      <c r="WKE586" s="14"/>
      <c r="WKF586" s="14"/>
      <c r="WKG586" s="14"/>
      <c r="WKH586" s="14"/>
      <c r="WKI586" s="14"/>
      <c r="WKJ586" s="14"/>
      <c r="WKK586" s="14"/>
      <c r="WKL586" s="14"/>
      <c r="WKM586" s="14"/>
      <c r="WKN586" s="14"/>
      <c r="WKO586" s="14"/>
      <c r="WKP586" s="14"/>
      <c r="WKQ586" s="14"/>
      <c r="WKR586" s="14"/>
      <c r="WKS586" s="14"/>
      <c r="WKT586" s="14"/>
      <c r="WKU586" s="14"/>
      <c r="WKV586" s="14"/>
      <c r="WKW586" s="14"/>
      <c r="WKX586" s="14"/>
      <c r="WKY586" s="14"/>
      <c r="WKZ586" s="14"/>
      <c r="WLA586" s="14"/>
      <c r="WLB586" s="14"/>
      <c r="WLC586" s="14"/>
      <c r="WLD586" s="14"/>
      <c r="WLE586" s="14"/>
      <c r="WLF586" s="14"/>
      <c r="WLG586" s="14"/>
      <c r="WLH586" s="14"/>
      <c r="WLI586" s="14"/>
      <c r="WLJ586" s="14"/>
      <c r="WLK586" s="14"/>
      <c r="WLL586" s="14"/>
      <c r="WLM586" s="14"/>
      <c r="WLN586" s="14"/>
      <c r="WLO586" s="14"/>
      <c r="WLP586" s="14"/>
      <c r="WLQ586" s="14"/>
      <c r="WLR586" s="14"/>
      <c r="WLS586" s="14"/>
      <c r="WLT586" s="14"/>
      <c r="WLU586" s="14"/>
      <c r="WLV586" s="14"/>
      <c r="WLW586" s="14"/>
      <c r="WLX586" s="14"/>
      <c r="WLY586" s="14"/>
      <c r="WLZ586" s="14"/>
      <c r="WMA586" s="14"/>
      <c r="WMB586" s="14"/>
      <c r="WMC586" s="14"/>
      <c r="WMD586" s="14"/>
      <c r="WME586" s="14"/>
      <c r="WMF586" s="14"/>
      <c r="WMG586" s="14"/>
      <c r="WMH586" s="14"/>
      <c r="WMI586" s="14"/>
      <c r="WMJ586" s="14"/>
      <c r="WMK586" s="14"/>
      <c r="WML586" s="14"/>
      <c r="WMM586" s="14"/>
      <c r="WMN586" s="14"/>
      <c r="WMO586" s="14"/>
      <c r="WMP586" s="14"/>
      <c r="WMQ586" s="14"/>
      <c r="WMR586" s="14"/>
      <c r="WMS586" s="14"/>
      <c r="WMT586" s="14"/>
      <c r="WMU586" s="14"/>
      <c r="WMV586" s="14"/>
      <c r="WMW586" s="14"/>
      <c r="WMX586" s="14"/>
      <c r="WMY586" s="14"/>
      <c r="WMZ586" s="14"/>
      <c r="WNA586" s="14"/>
      <c r="WNB586" s="14"/>
      <c r="WNC586" s="14"/>
      <c r="WND586" s="14"/>
      <c r="WNE586" s="14"/>
      <c r="WNF586" s="14"/>
      <c r="WNG586" s="14"/>
      <c r="WNH586" s="14"/>
      <c r="WNI586" s="14"/>
      <c r="WNJ586" s="14"/>
      <c r="WNK586" s="14"/>
      <c r="WNL586" s="14"/>
      <c r="WNM586" s="14"/>
      <c r="WNN586" s="14"/>
      <c r="WNO586" s="14"/>
      <c r="WNP586" s="14"/>
      <c r="WNQ586" s="14"/>
      <c r="WNR586" s="14"/>
      <c r="WNS586" s="14"/>
      <c r="WNT586" s="14"/>
      <c r="WNU586" s="14"/>
      <c r="WNV586" s="14"/>
      <c r="WNW586" s="14"/>
      <c r="WNX586" s="14"/>
      <c r="WNY586" s="14"/>
      <c r="WNZ586" s="14"/>
      <c r="WOA586" s="14"/>
      <c r="WOB586" s="14"/>
      <c r="WOC586" s="14"/>
      <c r="WOD586" s="14"/>
      <c r="WOE586" s="14"/>
      <c r="WOF586" s="14"/>
      <c r="WOG586" s="14"/>
      <c r="WOH586" s="14"/>
      <c r="WOI586" s="14"/>
      <c r="WOJ586" s="14"/>
      <c r="WOK586" s="14"/>
      <c r="WOL586" s="14"/>
      <c r="WOM586" s="14"/>
      <c r="WON586" s="14"/>
      <c r="WOO586" s="14"/>
      <c r="WOP586" s="14"/>
      <c r="WOQ586" s="14"/>
      <c r="WOR586" s="14"/>
      <c r="WOS586" s="14"/>
      <c r="WOT586" s="14"/>
      <c r="WOU586" s="14"/>
      <c r="WOV586" s="14"/>
      <c r="WOW586" s="14"/>
      <c r="WOX586" s="14"/>
      <c r="WOY586" s="14"/>
      <c r="WOZ586" s="14"/>
      <c r="WPA586" s="14"/>
      <c r="WPB586" s="14"/>
      <c r="WPC586" s="14"/>
      <c r="WPD586" s="14"/>
      <c r="WPE586" s="14"/>
      <c r="WPF586" s="14"/>
      <c r="WPG586" s="14"/>
      <c r="WPH586" s="14"/>
      <c r="WPI586" s="14"/>
      <c r="WPJ586" s="14"/>
      <c r="WPK586" s="14"/>
      <c r="WPL586" s="14"/>
      <c r="WPM586" s="14"/>
      <c r="WPN586" s="14"/>
      <c r="WPO586" s="14"/>
      <c r="WPP586" s="14"/>
      <c r="WPQ586" s="14"/>
      <c r="WPR586" s="14"/>
      <c r="WPS586" s="14"/>
      <c r="WPT586" s="14"/>
      <c r="WPU586" s="14"/>
      <c r="WPV586" s="14"/>
      <c r="WPW586" s="14"/>
      <c r="WPX586" s="14"/>
      <c r="WPY586" s="14"/>
      <c r="WPZ586" s="14"/>
      <c r="WQA586" s="14"/>
      <c r="WQB586" s="14"/>
      <c r="WQC586" s="14"/>
      <c r="WQD586" s="14"/>
      <c r="WQE586" s="14"/>
      <c r="WQF586" s="14"/>
      <c r="WQG586" s="14"/>
      <c r="WQH586" s="14"/>
      <c r="WQI586" s="14"/>
      <c r="WQJ586" s="14"/>
      <c r="WQK586" s="14"/>
      <c r="WQL586" s="14"/>
      <c r="WQM586" s="14"/>
      <c r="WQN586" s="14"/>
      <c r="WQO586" s="14"/>
      <c r="WQP586" s="14"/>
      <c r="WQQ586" s="14"/>
      <c r="WQR586" s="14"/>
      <c r="WQS586" s="14"/>
      <c r="WQT586" s="14"/>
      <c r="WQU586" s="14"/>
      <c r="WQV586" s="14"/>
      <c r="WQW586" s="14"/>
      <c r="WQX586" s="14"/>
      <c r="WQY586" s="14"/>
      <c r="WQZ586" s="14"/>
      <c r="WRA586" s="14"/>
      <c r="WRB586" s="14"/>
      <c r="WRC586" s="14"/>
      <c r="WRD586" s="14"/>
      <c r="WRE586" s="14"/>
      <c r="WRF586" s="14"/>
      <c r="WRG586" s="14"/>
      <c r="WRH586" s="14"/>
      <c r="WRI586" s="14"/>
      <c r="WRJ586" s="14"/>
      <c r="WRK586" s="14"/>
      <c r="WRL586" s="14"/>
      <c r="WRM586" s="14"/>
      <c r="WRN586" s="14"/>
      <c r="WRO586" s="14"/>
      <c r="WRP586" s="14"/>
      <c r="WRQ586" s="14"/>
      <c r="WRR586" s="14"/>
      <c r="WRS586" s="14"/>
      <c r="WRT586" s="14"/>
      <c r="WRU586" s="14"/>
      <c r="WRV586" s="14"/>
      <c r="WRW586" s="14"/>
      <c r="WRX586" s="14"/>
      <c r="WRY586" s="14"/>
      <c r="WRZ586" s="14"/>
      <c r="WSA586" s="14"/>
      <c r="WSB586" s="14"/>
      <c r="WSC586" s="14"/>
      <c r="WSD586" s="14"/>
      <c r="WSE586" s="14"/>
      <c r="WSF586" s="14"/>
      <c r="WSG586" s="14"/>
      <c r="WSH586" s="14"/>
      <c r="WSI586" s="14"/>
      <c r="WSJ586" s="14"/>
      <c r="WSK586" s="14"/>
      <c r="WSL586" s="14"/>
      <c r="WSM586" s="14"/>
      <c r="WSN586" s="14"/>
      <c r="WSO586" s="14"/>
      <c r="WSP586" s="14"/>
      <c r="WSQ586" s="14"/>
      <c r="WSR586" s="14"/>
      <c r="WSS586" s="14"/>
      <c r="WST586" s="14"/>
      <c r="WSU586" s="14"/>
      <c r="WSV586" s="14"/>
      <c r="WSW586" s="14"/>
      <c r="WSX586" s="14"/>
      <c r="WSY586" s="14"/>
      <c r="WSZ586" s="14"/>
      <c r="WTA586" s="14"/>
      <c r="WTB586" s="14"/>
      <c r="WTC586" s="14"/>
      <c r="WTD586" s="14"/>
      <c r="WTE586" s="14"/>
      <c r="WTF586" s="14"/>
      <c r="WTG586" s="14"/>
      <c r="WTH586" s="14"/>
      <c r="WTI586" s="14"/>
      <c r="WTJ586" s="14"/>
      <c r="WTK586" s="14"/>
      <c r="WTL586" s="14"/>
      <c r="WTM586" s="14"/>
      <c r="WTN586" s="14"/>
      <c r="WTO586" s="14"/>
      <c r="WTP586" s="14"/>
      <c r="WTQ586" s="14"/>
      <c r="WTR586" s="14"/>
      <c r="WTS586" s="14"/>
      <c r="WTT586" s="14"/>
      <c r="WTU586" s="14"/>
      <c r="WTV586" s="14"/>
      <c r="WTW586" s="14"/>
      <c r="WTX586" s="14"/>
      <c r="WTY586" s="14"/>
      <c r="WTZ586" s="14"/>
      <c r="WUA586" s="14"/>
      <c r="WUB586" s="14"/>
      <c r="WUC586" s="14"/>
      <c r="WUD586" s="14"/>
      <c r="WUE586" s="14"/>
      <c r="WUF586" s="14"/>
      <c r="WUG586" s="14"/>
      <c r="WUH586" s="14"/>
      <c r="WUI586" s="14"/>
      <c r="WUJ586" s="14"/>
      <c r="WUK586" s="14"/>
      <c r="WUL586" s="14"/>
      <c r="WUM586" s="14"/>
      <c r="WUN586" s="14"/>
      <c r="WUO586" s="14"/>
      <c r="WUP586" s="14"/>
      <c r="WUQ586" s="14"/>
      <c r="WUR586" s="14"/>
      <c r="WUS586" s="14"/>
      <c r="WUT586" s="14"/>
      <c r="WUU586" s="14"/>
      <c r="WUV586" s="14"/>
      <c r="WUW586" s="14"/>
      <c r="WUX586" s="14"/>
      <c r="WUY586" s="14"/>
      <c r="WUZ586" s="14"/>
      <c r="WVA586" s="14"/>
      <c r="WVB586" s="14"/>
      <c r="WVC586" s="14"/>
      <c r="WVD586" s="14"/>
      <c r="WVE586" s="14"/>
      <c r="WVF586" s="14"/>
      <c r="WVG586" s="14"/>
      <c r="WVH586" s="14"/>
      <c r="WVI586" s="14"/>
      <c r="WVJ586" s="14"/>
      <c r="WVK586" s="14"/>
      <c r="WVL586" s="14"/>
      <c r="WVM586" s="14"/>
      <c r="WVN586" s="14"/>
      <c r="WVO586" s="14"/>
      <c r="WVP586" s="14"/>
      <c r="WVQ586" s="14"/>
      <c r="WVR586" s="14"/>
      <c r="WVS586" s="14"/>
      <c r="WVT586" s="14"/>
      <c r="WVU586" s="14"/>
      <c r="WVV586" s="14"/>
      <c r="WVW586" s="14"/>
      <c r="WVX586" s="14"/>
      <c r="WVY586" s="14"/>
      <c r="WVZ586" s="14"/>
      <c r="WWA586" s="14"/>
      <c r="WWB586" s="14"/>
      <c r="WWC586" s="14"/>
      <c r="WWD586" s="14"/>
      <c r="WWE586" s="14"/>
      <c r="WWF586" s="14"/>
      <c r="WWG586" s="14"/>
      <c r="WWH586" s="14"/>
      <c r="WWI586" s="14"/>
      <c r="WWJ586" s="14"/>
      <c r="WWK586" s="14"/>
      <c r="WWL586" s="14"/>
      <c r="WWM586" s="14"/>
      <c r="WWN586" s="14"/>
      <c r="WWO586" s="14"/>
      <c r="WWP586" s="14"/>
      <c r="WWQ586" s="14"/>
      <c r="WWR586" s="14"/>
      <c r="WWS586" s="14"/>
      <c r="WWT586" s="14"/>
      <c r="WWU586" s="14"/>
      <c r="WWV586" s="14"/>
      <c r="WWW586" s="14"/>
      <c r="WWX586" s="14"/>
      <c r="WWY586" s="14"/>
      <c r="WWZ586" s="14"/>
      <c r="WXA586" s="14"/>
      <c r="WXB586" s="14"/>
      <c r="WXC586" s="14"/>
      <c r="WXD586" s="14"/>
      <c r="WXE586" s="14"/>
      <c r="WXF586" s="14"/>
      <c r="WXG586" s="14"/>
      <c r="WXH586" s="14"/>
      <c r="WXI586" s="14"/>
      <c r="WXJ586" s="14"/>
      <c r="WXK586" s="14"/>
      <c r="WXL586" s="14"/>
      <c r="WXM586" s="14"/>
      <c r="WXN586" s="14"/>
      <c r="WXO586" s="14"/>
      <c r="WXP586" s="14"/>
      <c r="WXQ586" s="14"/>
      <c r="WXR586" s="14"/>
      <c r="WXS586" s="14"/>
      <c r="WXT586" s="14"/>
      <c r="WXU586" s="14"/>
      <c r="WXV586" s="14"/>
      <c r="WXW586" s="14"/>
      <c r="WXX586" s="14"/>
      <c r="WXY586" s="14"/>
      <c r="WXZ586" s="14"/>
      <c r="WYA586" s="14"/>
      <c r="WYB586" s="14"/>
      <c r="WYC586" s="14"/>
      <c r="WYD586" s="14"/>
      <c r="WYE586" s="14"/>
      <c r="WYF586" s="14"/>
      <c r="WYG586" s="14"/>
      <c r="WYH586" s="14"/>
      <c r="WYI586" s="14"/>
      <c r="WYJ586" s="14"/>
      <c r="WYK586" s="14"/>
      <c r="WYL586" s="14"/>
      <c r="WYM586" s="14"/>
      <c r="WYN586" s="14"/>
      <c r="WYO586" s="14"/>
      <c r="WYP586" s="14"/>
      <c r="WYQ586" s="14"/>
      <c r="WYR586" s="14"/>
      <c r="WYS586" s="14"/>
      <c r="WYT586" s="14"/>
      <c r="WYU586" s="14"/>
      <c r="WYV586" s="14"/>
      <c r="WYW586" s="14"/>
      <c r="WYX586" s="14"/>
      <c r="WYY586" s="14"/>
      <c r="WYZ586" s="14"/>
      <c r="WZA586" s="14"/>
      <c r="WZB586" s="14"/>
      <c r="WZC586" s="14"/>
      <c r="WZD586" s="14"/>
      <c r="WZE586" s="14"/>
      <c r="WZF586" s="14"/>
      <c r="WZG586" s="14"/>
      <c r="WZH586" s="14"/>
      <c r="WZI586" s="14"/>
      <c r="WZJ586" s="14"/>
      <c r="WZK586" s="14"/>
      <c r="WZL586" s="14"/>
      <c r="WZM586" s="14"/>
      <c r="WZN586" s="14"/>
      <c r="WZO586" s="14"/>
      <c r="WZP586" s="14"/>
      <c r="WZQ586" s="14"/>
      <c r="WZR586" s="14"/>
      <c r="WZS586" s="14"/>
      <c r="WZT586" s="14"/>
      <c r="WZU586" s="14"/>
      <c r="WZV586" s="14"/>
      <c r="WZW586" s="14"/>
      <c r="WZX586" s="14"/>
      <c r="WZY586" s="14"/>
      <c r="WZZ586" s="14"/>
      <c r="XAA586" s="14"/>
      <c r="XAB586" s="14"/>
      <c r="XAC586" s="14"/>
      <c r="XAD586" s="14"/>
      <c r="XAE586" s="14"/>
      <c r="XAF586" s="14"/>
      <c r="XAG586" s="14"/>
      <c r="XAH586" s="14"/>
      <c r="XAI586" s="14"/>
      <c r="XAJ586" s="14"/>
      <c r="XAK586" s="14"/>
      <c r="XAL586" s="14"/>
      <c r="XAM586" s="14"/>
      <c r="XAN586" s="14"/>
      <c r="XAO586" s="14"/>
      <c r="XAP586" s="14"/>
      <c r="XAQ586" s="14"/>
      <c r="XAR586" s="14"/>
      <c r="XAS586" s="14"/>
      <c r="XAT586" s="14"/>
      <c r="XAU586" s="14"/>
      <c r="XAV586" s="14"/>
      <c r="XAW586" s="14"/>
      <c r="XAX586" s="14"/>
      <c r="XAY586" s="14"/>
      <c r="XAZ586" s="14"/>
      <c r="XBA586" s="14"/>
      <c r="XBB586" s="14"/>
      <c r="XBC586" s="14"/>
      <c r="XBD586" s="14"/>
      <c r="XBE586" s="14"/>
      <c r="XBF586" s="14"/>
      <c r="XBG586" s="14"/>
      <c r="XBH586" s="14"/>
      <c r="XBI586" s="14"/>
      <c r="XBJ586" s="14"/>
      <c r="XBK586" s="14"/>
      <c r="XBL586" s="14"/>
      <c r="XBM586" s="14"/>
      <c r="XBN586" s="14"/>
      <c r="XBO586" s="14"/>
      <c r="XBP586" s="14"/>
      <c r="XBQ586" s="14"/>
      <c r="XBR586" s="14"/>
      <c r="XBS586" s="14"/>
      <c r="XBT586" s="14"/>
      <c r="XBU586" s="14"/>
      <c r="XBV586" s="14"/>
      <c r="XBW586" s="14"/>
      <c r="XBX586" s="14"/>
      <c r="XBY586" s="14"/>
      <c r="XBZ586" s="14"/>
      <c r="XCA586" s="14"/>
      <c r="XCB586" s="14"/>
      <c r="XCC586" s="14"/>
      <c r="XCD586" s="14"/>
      <c r="XCE586" s="14"/>
      <c r="XCF586" s="14"/>
      <c r="XCG586" s="14"/>
      <c r="XCH586" s="14"/>
      <c r="XCI586" s="14"/>
      <c r="XCJ586" s="14"/>
      <c r="XCK586" s="14"/>
      <c r="XCL586" s="14"/>
      <c r="XCM586" s="14"/>
      <c r="XCN586" s="14"/>
      <c r="XCO586" s="14"/>
      <c r="XCP586" s="14"/>
      <c r="XCQ586" s="14"/>
      <c r="XCR586" s="14"/>
      <c r="XCS586" s="14"/>
      <c r="XCT586" s="14"/>
      <c r="XCU586" s="14"/>
      <c r="XCV586" s="14"/>
      <c r="XCW586" s="14"/>
      <c r="XCX586" s="14"/>
      <c r="XCY586" s="14"/>
      <c r="XCZ586" s="14"/>
      <c r="XDA586" s="14"/>
      <c r="XDB586" s="14"/>
      <c r="XDC586" s="14"/>
      <c r="XDD586" s="14"/>
      <c r="XDE586" s="14"/>
      <c r="XDF586" s="14"/>
      <c r="XDG586" s="14"/>
      <c r="XDH586" s="14"/>
      <c r="XDI586" s="14"/>
      <c r="XDJ586" s="14"/>
      <c r="XDK586" s="14"/>
      <c r="XDL586" s="14"/>
      <c r="XDM586" s="14"/>
      <c r="XDN586" s="14"/>
      <c r="XDO586" s="14"/>
      <c r="XDP586" s="14"/>
      <c r="XDQ586" s="14"/>
      <c r="XDR586" s="14"/>
      <c r="XDS586" s="14"/>
      <c r="XDT586" s="14"/>
      <c r="XDU586" s="14"/>
      <c r="XDV586" s="14"/>
      <c r="XDW586" s="14"/>
      <c r="XDX586" s="14"/>
      <c r="XDY586" s="14"/>
      <c r="XDZ586" s="14"/>
      <c r="XEA586" s="14"/>
      <c r="XEB586" s="14"/>
      <c r="XEC586" s="14"/>
      <c r="XED586" s="14"/>
      <c r="XEE586" s="14"/>
      <c r="XEF586" s="14"/>
      <c r="XEG586" s="14"/>
      <c r="XEH586" s="14"/>
      <c r="XEI586" s="14"/>
      <c r="XEJ586" s="14"/>
      <c r="XEK586" s="14"/>
      <c r="XEL586" s="14"/>
      <c r="XEM586" s="14"/>
      <c r="XEN586" s="14"/>
      <c r="XEO586" s="14"/>
      <c r="XEP586" s="14"/>
      <c r="XEQ586" s="14"/>
      <c r="XER586" s="14"/>
      <c r="XES586" s="14"/>
      <c r="XET586" s="14"/>
      <c r="XEU586" s="14"/>
      <c r="XEV586" s="14"/>
      <c r="XEW586" s="14"/>
      <c r="XEX586" s="14"/>
      <c r="XEY586" s="14"/>
      <c r="XEZ586" s="14"/>
      <c r="XFA586" s="14"/>
      <c r="XFB586" s="14"/>
      <c r="XFC586" s="14"/>
    </row>
    <row r="587" spans="1:16383" s="50" customFormat="1" ht="18.75" customHeight="1" x14ac:dyDescent="0.4">
      <c r="A587" s="501">
        <v>46203</v>
      </c>
      <c r="B587" s="7" t="s">
        <v>1028</v>
      </c>
      <c r="C587" s="60" t="s">
        <v>1029</v>
      </c>
      <c r="D587" s="71" t="s">
        <v>1030</v>
      </c>
      <c r="E587" s="59" t="s">
        <v>424</v>
      </c>
      <c r="F587" s="7">
        <v>-1</v>
      </c>
      <c r="G587" s="17">
        <v>147242</v>
      </c>
      <c r="H587" s="36">
        <f>F587*G587</f>
        <v>-147242</v>
      </c>
      <c r="I587" s="72"/>
      <c r="J587" s="72"/>
      <c r="K587" s="116"/>
      <c r="L587" s="19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  <c r="EM587" s="14"/>
      <c r="EN587" s="14"/>
      <c r="EO587" s="14"/>
      <c r="EP587" s="14"/>
      <c r="EQ587" s="14"/>
      <c r="ER587" s="14"/>
      <c r="ES587" s="14"/>
      <c r="ET587" s="14"/>
      <c r="EU587" s="14"/>
      <c r="EV587" s="14"/>
      <c r="EW587" s="14"/>
      <c r="EX587" s="14"/>
      <c r="EY587" s="14"/>
      <c r="EZ587" s="14"/>
      <c r="FA587" s="14"/>
      <c r="FB587" s="14"/>
      <c r="FC587" s="14"/>
      <c r="FD587" s="14"/>
      <c r="FE587" s="14"/>
      <c r="FF587" s="14"/>
      <c r="FG587" s="14"/>
      <c r="FH587" s="14"/>
      <c r="FI587" s="14"/>
      <c r="FJ587" s="14"/>
      <c r="FK587" s="14"/>
      <c r="FL587" s="14"/>
      <c r="FM587" s="14"/>
      <c r="FN587" s="14"/>
      <c r="FO587" s="14"/>
      <c r="FP587" s="14"/>
      <c r="FQ587" s="14"/>
      <c r="FR587" s="14"/>
      <c r="FS587" s="14"/>
      <c r="FT587" s="14"/>
      <c r="FU587" s="14"/>
      <c r="FV587" s="14"/>
      <c r="FW587" s="14"/>
      <c r="FX587" s="14"/>
      <c r="FY587" s="14"/>
      <c r="FZ587" s="14"/>
      <c r="GA587" s="14"/>
      <c r="GB587" s="14"/>
      <c r="GC587" s="14"/>
      <c r="GD587" s="14"/>
      <c r="GE587" s="14"/>
      <c r="GF587" s="14"/>
      <c r="GG587" s="14"/>
      <c r="GH587" s="14"/>
      <c r="GI587" s="14"/>
      <c r="GJ587" s="14"/>
      <c r="GK587" s="14"/>
      <c r="GL587" s="14"/>
      <c r="GM587" s="14"/>
      <c r="GN587" s="14"/>
      <c r="GO587" s="14"/>
      <c r="GP587" s="14"/>
      <c r="GQ587" s="14"/>
      <c r="GR587" s="14"/>
      <c r="GS587" s="14"/>
      <c r="GT587" s="14"/>
      <c r="GU587" s="14"/>
      <c r="GV587" s="14"/>
      <c r="GW587" s="14"/>
      <c r="GX587" s="14"/>
      <c r="GY587" s="14"/>
      <c r="GZ587" s="14"/>
      <c r="HA587" s="14"/>
      <c r="HB587" s="14"/>
      <c r="HC587" s="14"/>
      <c r="HD587" s="14"/>
      <c r="HE587" s="14"/>
      <c r="HF587" s="14"/>
      <c r="HG587" s="14"/>
      <c r="HH587" s="14"/>
      <c r="HI587" s="14"/>
      <c r="HJ587" s="14"/>
      <c r="HK587" s="14"/>
      <c r="HL587" s="14"/>
      <c r="HM587" s="14"/>
      <c r="HN587" s="14"/>
      <c r="HO587" s="14"/>
      <c r="HP587" s="14"/>
      <c r="HQ587" s="14"/>
      <c r="HR587" s="14"/>
      <c r="HS587" s="14"/>
      <c r="HT587" s="14"/>
      <c r="HU587" s="14"/>
      <c r="HV587" s="14"/>
      <c r="HW587" s="14"/>
      <c r="HX587" s="14"/>
      <c r="HY587" s="14"/>
      <c r="HZ587" s="14"/>
      <c r="IA587" s="14"/>
      <c r="IB587" s="14"/>
      <c r="IC587" s="14"/>
      <c r="ID587" s="14"/>
      <c r="IE587" s="14"/>
      <c r="IF587" s="14"/>
      <c r="IG587" s="14"/>
      <c r="IH587" s="14"/>
      <c r="II587" s="14"/>
      <c r="IJ587" s="14"/>
      <c r="IK587" s="14"/>
      <c r="IL587" s="14"/>
      <c r="IM587" s="14"/>
      <c r="IN587" s="14"/>
      <c r="IO587" s="14"/>
      <c r="IP587" s="14"/>
      <c r="IQ587" s="14"/>
      <c r="IR587" s="14"/>
      <c r="IS587" s="14"/>
      <c r="IT587" s="14"/>
      <c r="IU587" s="14"/>
      <c r="IV587" s="14"/>
      <c r="IW587" s="14"/>
      <c r="IX587" s="14"/>
      <c r="IY587" s="14"/>
      <c r="IZ587" s="14"/>
      <c r="JA587" s="14"/>
      <c r="JB587" s="14"/>
      <c r="JC587" s="14"/>
      <c r="JD587" s="14"/>
      <c r="JE587" s="14"/>
      <c r="JF587" s="14"/>
      <c r="JG587" s="14"/>
      <c r="JH587" s="14"/>
      <c r="JI587" s="14"/>
      <c r="JJ587" s="14"/>
      <c r="JK587" s="14"/>
      <c r="JL587" s="14"/>
      <c r="JM587" s="14"/>
      <c r="JN587" s="14"/>
      <c r="JO587" s="14"/>
      <c r="JP587" s="14"/>
      <c r="JQ587" s="14"/>
      <c r="JR587" s="14"/>
      <c r="JS587" s="14"/>
      <c r="JT587" s="14"/>
      <c r="JU587" s="14"/>
      <c r="JV587" s="14"/>
      <c r="JW587" s="14"/>
      <c r="JX587" s="14"/>
      <c r="JY587" s="14"/>
      <c r="JZ587" s="14"/>
      <c r="KA587" s="14"/>
      <c r="KB587" s="14"/>
      <c r="KC587" s="14"/>
      <c r="KD587" s="14"/>
      <c r="KE587" s="14"/>
      <c r="KF587" s="14"/>
      <c r="KG587" s="14"/>
      <c r="KH587" s="14"/>
      <c r="KI587" s="14"/>
      <c r="KJ587" s="14"/>
      <c r="KK587" s="14"/>
      <c r="KL587" s="14"/>
      <c r="KM587" s="14"/>
      <c r="KN587" s="14"/>
      <c r="KO587" s="14"/>
      <c r="KP587" s="14"/>
      <c r="KQ587" s="14"/>
      <c r="KR587" s="14"/>
      <c r="KS587" s="14"/>
      <c r="KT587" s="14"/>
      <c r="KU587" s="14"/>
      <c r="KV587" s="14"/>
      <c r="KW587" s="14"/>
      <c r="KX587" s="14"/>
      <c r="KY587" s="14"/>
      <c r="KZ587" s="14"/>
      <c r="LA587" s="14"/>
      <c r="LB587" s="14"/>
      <c r="LC587" s="14"/>
      <c r="LD587" s="14"/>
      <c r="LE587" s="14"/>
      <c r="LF587" s="14"/>
      <c r="LG587" s="14"/>
      <c r="LH587" s="14"/>
      <c r="LI587" s="14"/>
      <c r="LJ587" s="14"/>
      <c r="LK587" s="14"/>
      <c r="LL587" s="14"/>
      <c r="LM587" s="14"/>
      <c r="LN587" s="14"/>
      <c r="LO587" s="14"/>
      <c r="LP587" s="14"/>
      <c r="LQ587" s="14"/>
      <c r="LR587" s="14"/>
      <c r="LS587" s="14"/>
      <c r="LT587" s="14"/>
      <c r="LU587" s="14"/>
      <c r="LV587" s="14"/>
      <c r="LW587" s="14"/>
      <c r="LX587" s="14"/>
      <c r="LY587" s="14"/>
      <c r="LZ587" s="14"/>
      <c r="MA587" s="14"/>
      <c r="MB587" s="14"/>
      <c r="MC587" s="14"/>
      <c r="MD587" s="14"/>
      <c r="ME587" s="14"/>
      <c r="MF587" s="14"/>
      <c r="MG587" s="14"/>
      <c r="MH587" s="14"/>
      <c r="MI587" s="14"/>
      <c r="MJ587" s="14"/>
      <c r="MK587" s="14"/>
      <c r="ML587" s="14"/>
      <c r="MM587" s="14"/>
      <c r="MN587" s="14"/>
      <c r="MO587" s="14"/>
      <c r="MP587" s="14"/>
      <c r="MQ587" s="14"/>
      <c r="MR587" s="14"/>
      <c r="MS587" s="14"/>
      <c r="MT587" s="14"/>
      <c r="MU587" s="14"/>
      <c r="MV587" s="14"/>
      <c r="MW587" s="14"/>
      <c r="MX587" s="14"/>
      <c r="MY587" s="14"/>
      <c r="MZ587" s="14"/>
      <c r="NA587" s="14"/>
      <c r="NB587" s="14"/>
      <c r="NC587" s="14"/>
      <c r="ND587" s="14"/>
      <c r="NE587" s="14"/>
      <c r="NF587" s="14"/>
      <c r="NG587" s="14"/>
      <c r="NH587" s="14"/>
      <c r="NI587" s="14"/>
      <c r="NJ587" s="14"/>
      <c r="NK587" s="14"/>
      <c r="NL587" s="14"/>
      <c r="NM587" s="14"/>
      <c r="NN587" s="14"/>
      <c r="NO587" s="14"/>
      <c r="NP587" s="14"/>
      <c r="NQ587" s="14"/>
      <c r="NR587" s="14"/>
      <c r="NS587" s="14"/>
      <c r="NT587" s="14"/>
      <c r="NU587" s="14"/>
      <c r="NV587" s="14"/>
      <c r="NW587" s="14"/>
      <c r="NX587" s="14"/>
      <c r="NY587" s="14"/>
      <c r="NZ587" s="14"/>
      <c r="OA587" s="14"/>
      <c r="OB587" s="14"/>
      <c r="OC587" s="14"/>
      <c r="OD587" s="14"/>
      <c r="OE587" s="14"/>
      <c r="OF587" s="14"/>
      <c r="OG587" s="14"/>
      <c r="OH587" s="14"/>
      <c r="OI587" s="14"/>
      <c r="OJ587" s="14"/>
      <c r="OK587" s="14"/>
      <c r="OL587" s="14"/>
      <c r="OM587" s="14"/>
      <c r="ON587" s="14"/>
      <c r="OO587" s="14"/>
      <c r="OP587" s="14"/>
      <c r="OQ587" s="14"/>
      <c r="OR587" s="14"/>
      <c r="OS587" s="14"/>
      <c r="OT587" s="14"/>
      <c r="OU587" s="14"/>
      <c r="OV587" s="14"/>
      <c r="OW587" s="14"/>
      <c r="OX587" s="14"/>
      <c r="OY587" s="14"/>
      <c r="OZ587" s="14"/>
      <c r="PA587" s="14"/>
      <c r="PB587" s="14"/>
      <c r="PC587" s="14"/>
      <c r="PD587" s="14"/>
      <c r="PE587" s="14"/>
      <c r="PF587" s="14"/>
      <c r="PG587" s="14"/>
      <c r="PH587" s="14"/>
      <c r="PI587" s="14"/>
      <c r="PJ587" s="14"/>
      <c r="PK587" s="14"/>
      <c r="PL587" s="14"/>
      <c r="PM587" s="14"/>
      <c r="PN587" s="14"/>
      <c r="PO587" s="14"/>
      <c r="PP587" s="14"/>
      <c r="PQ587" s="14"/>
      <c r="PR587" s="14"/>
      <c r="PS587" s="14"/>
      <c r="PT587" s="14"/>
      <c r="PU587" s="14"/>
      <c r="PV587" s="14"/>
      <c r="PW587" s="14"/>
      <c r="PX587" s="14"/>
      <c r="PY587" s="14"/>
      <c r="PZ587" s="14"/>
      <c r="QA587" s="14"/>
      <c r="QB587" s="14"/>
      <c r="QC587" s="14"/>
      <c r="QD587" s="14"/>
      <c r="QE587" s="14"/>
      <c r="QF587" s="14"/>
      <c r="QG587" s="14"/>
      <c r="QH587" s="14"/>
      <c r="QI587" s="14"/>
      <c r="QJ587" s="14"/>
      <c r="QK587" s="14"/>
      <c r="QL587" s="14"/>
      <c r="QM587" s="14"/>
      <c r="QN587" s="14"/>
      <c r="QO587" s="14"/>
      <c r="QP587" s="14"/>
      <c r="QQ587" s="14"/>
      <c r="QR587" s="14"/>
      <c r="QS587" s="14"/>
      <c r="QT587" s="14"/>
      <c r="QU587" s="14"/>
      <c r="QV587" s="14"/>
      <c r="QW587" s="14"/>
      <c r="QX587" s="14"/>
      <c r="QY587" s="14"/>
      <c r="QZ587" s="14"/>
      <c r="RA587" s="14"/>
      <c r="RB587" s="14"/>
      <c r="RC587" s="14"/>
      <c r="RD587" s="14"/>
      <c r="RE587" s="14"/>
      <c r="RF587" s="14"/>
      <c r="RG587" s="14"/>
      <c r="RH587" s="14"/>
      <c r="RI587" s="14"/>
      <c r="RJ587" s="14"/>
      <c r="RK587" s="14"/>
      <c r="RL587" s="14"/>
      <c r="RM587" s="14"/>
      <c r="RN587" s="14"/>
      <c r="RO587" s="14"/>
      <c r="RP587" s="14"/>
      <c r="RQ587" s="14"/>
      <c r="RR587" s="14"/>
      <c r="RS587" s="14"/>
      <c r="RT587" s="14"/>
      <c r="RU587" s="14"/>
      <c r="RV587" s="14"/>
      <c r="RW587" s="14"/>
      <c r="RX587" s="14"/>
      <c r="RY587" s="14"/>
      <c r="RZ587" s="14"/>
      <c r="SA587" s="14"/>
      <c r="SB587" s="14"/>
      <c r="SC587" s="14"/>
      <c r="SD587" s="14"/>
      <c r="SE587" s="14"/>
      <c r="SF587" s="14"/>
      <c r="SG587" s="14"/>
      <c r="SH587" s="14"/>
      <c r="SI587" s="14"/>
      <c r="SJ587" s="14"/>
      <c r="SK587" s="14"/>
      <c r="SL587" s="14"/>
      <c r="SM587" s="14"/>
      <c r="SN587" s="14"/>
      <c r="SO587" s="14"/>
      <c r="SP587" s="14"/>
      <c r="SQ587" s="14"/>
      <c r="SR587" s="14"/>
      <c r="SS587" s="14"/>
      <c r="ST587" s="14"/>
      <c r="SU587" s="14"/>
      <c r="SV587" s="14"/>
      <c r="SW587" s="14"/>
      <c r="SX587" s="14"/>
      <c r="SY587" s="14"/>
      <c r="SZ587" s="14"/>
      <c r="TA587" s="14"/>
      <c r="TB587" s="14"/>
      <c r="TC587" s="14"/>
      <c r="TD587" s="14"/>
      <c r="TE587" s="14"/>
      <c r="TF587" s="14"/>
      <c r="TG587" s="14"/>
      <c r="TH587" s="14"/>
      <c r="TI587" s="14"/>
      <c r="TJ587" s="14"/>
      <c r="TK587" s="14"/>
      <c r="TL587" s="14"/>
      <c r="TM587" s="14"/>
      <c r="TN587" s="14"/>
      <c r="TO587" s="14"/>
      <c r="TP587" s="14"/>
      <c r="TQ587" s="14"/>
      <c r="TR587" s="14"/>
      <c r="TS587" s="14"/>
      <c r="TT587" s="14"/>
      <c r="TU587" s="14"/>
      <c r="TV587" s="14"/>
      <c r="TW587" s="14"/>
      <c r="TX587" s="14"/>
      <c r="TY587" s="14"/>
      <c r="TZ587" s="14"/>
      <c r="UA587" s="14"/>
      <c r="UB587" s="14"/>
      <c r="UC587" s="14"/>
      <c r="UD587" s="14"/>
      <c r="UE587" s="14"/>
      <c r="UF587" s="14"/>
      <c r="UG587" s="14"/>
      <c r="UH587" s="14"/>
      <c r="UI587" s="14"/>
      <c r="UJ587" s="14"/>
      <c r="UK587" s="14"/>
      <c r="UL587" s="14"/>
      <c r="UM587" s="14"/>
      <c r="UN587" s="14"/>
      <c r="UO587" s="14"/>
      <c r="UP587" s="14"/>
      <c r="UQ587" s="14"/>
      <c r="UR587" s="14"/>
      <c r="US587" s="14"/>
      <c r="UT587" s="14"/>
      <c r="UU587" s="14"/>
      <c r="UV587" s="14"/>
      <c r="UW587" s="14"/>
      <c r="UX587" s="14"/>
      <c r="UY587" s="14"/>
      <c r="UZ587" s="14"/>
      <c r="VA587" s="14"/>
      <c r="VB587" s="14"/>
      <c r="VC587" s="14"/>
      <c r="VD587" s="14"/>
      <c r="VE587" s="14"/>
      <c r="VF587" s="14"/>
      <c r="VG587" s="14"/>
      <c r="VH587" s="14"/>
      <c r="VI587" s="14"/>
      <c r="VJ587" s="14"/>
      <c r="VK587" s="14"/>
      <c r="VL587" s="14"/>
      <c r="VM587" s="14"/>
      <c r="VN587" s="14"/>
      <c r="VO587" s="14"/>
      <c r="VP587" s="14"/>
      <c r="VQ587" s="14"/>
      <c r="VR587" s="14"/>
      <c r="VS587" s="14"/>
      <c r="VT587" s="14"/>
      <c r="VU587" s="14"/>
      <c r="VV587" s="14"/>
      <c r="VW587" s="14"/>
      <c r="VX587" s="14"/>
      <c r="VY587" s="14"/>
      <c r="VZ587" s="14"/>
      <c r="WA587" s="14"/>
      <c r="WB587" s="14"/>
      <c r="WC587" s="14"/>
      <c r="WD587" s="14"/>
      <c r="WE587" s="14"/>
      <c r="WF587" s="14"/>
      <c r="WG587" s="14"/>
      <c r="WH587" s="14"/>
      <c r="WI587" s="14"/>
      <c r="WJ587" s="14"/>
      <c r="WK587" s="14"/>
      <c r="WL587" s="14"/>
      <c r="WM587" s="14"/>
      <c r="WN587" s="14"/>
      <c r="WO587" s="14"/>
      <c r="WP587" s="14"/>
      <c r="WQ587" s="14"/>
      <c r="WR587" s="14"/>
      <c r="WS587" s="14"/>
      <c r="WT587" s="14"/>
      <c r="WU587" s="14"/>
      <c r="WV587" s="14"/>
      <c r="WW587" s="14"/>
      <c r="WX587" s="14"/>
      <c r="WY587" s="14"/>
      <c r="WZ587" s="14"/>
      <c r="XA587" s="14"/>
      <c r="XB587" s="14"/>
      <c r="XC587" s="14"/>
      <c r="XD587" s="14"/>
      <c r="XE587" s="14"/>
      <c r="XF587" s="14"/>
      <c r="XG587" s="14"/>
      <c r="XH587" s="14"/>
      <c r="XI587" s="14"/>
      <c r="XJ587" s="14"/>
      <c r="XK587" s="14"/>
      <c r="XL587" s="14"/>
      <c r="XM587" s="14"/>
      <c r="XN587" s="14"/>
      <c r="XO587" s="14"/>
      <c r="XP587" s="14"/>
      <c r="XQ587" s="14"/>
      <c r="XR587" s="14"/>
      <c r="XS587" s="14"/>
      <c r="XT587" s="14"/>
      <c r="XU587" s="14"/>
      <c r="XV587" s="14"/>
      <c r="XW587" s="14"/>
      <c r="XX587" s="14"/>
      <c r="XY587" s="14"/>
      <c r="XZ587" s="14"/>
      <c r="YA587" s="14"/>
      <c r="YB587" s="14"/>
      <c r="YC587" s="14"/>
      <c r="YD587" s="14"/>
      <c r="YE587" s="14"/>
      <c r="YF587" s="14"/>
      <c r="YG587" s="14"/>
      <c r="YH587" s="14"/>
      <c r="YI587" s="14"/>
      <c r="YJ587" s="14"/>
      <c r="YK587" s="14"/>
      <c r="YL587" s="14"/>
      <c r="YM587" s="14"/>
      <c r="YN587" s="14"/>
      <c r="YO587" s="14"/>
      <c r="YP587" s="14"/>
      <c r="YQ587" s="14"/>
      <c r="YR587" s="14"/>
      <c r="YS587" s="14"/>
      <c r="YT587" s="14"/>
      <c r="YU587" s="14"/>
      <c r="YV587" s="14"/>
      <c r="YW587" s="14"/>
      <c r="YX587" s="14"/>
      <c r="YY587" s="14"/>
      <c r="YZ587" s="14"/>
      <c r="ZA587" s="14"/>
      <c r="ZB587" s="14"/>
      <c r="ZC587" s="14"/>
      <c r="ZD587" s="14"/>
      <c r="ZE587" s="14"/>
      <c r="ZF587" s="14"/>
      <c r="ZG587" s="14"/>
      <c r="ZH587" s="14"/>
      <c r="ZI587" s="14"/>
      <c r="ZJ587" s="14"/>
      <c r="ZK587" s="14"/>
      <c r="ZL587" s="14"/>
      <c r="ZM587" s="14"/>
      <c r="ZN587" s="14"/>
      <c r="ZO587" s="14"/>
      <c r="ZP587" s="14"/>
      <c r="ZQ587" s="14"/>
      <c r="ZR587" s="14"/>
      <c r="ZS587" s="14"/>
      <c r="ZT587" s="14"/>
      <c r="ZU587" s="14"/>
      <c r="ZV587" s="14"/>
      <c r="ZW587" s="14"/>
      <c r="ZX587" s="14"/>
      <c r="ZY587" s="14"/>
      <c r="ZZ587" s="14"/>
      <c r="AAA587" s="14"/>
      <c r="AAB587" s="14"/>
      <c r="AAC587" s="14"/>
      <c r="AAD587" s="14"/>
      <c r="AAE587" s="14"/>
      <c r="AAF587" s="14"/>
      <c r="AAG587" s="14"/>
      <c r="AAH587" s="14"/>
      <c r="AAI587" s="14"/>
      <c r="AAJ587" s="14"/>
      <c r="AAK587" s="14"/>
      <c r="AAL587" s="14"/>
      <c r="AAM587" s="14"/>
      <c r="AAN587" s="14"/>
      <c r="AAO587" s="14"/>
      <c r="AAP587" s="14"/>
      <c r="AAQ587" s="14"/>
      <c r="AAR587" s="14"/>
      <c r="AAS587" s="14"/>
      <c r="AAT587" s="14"/>
      <c r="AAU587" s="14"/>
      <c r="AAV587" s="14"/>
      <c r="AAW587" s="14"/>
      <c r="AAX587" s="14"/>
      <c r="AAY587" s="14"/>
      <c r="AAZ587" s="14"/>
      <c r="ABA587" s="14"/>
      <c r="ABB587" s="14"/>
      <c r="ABC587" s="14"/>
      <c r="ABD587" s="14"/>
      <c r="ABE587" s="14"/>
      <c r="ABF587" s="14"/>
      <c r="ABG587" s="14"/>
      <c r="ABH587" s="14"/>
      <c r="ABI587" s="14"/>
      <c r="ABJ587" s="14"/>
      <c r="ABK587" s="14"/>
      <c r="ABL587" s="14"/>
      <c r="ABM587" s="14"/>
      <c r="ABN587" s="14"/>
      <c r="ABO587" s="14"/>
      <c r="ABP587" s="14"/>
      <c r="ABQ587" s="14"/>
      <c r="ABR587" s="14"/>
      <c r="ABS587" s="14"/>
      <c r="ABT587" s="14"/>
      <c r="ABU587" s="14"/>
      <c r="ABV587" s="14"/>
      <c r="ABW587" s="14"/>
      <c r="ABX587" s="14"/>
      <c r="ABY587" s="14"/>
      <c r="ABZ587" s="14"/>
      <c r="ACA587" s="14"/>
      <c r="ACB587" s="14"/>
      <c r="ACC587" s="14"/>
      <c r="ACD587" s="14"/>
      <c r="ACE587" s="14"/>
      <c r="ACF587" s="14"/>
      <c r="ACG587" s="14"/>
      <c r="ACH587" s="14"/>
      <c r="ACI587" s="14"/>
      <c r="ACJ587" s="14"/>
      <c r="ACK587" s="14"/>
      <c r="ACL587" s="14"/>
      <c r="ACM587" s="14"/>
      <c r="ACN587" s="14"/>
      <c r="ACO587" s="14"/>
      <c r="ACP587" s="14"/>
      <c r="ACQ587" s="14"/>
      <c r="ACR587" s="14"/>
      <c r="ACS587" s="14"/>
      <c r="ACT587" s="14"/>
      <c r="ACU587" s="14"/>
      <c r="ACV587" s="14"/>
      <c r="ACW587" s="14"/>
      <c r="ACX587" s="14"/>
      <c r="ACY587" s="14"/>
      <c r="ACZ587" s="14"/>
      <c r="ADA587" s="14"/>
      <c r="ADB587" s="14"/>
      <c r="ADC587" s="14"/>
      <c r="ADD587" s="14"/>
      <c r="ADE587" s="14"/>
      <c r="ADF587" s="14"/>
      <c r="ADG587" s="14"/>
      <c r="ADH587" s="14"/>
      <c r="ADI587" s="14"/>
      <c r="ADJ587" s="14"/>
      <c r="ADK587" s="14"/>
      <c r="ADL587" s="14"/>
      <c r="ADM587" s="14"/>
      <c r="ADN587" s="14"/>
      <c r="ADO587" s="14"/>
      <c r="ADP587" s="14"/>
      <c r="ADQ587" s="14"/>
      <c r="ADR587" s="14"/>
      <c r="ADS587" s="14"/>
      <c r="ADT587" s="14"/>
      <c r="ADU587" s="14"/>
      <c r="ADV587" s="14"/>
      <c r="ADW587" s="14"/>
      <c r="ADX587" s="14"/>
      <c r="ADY587" s="14"/>
      <c r="ADZ587" s="14"/>
      <c r="AEA587" s="14"/>
      <c r="AEB587" s="14"/>
      <c r="AEC587" s="14"/>
      <c r="AED587" s="14"/>
      <c r="AEE587" s="14"/>
      <c r="AEF587" s="14"/>
      <c r="AEG587" s="14"/>
      <c r="AEH587" s="14"/>
      <c r="AEI587" s="14"/>
      <c r="AEJ587" s="14"/>
      <c r="AEK587" s="14"/>
      <c r="AEL587" s="14"/>
      <c r="AEM587" s="14"/>
      <c r="AEN587" s="14"/>
      <c r="AEO587" s="14"/>
      <c r="AEP587" s="14"/>
      <c r="AEQ587" s="14"/>
      <c r="AER587" s="14"/>
      <c r="AES587" s="14"/>
      <c r="AET587" s="14"/>
      <c r="AEU587" s="14"/>
      <c r="AEV587" s="14"/>
      <c r="AEW587" s="14"/>
      <c r="AEX587" s="14"/>
      <c r="AEY587" s="14"/>
      <c r="AEZ587" s="14"/>
      <c r="AFA587" s="14"/>
      <c r="AFB587" s="14"/>
      <c r="AFC587" s="14"/>
      <c r="AFD587" s="14"/>
      <c r="AFE587" s="14"/>
      <c r="AFF587" s="14"/>
      <c r="AFG587" s="14"/>
      <c r="AFH587" s="14"/>
      <c r="AFI587" s="14"/>
      <c r="AFJ587" s="14"/>
      <c r="AFK587" s="14"/>
      <c r="AFL587" s="14"/>
      <c r="AFM587" s="14"/>
      <c r="AFN587" s="14"/>
      <c r="AFO587" s="14"/>
      <c r="AFP587" s="14"/>
      <c r="AFQ587" s="14"/>
      <c r="AFR587" s="14"/>
      <c r="AFS587" s="14"/>
      <c r="AFT587" s="14"/>
      <c r="AFU587" s="14"/>
      <c r="AFV587" s="14"/>
      <c r="AFW587" s="14"/>
      <c r="AFX587" s="14"/>
      <c r="AFY587" s="14"/>
      <c r="AFZ587" s="14"/>
      <c r="AGA587" s="14"/>
      <c r="AGB587" s="14"/>
      <c r="AGC587" s="14"/>
      <c r="AGD587" s="14"/>
      <c r="AGE587" s="14"/>
      <c r="AGF587" s="14"/>
      <c r="AGG587" s="14"/>
      <c r="AGH587" s="14"/>
      <c r="AGI587" s="14"/>
      <c r="AGJ587" s="14"/>
      <c r="AGK587" s="14"/>
      <c r="AGL587" s="14"/>
      <c r="AGM587" s="14"/>
      <c r="AGN587" s="14"/>
      <c r="AGO587" s="14"/>
      <c r="AGP587" s="14"/>
      <c r="AGQ587" s="14"/>
      <c r="AGR587" s="14"/>
      <c r="AGS587" s="14"/>
      <c r="AGT587" s="14"/>
      <c r="AGU587" s="14"/>
      <c r="AGV587" s="14"/>
      <c r="AGW587" s="14"/>
      <c r="AGX587" s="14"/>
      <c r="AGY587" s="14"/>
      <c r="AGZ587" s="14"/>
      <c r="AHA587" s="14"/>
      <c r="AHB587" s="14"/>
      <c r="AHC587" s="14"/>
      <c r="AHD587" s="14"/>
      <c r="AHE587" s="14"/>
      <c r="AHF587" s="14"/>
      <c r="AHG587" s="14"/>
      <c r="AHH587" s="14"/>
      <c r="AHI587" s="14"/>
      <c r="AHJ587" s="14"/>
      <c r="AHK587" s="14"/>
      <c r="AHL587" s="14"/>
      <c r="AHM587" s="14"/>
      <c r="AHN587" s="14"/>
      <c r="AHO587" s="14"/>
      <c r="AHP587" s="14"/>
      <c r="AHQ587" s="14"/>
      <c r="AHR587" s="14"/>
      <c r="AHS587" s="14"/>
      <c r="AHT587" s="14"/>
      <c r="AHU587" s="14"/>
      <c r="AHV587" s="14"/>
      <c r="AHW587" s="14"/>
      <c r="AHX587" s="14"/>
      <c r="AHY587" s="14"/>
      <c r="AHZ587" s="14"/>
      <c r="AIA587" s="14"/>
      <c r="AIB587" s="14"/>
      <c r="AIC587" s="14"/>
      <c r="AID587" s="14"/>
      <c r="AIE587" s="14"/>
      <c r="AIF587" s="14"/>
      <c r="AIG587" s="14"/>
      <c r="AIH587" s="14"/>
      <c r="AII587" s="14"/>
      <c r="AIJ587" s="14"/>
      <c r="AIK587" s="14"/>
      <c r="AIL587" s="14"/>
      <c r="AIM587" s="14"/>
      <c r="AIN587" s="14"/>
      <c r="AIO587" s="14"/>
      <c r="AIP587" s="14"/>
      <c r="AIQ587" s="14"/>
      <c r="AIR587" s="14"/>
      <c r="AIS587" s="14"/>
      <c r="AIT587" s="14"/>
      <c r="AIU587" s="14"/>
      <c r="AIV587" s="14"/>
      <c r="AIW587" s="14"/>
      <c r="AIX587" s="14"/>
      <c r="AIY587" s="14"/>
      <c r="AIZ587" s="14"/>
      <c r="AJA587" s="14"/>
      <c r="AJB587" s="14"/>
      <c r="AJC587" s="14"/>
      <c r="AJD587" s="14"/>
      <c r="AJE587" s="14"/>
      <c r="AJF587" s="14"/>
      <c r="AJG587" s="14"/>
      <c r="AJH587" s="14"/>
      <c r="AJI587" s="14"/>
      <c r="AJJ587" s="14"/>
      <c r="AJK587" s="14"/>
      <c r="AJL587" s="14"/>
      <c r="AJM587" s="14"/>
      <c r="AJN587" s="14"/>
      <c r="AJO587" s="14"/>
      <c r="AJP587" s="14"/>
      <c r="AJQ587" s="14"/>
      <c r="AJR587" s="14"/>
      <c r="AJS587" s="14"/>
      <c r="AJT587" s="14"/>
      <c r="AJU587" s="14"/>
      <c r="AJV587" s="14"/>
      <c r="AJW587" s="14"/>
      <c r="AJX587" s="14"/>
      <c r="AJY587" s="14"/>
      <c r="AJZ587" s="14"/>
      <c r="AKA587" s="14"/>
      <c r="AKB587" s="14"/>
      <c r="AKC587" s="14"/>
      <c r="AKD587" s="14"/>
      <c r="AKE587" s="14"/>
      <c r="AKF587" s="14"/>
      <c r="AKG587" s="14"/>
      <c r="AKH587" s="14"/>
      <c r="AKI587" s="14"/>
      <c r="AKJ587" s="14"/>
      <c r="AKK587" s="14"/>
      <c r="AKL587" s="14"/>
      <c r="AKM587" s="14"/>
      <c r="AKN587" s="14"/>
      <c r="AKO587" s="14"/>
      <c r="AKP587" s="14"/>
      <c r="AKQ587" s="14"/>
      <c r="AKR587" s="14"/>
      <c r="AKS587" s="14"/>
      <c r="AKT587" s="14"/>
      <c r="AKU587" s="14"/>
      <c r="AKV587" s="14"/>
      <c r="AKW587" s="14"/>
      <c r="AKX587" s="14"/>
      <c r="AKY587" s="14"/>
      <c r="AKZ587" s="14"/>
      <c r="ALA587" s="14"/>
      <c r="ALB587" s="14"/>
      <c r="ALC587" s="14"/>
      <c r="ALD587" s="14"/>
      <c r="ALE587" s="14"/>
      <c r="ALF587" s="14"/>
      <c r="ALG587" s="14"/>
      <c r="ALH587" s="14"/>
      <c r="ALI587" s="14"/>
      <c r="ALJ587" s="14"/>
      <c r="ALK587" s="14"/>
      <c r="ALL587" s="14"/>
      <c r="ALM587" s="14"/>
      <c r="ALN587" s="14"/>
      <c r="ALO587" s="14"/>
      <c r="ALP587" s="14"/>
      <c r="ALQ587" s="14"/>
      <c r="ALR587" s="14"/>
      <c r="ALS587" s="14"/>
      <c r="ALT587" s="14"/>
      <c r="ALU587" s="14"/>
      <c r="ALV587" s="14"/>
      <c r="ALW587" s="14"/>
      <c r="ALX587" s="14"/>
      <c r="ALY587" s="14"/>
      <c r="ALZ587" s="14"/>
      <c r="AMA587" s="14"/>
      <c r="AMB587" s="14"/>
      <c r="AMC587" s="14"/>
      <c r="AMD587" s="14"/>
      <c r="AME587" s="14"/>
      <c r="AMF587" s="14"/>
      <c r="AMG587" s="14"/>
      <c r="AMH587" s="14"/>
      <c r="AMI587" s="14"/>
      <c r="AMJ587" s="14"/>
      <c r="AMK587" s="14"/>
      <c r="AML587" s="14"/>
      <c r="AMM587" s="14"/>
      <c r="AMN587" s="14"/>
      <c r="AMO587" s="14"/>
      <c r="AMP587" s="14"/>
      <c r="AMQ587" s="14"/>
      <c r="AMR587" s="14"/>
      <c r="AMS587" s="14"/>
      <c r="AMT587" s="14"/>
      <c r="AMU587" s="14"/>
      <c r="AMV587" s="14"/>
      <c r="AMW587" s="14"/>
      <c r="AMX587" s="14"/>
      <c r="AMY587" s="14"/>
      <c r="AMZ587" s="14"/>
      <c r="ANA587" s="14"/>
      <c r="ANB587" s="14"/>
      <c r="ANC587" s="14"/>
      <c r="AND587" s="14"/>
      <c r="ANE587" s="14"/>
      <c r="ANF587" s="14"/>
      <c r="ANG587" s="14"/>
      <c r="ANH587" s="14"/>
      <c r="ANI587" s="14"/>
      <c r="ANJ587" s="14"/>
      <c r="ANK587" s="14"/>
      <c r="ANL587" s="14"/>
      <c r="ANM587" s="14"/>
      <c r="ANN587" s="14"/>
      <c r="ANO587" s="14"/>
      <c r="ANP587" s="14"/>
      <c r="ANQ587" s="14"/>
      <c r="ANR587" s="14"/>
      <c r="ANS587" s="14"/>
      <c r="ANT587" s="14"/>
      <c r="ANU587" s="14"/>
      <c r="ANV587" s="14"/>
      <c r="ANW587" s="14"/>
      <c r="ANX587" s="14"/>
      <c r="ANY587" s="14"/>
      <c r="ANZ587" s="14"/>
      <c r="AOA587" s="14"/>
      <c r="AOB587" s="14"/>
      <c r="AOC587" s="14"/>
      <c r="AOD587" s="14"/>
      <c r="AOE587" s="14"/>
      <c r="AOF587" s="14"/>
      <c r="AOG587" s="14"/>
      <c r="AOH587" s="14"/>
      <c r="AOI587" s="14"/>
      <c r="AOJ587" s="14"/>
      <c r="AOK587" s="14"/>
      <c r="AOL587" s="14"/>
      <c r="AOM587" s="14"/>
      <c r="AON587" s="14"/>
      <c r="AOO587" s="14"/>
      <c r="AOP587" s="14"/>
      <c r="AOQ587" s="14"/>
      <c r="AOR587" s="14"/>
      <c r="AOS587" s="14"/>
      <c r="AOT587" s="14"/>
      <c r="AOU587" s="14"/>
      <c r="AOV587" s="14"/>
      <c r="AOW587" s="14"/>
      <c r="AOX587" s="14"/>
      <c r="AOY587" s="14"/>
      <c r="AOZ587" s="14"/>
      <c r="APA587" s="14"/>
      <c r="APB587" s="14"/>
      <c r="APC587" s="14"/>
      <c r="APD587" s="14"/>
      <c r="APE587" s="14"/>
      <c r="APF587" s="14"/>
      <c r="APG587" s="14"/>
      <c r="APH587" s="14"/>
      <c r="API587" s="14"/>
      <c r="APJ587" s="14"/>
      <c r="APK587" s="14"/>
      <c r="APL587" s="14"/>
      <c r="APM587" s="14"/>
      <c r="APN587" s="14"/>
      <c r="APO587" s="14"/>
      <c r="APP587" s="14"/>
      <c r="APQ587" s="14"/>
      <c r="APR587" s="14"/>
      <c r="APS587" s="14"/>
      <c r="APT587" s="14"/>
      <c r="APU587" s="14"/>
      <c r="APV587" s="14"/>
      <c r="APW587" s="14"/>
      <c r="APX587" s="14"/>
      <c r="APY587" s="14"/>
      <c r="APZ587" s="14"/>
      <c r="AQA587" s="14"/>
      <c r="AQB587" s="14"/>
      <c r="AQC587" s="14"/>
      <c r="AQD587" s="14"/>
      <c r="AQE587" s="14"/>
      <c r="AQF587" s="14"/>
      <c r="AQG587" s="14"/>
      <c r="AQH587" s="14"/>
      <c r="AQI587" s="14"/>
      <c r="AQJ587" s="14"/>
      <c r="AQK587" s="14"/>
      <c r="AQL587" s="14"/>
      <c r="AQM587" s="14"/>
      <c r="AQN587" s="14"/>
      <c r="AQO587" s="14"/>
      <c r="AQP587" s="14"/>
      <c r="AQQ587" s="14"/>
      <c r="AQR587" s="14"/>
      <c r="AQS587" s="14"/>
      <c r="AQT587" s="14"/>
      <c r="AQU587" s="14"/>
      <c r="AQV587" s="14"/>
      <c r="AQW587" s="14"/>
      <c r="AQX587" s="14"/>
      <c r="AQY587" s="14"/>
      <c r="AQZ587" s="14"/>
      <c r="ARA587" s="14"/>
      <c r="ARB587" s="14"/>
      <c r="ARC587" s="14"/>
      <c r="ARD587" s="14"/>
      <c r="ARE587" s="14"/>
      <c r="ARF587" s="14"/>
      <c r="ARG587" s="14"/>
      <c r="ARH587" s="14"/>
      <c r="ARI587" s="14"/>
      <c r="ARJ587" s="14"/>
      <c r="ARK587" s="14"/>
      <c r="ARL587" s="14"/>
      <c r="ARM587" s="14"/>
      <c r="ARN587" s="14"/>
      <c r="ARO587" s="14"/>
      <c r="ARP587" s="14"/>
      <c r="ARQ587" s="14"/>
      <c r="ARR587" s="14"/>
      <c r="ARS587" s="14"/>
      <c r="ART587" s="14"/>
      <c r="ARU587" s="14"/>
      <c r="ARV587" s="14"/>
      <c r="ARW587" s="14"/>
      <c r="ARX587" s="14"/>
      <c r="ARY587" s="14"/>
      <c r="ARZ587" s="14"/>
      <c r="ASA587" s="14"/>
      <c r="ASB587" s="14"/>
      <c r="ASC587" s="14"/>
      <c r="ASD587" s="14"/>
      <c r="ASE587" s="14"/>
      <c r="ASF587" s="14"/>
      <c r="ASG587" s="14"/>
      <c r="ASH587" s="14"/>
      <c r="ASI587" s="14"/>
      <c r="ASJ587" s="14"/>
      <c r="ASK587" s="14"/>
      <c r="ASL587" s="14"/>
      <c r="ASM587" s="14"/>
      <c r="ASN587" s="14"/>
      <c r="ASO587" s="14"/>
      <c r="ASP587" s="14"/>
      <c r="ASQ587" s="14"/>
      <c r="ASR587" s="14"/>
      <c r="ASS587" s="14"/>
      <c r="AST587" s="14"/>
      <c r="ASU587" s="14"/>
      <c r="ASV587" s="14"/>
      <c r="ASW587" s="14"/>
      <c r="ASX587" s="14"/>
      <c r="ASY587" s="14"/>
      <c r="ASZ587" s="14"/>
      <c r="ATA587" s="14"/>
      <c r="ATB587" s="14"/>
      <c r="ATC587" s="14"/>
      <c r="ATD587" s="14"/>
      <c r="ATE587" s="14"/>
      <c r="ATF587" s="14"/>
      <c r="ATG587" s="14"/>
      <c r="ATH587" s="14"/>
      <c r="ATI587" s="14"/>
      <c r="ATJ587" s="14"/>
      <c r="ATK587" s="14"/>
      <c r="ATL587" s="14"/>
      <c r="ATM587" s="14"/>
      <c r="ATN587" s="14"/>
      <c r="ATO587" s="14"/>
      <c r="ATP587" s="14"/>
      <c r="ATQ587" s="14"/>
      <c r="ATR587" s="14"/>
      <c r="ATS587" s="14"/>
      <c r="ATT587" s="14"/>
      <c r="ATU587" s="14"/>
      <c r="ATV587" s="14"/>
      <c r="ATW587" s="14"/>
      <c r="ATX587" s="14"/>
      <c r="ATY587" s="14"/>
      <c r="ATZ587" s="14"/>
      <c r="AUA587" s="14"/>
      <c r="AUB587" s="14"/>
      <c r="AUC587" s="14"/>
      <c r="AUD587" s="14"/>
      <c r="AUE587" s="14"/>
      <c r="AUF587" s="14"/>
      <c r="AUG587" s="14"/>
      <c r="AUH587" s="14"/>
      <c r="AUI587" s="14"/>
      <c r="AUJ587" s="14"/>
      <c r="AUK587" s="14"/>
      <c r="AUL587" s="14"/>
      <c r="AUM587" s="14"/>
      <c r="AUN587" s="14"/>
      <c r="AUO587" s="14"/>
      <c r="AUP587" s="14"/>
      <c r="AUQ587" s="14"/>
      <c r="AUR587" s="14"/>
      <c r="AUS587" s="14"/>
      <c r="AUT587" s="14"/>
      <c r="AUU587" s="14"/>
      <c r="AUV587" s="14"/>
      <c r="AUW587" s="14"/>
      <c r="AUX587" s="14"/>
      <c r="AUY587" s="14"/>
      <c r="AUZ587" s="14"/>
      <c r="AVA587" s="14"/>
      <c r="AVB587" s="14"/>
      <c r="AVC587" s="14"/>
      <c r="AVD587" s="14"/>
      <c r="AVE587" s="14"/>
      <c r="AVF587" s="14"/>
      <c r="AVG587" s="14"/>
      <c r="AVH587" s="14"/>
      <c r="AVI587" s="14"/>
      <c r="AVJ587" s="14"/>
      <c r="AVK587" s="14"/>
      <c r="AVL587" s="14"/>
      <c r="AVM587" s="14"/>
      <c r="AVN587" s="14"/>
      <c r="AVO587" s="14"/>
      <c r="AVP587" s="14"/>
      <c r="AVQ587" s="14"/>
      <c r="AVR587" s="14"/>
      <c r="AVS587" s="14"/>
      <c r="AVT587" s="14"/>
      <c r="AVU587" s="14"/>
      <c r="AVV587" s="14"/>
      <c r="AVW587" s="14"/>
      <c r="AVX587" s="14"/>
      <c r="AVY587" s="14"/>
      <c r="AVZ587" s="14"/>
      <c r="AWA587" s="14"/>
      <c r="AWB587" s="14"/>
      <c r="AWC587" s="14"/>
      <c r="AWD587" s="14"/>
      <c r="AWE587" s="14"/>
      <c r="AWF587" s="14"/>
      <c r="AWG587" s="14"/>
      <c r="AWH587" s="14"/>
      <c r="AWI587" s="14"/>
      <c r="AWJ587" s="14"/>
      <c r="AWK587" s="14"/>
      <c r="AWL587" s="14"/>
      <c r="AWM587" s="14"/>
      <c r="AWN587" s="14"/>
      <c r="AWO587" s="14"/>
      <c r="AWP587" s="14"/>
      <c r="AWQ587" s="14"/>
      <c r="AWR587" s="14"/>
      <c r="AWS587" s="14"/>
      <c r="AWT587" s="14"/>
      <c r="AWU587" s="14"/>
      <c r="AWV587" s="14"/>
      <c r="AWW587" s="14"/>
      <c r="AWX587" s="14"/>
      <c r="AWY587" s="14"/>
      <c r="AWZ587" s="14"/>
      <c r="AXA587" s="14"/>
      <c r="AXB587" s="14"/>
      <c r="AXC587" s="14"/>
      <c r="AXD587" s="14"/>
      <c r="AXE587" s="14"/>
      <c r="AXF587" s="14"/>
      <c r="AXG587" s="14"/>
      <c r="AXH587" s="14"/>
      <c r="AXI587" s="14"/>
      <c r="AXJ587" s="14"/>
      <c r="AXK587" s="14"/>
      <c r="AXL587" s="14"/>
      <c r="AXM587" s="14"/>
      <c r="AXN587" s="14"/>
      <c r="AXO587" s="14"/>
      <c r="AXP587" s="14"/>
      <c r="AXQ587" s="14"/>
      <c r="AXR587" s="14"/>
      <c r="AXS587" s="14"/>
      <c r="AXT587" s="14"/>
      <c r="AXU587" s="14"/>
      <c r="AXV587" s="14"/>
      <c r="AXW587" s="14"/>
      <c r="AXX587" s="14"/>
      <c r="AXY587" s="14"/>
      <c r="AXZ587" s="14"/>
      <c r="AYA587" s="14"/>
      <c r="AYB587" s="14"/>
      <c r="AYC587" s="14"/>
      <c r="AYD587" s="14"/>
      <c r="AYE587" s="14"/>
      <c r="AYF587" s="14"/>
      <c r="AYG587" s="14"/>
      <c r="AYH587" s="14"/>
      <c r="AYI587" s="14"/>
      <c r="AYJ587" s="14"/>
      <c r="AYK587" s="14"/>
      <c r="AYL587" s="14"/>
      <c r="AYM587" s="14"/>
      <c r="AYN587" s="14"/>
      <c r="AYO587" s="14"/>
      <c r="AYP587" s="14"/>
      <c r="AYQ587" s="14"/>
      <c r="AYR587" s="14"/>
      <c r="AYS587" s="14"/>
      <c r="AYT587" s="14"/>
      <c r="AYU587" s="14"/>
      <c r="AYV587" s="14"/>
      <c r="AYW587" s="14"/>
      <c r="AYX587" s="14"/>
      <c r="AYY587" s="14"/>
      <c r="AYZ587" s="14"/>
      <c r="AZA587" s="14"/>
      <c r="AZB587" s="14"/>
      <c r="AZC587" s="14"/>
      <c r="AZD587" s="14"/>
      <c r="AZE587" s="14"/>
      <c r="AZF587" s="14"/>
      <c r="AZG587" s="14"/>
      <c r="AZH587" s="14"/>
      <c r="AZI587" s="14"/>
      <c r="AZJ587" s="14"/>
      <c r="AZK587" s="14"/>
      <c r="AZL587" s="14"/>
      <c r="AZM587" s="14"/>
      <c r="AZN587" s="14"/>
      <c r="AZO587" s="14"/>
      <c r="AZP587" s="14"/>
      <c r="AZQ587" s="14"/>
      <c r="AZR587" s="14"/>
      <c r="AZS587" s="14"/>
      <c r="AZT587" s="14"/>
      <c r="AZU587" s="14"/>
      <c r="AZV587" s="14"/>
      <c r="AZW587" s="14"/>
      <c r="AZX587" s="14"/>
      <c r="AZY587" s="14"/>
      <c r="AZZ587" s="14"/>
      <c r="BAA587" s="14"/>
      <c r="BAB587" s="14"/>
      <c r="BAC587" s="14"/>
      <c r="BAD587" s="14"/>
      <c r="BAE587" s="14"/>
      <c r="BAF587" s="14"/>
      <c r="BAG587" s="14"/>
      <c r="BAH587" s="14"/>
      <c r="BAI587" s="14"/>
      <c r="BAJ587" s="14"/>
      <c r="BAK587" s="14"/>
      <c r="BAL587" s="14"/>
      <c r="BAM587" s="14"/>
      <c r="BAN587" s="14"/>
      <c r="BAO587" s="14"/>
      <c r="BAP587" s="14"/>
      <c r="BAQ587" s="14"/>
      <c r="BAR587" s="14"/>
      <c r="BAS587" s="14"/>
      <c r="BAT587" s="14"/>
      <c r="BAU587" s="14"/>
      <c r="BAV587" s="14"/>
      <c r="BAW587" s="14"/>
      <c r="BAX587" s="14"/>
      <c r="BAY587" s="14"/>
      <c r="BAZ587" s="14"/>
      <c r="BBA587" s="14"/>
      <c r="BBB587" s="14"/>
      <c r="BBC587" s="14"/>
      <c r="BBD587" s="14"/>
      <c r="BBE587" s="14"/>
      <c r="BBF587" s="14"/>
      <c r="BBG587" s="14"/>
      <c r="BBH587" s="14"/>
      <c r="BBI587" s="14"/>
      <c r="BBJ587" s="14"/>
      <c r="BBK587" s="14"/>
      <c r="BBL587" s="14"/>
      <c r="BBM587" s="14"/>
      <c r="BBN587" s="14"/>
      <c r="BBO587" s="14"/>
      <c r="BBP587" s="14"/>
      <c r="BBQ587" s="14"/>
      <c r="BBR587" s="14"/>
      <c r="BBS587" s="14"/>
      <c r="BBT587" s="14"/>
      <c r="BBU587" s="14"/>
      <c r="BBV587" s="14"/>
      <c r="BBW587" s="14"/>
      <c r="BBX587" s="14"/>
      <c r="BBY587" s="14"/>
      <c r="BBZ587" s="14"/>
      <c r="BCA587" s="14"/>
      <c r="BCB587" s="14"/>
      <c r="BCC587" s="14"/>
      <c r="BCD587" s="14"/>
      <c r="BCE587" s="14"/>
      <c r="BCF587" s="14"/>
      <c r="BCG587" s="14"/>
      <c r="BCH587" s="14"/>
      <c r="BCI587" s="14"/>
      <c r="BCJ587" s="14"/>
      <c r="BCK587" s="14"/>
      <c r="BCL587" s="14"/>
      <c r="BCM587" s="14"/>
      <c r="BCN587" s="14"/>
      <c r="BCO587" s="14"/>
      <c r="BCP587" s="14"/>
      <c r="BCQ587" s="14"/>
      <c r="BCR587" s="14"/>
      <c r="BCS587" s="14"/>
      <c r="BCT587" s="14"/>
      <c r="BCU587" s="14"/>
      <c r="BCV587" s="14"/>
      <c r="BCW587" s="14"/>
      <c r="BCX587" s="14"/>
      <c r="BCY587" s="14"/>
      <c r="BCZ587" s="14"/>
      <c r="BDA587" s="14"/>
      <c r="BDB587" s="14"/>
      <c r="BDC587" s="14"/>
      <c r="BDD587" s="14"/>
      <c r="BDE587" s="14"/>
      <c r="BDF587" s="14"/>
      <c r="BDG587" s="14"/>
      <c r="BDH587" s="14"/>
      <c r="BDI587" s="14"/>
      <c r="BDJ587" s="14"/>
      <c r="BDK587" s="14"/>
      <c r="BDL587" s="14"/>
      <c r="BDM587" s="14"/>
      <c r="BDN587" s="14"/>
      <c r="BDO587" s="14"/>
      <c r="BDP587" s="14"/>
      <c r="BDQ587" s="14"/>
      <c r="BDR587" s="14"/>
      <c r="BDS587" s="14"/>
      <c r="BDT587" s="14"/>
      <c r="BDU587" s="14"/>
      <c r="BDV587" s="14"/>
      <c r="BDW587" s="14"/>
      <c r="BDX587" s="14"/>
      <c r="BDY587" s="14"/>
      <c r="BDZ587" s="14"/>
      <c r="BEA587" s="14"/>
      <c r="BEB587" s="14"/>
      <c r="BEC587" s="14"/>
      <c r="BED587" s="14"/>
      <c r="BEE587" s="14"/>
      <c r="BEF587" s="14"/>
      <c r="BEG587" s="14"/>
      <c r="BEH587" s="14"/>
      <c r="BEI587" s="14"/>
      <c r="BEJ587" s="14"/>
      <c r="BEK587" s="14"/>
      <c r="BEL587" s="14"/>
      <c r="BEM587" s="14"/>
      <c r="BEN587" s="14"/>
      <c r="BEO587" s="14"/>
      <c r="BEP587" s="14"/>
      <c r="BEQ587" s="14"/>
      <c r="BER587" s="14"/>
      <c r="BES587" s="14"/>
      <c r="BET587" s="14"/>
      <c r="BEU587" s="14"/>
      <c r="BEV587" s="14"/>
      <c r="BEW587" s="14"/>
      <c r="BEX587" s="14"/>
      <c r="BEY587" s="14"/>
      <c r="BEZ587" s="14"/>
      <c r="BFA587" s="14"/>
      <c r="BFB587" s="14"/>
      <c r="BFC587" s="14"/>
      <c r="BFD587" s="14"/>
      <c r="BFE587" s="14"/>
      <c r="BFF587" s="14"/>
      <c r="BFG587" s="14"/>
      <c r="BFH587" s="14"/>
      <c r="BFI587" s="14"/>
      <c r="BFJ587" s="14"/>
      <c r="BFK587" s="14"/>
      <c r="BFL587" s="14"/>
      <c r="BFM587" s="14"/>
      <c r="BFN587" s="14"/>
      <c r="BFO587" s="14"/>
      <c r="BFP587" s="14"/>
      <c r="BFQ587" s="14"/>
      <c r="BFR587" s="14"/>
      <c r="BFS587" s="14"/>
      <c r="BFT587" s="14"/>
      <c r="BFU587" s="14"/>
      <c r="BFV587" s="14"/>
      <c r="BFW587" s="14"/>
      <c r="BFX587" s="14"/>
      <c r="BFY587" s="14"/>
      <c r="BFZ587" s="14"/>
      <c r="BGA587" s="14"/>
      <c r="BGB587" s="14"/>
      <c r="BGC587" s="14"/>
      <c r="BGD587" s="14"/>
      <c r="BGE587" s="14"/>
      <c r="BGF587" s="14"/>
      <c r="BGG587" s="14"/>
      <c r="BGH587" s="14"/>
      <c r="BGI587" s="14"/>
      <c r="BGJ587" s="14"/>
      <c r="BGK587" s="14"/>
      <c r="BGL587" s="14"/>
      <c r="BGM587" s="14"/>
      <c r="BGN587" s="14"/>
      <c r="BGO587" s="14"/>
      <c r="BGP587" s="14"/>
      <c r="BGQ587" s="14"/>
      <c r="BGR587" s="14"/>
      <c r="BGS587" s="14"/>
      <c r="BGT587" s="14"/>
      <c r="BGU587" s="14"/>
      <c r="BGV587" s="14"/>
      <c r="BGW587" s="14"/>
      <c r="BGX587" s="14"/>
      <c r="BGY587" s="14"/>
      <c r="BGZ587" s="14"/>
      <c r="BHA587" s="14"/>
      <c r="BHB587" s="14"/>
      <c r="BHC587" s="14"/>
      <c r="BHD587" s="14"/>
      <c r="BHE587" s="14"/>
      <c r="BHF587" s="14"/>
      <c r="BHG587" s="14"/>
      <c r="BHH587" s="14"/>
      <c r="BHI587" s="14"/>
      <c r="BHJ587" s="14"/>
      <c r="BHK587" s="14"/>
      <c r="BHL587" s="14"/>
      <c r="BHM587" s="14"/>
      <c r="BHN587" s="14"/>
      <c r="BHO587" s="14"/>
      <c r="BHP587" s="14"/>
      <c r="BHQ587" s="14"/>
      <c r="BHR587" s="14"/>
      <c r="BHS587" s="14"/>
      <c r="BHT587" s="14"/>
      <c r="BHU587" s="14"/>
      <c r="BHV587" s="14"/>
      <c r="BHW587" s="14"/>
      <c r="BHX587" s="14"/>
      <c r="BHY587" s="14"/>
      <c r="BHZ587" s="14"/>
      <c r="BIA587" s="14"/>
      <c r="BIB587" s="14"/>
      <c r="BIC587" s="14"/>
      <c r="BID587" s="14"/>
      <c r="BIE587" s="14"/>
      <c r="BIF587" s="14"/>
      <c r="BIG587" s="14"/>
      <c r="BIH587" s="14"/>
      <c r="BII587" s="14"/>
      <c r="BIJ587" s="14"/>
      <c r="BIK587" s="14"/>
      <c r="BIL587" s="14"/>
      <c r="BIM587" s="14"/>
      <c r="BIN587" s="14"/>
      <c r="BIO587" s="14"/>
      <c r="BIP587" s="14"/>
      <c r="BIQ587" s="14"/>
      <c r="BIR587" s="14"/>
      <c r="BIS587" s="14"/>
      <c r="BIT587" s="14"/>
      <c r="BIU587" s="14"/>
      <c r="BIV587" s="14"/>
      <c r="BIW587" s="14"/>
      <c r="BIX587" s="14"/>
      <c r="BIY587" s="14"/>
      <c r="BIZ587" s="14"/>
      <c r="BJA587" s="14"/>
      <c r="BJB587" s="14"/>
      <c r="BJC587" s="14"/>
      <c r="BJD587" s="14"/>
      <c r="BJE587" s="14"/>
      <c r="BJF587" s="14"/>
      <c r="BJG587" s="14"/>
      <c r="BJH587" s="14"/>
      <c r="BJI587" s="14"/>
      <c r="BJJ587" s="14"/>
      <c r="BJK587" s="14"/>
      <c r="BJL587" s="14"/>
      <c r="BJM587" s="14"/>
      <c r="BJN587" s="14"/>
      <c r="BJO587" s="14"/>
      <c r="BJP587" s="14"/>
      <c r="BJQ587" s="14"/>
      <c r="BJR587" s="14"/>
      <c r="BJS587" s="14"/>
      <c r="BJT587" s="14"/>
      <c r="BJU587" s="14"/>
      <c r="BJV587" s="14"/>
      <c r="BJW587" s="14"/>
      <c r="BJX587" s="14"/>
      <c r="BJY587" s="14"/>
      <c r="BJZ587" s="14"/>
      <c r="BKA587" s="14"/>
      <c r="BKB587" s="14"/>
      <c r="BKC587" s="14"/>
      <c r="BKD587" s="14"/>
      <c r="BKE587" s="14"/>
      <c r="BKF587" s="14"/>
      <c r="BKG587" s="14"/>
      <c r="BKH587" s="14"/>
      <c r="BKI587" s="14"/>
      <c r="BKJ587" s="14"/>
      <c r="BKK587" s="14"/>
      <c r="BKL587" s="14"/>
      <c r="BKM587" s="14"/>
      <c r="BKN587" s="14"/>
      <c r="BKO587" s="14"/>
      <c r="BKP587" s="14"/>
      <c r="BKQ587" s="14"/>
      <c r="BKR587" s="14"/>
      <c r="BKS587" s="14"/>
      <c r="BKT587" s="14"/>
      <c r="BKU587" s="14"/>
      <c r="BKV587" s="14"/>
      <c r="BKW587" s="14"/>
      <c r="BKX587" s="14"/>
      <c r="BKY587" s="14"/>
      <c r="BKZ587" s="14"/>
      <c r="BLA587" s="14"/>
      <c r="BLB587" s="14"/>
      <c r="BLC587" s="14"/>
      <c r="BLD587" s="14"/>
      <c r="BLE587" s="14"/>
      <c r="BLF587" s="14"/>
      <c r="BLG587" s="14"/>
      <c r="BLH587" s="14"/>
      <c r="BLI587" s="14"/>
      <c r="BLJ587" s="14"/>
      <c r="BLK587" s="14"/>
      <c r="BLL587" s="14"/>
      <c r="BLM587" s="14"/>
      <c r="BLN587" s="14"/>
      <c r="BLO587" s="14"/>
      <c r="BLP587" s="14"/>
      <c r="BLQ587" s="14"/>
      <c r="BLR587" s="14"/>
      <c r="BLS587" s="14"/>
      <c r="BLT587" s="14"/>
      <c r="BLU587" s="14"/>
      <c r="BLV587" s="14"/>
      <c r="BLW587" s="14"/>
      <c r="BLX587" s="14"/>
      <c r="BLY587" s="14"/>
      <c r="BLZ587" s="14"/>
      <c r="BMA587" s="14"/>
      <c r="BMB587" s="14"/>
      <c r="BMC587" s="14"/>
      <c r="BMD587" s="14"/>
      <c r="BME587" s="14"/>
      <c r="BMF587" s="14"/>
      <c r="BMG587" s="14"/>
      <c r="BMH587" s="14"/>
      <c r="BMI587" s="14"/>
      <c r="BMJ587" s="14"/>
      <c r="BMK587" s="14"/>
      <c r="BML587" s="14"/>
      <c r="BMM587" s="14"/>
      <c r="BMN587" s="14"/>
      <c r="BMO587" s="14"/>
      <c r="BMP587" s="14"/>
      <c r="BMQ587" s="14"/>
      <c r="BMR587" s="14"/>
      <c r="BMS587" s="14"/>
      <c r="BMT587" s="14"/>
      <c r="BMU587" s="14"/>
      <c r="BMV587" s="14"/>
      <c r="BMW587" s="14"/>
      <c r="BMX587" s="14"/>
      <c r="BMY587" s="14"/>
      <c r="BMZ587" s="14"/>
      <c r="BNA587" s="14"/>
      <c r="BNB587" s="14"/>
      <c r="BNC587" s="14"/>
      <c r="BND587" s="14"/>
      <c r="BNE587" s="14"/>
      <c r="BNF587" s="14"/>
      <c r="BNG587" s="14"/>
      <c r="BNH587" s="14"/>
      <c r="BNI587" s="14"/>
      <c r="BNJ587" s="14"/>
      <c r="BNK587" s="14"/>
      <c r="BNL587" s="14"/>
      <c r="BNM587" s="14"/>
      <c r="BNN587" s="14"/>
      <c r="BNO587" s="14"/>
      <c r="BNP587" s="14"/>
      <c r="BNQ587" s="14"/>
      <c r="BNR587" s="14"/>
      <c r="BNS587" s="14"/>
      <c r="BNT587" s="14"/>
      <c r="BNU587" s="14"/>
      <c r="BNV587" s="14"/>
      <c r="BNW587" s="14"/>
      <c r="BNX587" s="14"/>
      <c r="BNY587" s="14"/>
      <c r="BNZ587" s="14"/>
      <c r="BOA587" s="14"/>
      <c r="BOB587" s="14"/>
      <c r="BOC587" s="14"/>
      <c r="BOD587" s="14"/>
      <c r="BOE587" s="14"/>
      <c r="BOF587" s="14"/>
      <c r="BOG587" s="14"/>
      <c r="BOH587" s="14"/>
      <c r="BOI587" s="14"/>
      <c r="BOJ587" s="14"/>
      <c r="BOK587" s="14"/>
      <c r="BOL587" s="14"/>
      <c r="BOM587" s="14"/>
      <c r="BON587" s="14"/>
      <c r="BOO587" s="14"/>
      <c r="BOP587" s="14"/>
      <c r="BOQ587" s="14"/>
      <c r="BOR587" s="14"/>
      <c r="BOS587" s="14"/>
      <c r="BOT587" s="14"/>
      <c r="BOU587" s="14"/>
      <c r="BOV587" s="14"/>
      <c r="BOW587" s="14"/>
      <c r="BOX587" s="14"/>
      <c r="BOY587" s="14"/>
      <c r="BOZ587" s="14"/>
      <c r="BPA587" s="14"/>
      <c r="BPB587" s="14"/>
      <c r="BPC587" s="14"/>
      <c r="BPD587" s="14"/>
      <c r="BPE587" s="14"/>
      <c r="BPF587" s="14"/>
      <c r="BPG587" s="14"/>
      <c r="BPH587" s="14"/>
      <c r="BPI587" s="14"/>
      <c r="BPJ587" s="14"/>
      <c r="BPK587" s="14"/>
      <c r="BPL587" s="14"/>
      <c r="BPM587" s="14"/>
      <c r="BPN587" s="14"/>
      <c r="BPO587" s="14"/>
      <c r="BPP587" s="14"/>
      <c r="BPQ587" s="14"/>
      <c r="BPR587" s="14"/>
      <c r="BPS587" s="14"/>
      <c r="BPT587" s="14"/>
      <c r="BPU587" s="14"/>
      <c r="BPV587" s="14"/>
      <c r="BPW587" s="14"/>
      <c r="BPX587" s="14"/>
      <c r="BPY587" s="14"/>
      <c r="BPZ587" s="14"/>
      <c r="BQA587" s="14"/>
      <c r="BQB587" s="14"/>
      <c r="BQC587" s="14"/>
      <c r="BQD587" s="14"/>
      <c r="BQE587" s="14"/>
      <c r="BQF587" s="14"/>
      <c r="BQG587" s="14"/>
      <c r="BQH587" s="14"/>
      <c r="BQI587" s="14"/>
      <c r="BQJ587" s="14"/>
      <c r="BQK587" s="14"/>
      <c r="BQL587" s="14"/>
      <c r="BQM587" s="14"/>
      <c r="BQN587" s="14"/>
      <c r="BQO587" s="14"/>
      <c r="BQP587" s="14"/>
      <c r="BQQ587" s="14"/>
      <c r="BQR587" s="14"/>
      <c r="BQS587" s="14"/>
      <c r="BQT587" s="14"/>
      <c r="BQU587" s="14"/>
      <c r="BQV587" s="14"/>
      <c r="BQW587" s="14"/>
      <c r="BQX587" s="14"/>
      <c r="BQY587" s="14"/>
      <c r="BQZ587" s="14"/>
      <c r="BRA587" s="14"/>
      <c r="BRB587" s="14"/>
      <c r="BRC587" s="14"/>
      <c r="BRD587" s="14"/>
      <c r="BRE587" s="14"/>
      <c r="BRF587" s="14"/>
      <c r="BRG587" s="14"/>
      <c r="BRH587" s="14"/>
      <c r="BRI587" s="14"/>
      <c r="BRJ587" s="14"/>
      <c r="BRK587" s="14"/>
      <c r="BRL587" s="14"/>
      <c r="BRM587" s="14"/>
      <c r="BRN587" s="14"/>
      <c r="BRO587" s="14"/>
      <c r="BRP587" s="14"/>
      <c r="BRQ587" s="14"/>
      <c r="BRR587" s="14"/>
      <c r="BRS587" s="14"/>
      <c r="BRT587" s="14"/>
      <c r="BRU587" s="14"/>
      <c r="BRV587" s="14"/>
      <c r="BRW587" s="14"/>
      <c r="BRX587" s="14"/>
      <c r="BRY587" s="14"/>
      <c r="BRZ587" s="14"/>
      <c r="BSA587" s="14"/>
      <c r="BSB587" s="14"/>
      <c r="BSC587" s="14"/>
      <c r="BSD587" s="14"/>
      <c r="BSE587" s="14"/>
      <c r="BSF587" s="14"/>
      <c r="BSG587" s="14"/>
      <c r="BSH587" s="14"/>
      <c r="BSI587" s="14"/>
      <c r="BSJ587" s="14"/>
      <c r="BSK587" s="14"/>
      <c r="BSL587" s="14"/>
      <c r="BSM587" s="14"/>
      <c r="BSN587" s="14"/>
      <c r="BSO587" s="14"/>
      <c r="BSP587" s="14"/>
      <c r="BSQ587" s="14"/>
      <c r="BSR587" s="14"/>
      <c r="BSS587" s="14"/>
      <c r="BST587" s="14"/>
      <c r="BSU587" s="14"/>
      <c r="BSV587" s="14"/>
      <c r="BSW587" s="14"/>
      <c r="BSX587" s="14"/>
      <c r="BSY587" s="14"/>
      <c r="BSZ587" s="14"/>
      <c r="BTA587" s="14"/>
      <c r="BTB587" s="14"/>
      <c r="BTC587" s="14"/>
      <c r="BTD587" s="14"/>
      <c r="BTE587" s="14"/>
      <c r="BTF587" s="14"/>
      <c r="BTG587" s="14"/>
      <c r="BTH587" s="14"/>
      <c r="BTI587" s="14"/>
      <c r="BTJ587" s="14"/>
      <c r="BTK587" s="14"/>
      <c r="BTL587" s="14"/>
      <c r="BTM587" s="14"/>
      <c r="BTN587" s="14"/>
      <c r="BTO587" s="14"/>
      <c r="BTP587" s="14"/>
      <c r="BTQ587" s="14"/>
      <c r="BTR587" s="14"/>
      <c r="BTS587" s="14"/>
      <c r="BTT587" s="14"/>
      <c r="BTU587" s="14"/>
      <c r="BTV587" s="14"/>
      <c r="BTW587" s="14"/>
      <c r="BTX587" s="14"/>
      <c r="BTY587" s="14"/>
      <c r="BTZ587" s="14"/>
      <c r="BUA587" s="14"/>
      <c r="BUB587" s="14"/>
      <c r="BUC587" s="14"/>
      <c r="BUD587" s="14"/>
      <c r="BUE587" s="14"/>
      <c r="BUF587" s="14"/>
      <c r="BUG587" s="14"/>
      <c r="BUH587" s="14"/>
      <c r="BUI587" s="14"/>
      <c r="BUJ587" s="14"/>
      <c r="BUK587" s="14"/>
      <c r="BUL587" s="14"/>
      <c r="BUM587" s="14"/>
      <c r="BUN587" s="14"/>
      <c r="BUO587" s="14"/>
      <c r="BUP587" s="14"/>
      <c r="BUQ587" s="14"/>
      <c r="BUR587" s="14"/>
      <c r="BUS587" s="14"/>
      <c r="BUT587" s="14"/>
      <c r="BUU587" s="14"/>
      <c r="BUV587" s="14"/>
      <c r="BUW587" s="14"/>
      <c r="BUX587" s="14"/>
      <c r="BUY587" s="14"/>
      <c r="BUZ587" s="14"/>
      <c r="BVA587" s="14"/>
      <c r="BVB587" s="14"/>
      <c r="BVC587" s="14"/>
      <c r="BVD587" s="14"/>
      <c r="BVE587" s="14"/>
      <c r="BVF587" s="14"/>
      <c r="BVG587" s="14"/>
      <c r="BVH587" s="14"/>
      <c r="BVI587" s="14"/>
      <c r="BVJ587" s="14"/>
      <c r="BVK587" s="14"/>
      <c r="BVL587" s="14"/>
      <c r="BVM587" s="14"/>
      <c r="BVN587" s="14"/>
      <c r="BVO587" s="14"/>
      <c r="BVP587" s="14"/>
      <c r="BVQ587" s="14"/>
      <c r="BVR587" s="14"/>
      <c r="BVS587" s="14"/>
      <c r="BVT587" s="14"/>
      <c r="BVU587" s="14"/>
      <c r="BVV587" s="14"/>
      <c r="BVW587" s="14"/>
      <c r="BVX587" s="14"/>
      <c r="BVY587" s="14"/>
      <c r="BVZ587" s="14"/>
      <c r="BWA587" s="14"/>
      <c r="BWB587" s="14"/>
      <c r="BWC587" s="14"/>
      <c r="BWD587" s="14"/>
      <c r="BWE587" s="14"/>
      <c r="BWF587" s="14"/>
      <c r="BWG587" s="14"/>
      <c r="BWH587" s="14"/>
      <c r="BWI587" s="14"/>
      <c r="BWJ587" s="14"/>
      <c r="BWK587" s="14"/>
      <c r="BWL587" s="14"/>
      <c r="BWM587" s="14"/>
      <c r="BWN587" s="14"/>
      <c r="BWO587" s="14"/>
      <c r="BWP587" s="14"/>
      <c r="BWQ587" s="14"/>
      <c r="BWR587" s="14"/>
      <c r="BWS587" s="14"/>
      <c r="BWT587" s="14"/>
      <c r="BWU587" s="14"/>
      <c r="BWV587" s="14"/>
      <c r="BWW587" s="14"/>
      <c r="BWX587" s="14"/>
      <c r="BWY587" s="14"/>
      <c r="BWZ587" s="14"/>
      <c r="BXA587" s="14"/>
      <c r="BXB587" s="14"/>
      <c r="BXC587" s="14"/>
      <c r="BXD587" s="14"/>
      <c r="BXE587" s="14"/>
      <c r="BXF587" s="14"/>
      <c r="BXG587" s="14"/>
      <c r="BXH587" s="14"/>
      <c r="BXI587" s="14"/>
      <c r="BXJ587" s="14"/>
      <c r="BXK587" s="14"/>
      <c r="BXL587" s="14"/>
      <c r="BXM587" s="14"/>
      <c r="BXN587" s="14"/>
      <c r="BXO587" s="14"/>
      <c r="BXP587" s="14"/>
      <c r="BXQ587" s="14"/>
      <c r="BXR587" s="14"/>
      <c r="BXS587" s="14"/>
      <c r="BXT587" s="14"/>
      <c r="BXU587" s="14"/>
      <c r="BXV587" s="14"/>
      <c r="BXW587" s="14"/>
      <c r="BXX587" s="14"/>
      <c r="BXY587" s="14"/>
      <c r="BXZ587" s="14"/>
      <c r="BYA587" s="14"/>
      <c r="BYB587" s="14"/>
      <c r="BYC587" s="14"/>
      <c r="BYD587" s="14"/>
      <c r="BYE587" s="14"/>
      <c r="BYF587" s="14"/>
      <c r="BYG587" s="14"/>
      <c r="BYH587" s="14"/>
      <c r="BYI587" s="14"/>
      <c r="BYJ587" s="14"/>
      <c r="BYK587" s="14"/>
      <c r="BYL587" s="14"/>
      <c r="BYM587" s="14"/>
      <c r="BYN587" s="14"/>
      <c r="BYO587" s="14"/>
      <c r="BYP587" s="14"/>
      <c r="BYQ587" s="14"/>
      <c r="BYR587" s="14"/>
      <c r="BYS587" s="14"/>
      <c r="BYT587" s="14"/>
      <c r="BYU587" s="14"/>
      <c r="BYV587" s="14"/>
      <c r="BYW587" s="14"/>
      <c r="BYX587" s="14"/>
      <c r="BYY587" s="14"/>
      <c r="BYZ587" s="14"/>
      <c r="BZA587" s="14"/>
      <c r="BZB587" s="14"/>
      <c r="BZC587" s="14"/>
      <c r="BZD587" s="14"/>
      <c r="BZE587" s="14"/>
      <c r="BZF587" s="14"/>
      <c r="BZG587" s="14"/>
      <c r="BZH587" s="14"/>
      <c r="BZI587" s="14"/>
      <c r="BZJ587" s="14"/>
      <c r="BZK587" s="14"/>
      <c r="BZL587" s="14"/>
      <c r="BZM587" s="14"/>
      <c r="BZN587" s="14"/>
      <c r="BZO587" s="14"/>
      <c r="BZP587" s="14"/>
      <c r="BZQ587" s="14"/>
      <c r="BZR587" s="14"/>
      <c r="BZS587" s="14"/>
      <c r="BZT587" s="14"/>
      <c r="BZU587" s="14"/>
      <c r="BZV587" s="14"/>
      <c r="BZW587" s="14"/>
      <c r="BZX587" s="14"/>
      <c r="BZY587" s="14"/>
      <c r="BZZ587" s="14"/>
      <c r="CAA587" s="14"/>
      <c r="CAB587" s="14"/>
      <c r="CAC587" s="14"/>
      <c r="CAD587" s="14"/>
      <c r="CAE587" s="14"/>
      <c r="CAF587" s="14"/>
      <c r="CAG587" s="14"/>
      <c r="CAH587" s="14"/>
      <c r="CAI587" s="14"/>
      <c r="CAJ587" s="14"/>
      <c r="CAK587" s="14"/>
      <c r="CAL587" s="14"/>
      <c r="CAM587" s="14"/>
      <c r="CAN587" s="14"/>
      <c r="CAO587" s="14"/>
      <c r="CAP587" s="14"/>
      <c r="CAQ587" s="14"/>
      <c r="CAR587" s="14"/>
      <c r="CAS587" s="14"/>
      <c r="CAT587" s="14"/>
      <c r="CAU587" s="14"/>
      <c r="CAV587" s="14"/>
      <c r="CAW587" s="14"/>
      <c r="CAX587" s="14"/>
      <c r="CAY587" s="14"/>
      <c r="CAZ587" s="14"/>
      <c r="CBA587" s="14"/>
      <c r="CBB587" s="14"/>
      <c r="CBC587" s="14"/>
      <c r="CBD587" s="14"/>
      <c r="CBE587" s="14"/>
      <c r="CBF587" s="14"/>
      <c r="CBG587" s="14"/>
      <c r="CBH587" s="14"/>
      <c r="CBI587" s="14"/>
      <c r="CBJ587" s="14"/>
      <c r="CBK587" s="14"/>
      <c r="CBL587" s="14"/>
      <c r="CBM587" s="14"/>
      <c r="CBN587" s="14"/>
      <c r="CBO587" s="14"/>
      <c r="CBP587" s="14"/>
      <c r="CBQ587" s="14"/>
      <c r="CBR587" s="14"/>
      <c r="CBS587" s="14"/>
      <c r="CBT587" s="14"/>
      <c r="CBU587" s="14"/>
      <c r="CBV587" s="14"/>
      <c r="CBW587" s="14"/>
      <c r="CBX587" s="14"/>
      <c r="CBY587" s="14"/>
      <c r="CBZ587" s="14"/>
      <c r="CCA587" s="14"/>
      <c r="CCB587" s="14"/>
      <c r="CCC587" s="14"/>
      <c r="CCD587" s="14"/>
      <c r="CCE587" s="14"/>
      <c r="CCF587" s="14"/>
      <c r="CCG587" s="14"/>
      <c r="CCH587" s="14"/>
      <c r="CCI587" s="14"/>
      <c r="CCJ587" s="14"/>
      <c r="CCK587" s="14"/>
      <c r="CCL587" s="14"/>
      <c r="CCM587" s="14"/>
      <c r="CCN587" s="14"/>
      <c r="CCO587" s="14"/>
      <c r="CCP587" s="14"/>
      <c r="CCQ587" s="14"/>
      <c r="CCR587" s="14"/>
      <c r="CCS587" s="14"/>
      <c r="CCT587" s="14"/>
      <c r="CCU587" s="14"/>
      <c r="CCV587" s="14"/>
      <c r="CCW587" s="14"/>
      <c r="CCX587" s="14"/>
      <c r="CCY587" s="14"/>
      <c r="CCZ587" s="14"/>
      <c r="CDA587" s="14"/>
      <c r="CDB587" s="14"/>
      <c r="CDC587" s="14"/>
      <c r="CDD587" s="14"/>
      <c r="CDE587" s="14"/>
      <c r="CDF587" s="14"/>
      <c r="CDG587" s="14"/>
      <c r="CDH587" s="14"/>
      <c r="CDI587" s="14"/>
      <c r="CDJ587" s="14"/>
      <c r="CDK587" s="14"/>
      <c r="CDL587" s="14"/>
      <c r="CDM587" s="14"/>
      <c r="CDN587" s="14"/>
      <c r="CDO587" s="14"/>
      <c r="CDP587" s="14"/>
      <c r="CDQ587" s="14"/>
      <c r="CDR587" s="14"/>
      <c r="CDS587" s="14"/>
      <c r="CDT587" s="14"/>
      <c r="CDU587" s="14"/>
      <c r="CDV587" s="14"/>
      <c r="CDW587" s="14"/>
      <c r="CDX587" s="14"/>
      <c r="CDY587" s="14"/>
      <c r="CDZ587" s="14"/>
      <c r="CEA587" s="14"/>
      <c r="CEB587" s="14"/>
      <c r="CEC587" s="14"/>
      <c r="CED587" s="14"/>
      <c r="CEE587" s="14"/>
      <c r="CEF587" s="14"/>
      <c r="CEG587" s="14"/>
      <c r="CEH587" s="14"/>
      <c r="CEI587" s="14"/>
      <c r="CEJ587" s="14"/>
      <c r="CEK587" s="14"/>
      <c r="CEL587" s="14"/>
      <c r="CEM587" s="14"/>
      <c r="CEN587" s="14"/>
      <c r="CEO587" s="14"/>
      <c r="CEP587" s="14"/>
      <c r="CEQ587" s="14"/>
      <c r="CER587" s="14"/>
      <c r="CES587" s="14"/>
      <c r="CET587" s="14"/>
      <c r="CEU587" s="14"/>
      <c r="CEV587" s="14"/>
      <c r="CEW587" s="14"/>
      <c r="CEX587" s="14"/>
      <c r="CEY587" s="14"/>
      <c r="CEZ587" s="14"/>
      <c r="CFA587" s="14"/>
      <c r="CFB587" s="14"/>
      <c r="CFC587" s="14"/>
      <c r="CFD587" s="14"/>
      <c r="CFE587" s="14"/>
      <c r="CFF587" s="14"/>
      <c r="CFG587" s="14"/>
      <c r="CFH587" s="14"/>
      <c r="CFI587" s="14"/>
      <c r="CFJ587" s="14"/>
      <c r="CFK587" s="14"/>
      <c r="CFL587" s="14"/>
      <c r="CFM587" s="14"/>
      <c r="CFN587" s="14"/>
      <c r="CFO587" s="14"/>
      <c r="CFP587" s="14"/>
      <c r="CFQ587" s="14"/>
      <c r="CFR587" s="14"/>
      <c r="CFS587" s="14"/>
      <c r="CFT587" s="14"/>
      <c r="CFU587" s="14"/>
      <c r="CFV587" s="14"/>
      <c r="CFW587" s="14"/>
      <c r="CFX587" s="14"/>
      <c r="CFY587" s="14"/>
      <c r="CFZ587" s="14"/>
      <c r="CGA587" s="14"/>
      <c r="CGB587" s="14"/>
      <c r="CGC587" s="14"/>
      <c r="CGD587" s="14"/>
      <c r="CGE587" s="14"/>
      <c r="CGF587" s="14"/>
      <c r="CGG587" s="14"/>
      <c r="CGH587" s="14"/>
      <c r="CGI587" s="14"/>
      <c r="CGJ587" s="14"/>
      <c r="CGK587" s="14"/>
      <c r="CGL587" s="14"/>
      <c r="CGM587" s="14"/>
      <c r="CGN587" s="14"/>
      <c r="CGO587" s="14"/>
      <c r="CGP587" s="14"/>
      <c r="CGQ587" s="14"/>
      <c r="CGR587" s="14"/>
      <c r="CGS587" s="14"/>
      <c r="CGT587" s="14"/>
      <c r="CGU587" s="14"/>
      <c r="CGV587" s="14"/>
      <c r="CGW587" s="14"/>
      <c r="CGX587" s="14"/>
      <c r="CGY587" s="14"/>
      <c r="CGZ587" s="14"/>
      <c r="CHA587" s="14"/>
      <c r="CHB587" s="14"/>
      <c r="CHC587" s="14"/>
      <c r="CHD587" s="14"/>
      <c r="CHE587" s="14"/>
      <c r="CHF587" s="14"/>
      <c r="CHG587" s="14"/>
      <c r="CHH587" s="14"/>
      <c r="CHI587" s="14"/>
      <c r="CHJ587" s="14"/>
      <c r="CHK587" s="14"/>
      <c r="CHL587" s="14"/>
      <c r="CHM587" s="14"/>
      <c r="CHN587" s="14"/>
      <c r="CHO587" s="14"/>
      <c r="CHP587" s="14"/>
      <c r="CHQ587" s="14"/>
      <c r="CHR587" s="14"/>
      <c r="CHS587" s="14"/>
      <c r="CHT587" s="14"/>
      <c r="CHU587" s="14"/>
      <c r="CHV587" s="14"/>
      <c r="CHW587" s="14"/>
      <c r="CHX587" s="14"/>
      <c r="CHY587" s="14"/>
      <c r="CHZ587" s="14"/>
      <c r="CIA587" s="14"/>
      <c r="CIB587" s="14"/>
      <c r="CIC587" s="14"/>
      <c r="CID587" s="14"/>
      <c r="CIE587" s="14"/>
      <c r="CIF587" s="14"/>
      <c r="CIG587" s="14"/>
      <c r="CIH587" s="14"/>
      <c r="CII587" s="14"/>
      <c r="CIJ587" s="14"/>
      <c r="CIK587" s="14"/>
      <c r="CIL587" s="14"/>
      <c r="CIM587" s="14"/>
      <c r="CIN587" s="14"/>
      <c r="CIO587" s="14"/>
      <c r="CIP587" s="14"/>
      <c r="CIQ587" s="14"/>
      <c r="CIR587" s="14"/>
      <c r="CIS587" s="14"/>
      <c r="CIT587" s="14"/>
      <c r="CIU587" s="14"/>
      <c r="CIV587" s="14"/>
      <c r="CIW587" s="14"/>
      <c r="CIX587" s="14"/>
      <c r="CIY587" s="14"/>
      <c r="CIZ587" s="14"/>
      <c r="CJA587" s="14"/>
      <c r="CJB587" s="14"/>
      <c r="CJC587" s="14"/>
      <c r="CJD587" s="14"/>
      <c r="CJE587" s="14"/>
      <c r="CJF587" s="14"/>
      <c r="CJG587" s="14"/>
      <c r="CJH587" s="14"/>
      <c r="CJI587" s="14"/>
      <c r="CJJ587" s="14"/>
      <c r="CJK587" s="14"/>
      <c r="CJL587" s="14"/>
      <c r="CJM587" s="14"/>
      <c r="CJN587" s="14"/>
      <c r="CJO587" s="14"/>
      <c r="CJP587" s="14"/>
      <c r="CJQ587" s="14"/>
      <c r="CJR587" s="14"/>
      <c r="CJS587" s="14"/>
      <c r="CJT587" s="14"/>
      <c r="CJU587" s="14"/>
      <c r="CJV587" s="14"/>
      <c r="CJW587" s="14"/>
      <c r="CJX587" s="14"/>
      <c r="CJY587" s="14"/>
      <c r="CJZ587" s="14"/>
      <c r="CKA587" s="14"/>
      <c r="CKB587" s="14"/>
      <c r="CKC587" s="14"/>
      <c r="CKD587" s="14"/>
      <c r="CKE587" s="14"/>
      <c r="CKF587" s="14"/>
      <c r="CKG587" s="14"/>
      <c r="CKH587" s="14"/>
      <c r="CKI587" s="14"/>
      <c r="CKJ587" s="14"/>
      <c r="CKK587" s="14"/>
      <c r="CKL587" s="14"/>
      <c r="CKM587" s="14"/>
      <c r="CKN587" s="14"/>
      <c r="CKO587" s="14"/>
      <c r="CKP587" s="14"/>
      <c r="CKQ587" s="14"/>
      <c r="CKR587" s="14"/>
      <c r="CKS587" s="14"/>
      <c r="CKT587" s="14"/>
      <c r="CKU587" s="14"/>
      <c r="CKV587" s="14"/>
      <c r="CKW587" s="14"/>
      <c r="CKX587" s="14"/>
      <c r="CKY587" s="14"/>
      <c r="CKZ587" s="14"/>
      <c r="CLA587" s="14"/>
      <c r="CLB587" s="14"/>
      <c r="CLC587" s="14"/>
      <c r="CLD587" s="14"/>
      <c r="CLE587" s="14"/>
      <c r="CLF587" s="14"/>
      <c r="CLG587" s="14"/>
      <c r="CLH587" s="14"/>
      <c r="CLI587" s="14"/>
      <c r="CLJ587" s="14"/>
      <c r="CLK587" s="14"/>
      <c r="CLL587" s="14"/>
      <c r="CLM587" s="14"/>
      <c r="CLN587" s="14"/>
      <c r="CLO587" s="14"/>
      <c r="CLP587" s="14"/>
      <c r="CLQ587" s="14"/>
      <c r="CLR587" s="14"/>
      <c r="CLS587" s="14"/>
      <c r="CLT587" s="14"/>
      <c r="CLU587" s="14"/>
      <c r="CLV587" s="14"/>
      <c r="CLW587" s="14"/>
      <c r="CLX587" s="14"/>
      <c r="CLY587" s="14"/>
      <c r="CLZ587" s="14"/>
      <c r="CMA587" s="14"/>
      <c r="CMB587" s="14"/>
      <c r="CMC587" s="14"/>
      <c r="CMD587" s="14"/>
      <c r="CME587" s="14"/>
      <c r="CMF587" s="14"/>
      <c r="CMG587" s="14"/>
      <c r="CMH587" s="14"/>
      <c r="CMI587" s="14"/>
      <c r="CMJ587" s="14"/>
      <c r="CMK587" s="14"/>
      <c r="CML587" s="14"/>
      <c r="CMM587" s="14"/>
      <c r="CMN587" s="14"/>
      <c r="CMO587" s="14"/>
      <c r="CMP587" s="14"/>
      <c r="CMQ587" s="14"/>
      <c r="CMR587" s="14"/>
      <c r="CMS587" s="14"/>
      <c r="CMT587" s="14"/>
      <c r="CMU587" s="14"/>
      <c r="CMV587" s="14"/>
      <c r="CMW587" s="14"/>
      <c r="CMX587" s="14"/>
      <c r="CMY587" s="14"/>
      <c r="CMZ587" s="14"/>
      <c r="CNA587" s="14"/>
      <c r="CNB587" s="14"/>
      <c r="CNC587" s="14"/>
      <c r="CND587" s="14"/>
      <c r="CNE587" s="14"/>
      <c r="CNF587" s="14"/>
      <c r="CNG587" s="14"/>
      <c r="CNH587" s="14"/>
      <c r="CNI587" s="14"/>
      <c r="CNJ587" s="14"/>
      <c r="CNK587" s="14"/>
      <c r="CNL587" s="14"/>
      <c r="CNM587" s="14"/>
      <c r="CNN587" s="14"/>
      <c r="CNO587" s="14"/>
      <c r="CNP587" s="14"/>
      <c r="CNQ587" s="14"/>
      <c r="CNR587" s="14"/>
      <c r="CNS587" s="14"/>
      <c r="CNT587" s="14"/>
      <c r="CNU587" s="14"/>
      <c r="CNV587" s="14"/>
      <c r="CNW587" s="14"/>
      <c r="CNX587" s="14"/>
      <c r="CNY587" s="14"/>
      <c r="CNZ587" s="14"/>
      <c r="COA587" s="14"/>
      <c r="COB587" s="14"/>
      <c r="COC587" s="14"/>
      <c r="COD587" s="14"/>
      <c r="COE587" s="14"/>
      <c r="COF587" s="14"/>
      <c r="COG587" s="14"/>
      <c r="COH587" s="14"/>
      <c r="COI587" s="14"/>
      <c r="COJ587" s="14"/>
      <c r="COK587" s="14"/>
      <c r="COL587" s="14"/>
      <c r="COM587" s="14"/>
      <c r="CON587" s="14"/>
      <c r="COO587" s="14"/>
      <c r="COP587" s="14"/>
      <c r="COQ587" s="14"/>
      <c r="COR587" s="14"/>
      <c r="COS587" s="14"/>
      <c r="COT587" s="14"/>
      <c r="COU587" s="14"/>
      <c r="COV587" s="14"/>
      <c r="COW587" s="14"/>
      <c r="COX587" s="14"/>
      <c r="COY587" s="14"/>
      <c r="COZ587" s="14"/>
      <c r="CPA587" s="14"/>
      <c r="CPB587" s="14"/>
      <c r="CPC587" s="14"/>
      <c r="CPD587" s="14"/>
      <c r="CPE587" s="14"/>
      <c r="CPF587" s="14"/>
      <c r="CPG587" s="14"/>
      <c r="CPH587" s="14"/>
      <c r="CPI587" s="14"/>
      <c r="CPJ587" s="14"/>
      <c r="CPK587" s="14"/>
      <c r="CPL587" s="14"/>
      <c r="CPM587" s="14"/>
      <c r="CPN587" s="14"/>
      <c r="CPO587" s="14"/>
      <c r="CPP587" s="14"/>
      <c r="CPQ587" s="14"/>
      <c r="CPR587" s="14"/>
      <c r="CPS587" s="14"/>
      <c r="CPT587" s="14"/>
      <c r="CPU587" s="14"/>
      <c r="CPV587" s="14"/>
      <c r="CPW587" s="14"/>
      <c r="CPX587" s="14"/>
      <c r="CPY587" s="14"/>
      <c r="CPZ587" s="14"/>
      <c r="CQA587" s="14"/>
      <c r="CQB587" s="14"/>
      <c r="CQC587" s="14"/>
      <c r="CQD587" s="14"/>
      <c r="CQE587" s="14"/>
      <c r="CQF587" s="14"/>
      <c r="CQG587" s="14"/>
      <c r="CQH587" s="14"/>
      <c r="CQI587" s="14"/>
      <c r="CQJ587" s="14"/>
      <c r="CQK587" s="14"/>
      <c r="CQL587" s="14"/>
      <c r="CQM587" s="14"/>
      <c r="CQN587" s="14"/>
      <c r="CQO587" s="14"/>
      <c r="CQP587" s="14"/>
      <c r="CQQ587" s="14"/>
      <c r="CQR587" s="14"/>
      <c r="CQS587" s="14"/>
      <c r="CQT587" s="14"/>
      <c r="CQU587" s="14"/>
      <c r="CQV587" s="14"/>
      <c r="CQW587" s="14"/>
      <c r="CQX587" s="14"/>
      <c r="CQY587" s="14"/>
      <c r="CQZ587" s="14"/>
      <c r="CRA587" s="14"/>
      <c r="CRB587" s="14"/>
      <c r="CRC587" s="14"/>
      <c r="CRD587" s="14"/>
      <c r="CRE587" s="14"/>
      <c r="CRF587" s="14"/>
      <c r="CRG587" s="14"/>
      <c r="CRH587" s="14"/>
      <c r="CRI587" s="14"/>
      <c r="CRJ587" s="14"/>
      <c r="CRK587" s="14"/>
      <c r="CRL587" s="14"/>
      <c r="CRM587" s="14"/>
      <c r="CRN587" s="14"/>
      <c r="CRO587" s="14"/>
      <c r="CRP587" s="14"/>
      <c r="CRQ587" s="14"/>
      <c r="CRR587" s="14"/>
      <c r="CRS587" s="14"/>
      <c r="CRT587" s="14"/>
      <c r="CRU587" s="14"/>
      <c r="CRV587" s="14"/>
      <c r="CRW587" s="14"/>
      <c r="CRX587" s="14"/>
      <c r="CRY587" s="14"/>
      <c r="CRZ587" s="14"/>
      <c r="CSA587" s="14"/>
      <c r="CSB587" s="14"/>
      <c r="CSC587" s="14"/>
      <c r="CSD587" s="14"/>
      <c r="CSE587" s="14"/>
      <c r="CSF587" s="14"/>
      <c r="CSG587" s="14"/>
      <c r="CSH587" s="14"/>
      <c r="CSI587" s="14"/>
      <c r="CSJ587" s="14"/>
      <c r="CSK587" s="14"/>
      <c r="CSL587" s="14"/>
      <c r="CSM587" s="14"/>
      <c r="CSN587" s="14"/>
      <c r="CSO587" s="14"/>
      <c r="CSP587" s="14"/>
      <c r="CSQ587" s="14"/>
      <c r="CSR587" s="14"/>
      <c r="CSS587" s="14"/>
      <c r="CST587" s="14"/>
      <c r="CSU587" s="14"/>
      <c r="CSV587" s="14"/>
      <c r="CSW587" s="14"/>
      <c r="CSX587" s="14"/>
      <c r="CSY587" s="14"/>
      <c r="CSZ587" s="14"/>
      <c r="CTA587" s="14"/>
      <c r="CTB587" s="14"/>
      <c r="CTC587" s="14"/>
      <c r="CTD587" s="14"/>
      <c r="CTE587" s="14"/>
      <c r="CTF587" s="14"/>
      <c r="CTG587" s="14"/>
      <c r="CTH587" s="14"/>
      <c r="CTI587" s="14"/>
      <c r="CTJ587" s="14"/>
      <c r="CTK587" s="14"/>
      <c r="CTL587" s="14"/>
      <c r="CTM587" s="14"/>
      <c r="CTN587" s="14"/>
      <c r="CTO587" s="14"/>
      <c r="CTP587" s="14"/>
      <c r="CTQ587" s="14"/>
      <c r="CTR587" s="14"/>
      <c r="CTS587" s="14"/>
      <c r="CTT587" s="14"/>
      <c r="CTU587" s="14"/>
      <c r="CTV587" s="14"/>
      <c r="CTW587" s="14"/>
      <c r="CTX587" s="14"/>
      <c r="CTY587" s="14"/>
      <c r="CTZ587" s="14"/>
      <c r="CUA587" s="14"/>
      <c r="CUB587" s="14"/>
      <c r="CUC587" s="14"/>
      <c r="CUD587" s="14"/>
      <c r="CUE587" s="14"/>
      <c r="CUF587" s="14"/>
      <c r="CUG587" s="14"/>
      <c r="CUH587" s="14"/>
      <c r="CUI587" s="14"/>
      <c r="CUJ587" s="14"/>
      <c r="CUK587" s="14"/>
      <c r="CUL587" s="14"/>
      <c r="CUM587" s="14"/>
      <c r="CUN587" s="14"/>
      <c r="CUO587" s="14"/>
      <c r="CUP587" s="14"/>
      <c r="CUQ587" s="14"/>
      <c r="CUR587" s="14"/>
      <c r="CUS587" s="14"/>
      <c r="CUT587" s="14"/>
      <c r="CUU587" s="14"/>
      <c r="CUV587" s="14"/>
      <c r="CUW587" s="14"/>
      <c r="CUX587" s="14"/>
      <c r="CUY587" s="14"/>
      <c r="CUZ587" s="14"/>
      <c r="CVA587" s="14"/>
      <c r="CVB587" s="14"/>
      <c r="CVC587" s="14"/>
      <c r="CVD587" s="14"/>
      <c r="CVE587" s="14"/>
      <c r="CVF587" s="14"/>
      <c r="CVG587" s="14"/>
      <c r="CVH587" s="14"/>
      <c r="CVI587" s="14"/>
      <c r="CVJ587" s="14"/>
      <c r="CVK587" s="14"/>
      <c r="CVL587" s="14"/>
      <c r="CVM587" s="14"/>
      <c r="CVN587" s="14"/>
      <c r="CVO587" s="14"/>
      <c r="CVP587" s="14"/>
      <c r="CVQ587" s="14"/>
      <c r="CVR587" s="14"/>
      <c r="CVS587" s="14"/>
      <c r="CVT587" s="14"/>
      <c r="CVU587" s="14"/>
      <c r="CVV587" s="14"/>
      <c r="CVW587" s="14"/>
      <c r="CVX587" s="14"/>
      <c r="CVY587" s="14"/>
      <c r="CVZ587" s="14"/>
      <c r="CWA587" s="14"/>
      <c r="CWB587" s="14"/>
      <c r="CWC587" s="14"/>
      <c r="CWD587" s="14"/>
      <c r="CWE587" s="14"/>
      <c r="CWF587" s="14"/>
      <c r="CWG587" s="14"/>
      <c r="CWH587" s="14"/>
      <c r="CWI587" s="14"/>
      <c r="CWJ587" s="14"/>
      <c r="CWK587" s="14"/>
      <c r="CWL587" s="14"/>
      <c r="CWM587" s="14"/>
      <c r="CWN587" s="14"/>
      <c r="CWO587" s="14"/>
      <c r="CWP587" s="14"/>
      <c r="CWQ587" s="14"/>
      <c r="CWR587" s="14"/>
      <c r="CWS587" s="14"/>
      <c r="CWT587" s="14"/>
      <c r="CWU587" s="14"/>
      <c r="CWV587" s="14"/>
      <c r="CWW587" s="14"/>
      <c r="CWX587" s="14"/>
      <c r="CWY587" s="14"/>
      <c r="CWZ587" s="14"/>
      <c r="CXA587" s="14"/>
      <c r="CXB587" s="14"/>
      <c r="CXC587" s="14"/>
      <c r="CXD587" s="14"/>
      <c r="CXE587" s="14"/>
      <c r="CXF587" s="14"/>
      <c r="CXG587" s="14"/>
      <c r="CXH587" s="14"/>
      <c r="CXI587" s="14"/>
      <c r="CXJ587" s="14"/>
      <c r="CXK587" s="14"/>
      <c r="CXL587" s="14"/>
      <c r="CXM587" s="14"/>
      <c r="CXN587" s="14"/>
      <c r="CXO587" s="14"/>
      <c r="CXP587" s="14"/>
      <c r="CXQ587" s="14"/>
      <c r="CXR587" s="14"/>
      <c r="CXS587" s="14"/>
      <c r="CXT587" s="14"/>
      <c r="CXU587" s="14"/>
      <c r="CXV587" s="14"/>
      <c r="CXW587" s="14"/>
      <c r="CXX587" s="14"/>
      <c r="CXY587" s="14"/>
      <c r="CXZ587" s="14"/>
      <c r="CYA587" s="14"/>
      <c r="CYB587" s="14"/>
      <c r="CYC587" s="14"/>
      <c r="CYD587" s="14"/>
      <c r="CYE587" s="14"/>
      <c r="CYF587" s="14"/>
      <c r="CYG587" s="14"/>
      <c r="CYH587" s="14"/>
      <c r="CYI587" s="14"/>
      <c r="CYJ587" s="14"/>
      <c r="CYK587" s="14"/>
      <c r="CYL587" s="14"/>
      <c r="CYM587" s="14"/>
      <c r="CYN587" s="14"/>
      <c r="CYO587" s="14"/>
      <c r="CYP587" s="14"/>
      <c r="CYQ587" s="14"/>
      <c r="CYR587" s="14"/>
      <c r="CYS587" s="14"/>
      <c r="CYT587" s="14"/>
      <c r="CYU587" s="14"/>
      <c r="CYV587" s="14"/>
      <c r="CYW587" s="14"/>
      <c r="CYX587" s="14"/>
      <c r="CYY587" s="14"/>
      <c r="CYZ587" s="14"/>
      <c r="CZA587" s="14"/>
      <c r="CZB587" s="14"/>
      <c r="CZC587" s="14"/>
      <c r="CZD587" s="14"/>
      <c r="CZE587" s="14"/>
      <c r="CZF587" s="14"/>
      <c r="CZG587" s="14"/>
      <c r="CZH587" s="14"/>
      <c r="CZI587" s="14"/>
      <c r="CZJ587" s="14"/>
      <c r="CZK587" s="14"/>
      <c r="CZL587" s="14"/>
      <c r="CZM587" s="14"/>
      <c r="CZN587" s="14"/>
      <c r="CZO587" s="14"/>
      <c r="CZP587" s="14"/>
      <c r="CZQ587" s="14"/>
      <c r="CZR587" s="14"/>
      <c r="CZS587" s="14"/>
      <c r="CZT587" s="14"/>
      <c r="CZU587" s="14"/>
      <c r="CZV587" s="14"/>
      <c r="CZW587" s="14"/>
      <c r="CZX587" s="14"/>
      <c r="CZY587" s="14"/>
      <c r="CZZ587" s="14"/>
      <c r="DAA587" s="14"/>
      <c r="DAB587" s="14"/>
      <c r="DAC587" s="14"/>
      <c r="DAD587" s="14"/>
      <c r="DAE587" s="14"/>
      <c r="DAF587" s="14"/>
      <c r="DAG587" s="14"/>
      <c r="DAH587" s="14"/>
      <c r="DAI587" s="14"/>
      <c r="DAJ587" s="14"/>
      <c r="DAK587" s="14"/>
      <c r="DAL587" s="14"/>
      <c r="DAM587" s="14"/>
      <c r="DAN587" s="14"/>
      <c r="DAO587" s="14"/>
      <c r="DAP587" s="14"/>
      <c r="DAQ587" s="14"/>
      <c r="DAR587" s="14"/>
      <c r="DAS587" s="14"/>
      <c r="DAT587" s="14"/>
      <c r="DAU587" s="14"/>
      <c r="DAV587" s="14"/>
      <c r="DAW587" s="14"/>
      <c r="DAX587" s="14"/>
      <c r="DAY587" s="14"/>
      <c r="DAZ587" s="14"/>
      <c r="DBA587" s="14"/>
      <c r="DBB587" s="14"/>
      <c r="DBC587" s="14"/>
      <c r="DBD587" s="14"/>
      <c r="DBE587" s="14"/>
      <c r="DBF587" s="14"/>
      <c r="DBG587" s="14"/>
      <c r="DBH587" s="14"/>
      <c r="DBI587" s="14"/>
      <c r="DBJ587" s="14"/>
      <c r="DBK587" s="14"/>
      <c r="DBL587" s="14"/>
      <c r="DBM587" s="14"/>
      <c r="DBN587" s="14"/>
      <c r="DBO587" s="14"/>
      <c r="DBP587" s="14"/>
      <c r="DBQ587" s="14"/>
      <c r="DBR587" s="14"/>
      <c r="DBS587" s="14"/>
      <c r="DBT587" s="14"/>
      <c r="DBU587" s="14"/>
      <c r="DBV587" s="14"/>
      <c r="DBW587" s="14"/>
      <c r="DBX587" s="14"/>
      <c r="DBY587" s="14"/>
      <c r="DBZ587" s="14"/>
      <c r="DCA587" s="14"/>
      <c r="DCB587" s="14"/>
      <c r="DCC587" s="14"/>
      <c r="DCD587" s="14"/>
      <c r="DCE587" s="14"/>
      <c r="DCF587" s="14"/>
      <c r="DCG587" s="14"/>
      <c r="DCH587" s="14"/>
      <c r="DCI587" s="14"/>
      <c r="DCJ587" s="14"/>
      <c r="DCK587" s="14"/>
      <c r="DCL587" s="14"/>
      <c r="DCM587" s="14"/>
      <c r="DCN587" s="14"/>
      <c r="DCO587" s="14"/>
      <c r="DCP587" s="14"/>
      <c r="DCQ587" s="14"/>
      <c r="DCR587" s="14"/>
      <c r="DCS587" s="14"/>
      <c r="DCT587" s="14"/>
      <c r="DCU587" s="14"/>
      <c r="DCV587" s="14"/>
      <c r="DCW587" s="14"/>
      <c r="DCX587" s="14"/>
      <c r="DCY587" s="14"/>
      <c r="DCZ587" s="14"/>
      <c r="DDA587" s="14"/>
      <c r="DDB587" s="14"/>
      <c r="DDC587" s="14"/>
      <c r="DDD587" s="14"/>
      <c r="DDE587" s="14"/>
      <c r="DDF587" s="14"/>
      <c r="DDG587" s="14"/>
      <c r="DDH587" s="14"/>
      <c r="DDI587" s="14"/>
      <c r="DDJ587" s="14"/>
      <c r="DDK587" s="14"/>
      <c r="DDL587" s="14"/>
      <c r="DDM587" s="14"/>
      <c r="DDN587" s="14"/>
      <c r="DDO587" s="14"/>
      <c r="DDP587" s="14"/>
      <c r="DDQ587" s="14"/>
      <c r="DDR587" s="14"/>
      <c r="DDS587" s="14"/>
      <c r="DDT587" s="14"/>
      <c r="DDU587" s="14"/>
      <c r="DDV587" s="14"/>
      <c r="DDW587" s="14"/>
      <c r="DDX587" s="14"/>
      <c r="DDY587" s="14"/>
      <c r="DDZ587" s="14"/>
      <c r="DEA587" s="14"/>
      <c r="DEB587" s="14"/>
      <c r="DEC587" s="14"/>
      <c r="DED587" s="14"/>
      <c r="DEE587" s="14"/>
      <c r="DEF587" s="14"/>
      <c r="DEG587" s="14"/>
      <c r="DEH587" s="14"/>
      <c r="DEI587" s="14"/>
      <c r="DEJ587" s="14"/>
      <c r="DEK587" s="14"/>
      <c r="DEL587" s="14"/>
      <c r="DEM587" s="14"/>
      <c r="DEN587" s="14"/>
      <c r="DEO587" s="14"/>
      <c r="DEP587" s="14"/>
      <c r="DEQ587" s="14"/>
      <c r="DER587" s="14"/>
      <c r="DES587" s="14"/>
      <c r="DET587" s="14"/>
      <c r="DEU587" s="14"/>
      <c r="DEV587" s="14"/>
      <c r="DEW587" s="14"/>
      <c r="DEX587" s="14"/>
      <c r="DEY587" s="14"/>
      <c r="DEZ587" s="14"/>
      <c r="DFA587" s="14"/>
      <c r="DFB587" s="14"/>
      <c r="DFC587" s="14"/>
      <c r="DFD587" s="14"/>
      <c r="DFE587" s="14"/>
      <c r="DFF587" s="14"/>
      <c r="DFG587" s="14"/>
      <c r="DFH587" s="14"/>
      <c r="DFI587" s="14"/>
      <c r="DFJ587" s="14"/>
      <c r="DFK587" s="14"/>
      <c r="DFL587" s="14"/>
      <c r="DFM587" s="14"/>
      <c r="DFN587" s="14"/>
      <c r="DFO587" s="14"/>
      <c r="DFP587" s="14"/>
      <c r="DFQ587" s="14"/>
      <c r="DFR587" s="14"/>
      <c r="DFS587" s="14"/>
      <c r="DFT587" s="14"/>
      <c r="DFU587" s="14"/>
      <c r="DFV587" s="14"/>
      <c r="DFW587" s="14"/>
      <c r="DFX587" s="14"/>
      <c r="DFY587" s="14"/>
      <c r="DFZ587" s="14"/>
      <c r="DGA587" s="14"/>
      <c r="DGB587" s="14"/>
      <c r="DGC587" s="14"/>
      <c r="DGD587" s="14"/>
      <c r="DGE587" s="14"/>
      <c r="DGF587" s="14"/>
      <c r="DGG587" s="14"/>
      <c r="DGH587" s="14"/>
      <c r="DGI587" s="14"/>
      <c r="DGJ587" s="14"/>
      <c r="DGK587" s="14"/>
      <c r="DGL587" s="14"/>
      <c r="DGM587" s="14"/>
      <c r="DGN587" s="14"/>
      <c r="DGO587" s="14"/>
      <c r="DGP587" s="14"/>
      <c r="DGQ587" s="14"/>
      <c r="DGR587" s="14"/>
      <c r="DGS587" s="14"/>
      <c r="DGT587" s="14"/>
      <c r="DGU587" s="14"/>
      <c r="DGV587" s="14"/>
      <c r="DGW587" s="14"/>
      <c r="DGX587" s="14"/>
      <c r="DGY587" s="14"/>
      <c r="DGZ587" s="14"/>
      <c r="DHA587" s="14"/>
      <c r="DHB587" s="14"/>
      <c r="DHC587" s="14"/>
      <c r="DHD587" s="14"/>
      <c r="DHE587" s="14"/>
      <c r="DHF587" s="14"/>
      <c r="DHG587" s="14"/>
      <c r="DHH587" s="14"/>
      <c r="DHI587" s="14"/>
      <c r="DHJ587" s="14"/>
      <c r="DHK587" s="14"/>
      <c r="DHL587" s="14"/>
      <c r="DHM587" s="14"/>
      <c r="DHN587" s="14"/>
      <c r="DHO587" s="14"/>
      <c r="DHP587" s="14"/>
      <c r="DHQ587" s="14"/>
      <c r="DHR587" s="14"/>
      <c r="DHS587" s="14"/>
      <c r="DHT587" s="14"/>
      <c r="DHU587" s="14"/>
      <c r="DHV587" s="14"/>
      <c r="DHW587" s="14"/>
      <c r="DHX587" s="14"/>
      <c r="DHY587" s="14"/>
      <c r="DHZ587" s="14"/>
      <c r="DIA587" s="14"/>
      <c r="DIB587" s="14"/>
      <c r="DIC587" s="14"/>
      <c r="DID587" s="14"/>
      <c r="DIE587" s="14"/>
      <c r="DIF587" s="14"/>
      <c r="DIG587" s="14"/>
      <c r="DIH587" s="14"/>
      <c r="DII587" s="14"/>
      <c r="DIJ587" s="14"/>
      <c r="DIK587" s="14"/>
      <c r="DIL587" s="14"/>
      <c r="DIM587" s="14"/>
      <c r="DIN587" s="14"/>
      <c r="DIO587" s="14"/>
      <c r="DIP587" s="14"/>
      <c r="DIQ587" s="14"/>
      <c r="DIR587" s="14"/>
      <c r="DIS587" s="14"/>
      <c r="DIT587" s="14"/>
      <c r="DIU587" s="14"/>
      <c r="DIV587" s="14"/>
      <c r="DIW587" s="14"/>
      <c r="DIX587" s="14"/>
      <c r="DIY587" s="14"/>
      <c r="DIZ587" s="14"/>
      <c r="DJA587" s="14"/>
      <c r="DJB587" s="14"/>
      <c r="DJC587" s="14"/>
      <c r="DJD587" s="14"/>
      <c r="DJE587" s="14"/>
      <c r="DJF587" s="14"/>
      <c r="DJG587" s="14"/>
      <c r="DJH587" s="14"/>
      <c r="DJI587" s="14"/>
      <c r="DJJ587" s="14"/>
      <c r="DJK587" s="14"/>
      <c r="DJL587" s="14"/>
      <c r="DJM587" s="14"/>
      <c r="DJN587" s="14"/>
      <c r="DJO587" s="14"/>
      <c r="DJP587" s="14"/>
      <c r="DJQ587" s="14"/>
      <c r="DJR587" s="14"/>
      <c r="DJS587" s="14"/>
      <c r="DJT587" s="14"/>
      <c r="DJU587" s="14"/>
      <c r="DJV587" s="14"/>
      <c r="DJW587" s="14"/>
      <c r="DJX587" s="14"/>
      <c r="DJY587" s="14"/>
      <c r="DJZ587" s="14"/>
      <c r="DKA587" s="14"/>
      <c r="DKB587" s="14"/>
      <c r="DKC587" s="14"/>
      <c r="DKD587" s="14"/>
      <c r="DKE587" s="14"/>
      <c r="DKF587" s="14"/>
      <c r="DKG587" s="14"/>
      <c r="DKH587" s="14"/>
      <c r="DKI587" s="14"/>
      <c r="DKJ587" s="14"/>
      <c r="DKK587" s="14"/>
      <c r="DKL587" s="14"/>
      <c r="DKM587" s="14"/>
      <c r="DKN587" s="14"/>
      <c r="DKO587" s="14"/>
      <c r="DKP587" s="14"/>
      <c r="DKQ587" s="14"/>
      <c r="DKR587" s="14"/>
      <c r="DKS587" s="14"/>
      <c r="DKT587" s="14"/>
      <c r="DKU587" s="14"/>
      <c r="DKV587" s="14"/>
      <c r="DKW587" s="14"/>
      <c r="DKX587" s="14"/>
      <c r="DKY587" s="14"/>
      <c r="DKZ587" s="14"/>
      <c r="DLA587" s="14"/>
      <c r="DLB587" s="14"/>
      <c r="DLC587" s="14"/>
      <c r="DLD587" s="14"/>
      <c r="DLE587" s="14"/>
      <c r="DLF587" s="14"/>
      <c r="DLG587" s="14"/>
      <c r="DLH587" s="14"/>
      <c r="DLI587" s="14"/>
      <c r="DLJ587" s="14"/>
      <c r="DLK587" s="14"/>
      <c r="DLL587" s="14"/>
      <c r="DLM587" s="14"/>
      <c r="DLN587" s="14"/>
      <c r="DLO587" s="14"/>
      <c r="DLP587" s="14"/>
      <c r="DLQ587" s="14"/>
      <c r="DLR587" s="14"/>
      <c r="DLS587" s="14"/>
      <c r="DLT587" s="14"/>
      <c r="DLU587" s="14"/>
      <c r="DLV587" s="14"/>
      <c r="DLW587" s="14"/>
      <c r="DLX587" s="14"/>
      <c r="DLY587" s="14"/>
      <c r="DLZ587" s="14"/>
      <c r="DMA587" s="14"/>
      <c r="DMB587" s="14"/>
      <c r="DMC587" s="14"/>
      <c r="DMD587" s="14"/>
      <c r="DME587" s="14"/>
      <c r="DMF587" s="14"/>
      <c r="DMG587" s="14"/>
      <c r="DMH587" s="14"/>
      <c r="DMI587" s="14"/>
      <c r="DMJ587" s="14"/>
      <c r="DMK587" s="14"/>
      <c r="DML587" s="14"/>
      <c r="DMM587" s="14"/>
      <c r="DMN587" s="14"/>
      <c r="DMO587" s="14"/>
      <c r="DMP587" s="14"/>
      <c r="DMQ587" s="14"/>
      <c r="DMR587" s="14"/>
      <c r="DMS587" s="14"/>
      <c r="DMT587" s="14"/>
      <c r="DMU587" s="14"/>
      <c r="DMV587" s="14"/>
      <c r="DMW587" s="14"/>
      <c r="DMX587" s="14"/>
      <c r="DMY587" s="14"/>
      <c r="DMZ587" s="14"/>
      <c r="DNA587" s="14"/>
      <c r="DNB587" s="14"/>
      <c r="DNC587" s="14"/>
      <c r="DND587" s="14"/>
      <c r="DNE587" s="14"/>
      <c r="DNF587" s="14"/>
      <c r="DNG587" s="14"/>
      <c r="DNH587" s="14"/>
      <c r="DNI587" s="14"/>
      <c r="DNJ587" s="14"/>
      <c r="DNK587" s="14"/>
      <c r="DNL587" s="14"/>
      <c r="DNM587" s="14"/>
      <c r="DNN587" s="14"/>
      <c r="DNO587" s="14"/>
      <c r="DNP587" s="14"/>
      <c r="DNQ587" s="14"/>
      <c r="DNR587" s="14"/>
      <c r="DNS587" s="14"/>
      <c r="DNT587" s="14"/>
      <c r="DNU587" s="14"/>
      <c r="DNV587" s="14"/>
      <c r="DNW587" s="14"/>
      <c r="DNX587" s="14"/>
      <c r="DNY587" s="14"/>
      <c r="DNZ587" s="14"/>
      <c r="DOA587" s="14"/>
      <c r="DOB587" s="14"/>
      <c r="DOC587" s="14"/>
      <c r="DOD587" s="14"/>
      <c r="DOE587" s="14"/>
      <c r="DOF587" s="14"/>
      <c r="DOG587" s="14"/>
      <c r="DOH587" s="14"/>
      <c r="DOI587" s="14"/>
      <c r="DOJ587" s="14"/>
      <c r="DOK587" s="14"/>
      <c r="DOL587" s="14"/>
      <c r="DOM587" s="14"/>
      <c r="DON587" s="14"/>
      <c r="DOO587" s="14"/>
      <c r="DOP587" s="14"/>
      <c r="DOQ587" s="14"/>
      <c r="DOR587" s="14"/>
      <c r="DOS587" s="14"/>
      <c r="DOT587" s="14"/>
      <c r="DOU587" s="14"/>
      <c r="DOV587" s="14"/>
      <c r="DOW587" s="14"/>
      <c r="DOX587" s="14"/>
      <c r="DOY587" s="14"/>
      <c r="DOZ587" s="14"/>
      <c r="DPA587" s="14"/>
      <c r="DPB587" s="14"/>
      <c r="DPC587" s="14"/>
      <c r="DPD587" s="14"/>
      <c r="DPE587" s="14"/>
      <c r="DPF587" s="14"/>
      <c r="DPG587" s="14"/>
      <c r="DPH587" s="14"/>
      <c r="DPI587" s="14"/>
      <c r="DPJ587" s="14"/>
      <c r="DPK587" s="14"/>
      <c r="DPL587" s="14"/>
      <c r="DPM587" s="14"/>
      <c r="DPN587" s="14"/>
      <c r="DPO587" s="14"/>
      <c r="DPP587" s="14"/>
      <c r="DPQ587" s="14"/>
      <c r="DPR587" s="14"/>
      <c r="DPS587" s="14"/>
      <c r="DPT587" s="14"/>
      <c r="DPU587" s="14"/>
      <c r="DPV587" s="14"/>
      <c r="DPW587" s="14"/>
      <c r="DPX587" s="14"/>
      <c r="DPY587" s="14"/>
      <c r="DPZ587" s="14"/>
      <c r="DQA587" s="14"/>
      <c r="DQB587" s="14"/>
      <c r="DQC587" s="14"/>
      <c r="DQD587" s="14"/>
      <c r="DQE587" s="14"/>
      <c r="DQF587" s="14"/>
      <c r="DQG587" s="14"/>
      <c r="DQH587" s="14"/>
      <c r="DQI587" s="14"/>
      <c r="DQJ587" s="14"/>
      <c r="DQK587" s="14"/>
      <c r="DQL587" s="14"/>
      <c r="DQM587" s="14"/>
      <c r="DQN587" s="14"/>
      <c r="DQO587" s="14"/>
      <c r="DQP587" s="14"/>
      <c r="DQQ587" s="14"/>
      <c r="DQR587" s="14"/>
      <c r="DQS587" s="14"/>
      <c r="DQT587" s="14"/>
      <c r="DQU587" s="14"/>
      <c r="DQV587" s="14"/>
      <c r="DQW587" s="14"/>
      <c r="DQX587" s="14"/>
      <c r="DQY587" s="14"/>
      <c r="DQZ587" s="14"/>
      <c r="DRA587" s="14"/>
      <c r="DRB587" s="14"/>
      <c r="DRC587" s="14"/>
      <c r="DRD587" s="14"/>
      <c r="DRE587" s="14"/>
      <c r="DRF587" s="14"/>
      <c r="DRG587" s="14"/>
      <c r="DRH587" s="14"/>
      <c r="DRI587" s="14"/>
      <c r="DRJ587" s="14"/>
      <c r="DRK587" s="14"/>
      <c r="DRL587" s="14"/>
      <c r="DRM587" s="14"/>
      <c r="DRN587" s="14"/>
      <c r="DRO587" s="14"/>
      <c r="DRP587" s="14"/>
      <c r="DRQ587" s="14"/>
      <c r="DRR587" s="14"/>
      <c r="DRS587" s="14"/>
      <c r="DRT587" s="14"/>
      <c r="DRU587" s="14"/>
      <c r="DRV587" s="14"/>
      <c r="DRW587" s="14"/>
      <c r="DRX587" s="14"/>
      <c r="DRY587" s="14"/>
      <c r="DRZ587" s="14"/>
      <c r="DSA587" s="14"/>
      <c r="DSB587" s="14"/>
      <c r="DSC587" s="14"/>
      <c r="DSD587" s="14"/>
      <c r="DSE587" s="14"/>
      <c r="DSF587" s="14"/>
      <c r="DSG587" s="14"/>
      <c r="DSH587" s="14"/>
      <c r="DSI587" s="14"/>
      <c r="DSJ587" s="14"/>
      <c r="DSK587" s="14"/>
      <c r="DSL587" s="14"/>
      <c r="DSM587" s="14"/>
      <c r="DSN587" s="14"/>
      <c r="DSO587" s="14"/>
      <c r="DSP587" s="14"/>
      <c r="DSQ587" s="14"/>
      <c r="DSR587" s="14"/>
      <c r="DSS587" s="14"/>
      <c r="DST587" s="14"/>
      <c r="DSU587" s="14"/>
      <c r="DSV587" s="14"/>
      <c r="DSW587" s="14"/>
      <c r="DSX587" s="14"/>
      <c r="DSY587" s="14"/>
      <c r="DSZ587" s="14"/>
      <c r="DTA587" s="14"/>
      <c r="DTB587" s="14"/>
      <c r="DTC587" s="14"/>
      <c r="DTD587" s="14"/>
      <c r="DTE587" s="14"/>
      <c r="DTF587" s="14"/>
      <c r="DTG587" s="14"/>
      <c r="DTH587" s="14"/>
      <c r="DTI587" s="14"/>
      <c r="DTJ587" s="14"/>
      <c r="DTK587" s="14"/>
      <c r="DTL587" s="14"/>
      <c r="DTM587" s="14"/>
      <c r="DTN587" s="14"/>
      <c r="DTO587" s="14"/>
      <c r="DTP587" s="14"/>
      <c r="DTQ587" s="14"/>
      <c r="DTR587" s="14"/>
      <c r="DTS587" s="14"/>
      <c r="DTT587" s="14"/>
      <c r="DTU587" s="14"/>
      <c r="DTV587" s="14"/>
      <c r="DTW587" s="14"/>
      <c r="DTX587" s="14"/>
      <c r="DTY587" s="14"/>
      <c r="DTZ587" s="14"/>
      <c r="DUA587" s="14"/>
      <c r="DUB587" s="14"/>
      <c r="DUC587" s="14"/>
      <c r="DUD587" s="14"/>
      <c r="DUE587" s="14"/>
      <c r="DUF587" s="14"/>
      <c r="DUG587" s="14"/>
      <c r="DUH587" s="14"/>
      <c r="DUI587" s="14"/>
      <c r="DUJ587" s="14"/>
      <c r="DUK587" s="14"/>
      <c r="DUL587" s="14"/>
      <c r="DUM587" s="14"/>
      <c r="DUN587" s="14"/>
      <c r="DUO587" s="14"/>
      <c r="DUP587" s="14"/>
      <c r="DUQ587" s="14"/>
      <c r="DUR587" s="14"/>
      <c r="DUS587" s="14"/>
      <c r="DUT587" s="14"/>
      <c r="DUU587" s="14"/>
      <c r="DUV587" s="14"/>
      <c r="DUW587" s="14"/>
      <c r="DUX587" s="14"/>
      <c r="DUY587" s="14"/>
      <c r="DUZ587" s="14"/>
      <c r="DVA587" s="14"/>
      <c r="DVB587" s="14"/>
      <c r="DVC587" s="14"/>
      <c r="DVD587" s="14"/>
      <c r="DVE587" s="14"/>
      <c r="DVF587" s="14"/>
      <c r="DVG587" s="14"/>
      <c r="DVH587" s="14"/>
      <c r="DVI587" s="14"/>
      <c r="DVJ587" s="14"/>
      <c r="DVK587" s="14"/>
      <c r="DVL587" s="14"/>
      <c r="DVM587" s="14"/>
      <c r="DVN587" s="14"/>
      <c r="DVO587" s="14"/>
      <c r="DVP587" s="14"/>
      <c r="DVQ587" s="14"/>
      <c r="DVR587" s="14"/>
      <c r="DVS587" s="14"/>
      <c r="DVT587" s="14"/>
      <c r="DVU587" s="14"/>
      <c r="DVV587" s="14"/>
      <c r="DVW587" s="14"/>
      <c r="DVX587" s="14"/>
      <c r="DVY587" s="14"/>
      <c r="DVZ587" s="14"/>
      <c r="DWA587" s="14"/>
      <c r="DWB587" s="14"/>
      <c r="DWC587" s="14"/>
      <c r="DWD587" s="14"/>
      <c r="DWE587" s="14"/>
      <c r="DWF587" s="14"/>
      <c r="DWG587" s="14"/>
      <c r="DWH587" s="14"/>
      <c r="DWI587" s="14"/>
      <c r="DWJ587" s="14"/>
      <c r="DWK587" s="14"/>
      <c r="DWL587" s="14"/>
      <c r="DWM587" s="14"/>
      <c r="DWN587" s="14"/>
      <c r="DWO587" s="14"/>
      <c r="DWP587" s="14"/>
      <c r="DWQ587" s="14"/>
      <c r="DWR587" s="14"/>
      <c r="DWS587" s="14"/>
      <c r="DWT587" s="14"/>
      <c r="DWU587" s="14"/>
      <c r="DWV587" s="14"/>
      <c r="DWW587" s="14"/>
      <c r="DWX587" s="14"/>
      <c r="DWY587" s="14"/>
      <c r="DWZ587" s="14"/>
      <c r="DXA587" s="14"/>
      <c r="DXB587" s="14"/>
      <c r="DXC587" s="14"/>
      <c r="DXD587" s="14"/>
      <c r="DXE587" s="14"/>
      <c r="DXF587" s="14"/>
      <c r="DXG587" s="14"/>
      <c r="DXH587" s="14"/>
      <c r="DXI587" s="14"/>
      <c r="DXJ587" s="14"/>
      <c r="DXK587" s="14"/>
      <c r="DXL587" s="14"/>
      <c r="DXM587" s="14"/>
      <c r="DXN587" s="14"/>
      <c r="DXO587" s="14"/>
      <c r="DXP587" s="14"/>
      <c r="DXQ587" s="14"/>
      <c r="DXR587" s="14"/>
      <c r="DXS587" s="14"/>
      <c r="DXT587" s="14"/>
      <c r="DXU587" s="14"/>
      <c r="DXV587" s="14"/>
      <c r="DXW587" s="14"/>
      <c r="DXX587" s="14"/>
      <c r="DXY587" s="14"/>
      <c r="DXZ587" s="14"/>
      <c r="DYA587" s="14"/>
      <c r="DYB587" s="14"/>
      <c r="DYC587" s="14"/>
      <c r="DYD587" s="14"/>
      <c r="DYE587" s="14"/>
      <c r="DYF587" s="14"/>
      <c r="DYG587" s="14"/>
      <c r="DYH587" s="14"/>
      <c r="DYI587" s="14"/>
      <c r="DYJ587" s="14"/>
      <c r="DYK587" s="14"/>
      <c r="DYL587" s="14"/>
      <c r="DYM587" s="14"/>
      <c r="DYN587" s="14"/>
      <c r="DYO587" s="14"/>
      <c r="DYP587" s="14"/>
      <c r="DYQ587" s="14"/>
      <c r="DYR587" s="14"/>
      <c r="DYS587" s="14"/>
      <c r="DYT587" s="14"/>
      <c r="DYU587" s="14"/>
      <c r="DYV587" s="14"/>
      <c r="DYW587" s="14"/>
      <c r="DYX587" s="14"/>
      <c r="DYY587" s="14"/>
      <c r="DYZ587" s="14"/>
      <c r="DZA587" s="14"/>
      <c r="DZB587" s="14"/>
      <c r="DZC587" s="14"/>
      <c r="DZD587" s="14"/>
      <c r="DZE587" s="14"/>
      <c r="DZF587" s="14"/>
      <c r="DZG587" s="14"/>
      <c r="DZH587" s="14"/>
      <c r="DZI587" s="14"/>
      <c r="DZJ587" s="14"/>
      <c r="DZK587" s="14"/>
      <c r="DZL587" s="14"/>
      <c r="DZM587" s="14"/>
      <c r="DZN587" s="14"/>
      <c r="DZO587" s="14"/>
      <c r="DZP587" s="14"/>
      <c r="DZQ587" s="14"/>
      <c r="DZR587" s="14"/>
      <c r="DZS587" s="14"/>
      <c r="DZT587" s="14"/>
      <c r="DZU587" s="14"/>
      <c r="DZV587" s="14"/>
      <c r="DZW587" s="14"/>
      <c r="DZX587" s="14"/>
      <c r="DZY587" s="14"/>
      <c r="DZZ587" s="14"/>
      <c r="EAA587" s="14"/>
      <c r="EAB587" s="14"/>
      <c r="EAC587" s="14"/>
      <c r="EAD587" s="14"/>
      <c r="EAE587" s="14"/>
      <c r="EAF587" s="14"/>
      <c r="EAG587" s="14"/>
      <c r="EAH587" s="14"/>
      <c r="EAI587" s="14"/>
      <c r="EAJ587" s="14"/>
      <c r="EAK587" s="14"/>
      <c r="EAL587" s="14"/>
      <c r="EAM587" s="14"/>
      <c r="EAN587" s="14"/>
      <c r="EAO587" s="14"/>
      <c r="EAP587" s="14"/>
      <c r="EAQ587" s="14"/>
      <c r="EAR587" s="14"/>
      <c r="EAS587" s="14"/>
      <c r="EAT587" s="14"/>
      <c r="EAU587" s="14"/>
      <c r="EAV587" s="14"/>
      <c r="EAW587" s="14"/>
      <c r="EAX587" s="14"/>
      <c r="EAY587" s="14"/>
      <c r="EAZ587" s="14"/>
      <c r="EBA587" s="14"/>
      <c r="EBB587" s="14"/>
      <c r="EBC587" s="14"/>
      <c r="EBD587" s="14"/>
      <c r="EBE587" s="14"/>
      <c r="EBF587" s="14"/>
      <c r="EBG587" s="14"/>
      <c r="EBH587" s="14"/>
      <c r="EBI587" s="14"/>
      <c r="EBJ587" s="14"/>
      <c r="EBK587" s="14"/>
      <c r="EBL587" s="14"/>
      <c r="EBM587" s="14"/>
      <c r="EBN587" s="14"/>
      <c r="EBO587" s="14"/>
      <c r="EBP587" s="14"/>
      <c r="EBQ587" s="14"/>
      <c r="EBR587" s="14"/>
      <c r="EBS587" s="14"/>
      <c r="EBT587" s="14"/>
      <c r="EBU587" s="14"/>
      <c r="EBV587" s="14"/>
      <c r="EBW587" s="14"/>
      <c r="EBX587" s="14"/>
      <c r="EBY587" s="14"/>
      <c r="EBZ587" s="14"/>
      <c r="ECA587" s="14"/>
      <c r="ECB587" s="14"/>
      <c r="ECC587" s="14"/>
      <c r="ECD587" s="14"/>
      <c r="ECE587" s="14"/>
      <c r="ECF587" s="14"/>
      <c r="ECG587" s="14"/>
      <c r="ECH587" s="14"/>
      <c r="ECI587" s="14"/>
      <c r="ECJ587" s="14"/>
      <c r="ECK587" s="14"/>
      <c r="ECL587" s="14"/>
      <c r="ECM587" s="14"/>
      <c r="ECN587" s="14"/>
      <c r="ECO587" s="14"/>
      <c r="ECP587" s="14"/>
      <c r="ECQ587" s="14"/>
      <c r="ECR587" s="14"/>
      <c r="ECS587" s="14"/>
      <c r="ECT587" s="14"/>
      <c r="ECU587" s="14"/>
      <c r="ECV587" s="14"/>
      <c r="ECW587" s="14"/>
      <c r="ECX587" s="14"/>
      <c r="ECY587" s="14"/>
      <c r="ECZ587" s="14"/>
      <c r="EDA587" s="14"/>
      <c r="EDB587" s="14"/>
      <c r="EDC587" s="14"/>
      <c r="EDD587" s="14"/>
      <c r="EDE587" s="14"/>
      <c r="EDF587" s="14"/>
      <c r="EDG587" s="14"/>
      <c r="EDH587" s="14"/>
      <c r="EDI587" s="14"/>
      <c r="EDJ587" s="14"/>
      <c r="EDK587" s="14"/>
      <c r="EDL587" s="14"/>
      <c r="EDM587" s="14"/>
      <c r="EDN587" s="14"/>
      <c r="EDO587" s="14"/>
      <c r="EDP587" s="14"/>
      <c r="EDQ587" s="14"/>
      <c r="EDR587" s="14"/>
      <c r="EDS587" s="14"/>
      <c r="EDT587" s="14"/>
      <c r="EDU587" s="14"/>
      <c r="EDV587" s="14"/>
      <c r="EDW587" s="14"/>
      <c r="EDX587" s="14"/>
      <c r="EDY587" s="14"/>
      <c r="EDZ587" s="14"/>
      <c r="EEA587" s="14"/>
      <c r="EEB587" s="14"/>
      <c r="EEC587" s="14"/>
      <c r="EED587" s="14"/>
      <c r="EEE587" s="14"/>
      <c r="EEF587" s="14"/>
      <c r="EEG587" s="14"/>
      <c r="EEH587" s="14"/>
      <c r="EEI587" s="14"/>
      <c r="EEJ587" s="14"/>
      <c r="EEK587" s="14"/>
      <c r="EEL587" s="14"/>
      <c r="EEM587" s="14"/>
      <c r="EEN587" s="14"/>
      <c r="EEO587" s="14"/>
      <c r="EEP587" s="14"/>
      <c r="EEQ587" s="14"/>
      <c r="EER587" s="14"/>
      <c r="EES587" s="14"/>
      <c r="EET587" s="14"/>
      <c r="EEU587" s="14"/>
      <c r="EEV587" s="14"/>
      <c r="EEW587" s="14"/>
      <c r="EEX587" s="14"/>
      <c r="EEY587" s="14"/>
      <c r="EEZ587" s="14"/>
      <c r="EFA587" s="14"/>
      <c r="EFB587" s="14"/>
      <c r="EFC587" s="14"/>
      <c r="EFD587" s="14"/>
      <c r="EFE587" s="14"/>
      <c r="EFF587" s="14"/>
      <c r="EFG587" s="14"/>
      <c r="EFH587" s="14"/>
      <c r="EFI587" s="14"/>
      <c r="EFJ587" s="14"/>
      <c r="EFK587" s="14"/>
      <c r="EFL587" s="14"/>
      <c r="EFM587" s="14"/>
      <c r="EFN587" s="14"/>
      <c r="EFO587" s="14"/>
      <c r="EFP587" s="14"/>
      <c r="EFQ587" s="14"/>
      <c r="EFR587" s="14"/>
      <c r="EFS587" s="14"/>
      <c r="EFT587" s="14"/>
      <c r="EFU587" s="14"/>
      <c r="EFV587" s="14"/>
      <c r="EFW587" s="14"/>
      <c r="EFX587" s="14"/>
      <c r="EFY587" s="14"/>
      <c r="EFZ587" s="14"/>
      <c r="EGA587" s="14"/>
      <c r="EGB587" s="14"/>
      <c r="EGC587" s="14"/>
      <c r="EGD587" s="14"/>
      <c r="EGE587" s="14"/>
      <c r="EGF587" s="14"/>
      <c r="EGG587" s="14"/>
      <c r="EGH587" s="14"/>
      <c r="EGI587" s="14"/>
      <c r="EGJ587" s="14"/>
      <c r="EGK587" s="14"/>
      <c r="EGL587" s="14"/>
      <c r="EGM587" s="14"/>
      <c r="EGN587" s="14"/>
      <c r="EGO587" s="14"/>
      <c r="EGP587" s="14"/>
      <c r="EGQ587" s="14"/>
      <c r="EGR587" s="14"/>
      <c r="EGS587" s="14"/>
      <c r="EGT587" s="14"/>
      <c r="EGU587" s="14"/>
      <c r="EGV587" s="14"/>
      <c r="EGW587" s="14"/>
      <c r="EGX587" s="14"/>
      <c r="EGY587" s="14"/>
      <c r="EGZ587" s="14"/>
      <c r="EHA587" s="14"/>
      <c r="EHB587" s="14"/>
      <c r="EHC587" s="14"/>
      <c r="EHD587" s="14"/>
      <c r="EHE587" s="14"/>
      <c r="EHF587" s="14"/>
      <c r="EHG587" s="14"/>
      <c r="EHH587" s="14"/>
      <c r="EHI587" s="14"/>
      <c r="EHJ587" s="14"/>
      <c r="EHK587" s="14"/>
      <c r="EHL587" s="14"/>
      <c r="EHM587" s="14"/>
      <c r="EHN587" s="14"/>
      <c r="EHO587" s="14"/>
      <c r="EHP587" s="14"/>
      <c r="EHQ587" s="14"/>
      <c r="EHR587" s="14"/>
      <c r="EHS587" s="14"/>
      <c r="EHT587" s="14"/>
      <c r="EHU587" s="14"/>
      <c r="EHV587" s="14"/>
      <c r="EHW587" s="14"/>
      <c r="EHX587" s="14"/>
      <c r="EHY587" s="14"/>
      <c r="EHZ587" s="14"/>
      <c r="EIA587" s="14"/>
      <c r="EIB587" s="14"/>
      <c r="EIC587" s="14"/>
      <c r="EID587" s="14"/>
      <c r="EIE587" s="14"/>
      <c r="EIF587" s="14"/>
      <c r="EIG587" s="14"/>
      <c r="EIH587" s="14"/>
      <c r="EII587" s="14"/>
      <c r="EIJ587" s="14"/>
      <c r="EIK587" s="14"/>
      <c r="EIL587" s="14"/>
      <c r="EIM587" s="14"/>
      <c r="EIN587" s="14"/>
      <c r="EIO587" s="14"/>
      <c r="EIP587" s="14"/>
      <c r="EIQ587" s="14"/>
      <c r="EIR587" s="14"/>
      <c r="EIS587" s="14"/>
      <c r="EIT587" s="14"/>
      <c r="EIU587" s="14"/>
      <c r="EIV587" s="14"/>
      <c r="EIW587" s="14"/>
      <c r="EIX587" s="14"/>
      <c r="EIY587" s="14"/>
      <c r="EIZ587" s="14"/>
      <c r="EJA587" s="14"/>
      <c r="EJB587" s="14"/>
      <c r="EJC587" s="14"/>
      <c r="EJD587" s="14"/>
      <c r="EJE587" s="14"/>
      <c r="EJF587" s="14"/>
      <c r="EJG587" s="14"/>
      <c r="EJH587" s="14"/>
      <c r="EJI587" s="14"/>
      <c r="EJJ587" s="14"/>
      <c r="EJK587" s="14"/>
      <c r="EJL587" s="14"/>
      <c r="EJM587" s="14"/>
      <c r="EJN587" s="14"/>
      <c r="EJO587" s="14"/>
      <c r="EJP587" s="14"/>
      <c r="EJQ587" s="14"/>
      <c r="EJR587" s="14"/>
      <c r="EJS587" s="14"/>
      <c r="EJT587" s="14"/>
      <c r="EJU587" s="14"/>
      <c r="EJV587" s="14"/>
      <c r="EJW587" s="14"/>
      <c r="EJX587" s="14"/>
      <c r="EJY587" s="14"/>
      <c r="EJZ587" s="14"/>
      <c r="EKA587" s="14"/>
      <c r="EKB587" s="14"/>
      <c r="EKC587" s="14"/>
      <c r="EKD587" s="14"/>
      <c r="EKE587" s="14"/>
      <c r="EKF587" s="14"/>
      <c r="EKG587" s="14"/>
      <c r="EKH587" s="14"/>
      <c r="EKI587" s="14"/>
      <c r="EKJ587" s="14"/>
      <c r="EKK587" s="14"/>
      <c r="EKL587" s="14"/>
      <c r="EKM587" s="14"/>
      <c r="EKN587" s="14"/>
      <c r="EKO587" s="14"/>
      <c r="EKP587" s="14"/>
      <c r="EKQ587" s="14"/>
      <c r="EKR587" s="14"/>
      <c r="EKS587" s="14"/>
      <c r="EKT587" s="14"/>
      <c r="EKU587" s="14"/>
      <c r="EKV587" s="14"/>
      <c r="EKW587" s="14"/>
      <c r="EKX587" s="14"/>
      <c r="EKY587" s="14"/>
      <c r="EKZ587" s="14"/>
      <c r="ELA587" s="14"/>
      <c r="ELB587" s="14"/>
      <c r="ELC587" s="14"/>
      <c r="ELD587" s="14"/>
      <c r="ELE587" s="14"/>
      <c r="ELF587" s="14"/>
      <c r="ELG587" s="14"/>
      <c r="ELH587" s="14"/>
      <c r="ELI587" s="14"/>
      <c r="ELJ587" s="14"/>
      <c r="ELK587" s="14"/>
      <c r="ELL587" s="14"/>
      <c r="ELM587" s="14"/>
      <c r="ELN587" s="14"/>
      <c r="ELO587" s="14"/>
      <c r="ELP587" s="14"/>
      <c r="ELQ587" s="14"/>
      <c r="ELR587" s="14"/>
      <c r="ELS587" s="14"/>
      <c r="ELT587" s="14"/>
      <c r="ELU587" s="14"/>
      <c r="ELV587" s="14"/>
      <c r="ELW587" s="14"/>
      <c r="ELX587" s="14"/>
      <c r="ELY587" s="14"/>
      <c r="ELZ587" s="14"/>
      <c r="EMA587" s="14"/>
      <c r="EMB587" s="14"/>
      <c r="EMC587" s="14"/>
      <c r="EMD587" s="14"/>
      <c r="EME587" s="14"/>
      <c r="EMF587" s="14"/>
      <c r="EMG587" s="14"/>
      <c r="EMH587" s="14"/>
      <c r="EMI587" s="14"/>
      <c r="EMJ587" s="14"/>
      <c r="EMK587" s="14"/>
      <c r="EML587" s="14"/>
      <c r="EMM587" s="14"/>
      <c r="EMN587" s="14"/>
      <c r="EMO587" s="14"/>
      <c r="EMP587" s="14"/>
      <c r="EMQ587" s="14"/>
      <c r="EMR587" s="14"/>
      <c r="EMS587" s="14"/>
      <c r="EMT587" s="14"/>
      <c r="EMU587" s="14"/>
      <c r="EMV587" s="14"/>
      <c r="EMW587" s="14"/>
      <c r="EMX587" s="14"/>
      <c r="EMY587" s="14"/>
      <c r="EMZ587" s="14"/>
      <c r="ENA587" s="14"/>
      <c r="ENB587" s="14"/>
      <c r="ENC587" s="14"/>
      <c r="END587" s="14"/>
      <c r="ENE587" s="14"/>
      <c r="ENF587" s="14"/>
      <c r="ENG587" s="14"/>
      <c r="ENH587" s="14"/>
      <c r="ENI587" s="14"/>
      <c r="ENJ587" s="14"/>
      <c r="ENK587" s="14"/>
      <c r="ENL587" s="14"/>
      <c r="ENM587" s="14"/>
      <c r="ENN587" s="14"/>
      <c r="ENO587" s="14"/>
      <c r="ENP587" s="14"/>
      <c r="ENQ587" s="14"/>
      <c r="ENR587" s="14"/>
      <c r="ENS587" s="14"/>
      <c r="ENT587" s="14"/>
      <c r="ENU587" s="14"/>
      <c r="ENV587" s="14"/>
      <c r="ENW587" s="14"/>
      <c r="ENX587" s="14"/>
      <c r="ENY587" s="14"/>
      <c r="ENZ587" s="14"/>
      <c r="EOA587" s="14"/>
      <c r="EOB587" s="14"/>
      <c r="EOC587" s="14"/>
      <c r="EOD587" s="14"/>
      <c r="EOE587" s="14"/>
      <c r="EOF587" s="14"/>
      <c r="EOG587" s="14"/>
      <c r="EOH587" s="14"/>
      <c r="EOI587" s="14"/>
      <c r="EOJ587" s="14"/>
      <c r="EOK587" s="14"/>
      <c r="EOL587" s="14"/>
      <c r="EOM587" s="14"/>
      <c r="EON587" s="14"/>
      <c r="EOO587" s="14"/>
      <c r="EOP587" s="14"/>
      <c r="EOQ587" s="14"/>
      <c r="EOR587" s="14"/>
      <c r="EOS587" s="14"/>
      <c r="EOT587" s="14"/>
      <c r="EOU587" s="14"/>
      <c r="EOV587" s="14"/>
      <c r="EOW587" s="14"/>
      <c r="EOX587" s="14"/>
      <c r="EOY587" s="14"/>
      <c r="EOZ587" s="14"/>
      <c r="EPA587" s="14"/>
      <c r="EPB587" s="14"/>
      <c r="EPC587" s="14"/>
      <c r="EPD587" s="14"/>
      <c r="EPE587" s="14"/>
      <c r="EPF587" s="14"/>
      <c r="EPG587" s="14"/>
      <c r="EPH587" s="14"/>
      <c r="EPI587" s="14"/>
      <c r="EPJ587" s="14"/>
      <c r="EPK587" s="14"/>
      <c r="EPL587" s="14"/>
      <c r="EPM587" s="14"/>
      <c r="EPN587" s="14"/>
      <c r="EPO587" s="14"/>
      <c r="EPP587" s="14"/>
      <c r="EPQ587" s="14"/>
      <c r="EPR587" s="14"/>
      <c r="EPS587" s="14"/>
      <c r="EPT587" s="14"/>
      <c r="EPU587" s="14"/>
      <c r="EPV587" s="14"/>
      <c r="EPW587" s="14"/>
      <c r="EPX587" s="14"/>
      <c r="EPY587" s="14"/>
      <c r="EPZ587" s="14"/>
      <c r="EQA587" s="14"/>
      <c r="EQB587" s="14"/>
      <c r="EQC587" s="14"/>
      <c r="EQD587" s="14"/>
      <c r="EQE587" s="14"/>
      <c r="EQF587" s="14"/>
      <c r="EQG587" s="14"/>
      <c r="EQH587" s="14"/>
      <c r="EQI587" s="14"/>
      <c r="EQJ587" s="14"/>
      <c r="EQK587" s="14"/>
      <c r="EQL587" s="14"/>
      <c r="EQM587" s="14"/>
      <c r="EQN587" s="14"/>
      <c r="EQO587" s="14"/>
      <c r="EQP587" s="14"/>
      <c r="EQQ587" s="14"/>
      <c r="EQR587" s="14"/>
      <c r="EQS587" s="14"/>
      <c r="EQT587" s="14"/>
      <c r="EQU587" s="14"/>
      <c r="EQV587" s="14"/>
      <c r="EQW587" s="14"/>
      <c r="EQX587" s="14"/>
      <c r="EQY587" s="14"/>
      <c r="EQZ587" s="14"/>
      <c r="ERA587" s="14"/>
      <c r="ERB587" s="14"/>
      <c r="ERC587" s="14"/>
      <c r="ERD587" s="14"/>
      <c r="ERE587" s="14"/>
      <c r="ERF587" s="14"/>
      <c r="ERG587" s="14"/>
      <c r="ERH587" s="14"/>
      <c r="ERI587" s="14"/>
      <c r="ERJ587" s="14"/>
      <c r="ERK587" s="14"/>
      <c r="ERL587" s="14"/>
      <c r="ERM587" s="14"/>
      <c r="ERN587" s="14"/>
      <c r="ERO587" s="14"/>
      <c r="ERP587" s="14"/>
      <c r="ERQ587" s="14"/>
      <c r="ERR587" s="14"/>
      <c r="ERS587" s="14"/>
      <c r="ERT587" s="14"/>
      <c r="ERU587" s="14"/>
      <c r="ERV587" s="14"/>
      <c r="ERW587" s="14"/>
      <c r="ERX587" s="14"/>
      <c r="ERY587" s="14"/>
      <c r="ERZ587" s="14"/>
      <c r="ESA587" s="14"/>
      <c r="ESB587" s="14"/>
      <c r="ESC587" s="14"/>
      <c r="ESD587" s="14"/>
      <c r="ESE587" s="14"/>
      <c r="ESF587" s="14"/>
      <c r="ESG587" s="14"/>
      <c r="ESH587" s="14"/>
      <c r="ESI587" s="14"/>
      <c r="ESJ587" s="14"/>
      <c r="ESK587" s="14"/>
      <c r="ESL587" s="14"/>
      <c r="ESM587" s="14"/>
      <c r="ESN587" s="14"/>
      <c r="ESO587" s="14"/>
      <c r="ESP587" s="14"/>
      <c r="ESQ587" s="14"/>
      <c r="ESR587" s="14"/>
      <c r="ESS587" s="14"/>
      <c r="EST587" s="14"/>
      <c r="ESU587" s="14"/>
      <c r="ESV587" s="14"/>
      <c r="ESW587" s="14"/>
      <c r="ESX587" s="14"/>
      <c r="ESY587" s="14"/>
      <c r="ESZ587" s="14"/>
      <c r="ETA587" s="14"/>
      <c r="ETB587" s="14"/>
      <c r="ETC587" s="14"/>
      <c r="ETD587" s="14"/>
      <c r="ETE587" s="14"/>
      <c r="ETF587" s="14"/>
      <c r="ETG587" s="14"/>
      <c r="ETH587" s="14"/>
      <c r="ETI587" s="14"/>
      <c r="ETJ587" s="14"/>
      <c r="ETK587" s="14"/>
      <c r="ETL587" s="14"/>
      <c r="ETM587" s="14"/>
      <c r="ETN587" s="14"/>
      <c r="ETO587" s="14"/>
      <c r="ETP587" s="14"/>
      <c r="ETQ587" s="14"/>
      <c r="ETR587" s="14"/>
      <c r="ETS587" s="14"/>
      <c r="ETT587" s="14"/>
      <c r="ETU587" s="14"/>
      <c r="ETV587" s="14"/>
      <c r="ETW587" s="14"/>
      <c r="ETX587" s="14"/>
      <c r="ETY587" s="14"/>
      <c r="ETZ587" s="14"/>
      <c r="EUA587" s="14"/>
      <c r="EUB587" s="14"/>
      <c r="EUC587" s="14"/>
      <c r="EUD587" s="14"/>
      <c r="EUE587" s="14"/>
      <c r="EUF587" s="14"/>
      <c r="EUG587" s="14"/>
      <c r="EUH587" s="14"/>
      <c r="EUI587" s="14"/>
      <c r="EUJ587" s="14"/>
      <c r="EUK587" s="14"/>
      <c r="EUL587" s="14"/>
      <c r="EUM587" s="14"/>
      <c r="EUN587" s="14"/>
      <c r="EUO587" s="14"/>
      <c r="EUP587" s="14"/>
      <c r="EUQ587" s="14"/>
      <c r="EUR587" s="14"/>
      <c r="EUS587" s="14"/>
      <c r="EUT587" s="14"/>
      <c r="EUU587" s="14"/>
      <c r="EUV587" s="14"/>
      <c r="EUW587" s="14"/>
      <c r="EUX587" s="14"/>
      <c r="EUY587" s="14"/>
      <c r="EUZ587" s="14"/>
      <c r="EVA587" s="14"/>
      <c r="EVB587" s="14"/>
      <c r="EVC587" s="14"/>
      <c r="EVD587" s="14"/>
      <c r="EVE587" s="14"/>
      <c r="EVF587" s="14"/>
      <c r="EVG587" s="14"/>
      <c r="EVH587" s="14"/>
      <c r="EVI587" s="14"/>
      <c r="EVJ587" s="14"/>
      <c r="EVK587" s="14"/>
      <c r="EVL587" s="14"/>
      <c r="EVM587" s="14"/>
      <c r="EVN587" s="14"/>
      <c r="EVO587" s="14"/>
      <c r="EVP587" s="14"/>
      <c r="EVQ587" s="14"/>
      <c r="EVR587" s="14"/>
      <c r="EVS587" s="14"/>
      <c r="EVT587" s="14"/>
      <c r="EVU587" s="14"/>
      <c r="EVV587" s="14"/>
      <c r="EVW587" s="14"/>
      <c r="EVX587" s="14"/>
      <c r="EVY587" s="14"/>
      <c r="EVZ587" s="14"/>
      <c r="EWA587" s="14"/>
      <c r="EWB587" s="14"/>
      <c r="EWC587" s="14"/>
      <c r="EWD587" s="14"/>
      <c r="EWE587" s="14"/>
      <c r="EWF587" s="14"/>
      <c r="EWG587" s="14"/>
      <c r="EWH587" s="14"/>
      <c r="EWI587" s="14"/>
      <c r="EWJ587" s="14"/>
      <c r="EWK587" s="14"/>
      <c r="EWL587" s="14"/>
      <c r="EWM587" s="14"/>
      <c r="EWN587" s="14"/>
      <c r="EWO587" s="14"/>
      <c r="EWP587" s="14"/>
      <c r="EWQ587" s="14"/>
      <c r="EWR587" s="14"/>
      <c r="EWS587" s="14"/>
      <c r="EWT587" s="14"/>
      <c r="EWU587" s="14"/>
      <c r="EWV587" s="14"/>
      <c r="EWW587" s="14"/>
      <c r="EWX587" s="14"/>
      <c r="EWY587" s="14"/>
      <c r="EWZ587" s="14"/>
      <c r="EXA587" s="14"/>
      <c r="EXB587" s="14"/>
      <c r="EXC587" s="14"/>
      <c r="EXD587" s="14"/>
      <c r="EXE587" s="14"/>
      <c r="EXF587" s="14"/>
      <c r="EXG587" s="14"/>
      <c r="EXH587" s="14"/>
      <c r="EXI587" s="14"/>
      <c r="EXJ587" s="14"/>
      <c r="EXK587" s="14"/>
      <c r="EXL587" s="14"/>
      <c r="EXM587" s="14"/>
      <c r="EXN587" s="14"/>
      <c r="EXO587" s="14"/>
      <c r="EXP587" s="14"/>
      <c r="EXQ587" s="14"/>
      <c r="EXR587" s="14"/>
      <c r="EXS587" s="14"/>
      <c r="EXT587" s="14"/>
      <c r="EXU587" s="14"/>
      <c r="EXV587" s="14"/>
      <c r="EXW587" s="14"/>
      <c r="EXX587" s="14"/>
      <c r="EXY587" s="14"/>
      <c r="EXZ587" s="14"/>
      <c r="EYA587" s="14"/>
      <c r="EYB587" s="14"/>
      <c r="EYC587" s="14"/>
      <c r="EYD587" s="14"/>
      <c r="EYE587" s="14"/>
      <c r="EYF587" s="14"/>
      <c r="EYG587" s="14"/>
      <c r="EYH587" s="14"/>
      <c r="EYI587" s="14"/>
      <c r="EYJ587" s="14"/>
      <c r="EYK587" s="14"/>
      <c r="EYL587" s="14"/>
      <c r="EYM587" s="14"/>
      <c r="EYN587" s="14"/>
      <c r="EYO587" s="14"/>
      <c r="EYP587" s="14"/>
      <c r="EYQ587" s="14"/>
      <c r="EYR587" s="14"/>
      <c r="EYS587" s="14"/>
      <c r="EYT587" s="14"/>
      <c r="EYU587" s="14"/>
      <c r="EYV587" s="14"/>
      <c r="EYW587" s="14"/>
      <c r="EYX587" s="14"/>
      <c r="EYY587" s="14"/>
      <c r="EYZ587" s="14"/>
      <c r="EZA587" s="14"/>
      <c r="EZB587" s="14"/>
      <c r="EZC587" s="14"/>
      <c r="EZD587" s="14"/>
      <c r="EZE587" s="14"/>
      <c r="EZF587" s="14"/>
      <c r="EZG587" s="14"/>
      <c r="EZH587" s="14"/>
      <c r="EZI587" s="14"/>
      <c r="EZJ587" s="14"/>
      <c r="EZK587" s="14"/>
      <c r="EZL587" s="14"/>
      <c r="EZM587" s="14"/>
      <c r="EZN587" s="14"/>
      <c r="EZO587" s="14"/>
      <c r="EZP587" s="14"/>
      <c r="EZQ587" s="14"/>
      <c r="EZR587" s="14"/>
      <c r="EZS587" s="14"/>
      <c r="EZT587" s="14"/>
      <c r="EZU587" s="14"/>
      <c r="EZV587" s="14"/>
      <c r="EZW587" s="14"/>
      <c r="EZX587" s="14"/>
      <c r="EZY587" s="14"/>
      <c r="EZZ587" s="14"/>
      <c r="FAA587" s="14"/>
      <c r="FAB587" s="14"/>
      <c r="FAC587" s="14"/>
      <c r="FAD587" s="14"/>
      <c r="FAE587" s="14"/>
      <c r="FAF587" s="14"/>
      <c r="FAG587" s="14"/>
      <c r="FAH587" s="14"/>
      <c r="FAI587" s="14"/>
      <c r="FAJ587" s="14"/>
      <c r="FAK587" s="14"/>
      <c r="FAL587" s="14"/>
      <c r="FAM587" s="14"/>
      <c r="FAN587" s="14"/>
      <c r="FAO587" s="14"/>
      <c r="FAP587" s="14"/>
      <c r="FAQ587" s="14"/>
      <c r="FAR587" s="14"/>
      <c r="FAS587" s="14"/>
      <c r="FAT587" s="14"/>
      <c r="FAU587" s="14"/>
      <c r="FAV587" s="14"/>
      <c r="FAW587" s="14"/>
      <c r="FAX587" s="14"/>
      <c r="FAY587" s="14"/>
      <c r="FAZ587" s="14"/>
      <c r="FBA587" s="14"/>
      <c r="FBB587" s="14"/>
      <c r="FBC587" s="14"/>
      <c r="FBD587" s="14"/>
      <c r="FBE587" s="14"/>
      <c r="FBF587" s="14"/>
      <c r="FBG587" s="14"/>
      <c r="FBH587" s="14"/>
      <c r="FBI587" s="14"/>
      <c r="FBJ587" s="14"/>
      <c r="FBK587" s="14"/>
      <c r="FBL587" s="14"/>
      <c r="FBM587" s="14"/>
      <c r="FBN587" s="14"/>
      <c r="FBO587" s="14"/>
      <c r="FBP587" s="14"/>
      <c r="FBQ587" s="14"/>
      <c r="FBR587" s="14"/>
      <c r="FBS587" s="14"/>
      <c r="FBT587" s="14"/>
      <c r="FBU587" s="14"/>
      <c r="FBV587" s="14"/>
      <c r="FBW587" s="14"/>
      <c r="FBX587" s="14"/>
      <c r="FBY587" s="14"/>
      <c r="FBZ587" s="14"/>
      <c r="FCA587" s="14"/>
      <c r="FCB587" s="14"/>
      <c r="FCC587" s="14"/>
      <c r="FCD587" s="14"/>
      <c r="FCE587" s="14"/>
      <c r="FCF587" s="14"/>
      <c r="FCG587" s="14"/>
      <c r="FCH587" s="14"/>
      <c r="FCI587" s="14"/>
      <c r="FCJ587" s="14"/>
      <c r="FCK587" s="14"/>
      <c r="FCL587" s="14"/>
      <c r="FCM587" s="14"/>
      <c r="FCN587" s="14"/>
      <c r="FCO587" s="14"/>
      <c r="FCP587" s="14"/>
      <c r="FCQ587" s="14"/>
      <c r="FCR587" s="14"/>
      <c r="FCS587" s="14"/>
      <c r="FCT587" s="14"/>
      <c r="FCU587" s="14"/>
      <c r="FCV587" s="14"/>
      <c r="FCW587" s="14"/>
      <c r="FCX587" s="14"/>
      <c r="FCY587" s="14"/>
      <c r="FCZ587" s="14"/>
      <c r="FDA587" s="14"/>
      <c r="FDB587" s="14"/>
      <c r="FDC587" s="14"/>
      <c r="FDD587" s="14"/>
      <c r="FDE587" s="14"/>
      <c r="FDF587" s="14"/>
      <c r="FDG587" s="14"/>
      <c r="FDH587" s="14"/>
      <c r="FDI587" s="14"/>
      <c r="FDJ587" s="14"/>
      <c r="FDK587" s="14"/>
      <c r="FDL587" s="14"/>
      <c r="FDM587" s="14"/>
      <c r="FDN587" s="14"/>
      <c r="FDO587" s="14"/>
      <c r="FDP587" s="14"/>
      <c r="FDQ587" s="14"/>
      <c r="FDR587" s="14"/>
      <c r="FDS587" s="14"/>
      <c r="FDT587" s="14"/>
      <c r="FDU587" s="14"/>
      <c r="FDV587" s="14"/>
      <c r="FDW587" s="14"/>
      <c r="FDX587" s="14"/>
      <c r="FDY587" s="14"/>
      <c r="FDZ587" s="14"/>
      <c r="FEA587" s="14"/>
      <c r="FEB587" s="14"/>
      <c r="FEC587" s="14"/>
      <c r="FED587" s="14"/>
      <c r="FEE587" s="14"/>
      <c r="FEF587" s="14"/>
      <c r="FEG587" s="14"/>
      <c r="FEH587" s="14"/>
      <c r="FEI587" s="14"/>
      <c r="FEJ587" s="14"/>
      <c r="FEK587" s="14"/>
      <c r="FEL587" s="14"/>
      <c r="FEM587" s="14"/>
      <c r="FEN587" s="14"/>
      <c r="FEO587" s="14"/>
      <c r="FEP587" s="14"/>
      <c r="FEQ587" s="14"/>
      <c r="FER587" s="14"/>
      <c r="FES587" s="14"/>
      <c r="FET587" s="14"/>
      <c r="FEU587" s="14"/>
      <c r="FEV587" s="14"/>
      <c r="FEW587" s="14"/>
      <c r="FEX587" s="14"/>
      <c r="FEY587" s="14"/>
      <c r="FEZ587" s="14"/>
      <c r="FFA587" s="14"/>
      <c r="FFB587" s="14"/>
      <c r="FFC587" s="14"/>
      <c r="FFD587" s="14"/>
      <c r="FFE587" s="14"/>
      <c r="FFF587" s="14"/>
      <c r="FFG587" s="14"/>
      <c r="FFH587" s="14"/>
      <c r="FFI587" s="14"/>
      <c r="FFJ587" s="14"/>
      <c r="FFK587" s="14"/>
      <c r="FFL587" s="14"/>
      <c r="FFM587" s="14"/>
      <c r="FFN587" s="14"/>
      <c r="FFO587" s="14"/>
      <c r="FFP587" s="14"/>
      <c r="FFQ587" s="14"/>
      <c r="FFR587" s="14"/>
      <c r="FFS587" s="14"/>
      <c r="FFT587" s="14"/>
      <c r="FFU587" s="14"/>
      <c r="FFV587" s="14"/>
      <c r="FFW587" s="14"/>
      <c r="FFX587" s="14"/>
      <c r="FFY587" s="14"/>
      <c r="FFZ587" s="14"/>
      <c r="FGA587" s="14"/>
      <c r="FGB587" s="14"/>
      <c r="FGC587" s="14"/>
      <c r="FGD587" s="14"/>
      <c r="FGE587" s="14"/>
      <c r="FGF587" s="14"/>
      <c r="FGG587" s="14"/>
      <c r="FGH587" s="14"/>
      <c r="FGI587" s="14"/>
      <c r="FGJ587" s="14"/>
      <c r="FGK587" s="14"/>
      <c r="FGL587" s="14"/>
      <c r="FGM587" s="14"/>
      <c r="FGN587" s="14"/>
      <c r="FGO587" s="14"/>
      <c r="FGP587" s="14"/>
      <c r="FGQ587" s="14"/>
      <c r="FGR587" s="14"/>
      <c r="FGS587" s="14"/>
      <c r="FGT587" s="14"/>
      <c r="FGU587" s="14"/>
      <c r="FGV587" s="14"/>
      <c r="FGW587" s="14"/>
      <c r="FGX587" s="14"/>
      <c r="FGY587" s="14"/>
      <c r="FGZ587" s="14"/>
      <c r="FHA587" s="14"/>
      <c r="FHB587" s="14"/>
      <c r="FHC587" s="14"/>
      <c r="FHD587" s="14"/>
      <c r="FHE587" s="14"/>
      <c r="FHF587" s="14"/>
      <c r="FHG587" s="14"/>
      <c r="FHH587" s="14"/>
      <c r="FHI587" s="14"/>
      <c r="FHJ587" s="14"/>
      <c r="FHK587" s="14"/>
      <c r="FHL587" s="14"/>
      <c r="FHM587" s="14"/>
      <c r="FHN587" s="14"/>
      <c r="FHO587" s="14"/>
      <c r="FHP587" s="14"/>
      <c r="FHQ587" s="14"/>
      <c r="FHR587" s="14"/>
      <c r="FHS587" s="14"/>
      <c r="FHT587" s="14"/>
      <c r="FHU587" s="14"/>
      <c r="FHV587" s="14"/>
      <c r="FHW587" s="14"/>
      <c r="FHX587" s="14"/>
      <c r="FHY587" s="14"/>
      <c r="FHZ587" s="14"/>
      <c r="FIA587" s="14"/>
      <c r="FIB587" s="14"/>
      <c r="FIC587" s="14"/>
      <c r="FID587" s="14"/>
      <c r="FIE587" s="14"/>
      <c r="FIF587" s="14"/>
      <c r="FIG587" s="14"/>
      <c r="FIH587" s="14"/>
      <c r="FII587" s="14"/>
      <c r="FIJ587" s="14"/>
      <c r="FIK587" s="14"/>
      <c r="FIL587" s="14"/>
      <c r="FIM587" s="14"/>
      <c r="FIN587" s="14"/>
      <c r="FIO587" s="14"/>
      <c r="FIP587" s="14"/>
      <c r="FIQ587" s="14"/>
      <c r="FIR587" s="14"/>
      <c r="FIS587" s="14"/>
      <c r="FIT587" s="14"/>
      <c r="FIU587" s="14"/>
      <c r="FIV587" s="14"/>
      <c r="FIW587" s="14"/>
      <c r="FIX587" s="14"/>
      <c r="FIY587" s="14"/>
      <c r="FIZ587" s="14"/>
      <c r="FJA587" s="14"/>
      <c r="FJB587" s="14"/>
      <c r="FJC587" s="14"/>
      <c r="FJD587" s="14"/>
      <c r="FJE587" s="14"/>
      <c r="FJF587" s="14"/>
      <c r="FJG587" s="14"/>
      <c r="FJH587" s="14"/>
      <c r="FJI587" s="14"/>
      <c r="FJJ587" s="14"/>
      <c r="FJK587" s="14"/>
      <c r="FJL587" s="14"/>
      <c r="FJM587" s="14"/>
      <c r="FJN587" s="14"/>
      <c r="FJO587" s="14"/>
      <c r="FJP587" s="14"/>
      <c r="FJQ587" s="14"/>
      <c r="FJR587" s="14"/>
      <c r="FJS587" s="14"/>
      <c r="FJT587" s="14"/>
      <c r="FJU587" s="14"/>
      <c r="FJV587" s="14"/>
      <c r="FJW587" s="14"/>
      <c r="FJX587" s="14"/>
      <c r="FJY587" s="14"/>
      <c r="FJZ587" s="14"/>
      <c r="FKA587" s="14"/>
      <c r="FKB587" s="14"/>
      <c r="FKC587" s="14"/>
      <c r="FKD587" s="14"/>
      <c r="FKE587" s="14"/>
      <c r="FKF587" s="14"/>
      <c r="FKG587" s="14"/>
      <c r="FKH587" s="14"/>
      <c r="FKI587" s="14"/>
      <c r="FKJ587" s="14"/>
      <c r="FKK587" s="14"/>
      <c r="FKL587" s="14"/>
      <c r="FKM587" s="14"/>
      <c r="FKN587" s="14"/>
      <c r="FKO587" s="14"/>
      <c r="FKP587" s="14"/>
      <c r="FKQ587" s="14"/>
      <c r="FKR587" s="14"/>
      <c r="FKS587" s="14"/>
      <c r="FKT587" s="14"/>
      <c r="FKU587" s="14"/>
      <c r="FKV587" s="14"/>
      <c r="FKW587" s="14"/>
      <c r="FKX587" s="14"/>
      <c r="FKY587" s="14"/>
      <c r="FKZ587" s="14"/>
      <c r="FLA587" s="14"/>
      <c r="FLB587" s="14"/>
      <c r="FLC587" s="14"/>
      <c r="FLD587" s="14"/>
      <c r="FLE587" s="14"/>
      <c r="FLF587" s="14"/>
      <c r="FLG587" s="14"/>
      <c r="FLH587" s="14"/>
      <c r="FLI587" s="14"/>
      <c r="FLJ587" s="14"/>
      <c r="FLK587" s="14"/>
      <c r="FLL587" s="14"/>
      <c r="FLM587" s="14"/>
      <c r="FLN587" s="14"/>
      <c r="FLO587" s="14"/>
      <c r="FLP587" s="14"/>
      <c r="FLQ587" s="14"/>
      <c r="FLR587" s="14"/>
      <c r="FLS587" s="14"/>
      <c r="FLT587" s="14"/>
      <c r="FLU587" s="14"/>
      <c r="FLV587" s="14"/>
      <c r="FLW587" s="14"/>
      <c r="FLX587" s="14"/>
      <c r="FLY587" s="14"/>
      <c r="FLZ587" s="14"/>
      <c r="FMA587" s="14"/>
      <c r="FMB587" s="14"/>
      <c r="FMC587" s="14"/>
      <c r="FMD587" s="14"/>
      <c r="FME587" s="14"/>
      <c r="FMF587" s="14"/>
      <c r="FMG587" s="14"/>
      <c r="FMH587" s="14"/>
      <c r="FMI587" s="14"/>
      <c r="FMJ587" s="14"/>
      <c r="FMK587" s="14"/>
      <c r="FML587" s="14"/>
      <c r="FMM587" s="14"/>
      <c r="FMN587" s="14"/>
      <c r="FMO587" s="14"/>
      <c r="FMP587" s="14"/>
      <c r="FMQ587" s="14"/>
      <c r="FMR587" s="14"/>
      <c r="FMS587" s="14"/>
      <c r="FMT587" s="14"/>
      <c r="FMU587" s="14"/>
      <c r="FMV587" s="14"/>
      <c r="FMW587" s="14"/>
      <c r="FMX587" s="14"/>
      <c r="FMY587" s="14"/>
      <c r="FMZ587" s="14"/>
      <c r="FNA587" s="14"/>
      <c r="FNB587" s="14"/>
      <c r="FNC587" s="14"/>
      <c r="FND587" s="14"/>
      <c r="FNE587" s="14"/>
      <c r="FNF587" s="14"/>
      <c r="FNG587" s="14"/>
      <c r="FNH587" s="14"/>
      <c r="FNI587" s="14"/>
      <c r="FNJ587" s="14"/>
      <c r="FNK587" s="14"/>
      <c r="FNL587" s="14"/>
      <c r="FNM587" s="14"/>
      <c r="FNN587" s="14"/>
      <c r="FNO587" s="14"/>
      <c r="FNP587" s="14"/>
      <c r="FNQ587" s="14"/>
      <c r="FNR587" s="14"/>
      <c r="FNS587" s="14"/>
      <c r="FNT587" s="14"/>
      <c r="FNU587" s="14"/>
      <c r="FNV587" s="14"/>
      <c r="FNW587" s="14"/>
      <c r="FNX587" s="14"/>
      <c r="FNY587" s="14"/>
      <c r="FNZ587" s="14"/>
      <c r="FOA587" s="14"/>
      <c r="FOB587" s="14"/>
      <c r="FOC587" s="14"/>
      <c r="FOD587" s="14"/>
      <c r="FOE587" s="14"/>
      <c r="FOF587" s="14"/>
      <c r="FOG587" s="14"/>
      <c r="FOH587" s="14"/>
      <c r="FOI587" s="14"/>
      <c r="FOJ587" s="14"/>
      <c r="FOK587" s="14"/>
      <c r="FOL587" s="14"/>
      <c r="FOM587" s="14"/>
      <c r="FON587" s="14"/>
      <c r="FOO587" s="14"/>
      <c r="FOP587" s="14"/>
      <c r="FOQ587" s="14"/>
      <c r="FOR587" s="14"/>
      <c r="FOS587" s="14"/>
      <c r="FOT587" s="14"/>
      <c r="FOU587" s="14"/>
      <c r="FOV587" s="14"/>
      <c r="FOW587" s="14"/>
      <c r="FOX587" s="14"/>
      <c r="FOY587" s="14"/>
      <c r="FOZ587" s="14"/>
      <c r="FPA587" s="14"/>
      <c r="FPB587" s="14"/>
      <c r="FPC587" s="14"/>
      <c r="FPD587" s="14"/>
      <c r="FPE587" s="14"/>
      <c r="FPF587" s="14"/>
      <c r="FPG587" s="14"/>
      <c r="FPH587" s="14"/>
      <c r="FPI587" s="14"/>
      <c r="FPJ587" s="14"/>
      <c r="FPK587" s="14"/>
      <c r="FPL587" s="14"/>
      <c r="FPM587" s="14"/>
      <c r="FPN587" s="14"/>
      <c r="FPO587" s="14"/>
      <c r="FPP587" s="14"/>
      <c r="FPQ587" s="14"/>
      <c r="FPR587" s="14"/>
      <c r="FPS587" s="14"/>
      <c r="FPT587" s="14"/>
      <c r="FPU587" s="14"/>
      <c r="FPV587" s="14"/>
      <c r="FPW587" s="14"/>
      <c r="FPX587" s="14"/>
      <c r="FPY587" s="14"/>
      <c r="FPZ587" s="14"/>
      <c r="FQA587" s="14"/>
      <c r="FQB587" s="14"/>
      <c r="FQC587" s="14"/>
      <c r="FQD587" s="14"/>
      <c r="FQE587" s="14"/>
      <c r="FQF587" s="14"/>
      <c r="FQG587" s="14"/>
      <c r="FQH587" s="14"/>
      <c r="FQI587" s="14"/>
      <c r="FQJ587" s="14"/>
      <c r="FQK587" s="14"/>
      <c r="FQL587" s="14"/>
      <c r="FQM587" s="14"/>
      <c r="FQN587" s="14"/>
      <c r="FQO587" s="14"/>
      <c r="FQP587" s="14"/>
      <c r="FQQ587" s="14"/>
      <c r="FQR587" s="14"/>
      <c r="FQS587" s="14"/>
      <c r="FQT587" s="14"/>
      <c r="FQU587" s="14"/>
      <c r="FQV587" s="14"/>
      <c r="FQW587" s="14"/>
      <c r="FQX587" s="14"/>
      <c r="FQY587" s="14"/>
      <c r="FQZ587" s="14"/>
      <c r="FRA587" s="14"/>
      <c r="FRB587" s="14"/>
      <c r="FRC587" s="14"/>
      <c r="FRD587" s="14"/>
      <c r="FRE587" s="14"/>
      <c r="FRF587" s="14"/>
      <c r="FRG587" s="14"/>
      <c r="FRH587" s="14"/>
      <c r="FRI587" s="14"/>
      <c r="FRJ587" s="14"/>
      <c r="FRK587" s="14"/>
      <c r="FRL587" s="14"/>
      <c r="FRM587" s="14"/>
      <c r="FRN587" s="14"/>
      <c r="FRO587" s="14"/>
      <c r="FRP587" s="14"/>
      <c r="FRQ587" s="14"/>
      <c r="FRR587" s="14"/>
      <c r="FRS587" s="14"/>
      <c r="FRT587" s="14"/>
      <c r="FRU587" s="14"/>
      <c r="FRV587" s="14"/>
      <c r="FRW587" s="14"/>
      <c r="FRX587" s="14"/>
      <c r="FRY587" s="14"/>
      <c r="FRZ587" s="14"/>
      <c r="FSA587" s="14"/>
      <c r="FSB587" s="14"/>
      <c r="FSC587" s="14"/>
      <c r="FSD587" s="14"/>
      <c r="FSE587" s="14"/>
      <c r="FSF587" s="14"/>
      <c r="FSG587" s="14"/>
      <c r="FSH587" s="14"/>
      <c r="FSI587" s="14"/>
      <c r="FSJ587" s="14"/>
      <c r="FSK587" s="14"/>
      <c r="FSL587" s="14"/>
      <c r="FSM587" s="14"/>
      <c r="FSN587" s="14"/>
      <c r="FSO587" s="14"/>
      <c r="FSP587" s="14"/>
      <c r="FSQ587" s="14"/>
      <c r="FSR587" s="14"/>
      <c r="FSS587" s="14"/>
      <c r="FST587" s="14"/>
      <c r="FSU587" s="14"/>
      <c r="FSV587" s="14"/>
      <c r="FSW587" s="14"/>
      <c r="FSX587" s="14"/>
      <c r="FSY587" s="14"/>
      <c r="FSZ587" s="14"/>
      <c r="FTA587" s="14"/>
      <c r="FTB587" s="14"/>
      <c r="FTC587" s="14"/>
      <c r="FTD587" s="14"/>
      <c r="FTE587" s="14"/>
      <c r="FTF587" s="14"/>
      <c r="FTG587" s="14"/>
      <c r="FTH587" s="14"/>
      <c r="FTI587" s="14"/>
      <c r="FTJ587" s="14"/>
      <c r="FTK587" s="14"/>
      <c r="FTL587" s="14"/>
      <c r="FTM587" s="14"/>
      <c r="FTN587" s="14"/>
      <c r="FTO587" s="14"/>
      <c r="FTP587" s="14"/>
      <c r="FTQ587" s="14"/>
      <c r="FTR587" s="14"/>
      <c r="FTS587" s="14"/>
      <c r="FTT587" s="14"/>
      <c r="FTU587" s="14"/>
      <c r="FTV587" s="14"/>
      <c r="FTW587" s="14"/>
      <c r="FTX587" s="14"/>
      <c r="FTY587" s="14"/>
      <c r="FTZ587" s="14"/>
      <c r="FUA587" s="14"/>
      <c r="FUB587" s="14"/>
      <c r="FUC587" s="14"/>
      <c r="FUD587" s="14"/>
      <c r="FUE587" s="14"/>
      <c r="FUF587" s="14"/>
      <c r="FUG587" s="14"/>
      <c r="FUH587" s="14"/>
      <c r="FUI587" s="14"/>
      <c r="FUJ587" s="14"/>
      <c r="FUK587" s="14"/>
      <c r="FUL587" s="14"/>
      <c r="FUM587" s="14"/>
      <c r="FUN587" s="14"/>
      <c r="FUO587" s="14"/>
      <c r="FUP587" s="14"/>
      <c r="FUQ587" s="14"/>
      <c r="FUR587" s="14"/>
      <c r="FUS587" s="14"/>
      <c r="FUT587" s="14"/>
      <c r="FUU587" s="14"/>
      <c r="FUV587" s="14"/>
      <c r="FUW587" s="14"/>
      <c r="FUX587" s="14"/>
      <c r="FUY587" s="14"/>
      <c r="FUZ587" s="14"/>
      <c r="FVA587" s="14"/>
      <c r="FVB587" s="14"/>
      <c r="FVC587" s="14"/>
      <c r="FVD587" s="14"/>
      <c r="FVE587" s="14"/>
      <c r="FVF587" s="14"/>
      <c r="FVG587" s="14"/>
      <c r="FVH587" s="14"/>
      <c r="FVI587" s="14"/>
      <c r="FVJ587" s="14"/>
      <c r="FVK587" s="14"/>
      <c r="FVL587" s="14"/>
      <c r="FVM587" s="14"/>
      <c r="FVN587" s="14"/>
      <c r="FVO587" s="14"/>
      <c r="FVP587" s="14"/>
      <c r="FVQ587" s="14"/>
      <c r="FVR587" s="14"/>
      <c r="FVS587" s="14"/>
      <c r="FVT587" s="14"/>
      <c r="FVU587" s="14"/>
      <c r="FVV587" s="14"/>
      <c r="FVW587" s="14"/>
      <c r="FVX587" s="14"/>
      <c r="FVY587" s="14"/>
      <c r="FVZ587" s="14"/>
      <c r="FWA587" s="14"/>
      <c r="FWB587" s="14"/>
      <c r="FWC587" s="14"/>
      <c r="FWD587" s="14"/>
      <c r="FWE587" s="14"/>
      <c r="FWF587" s="14"/>
      <c r="FWG587" s="14"/>
      <c r="FWH587" s="14"/>
      <c r="FWI587" s="14"/>
      <c r="FWJ587" s="14"/>
      <c r="FWK587" s="14"/>
      <c r="FWL587" s="14"/>
      <c r="FWM587" s="14"/>
      <c r="FWN587" s="14"/>
      <c r="FWO587" s="14"/>
      <c r="FWP587" s="14"/>
      <c r="FWQ587" s="14"/>
      <c r="FWR587" s="14"/>
      <c r="FWS587" s="14"/>
      <c r="FWT587" s="14"/>
      <c r="FWU587" s="14"/>
      <c r="FWV587" s="14"/>
      <c r="FWW587" s="14"/>
      <c r="FWX587" s="14"/>
      <c r="FWY587" s="14"/>
      <c r="FWZ587" s="14"/>
      <c r="FXA587" s="14"/>
      <c r="FXB587" s="14"/>
      <c r="FXC587" s="14"/>
      <c r="FXD587" s="14"/>
      <c r="FXE587" s="14"/>
      <c r="FXF587" s="14"/>
      <c r="FXG587" s="14"/>
      <c r="FXH587" s="14"/>
      <c r="FXI587" s="14"/>
      <c r="FXJ587" s="14"/>
      <c r="FXK587" s="14"/>
      <c r="FXL587" s="14"/>
      <c r="FXM587" s="14"/>
      <c r="FXN587" s="14"/>
      <c r="FXO587" s="14"/>
      <c r="FXP587" s="14"/>
      <c r="FXQ587" s="14"/>
      <c r="FXR587" s="14"/>
      <c r="FXS587" s="14"/>
      <c r="FXT587" s="14"/>
      <c r="FXU587" s="14"/>
      <c r="FXV587" s="14"/>
      <c r="FXW587" s="14"/>
      <c r="FXX587" s="14"/>
      <c r="FXY587" s="14"/>
      <c r="FXZ587" s="14"/>
      <c r="FYA587" s="14"/>
      <c r="FYB587" s="14"/>
      <c r="FYC587" s="14"/>
      <c r="FYD587" s="14"/>
      <c r="FYE587" s="14"/>
      <c r="FYF587" s="14"/>
      <c r="FYG587" s="14"/>
      <c r="FYH587" s="14"/>
      <c r="FYI587" s="14"/>
      <c r="FYJ587" s="14"/>
      <c r="FYK587" s="14"/>
      <c r="FYL587" s="14"/>
      <c r="FYM587" s="14"/>
      <c r="FYN587" s="14"/>
      <c r="FYO587" s="14"/>
      <c r="FYP587" s="14"/>
      <c r="FYQ587" s="14"/>
      <c r="FYR587" s="14"/>
      <c r="FYS587" s="14"/>
      <c r="FYT587" s="14"/>
      <c r="FYU587" s="14"/>
      <c r="FYV587" s="14"/>
      <c r="FYW587" s="14"/>
      <c r="FYX587" s="14"/>
      <c r="FYY587" s="14"/>
      <c r="FYZ587" s="14"/>
      <c r="FZA587" s="14"/>
      <c r="FZB587" s="14"/>
      <c r="FZC587" s="14"/>
      <c r="FZD587" s="14"/>
      <c r="FZE587" s="14"/>
      <c r="FZF587" s="14"/>
      <c r="FZG587" s="14"/>
      <c r="FZH587" s="14"/>
      <c r="FZI587" s="14"/>
      <c r="FZJ587" s="14"/>
      <c r="FZK587" s="14"/>
      <c r="FZL587" s="14"/>
      <c r="FZM587" s="14"/>
      <c r="FZN587" s="14"/>
      <c r="FZO587" s="14"/>
      <c r="FZP587" s="14"/>
      <c r="FZQ587" s="14"/>
      <c r="FZR587" s="14"/>
      <c r="FZS587" s="14"/>
      <c r="FZT587" s="14"/>
      <c r="FZU587" s="14"/>
      <c r="FZV587" s="14"/>
      <c r="FZW587" s="14"/>
      <c r="FZX587" s="14"/>
      <c r="FZY587" s="14"/>
      <c r="FZZ587" s="14"/>
      <c r="GAA587" s="14"/>
      <c r="GAB587" s="14"/>
      <c r="GAC587" s="14"/>
      <c r="GAD587" s="14"/>
      <c r="GAE587" s="14"/>
      <c r="GAF587" s="14"/>
      <c r="GAG587" s="14"/>
      <c r="GAH587" s="14"/>
      <c r="GAI587" s="14"/>
      <c r="GAJ587" s="14"/>
      <c r="GAK587" s="14"/>
      <c r="GAL587" s="14"/>
      <c r="GAM587" s="14"/>
      <c r="GAN587" s="14"/>
      <c r="GAO587" s="14"/>
      <c r="GAP587" s="14"/>
      <c r="GAQ587" s="14"/>
      <c r="GAR587" s="14"/>
      <c r="GAS587" s="14"/>
      <c r="GAT587" s="14"/>
      <c r="GAU587" s="14"/>
      <c r="GAV587" s="14"/>
      <c r="GAW587" s="14"/>
      <c r="GAX587" s="14"/>
      <c r="GAY587" s="14"/>
      <c r="GAZ587" s="14"/>
      <c r="GBA587" s="14"/>
      <c r="GBB587" s="14"/>
      <c r="GBC587" s="14"/>
      <c r="GBD587" s="14"/>
      <c r="GBE587" s="14"/>
      <c r="GBF587" s="14"/>
      <c r="GBG587" s="14"/>
      <c r="GBH587" s="14"/>
      <c r="GBI587" s="14"/>
      <c r="GBJ587" s="14"/>
      <c r="GBK587" s="14"/>
      <c r="GBL587" s="14"/>
      <c r="GBM587" s="14"/>
      <c r="GBN587" s="14"/>
      <c r="GBO587" s="14"/>
      <c r="GBP587" s="14"/>
      <c r="GBQ587" s="14"/>
      <c r="GBR587" s="14"/>
      <c r="GBS587" s="14"/>
      <c r="GBT587" s="14"/>
      <c r="GBU587" s="14"/>
      <c r="GBV587" s="14"/>
      <c r="GBW587" s="14"/>
      <c r="GBX587" s="14"/>
      <c r="GBY587" s="14"/>
      <c r="GBZ587" s="14"/>
      <c r="GCA587" s="14"/>
      <c r="GCB587" s="14"/>
      <c r="GCC587" s="14"/>
      <c r="GCD587" s="14"/>
      <c r="GCE587" s="14"/>
      <c r="GCF587" s="14"/>
      <c r="GCG587" s="14"/>
      <c r="GCH587" s="14"/>
      <c r="GCI587" s="14"/>
      <c r="GCJ587" s="14"/>
      <c r="GCK587" s="14"/>
      <c r="GCL587" s="14"/>
      <c r="GCM587" s="14"/>
      <c r="GCN587" s="14"/>
      <c r="GCO587" s="14"/>
      <c r="GCP587" s="14"/>
      <c r="GCQ587" s="14"/>
      <c r="GCR587" s="14"/>
      <c r="GCS587" s="14"/>
      <c r="GCT587" s="14"/>
      <c r="GCU587" s="14"/>
      <c r="GCV587" s="14"/>
      <c r="GCW587" s="14"/>
      <c r="GCX587" s="14"/>
      <c r="GCY587" s="14"/>
      <c r="GCZ587" s="14"/>
      <c r="GDA587" s="14"/>
      <c r="GDB587" s="14"/>
      <c r="GDC587" s="14"/>
      <c r="GDD587" s="14"/>
      <c r="GDE587" s="14"/>
      <c r="GDF587" s="14"/>
      <c r="GDG587" s="14"/>
      <c r="GDH587" s="14"/>
      <c r="GDI587" s="14"/>
      <c r="GDJ587" s="14"/>
      <c r="GDK587" s="14"/>
      <c r="GDL587" s="14"/>
      <c r="GDM587" s="14"/>
      <c r="GDN587" s="14"/>
      <c r="GDO587" s="14"/>
      <c r="GDP587" s="14"/>
      <c r="GDQ587" s="14"/>
      <c r="GDR587" s="14"/>
      <c r="GDS587" s="14"/>
      <c r="GDT587" s="14"/>
      <c r="GDU587" s="14"/>
      <c r="GDV587" s="14"/>
      <c r="GDW587" s="14"/>
      <c r="GDX587" s="14"/>
      <c r="GDY587" s="14"/>
      <c r="GDZ587" s="14"/>
      <c r="GEA587" s="14"/>
      <c r="GEB587" s="14"/>
      <c r="GEC587" s="14"/>
      <c r="GED587" s="14"/>
      <c r="GEE587" s="14"/>
      <c r="GEF587" s="14"/>
      <c r="GEG587" s="14"/>
      <c r="GEH587" s="14"/>
      <c r="GEI587" s="14"/>
      <c r="GEJ587" s="14"/>
      <c r="GEK587" s="14"/>
      <c r="GEL587" s="14"/>
      <c r="GEM587" s="14"/>
      <c r="GEN587" s="14"/>
      <c r="GEO587" s="14"/>
      <c r="GEP587" s="14"/>
      <c r="GEQ587" s="14"/>
      <c r="GER587" s="14"/>
      <c r="GES587" s="14"/>
      <c r="GET587" s="14"/>
      <c r="GEU587" s="14"/>
      <c r="GEV587" s="14"/>
      <c r="GEW587" s="14"/>
      <c r="GEX587" s="14"/>
      <c r="GEY587" s="14"/>
      <c r="GEZ587" s="14"/>
      <c r="GFA587" s="14"/>
      <c r="GFB587" s="14"/>
      <c r="GFC587" s="14"/>
      <c r="GFD587" s="14"/>
      <c r="GFE587" s="14"/>
      <c r="GFF587" s="14"/>
      <c r="GFG587" s="14"/>
      <c r="GFH587" s="14"/>
      <c r="GFI587" s="14"/>
      <c r="GFJ587" s="14"/>
      <c r="GFK587" s="14"/>
      <c r="GFL587" s="14"/>
      <c r="GFM587" s="14"/>
      <c r="GFN587" s="14"/>
      <c r="GFO587" s="14"/>
      <c r="GFP587" s="14"/>
      <c r="GFQ587" s="14"/>
      <c r="GFR587" s="14"/>
      <c r="GFS587" s="14"/>
      <c r="GFT587" s="14"/>
      <c r="GFU587" s="14"/>
      <c r="GFV587" s="14"/>
      <c r="GFW587" s="14"/>
      <c r="GFX587" s="14"/>
      <c r="GFY587" s="14"/>
      <c r="GFZ587" s="14"/>
      <c r="GGA587" s="14"/>
      <c r="GGB587" s="14"/>
      <c r="GGC587" s="14"/>
      <c r="GGD587" s="14"/>
      <c r="GGE587" s="14"/>
      <c r="GGF587" s="14"/>
      <c r="GGG587" s="14"/>
      <c r="GGH587" s="14"/>
      <c r="GGI587" s="14"/>
      <c r="GGJ587" s="14"/>
      <c r="GGK587" s="14"/>
      <c r="GGL587" s="14"/>
      <c r="GGM587" s="14"/>
      <c r="GGN587" s="14"/>
      <c r="GGO587" s="14"/>
      <c r="GGP587" s="14"/>
      <c r="GGQ587" s="14"/>
      <c r="GGR587" s="14"/>
      <c r="GGS587" s="14"/>
      <c r="GGT587" s="14"/>
      <c r="GGU587" s="14"/>
      <c r="GGV587" s="14"/>
      <c r="GGW587" s="14"/>
      <c r="GGX587" s="14"/>
      <c r="GGY587" s="14"/>
      <c r="GGZ587" s="14"/>
      <c r="GHA587" s="14"/>
      <c r="GHB587" s="14"/>
      <c r="GHC587" s="14"/>
      <c r="GHD587" s="14"/>
      <c r="GHE587" s="14"/>
      <c r="GHF587" s="14"/>
      <c r="GHG587" s="14"/>
      <c r="GHH587" s="14"/>
      <c r="GHI587" s="14"/>
      <c r="GHJ587" s="14"/>
      <c r="GHK587" s="14"/>
      <c r="GHL587" s="14"/>
      <c r="GHM587" s="14"/>
      <c r="GHN587" s="14"/>
      <c r="GHO587" s="14"/>
      <c r="GHP587" s="14"/>
      <c r="GHQ587" s="14"/>
      <c r="GHR587" s="14"/>
      <c r="GHS587" s="14"/>
      <c r="GHT587" s="14"/>
      <c r="GHU587" s="14"/>
      <c r="GHV587" s="14"/>
      <c r="GHW587" s="14"/>
      <c r="GHX587" s="14"/>
      <c r="GHY587" s="14"/>
      <c r="GHZ587" s="14"/>
      <c r="GIA587" s="14"/>
      <c r="GIB587" s="14"/>
      <c r="GIC587" s="14"/>
      <c r="GID587" s="14"/>
      <c r="GIE587" s="14"/>
      <c r="GIF587" s="14"/>
      <c r="GIG587" s="14"/>
      <c r="GIH587" s="14"/>
      <c r="GII587" s="14"/>
      <c r="GIJ587" s="14"/>
      <c r="GIK587" s="14"/>
      <c r="GIL587" s="14"/>
      <c r="GIM587" s="14"/>
      <c r="GIN587" s="14"/>
      <c r="GIO587" s="14"/>
      <c r="GIP587" s="14"/>
      <c r="GIQ587" s="14"/>
      <c r="GIR587" s="14"/>
      <c r="GIS587" s="14"/>
      <c r="GIT587" s="14"/>
      <c r="GIU587" s="14"/>
      <c r="GIV587" s="14"/>
      <c r="GIW587" s="14"/>
      <c r="GIX587" s="14"/>
      <c r="GIY587" s="14"/>
      <c r="GIZ587" s="14"/>
      <c r="GJA587" s="14"/>
      <c r="GJB587" s="14"/>
      <c r="GJC587" s="14"/>
      <c r="GJD587" s="14"/>
      <c r="GJE587" s="14"/>
      <c r="GJF587" s="14"/>
      <c r="GJG587" s="14"/>
      <c r="GJH587" s="14"/>
      <c r="GJI587" s="14"/>
      <c r="GJJ587" s="14"/>
      <c r="GJK587" s="14"/>
      <c r="GJL587" s="14"/>
      <c r="GJM587" s="14"/>
      <c r="GJN587" s="14"/>
      <c r="GJO587" s="14"/>
      <c r="GJP587" s="14"/>
      <c r="GJQ587" s="14"/>
      <c r="GJR587" s="14"/>
      <c r="GJS587" s="14"/>
      <c r="GJT587" s="14"/>
      <c r="GJU587" s="14"/>
      <c r="GJV587" s="14"/>
      <c r="GJW587" s="14"/>
      <c r="GJX587" s="14"/>
      <c r="GJY587" s="14"/>
      <c r="GJZ587" s="14"/>
      <c r="GKA587" s="14"/>
      <c r="GKB587" s="14"/>
      <c r="GKC587" s="14"/>
      <c r="GKD587" s="14"/>
      <c r="GKE587" s="14"/>
      <c r="GKF587" s="14"/>
      <c r="GKG587" s="14"/>
      <c r="GKH587" s="14"/>
      <c r="GKI587" s="14"/>
      <c r="GKJ587" s="14"/>
      <c r="GKK587" s="14"/>
      <c r="GKL587" s="14"/>
      <c r="GKM587" s="14"/>
      <c r="GKN587" s="14"/>
      <c r="GKO587" s="14"/>
      <c r="GKP587" s="14"/>
      <c r="GKQ587" s="14"/>
      <c r="GKR587" s="14"/>
      <c r="GKS587" s="14"/>
      <c r="GKT587" s="14"/>
      <c r="GKU587" s="14"/>
      <c r="GKV587" s="14"/>
      <c r="GKW587" s="14"/>
      <c r="GKX587" s="14"/>
      <c r="GKY587" s="14"/>
      <c r="GKZ587" s="14"/>
      <c r="GLA587" s="14"/>
      <c r="GLB587" s="14"/>
      <c r="GLC587" s="14"/>
      <c r="GLD587" s="14"/>
      <c r="GLE587" s="14"/>
      <c r="GLF587" s="14"/>
      <c r="GLG587" s="14"/>
      <c r="GLH587" s="14"/>
      <c r="GLI587" s="14"/>
      <c r="GLJ587" s="14"/>
      <c r="GLK587" s="14"/>
      <c r="GLL587" s="14"/>
      <c r="GLM587" s="14"/>
      <c r="GLN587" s="14"/>
      <c r="GLO587" s="14"/>
      <c r="GLP587" s="14"/>
      <c r="GLQ587" s="14"/>
      <c r="GLR587" s="14"/>
      <c r="GLS587" s="14"/>
      <c r="GLT587" s="14"/>
      <c r="GLU587" s="14"/>
      <c r="GLV587" s="14"/>
      <c r="GLW587" s="14"/>
      <c r="GLX587" s="14"/>
      <c r="GLY587" s="14"/>
      <c r="GLZ587" s="14"/>
      <c r="GMA587" s="14"/>
      <c r="GMB587" s="14"/>
      <c r="GMC587" s="14"/>
      <c r="GMD587" s="14"/>
      <c r="GME587" s="14"/>
      <c r="GMF587" s="14"/>
      <c r="GMG587" s="14"/>
      <c r="GMH587" s="14"/>
      <c r="GMI587" s="14"/>
      <c r="GMJ587" s="14"/>
      <c r="GMK587" s="14"/>
      <c r="GML587" s="14"/>
      <c r="GMM587" s="14"/>
      <c r="GMN587" s="14"/>
      <c r="GMO587" s="14"/>
      <c r="GMP587" s="14"/>
      <c r="GMQ587" s="14"/>
      <c r="GMR587" s="14"/>
      <c r="GMS587" s="14"/>
      <c r="GMT587" s="14"/>
      <c r="GMU587" s="14"/>
      <c r="GMV587" s="14"/>
      <c r="GMW587" s="14"/>
      <c r="GMX587" s="14"/>
      <c r="GMY587" s="14"/>
      <c r="GMZ587" s="14"/>
      <c r="GNA587" s="14"/>
      <c r="GNB587" s="14"/>
      <c r="GNC587" s="14"/>
      <c r="GND587" s="14"/>
      <c r="GNE587" s="14"/>
      <c r="GNF587" s="14"/>
      <c r="GNG587" s="14"/>
      <c r="GNH587" s="14"/>
      <c r="GNI587" s="14"/>
      <c r="GNJ587" s="14"/>
      <c r="GNK587" s="14"/>
      <c r="GNL587" s="14"/>
      <c r="GNM587" s="14"/>
      <c r="GNN587" s="14"/>
      <c r="GNO587" s="14"/>
      <c r="GNP587" s="14"/>
      <c r="GNQ587" s="14"/>
      <c r="GNR587" s="14"/>
      <c r="GNS587" s="14"/>
      <c r="GNT587" s="14"/>
      <c r="GNU587" s="14"/>
      <c r="GNV587" s="14"/>
      <c r="GNW587" s="14"/>
      <c r="GNX587" s="14"/>
      <c r="GNY587" s="14"/>
      <c r="GNZ587" s="14"/>
      <c r="GOA587" s="14"/>
      <c r="GOB587" s="14"/>
      <c r="GOC587" s="14"/>
      <c r="GOD587" s="14"/>
      <c r="GOE587" s="14"/>
      <c r="GOF587" s="14"/>
      <c r="GOG587" s="14"/>
      <c r="GOH587" s="14"/>
      <c r="GOI587" s="14"/>
      <c r="GOJ587" s="14"/>
      <c r="GOK587" s="14"/>
      <c r="GOL587" s="14"/>
      <c r="GOM587" s="14"/>
      <c r="GON587" s="14"/>
      <c r="GOO587" s="14"/>
      <c r="GOP587" s="14"/>
      <c r="GOQ587" s="14"/>
      <c r="GOR587" s="14"/>
      <c r="GOS587" s="14"/>
      <c r="GOT587" s="14"/>
      <c r="GOU587" s="14"/>
      <c r="GOV587" s="14"/>
      <c r="GOW587" s="14"/>
      <c r="GOX587" s="14"/>
      <c r="GOY587" s="14"/>
      <c r="GOZ587" s="14"/>
      <c r="GPA587" s="14"/>
      <c r="GPB587" s="14"/>
      <c r="GPC587" s="14"/>
      <c r="GPD587" s="14"/>
      <c r="GPE587" s="14"/>
      <c r="GPF587" s="14"/>
      <c r="GPG587" s="14"/>
      <c r="GPH587" s="14"/>
      <c r="GPI587" s="14"/>
      <c r="GPJ587" s="14"/>
      <c r="GPK587" s="14"/>
      <c r="GPL587" s="14"/>
      <c r="GPM587" s="14"/>
      <c r="GPN587" s="14"/>
      <c r="GPO587" s="14"/>
      <c r="GPP587" s="14"/>
      <c r="GPQ587" s="14"/>
      <c r="GPR587" s="14"/>
      <c r="GPS587" s="14"/>
      <c r="GPT587" s="14"/>
      <c r="GPU587" s="14"/>
      <c r="GPV587" s="14"/>
      <c r="GPW587" s="14"/>
      <c r="GPX587" s="14"/>
      <c r="GPY587" s="14"/>
      <c r="GPZ587" s="14"/>
      <c r="GQA587" s="14"/>
      <c r="GQB587" s="14"/>
      <c r="GQC587" s="14"/>
      <c r="GQD587" s="14"/>
      <c r="GQE587" s="14"/>
      <c r="GQF587" s="14"/>
      <c r="GQG587" s="14"/>
      <c r="GQH587" s="14"/>
      <c r="GQI587" s="14"/>
      <c r="GQJ587" s="14"/>
      <c r="GQK587" s="14"/>
      <c r="GQL587" s="14"/>
      <c r="GQM587" s="14"/>
      <c r="GQN587" s="14"/>
      <c r="GQO587" s="14"/>
      <c r="GQP587" s="14"/>
      <c r="GQQ587" s="14"/>
      <c r="GQR587" s="14"/>
      <c r="GQS587" s="14"/>
      <c r="GQT587" s="14"/>
      <c r="GQU587" s="14"/>
      <c r="GQV587" s="14"/>
      <c r="GQW587" s="14"/>
      <c r="GQX587" s="14"/>
      <c r="GQY587" s="14"/>
      <c r="GQZ587" s="14"/>
      <c r="GRA587" s="14"/>
      <c r="GRB587" s="14"/>
      <c r="GRC587" s="14"/>
      <c r="GRD587" s="14"/>
      <c r="GRE587" s="14"/>
      <c r="GRF587" s="14"/>
      <c r="GRG587" s="14"/>
      <c r="GRH587" s="14"/>
      <c r="GRI587" s="14"/>
      <c r="GRJ587" s="14"/>
      <c r="GRK587" s="14"/>
      <c r="GRL587" s="14"/>
      <c r="GRM587" s="14"/>
      <c r="GRN587" s="14"/>
      <c r="GRO587" s="14"/>
      <c r="GRP587" s="14"/>
      <c r="GRQ587" s="14"/>
      <c r="GRR587" s="14"/>
      <c r="GRS587" s="14"/>
      <c r="GRT587" s="14"/>
      <c r="GRU587" s="14"/>
      <c r="GRV587" s="14"/>
      <c r="GRW587" s="14"/>
      <c r="GRX587" s="14"/>
      <c r="GRY587" s="14"/>
      <c r="GRZ587" s="14"/>
      <c r="GSA587" s="14"/>
      <c r="GSB587" s="14"/>
      <c r="GSC587" s="14"/>
      <c r="GSD587" s="14"/>
      <c r="GSE587" s="14"/>
      <c r="GSF587" s="14"/>
      <c r="GSG587" s="14"/>
      <c r="GSH587" s="14"/>
      <c r="GSI587" s="14"/>
      <c r="GSJ587" s="14"/>
      <c r="GSK587" s="14"/>
      <c r="GSL587" s="14"/>
      <c r="GSM587" s="14"/>
      <c r="GSN587" s="14"/>
      <c r="GSO587" s="14"/>
      <c r="GSP587" s="14"/>
      <c r="GSQ587" s="14"/>
      <c r="GSR587" s="14"/>
      <c r="GSS587" s="14"/>
      <c r="GST587" s="14"/>
      <c r="GSU587" s="14"/>
      <c r="GSV587" s="14"/>
      <c r="GSW587" s="14"/>
      <c r="GSX587" s="14"/>
      <c r="GSY587" s="14"/>
      <c r="GSZ587" s="14"/>
      <c r="GTA587" s="14"/>
      <c r="GTB587" s="14"/>
      <c r="GTC587" s="14"/>
      <c r="GTD587" s="14"/>
      <c r="GTE587" s="14"/>
      <c r="GTF587" s="14"/>
      <c r="GTG587" s="14"/>
      <c r="GTH587" s="14"/>
      <c r="GTI587" s="14"/>
      <c r="GTJ587" s="14"/>
      <c r="GTK587" s="14"/>
      <c r="GTL587" s="14"/>
      <c r="GTM587" s="14"/>
      <c r="GTN587" s="14"/>
      <c r="GTO587" s="14"/>
      <c r="GTP587" s="14"/>
      <c r="GTQ587" s="14"/>
      <c r="GTR587" s="14"/>
      <c r="GTS587" s="14"/>
      <c r="GTT587" s="14"/>
      <c r="GTU587" s="14"/>
      <c r="GTV587" s="14"/>
      <c r="GTW587" s="14"/>
      <c r="GTX587" s="14"/>
      <c r="GTY587" s="14"/>
      <c r="GTZ587" s="14"/>
      <c r="GUA587" s="14"/>
      <c r="GUB587" s="14"/>
      <c r="GUC587" s="14"/>
      <c r="GUD587" s="14"/>
      <c r="GUE587" s="14"/>
      <c r="GUF587" s="14"/>
      <c r="GUG587" s="14"/>
      <c r="GUH587" s="14"/>
      <c r="GUI587" s="14"/>
      <c r="GUJ587" s="14"/>
      <c r="GUK587" s="14"/>
      <c r="GUL587" s="14"/>
      <c r="GUM587" s="14"/>
      <c r="GUN587" s="14"/>
      <c r="GUO587" s="14"/>
      <c r="GUP587" s="14"/>
      <c r="GUQ587" s="14"/>
      <c r="GUR587" s="14"/>
      <c r="GUS587" s="14"/>
      <c r="GUT587" s="14"/>
      <c r="GUU587" s="14"/>
      <c r="GUV587" s="14"/>
      <c r="GUW587" s="14"/>
      <c r="GUX587" s="14"/>
      <c r="GUY587" s="14"/>
      <c r="GUZ587" s="14"/>
      <c r="GVA587" s="14"/>
      <c r="GVB587" s="14"/>
      <c r="GVC587" s="14"/>
      <c r="GVD587" s="14"/>
      <c r="GVE587" s="14"/>
      <c r="GVF587" s="14"/>
      <c r="GVG587" s="14"/>
      <c r="GVH587" s="14"/>
      <c r="GVI587" s="14"/>
      <c r="GVJ587" s="14"/>
      <c r="GVK587" s="14"/>
      <c r="GVL587" s="14"/>
      <c r="GVM587" s="14"/>
      <c r="GVN587" s="14"/>
      <c r="GVO587" s="14"/>
      <c r="GVP587" s="14"/>
      <c r="GVQ587" s="14"/>
      <c r="GVR587" s="14"/>
      <c r="GVS587" s="14"/>
      <c r="GVT587" s="14"/>
      <c r="GVU587" s="14"/>
      <c r="GVV587" s="14"/>
      <c r="GVW587" s="14"/>
      <c r="GVX587" s="14"/>
      <c r="GVY587" s="14"/>
      <c r="GVZ587" s="14"/>
      <c r="GWA587" s="14"/>
      <c r="GWB587" s="14"/>
      <c r="GWC587" s="14"/>
      <c r="GWD587" s="14"/>
      <c r="GWE587" s="14"/>
      <c r="GWF587" s="14"/>
      <c r="GWG587" s="14"/>
      <c r="GWH587" s="14"/>
      <c r="GWI587" s="14"/>
      <c r="GWJ587" s="14"/>
      <c r="GWK587" s="14"/>
      <c r="GWL587" s="14"/>
      <c r="GWM587" s="14"/>
      <c r="GWN587" s="14"/>
      <c r="GWO587" s="14"/>
      <c r="GWP587" s="14"/>
      <c r="GWQ587" s="14"/>
      <c r="GWR587" s="14"/>
      <c r="GWS587" s="14"/>
      <c r="GWT587" s="14"/>
      <c r="GWU587" s="14"/>
      <c r="GWV587" s="14"/>
      <c r="GWW587" s="14"/>
      <c r="GWX587" s="14"/>
      <c r="GWY587" s="14"/>
      <c r="GWZ587" s="14"/>
      <c r="GXA587" s="14"/>
      <c r="GXB587" s="14"/>
      <c r="GXC587" s="14"/>
      <c r="GXD587" s="14"/>
      <c r="GXE587" s="14"/>
      <c r="GXF587" s="14"/>
      <c r="GXG587" s="14"/>
      <c r="GXH587" s="14"/>
      <c r="GXI587" s="14"/>
      <c r="GXJ587" s="14"/>
      <c r="GXK587" s="14"/>
      <c r="GXL587" s="14"/>
      <c r="GXM587" s="14"/>
      <c r="GXN587" s="14"/>
      <c r="GXO587" s="14"/>
      <c r="GXP587" s="14"/>
      <c r="GXQ587" s="14"/>
      <c r="GXR587" s="14"/>
      <c r="GXS587" s="14"/>
      <c r="GXT587" s="14"/>
      <c r="GXU587" s="14"/>
      <c r="GXV587" s="14"/>
      <c r="GXW587" s="14"/>
      <c r="GXX587" s="14"/>
      <c r="GXY587" s="14"/>
      <c r="GXZ587" s="14"/>
      <c r="GYA587" s="14"/>
      <c r="GYB587" s="14"/>
      <c r="GYC587" s="14"/>
      <c r="GYD587" s="14"/>
      <c r="GYE587" s="14"/>
      <c r="GYF587" s="14"/>
      <c r="GYG587" s="14"/>
      <c r="GYH587" s="14"/>
      <c r="GYI587" s="14"/>
      <c r="GYJ587" s="14"/>
      <c r="GYK587" s="14"/>
      <c r="GYL587" s="14"/>
      <c r="GYM587" s="14"/>
      <c r="GYN587" s="14"/>
      <c r="GYO587" s="14"/>
      <c r="GYP587" s="14"/>
      <c r="GYQ587" s="14"/>
      <c r="GYR587" s="14"/>
      <c r="GYS587" s="14"/>
      <c r="GYT587" s="14"/>
      <c r="GYU587" s="14"/>
      <c r="GYV587" s="14"/>
      <c r="GYW587" s="14"/>
      <c r="GYX587" s="14"/>
      <c r="GYY587" s="14"/>
      <c r="GYZ587" s="14"/>
      <c r="GZA587" s="14"/>
      <c r="GZB587" s="14"/>
      <c r="GZC587" s="14"/>
      <c r="GZD587" s="14"/>
      <c r="GZE587" s="14"/>
      <c r="GZF587" s="14"/>
      <c r="GZG587" s="14"/>
      <c r="GZH587" s="14"/>
      <c r="GZI587" s="14"/>
      <c r="GZJ587" s="14"/>
      <c r="GZK587" s="14"/>
      <c r="GZL587" s="14"/>
      <c r="GZM587" s="14"/>
      <c r="GZN587" s="14"/>
      <c r="GZO587" s="14"/>
      <c r="GZP587" s="14"/>
      <c r="GZQ587" s="14"/>
      <c r="GZR587" s="14"/>
      <c r="GZS587" s="14"/>
      <c r="GZT587" s="14"/>
      <c r="GZU587" s="14"/>
      <c r="GZV587" s="14"/>
      <c r="GZW587" s="14"/>
      <c r="GZX587" s="14"/>
      <c r="GZY587" s="14"/>
      <c r="GZZ587" s="14"/>
      <c r="HAA587" s="14"/>
      <c r="HAB587" s="14"/>
      <c r="HAC587" s="14"/>
      <c r="HAD587" s="14"/>
      <c r="HAE587" s="14"/>
      <c r="HAF587" s="14"/>
      <c r="HAG587" s="14"/>
      <c r="HAH587" s="14"/>
      <c r="HAI587" s="14"/>
      <c r="HAJ587" s="14"/>
      <c r="HAK587" s="14"/>
      <c r="HAL587" s="14"/>
      <c r="HAM587" s="14"/>
      <c r="HAN587" s="14"/>
      <c r="HAO587" s="14"/>
      <c r="HAP587" s="14"/>
      <c r="HAQ587" s="14"/>
      <c r="HAR587" s="14"/>
      <c r="HAS587" s="14"/>
      <c r="HAT587" s="14"/>
      <c r="HAU587" s="14"/>
      <c r="HAV587" s="14"/>
      <c r="HAW587" s="14"/>
      <c r="HAX587" s="14"/>
      <c r="HAY587" s="14"/>
      <c r="HAZ587" s="14"/>
      <c r="HBA587" s="14"/>
      <c r="HBB587" s="14"/>
      <c r="HBC587" s="14"/>
      <c r="HBD587" s="14"/>
      <c r="HBE587" s="14"/>
      <c r="HBF587" s="14"/>
      <c r="HBG587" s="14"/>
      <c r="HBH587" s="14"/>
      <c r="HBI587" s="14"/>
      <c r="HBJ587" s="14"/>
      <c r="HBK587" s="14"/>
      <c r="HBL587" s="14"/>
      <c r="HBM587" s="14"/>
      <c r="HBN587" s="14"/>
      <c r="HBO587" s="14"/>
      <c r="HBP587" s="14"/>
      <c r="HBQ587" s="14"/>
      <c r="HBR587" s="14"/>
      <c r="HBS587" s="14"/>
      <c r="HBT587" s="14"/>
      <c r="HBU587" s="14"/>
      <c r="HBV587" s="14"/>
      <c r="HBW587" s="14"/>
      <c r="HBX587" s="14"/>
      <c r="HBY587" s="14"/>
      <c r="HBZ587" s="14"/>
      <c r="HCA587" s="14"/>
      <c r="HCB587" s="14"/>
      <c r="HCC587" s="14"/>
      <c r="HCD587" s="14"/>
      <c r="HCE587" s="14"/>
      <c r="HCF587" s="14"/>
      <c r="HCG587" s="14"/>
      <c r="HCH587" s="14"/>
      <c r="HCI587" s="14"/>
      <c r="HCJ587" s="14"/>
      <c r="HCK587" s="14"/>
      <c r="HCL587" s="14"/>
      <c r="HCM587" s="14"/>
      <c r="HCN587" s="14"/>
      <c r="HCO587" s="14"/>
      <c r="HCP587" s="14"/>
      <c r="HCQ587" s="14"/>
      <c r="HCR587" s="14"/>
      <c r="HCS587" s="14"/>
      <c r="HCT587" s="14"/>
      <c r="HCU587" s="14"/>
      <c r="HCV587" s="14"/>
      <c r="HCW587" s="14"/>
      <c r="HCX587" s="14"/>
      <c r="HCY587" s="14"/>
      <c r="HCZ587" s="14"/>
      <c r="HDA587" s="14"/>
      <c r="HDB587" s="14"/>
      <c r="HDC587" s="14"/>
      <c r="HDD587" s="14"/>
      <c r="HDE587" s="14"/>
      <c r="HDF587" s="14"/>
      <c r="HDG587" s="14"/>
      <c r="HDH587" s="14"/>
      <c r="HDI587" s="14"/>
      <c r="HDJ587" s="14"/>
      <c r="HDK587" s="14"/>
      <c r="HDL587" s="14"/>
      <c r="HDM587" s="14"/>
      <c r="HDN587" s="14"/>
      <c r="HDO587" s="14"/>
      <c r="HDP587" s="14"/>
      <c r="HDQ587" s="14"/>
      <c r="HDR587" s="14"/>
      <c r="HDS587" s="14"/>
      <c r="HDT587" s="14"/>
      <c r="HDU587" s="14"/>
      <c r="HDV587" s="14"/>
      <c r="HDW587" s="14"/>
      <c r="HDX587" s="14"/>
      <c r="HDY587" s="14"/>
      <c r="HDZ587" s="14"/>
      <c r="HEA587" s="14"/>
      <c r="HEB587" s="14"/>
      <c r="HEC587" s="14"/>
      <c r="HED587" s="14"/>
      <c r="HEE587" s="14"/>
      <c r="HEF587" s="14"/>
      <c r="HEG587" s="14"/>
      <c r="HEH587" s="14"/>
      <c r="HEI587" s="14"/>
      <c r="HEJ587" s="14"/>
      <c r="HEK587" s="14"/>
      <c r="HEL587" s="14"/>
      <c r="HEM587" s="14"/>
      <c r="HEN587" s="14"/>
      <c r="HEO587" s="14"/>
      <c r="HEP587" s="14"/>
      <c r="HEQ587" s="14"/>
      <c r="HER587" s="14"/>
      <c r="HES587" s="14"/>
      <c r="HET587" s="14"/>
      <c r="HEU587" s="14"/>
      <c r="HEV587" s="14"/>
      <c r="HEW587" s="14"/>
      <c r="HEX587" s="14"/>
      <c r="HEY587" s="14"/>
      <c r="HEZ587" s="14"/>
      <c r="HFA587" s="14"/>
      <c r="HFB587" s="14"/>
      <c r="HFC587" s="14"/>
      <c r="HFD587" s="14"/>
      <c r="HFE587" s="14"/>
      <c r="HFF587" s="14"/>
      <c r="HFG587" s="14"/>
      <c r="HFH587" s="14"/>
      <c r="HFI587" s="14"/>
      <c r="HFJ587" s="14"/>
      <c r="HFK587" s="14"/>
      <c r="HFL587" s="14"/>
      <c r="HFM587" s="14"/>
      <c r="HFN587" s="14"/>
      <c r="HFO587" s="14"/>
      <c r="HFP587" s="14"/>
      <c r="HFQ587" s="14"/>
      <c r="HFR587" s="14"/>
      <c r="HFS587" s="14"/>
      <c r="HFT587" s="14"/>
      <c r="HFU587" s="14"/>
      <c r="HFV587" s="14"/>
      <c r="HFW587" s="14"/>
      <c r="HFX587" s="14"/>
      <c r="HFY587" s="14"/>
      <c r="HFZ587" s="14"/>
      <c r="HGA587" s="14"/>
      <c r="HGB587" s="14"/>
      <c r="HGC587" s="14"/>
      <c r="HGD587" s="14"/>
      <c r="HGE587" s="14"/>
      <c r="HGF587" s="14"/>
      <c r="HGG587" s="14"/>
      <c r="HGH587" s="14"/>
      <c r="HGI587" s="14"/>
      <c r="HGJ587" s="14"/>
      <c r="HGK587" s="14"/>
      <c r="HGL587" s="14"/>
      <c r="HGM587" s="14"/>
      <c r="HGN587" s="14"/>
      <c r="HGO587" s="14"/>
      <c r="HGP587" s="14"/>
      <c r="HGQ587" s="14"/>
      <c r="HGR587" s="14"/>
      <c r="HGS587" s="14"/>
      <c r="HGT587" s="14"/>
      <c r="HGU587" s="14"/>
      <c r="HGV587" s="14"/>
      <c r="HGW587" s="14"/>
      <c r="HGX587" s="14"/>
      <c r="HGY587" s="14"/>
      <c r="HGZ587" s="14"/>
      <c r="HHA587" s="14"/>
      <c r="HHB587" s="14"/>
      <c r="HHC587" s="14"/>
      <c r="HHD587" s="14"/>
      <c r="HHE587" s="14"/>
      <c r="HHF587" s="14"/>
      <c r="HHG587" s="14"/>
      <c r="HHH587" s="14"/>
      <c r="HHI587" s="14"/>
      <c r="HHJ587" s="14"/>
      <c r="HHK587" s="14"/>
      <c r="HHL587" s="14"/>
      <c r="HHM587" s="14"/>
      <c r="HHN587" s="14"/>
      <c r="HHO587" s="14"/>
      <c r="HHP587" s="14"/>
      <c r="HHQ587" s="14"/>
      <c r="HHR587" s="14"/>
      <c r="HHS587" s="14"/>
      <c r="HHT587" s="14"/>
      <c r="HHU587" s="14"/>
      <c r="HHV587" s="14"/>
      <c r="HHW587" s="14"/>
      <c r="HHX587" s="14"/>
      <c r="HHY587" s="14"/>
      <c r="HHZ587" s="14"/>
      <c r="HIA587" s="14"/>
      <c r="HIB587" s="14"/>
      <c r="HIC587" s="14"/>
      <c r="HID587" s="14"/>
      <c r="HIE587" s="14"/>
      <c r="HIF587" s="14"/>
      <c r="HIG587" s="14"/>
      <c r="HIH587" s="14"/>
      <c r="HII587" s="14"/>
      <c r="HIJ587" s="14"/>
      <c r="HIK587" s="14"/>
      <c r="HIL587" s="14"/>
      <c r="HIM587" s="14"/>
      <c r="HIN587" s="14"/>
      <c r="HIO587" s="14"/>
      <c r="HIP587" s="14"/>
      <c r="HIQ587" s="14"/>
      <c r="HIR587" s="14"/>
      <c r="HIS587" s="14"/>
      <c r="HIT587" s="14"/>
      <c r="HIU587" s="14"/>
      <c r="HIV587" s="14"/>
      <c r="HIW587" s="14"/>
      <c r="HIX587" s="14"/>
      <c r="HIY587" s="14"/>
      <c r="HIZ587" s="14"/>
      <c r="HJA587" s="14"/>
      <c r="HJB587" s="14"/>
      <c r="HJC587" s="14"/>
      <c r="HJD587" s="14"/>
      <c r="HJE587" s="14"/>
      <c r="HJF587" s="14"/>
      <c r="HJG587" s="14"/>
      <c r="HJH587" s="14"/>
      <c r="HJI587" s="14"/>
      <c r="HJJ587" s="14"/>
      <c r="HJK587" s="14"/>
      <c r="HJL587" s="14"/>
      <c r="HJM587" s="14"/>
      <c r="HJN587" s="14"/>
      <c r="HJO587" s="14"/>
      <c r="HJP587" s="14"/>
      <c r="HJQ587" s="14"/>
      <c r="HJR587" s="14"/>
      <c r="HJS587" s="14"/>
      <c r="HJT587" s="14"/>
      <c r="HJU587" s="14"/>
      <c r="HJV587" s="14"/>
      <c r="HJW587" s="14"/>
      <c r="HJX587" s="14"/>
      <c r="HJY587" s="14"/>
      <c r="HJZ587" s="14"/>
      <c r="HKA587" s="14"/>
      <c r="HKB587" s="14"/>
      <c r="HKC587" s="14"/>
      <c r="HKD587" s="14"/>
      <c r="HKE587" s="14"/>
      <c r="HKF587" s="14"/>
      <c r="HKG587" s="14"/>
      <c r="HKH587" s="14"/>
      <c r="HKI587" s="14"/>
      <c r="HKJ587" s="14"/>
      <c r="HKK587" s="14"/>
      <c r="HKL587" s="14"/>
      <c r="HKM587" s="14"/>
      <c r="HKN587" s="14"/>
      <c r="HKO587" s="14"/>
      <c r="HKP587" s="14"/>
      <c r="HKQ587" s="14"/>
      <c r="HKR587" s="14"/>
      <c r="HKS587" s="14"/>
      <c r="HKT587" s="14"/>
      <c r="HKU587" s="14"/>
      <c r="HKV587" s="14"/>
      <c r="HKW587" s="14"/>
      <c r="HKX587" s="14"/>
      <c r="HKY587" s="14"/>
      <c r="HKZ587" s="14"/>
      <c r="HLA587" s="14"/>
      <c r="HLB587" s="14"/>
      <c r="HLC587" s="14"/>
      <c r="HLD587" s="14"/>
      <c r="HLE587" s="14"/>
      <c r="HLF587" s="14"/>
      <c r="HLG587" s="14"/>
      <c r="HLH587" s="14"/>
      <c r="HLI587" s="14"/>
      <c r="HLJ587" s="14"/>
      <c r="HLK587" s="14"/>
      <c r="HLL587" s="14"/>
      <c r="HLM587" s="14"/>
      <c r="HLN587" s="14"/>
      <c r="HLO587" s="14"/>
      <c r="HLP587" s="14"/>
      <c r="HLQ587" s="14"/>
      <c r="HLR587" s="14"/>
      <c r="HLS587" s="14"/>
      <c r="HLT587" s="14"/>
      <c r="HLU587" s="14"/>
      <c r="HLV587" s="14"/>
      <c r="HLW587" s="14"/>
      <c r="HLX587" s="14"/>
      <c r="HLY587" s="14"/>
      <c r="HLZ587" s="14"/>
      <c r="HMA587" s="14"/>
      <c r="HMB587" s="14"/>
      <c r="HMC587" s="14"/>
      <c r="HMD587" s="14"/>
      <c r="HME587" s="14"/>
      <c r="HMF587" s="14"/>
      <c r="HMG587" s="14"/>
      <c r="HMH587" s="14"/>
      <c r="HMI587" s="14"/>
      <c r="HMJ587" s="14"/>
      <c r="HMK587" s="14"/>
      <c r="HML587" s="14"/>
      <c r="HMM587" s="14"/>
      <c r="HMN587" s="14"/>
      <c r="HMO587" s="14"/>
      <c r="HMP587" s="14"/>
      <c r="HMQ587" s="14"/>
      <c r="HMR587" s="14"/>
      <c r="HMS587" s="14"/>
      <c r="HMT587" s="14"/>
      <c r="HMU587" s="14"/>
      <c r="HMV587" s="14"/>
      <c r="HMW587" s="14"/>
      <c r="HMX587" s="14"/>
      <c r="HMY587" s="14"/>
      <c r="HMZ587" s="14"/>
      <c r="HNA587" s="14"/>
      <c r="HNB587" s="14"/>
      <c r="HNC587" s="14"/>
      <c r="HND587" s="14"/>
      <c r="HNE587" s="14"/>
      <c r="HNF587" s="14"/>
      <c r="HNG587" s="14"/>
      <c r="HNH587" s="14"/>
      <c r="HNI587" s="14"/>
      <c r="HNJ587" s="14"/>
      <c r="HNK587" s="14"/>
      <c r="HNL587" s="14"/>
      <c r="HNM587" s="14"/>
      <c r="HNN587" s="14"/>
      <c r="HNO587" s="14"/>
      <c r="HNP587" s="14"/>
      <c r="HNQ587" s="14"/>
      <c r="HNR587" s="14"/>
      <c r="HNS587" s="14"/>
      <c r="HNT587" s="14"/>
      <c r="HNU587" s="14"/>
      <c r="HNV587" s="14"/>
      <c r="HNW587" s="14"/>
      <c r="HNX587" s="14"/>
      <c r="HNY587" s="14"/>
      <c r="HNZ587" s="14"/>
      <c r="HOA587" s="14"/>
      <c r="HOB587" s="14"/>
      <c r="HOC587" s="14"/>
      <c r="HOD587" s="14"/>
      <c r="HOE587" s="14"/>
      <c r="HOF587" s="14"/>
      <c r="HOG587" s="14"/>
      <c r="HOH587" s="14"/>
      <c r="HOI587" s="14"/>
      <c r="HOJ587" s="14"/>
      <c r="HOK587" s="14"/>
      <c r="HOL587" s="14"/>
      <c r="HOM587" s="14"/>
      <c r="HON587" s="14"/>
      <c r="HOO587" s="14"/>
      <c r="HOP587" s="14"/>
      <c r="HOQ587" s="14"/>
      <c r="HOR587" s="14"/>
      <c r="HOS587" s="14"/>
      <c r="HOT587" s="14"/>
      <c r="HOU587" s="14"/>
      <c r="HOV587" s="14"/>
      <c r="HOW587" s="14"/>
      <c r="HOX587" s="14"/>
      <c r="HOY587" s="14"/>
      <c r="HOZ587" s="14"/>
      <c r="HPA587" s="14"/>
      <c r="HPB587" s="14"/>
      <c r="HPC587" s="14"/>
      <c r="HPD587" s="14"/>
      <c r="HPE587" s="14"/>
      <c r="HPF587" s="14"/>
      <c r="HPG587" s="14"/>
      <c r="HPH587" s="14"/>
      <c r="HPI587" s="14"/>
      <c r="HPJ587" s="14"/>
      <c r="HPK587" s="14"/>
      <c r="HPL587" s="14"/>
      <c r="HPM587" s="14"/>
      <c r="HPN587" s="14"/>
      <c r="HPO587" s="14"/>
      <c r="HPP587" s="14"/>
      <c r="HPQ587" s="14"/>
      <c r="HPR587" s="14"/>
      <c r="HPS587" s="14"/>
      <c r="HPT587" s="14"/>
      <c r="HPU587" s="14"/>
      <c r="HPV587" s="14"/>
      <c r="HPW587" s="14"/>
      <c r="HPX587" s="14"/>
      <c r="HPY587" s="14"/>
      <c r="HPZ587" s="14"/>
      <c r="HQA587" s="14"/>
      <c r="HQB587" s="14"/>
      <c r="HQC587" s="14"/>
      <c r="HQD587" s="14"/>
      <c r="HQE587" s="14"/>
      <c r="HQF587" s="14"/>
      <c r="HQG587" s="14"/>
      <c r="HQH587" s="14"/>
      <c r="HQI587" s="14"/>
      <c r="HQJ587" s="14"/>
      <c r="HQK587" s="14"/>
      <c r="HQL587" s="14"/>
      <c r="HQM587" s="14"/>
      <c r="HQN587" s="14"/>
      <c r="HQO587" s="14"/>
      <c r="HQP587" s="14"/>
      <c r="HQQ587" s="14"/>
      <c r="HQR587" s="14"/>
      <c r="HQS587" s="14"/>
      <c r="HQT587" s="14"/>
      <c r="HQU587" s="14"/>
      <c r="HQV587" s="14"/>
      <c r="HQW587" s="14"/>
      <c r="HQX587" s="14"/>
      <c r="HQY587" s="14"/>
      <c r="HQZ587" s="14"/>
      <c r="HRA587" s="14"/>
      <c r="HRB587" s="14"/>
      <c r="HRC587" s="14"/>
      <c r="HRD587" s="14"/>
      <c r="HRE587" s="14"/>
      <c r="HRF587" s="14"/>
      <c r="HRG587" s="14"/>
      <c r="HRH587" s="14"/>
      <c r="HRI587" s="14"/>
      <c r="HRJ587" s="14"/>
      <c r="HRK587" s="14"/>
      <c r="HRL587" s="14"/>
      <c r="HRM587" s="14"/>
      <c r="HRN587" s="14"/>
      <c r="HRO587" s="14"/>
      <c r="HRP587" s="14"/>
      <c r="HRQ587" s="14"/>
      <c r="HRR587" s="14"/>
      <c r="HRS587" s="14"/>
      <c r="HRT587" s="14"/>
      <c r="HRU587" s="14"/>
      <c r="HRV587" s="14"/>
      <c r="HRW587" s="14"/>
      <c r="HRX587" s="14"/>
      <c r="HRY587" s="14"/>
      <c r="HRZ587" s="14"/>
      <c r="HSA587" s="14"/>
      <c r="HSB587" s="14"/>
      <c r="HSC587" s="14"/>
      <c r="HSD587" s="14"/>
      <c r="HSE587" s="14"/>
      <c r="HSF587" s="14"/>
      <c r="HSG587" s="14"/>
      <c r="HSH587" s="14"/>
      <c r="HSI587" s="14"/>
      <c r="HSJ587" s="14"/>
      <c r="HSK587" s="14"/>
      <c r="HSL587" s="14"/>
      <c r="HSM587" s="14"/>
      <c r="HSN587" s="14"/>
      <c r="HSO587" s="14"/>
      <c r="HSP587" s="14"/>
      <c r="HSQ587" s="14"/>
      <c r="HSR587" s="14"/>
      <c r="HSS587" s="14"/>
      <c r="HST587" s="14"/>
      <c r="HSU587" s="14"/>
      <c r="HSV587" s="14"/>
      <c r="HSW587" s="14"/>
      <c r="HSX587" s="14"/>
      <c r="HSY587" s="14"/>
      <c r="HSZ587" s="14"/>
      <c r="HTA587" s="14"/>
      <c r="HTB587" s="14"/>
      <c r="HTC587" s="14"/>
      <c r="HTD587" s="14"/>
      <c r="HTE587" s="14"/>
      <c r="HTF587" s="14"/>
      <c r="HTG587" s="14"/>
      <c r="HTH587" s="14"/>
      <c r="HTI587" s="14"/>
      <c r="HTJ587" s="14"/>
      <c r="HTK587" s="14"/>
      <c r="HTL587" s="14"/>
      <c r="HTM587" s="14"/>
      <c r="HTN587" s="14"/>
      <c r="HTO587" s="14"/>
      <c r="HTP587" s="14"/>
      <c r="HTQ587" s="14"/>
      <c r="HTR587" s="14"/>
      <c r="HTS587" s="14"/>
      <c r="HTT587" s="14"/>
      <c r="HTU587" s="14"/>
      <c r="HTV587" s="14"/>
      <c r="HTW587" s="14"/>
      <c r="HTX587" s="14"/>
      <c r="HTY587" s="14"/>
      <c r="HTZ587" s="14"/>
      <c r="HUA587" s="14"/>
      <c r="HUB587" s="14"/>
      <c r="HUC587" s="14"/>
      <c r="HUD587" s="14"/>
      <c r="HUE587" s="14"/>
      <c r="HUF587" s="14"/>
      <c r="HUG587" s="14"/>
      <c r="HUH587" s="14"/>
      <c r="HUI587" s="14"/>
      <c r="HUJ587" s="14"/>
      <c r="HUK587" s="14"/>
      <c r="HUL587" s="14"/>
      <c r="HUM587" s="14"/>
      <c r="HUN587" s="14"/>
      <c r="HUO587" s="14"/>
      <c r="HUP587" s="14"/>
      <c r="HUQ587" s="14"/>
      <c r="HUR587" s="14"/>
      <c r="HUS587" s="14"/>
      <c r="HUT587" s="14"/>
      <c r="HUU587" s="14"/>
      <c r="HUV587" s="14"/>
      <c r="HUW587" s="14"/>
      <c r="HUX587" s="14"/>
      <c r="HUY587" s="14"/>
      <c r="HUZ587" s="14"/>
      <c r="HVA587" s="14"/>
      <c r="HVB587" s="14"/>
      <c r="HVC587" s="14"/>
      <c r="HVD587" s="14"/>
      <c r="HVE587" s="14"/>
      <c r="HVF587" s="14"/>
      <c r="HVG587" s="14"/>
      <c r="HVH587" s="14"/>
      <c r="HVI587" s="14"/>
      <c r="HVJ587" s="14"/>
      <c r="HVK587" s="14"/>
      <c r="HVL587" s="14"/>
      <c r="HVM587" s="14"/>
      <c r="HVN587" s="14"/>
      <c r="HVO587" s="14"/>
      <c r="HVP587" s="14"/>
      <c r="HVQ587" s="14"/>
      <c r="HVR587" s="14"/>
      <c r="HVS587" s="14"/>
      <c r="HVT587" s="14"/>
      <c r="HVU587" s="14"/>
      <c r="HVV587" s="14"/>
      <c r="HVW587" s="14"/>
      <c r="HVX587" s="14"/>
      <c r="HVY587" s="14"/>
      <c r="HVZ587" s="14"/>
      <c r="HWA587" s="14"/>
      <c r="HWB587" s="14"/>
      <c r="HWC587" s="14"/>
      <c r="HWD587" s="14"/>
      <c r="HWE587" s="14"/>
      <c r="HWF587" s="14"/>
      <c r="HWG587" s="14"/>
      <c r="HWH587" s="14"/>
      <c r="HWI587" s="14"/>
      <c r="HWJ587" s="14"/>
      <c r="HWK587" s="14"/>
      <c r="HWL587" s="14"/>
      <c r="HWM587" s="14"/>
      <c r="HWN587" s="14"/>
      <c r="HWO587" s="14"/>
      <c r="HWP587" s="14"/>
      <c r="HWQ587" s="14"/>
      <c r="HWR587" s="14"/>
      <c r="HWS587" s="14"/>
      <c r="HWT587" s="14"/>
      <c r="HWU587" s="14"/>
      <c r="HWV587" s="14"/>
      <c r="HWW587" s="14"/>
      <c r="HWX587" s="14"/>
      <c r="HWY587" s="14"/>
      <c r="HWZ587" s="14"/>
      <c r="HXA587" s="14"/>
      <c r="HXB587" s="14"/>
      <c r="HXC587" s="14"/>
      <c r="HXD587" s="14"/>
      <c r="HXE587" s="14"/>
      <c r="HXF587" s="14"/>
      <c r="HXG587" s="14"/>
      <c r="HXH587" s="14"/>
      <c r="HXI587" s="14"/>
      <c r="HXJ587" s="14"/>
      <c r="HXK587" s="14"/>
      <c r="HXL587" s="14"/>
      <c r="HXM587" s="14"/>
      <c r="HXN587" s="14"/>
      <c r="HXO587" s="14"/>
      <c r="HXP587" s="14"/>
      <c r="HXQ587" s="14"/>
      <c r="HXR587" s="14"/>
      <c r="HXS587" s="14"/>
      <c r="HXT587" s="14"/>
      <c r="HXU587" s="14"/>
      <c r="HXV587" s="14"/>
      <c r="HXW587" s="14"/>
      <c r="HXX587" s="14"/>
      <c r="HXY587" s="14"/>
      <c r="HXZ587" s="14"/>
      <c r="HYA587" s="14"/>
      <c r="HYB587" s="14"/>
      <c r="HYC587" s="14"/>
      <c r="HYD587" s="14"/>
      <c r="HYE587" s="14"/>
      <c r="HYF587" s="14"/>
      <c r="HYG587" s="14"/>
      <c r="HYH587" s="14"/>
      <c r="HYI587" s="14"/>
      <c r="HYJ587" s="14"/>
      <c r="HYK587" s="14"/>
      <c r="HYL587" s="14"/>
      <c r="HYM587" s="14"/>
      <c r="HYN587" s="14"/>
      <c r="HYO587" s="14"/>
      <c r="HYP587" s="14"/>
      <c r="HYQ587" s="14"/>
      <c r="HYR587" s="14"/>
      <c r="HYS587" s="14"/>
      <c r="HYT587" s="14"/>
      <c r="HYU587" s="14"/>
      <c r="HYV587" s="14"/>
      <c r="HYW587" s="14"/>
      <c r="HYX587" s="14"/>
      <c r="HYY587" s="14"/>
      <c r="HYZ587" s="14"/>
      <c r="HZA587" s="14"/>
      <c r="HZB587" s="14"/>
      <c r="HZC587" s="14"/>
      <c r="HZD587" s="14"/>
      <c r="HZE587" s="14"/>
      <c r="HZF587" s="14"/>
      <c r="HZG587" s="14"/>
      <c r="HZH587" s="14"/>
      <c r="HZI587" s="14"/>
      <c r="HZJ587" s="14"/>
      <c r="HZK587" s="14"/>
      <c r="HZL587" s="14"/>
      <c r="HZM587" s="14"/>
      <c r="HZN587" s="14"/>
      <c r="HZO587" s="14"/>
      <c r="HZP587" s="14"/>
      <c r="HZQ587" s="14"/>
      <c r="HZR587" s="14"/>
      <c r="HZS587" s="14"/>
      <c r="HZT587" s="14"/>
      <c r="HZU587" s="14"/>
      <c r="HZV587" s="14"/>
      <c r="HZW587" s="14"/>
      <c r="HZX587" s="14"/>
      <c r="HZY587" s="14"/>
      <c r="HZZ587" s="14"/>
      <c r="IAA587" s="14"/>
      <c r="IAB587" s="14"/>
      <c r="IAC587" s="14"/>
      <c r="IAD587" s="14"/>
      <c r="IAE587" s="14"/>
      <c r="IAF587" s="14"/>
      <c r="IAG587" s="14"/>
      <c r="IAH587" s="14"/>
      <c r="IAI587" s="14"/>
      <c r="IAJ587" s="14"/>
      <c r="IAK587" s="14"/>
      <c r="IAL587" s="14"/>
      <c r="IAM587" s="14"/>
      <c r="IAN587" s="14"/>
      <c r="IAO587" s="14"/>
      <c r="IAP587" s="14"/>
      <c r="IAQ587" s="14"/>
      <c r="IAR587" s="14"/>
      <c r="IAS587" s="14"/>
      <c r="IAT587" s="14"/>
      <c r="IAU587" s="14"/>
      <c r="IAV587" s="14"/>
      <c r="IAW587" s="14"/>
      <c r="IAX587" s="14"/>
      <c r="IAY587" s="14"/>
      <c r="IAZ587" s="14"/>
      <c r="IBA587" s="14"/>
      <c r="IBB587" s="14"/>
      <c r="IBC587" s="14"/>
      <c r="IBD587" s="14"/>
      <c r="IBE587" s="14"/>
      <c r="IBF587" s="14"/>
      <c r="IBG587" s="14"/>
      <c r="IBH587" s="14"/>
      <c r="IBI587" s="14"/>
      <c r="IBJ587" s="14"/>
      <c r="IBK587" s="14"/>
      <c r="IBL587" s="14"/>
      <c r="IBM587" s="14"/>
      <c r="IBN587" s="14"/>
      <c r="IBO587" s="14"/>
      <c r="IBP587" s="14"/>
      <c r="IBQ587" s="14"/>
      <c r="IBR587" s="14"/>
      <c r="IBS587" s="14"/>
      <c r="IBT587" s="14"/>
      <c r="IBU587" s="14"/>
      <c r="IBV587" s="14"/>
      <c r="IBW587" s="14"/>
      <c r="IBX587" s="14"/>
      <c r="IBY587" s="14"/>
      <c r="IBZ587" s="14"/>
      <c r="ICA587" s="14"/>
      <c r="ICB587" s="14"/>
      <c r="ICC587" s="14"/>
      <c r="ICD587" s="14"/>
      <c r="ICE587" s="14"/>
      <c r="ICF587" s="14"/>
      <c r="ICG587" s="14"/>
      <c r="ICH587" s="14"/>
      <c r="ICI587" s="14"/>
      <c r="ICJ587" s="14"/>
      <c r="ICK587" s="14"/>
      <c r="ICL587" s="14"/>
      <c r="ICM587" s="14"/>
      <c r="ICN587" s="14"/>
      <c r="ICO587" s="14"/>
      <c r="ICP587" s="14"/>
      <c r="ICQ587" s="14"/>
      <c r="ICR587" s="14"/>
      <c r="ICS587" s="14"/>
      <c r="ICT587" s="14"/>
      <c r="ICU587" s="14"/>
      <c r="ICV587" s="14"/>
      <c r="ICW587" s="14"/>
      <c r="ICX587" s="14"/>
      <c r="ICY587" s="14"/>
      <c r="ICZ587" s="14"/>
      <c r="IDA587" s="14"/>
      <c r="IDB587" s="14"/>
      <c r="IDC587" s="14"/>
      <c r="IDD587" s="14"/>
      <c r="IDE587" s="14"/>
      <c r="IDF587" s="14"/>
      <c r="IDG587" s="14"/>
      <c r="IDH587" s="14"/>
      <c r="IDI587" s="14"/>
      <c r="IDJ587" s="14"/>
      <c r="IDK587" s="14"/>
      <c r="IDL587" s="14"/>
      <c r="IDM587" s="14"/>
      <c r="IDN587" s="14"/>
      <c r="IDO587" s="14"/>
      <c r="IDP587" s="14"/>
      <c r="IDQ587" s="14"/>
      <c r="IDR587" s="14"/>
      <c r="IDS587" s="14"/>
      <c r="IDT587" s="14"/>
      <c r="IDU587" s="14"/>
      <c r="IDV587" s="14"/>
      <c r="IDW587" s="14"/>
      <c r="IDX587" s="14"/>
      <c r="IDY587" s="14"/>
      <c r="IDZ587" s="14"/>
      <c r="IEA587" s="14"/>
      <c r="IEB587" s="14"/>
      <c r="IEC587" s="14"/>
      <c r="IED587" s="14"/>
      <c r="IEE587" s="14"/>
      <c r="IEF587" s="14"/>
      <c r="IEG587" s="14"/>
      <c r="IEH587" s="14"/>
      <c r="IEI587" s="14"/>
      <c r="IEJ587" s="14"/>
      <c r="IEK587" s="14"/>
      <c r="IEL587" s="14"/>
      <c r="IEM587" s="14"/>
      <c r="IEN587" s="14"/>
      <c r="IEO587" s="14"/>
      <c r="IEP587" s="14"/>
      <c r="IEQ587" s="14"/>
      <c r="IER587" s="14"/>
      <c r="IES587" s="14"/>
      <c r="IET587" s="14"/>
      <c r="IEU587" s="14"/>
      <c r="IEV587" s="14"/>
      <c r="IEW587" s="14"/>
      <c r="IEX587" s="14"/>
      <c r="IEY587" s="14"/>
      <c r="IEZ587" s="14"/>
      <c r="IFA587" s="14"/>
      <c r="IFB587" s="14"/>
      <c r="IFC587" s="14"/>
      <c r="IFD587" s="14"/>
      <c r="IFE587" s="14"/>
      <c r="IFF587" s="14"/>
      <c r="IFG587" s="14"/>
      <c r="IFH587" s="14"/>
      <c r="IFI587" s="14"/>
      <c r="IFJ587" s="14"/>
      <c r="IFK587" s="14"/>
      <c r="IFL587" s="14"/>
      <c r="IFM587" s="14"/>
      <c r="IFN587" s="14"/>
      <c r="IFO587" s="14"/>
      <c r="IFP587" s="14"/>
      <c r="IFQ587" s="14"/>
      <c r="IFR587" s="14"/>
      <c r="IFS587" s="14"/>
      <c r="IFT587" s="14"/>
      <c r="IFU587" s="14"/>
      <c r="IFV587" s="14"/>
      <c r="IFW587" s="14"/>
      <c r="IFX587" s="14"/>
      <c r="IFY587" s="14"/>
      <c r="IFZ587" s="14"/>
      <c r="IGA587" s="14"/>
      <c r="IGB587" s="14"/>
      <c r="IGC587" s="14"/>
      <c r="IGD587" s="14"/>
      <c r="IGE587" s="14"/>
      <c r="IGF587" s="14"/>
      <c r="IGG587" s="14"/>
      <c r="IGH587" s="14"/>
      <c r="IGI587" s="14"/>
      <c r="IGJ587" s="14"/>
      <c r="IGK587" s="14"/>
      <c r="IGL587" s="14"/>
      <c r="IGM587" s="14"/>
      <c r="IGN587" s="14"/>
      <c r="IGO587" s="14"/>
      <c r="IGP587" s="14"/>
      <c r="IGQ587" s="14"/>
      <c r="IGR587" s="14"/>
      <c r="IGS587" s="14"/>
      <c r="IGT587" s="14"/>
      <c r="IGU587" s="14"/>
      <c r="IGV587" s="14"/>
      <c r="IGW587" s="14"/>
      <c r="IGX587" s="14"/>
      <c r="IGY587" s="14"/>
      <c r="IGZ587" s="14"/>
      <c r="IHA587" s="14"/>
      <c r="IHB587" s="14"/>
      <c r="IHC587" s="14"/>
      <c r="IHD587" s="14"/>
      <c r="IHE587" s="14"/>
      <c r="IHF587" s="14"/>
      <c r="IHG587" s="14"/>
      <c r="IHH587" s="14"/>
      <c r="IHI587" s="14"/>
      <c r="IHJ587" s="14"/>
      <c r="IHK587" s="14"/>
      <c r="IHL587" s="14"/>
      <c r="IHM587" s="14"/>
      <c r="IHN587" s="14"/>
      <c r="IHO587" s="14"/>
      <c r="IHP587" s="14"/>
      <c r="IHQ587" s="14"/>
      <c r="IHR587" s="14"/>
      <c r="IHS587" s="14"/>
      <c r="IHT587" s="14"/>
      <c r="IHU587" s="14"/>
      <c r="IHV587" s="14"/>
      <c r="IHW587" s="14"/>
      <c r="IHX587" s="14"/>
      <c r="IHY587" s="14"/>
      <c r="IHZ587" s="14"/>
      <c r="IIA587" s="14"/>
      <c r="IIB587" s="14"/>
      <c r="IIC587" s="14"/>
      <c r="IID587" s="14"/>
      <c r="IIE587" s="14"/>
      <c r="IIF587" s="14"/>
      <c r="IIG587" s="14"/>
      <c r="IIH587" s="14"/>
      <c r="III587" s="14"/>
      <c r="IIJ587" s="14"/>
      <c r="IIK587" s="14"/>
      <c r="IIL587" s="14"/>
      <c r="IIM587" s="14"/>
      <c r="IIN587" s="14"/>
      <c r="IIO587" s="14"/>
      <c r="IIP587" s="14"/>
      <c r="IIQ587" s="14"/>
      <c r="IIR587" s="14"/>
      <c r="IIS587" s="14"/>
      <c r="IIT587" s="14"/>
      <c r="IIU587" s="14"/>
      <c r="IIV587" s="14"/>
      <c r="IIW587" s="14"/>
      <c r="IIX587" s="14"/>
      <c r="IIY587" s="14"/>
      <c r="IIZ587" s="14"/>
      <c r="IJA587" s="14"/>
      <c r="IJB587" s="14"/>
      <c r="IJC587" s="14"/>
      <c r="IJD587" s="14"/>
      <c r="IJE587" s="14"/>
      <c r="IJF587" s="14"/>
      <c r="IJG587" s="14"/>
      <c r="IJH587" s="14"/>
      <c r="IJI587" s="14"/>
      <c r="IJJ587" s="14"/>
      <c r="IJK587" s="14"/>
      <c r="IJL587" s="14"/>
      <c r="IJM587" s="14"/>
      <c r="IJN587" s="14"/>
      <c r="IJO587" s="14"/>
      <c r="IJP587" s="14"/>
      <c r="IJQ587" s="14"/>
      <c r="IJR587" s="14"/>
      <c r="IJS587" s="14"/>
      <c r="IJT587" s="14"/>
      <c r="IJU587" s="14"/>
      <c r="IJV587" s="14"/>
      <c r="IJW587" s="14"/>
      <c r="IJX587" s="14"/>
      <c r="IJY587" s="14"/>
      <c r="IJZ587" s="14"/>
      <c r="IKA587" s="14"/>
      <c r="IKB587" s="14"/>
      <c r="IKC587" s="14"/>
      <c r="IKD587" s="14"/>
      <c r="IKE587" s="14"/>
      <c r="IKF587" s="14"/>
      <c r="IKG587" s="14"/>
      <c r="IKH587" s="14"/>
      <c r="IKI587" s="14"/>
      <c r="IKJ587" s="14"/>
      <c r="IKK587" s="14"/>
      <c r="IKL587" s="14"/>
      <c r="IKM587" s="14"/>
      <c r="IKN587" s="14"/>
      <c r="IKO587" s="14"/>
      <c r="IKP587" s="14"/>
      <c r="IKQ587" s="14"/>
      <c r="IKR587" s="14"/>
      <c r="IKS587" s="14"/>
      <c r="IKT587" s="14"/>
      <c r="IKU587" s="14"/>
      <c r="IKV587" s="14"/>
      <c r="IKW587" s="14"/>
      <c r="IKX587" s="14"/>
      <c r="IKY587" s="14"/>
      <c r="IKZ587" s="14"/>
      <c r="ILA587" s="14"/>
      <c r="ILB587" s="14"/>
      <c r="ILC587" s="14"/>
      <c r="ILD587" s="14"/>
      <c r="ILE587" s="14"/>
      <c r="ILF587" s="14"/>
      <c r="ILG587" s="14"/>
      <c r="ILH587" s="14"/>
      <c r="ILI587" s="14"/>
      <c r="ILJ587" s="14"/>
      <c r="ILK587" s="14"/>
      <c r="ILL587" s="14"/>
      <c r="ILM587" s="14"/>
      <c r="ILN587" s="14"/>
      <c r="ILO587" s="14"/>
      <c r="ILP587" s="14"/>
      <c r="ILQ587" s="14"/>
      <c r="ILR587" s="14"/>
      <c r="ILS587" s="14"/>
      <c r="ILT587" s="14"/>
      <c r="ILU587" s="14"/>
      <c r="ILV587" s="14"/>
      <c r="ILW587" s="14"/>
      <c r="ILX587" s="14"/>
      <c r="ILY587" s="14"/>
      <c r="ILZ587" s="14"/>
      <c r="IMA587" s="14"/>
      <c r="IMB587" s="14"/>
      <c r="IMC587" s="14"/>
      <c r="IMD587" s="14"/>
      <c r="IME587" s="14"/>
      <c r="IMF587" s="14"/>
      <c r="IMG587" s="14"/>
      <c r="IMH587" s="14"/>
      <c r="IMI587" s="14"/>
      <c r="IMJ587" s="14"/>
      <c r="IMK587" s="14"/>
      <c r="IML587" s="14"/>
      <c r="IMM587" s="14"/>
      <c r="IMN587" s="14"/>
      <c r="IMO587" s="14"/>
      <c r="IMP587" s="14"/>
      <c r="IMQ587" s="14"/>
      <c r="IMR587" s="14"/>
      <c r="IMS587" s="14"/>
      <c r="IMT587" s="14"/>
      <c r="IMU587" s="14"/>
      <c r="IMV587" s="14"/>
      <c r="IMW587" s="14"/>
      <c r="IMX587" s="14"/>
      <c r="IMY587" s="14"/>
      <c r="IMZ587" s="14"/>
      <c r="INA587" s="14"/>
      <c r="INB587" s="14"/>
      <c r="INC587" s="14"/>
      <c r="IND587" s="14"/>
      <c r="INE587" s="14"/>
      <c r="INF587" s="14"/>
      <c r="ING587" s="14"/>
      <c r="INH587" s="14"/>
      <c r="INI587" s="14"/>
      <c r="INJ587" s="14"/>
      <c r="INK587" s="14"/>
      <c r="INL587" s="14"/>
      <c r="INM587" s="14"/>
      <c r="INN587" s="14"/>
      <c r="INO587" s="14"/>
      <c r="INP587" s="14"/>
      <c r="INQ587" s="14"/>
      <c r="INR587" s="14"/>
      <c r="INS587" s="14"/>
      <c r="INT587" s="14"/>
      <c r="INU587" s="14"/>
      <c r="INV587" s="14"/>
      <c r="INW587" s="14"/>
      <c r="INX587" s="14"/>
      <c r="INY587" s="14"/>
      <c r="INZ587" s="14"/>
      <c r="IOA587" s="14"/>
      <c r="IOB587" s="14"/>
      <c r="IOC587" s="14"/>
      <c r="IOD587" s="14"/>
      <c r="IOE587" s="14"/>
      <c r="IOF587" s="14"/>
      <c r="IOG587" s="14"/>
      <c r="IOH587" s="14"/>
      <c r="IOI587" s="14"/>
      <c r="IOJ587" s="14"/>
      <c r="IOK587" s="14"/>
      <c r="IOL587" s="14"/>
      <c r="IOM587" s="14"/>
      <c r="ION587" s="14"/>
      <c r="IOO587" s="14"/>
      <c r="IOP587" s="14"/>
      <c r="IOQ587" s="14"/>
      <c r="IOR587" s="14"/>
      <c r="IOS587" s="14"/>
      <c r="IOT587" s="14"/>
      <c r="IOU587" s="14"/>
      <c r="IOV587" s="14"/>
      <c r="IOW587" s="14"/>
      <c r="IOX587" s="14"/>
      <c r="IOY587" s="14"/>
      <c r="IOZ587" s="14"/>
      <c r="IPA587" s="14"/>
      <c r="IPB587" s="14"/>
      <c r="IPC587" s="14"/>
      <c r="IPD587" s="14"/>
      <c r="IPE587" s="14"/>
      <c r="IPF587" s="14"/>
      <c r="IPG587" s="14"/>
      <c r="IPH587" s="14"/>
      <c r="IPI587" s="14"/>
      <c r="IPJ587" s="14"/>
      <c r="IPK587" s="14"/>
      <c r="IPL587" s="14"/>
      <c r="IPM587" s="14"/>
      <c r="IPN587" s="14"/>
      <c r="IPO587" s="14"/>
      <c r="IPP587" s="14"/>
      <c r="IPQ587" s="14"/>
      <c r="IPR587" s="14"/>
      <c r="IPS587" s="14"/>
      <c r="IPT587" s="14"/>
      <c r="IPU587" s="14"/>
      <c r="IPV587" s="14"/>
      <c r="IPW587" s="14"/>
      <c r="IPX587" s="14"/>
      <c r="IPY587" s="14"/>
      <c r="IPZ587" s="14"/>
      <c r="IQA587" s="14"/>
      <c r="IQB587" s="14"/>
      <c r="IQC587" s="14"/>
      <c r="IQD587" s="14"/>
      <c r="IQE587" s="14"/>
      <c r="IQF587" s="14"/>
      <c r="IQG587" s="14"/>
      <c r="IQH587" s="14"/>
      <c r="IQI587" s="14"/>
      <c r="IQJ587" s="14"/>
      <c r="IQK587" s="14"/>
      <c r="IQL587" s="14"/>
      <c r="IQM587" s="14"/>
      <c r="IQN587" s="14"/>
      <c r="IQO587" s="14"/>
      <c r="IQP587" s="14"/>
      <c r="IQQ587" s="14"/>
      <c r="IQR587" s="14"/>
      <c r="IQS587" s="14"/>
      <c r="IQT587" s="14"/>
      <c r="IQU587" s="14"/>
      <c r="IQV587" s="14"/>
      <c r="IQW587" s="14"/>
      <c r="IQX587" s="14"/>
      <c r="IQY587" s="14"/>
      <c r="IQZ587" s="14"/>
      <c r="IRA587" s="14"/>
      <c r="IRB587" s="14"/>
      <c r="IRC587" s="14"/>
      <c r="IRD587" s="14"/>
      <c r="IRE587" s="14"/>
      <c r="IRF587" s="14"/>
      <c r="IRG587" s="14"/>
      <c r="IRH587" s="14"/>
      <c r="IRI587" s="14"/>
      <c r="IRJ587" s="14"/>
      <c r="IRK587" s="14"/>
      <c r="IRL587" s="14"/>
      <c r="IRM587" s="14"/>
      <c r="IRN587" s="14"/>
      <c r="IRO587" s="14"/>
      <c r="IRP587" s="14"/>
      <c r="IRQ587" s="14"/>
      <c r="IRR587" s="14"/>
      <c r="IRS587" s="14"/>
      <c r="IRT587" s="14"/>
      <c r="IRU587" s="14"/>
      <c r="IRV587" s="14"/>
      <c r="IRW587" s="14"/>
      <c r="IRX587" s="14"/>
      <c r="IRY587" s="14"/>
      <c r="IRZ587" s="14"/>
      <c r="ISA587" s="14"/>
      <c r="ISB587" s="14"/>
      <c r="ISC587" s="14"/>
      <c r="ISD587" s="14"/>
      <c r="ISE587" s="14"/>
      <c r="ISF587" s="14"/>
      <c r="ISG587" s="14"/>
      <c r="ISH587" s="14"/>
      <c r="ISI587" s="14"/>
      <c r="ISJ587" s="14"/>
      <c r="ISK587" s="14"/>
      <c r="ISL587" s="14"/>
      <c r="ISM587" s="14"/>
      <c r="ISN587" s="14"/>
      <c r="ISO587" s="14"/>
      <c r="ISP587" s="14"/>
      <c r="ISQ587" s="14"/>
      <c r="ISR587" s="14"/>
      <c r="ISS587" s="14"/>
      <c r="IST587" s="14"/>
      <c r="ISU587" s="14"/>
      <c r="ISV587" s="14"/>
      <c r="ISW587" s="14"/>
      <c r="ISX587" s="14"/>
      <c r="ISY587" s="14"/>
      <c r="ISZ587" s="14"/>
      <c r="ITA587" s="14"/>
      <c r="ITB587" s="14"/>
      <c r="ITC587" s="14"/>
      <c r="ITD587" s="14"/>
      <c r="ITE587" s="14"/>
      <c r="ITF587" s="14"/>
      <c r="ITG587" s="14"/>
      <c r="ITH587" s="14"/>
      <c r="ITI587" s="14"/>
      <c r="ITJ587" s="14"/>
      <c r="ITK587" s="14"/>
      <c r="ITL587" s="14"/>
      <c r="ITM587" s="14"/>
      <c r="ITN587" s="14"/>
      <c r="ITO587" s="14"/>
      <c r="ITP587" s="14"/>
      <c r="ITQ587" s="14"/>
      <c r="ITR587" s="14"/>
      <c r="ITS587" s="14"/>
      <c r="ITT587" s="14"/>
      <c r="ITU587" s="14"/>
      <c r="ITV587" s="14"/>
      <c r="ITW587" s="14"/>
      <c r="ITX587" s="14"/>
      <c r="ITY587" s="14"/>
      <c r="ITZ587" s="14"/>
      <c r="IUA587" s="14"/>
      <c r="IUB587" s="14"/>
      <c r="IUC587" s="14"/>
      <c r="IUD587" s="14"/>
      <c r="IUE587" s="14"/>
      <c r="IUF587" s="14"/>
      <c r="IUG587" s="14"/>
      <c r="IUH587" s="14"/>
      <c r="IUI587" s="14"/>
      <c r="IUJ587" s="14"/>
      <c r="IUK587" s="14"/>
      <c r="IUL587" s="14"/>
      <c r="IUM587" s="14"/>
      <c r="IUN587" s="14"/>
      <c r="IUO587" s="14"/>
      <c r="IUP587" s="14"/>
      <c r="IUQ587" s="14"/>
      <c r="IUR587" s="14"/>
      <c r="IUS587" s="14"/>
      <c r="IUT587" s="14"/>
      <c r="IUU587" s="14"/>
      <c r="IUV587" s="14"/>
      <c r="IUW587" s="14"/>
      <c r="IUX587" s="14"/>
      <c r="IUY587" s="14"/>
      <c r="IUZ587" s="14"/>
      <c r="IVA587" s="14"/>
      <c r="IVB587" s="14"/>
      <c r="IVC587" s="14"/>
      <c r="IVD587" s="14"/>
      <c r="IVE587" s="14"/>
      <c r="IVF587" s="14"/>
      <c r="IVG587" s="14"/>
      <c r="IVH587" s="14"/>
      <c r="IVI587" s="14"/>
      <c r="IVJ587" s="14"/>
      <c r="IVK587" s="14"/>
      <c r="IVL587" s="14"/>
      <c r="IVM587" s="14"/>
      <c r="IVN587" s="14"/>
      <c r="IVO587" s="14"/>
      <c r="IVP587" s="14"/>
      <c r="IVQ587" s="14"/>
      <c r="IVR587" s="14"/>
      <c r="IVS587" s="14"/>
      <c r="IVT587" s="14"/>
      <c r="IVU587" s="14"/>
      <c r="IVV587" s="14"/>
      <c r="IVW587" s="14"/>
      <c r="IVX587" s="14"/>
      <c r="IVY587" s="14"/>
      <c r="IVZ587" s="14"/>
      <c r="IWA587" s="14"/>
      <c r="IWB587" s="14"/>
      <c r="IWC587" s="14"/>
      <c r="IWD587" s="14"/>
      <c r="IWE587" s="14"/>
      <c r="IWF587" s="14"/>
      <c r="IWG587" s="14"/>
      <c r="IWH587" s="14"/>
      <c r="IWI587" s="14"/>
      <c r="IWJ587" s="14"/>
      <c r="IWK587" s="14"/>
      <c r="IWL587" s="14"/>
      <c r="IWM587" s="14"/>
      <c r="IWN587" s="14"/>
      <c r="IWO587" s="14"/>
      <c r="IWP587" s="14"/>
      <c r="IWQ587" s="14"/>
      <c r="IWR587" s="14"/>
      <c r="IWS587" s="14"/>
      <c r="IWT587" s="14"/>
      <c r="IWU587" s="14"/>
      <c r="IWV587" s="14"/>
      <c r="IWW587" s="14"/>
      <c r="IWX587" s="14"/>
      <c r="IWY587" s="14"/>
      <c r="IWZ587" s="14"/>
      <c r="IXA587" s="14"/>
      <c r="IXB587" s="14"/>
      <c r="IXC587" s="14"/>
      <c r="IXD587" s="14"/>
      <c r="IXE587" s="14"/>
      <c r="IXF587" s="14"/>
      <c r="IXG587" s="14"/>
      <c r="IXH587" s="14"/>
      <c r="IXI587" s="14"/>
      <c r="IXJ587" s="14"/>
      <c r="IXK587" s="14"/>
      <c r="IXL587" s="14"/>
      <c r="IXM587" s="14"/>
      <c r="IXN587" s="14"/>
      <c r="IXO587" s="14"/>
      <c r="IXP587" s="14"/>
      <c r="IXQ587" s="14"/>
      <c r="IXR587" s="14"/>
      <c r="IXS587" s="14"/>
      <c r="IXT587" s="14"/>
      <c r="IXU587" s="14"/>
      <c r="IXV587" s="14"/>
      <c r="IXW587" s="14"/>
      <c r="IXX587" s="14"/>
      <c r="IXY587" s="14"/>
      <c r="IXZ587" s="14"/>
      <c r="IYA587" s="14"/>
      <c r="IYB587" s="14"/>
      <c r="IYC587" s="14"/>
      <c r="IYD587" s="14"/>
      <c r="IYE587" s="14"/>
      <c r="IYF587" s="14"/>
      <c r="IYG587" s="14"/>
      <c r="IYH587" s="14"/>
      <c r="IYI587" s="14"/>
      <c r="IYJ587" s="14"/>
      <c r="IYK587" s="14"/>
      <c r="IYL587" s="14"/>
      <c r="IYM587" s="14"/>
      <c r="IYN587" s="14"/>
      <c r="IYO587" s="14"/>
      <c r="IYP587" s="14"/>
      <c r="IYQ587" s="14"/>
      <c r="IYR587" s="14"/>
      <c r="IYS587" s="14"/>
      <c r="IYT587" s="14"/>
      <c r="IYU587" s="14"/>
      <c r="IYV587" s="14"/>
      <c r="IYW587" s="14"/>
      <c r="IYX587" s="14"/>
      <c r="IYY587" s="14"/>
      <c r="IYZ587" s="14"/>
      <c r="IZA587" s="14"/>
      <c r="IZB587" s="14"/>
      <c r="IZC587" s="14"/>
      <c r="IZD587" s="14"/>
      <c r="IZE587" s="14"/>
      <c r="IZF587" s="14"/>
      <c r="IZG587" s="14"/>
      <c r="IZH587" s="14"/>
      <c r="IZI587" s="14"/>
      <c r="IZJ587" s="14"/>
      <c r="IZK587" s="14"/>
      <c r="IZL587" s="14"/>
      <c r="IZM587" s="14"/>
      <c r="IZN587" s="14"/>
      <c r="IZO587" s="14"/>
      <c r="IZP587" s="14"/>
      <c r="IZQ587" s="14"/>
      <c r="IZR587" s="14"/>
      <c r="IZS587" s="14"/>
      <c r="IZT587" s="14"/>
      <c r="IZU587" s="14"/>
      <c r="IZV587" s="14"/>
      <c r="IZW587" s="14"/>
      <c r="IZX587" s="14"/>
      <c r="IZY587" s="14"/>
      <c r="IZZ587" s="14"/>
      <c r="JAA587" s="14"/>
      <c r="JAB587" s="14"/>
      <c r="JAC587" s="14"/>
      <c r="JAD587" s="14"/>
      <c r="JAE587" s="14"/>
      <c r="JAF587" s="14"/>
      <c r="JAG587" s="14"/>
      <c r="JAH587" s="14"/>
      <c r="JAI587" s="14"/>
      <c r="JAJ587" s="14"/>
      <c r="JAK587" s="14"/>
      <c r="JAL587" s="14"/>
      <c r="JAM587" s="14"/>
      <c r="JAN587" s="14"/>
      <c r="JAO587" s="14"/>
      <c r="JAP587" s="14"/>
      <c r="JAQ587" s="14"/>
      <c r="JAR587" s="14"/>
      <c r="JAS587" s="14"/>
      <c r="JAT587" s="14"/>
      <c r="JAU587" s="14"/>
      <c r="JAV587" s="14"/>
      <c r="JAW587" s="14"/>
      <c r="JAX587" s="14"/>
      <c r="JAY587" s="14"/>
      <c r="JAZ587" s="14"/>
      <c r="JBA587" s="14"/>
      <c r="JBB587" s="14"/>
      <c r="JBC587" s="14"/>
      <c r="JBD587" s="14"/>
      <c r="JBE587" s="14"/>
      <c r="JBF587" s="14"/>
      <c r="JBG587" s="14"/>
      <c r="JBH587" s="14"/>
      <c r="JBI587" s="14"/>
      <c r="JBJ587" s="14"/>
      <c r="JBK587" s="14"/>
      <c r="JBL587" s="14"/>
      <c r="JBM587" s="14"/>
      <c r="JBN587" s="14"/>
      <c r="JBO587" s="14"/>
      <c r="JBP587" s="14"/>
      <c r="JBQ587" s="14"/>
      <c r="JBR587" s="14"/>
      <c r="JBS587" s="14"/>
      <c r="JBT587" s="14"/>
      <c r="JBU587" s="14"/>
      <c r="JBV587" s="14"/>
      <c r="JBW587" s="14"/>
      <c r="JBX587" s="14"/>
      <c r="JBY587" s="14"/>
      <c r="JBZ587" s="14"/>
      <c r="JCA587" s="14"/>
      <c r="JCB587" s="14"/>
      <c r="JCC587" s="14"/>
      <c r="JCD587" s="14"/>
      <c r="JCE587" s="14"/>
      <c r="JCF587" s="14"/>
      <c r="JCG587" s="14"/>
      <c r="JCH587" s="14"/>
      <c r="JCI587" s="14"/>
      <c r="JCJ587" s="14"/>
      <c r="JCK587" s="14"/>
      <c r="JCL587" s="14"/>
      <c r="JCM587" s="14"/>
      <c r="JCN587" s="14"/>
      <c r="JCO587" s="14"/>
      <c r="JCP587" s="14"/>
      <c r="JCQ587" s="14"/>
      <c r="JCR587" s="14"/>
      <c r="JCS587" s="14"/>
      <c r="JCT587" s="14"/>
      <c r="JCU587" s="14"/>
      <c r="JCV587" s="14"/>
      <c r="JCW587" s="14"/>
      <c r="JCX587" s="14"/>
      <c r="JCY587" s="14"/>
      <c r="JCZ587" s="14"/>
      <c r="JDA587" s="14"/>
      <c r="JDB587" s="14"/>
      <c r="JDC587" s="14"/>
      <c r="JDD587" s="14"/>
      <c r="JDE587" s="14"/>
      <c r="JDF587" s="14"/>
      <c r="JDG587" s="14"/>
      <c r="JDH587" s="14"/>
      <c r="JDI587" s="14"/>
      <c r="JDJ587" s="14"/>
      <c r="JDK587" s="14"/>
      <c r="JDL587" s="14"/>
      <c r="JDM587" s="14"/>
      <c r="JDN587" s="14"/>
      <c r="JDO587" s="14"/>
      <c r="JDP587" s="14"/>
      <c r="JDQ587" s="14"/>
      <c r="JDR587" s="14"/>
      <c r="JDS587" s="14"/>
      <c r="JDT587" s="14"/>
      <c r="JDU587" s="14"/>
      <c r="JDV587" s="14"/>
      <c r="JDW587" s="14"/>
      <c r="JDX587" s="14"/>
      <c r="JDY587" s="14"/>
      <c r="JDZ587" s="14"/>
      <c r="JEA587" s="14"/>
      <c r="JEB587" s="14"/>
      <c r="JEC587" s="14"/>
      <c r="JED587" s="14"/>
      <c r="JEE587" s="14"/>
      <c r="JEF587" s="14"/>
      <c r="JEG587" s="14"/>
      <c r="JEH587" s="14"/>
      <c r="JEI587" s="14"/>
      <c r="JEJ587" s="14"/>
      <c r="JEK587" s="14"/>
      <c r="JEL587" s="14"/>
      <c r="JEM587" s="14"/>
      <c r="JEN587" s="14"/>
      <c r="JEO587" s="14"/>
      <c r="JEP587" s="14"/>
      <c r="JEQ587" s="14"/>
      <c r="JER587" s="14"/>
      <c r="JES587" s="14"/>
      <c r="JET587" s="14"/>
      <c r="JEU587" s="14"/>
      <c r="JEV587" s="14"/>
      <c r="JEW587" s="14"/>
      <c r="JEX587" s="14"/>
      <c r="JEY587" s="14"/>
      <c r="JEZ587" s="14"/>
      <c r="JFA587" s="14"/>
      <c r="JFB587" s="14"/>
      <c r="JFC587" s="14"/>
      <c r="JFD587" s="14"/>
      <c r="JFE587" s="14"/>
      <c r="JFF587" s="14"/>
      <c r="JFG587" s="14"/>
      <c r="JFH587" s="14"/>
      <c r="JFI587" s="14"/>
      <c r="JFJ587" s="14"/>
      <c r="JFK587" s="14"/>
      <c r="JFL587" s="14"/>
      <c r="JFM587" s="14"/>
      <c r="JFN587" s="14"/>
      <c r="JFO587" s="14"/>
      <c r="JFP587" s="14"/>
      <c r="JFQ587" s="14"/>
      <c r="JFR587" s="14"/>
      <c r="JFS587" s="14"/>
      <c r="JFT587" s="14"/>
      <c r="JFU587" s="14"/>
      <c r="JFV587" s="14"/>
      <c r="JFW587" s="14"/>
      <c r="JFX587" s="14"/>
      <c r="JFY587" s="14"/>
      <c r="JFZ587" s="14"/>
      <c r="JGA587" s="14"/>
      <c r="JGB587" s="14"/>
      <c r="JGC587" s="14"/>
      <c r="JGD587" s="14"/>
      <c r="JGE587" s="14"/>
      <c r="JGF587" s="14"/>
      <c r="JGG587" s="14"/>
      <c r="JGH587" s="14"/>
      <c r="JGI587" s="14"/>
      <c r="JGJ587" s="14"/>
      <c r="JGK587" s="14"/>
      <c r="JGL587" s="14"/>
      <c r="JGM587" s="14"/>
      <c r="JGN587" s="14"/>
      <c r="JGO587" s="14"/>
      <c r="JGP587" s="14"/>
      <c r="JGQ587" s="14"/>
      <c r="JGR587" s="14"/>
      <c r="JGS587" s="14"/>
      <c r="JGT587" s="14"/>
      <c r="JGU587" s="14"/>
      <c r="JGV587" s="14"/>
      <c r="JGW587" s="14"/>
      <c r="JGX587" s="14"/>
      <c r="JGY587" s="14"/>
      <c r="JGZ587" s="14"/>
      <c r="JHA587" s="14"/>
      <c r="JHB587" s="14"/>
      <c r="JHC587" s="14"/>
      <c r="JHD587" s="14"/>
      <c r="JHE587" s="14"/>
      <c r="JHF587" s="14"/>
      <c r="JHG587" s="14"/>
      <c r="JHH587" s="14"/>
      <c r="JHI587" s="14"/>
      <c r="JHJ587" s="14"/>
      <c r="JHK587" s="14"/>
      <c r="JHL587" s="14"/>
      <c r="JHM587" s="14"/>
      <c r="JHN587" s="14"/>
      <c r="JHO587" s="14"/>
      <c r="JHP587" s="14"/>
      <c r="JHQ587" s="14"/>
      <c r="JHR587" s="14"/>
      <c r="JHS587" s="14"/>
      <c r="JHT587" s="14"/>
      <c r="JHU587" s="14"/>
      <c r="JHV587" s="14"/>
      <c r="JHW587" s="14"/>
      <c r="JHX587" s="14"/>
      <c r="JHY587" s="14"/>
      <c r="JHZ587" s="14"/>
      <c r="JIA587" s="14"/>
      <c r="JIB587" s="14"/>
      <c r="JIC587" s="14"/>
      <c r="JID587" s="14"/>
      <c r="JIE587" s="14"/>
      <c r="JIF587" s="14"/>
      <c r="JIG587" s="14"/>
      <c r="JIH587" s="14"/>
      <c r="JII587" s="14"/>
      <c r="JIJ587" s="14"/>
      <c r="JIK587" s="14"/>
      <c r="JIL587" s="14"/>
      <c r="JIM587" s="14"/>
      <c r="JIN587" s="14"/>
      <c r="JIO587" s="14"/>
      <c r="JIP587" s="14"/>
      <c r="JIQ587" s="14"/>
      <c r="JIR587" s="14"/>
      <c r="JIS587" s="14"/>
      <c r="JIT587" s="14"/>
      <c r="JIU587" s="14"/>
      <c r="JIV587" s="14"/>
      <c r="JIW587" s="14"/>
      <c r="JIX587" s="14"/>
      <c r="JIY587" s="14"/>
      <c r="JIZ587" s="14"/>
      <c r="JJA587" s="14"/>
      <c r="JJB587" s="14"/>
      <c r="JJC587" s="14"/>
      <c r="JJD587" s="14"/>
      <c r="JJE587" s="14"/>
      <c r="JJF587" s="14"/>
      <c r="JJG587" s="14"/>
      <c r="JJH587" s="14"/>
      <c r="JJI587" s="14"/>
      <c r="JJJ587" s="14"/>
      <c r="JJK587" s="14"/>
      <c r="JJL587" s="14"/>
      <c r="JJM587" s="14"/>
      <c r="JJN587" s="14"/>
      <c r="JJO587" s="14"/>
      <c r="JJP587" s="14"/>
      <c r="JJQ587" s="14"/>
      <c r="JJR587" s="14"/>
      <c r="JJS587" s="14"/>
      <c r="JJT587" s="14"/>
      <c r="JJU587" s="14"/>
      <c r="JJV587" s="14"/>
      <c r="JJW587" s="14"/>
      <c r="JJX587" s="14"/>
      <c r="JJY587" s="14"/>
      <c r="JJZ587" s="14"/>
      <c r="JKA587" s="14"/>
      <c r="JKB587" s="14"/>
      <c r="JKC587" s="14"/>
      <c r="JKD587" s="14"/>
      <c r="JKE587" s="14"/>
      <c r="JKF587" s="14"/>
      <c r="JKG587" s="14"/>
      <c r="JKH587" s="14"/>
      <c r="JKI587" s="14"/>
      <c r="JKJ587" s="14"/>
      <c r="JKK587" s="14"/>
      <c r="JKL587" s="14"/>
      <c r="JKM587" s="14"/>
      <c r="JKN587" s="14"/>
      <c r="JKO587" s="14"/>
      <c r="JKP587" s="14"/>
      <c r="JKQ587" s="14"/>
      <c r="JKR587" s="14"/>
      <c r="JKS587" s="14"/>
      <c r="JKT587" s="14"/>
      <c r="JKU587" s="14"/>
      <c r="JKV587" s="14"/>
      <c r="JKW587" s="14"/>
      <c r="JKX587" s="14"/>
      <c r="JKY587" s="14"/>
      <c r="JKZ587" s="14"/>
      <c r="JLA587" s="14"/>
      <c r="JLB587" s="14"/>
      <c r="JLC587" s="14"/>
      <c r="JLD587" s="14"/>
      <c r="JLE587" s="14"/>
      <c r="JLF587" s="14"/>
      <c r="JLG587" s="14"/>
      <c r="JLH587" s="14"/>
      <c r="JLI587" s="14"/>
      <c r="JLJ587" s="14"/>
      <c r="JLK587" s="14"/>
      <c r="JLL587" s="14"/>
      <c r="JLM587" s="14"/>
      <c r="JLN587" s="14"/>
      <c r="JLO587" s="14"/>
      <c r="JLP587" s="14"/>
      <c r="JLQ587" s="14"/>
      <c r="JLR587" s="14"/>
      <c r="JLS587" s="14"/>
      <c r="JLT587" s="14"/>
      <c r="JLU587" s="14"/>
      <c r="JLV587" s="14"/>
      <c r="JLW587" s="14"/>
      <c r="JLX587" s="14"/>
      <c r="JLY587" s="14"/>
      <c r="JLZ587" s="14"/>
      <c r="JMA587" s="14"/>
      <c r="JMB587" s="14"/>
      <c r="JMC587" s="14"/>
      <c r="JMD587" s="14"/>
      <c r="JME587" s="14"/>
      <c r="JMF587" s="14"/>
      <c r="JMG587" s="14"/>
      <c r="JMH587" s="14"/>
      <c r="JMI587" s="14"/>
      <c r="JMJ587" s="14"/>
      <c r="JMK587" s="14"/>
      <c r="JML587" s="14"/>
      <c r="JMM587" s="14"/>
      <c r="JMN587" s="14"/>
      <c r="JMO587" s="14"/>
      <c r="JMP587" s="14"/>
      <c r="JMQ587" s="14"/>
      <c r="JMR587" s="14"/>
      <c r="JMS587" s="14"/>
      <c r="JMT587" s="14"/>
      <c r="JMU587" s="14"/>
      <c r="JMV587" s="14"/>
      <c r="JMW587" s="14"/>
      <c r="JMX587" s="14"/>
      <c r="JMY587" s="14"/>
      <c r="JMZ587" s="14"/>
      <c r="JNA587" s="14"/>
      <c r="JNB587" s="14"/>
      <c r="JNC587" s="14"/>
      <c r="JND587" s="14"/>
      <c r="JNE587" s="14"/>
      <c r="JNF587" s="14"/>
      <c r="JNG587" s="14"/>
      <c r="JNH587" s="14"/>
      <c r="JNI587" s="14"/>
      <c r="JNJ587" s="14"/>
      <c r="JNK587" s="14"/>
      <c r="JNL587" s="14"/>
      <c r="JNM587" s="14"/>
      <c r="JNN587" s="14"/>
      <c r="JNO587" s="14"/>
      <c r="JNP587" s="14"/>
      <c r="JNQ587" s="14"/>
      <c r="JNR587" s="14"/>
      <c r="JNS587" s="14"/>
      <c r="JNT587" s="14"/>
      <c r="JNU587" s="14"/>
      <c r="JNV587" s="14"/>
      <c r="JNW587" s="14"/>
      <c r="JNX587" s="14"/>
      <c r="JNY587" s="14"/>
      <c r="JNZ587" s="14"/>
      <c r="JOA587" s="14"/>
      <c r="JOB587" s="14"/>
      <c r="JOC587" s="14"/>
      <c r="JOD587" s="14"/>
      <c r="JOE587" s="14"/>
      <c r="JOF587" s="14"/>
      <c r="JOG587" s="14"/>
      <c r="JOH587" s="14"/>
      <c r="JOI587" s="14"/>
      <c r="JOJ587" s="14"/>
      <c r="JOK587" s="14"/>
      <c r="JOL587" s="14"/>
      <c r="JOM587" s="14"/>
      <c r="JON587" s="14"/>
      <c r="JOO587" s="14"/>
      <c r="JOP587" s="14"/>
      <c r="JOQ587" s="14"/>
      <c r="JOR587" s="14"/>
      <c r="JOS587" s="14"/>
      <c r="JOT587" s="14"/>
      <c r="JOU587" s="14"/>
      <c r="JOV587" s="14"/>
      <c r="JOW587" s="14"/>
      <c r="JOX587" s="14"/>
      <c r="JOY587" s="14"/>
      <c r="JOZ587" s="14"/>
      <c r="JPA587" s="14"/>
      <c r="JPB587" s="14"/>
      <c r="JPC587" s="14"/>
      <c r="JPD587" s="14"/>
      <c r="JPE587" s="14"/>
      <c r="JPF587" s="14"/>
      <c r="JPG587" s="14"/>
      <c r="JPH587" s="14"/>
      <c r="JPI587" s="14"/>
      <c r="JPJ587" s="14"/>
      <c r="JPK587" s="14"/>
      <c r="JPL587" s="14"/>
      <c r="JPM587" s="14"/>
      <c r="JPN587" s="14"/>
      <c r="JPO587" s="14"/>
      <c r="JPP587" s="14"/>
      <c r="JPQ587" s="14"/>
      <c r="JPR587" s="14"/>
      <c r="JPS587" s="14"/>
      <c r="JPT587" s="14"/>
      <c r="JPU587" s="14"/>
      <c r="JPV587" s="14"/>
      <c r="JPW587" s="14"/>
      <c r="JPX587" s="14"/>
      <c r="JPY587" s="14"/>
      <c r="JPZ587" s="14"/>
      <c r="JQA587" s="14"/>
      <c r="JQB587" s="14"/>
      <c r="JQC587" s="14"/>
      <c r="JQD587" s="14"/>
      <c r="JQE587" s="14"/>
      <c r="JQF587" s="14"/>
      <c r="JQG587" s="14"/>
      <c r="JQH587" s="14"/>
      <c r="JQI587" s="14"/>
      <c r="JQJ587" s="14"/>
      <c r="JQK587" s="14"/>
      <c r="JQL587" s="14"/>
      <c r="JQM587" s="14"/>
      <c r="JQN587" s="14"/>
      <c r="JQO587" s="14"/>
      <c r="JQP587" s="14"/>
      <c r="JQQ587" s="14"/>
      <c r="JQR587" s="14"/>
      <c r="JQS587" s="14"/>
      <c r="JQT587" s="14"/>
      <c r="JQU587" s="14"/>
      <c r="JQV587" s="14"/>
      <c r="JQW587" s="14"/>
      <c r="JQX587" s="14"/>
      <c r="JQY587" s="14"/>
      <c r="JQZ587" s="14"/>
      <c r="JRA587" s="14"/>
      <c r="JRB587" s="14"/>
      <c r="JRC587" s="14"/>
      <c r="JRD587" s="14"/>
      <c r="JRE587" s="14"/>
      <c r="JRF587" s="14"/>
      <c r="JRG587" s="14"/>
      <c r="JRH587" s="14"/>
      <c r="JRI587" s="14"/>
      <c r="JRJ587" s="14"/>
      <c r="JRK587" s="14"/>
      <c r="JRL587" s="14"/>
      <c r="JRM587" s="14"/>
      <c r="JRN587" s="14"/>
      <c r="JRO587" s="14"/>
      <c r="JRP587" s="14"/>
      <c r="JRQ587" s="14"/>
      <c r="JRR587" s="14"/>
      <c r="JRS587" s="14"/>
      <c r="JRT587" s="14"/>
      <c r="JRU587" s="14"/>
      <c r="JRV587" s="14"/>
      <c r="JRW587" s="14"/>
      <c r="JRX587" s="14"/>
      <c r="JRY587" s="14"/>
      <c r="JRZ587" s="14"/>
      <c r="JSA587" s="14"/>
      <c r="JSB587" s="14"/>
      <c r="JSC587" s="14"/>
      <c r="JSD587" s="14"/>
      <c r="JSE587" s="14"/>
      <c r="JSF587" s="14"/>
      <c r="JSG587" s="14"/>
      <c r="JSH587" s="14"/>
      <c r="JSI587" s="14"/>
      <c r="JSJ587" s="14"/>
      <c r="JSK587" s="14"/>
      <c r="JSL587" s="14"/>
      <c r="JSM587" s="14"/>
      <c r="JSN587" s="14"/>
      <c r="JSO587" s="14"/>
      <c r="JSP587" s="14"/>
      <c r="JSQ587" s="14"/>
      <c r="JSR587" s="14"/>
      <c r="JSS587" s="14"/>
      <c r="JST587" s="14"/>
      <c r="JSU587" s="14"/>
      <c r="JSV587" s="14"/>
      <c r="JSW587" s="14"/>
      <c r="JSX587" s="14"/>
      <c r="JSY587" s="14"/>
      <c r="JSZ587" s="14"/>
      <c r="JTA587" s="14"/>
      <c r="JTB587" s="14"/>
      <c r="JTC587" s="14"/>
      <c r="JTD587" s="14"/>
      <c r="JTE587" s="14"/>
      <c r="JTF587" s="14"/>
      <c r="JTG587" s="14"/>
      <c r="JTH587" s="14"/>
      <c r="JTI587" s="14"/>
      <c r="JTJ587" s="14"/>
      <c r="JTK587" s="14"/>
      <c r="JTL587" s="14"/>
      <c r="JTM587" s="14"/>
      <c r="JTN587" s="14"/>
      <c r="JTO587" s="14"/>
      <c r="JTP587" s="14"/>
      <c r="JTQ587" s="14"/>
      <c r="JTR587" s="14"/>
      <c r="JTS587" s="14"/>
      <c r="JTT587" s="14"/>
      <c r="JTU587" s="14"/>
      <c r="JTV587" s="14"/>
      <c r="JTW587" s="14"/>
      <c r="JTX587" s="14"/>
      <c r="JTY587" s="14"/>
      <c r="JTZ587" s="14"/>
      <c r="JUA587" s="14"/>
      <c r="JUB587" s="14"/>
      <c r="JUC587" s="14"/>
      <c r="JUD587" s="14"/>
      <c r="JUE587" s="14"/>
      <c r="JUF587" s="14"/>
      <c r="JUG587" s="14"/>
      <c r="JUH587" s="14"/>
      <c r="JUI587" s="14"/>
      <c r="JUJ587" s="14"/>
      <c r="JUK587" s="14"/>
      <c r="JUL587" s="14"/>
      <c r="JUM587" s="14"/>
      <c r="JUN587" s="14"/>
      <c r="JUO587" s="14"/>
      <c r="JUP587" s="14"/>
      <c r="JUQ587" s="14"/>
      <c r="JUR587" s="14"/>
      <c r="JUS587" s="14"/>
      <c r="JUT587" s="14"/>
      <c r="JUU587" s="14"/>
      <c r="JUV587" s="14"/>
      <c r="JUW587" s="14"/>
      <c r="JUX587" s="14"/>
      <c r="JUY587" s="14"/>
      <c r="JUZ587" s="14"/>
      <c r="JVA587" s="14"/>
      <c r="JVB587" s="14"/>
      <c r="JVC587" s="14"/>
      <c r="JVD587" s="14"/>
      <c r="JVE587" s="14"/>
      <c r="JVF587" s="14"/>
      <c r="JVG587" s="14"/>
      <c r="JVH587" s="14"/>
      <c r="JVI587" s="14"/>
      <c r="JVJ587" s="14"/>
      <c r="JVK587" s="14"/>
      <c r="JVL587" s="14"/>
      <c r="JVM587" s="14"/>
      <c r="JVN587" s="14"/>
      <c r="JVO587" s="14"/>
      <c r="JVP587" s="14"/>
      <c r="JVQ587" s="14"/>
      <c r="JVR587" s="14"/>
      <c r="JVS587" s="14"/>
      <c r="JVT587" s="14"/>
      <c r="JVU587" s="14"/>
      <c r="JVV587" s="14"/>
      <c r="JVW587" s="14"/>
      <c r="JVX587" s="14"/>
      <c r="JVY587" s="14"/>
      <c r="JVZ587" s="14"/>
      <c r="JWA587" s="14"/>
      <c r="JWB587" s="14"/>
      <c r="JWC587" s="14"/>
      <c r="JWD587" s="14"/>
      <c r="JWE587" s="14"/>
      <c r="JWF587" s="14"/>
      <c r="JWG587" s="14"/>
      <c r="JWH587" s="14"/>
      <c r="JWI587" s="14"/>
      <c r="JWJ587" s="14"/>
      <c r="JWK587" s="14"/>
      <c r="JWL587" s="14"/>
      <c r="JWM587" s="14"/>
      <c r="JWN587" s="14"/>
      <c r="JWO587" s="14"/>
      <c r="JWP587" s="14"/>
      <c r="JWQ587" s="14"/>
      <c r="JWR587" s="14"/>
      <c r="JWS587" s="14"/>
      <c r="JWT587" s="14"/>
      <c r="JWU587" s="14"/>
      <c r="JWV587" s="14"/>
      <c r="JWW587" s="14"/>
      <c r="JWX587" s="14"/>
      <c r="JWY587" s="14"/>
      <c r="JWZ587" s="14"/>
      <c r="JXA587" s="14"/>
      <c r="JXB587" s="14"/>
      <c r="JXC587" s="14"/>
      <c r="JXD587" s="14"/>
      <c r="JXE587" s="14"/>
      <c r="JXF587" s="14"/>
      <c r="JXG587" s="14"/>
      <c r="JXH587" s="14"/>
      <c r="JXI587" s="14"/>
      <c r="JXJ587" s="14"/>
      <c r="JXK587" s="14"/>
      <c r="JXL587" s="14"/>
      <c r="JXM587" s="14"/>
      <c r="JXN587" s="14"/>
      <c r="JXO587" s="14"/>
      <c r="JXP587" s="14"/>
      <c r="JXQ587" s="14"/>
      <c r="JXR587" s="14"/>
      <c r="JXS587" s="14"/>
      <c r="JXT587" s="14"/>
      <c r="JXU587" s="14"/>
      <c r="JXV587" s="14"/>
      <c r="JXW587" s="14"/>
      <c r="JXX587" s="14"/>
      <c r="JXY587" s="14"/>
      <c r="JXZ587" s="14"/>
      <c r="JYA587" s="14"/>
      <c r="JYB587" s="14"/>
      <c r="JYC587" s="14"/>
      <c r="JYD587" s="14"/>
      <c r="JYE587" s="14"/>
      <c r="JYF587" s="14"/>
      <c r="JYG587" s="14"/>
      <c r="JYH587" s="14"/>
      <c r="JYI587" s="14"/>
      <c r="JYJ587" s="14"/>
      <c r="JYK587" s="14"/>
      <c r="JYL587" s="14"/>
      <c r="JYM587" s="14"/>
      <c r="JYN587" s="14"/>
      <c r="JYO587" s="14"/>
      <c r="JYP587" s="14"/>
      <c r="JYQ587" s="14"/>
      <c r="JYR587" s="14"/>
      <c r="JYS587" s="14"/>
      <c r="JYT587" s="14"/>
      <c r="JYU587" s="14"/>
      <c r="JYV587" s="14"/>
      <c r="JYW587" s="14"/>
      <c r="JYX587" s="14"/>
      <c r="JYY587" s="14"/>
      <c r="JYZ587" s="14"/>
      <c r="JZA587" s="14"/>
      <c r="JZB587" s="14"/>
      <c r="JZC587" s="14"/>
      <c r="JZD587" s="14"/>
      <c r="JZE587" s="14"/>
      <c r="JZF587" s="14"/>
      <c r="JZG587" s="14"/>
      <c r="JZH587" s="14"/>
      <c r="JZI587" s="14"/>
      <c r="JZJ587" s="14"/>
      <c r="JZK587" s="14"/>
      <c r="JZL587" s="14"/>
      <c r="JZM587" s="14"/>
      <c r="JZN587" s="14"/>
      <c r="JZO587" s="14"/>
      <c r="JZP587" s="14"/>
      <c r="JZQ587" s="14"/>
      <c r="JZR587" s="14"/>
      <c r="JZS587" s="14"/>
      <c r="JZT587" s="14"/>
      <c r="JZU587" s="14"/>
      <c r="JZV587" s="14"/>
      <c r="JZW587" s="14"/>
      <c r="JZX587" s="14"/>
      <c r="JZY587" s="14"/>
      <c r="JZZ587" s="14"/>
      <c r="KAA587" s="14"/>
      <c r="KAB587" s="14"/>
      <c r="KAC587" s="14"/>
      <c r="KAD587" s="14"/>
      <c r="KAE587" s="14"/>
      <c r="KAF587" s="14"/>
      <c r="KAG587" s="14"/>
      <c r="KAH587" s="14"/>
      <c r="KAI587" s="14"/>
      <c r="KAJ587" s="14"/>
      <c r="KAK587" s="14"/>
      <c r="KAL587" s="14"/>
      <c r="KAM587" s="14"/>
      <c r="KAN587" s="14"/>
      <c r="KAO587" s="14"/>
      <c r="KAP587" s="14"/>
      <c r="KAQ587" s="14"/>
      <c r="KAR587" s="14"/>
      <c r="KAS587" s="14"/>
      <c r="KAT587" s="14"/>
      <c r="KAU587" s="14"/>
      <c r="KAV587" s="14"/>
      <c r="KAW587" s="14"/>
      <c r="KAX587" s="14"/>
      <c r="KAY587" s="14"/>
      <c r="KAZ587" s="14"/>
      <c r="KBA587" s="14"/>
      <c r="KBB587" s="14"/>
      <c r="KBC587" s="14"/>
      <c r="KBD587" s="14"/>
      <c r="KBE587" s="14"/>
      <c r="KBF587" s="14"/>
      <c r="KBG587" s="14"/>
      <c r="KBH587" s="14"/>
      <c r="KBI587" s="14"/>
      <c r="KBJ587" s="14"/>
      <c r="KBK587" s="14"/>
      <c r="KBL587" s="14"/>
      <c r="KBM587" s="14"/>
      <c r="KBN587" s="14"/>
      <c r="KBO587" s="14"/>
      <c r="KBP587" s="14"/>
      <c r="KBQ587" s="14"/>
      <c r="KBR587" s="14"/>
      <c r="KBS587" s="14"/>
      <c r="KBT587" s="14"/>
      <c r="KBU587" s="14"/>
      <c r="KBV587" s="14"/>
      <c r="KBW587" s="14"/>
      <c r="KBX587" s="14"/>
      <c r="KBY587" s="14"/>
      <c r="KBZ587" s="14"/>
      <c r="KCA587" s="14"/>
      <c r="KCB587" s="14"/>
      <c r="KCC587" s="14"/>
      <c r="KCD587" s="14"/>
      <c r="KCE587" s="14"/>
      <c r="KCF587" s="14"/>
      <c r="KCG587" s="14"/>
      <c r="KCH587" s="14"/>
      <c r="KCI587" s="14"/>
      <c r="KCJ587" s="14"/>
      <c r="KCK587" s="14"/>
      <c r="KCL587" s="14"/>
      <c r="KCM587" s="14"/>
      <c r="KCN587" s="14"/>
      <c r="KCO587" s="14"/>
      <c r="KCP587" s="14"/>
      <c r="KCQ587" s="14"/>
      <c r="KCR587" s="14"/>
      <c r="KCS587" s="14"/>
      <c r="KCT587" s="14"/>
      <c r="KCU587" s="14"/>
      <c r="KCV587" s="14"/>
      <c r="KCW587" s="14"/>
      <c r="KCX587" s="14"/>
      <c r="KCY587" s="14"/>
      <c r="KCZ587" s="14"/>
      <c r="KDA587" s="14"/>
      <c r="KDB587" s="14"/>
      <c r="KDC587" s="14"/>
      <c r="KDD587" s="14"/>
      <c r="KDE587" s="14"/>
      <c r="KDF587" s="14"/>
      <c r="KDG587" s="14"/>
      <c r="KDH587" s="14"/>
      <c r="KDI587" s="14"/>
      <c r="KDJ587" s="14"/>
      <c r="KDK587" s="14"/>
      <c r="KDL587" s="14"/>
      <c r="KDM587" s="14"/>
      <c r="KDN587" s="14"/>
      <c r="KDO587" s="14"/>
      <c r="KDP587" s="14"/>
      <c r="KDQ587" s="14"/>
      <c r="KDR587" s="14"/>
      <c r="KDS587" s="14"/>
      <c r="KDT587" s="14"/>
      <c r="KDU587" s="14"/>
      <c r="KDV587" s="14"/>
      <c r="KDW587" s="14"/>
      <c r="KDX587" s="14"/>
      <c r="KDY587" s="14"/>
      <c r="KDZ587" s="14"/>
      <c r="KEA587" s="14"/>
      <c r="KEB587" s="14"/>
      <c r="KEC587" s="14"/>
      <c r="KED587" s="14"/>
      <c r="KEE587" s="14"/>
      <c r="KEF587" s="14"/>
      <c r="KEG587" s="14"/>
      <c r="KEH587" s="14"/>
      <c r="KEI587" s="14"/>
      <c r="KEJ587" s="14"/>
      <c r="KEK587" s="14"/>
      <c r="KEL587" s="14"/>
      <c r="KEM587" s="14"/>
      <c r="KEN587" s="14"/>
      <c r="KEO587" s="14"/>
      <c r="KEP587" s="14"/>
      <c r="KEQ587" s="14"/>
      <c r="KER587" s="14"/>
      <c r="KES587" s="14"/>
      <c r="KET587" s="14"/>
      <c r="KEU587" s="14"/>
      <c r="KEV587" s="14"/>
      <c r="KEW587" s="14"/>
      <c r="KEX587" s="14"/>
      <c r="KEY587" s="14"/>
      <c r="KEZ587" s="14"/>
      <c r="KFA587" s="14"/>
      <c r="KFB587" s="14"/>
      <c r="KFC587" s="14"/>
      <c r="KFD587" s="14"/>
      <c r="KFE587" s="14"/>
      <c r="KFF587" s="14"/>
      <c r="KFG587" s="14"/>
      <c r="KFH587" s="14"/>
      <c r="KFI587" s="14"/>
      <c r="KFJ587" s="14"/>
      <c r="KFK587" s="14"/>
      <c r="KFL587" s="14"/>
      <c r="KFM587" s="14"/>
      <c r="KFN587" s="14"/>
      <c r="KFO587" s="14"/>
      <c r="KFP587" s="14"/>
      <c r="KFQ587" s="14"/>
      <c r="KFR587" s="14"/>
      <c r="KFS587" s="14"/>
      <c r="KFT587" s="14"/>
      <c r="KFU587" s="14"/>
      <c r="KFV587" s="14"/>
      <c r="KFW587" s="14"/>
      <c r="KFX587" s="14"/>
      <c r="KFY587" s="14"/>
      <c r="KFZ587" s="14"/>
      <c r="KGA587" s="14"/>
      <c r="KGB587" s="14"/>
      <c r="KGC587" s="14"/>
      <c r="KGD587" s="14"/>
      <c r="KGE587" s="14"/>
      <c r="KGF587" s="14"/>
      <c r="KGG587" s="14"/>
      <c r="KGH587" s="14"/>
      <c r="KGI587" s="14"/>
      <c r="KGJ587" s="14"/>
      <c r="KGK587" s="14"/>
      <c r="KGL587" s="14"/>
      <c r="KGM587" s="14"/>
      <c r="KGN587" s="14"/>
      <c r="KGO587" s="14"/>
      <c r="KGP587" s="14"/>
      <c r="KGQ587" s="14"/>
      <c r="KGR587" s="14"/>
      <c r="KGS587" s="14"/>
      <c r="KGT587" s="14"/>
      <c r="KGU587" s="14"/>
      <c r="KGV587" s="14"/>
      <c r="KGW587" s="14"/>
      <c r="KGX587" s="14"/>
      <c r="KGY587" s="14"/>
      <c r="KGZ587" s="14"/>
      <c r="KHA587" s="14"/>
      <c r="KHB587" s="14"/>
      <c r="KHC587" s="14"/>
      <c r="KHD587" s="14"/>
      <c r="KHE587" s="14"/>
      <c r="KHF587" s="14"/>
      <c r="KHG587" s="14"/>
      <c r="KHH587" s="14"/>
      <c r="KHI587" s="14"/>
      <c r="KHJ587" s="14"/>
      <c r="KHK587" s="14"/>
      <c r="KHL587" s="14"/>
      <c r="KHM587" s="14"/>
      <c r="KHN587" s="14"/>
      <c r="KHO587" s="14"/>
      <c r="KHP587" s="14"/>
      <c r="KHQ587" s="14"/>
      <c r="KHR587" s="14"/>
      <c r="KHS587" s="14"/>
      <c r="KHT587" s="14"/>
      <c r="KHU587" s="14"/>
      <c r="KHV587" s="14"/>
      <c r="KHW587" s="14"/>
      <c r="KHX587" s="14"/>
      <c r="KHY587" s="14"/>
      <c r="KHZ587" s="14"/>
      <c r="KIA587" s="14"/>
      <c r="KIB587" s="14"/>
      <c r="KIC587" s="14"/>
      <c r="KID587" s="14"/>
      <c r="KIE587" s="14"/>
      <c r="KIF587" s="14"/>
      <c r="KIG587" s="14"/>
      <c r="KIH587" s="14"/>
      <c r="KII587" s="14"/>
      <c r="KIJ587" s="14"/>
      <c r="KIK587" s="14"/>
      <c r="KIL587" s="14"/>
      <c r="KIM587" s="14"/>
      <c r="KIN587" s="14"/>
      <c r="KIO587" s="14"/>
      <c r="KIP587" s="14"/>
      <c r="KIQ587" s="14"/>
      <c r="KIR587" s="14"/>
      <c r="KIS587" s="14"/>
      <c r="KIT587" s="14"/>
      <c r="KIU587" s="14"/>
      <c r="KIV587" s="14"/>
      <c r="KIW587" s="14"/>
      <c r="KIX587" s="14"/>
      <c r="KIY587" s="14"/>
      <c r="KIZ587" s="14"/>
      <c r="KJA587" s="14"/>
      <c r="KJB587" s="14"/>
      <c r="KJC587" s="14"/>
      <c r="KJD587" s="14"/>
      <c r="KJE587" s="14"/>
      <c r="KJF587" s="14"/>
      <c r="KJG587" s="14"/>
      <c r="KJH587" s="14"/>
      <c r="KJI587" s="14"/>
      <c r="KJJ587" s="14"/>
      <c r="KJK587" s="14"/>
      <c r="KJL587" s="14"/>
      <c r="KJM587" s="14"/>
      <c r="KJN587" s="14"/>
      <c r="KJO587" s="14"/>
      <c r="KJP587" s="14"/>
      <c r="KJQ587" s="14"/>
      <c r="KJR587" s="14"/>
      <c r="KJS587" s="14"/>
      <c r="KJT587" s="14"/>
      <c r="KJU587" s="14"/>
      <c r="KJV587" s="14"/>
      <c r="KJW587" s="14"/>
      <c r="KJX587" s="14"/>
      <c r="KJY587" s="14"/>
      <c r="KJZ587" s="14"/>
      <c r="KKA587" s="14"/>
      <c r="KKB587" s="14"/>
      <c r="KKC587" s="14"/>
      <c r="KKD587" s="14"/>
      <c r="KKE587" s="14"/>
      <c r="KKF587" s="14"/>
      <c r="KKG587" s="14"/>
      <c r="KKH587" s="14"/>
      <c r="KKI587" s="14"/>
      <c r="KKJ587" s="14"/>
      <c r="KKK587" s="14"/>
      <c r="KKL587" s="14"/>
      <c r="KKM587" s="14"/>
      <c r="KKN587" s="14"/>
      <c r="KKO587" s="14"/>
      <c r="KKP587" s="14"/>
      <c r="KKQ587" s="14"/>
      <c r="KKR587" s="14"/>
      <c r="KKS587" s="14"/>
      <c r="KKT587" s="14"/>
      <c r="KKU587" s="14"/>
      <c r="KKV587" s="14"/>
      <c r="KKW587" s="14"/>
      <c r="KKX587" s="14"/>
      <c r="KKY587" s="14"/>
      <c r="KKZ587" s="14"/>
      <c r="KLA587" s="14"/>
      <c r="KLB587" s="14"/>
      <c r="KLC587" s="14"/>
      <c r="KLD587" s="14"/>
      <c r="KLE587" s="14"/>
      <c r="KLF587" s="14"/>
      <c r="KLG587" s="14"/>
      <c r="KLH587" s="14"/>
      <c r="KLI587" s="14"/>
      <c r="KLJ587" s="14"/>
      <c r="KLK587" s="14"/>
      <c r="KLL587" s="14"/>
      <c r="KLM587" s="14"/>
      <c r="KLN587" s="14"/>
      <c r="KLO587" s="14"/>
      <c r="KLP587" s="14"/>
      <c r="KLQ587" s="14"/>
      <c r="KLR587" s="14"/>
      <c r="KLS587" s="14"/>
      <c r="KLT587" s="14"/>
      <c r="KLU587" s="14"/>
      <c r="KLV587" s="14"/>
      <c r="KLW587" s="14"/>
      <c r="KLX587" s="14"/>
      <c r="KLY587" s="14"/>
      <c r="KLZ587" s="14"/>
      <c r="KMA587" s="14"/>
      <c r="KMB587" s="14"/>
      <c r="KMC587" s="14"/>
      <c r="KMD587" s="14"/>
      <c r="KME587" s="14"/>
      <c r="KMF587" s="14"/>
      <c r="KMG587" s="14"/>
      <c r="KMH587" s="14"/>
      <c r="KMI587" s="14"/>
      <c r="KMJ587" s="14"/>
      <c r="KMK587" s="14"/>
      <c r="KML587" s="14"/>
      <c r="KMM587" s="14"/>
      <c r="KMN587" s="14"/>
      <c r="KMO587" s="14"/>
      <c r="KMP587" s="14"/>
      <c r="KMQ587" s="14"/>
      <c r="KMR587" s="14"/>
      <c r="KMS587" s="14"/>
      <c r="KMT587" s="14"/>
      <c r="KMU587" s="14"/>
      <c r="KMV587" s="14"/>
      <c r="KMW587" s="14"/>
      <c r="KMX587" s="14"/>
      <c r="KMY587" s="14"/>
      <c r="KMZ587" s="14"/>
      <c r="KNA587" s="14"/>
      <c r="KNB587" s="14"/>
      <c r="KNC587" s="14"/>
      <c r="KND587" s="14"/>
      <c r="KNE587" s="14"/>
      <c r="KNF587" s="14"/>
      <c r="KNG587" s="14"/>
      <c r="KNH587" s="14"/>
      <c r="KNI587" s="14"/>
      <c r="KNJ587" s="14"/>
      <c r="KNK587" s="14"/>
      <c r="KNL587" s="14"/>
      <c r="KNM587" s="14"/>
      <c r="KNN587" s="14"/>
      <c r="KNO587" s="14"/>
      <c r="KNP587" s="14"/>
      <c r="KNQ587" s="14"/>
      <c r="KNR587" s="14"/>
      <c r="KNS587" s="14"/>
      <c r="KNT587" s="14"/>
      <c r="KNU587" s="14"/>
      <c r="KNV587" s="14"/>
      <c r="KNW587" s="14"/>
      <c r="KNX587" s="14"/>
      <c r="KNY587" s="14"/>
      <c r="KNZ587" s="14"/>
      <c r="KOA587" s="14"/>
      <c r="KOB587" s="14"/>
      <c r="KOC587" s="14"/>
      <c r="KOD587" s="14"/>
      <c r="KOE587" s="14"/>
      <c r="KOF587" s="14"/>
      <c r="KOG587" s="14"/>
      <c r="KOH587" s="14"/>
      <c r="KOI587" s="14"/>
      <c r="KOJ587" s="14"/>
      <c r="KOK587" s="14"/>
      <c r="KOL587" s="14"/>
      <c r="KOM587" s="14"/>
      <c r="KON587" s="14"/>
      <c r="KOO587" s="14"/>
      <c r="KOP587" s="14"/>
      <c r="KOQ587" s="14"/>
      <c r="KOR587" s="14"/>
      <c r="KOS587" s="14"/>
      <c r="KOT587" s="14"/>
      <c r="KOU587" s="14"/>
      <c r="KOV587" s="14"/>
      <c r="KOW587" s="14"/>
      <c r="KOX587" s="14"/>
      <c r="KOY587" s="14"/>
      <c r="KOZ587" s="14"/>
      <c r="KPA587" s="14"/>
      <c r="KPB587" s="14"/>
      <c r="KPC587" s="14"/>
      <c r="KPD587" s="14"/>
      <c r="KPE587" s="14"/>
      <c r="KPF587" s="14"/>
      <c r="KPG587" s="14"/>
      <c r="KPH587" s="14"/>
      <c r="KPI587" s="14"/>
      <c r="KPJ587" s="14"/>
      <c r="KPK587" s="14"/>
      <c r="KPL587" s="14"/>
      <c r="KPM587" s="14"/>
      <c r="KPN587" s="14"/>
      <c r="KPO587" s="14"/>
      <c r="KPP587" s="14"/>
      <c r="KPQ587" s="14"/>
      <c r="KPR587" s="14"/>
      <c r="KPS587" s="14"/>
      <c r="KPT587" s="14"/>
      <c r="KPU587" s="14"/>
      <c r="KPV587" s="14"/>
      <c r="KPW587" s="14"/>
      <c r="KPX587" s="14"/>
      <c r="KPY587" s="14"/>
      <c r="KPZ587" s="14"/>
      <c r="KQA587" s="14"/>
      <c r="KQB587" s="14"/>
      <c r="KQC587" s="14"/>
      <c r="KQD587" s="14"/>
      <c r="KQE587" s="14"/>
      <c r="KQF587" s="14"/>
      <c r="KQG587" s="14"/>
      <c r="KQH587" s="14"/>
      <c r="KQI587" s="14"/>
      <c r="KQJ587" s="14"/>
      <c r="KQK587" s="14"/>
      <c r="KQL587" s="14"/>
      <c r="KQM587" s="14"/>
      <c r="KQN587" s="14"/>
      <c r="KQO587" s="14"/>
      <c r="KQP587" s="14"/>
      <c r="KQQ587" s="14"/>
      <c r="KQR587" s="14"/>
      <c r="KQS587" s="14"/>
      <c r="KQT587" s="14"/>
      <c r="KQU587" s="14"/>
      <c r="KQV587" s="14"/>
      <c r="KQW587" s="14"/>
      <c r="KQX587" s="14"/>
      <c r="KQY587" s="14"/>
      <c r="KQZ587" s="14"/>
      <c r="KRA587" s="14"/>
      <c r="KRB587" s="14"/>
      <c r="KRC587" s="14"/>
      <c r="KRD587" s="14"/>
      <c r="KRE587" s="14"/>
      <c r="KRF587" s="14"/>
      <c r="KRG587" s="14"/>
      <c r="KRH587" s="14"/>
      <c r="KRI587" s="14"/>
      <c r="KRJ587" s="14"/>
      <c r="KRK587" s="14"/>
      <c r="KRL587" s="14"/>
      <c r="KRM587" s="14"/>
      <c r="KRN587" s="14"/>
      <c r="KRO587" s="14"/>
      <c r="KRP587" s="14"/>
      <c r="KRQ587" s="14"/>
      <c r="KRR587" s="14"/>
      <c r="KRS587" s="14"/>
      <c r="KRT587" s="14"/>
      <c r="KRU587" s="14"/>
      <c r="KRV587" s="14"/>
      <c r="KRW587" s="14"/>
      <c r="KRX587" s="14"/>
      <c r="KRY587" s="14"/>
      <c r="KRZ587" s="14"/>
      <c r="KSA587" s="14"/>
      <c r="KSB587" s="14"/>
      <c r="KSC587" s="14"/>
      <c r="KSD587" s="14"/>
      <c r="KSE587" s="14"/>
      <c r="KSF587" s="14"/>
      <c r="KSG587" s="14"/>
      <c r="KSH587" s="14"/>
      <c r="KSI587" s="14"/>
      <c r="KSJ587" s="14"/>
      <c r="KSK587" s="14"/>
      <c r="KSL587" s="14"/>
      <c r="KSM587" s="14"/>
      <c r="KSN587" s="14"/>
      <c r="KSO587" s="14"/>
      <c r="KSP587" s="14"/>
      <c r="KSQ587" s="14"/>
      <c r="KSR587" s="14"/>
      <c r="KSS587" s="14"/>
      <c r="KST587" s="14"/>
      <c r="KSU587" s="14"/>
      <c r="KSV587" s="14"/>
      <c r="KSW587" s="14"/>
      <c r="KSX587" s="14"/>
      <c r="KSY587" s="14"/>
      <c r="KSZ587" s="14"/>
      <c r="KTA587" s="14"/>
      <c r="KTB587" s="14"/>
      <c r="KTC587" s="14"/>
      <c r="KTD587" s="14"/>
      <c r="KTE587" s="14"/>
      <c r="KTF587" s="14"/>
      <c r="KTG587" s="14"/>
      <c r="KTH587" s="14"/>
      <c r="KTI587" s="14"/>
      <c r="KTJ587" s="14"/>
      <c r="KTK587" s="14"/>
      <c r="KTL587" s="14"/>
      <c r="KTM587" s="14"/>
      <c r="KTN587" s="14"/>
      <c r="KTO587" s="14"/>
      <c r="KTP587" s="14"/>
      <c r="KTQ587" s="14"/>
      <c r="KTR587" s="14"/>
      <c r="KTS587" s="14"/>
      <c r="KTT587" s="14"/>
      <c r="KTU587" s="14"/>
      <c r="KTV587" s="14"/>
      <c r="KTW587" s="14"/>
      <c r="KTX587" s="14"/>
      <c r="KTY587" s="14"/>
      <c r="KTZ587" s="14"/>
      <c r="KUA587" s="14"/>
      <c r="KUB587" s="14"/>
      <c r="KUC587" s="14"/>
      <c r="KUD587" s="14"/>
      <c r="KUE587" s="14"/>
      <c r="KUF587" s="14"/>
      <c r="KUG587" s="14"/>
      <c r="KUH587" s="14"/>
      <c r="KUI587" s="14"/>
      <c r="KUJ587" s="14"/>
      <c r="KUK587" s="14"/>
      <c r="KUL587" s="14"/>
      <c r="KUM587" s="14"/>
      <c r="KUN587" s="14"/>
      <c r="KUO587" s="14"/>
      <c r="KUP587" s="14"/>
      <c r="KUQ587" s="14"/>
      <c r="KUR587" s="14"/>
      <c r="KUS587" s="14"/>
      <c r="KUT587" s="14"/>
      <c r="KUU587" s="14"/>
      <c r="KUV587" s="14"/>
      <c r="KUW587" s="14"/>
      <c r="KUX587" s="14"/>
      <c r="KUY587" s="14"/>
      <c r="KUZ587" s="14"/>
      <c r="KVA587" s="14"/>
      <c r="KVB587" s="14"/>
      <c r="KVC587" s="14"/>
      <c r="KVD587" s="14"/>
      <c r="KVE587" s="14"/>
      <c r="KVF587" s="14"/>
      <c r="KVG587" s="14"/>
      <c r="KVH587" s="14"/>
      <c r="KVI587" s="14"/>
      <c r="KVJ587" s="14"/>
      <c r="KVK587" s="14"/>
      <c r="KVL587" s="14"/>
      <c r="KVM587" s="14"/>
      <c r="KVN587" s="14"/>
      <c r="KVO587" s="14"/>
      <c r="KVP587" s="14"/>
      <c r="KVQ587" s="14"/>
      <c r="KVR587" s="14"/>
      <c r="KVS587" s="14"/>
      <c r="KVT587" s="14"/>
      <c r="KVU587" s="14"/>
      <c r="KVV587" s="14"/>
      <c r="KVW587" s="14"/>
      <c r="KVX587" s="14"/>
      <c r="KVY587" s="14"/>
      <c r="KVZ587" s="14"/>
      <c r="KWA587" s="14"/>
      <c r="KWB587" s="14"/>
      <c r="KWC587" s="14"/>
      <c r="KWD587" s="14"/>
      <c r="KWE587" s="14"/>
      <c r="KWF587" s="14"/>
      <c r="KWG587" s="14"/>
      <c r="KWH587" s="14"/>
      <c r="KWI587" s="14"/>
      <c r="KWJ587" s="14"/>
      <c r="KWK587" s="14"/>
      <c r="KWL587" s="14"/>
      <c r="KWM587" s="14"/>
      <c r="KWN587" s="14"/>
      <c r="KWO587" s="14"/>
      <c r="KWP587" s="14"/>
      <c r="KWQ587" s="14"/>
      <c r="KWR587" s="14"/>
      <c r="KWS587" s="14"/>
      <c r="KWT587" s="14"/>
      <c r="KWU587" s="14"/>
      <c r="KWV587" s="14"/>
      <c r="KWW587" s="14"/>
      <c r="KWX587" s="14"/>
      <c r="KWY587" s="14"/>
      <c r="KWZ587" s="14"/>
      <c r="KXA587" s="14"/>
      <c r="KXB587" s="14"/>
      <c r="KXC587" s="14"/>
      <c r="KXD587" s="14"/>
      <c r="KXE587" s="14"/>
      <c r="KXF587" s="14"/>
      <c r="KXG587" s="14"/>
      <c r="KXH587" s="14"/>
      <c r="KXI587" s="14"/>
      <c r="KXJ587" s="14"/>
      <c r="KXK587" s="14"/>
      <c r="KXL587" s="14"/>
      <c r="KXM587" s="14"/>
      <c r="KXN587" s="14"/>
      <c r="KXO587" s="14"/>
      <c r="KXP587" s="14"/>
      <c r="KXQ587" s="14"/>
      <c r="KXR587" s="14"/>
      <c r="KXS587" s="14"/>
      <c r="KXT587" s="14"/>
      <c r="KXU587" s="14"/>
      <c r="KXV587" s="14"/>
      <c r="KXW587" s="14"/>
      <c r="KXX587" s="14"/>
      <c r="KXY587" s="14"/>
      <c r="KXZ587" s="14"/>
      <c r="KYA587" s="14"/>
      <c r="KYB587" s="14"/>
      <c r="KYC587" s="14"/>
      <c r="KYD587" s="14"/>
      <c r="KYE587" s="14"/>
      <c r="KYF587" s="14"/>
      <c r="KYG587" s="14"/>
      <c r="KYH587" s="14"/>
      <c r="KYI587" s="14"/>
      <c r="KYJ587" s="14"/>
      <c r="KYK587" s="14"/>
      <c r="KYL587" s="14"/>
      <c r="KYM587" s="14"/>
      <c r="KYN587" s="14"/>
      <c r="KYO587" s="14"/>
      <c r="KYP587" s="14"/>
      <c r="KYQ587" s="14"/>
      <c r="KYR587" s="14"/>
      <c r="KYS587" s="14"/>
      <c r="KYT587" s="14"/>
      <c r="KYU587" s="14"/>
      <c r="KYV587" s="14"/>
      <c r="KYW587" s="14"/>
      <c r="KYX587" s="14"/>
      <c r="KYY587" s="14"/>
      <c r="KYZ587" s="14"/>
      <c r="KZA587" s="14"/>
      <c r="KZB587" s="14"/>
      <c r="KZC587" s="14"/>
      <c r="KZD587" s="14"/>
      <c r="KZE587" s="14"/>
      <c r="KZF587" s="14"/>
      <c r="KZG587" s="14"/>
      <c r="KZH587" s="14"/>
      <c r="KZI587" s="14"/>
      <c r="KZJ587" s="14"/>
      <c r="KZK587" s="14"/>
      <c r="KZL587" s="14"/>
      <c r="KZM587" s="14"/>
      <c r="KZN587" s="14"/>
      <c r="KZO587" s="14"/>
      <c r="KZP587" s="14"/>
      <c r="KZQ587" s="14"/>
      <c r="KZR587" s="14"/>
      <c r="KZS587" s="14"/>
      <c r="KZT587" s="14"/>
      <c r="KZU587" s="14"/>
      <c r="KZV587" s="14"/>
      <c r="KZW587" s="14"/>
      <c r="KZX587" s="14"/>
      <c r="KZY587" s="14"/>
      <c r="KZZ587" s="14"/>
      <c r="LAA587" s="14"/>
      <c r="LAB587" s="14"/>
      <c r="LAC587" s="14"/>
      <c r="LAD587" s="14"/>
      <c r="LAE587" s="14"/>
      <c r="LAF587" s="14"/>
      <c r="LAG587" s="14"/>
      <c r="LAH587" s="14"/>
      <c r="LAI587" s="14"/>
      <c r="LAJ587" s="14"/>
      <c r="LAK587" s="14"/>
      <c r="LAL587" s="14"/>
      <c r="LAM587" s="14"/>
      <c r="LAN587" s="14"/>
      <c r="LAO587" s="14"/>
      <c r="LAP587" s="14"/>
      <c r="LAQ587" s="14"/>
      <c r="LAR587" s="14"/>
      <c r="LAS587" s="14"/>
      <c r="LAT587" s="14"/>
      <c r="LAU587" s="14"/>
      <c r="LAV587" s="14"/>
      <c r="LAW587" s="14"/>
      <c r="LAX587" s="14"/>
      <c r="LAY587" s="14"/>
      <c r="LAZ587" s="14"/>
      <c r="LBA587" s="14"/>
      <c r="LBB587" s="14"/>
      <c r="LBC587" s="14"/>
      <c r="LBD587" s="14"/>
      <c r="LBE587" s="14"/>
      <c r="LBF587" s="14"/>
      <c r="LBG587" s="14"/>
      <c r="LBH587" s="14"/>
      <c r="LBI587" s="14"/>
      <c r="LBJ587" s="14"/>
      <c r="LBK587" s="14"/>
      <c r="LBL587" s="14"/>
      <c r="LBM587" s="14"/>
      <c r="LBN587" s="14"/>
      <c r="LBO587" s="14"/>
      <c r="LBP587" s="14"/>
      <c r="LBQ587" s="14"/>
      <c r="LBR587" s="14"/>
      <c r="LBS587" s="14"/>
      <c r="LBT587" s="14"/>
      <c r="LBU587" s="14"/>
      <c r="LBV587" s="14"/>
      <c r="LBW587" s="14"/>
      <c r="LBX587" s="14"/>
      <c r="LBY587" s="14"/>
      <c r="LBZ587" s="14"/>
      <c r="LCA587" s="14"/>
      <c r="LCB587" s="14"/>
      <c r="LCC587" s="14"/>
      <c r="LCD587" s="14"/>
      <c r="LCE587" s="14"/>
      <c r="LCF587" s="14"/>
      <c r="LCG587" s="14"/>
      <c r="LCH587" s="14"/>
      <c r="LCI587" s="14"/>
      <c r="LCJ587" s="14"/>
      <c r="LCK587" s="14"/>
      <c r="LCL587" s="14"/>
      <c r="LCM587" s="14"/>
      <c r="LCN587" s="14"/>
      <c r="LCO587" s="14"/>
      <c r="LCP587" s="14"/>
      <c r="LCQ587" s="14"/>
      <c r="LCR587" s="14"/>
      <c r="LCS587" s="14"/>
      <c r="LCT587" s="14"/>
      <c r="LCU587" s="14"/>
      <c r="LCV587" s="14"/>
      <c r="LCW587" s="14"/>
      <c r="LCX587" s="14"/>
      <c r="LCY587" s="14"/>
      <c r="LCZ587" s="14"/>
      <c r="LDA587" s="14"/>
      <c r="LDB587" s="14"/>
      <c r="LDC587" s="14"/>
      <c r="LDD587" s="14"/>
      <c r="LDE587" s="14"/>
      <c r="LDF587" s="14"/>
      <c r="LDG587" s="14"/>
      <c r="LDH587" s="14"/>
      <c r="LDI587" s="14"/>
      <c r="LDJ587" s="14"/>
      <c r="LDK587" s="14"/>
      <c r="LDL587" s="14"/>
      <c r="LDM587" s="14"/>
      <c r="LDN587" s="14"/>
      <c r="LDO587" s="14"/>
      <c r="LDP587" s="14"/>
      <c r="LDQ587" s="14"/>
      <c r="LDR587" s="14"/>
      <c r="LDS587" s="14"/>
      <c r="LDT587" s="14"/>
      <c r="LDU587" s="14"/>
      <c r="LDV587" s="14"/>
      <c r="LDW587" s="14"/>
      <c r="LDX587" s="14"/>
      <c r="LDY587" s="14"/>
      <c r="LDZ587" s="14"/>
      <c r="LEA587" s="14"/>
      <c r="LEB587" s="14"/>
      <c r="LEC587" s="14"/>
      <c r="LED587" s="14"/>
      <c r="LEE587" s="14"/>
      <c r="LEF587" s="14"/>
      <c r="LEG587" s="14"/>
      <c r="LEH587" s="14"/>
      <c r="LEI587" s="14"/>
      <c r="LEJ587" s="14"/>
      <c r="LEK587" s="14"/>
      <c r="LEL587" s="14"/>
      <c r="LEM587" s="14"/>
      <c r="LEN587" s="14"/>
      <c r="LEO587" s="14"/>
      <c r="LEP587" s="14"/>
      <c r="LEQ587" s="14"/>
      <c r="LER587" s="14"/>
      <c r="LES587" s="14"/>
      <c r="LET587" s="14"/>
      <c r="LEU587" s="14"/>
      <c r="LEV587" s="14"/>
      <c r="LEW587" s="14"/>
      <c r="LEX587" s="14"/>
      <c r="LEY587" s="14"/>
      <c r="LEZ587" s="14"/>
      <c r="LFA587" s="14"/>
      <c r="LFB587" s="14"/>
      <c r="LFC587" s="14"/>
      <c r="LFD587" s="14"/>
      <c r="LFE587" s="14"/>
      <c r="LFF587" s="14"/>
      <c r="LFG587" s="14"/>
      <c r="LFH587" s="14"/>
      <c r="LFI587" s="14"/>
      <c r="LFJ587" s="14"/>
      <c r="LFK587" s="14"/>
      <c r="LFL587" s="14"/>
      <c r="LFM587" s="14"/>
      <c r="LFN587" s="14"/>
      <c r="LFO587" s="14"/>
      <c r="LFP587" s="14"/>
      <c r="LFQ587" s="14"/>
      <c r="LFR587" s="14"/>
      <c r="LFS587" s="14"/>
      <c r="LFT587" s="14"/>
      <c r="LFU587" s="14"/>
      <c r="LFV587" s="14"/>
      <c r="LFW587" s="14"/>
      <c r="LFX587" s="14"/>
      <c r="LFY587" s="14"/>
      <c r="LFZ587" s="14"/>
      <c r="LGA587" s="14"/>
      <c r="LGB587" s="14"/>
      <c r="LGC587" s="14"/>
      <c r="LGD587" s="14"/>
      <c r="LGE587" s="14"/>
      <c r="LGF587" s="14"/>
      <c r="LGG587" s="14"/>
      <c r="LGH587" s="14"/>
      <c r="LGI587" s="14"/>
      <c r="LGJ587" s="14"/>
      <c r="LGK587" s="14"/>
      <c r="LGL587" s="14"/>
      <c r="LGM587" s="14"/>
      <c r="LGN587" s="14"/>
      <c r="LGO587" s="14"/>
      <c r="LGP587" s="14"/>
      <c r="LGQ587" s="14"/>
      <c r="LGR587" s="14"/>
      <c r="LGS587" s="14"/>
      <c r="LGT587" s="14"/>
      <c r="LGU587" s="14"/>
      <c r="LGV587" s="14"/>
      <c r="LGW587" s="14"/>
      <c r="LGX587" s="14"/>
      <c r="LGY587" s="14"/>
      <c r="LGZ587" s="14"/>
      <c r="LHA587" s="14"/>
      <c r="LHB587" s="14"/>
      <c r="LHC587" s="14"/>
      <c r="LHD587" s="14"/>
      <c r="LHE587" s="14"/>
      <c r="LHF587" s="14"/>
      <c r="LHG587" s="14"/>
      <c r="LHH587" s="14"/>
      <c r="LHI587" s="14"/>
      <c r="LHJ587" s="14"/>
      <c r="LHK587" s="14"/>
      <c r="LHL587" s="14"/>
      <c r="LHM587" s="14"/>
      <c r="LHN587" s="14"/>
      <c r="LHO587" s="14"/>
      <c r="LHP587" s="14"/>
      <c r="LHQ587" s="14"/>
      <c r="LHR587" s="14"/>
      <c r="LHS587" s="14"/>
      <c r="LHT587" s="14"/>
      <c r="LHU587" s="14"/>
      <c r="LHV587" s="14"/>
      <c r="LHW587" s="14"/>
      <c r="LHX587" s="14"/>
      <c r="LHY587" s="14"/>
      <c r="LHZ587" s="14"/>
      <c r="LIA587" s="14"/>
      <c r="LIB587" s="14"/>
      <c r="LIC587" s="14"/>
      <c r="LID587" s="14"/>
      <c r="LIE587" s="14"/>
      <c r="LIF587" s="14"/>
      <c r="LIG587" s="14"/>
      <c r="LIH587" s="14"/>
      <c r="LII587" s="14"/>
      <c r="LIJ587" s="14"/>
      <c r="LIK587" s="14"/>
      <c r="LIL587" s="14"/>
      <c r="LIM587" s="14"/>
      <c r="LIN587" s="14"/>
      <c r="LIO587" s="14"/>
      <c r="LIP587" s="14"/>
      <c r="LIQ587" s="14"/>
      <c r="LIR587" s="14"/>
      <c r="LIS587" s="14"/>
      <c r="LIT587" s="14"/>
      <c r="LIU587" s="14"/>
      <c r="LIV587" s="14"/>
      <c r="LIW587" s="14"/>
      <c r="LIX587" s="14"/>
      <c r="LIY587" s="14"/>
      <c r="LIZ587" s="14"/>
      <c r="LJA587" s="14"/>
      <c r="LJB587" s="14"/>
      <c r="LJC587" s="14"/>
      <c r="LJD587" s="14"/>
      <c r="LJE587" s="14"/>
      <c r="LJF587" s="14"/>
      <c r="LJG587" s="14"/>
      <c r="LJH587" s="14"/>
      <c r="LJI587" s="14"/>
      <c r="LJJ587" s="14"/>
      <c r="LJK587" s="14"/>
      <c r="LJL587" s="14"/>
      <c r="LJM587" s="14"/>
      <c r="LJN587" s="14"/>
      <c r="LJO587" s="14"/>
      <c r="LJP587" s="14"/>
      <c r="LJQ587" s="14"/>
      <c r="LJR587" s="14"/>
      <c r="LJS587" s="14"/>
      <c r="LJT587" s="14"/>
      <c r="LJU587" s="14"/>
      <c r="LJV587" s="14"/>
      <c r="LJW587" s="14"/>
      <c r="LJX587" s="14"/>
      <c r="LJY587" s="14"/>
      <c r="LJZ587" s="14"/>
      <c r="LKA587" s="14"/>
      <c r="LKB587" s="14"/>
      <c r="LKC587" s="14"/>
      <c r="LKD587" s="14"/>
      <c r="LKE587" s="14"/>
      <c r="LKF587" s="14"/>
      <c r="LKG587" s="14"/>
      <c r="LKH587" s="14"/>
      <c r="LKI587" s="14"/>
      <c r="LKJ587" s="14"/>
      <c r="LKK587" s="14"/>
      <c r="LKL587" s="14"/>
      <c r="LKM587" s="14"/>
      <c r="LKN587" s="14"/>
      <c r="LKO587" s="14"/>
      <c r="LKP587" s="14"/>
      <c r="LKQ587" s="14"/>
      <c r="LKR587" s="14"/>
      <c r="LKS587" s="14"/>
      <c r="LKT587" s="14"/>
      <c r="LKU587" s="14"/>
      <c r="LKV587" s="14"/>
      <c r="LKW587" s="14"/>
      <c r="LKX587" s="14"/>
      <c r="LKY587" s="14"/>
      <c r="LKZ587" s="14"/>
      <c r="LLA587" s="14"/>
      <c r="LLB587" s="14"/>
      <c r="LLC587" s="14"/>
      <c r="LLD587" s="14"/>
      <c r="LLE587" s="14"/>
      <c r="LLF587" s="14"/>
      <c r="LLG587" s="14"/>
      <c r="LLH587" s="14"/>
      <c r="LLI587" s="14"/>
      <c r="LLJ587" s="14"/>
      <c r="LLK587" s="14"/>
      <c r="LLL587" s="14"/>
      <c r="LLM587" s="14"/>
      <c r="LLN587" s="14"/>
      <c r="LLO587" s="14"/>
      <c r="LLP587" s="14"/>
      <c r="LLQ587" s="14"/>
      <c r="LLR587" s="14"/>
      <c r="LLS587" s="14"/>
      <c r="LLT587" s="14"/>
      <c r="LLU587" s="14"/>
      <c r="LLV587" s="14"/>
      <c r="LLW587" s="14"/>
      <c r="LLX587" s="14"/>
      <c r="LLY587" s="14"/>
      <c r="LLZ587" s="14"/>
      <c r="LMA587" s="14"/>
      <c r="LMB587" s="14"/>
      <c r="LMC587" s="14"/>
      <c r="LMD587" s="14"/>
      <c r="LME587" s="14"/>
      <c r="LMF587" s="14"/>
      <c r="LMG587" s="14"/>
      <c r="LMH587" s="14"/>
      <c r="LMI587" s="14"/>
      <c r="LMJ587" s="14"/>
      <c r="LMK587" s="14"/>
      <c r="LML587" s="14"/>
      <c r="LMM587" s="14"/>
      <c r="LMN587" s="14"/>
      <c r="LMO587" s="14"/>
      <c r="LMP587" s="14"/>
      <c r="LMQ587" s="14"/>
      <c r="LMR587" s="14"/>
      <c r="LMS587" s="14"/>
      <c r="LMT587" s="14"/>
      <c r="LMU587" s="14"/>
      <c r="LMV587" s="14"/>
      <c r="LMW587" s="14"/>
      <c r="LMX587" s="14"/>
      <c r="LMY587" s="14"/>
      <c r="LMZ587" s="14"/>
      <c r="LNA587" s="14"/>
      <c r="LNB587" s="14"/>
      <c r="LNC587" s="14"/>
      <c r="LND587" s="14"/>
      <c r="LNE587" s="14"/>
      <c r="LNF587" s="14"/>
      <c r="LNG587" s="14"/>
      <c r="LNH587" s="14"/>
      <c r="LNI587" s="14"/>
      <c r="LNJ587" s="14"/>
      <c r="LNK587" s="14"/>
      <c r="LNL587" s="14"/>
      <c r="LNM587" s="14"/>
      <c r="LNN587" s="14"/>
      <c r="LNO587" s="14"/>
      <c r="LNP587" s="14"/>
      <c r="LNQ587" s="14"/>
      <c r="LNR587" s="14"/>
      <c r="LNS587" s="14"/>
      <c r="LNT587" s="14"/>
      <c r="LNU587" s="14"/>
      <c r="LNV587" s="14"/>
      <c r="LNW587" s="14"/>
      <c r="LNX587" s="14"/>
      <c r="LNY587" s="14"/>
      <c r="LNZ587" s="14"/>
      <c r="LOA587" s="14"/>
      <c r="LOB587" s="14"/>
      <c r="LOC587" s="14"/>
      <c r="LOD587" s="14"/>
      <c r="LOE587" s="14"/>
      <c r="LOF587" s="14"/>
      <c r="LOG587" s="14"/>
      <c r="LOH587" s="14"/>
      <c r="LOI587" s="14"/>
      <c r="LOJ587" s="14"/>
      <c r="LOK587" s="14"/>
      <c r="LOL587" s="14"/>
      <c r="LOM587" s="14"/>
      <c r="LON587" s="14"/>
      <c r="LOO587" s="14"/>
      <c r="LOP587" s="14"/>
      <c r="LOQ587" s="14"/>
      <c r="LOR587" s="14"/>
      <c r="LOS587" s="14"/>
      <c r="LOT587" s="14"/>
      <c r="LOU587" s="14"/>
      <c r="LOV587" s="14"/>
      <c r="LOW587" s="14"/>
      <c r="LOX587" s="14"/>
      <c r="LOY587" s="14"/>
      <c r="LOZ587" s="14"/>
      <c r="LPA587" s="14"/>
      <c r="LPB587" s="14"/>
      <c r="LPC587" s="14"/>
      <c r="LPD587" s="14"/>
      <c r="LPE587" s="14"/>
      <c r="LPF587" s="14"/>
      <c r="LPG587" s="14"/>
      <c r="LPH587" s="14"/>
      <c r="LPI587" s="14"/>
      <c r="LPJ587" s="14"/>
      <c r="LPK587" s="14"/>
      <c r="LPL587" s="14"/>
      <c r="LPM587" s="14"/>
      <c r="LPN587" s="14"/>
      <c r="LPO587" s="14"/>
      <c r="LPP587" s="14"/>
      <c r="LPQ587" s="14"/>
      <c r="LPR587" s="14"/>
      <c r="LPS587" s="14"/>
      <c r="LPT587" s="14"/>
      <c r="LPU587" s="14"/>
      <c r="LPV587" s="14"/>
      <c r="LPW587" s="14"/>
      <c r="LPX587" s="14"/>
      <c r="LPY587" s="14"/>
      <c r="LPZ587" s="14"/>
      <c r="LQA587" s="14"/>
      <c r="LQB587" s="14"/>
      <c r="LQC587" s="14"/>
      <c r="LQD587" s="14"/>
      <c r="LQE587" s="14"/>
      <c r="LQF587" s="14"/>
      <c r="LQG587" s="14"/>
      <c r="LQH587" s="14"/>
      <c r="LQI587" s="14"/>
      <c r="LQJ587" s="14"/>
      <c r="LQK587" s="14"/>
      <c r="LQL587" s="14"/>
      <c r="LQM587" s="14"/>
      <c r="LQN587" s="14"/>
      <c r="LQO587" s="14"/>
      <c r="LQP587" s="14"/>
      <c r="LQQ587" s="14"/>
      <c r="LQR587" s="14"/>
      <c r="LQS587" s="14"/>
      <c r="LQT587" s="14"/>
      <c r="LQU587" s="14"/>
      <c r="LQV587" s="14"/>
      <c r="LQW587" s="14"/>
      <c r="LQX587" s="14"/>
      <c r="LQY587" s="14"/>
      <c r="LQZ587" s="14"/>
      <c r="LRA587" s="14"/>
      <c r="LRB587" s="14"/>
      <c r="LRC587" s="14"/>
      <c r="LRD587" s="14"/>
      <c r="LRE587" s="14"/>
      <c r="LRF587" s="14"/>
      <c r="LRG587" s="14"/>
      <c r="LRH587" s="14"/>
      <c r="LRI587" s="14"/>
      <c r="LRJ587" s="14"/>
      <c r="LRK587" s="14"/>
      <c r="LRL587" s="14"/>
      <c r="LRM587" s="14"/>
      <c r="LRN587" s="14"/>
      <c r="LRO587" s="14"/>
      <c r="LRP587" s="14"/>
      <c r="LRQ587" s="14"/>
      <c r="LRR587" s="14"/>
      <c r="LRS587" s="14"/>
      <c r="LRT587" s="14"/>
      <c r="LRU587" s="14"/>
      <c r="LRV587" s="14"/>
      <c r="LRW587" s="14"/>
      <c r="LRX587" s="14"/>
      <c r="LRY587" s="14"/>
      <c r="LRZ587" s="14"/>
      <c r="LSA587" s="14"/>
      <c r="LSB587" s="14"/>
      <c r="LSC587" s="14"/>
      <c r="LSD587" s="14"/>
      <c r="LSE587" s="14"/>
      <c r="LSF587" s="14"/>
      <c r="LSG587" s="14"/>
      <c r="LSH587" s="14"/>
      <c r="LSI587" s="14"/>
      <c r="LSJ587" s="14"/>
      <c r="LSK587" s="14"/>
      <c r="LSL587" s="14"/>
      <c r="LSM587" s="14"/>
      <c r="LSN587" s="14"/>
      <c r="LSO587" s="14"/>
      <c r="LSP587" s="14"/>
      <c r="LSQ587" s="14"/>
      <c r="LSR587" s="14"/>
      <c r="LSS587" s="14"/>
      <c r="LST587" s="14"/>
      <c r="LSU587" s="14"/>
      <c r="LSV587" s="14"/>
      <c r="LSW587" s="14"/>
      <c r="LSX587" s="14"/>
      <c r="LSY587" s="14"/>
      <c r="LSZ587" s="14"/>
      <c r="LTA587" s="14"/>
      <c r="LTB587" s="14"/>
      <c r="LTC587" s="14"/>
      <c r="LTD587" s="14"/>
      <c r="LTE587" s="14"/>
      <c r="LTF587" s="14"/>
      <c r="LTG587" s="14"/>
      <c r="LTH587" s="14"/>
      <c r="LTI587" s="14"/>
      <c r="LTJ587" s="14"/>
      <c r="LTK587" s="14"/>
      <c r="LTL587" s="14"/>
      <c r="LTM587" s="14"/>
      <c r="LTN587" s="14"/>
      <c r="LTO587" s="14"/>
      <c r="LTP587" s="14"/>
      <c r="LTQ587" s="14"/>
      <c r="LTR587" s="14"/>
      <c r="LTS587" s="14"/>
      <c r="LTT587" s="14"/>
      <c r="LTU587" s="14"/>
      <c r="LTV587" s="14"/>
      <c r="LTW587" s="14"/>
      <c r="LTX587" s="14"/>
      <c r="LTY587" s="14"/>
      <c r="LTZ587" s="14"/>
      <c r="LUA587" s="14"/>
      <c r="LUB587" s="14"/>
      <c r="LUC587" s="14"/>
      <c r="LUD587" s="14"/>
      <c r="LUE587" s="14"/>
      <c r="LUF587" s="14"/>
      <c r="LUG587" s="14"/>
      <c r="LUH587" s="14"/>
      <c r="LUI587" s="14"/>
      <c r="LUJ587" s="14"/>
      <c r="LUK587" s="14"/>
      <c r="LUL587" s="14"/>
      <c r="LUM587" s="14"/>
      <c r="LUN587" s="14"/>
      <c r="LUO587" s="14"/>
      <c r="LUP587" s="14"/>
      <c r="LUQ587" s="14"/>
      <c r="LUR587" s="14"/>
      <c r="LUS587" s="14"/>
      <c r="LUT587" s="14"/>
      <c r="LUU587" s="14"/>
      <c r="LUV587" s="14"/>
      <c r="LUW587" s="14"/>
      <c r="LUX587" s="14"/>
      <c r="LUY587" s="14"/>
      <c r="LUZ587" s="14"/>
      <c r="LVA587" s="14"/>
      <c r="LVB587" s="14"/>
      <c r="LVC587" s="14"/>
      <c r="LVD587" s="14"/>
      <c r="LVE587" s="14"/>
      <c r="LVF587" s="14"/>
      <c r="LVG587" s="14"/>
      <c r="LVH587" s="14"/>
      <c r="LVI587" s="14"/>
      <c r="LVJ587" s="14"/>
      <c r="LVK587" s="14"/>
      <c r="LVL587" s="14"/>
      <c r="LVM587" s="14"/>
      <c r="LVN587" s="14"/>
      <c r="LVO587" s="14"/>
      <c r="LVP587" s="14"/>
      <c r="LVQ587" s="14"/>
      <c r="LVR587" s="14"/>
      <c r="LVS587" s="14"/>
      <c r="LVT587" s="14"/>
      <c r="LVU587" s="14"/>
      <c r="LVV587" s="14"/>
      <c r="LVW587" s="14"/>
      <c r="LVX587" s="14"/>
      <c r="LVY587" s="14"/>
      <c r="LVZ587" s="14"/>
      <c r="LWA587" s="14"/>
      <c r="LWB587" s="14"/>
      <c r="LWC587" s="14"/>
      <c r="LWD587" s="14"/>
      <c r="LWE587" s="14"/>
      <c r="LWF587" s="14"/>
      <c r="LWG587" s="14"/>
      <c r="LWH587" s="14"/>
      <c r="LWI587" s="14"/>
      <c r="LWJ587" s="14"/>
      <c r="LWK587" s="14"/>
      <c r="LWL587" s="14"/>
      <c r="LWM587" s="14"/>
      <c r="LWN587" s="14"/>
      <c r="LWO587" s="14"/>
      <c r="LWP587" s="14"/>
      <c r="LWQ587" s="14"/>
      <c r="LWR587" s="14"/>
      <c r="LWS587" s="14"/>
      <c r="LWT587" s="14"/>
      <c r="LWU587" s="14"/>
      <c r="LWV587" s="14"/>
      <c r="LWW587" s="14"/>
      <c r="LWX587" s="14"/>
      <c r="LWY587" s="14"/>
      <c r="LWZ587" s="14"/>
      <c r="LXA587" s="14"/>
      <c r="LXB587" s="14"/>
      <c r="LXC587" s="14"/>
      <c r="LXD587" s="14"/>
      <c r="LXE587" s="14"/>
      <c r="LXF587" s="14"/>
      <c r="LXG587" s="14"/>
      <c r="LXH587" s="14"/>
      <c r="LXI587" s="14"/>
      <c r="LXJ587" s="14"/>
      <c r="LXK587" s="14"/>
      <c r="LXL587" s="14"/>
      <c r="LXM587" s="14"/>
      <c r="LXN587" s="14"/>
      <c r="LXO587" s="14"/>
      <c r="LXP587" s="14"/>
      <c r="LXQ587" s="14"/>
      <c r="LXR587" s="14"/>
      <c r="LXS587" s="14"/>
      <c r="LXT587" s="14"/>
      <c r="LXU587" s="14"/>
      <c r="LXV587" s="14"/>
      <c r="LXW587" s="14"/>
      <c r="LXX587" s="14"/>
      <c r="LXY587" s="14"/>
      <c r="LXZ587" s="14"/>
      <c r="LYA587" s="14"/>
      <c r="LYB587" s="14"/>
      <c r="LYC587" s="14"/>
      <c r="LYD587" s="14"/>
      <c r="LYE587" s="14"/>
      <c r="LYF587" s="14"/>
      <c r="LYG587" s="14"/>
      <c r="LYH587" s="14"/>
      <c r="LYI587" s="14"/>
      <c r="LYJ587" s="14"/>
      <c r="LYK587" s="14"/>
      <c r="LYL587" s="14"/>
      <c r="LYM587" s="14"/>
      <c r="LYN587" s="14"/>
      <c r="LYO587" s="14"/>
      <c r="LYP587" s="14"/>
      <c r="LYQ587" s="14"/>
      <c r="LYR587" s="14"/>
      <c r="LYS587" s="14"/>
      <c r="LYT587" s="14"/>
      <c r="LYU587" s="14"/>
      <c r="LYV587" s="14"/>
      <c r="LYW587" s="14"/>
      <c r="LYX587" s="14"/>
      <c r="LYY587" s="14"/>
      <c r="LYZ587" s="14"/>
      <c r="LZA587" s="14"/>
      <c r="LZB587" s="14"/>
      <c r="LZC587" s="14"/>
      <c r="LZD587" s="14"/>
      <c r="LZE587" s="14"/>
      <c r="LZF587" s="14"/>
      <c r="LZG587" s="14"/>
      <c r="LZH587" s="14"/>
      <c r="LZI587" s="14"/>
      <c r="LZJ587" s="14"/>
      <c r="LZK587" s="14"/>
      <c r="LZL587" s="14"/>
      <c r="LZM587" s="14"/>
      <c r="LZN587" s="14"/>
      <c r="LZO587" s="14"/>
      <c r="LZP587" s="14"/>
      <c r="LZQ587" s="14"/>
      <c r="LZR587" s="14"/>
      <c r="LZS587" s="14"/>
      <c r="LZT587" s="14"/>
      <c r="LZU587" s="14"/>
      <c r="LZV587" s="14"/>
      <c r="LZW587" s="14"/>
      <c r="LZX587" s="14"/>
      <c r="LZY587" s="14"/>
      <c r="LZZ587" s="14"/>
      <c r="MAA587" s="14"/>
      <c r="MAB587" s="14"/>
      <c r="MAC587" s="14"/>
      <c r="MAD587" s="14"/>
      <c r="MAE587" s="14"/>
      <c r="MAF587" s="14"/>
      <c r="MAG587" s="14"/>
      <c r="MAH587" s="14"/>
      <c r="MAI587" s="14"/>
      <c r="MAJ587" s="14"/>
      <c r="MAK587" s="14"/>
      <c r="MAL587" s="14"/>
      <c r="MAM587" s="14"/>
      <c r="MAN587" s="14"/>
      <c r="MAO587" s="14"/>
      <c r="MAP587" s="14"/>
      <c r="MAQ587" s="14"/>
      <c r="MAR587" s="14"/>
      <c r="MAS587" s="14"/>
      <c r="MAT587" s="14"/>
      <c r="MAU587" s="14"/>
      <c r="MAV587" s="14"/>
      <c r="MAW587" s="14"/>
      <c r="MAX587" s="14"/>
      <c r="MAY587" s="14"/>
      <c r="MAZ587" s="14"/>
      <c r="MBA587" s="14"/>
      <c r="MBB587" s="14"/>
      <c r="MBC587" s="14"/>
      <c r="MBD587" s="14"/>
      <c r="MBE587" s="14"/>
      <c r="MBF587" s="14"/>
      <c r="MBG587" s="14"/>
      <c r="MBH587" s="14"/>
      <c r="MBI587" s="14"/>
      <c r="MBJ587" s="14"/>
      <c r="MBK587" s="14"/>
      <c r="MBL587" s="14"/>
      <c r="MBM587" s="14"/>
      <c r="MBN587" s="14"/>
      <c r="MBO587" s="14"/>
      <c r="MBP587" s="14"/>
      <c r="MBQ587" s="14"/>
      <c r="MBR587" s="14"/>
      <c r="MBS587" s="14"/>
      <c r="MBT587" s="14"/>
      <c r="MBU587" s="14"/>
      <c r="MBV587" s="14"/>
      <c r="MBW587" s="14"/>
      <c r="MBX587" s="14"/>
      <c r="MBY587" s="14"/>
      <c r="MBZ587" s="14"/>
      <c r="MCA587" s="14"/>
      <c r="MCB587" s="14"/>
      <c r="MCC587" s="14"/>
      <c r="MCD587" s="14"/>
      <c r="MCE587" s="14"/>
      <c r="MCF587" s="14"/>
      <c r="MCG587" s="14"/>
      <c r="MCH587" s="14"/>
      <c r="MCI587" s="14"/>
      <c r="MCJ587" s="14"/>
      <c r="MCK587" s="14"/>
      <c r="MCL587" s="14"/>
      <c r="MCM587" s="14"/>
      <c r="MCN587" s="14"/>
      <c r="MCO587" s="14"/>
      <c r="MCP587" s="14"/>
      <c r="MCQ587" s="14"/>
      <c r="MCR587" s="14"/>
      <c r="MCS587" s="14"/>
      <c r="MCT587" s="14"/>
      <c r="MCU587" s="14"/>
      <c r="MCV587" s="14"/>
      <c r="MCW587" s="14"/>
      <c r="MCX587" s="14"/>
      <c r="MCY587" s="14"/>
      <c r="MCZ587" s="14"/>
      <c r="MDA587" s="14"/>
      <c r="MDB587" s="14"/>
      <c r="MDC587" s="14"/>
      <c r="MDD587" s="14"/>
      <c r="MDE587" s="14"/>
      <c r="MDF587" s="14"/>
      <c r="MDG587" s="14"/>
      <c r="MDH587" s="14"/>
      <c r="MDI587" s="14"/>
      <c r="MDJ587" s="14"/>
      <c r="MDK587" s="14"/>
      <c r="MDL587" s="14"/>
      <c r="MDM587" s="14"/>
      <c r="MDN587" s="14"/>
      <c r="MDO587" s="14"/>
      <c r="MDP587" s="14"/>
      <c r="MDQ587" s="14"/>
      <c r="MDR587" s="14"/>
      <c r="MDS587" s="14"/>
      <c r="MDT587" s="14"/>
      <c r="MDU587" s="14"/>
      <c r="MDV587" s="14"/>
      <c r="MDW587" s="14"/>
      <c r="MDX587" s="14"/>
      <c r="MDY587" s="14"/>
      <c r="MDZ587" s="14"/>
      <c r="MEA587" s="14"/>
      <c r="MEB587" s="14"/>
      <c r="MEC587" s="14"/>
      <c r="MED587" s="14"/>
      <c r="MEE587" s="14"/>
      <c r="MEF587" s="14"/>
      <c r="MEG587" s="14"/>
      <c r="MEH587" s="14"/>
      <c r="MEI587" s="14"/>
      <c r="MEJ587" s="14"/>
      <c r="MEK587" s="14"/>
      <c r="MEL587" s="14"/>
      <c r="MEM587" s="14"/>
      <c r="MEN587" s="14"/>
      <c r="MEO587" s="14"/>
      <c r="MEP587" s="14"/>
      <c r="MEQ587" s="14"/>
      <c r="MER587" s="14"/>
      <c r="MES587" s="14"/>
      <c r="MET587" s="14"/>
      <c r="MEU587" s="14"/>
      <c r="MEV587" s="14"/>
      <c r="MEW587" s="14"/>
      <c r="MEX587" s="14"/>
      <c r="MEY587" s="14"/>
      <c r="MEZ587" s="14"/>
      <c r="MFA587" s="14"/>
      <c r="MFB587" s="14"/>
      <c r="MFC587" s="14"/>
      <c r="MFD587" s="14"/>
      <c r="MFE587" s="14"/>
      <c r="MFF587" s="14"/>
      <c r="MFG587" s="14"/>
      <c r="MFH587" s="14"/>
      <c r="MFI587" s="14"/>
      <c r="MFJ587" s="14"/>
      <c r="MFK587" s="14"/>
      <c r="MFL587" s="14"/>
      <c r="MFM587" s="14"/>
      <c r="MFN587" s="14"/>
      <c r="MFO587" s="14"/>
      <c r="MFP587" s="14"/>
      <c r="MFQ587" s="14"/>
      <c r="MFR587" s="14"/>
      <c r="MFS587" s="14"/>
      <c r="MFT587" s="14"/>
      <c r="MFU587" s="14"/>
      <c r="MFV587" s="14"/>
      <c r="MFW587" s="14"/>
      <c r="MFX587" s="14"/>
      <c r="MFY587" s="14"/>
      <c r="MFZ587" s="14"/>
      <c r="MGA587" s="14"/>
      <c r="MGB587" s="14"/>
      <c r="MGC587" s="14"/>
      <c r="MGD587" s="14"/>
      <c r="MGE587" s="14"/>
      <c r="MGF587" s="14"/>
      <c r="MGG587" s="14"/>
      <c r="MGH587" s="14"/>
      <c r="MGI587" s="14"/>
      <c r="MGJ587" s="14"/>
      <c r="MGK587" s="14"/>
      <c r="MGL587" s="14"/>
      <c r="MGM587" s="14"/>
      <c r="MGN587" s="14"/>
      <c r="MGO587" s="14"/>
      <c r="MGP587" s="14"/>
      <c r="MGQ587" s="14"/>
      <c r="MGR587" s="14"/>
      <c r="MGS587" s="14"/>
      <c r="MGT587" s="14"/>
      <c r="MGU587" s="14"/>
      <c r="MGV587" s="14"/>
      <c r="MGW587" s="14"/>
      <c r="MGX587" s="14"/>
      <c r="MGY587" s="14"/>
      <c r="MGZ587" s="14"/>
      <c r="MHA587" s="14"/>
      <c r="MHB587" s="14"/>
      <c r="MHC587" s="14"/>
      <c r="MHD587" s="14"/>
      <c r="MHE587" s="14"/>
      <c r="MHF587" s="14"/>
      <c r="MHG587" s="14"/>
      <c r="MHH587" s="14"/>
      <c r="MHI587" s="14"/>
      <c r="MHJ587" s="14"/>
      <c r="MHK587" s="14"/>
      <c r="MHL587" s="14"/>
      <c r="MHM587" s="14"/>
      <c r="MHN587" s="14"/>
      <c r="MHO587" s="14"/>
      <c r="MHP587" s="14"/>
      <c r="MHQ587" s="14"/>
      <c r="MHR587" s="14"/>
      <c r="MHS587" s="14"/>
      <c r="MHT587" s="14"/>
      <c r="MHU587" s="14"/>
      <c r="MHV587" s="14"/>
      <c r="MHW587" s="14"/>
      <c r="MHX587" s="14"/>
      <c r="MHY587" s="14"/>
      <c r="MHZ587" s="14"/>
      <c r="MIA587" s="14"/>
      <c r="MIB587" s="14"/>
      <c r="MIC587" s="14"/>
      <c r="MID587" s="14"/>
      <c r="MIE587" s="14"/>
      <c r="MIF587" s="14"/>
      <c r="MIG587" s="14"/>
      <c r="MIH587" s="14"/>
      <c r="MII587" s="14"/>
      <c r="MIJ587" s="14"/>
      <c r="MIK587" s="14"/>
      <c r="MIL587" s="14"/>
      <c r="MIM587" s="14"/>
      <c r="MIN587" s="14"/>
      <c r="MIO587" s="14"/>
      <c r="MIP587" s="14"/>
      <c r="MIQ587" s="14"/>
      <c r="MIR587" s="14"/>
      <c r="MIS587" s="14"/>
      <c r="MIT587" s="14"/>
      <c r="MIU587" s="14"/>
      <c r="MIV587" s="14"/>
      <c r="MIW587" s="14"/>
      <c r="MIX587" s="14"/>
      <c r="MIY587" s="14"/>
      <c r="MIZ587" s="14"/>
      <c r="MJA587" s="14"/>
      <c r="MJB587" s="14"/>
      <c r="MJC587" s="14"/>
      <c r="MJD587" s="14"/>
      <c r="MJE587" s="14"/>
      <c r="MJF587" s="14"/>
      <c r="MJG587" s="14"/>
      <c r="MJH587" s="14"/>
      <c r="MJI587" s="14"/>
      <c r="MJJ587" s="14"/>
      <c r="MJK587" s="14"/>
      <c r="MJL587" s="14"/>
      <c r="MJM587" s="14"/>
      <c r="MJN587" s="14"/>
      <c r="MJO587" s="14"/>
      <c r="MJP587" s="14"/>
      <c r="MJQ587" s="14"/>
      <c r="MJR587" s="14"/>
      <c r="MJS587" s="14"/>
      <c r="MJT587" s="14"/>
      <c r="MJU587" s="14"/>
      <c r="MJV587" s="14"/>
      <c r="MJW587" s="14"/>
      <c r="MJX587" s="14"/>
      <c r="MJY587" s="14"/>
      <c r="MJZ587" s="14"/>
      <c r="MKA587" s="14"/>
      <c r="MKB587" s="14"/>
      <c r="MKC587" s="14"/>
      <c r="MKD587" s="14"/>
      <c r="MKE587" s="14"/>
      <c r="MKF587" s="14"/>
      <c r="MKG587" s="14"/>
      <c r="MKH587" s="14"/>
      <c r="MKI587" s="14"/>
      <c r="MKJ587" s="14"/>
      <c r="MKK587" s="14"/>
      <c r="MKL587" s="14"/>
      <c r="MKM587" s="14"/>
      <c r="MKN587" s="14"/>
      <c r="MKO587" s="14"/>
      <c r="MKP587" s="14"/>
      <c r="MKQ587" s="14"/>
      <c r="MKR587" s="14"/>
      <c r="MKS587" s="14"/>
      <c r="MKT587" s="14"/>
      <c r="MKU587" s="14"/>
      <c r="MKV587" s="14"/>
      <c r="MKW587" s="14"/>
      <c r="MKX587" s="14"/>
      <c r="MKY587" s="14"/>
      <c r="MKZ587" s="14"/>
      <c r="MLA587" s="14"/>
      <c r="MLB587" s="14"/>
      <c r="MLC587" s="14"/>
      <c r="MLD587" s="14"/>
      <c r="MLE587" s="14"/>
      <c r="MLF587" s="14"/>
      <c r="MLG587" s="14"/>
      <c r="MLH587" s="14"/>
      <c r="MLI587" s="14"/>
      <c r="MLJ587" s="14"/>
      <c r="MLK587" s="14"/>
      <c r="MLL587" s="14"/>
      <c r="MLM587" s="14"/>
      <c r="MLN587" s="14"/>
      <c r="MLO587" s="14"/>
      <c r="MLP587" s="14"/>
      <c r="MLQ587" s="14"/>
      <c r="MLR587" s="14"/>
      <c r="MLS587" s="14"/>
      <c r="MLT587" s="14"/>
      <c r="MLU587" s="14"/>
      <c r="MLV587" s="14"/>
      <c r="MLW587" s="14"/>
      <c r="MLX587" s="14"/>
      <c r="MLY587" s="14"/>
      <c r="MLZ587" s="14"/>
      <c r="MMA587" s="14"/>
      <c r="MMB587" s="14"/>
      <c r="MMC587" s="14"/>
      <c r="MMD587" s="14"/>
      <c r="MME587" s="14"/>
      <c r="MMF587" s="14"/>
      <c r="MMG587" s="14"/>
      <c r="MMH587" s="14"/>
      <c r="MMI587" s="14"/>
      <c r="MMJ587" s="14"/>
      <c r="MMK587" s="14"/>
      <c r="MML587" s="14"/>
      <c r="MMM587" s="14"/>
      <c r="MMN587" s="14"/>
      <c r="MMO587" s="14"/>
      <c r="MMP587" s="14"/>
      <c r="MMQ587" s="14"/>
      <c r="MMR587" s="14"/>
      <c r="MMS587" s="14"/>
      <c r="MMT587" s="14"/>
      <c r="MMU587" s="14"/>
      <c r="MMV587" s="14"/>
      <c r="MMW587" s="14"/>
      <c r="MMX587" s="14"/>
      <c r="MMY587" s="14"/>
      <c r="MMZ587" s="14"/>
      <c r="MNA587" s="14"/>
      <c r="MNB587" s="14"/>
      <c r="MNC587" s="14"/>
      <c r="MND587" s="14"/>
      <c r="MNE587" s="14"/>
      <c r="MNF587" s="14"/>
      <c r="MNG587" s="14"/>
      <c r="MNH587" s="14"/>
      <c r="MNI587" s="14"/>
      <c r="MNJ587" s="14"/>
      <c r="MNK587" s="14"/>
      <c r="MNL587" s="14"/>
      <c r="MNM587" s="14"/>
      <c r="MNN587" s="14"/>
      <c r="MNO587" s="14"/>
      <c r="MNP587" s="14"/>
      <c r="MNQ587" s="14"/>
      <c r="MNR587" s="14"/>
      <c r="MNS587" s="14"/>
      <c r="MNT587" s="14"/>
      <c r="MNU587" s="14"/>
      <c r="MNV587" s="14"/>
      <c r="MNW587" s="14"/>
      <c r="MNX587" s="14"/>
      <c r="MNY587" s="14"/>
      <c r="MNZ587" s="14"/>
      <c r="MOA587" s="14"/>
      <c r="MOB587" s="14"/>
      <c r="MOC587" s="14"/>
      <c r="MOD587" s="14"/>
      <c r="MOE587" s="14"/>
      <c r="MOF587" s="14"/>
      <c r="MOG587" s="14"/>
      <c r="MOH587" s="14"/>
      <c r="MOI587" s="14"/>
      <c r="MOJ587" s="14"/>
      <c r="MOK587" s="14"/>
      <c r="MOL587" s="14"/>
      <c r="MOM587" s="14"/>
      <c r="MON587" s="14"/>
      <c r="MOO587" s="14"/>
      <c r="MOP587" s="14"/>
      <c r="MOQ587" s="14"/>
      <c r="MOR587" s="14"/>
      <c r="MOS587" s="14"/>
      <c r="MOT587" s="14"/>
      <c r="MOU587" s="14"/>
      <c r="MOV587" s="14"/>
      <c r="MOW587" s="14"/>
      <c r="MOX587" s="14"/>
      <c r="MOY587" s="14"/>
      <c r="MOZ587" s="14"/>
      <c r="MPA587" s="14"/>
      <c r="MPB587" s="14"/>
      <c r="MPC587" s="14"/>
      <c r="MPD587" s="14"/>
      <c r="MPE587" s="14"/>
      <c r="MPF587" s="14"/>
      <c r="MPG587" s="14"/>
      <c r="MPH587" s="14"/>
      <c r="MPI587" s="14"/>
      <c r="MPJ587" s="14"/>
      <c r="MPK587" s="14"/>
      <c r="MPL587" s="14"/>
      <c r="MPM587" s="14"/>
      <c r="MPN587" s="14"/>
      <c r="MPO587" s="14"/>
      <c r="MPP587" s="14"/>
      <c r="MPQ587" s="14"/>
      <c r="MPR587" s="14"/>
      <c r="MPS587" s="14"/>
      <c r="MPT587" s="14"/>
      <c r="MPU587" s="14"/>
      <c r="MPV587" s="14"/>
      <c r="MPW587" s="14"/>
      <c r="MPX587" s="14"/>
      <c r="MPY587" s="14"/>
      <c r="MPZ587" s="14"/>
      <c r="MQA587" s="14"/>
      <c r="MQB587" s="14"/>
      <c r="MQC587" s="14"/>
      <c r="MQD587" s="14"/>
      <c r="MQE587" s="14"/>
      <c r="MQF587" s="14"/>
      <c r="MQG587" s="14"/>
      <c r="MQH587" s="14"/>
      <c r="MQI587" s="14"/>
      <c r="MQJ587" s="14"/>
      <c r="MQK587" s="14"/>
      <c r="MQL587" s="14"/>
      <c r="MQM587" s="14"/>
      <c r="MQN587" s="14"/>
      <c r="MQO587" s="14"/>
      <c r="MQP587" s="14"/>
      <c r="MQQ587" s="14"/>
      <c r="MQR587" s="14"/>
      <c r="MQS587" s="14"/>
      <c r="MQT587" s="14"/>
      <c r="MQU587" s="14"/>
      <c r="MQV587" s="14"/>
      <c r="MQW587" s="14"/>
      <c r="MQX587" s="14"/>
      <c r="MQY587" s="14"/>
      <c r="MQZ587" s="14"/>
      <c r="MRA587" s="14"/>
      <c r="MRB587" s="14"/>
      <c r="MRC587" s="14"/>
      <c r="MRD587" s="14"/>
      <c r="MRE587" s="14"/>
      <c r="MRF587" s="14"/>
      <c r="MRG587" s="14"/>
      <c r="MRH587" s="14"/>
      <c r="MRI587" s="14"/>
      <c r="MRJ587" s="14"/>
      <c r="MRK587" s="14"/>
      <c r="MRL587" s="14"/>
      <c r="MRM587" s="14"/>
      <c r="MRN587" s="14"/>
      <c r="MRO587" s="14"/>
      <c r="MRP587" s="14"/>
      <c r="MRQ587" s="14"/>
      <c r="MRR587" s="14"/>
      <c r="MRS587" s="14"/>
      <c r="MRT587" s="14"/>
      <c r="MRU587" s="14"/>
      <c r="MRV587" s="14"/>
      <c r="MRW587" s="14"/>
      <c r="MRX587" s="14"/>
      <c r="MRY587" s="14"/>
      <c r="MRZ587" s="14"/>
      <c r="MSA587" s="14"/>
      <c r="MSB587" s="14"/>
      <c r="MSC587" s="14"/>
      <c r="MSD587" s="14"/>
      <c r="MSE587" s="14"/>
      <c r="MSF587" s="14"/>
      <c r="MSG587" s="14"/>
      <c r="MSH587" s="14"/>
      <c r="MSI587" s="14"/>
      <c r="MSJ587" s="14"/>
      <c r="MSK587" s="14"/>
      <c r="MSL587" s="14"/>
      <c r="MSM587" s="14"/>
      <c r="MSN587" s="14"/>
      <c r="MSO587" s="14"/>
      <c r="MSP587" s="14"/>
      <c r="MSQ587" s="14"/>
      <c r="MSR587" s="14"/>
      <c r="MSS587" s="14"/>
      <c r="MST587" s="14"/>
      <c r="MSU587" s="14"/>
      <c r="MSV587" s="14"/>
      <c r="MSW587" s="14"/>
      <c r="MSX587" s="14"/>
      <c r="MSY587" s="14"/>
      <c r="MSZ587" s="14"/>
      <c r="MTA587" s="14"/>
      <c r="MTB587" s="14"/>
      <c r="MTC587" s="14"/>
      <c r="MTD587" s="14"/>
      <c r="MTE587" s="14"/>
      <c r="MTF587" s="14"/>
      <c r="MTG587" s="14"/>
      <c r="MTH587" s="14"/>
      <c r="MTI587" s="14"/>
      <c r="MTJ587" s="14"/>
      <c r="MTK587" s="14"/>
      <c r="MTL587" s="14"/>
      <c r="MTM587" s="14"/>
      <c r="MTN587" s="14"/>
      <c r="MTO587" s="14"/>
      <c r="MTP587" s="14"/>
      <c r="MTQ587" s="14"/>
      <c r="MTR587" s="14"/>
      <c r="MTS587" s="14"/>
      <c r="MTT587" s="14"/>
      <c r="MTU587" s="14"/>
      <c r="MTV587" s="14"/>
      <c r="MTW587" s="14"/>
      <c r="MTX587" s="14"/>
      <c r="MTY587" s="14"/>
      <c r="MTZ587" s="14"/>
      <c r="MUA587" s="14"/>
      <c r="MUB587" s="14"/>
      <c r="MUC587" s="14"/>
      <c r="MUD587" s="14"/>
      <c r="MUE587" s="14"/>
      <c r="MUF587" s="14"/>
      <c r="MUG587" s="14"/>
      <c r="MUH587" s="14"/>
      <c r="MUI587" s="14"/>
      <c r="MUJ587" s="14"/>
      <c r="MUK587" s="14"/>
      <c r="MUL587" s="14"/>
      <c r="MUM587" s="14"/>
      <c r="MUN587" s="14"/>
      <c r="MUO587" s="14"/>
      <c r="MUP587" s="14"/>
      <c r="MUQ587" s="14"/>
      <c r="MUR587" s="14"/>
      <c r="MUS587" s="14"/>
      <c r="MUT587" s="14"/>
      <c r="MUU587" s="14"/>
      <c r="MUV587" s="14"/>
      <c r="MUW587" s="14"/>
      <c r="MUX587" s="14"/>
      <c r="MUY587" s="14"/>
      <c r="MUZ587" s="14"/>
      <c r="MVA587" s="14"/>
      <c r="MVB587" s="14"/>
      <c r="MVC587" s="14"/>
      <c r="MVD587" s="14"/>
      <c r="MVE587" s="14"/>
      <c r="MVF587" s="14"/>
      <c r="MVG587" s="14"/>
      <c r="MVH587" s="14"/>
      <c r="MVI587" s="14"/>
      <c r="MVJ587" s="14"/>
      <c r="MVK587" s="14"/>
      <c r="MVL587" s="14"/>
      <c r="MVM587" s="14"/>
      <c r="MVN587" s="14"/>
      <c r="MVO587" s="14"/>
      <c r="MVP587" s="14"/>
      <c r="MVQ587" s="14"/>
      <c r="MVR587" s="14"/>
      <c r="MVS587" s="14"/>
      <c r="MVT587" s="14"/>
      <c r="MVU587" s="14"/>
      <c r="MVV587" s="14"/>
      <c r="MVW587" s="14"/>
      <c r="MVX587" s="14"/>
      <c r="MVY587" s="14"/>
      <c r="MVZ587" s="14"/>
      <c r="MWA587" s="14"/>
      <c r="MWB587" s="14"/>
      <c r="MWC587" s="14"/>
      <c r="MWD587" s="14"/>
      <c r="MWE587" s="14"/>
      <c r="MWF587" s="14"/>
      <c r="MWG587" s="14"/>
      <c r="MWH587" s="14"/>
      <c r="MWI587" s="14"/>
      <c r="MWJ587" s="14"/>
      <c r="MWK587" s="14"/>
      <c r="MWL587" s="14"/>
      <c r="MWM587" s="14"/>
      <c r="MWN587" s="14"/>
      <c r="MWO587" s="14"/>
      <c r="MWP587" s="14"/>
      <c r="MWQ587" s="14"/>
      <c r="MWR587" s="14"/>
      <c r="MWS587" s="14"/>
      <c r="MWT587" s="14"/>
      <c r="MWU587" s="14"/>
      <c r="MWV587" s="14"/>
      <c r="MWW587" s="14"/>
      <c r="MWX587" s="14"/>
      <c r="MWY587" s="14"/>
      <c r="MWZ587" s="14"/>
      <c r="MXA587" s="14"/>
      <c r="MXB587" s="14"/>
      <c r="MXC587" s="14"/>
      <c r="MXD587" s="14"/>
      <c r="MXE587" s="14"/>
      <c r="MXF587" s="14"/>
      <c r="MXG587" s="14"/>
      <c r="MXH587" s="14"/>
      <c r="MXI587" s="14"/>
      <c r="MXJ587" s="14"/>
      <c r="MXK587" s="14"/>
      <c r="MXL587" s="14"/>
      <c r="MXM587" s="14"/>
      <c r="MXN587" s="14"/>
      <c r="MXO587" s="14"/>
      <c r="MXP587" s="14"/>
      <c r="MXQ587" s="14"/>
      <c r="MXR587" s="14"/>
      <c r="MXS587" s="14"/>
      <c r="MXT587" s="14"/>
      <c r="MXU587" s="14"/>
      <c r="MXV587" s="14"/>
      <c r="MXW587" s="14"/>
      <c r="MXX587" s="14"/>
      <c r="MXY587" s="14"/>
      <c r="MXZ587" s="14"/>
      <c r="MYA587" s="14"/>
      <c r="MYB587" s="14"/>
      <c r="MYC587" s="14"/>
      <c r="MYD587" s="14"/>
      <c r="MYE587" s="14"/>
      <c r="MYF587" s="14"/>
      <c r="MYG587" s="14"/>
      <c r="MYH587" s="14"/>
      <c r="MYI587" s="14"/>
      <c r="MYJ587" s="14"/>
      <c r="MYK587" s="14"/>
      <c r="MYL587" s="14"/>
      <c r="MYM587" s="14"/>
      <c r="MYN587" s="14"/>
      <c r="MYO587" s="14"/>
      <c r="MYP587" s="14"/>
      <c r="MYQ587" s="14"/>
      <c r="MYR587" s="14"/>
      <c r="MYS587" s="14"/>
      <c r="MYT587" s="14"/>
      <c r="MYU587" s="14"/>
      <c r="MYV587" s="14"/>
      <c r="MYW587" s="14"/>
      <c r="MYX587" s="14"/>
      <c r="MYY587" s="14"/>
      <c r="MYZ587" s="14"/>
      <c r="MZA587" s="14"/>
      <c r="MZB587" s="14"/>
      <c r="MZC587" s="14"/>
      <c r="MZD587" s="14"/>
      <c r="MZE587" s="14"/>
      <c r="MZF587" s="14"/>
      <c r="MZG587" s="14"/>
      <c r="MZH587" s="14"/>
      <c r="MZI587" s="14"/>
      <c r="MZJ587" s="14"/>
      <c r="MZK587" s="14"/>
      <c r="MZL587" s="14"/>
      <c r="MZM587" s="14"/>
      <c r="MZN587" s="14"/>
      <c r="MZO587" s="14"/>
      <c r="MZP587" s="14"/>
      <c r="MZQ587" s="14"/>
      <c r="MZR587" s="14"/>
      <c r="MZS587" s="14"/>
      <c r="MZT587" s="14"/>
      <c r="MZU587" s="14"/>
      <c r="MZV587" s="14"/>
      <c r="MZW587" s="14"/>
      <c r="MZX587" s="14"/>
      <c r="MZY587" s="14"/>
      <c r="MZZ587" s="14"/>
      <c r="NAA587" s="14"/>
      <c r="NAB587" s="14"/>
      <c r="NAC587" s="14"/>
      <c r="NAD587" s="14"/>
      <c r="NAE587" s="14"/>
      <c r="NAF587" s="14"/>
      <c r="NAG587" s="14"/>
      <c r="NAH587" s="14"/>
      <c r="NAI587" s="14"/>
      <c r="NAJ587" s="14"/>
      <c r="NAK587" s="14"/>
      <c r="NAL587" s="14"/>
      <c r="NAM587" s="14"/>
      <c r="NAN587" s="14"/>
      <c r="NAO587" s="14"/>
      <c r="NAP587" s="14"/>
      <c r="NAQ587" s="14"/>
      <c r="NAR587" s="14"/>
      <c r="NAS587" s="14"/>
      <c r="NAT587" s="14"/>
      <c r="NAU587" s="14"/>
      <c r="NAV587" s="14"/>
      <c r="NAW587" s="14"/>
      <c r="NAX587" s="14"/>
      <c r="NAY587" s="14"/>
      <c r="NAZ587" s="14"/>
      <c r="NBA587" s="14"/>
      <c r="NBB587" s="14"/>
      <c r="NBC587" s="14"/>
      <c r="NBD587" s="14"/>
      <c r="NBE587" s="14"/>
      <c r="NBF587" s="14"/>
      <c r="NBG587" s="14"/>
      <c r="NBH587" s="14"/>
      <c r="NBI587" s="14"/>
      <c r="NBJ587" s="14"/>
      <c r="NBK587" s="14"/>
      <c r="NBL587" s="14"/>
      <c r="NBM587" s="14"/>
      <c r="NBN587" s="14"/>
      <c r="NBO587" s="14"/>
      <c r="NBP587" s="14"/>
      <c r="NBQ587" s="14"/>
      <c r="NBR587" s="14"/>
      <c r="NBS587" s="14"/>
      <c r="NBT587" s="14"/>
      <c r="NBU587" s="14"/>
      <c r="NBV587" s="14"/>
      <c r="NBW587" s="14"/>
      <c r="NBX587" s="14"/>
      <c r="NBY587" s="14"/>
      <c r="NBZ587" s="14"/>
      <c r="NCA587" s="14"/>
      <c r="NCB587" s="14"/>
      <c r="NCC587" s="14"/>
      <c r="NCD587" s="14"/>
      <c r="NCE587" s="14"/>
      <c r="NCF587" s="14"/>
      <c r="NCG587" s="14"/>
      <c r="NCH587" s="14"/>
      <c r="NCI587" s="14"/>
      <c r="NCJ587" s="14"/>
      <c r="NCK587" s="14"/>
      <c r="NCL587" s="14"/>
      <c r="NCM587" s="14"/>
      <c r="NCN587" s="14"/>
      <c r="NCO587" s="14"/>
      <c r="NCP587" s="14"/>
      <c r="NCQ587" s="14"/>
      <c r="NCR587" s="14"/>
      <c r="NCS587" s="14"/>
      <c r="NCT587" s="14"/>
      <c r="NCU587" s="14"/>
      <c r="NCV587" s="14"/>
      <c r="NCW587" s="14"/>
      <c r="NCX587" s="14"/>
      <c r="NCY587" s="14"/>
      <c r="NCZ587" s="14"/>
      <c r="NDA587" s="14"/>
      <c r="NDB587" s="14"/>
      <c r="NDC587" s="14"/>
      <c r="NDD587" s="14"/>
      <c r="NDE587" s="14"/>
      <c r="NDF587" s="14"/>
      <c r="NDG587" s="14"/>
      <c r="NDH587" s="14"/>
      <c r="NDI587" s="14"/>
      <c r="NDJ587" s="14"/>
      <c r="NDK587" s="14"/>
      <c r="NDL587" s="14"/>
      <c r="NDM587" s="14"/>
      <c r="NDN587" s="14"/>
      <c r="NDO587" s="14"/>
      <c r="NDP587" s="14"/>
      <c r="NDQ587" s="14"/>
      <c r="NDR587" s="14"/>
      <c r="NDS587" s="14"/>
      <c r="NDT587" s="14"/>
      <c r="NDU587" s="14"/>
      <c r="NDV587" s="14"/>
      <c r="NDW587" s="14"/>
      <c r="NDX587" s="14"/>
      <c r="NDY587" s="14"/>
      <c r="NDZ587" s="14"/>
      <c r="NEA587" s="14"/>
      <c r="NEB587" s="14"/>
      <c r="NEC587" s="14"/>
      <c r="NED587" s="14"/>
      <c r="NEE587" s="14"/>
      <c r="NEF587" s="14"/>
      <c r="NEG587" s="14"/>
      <c r="NEH587" s="14"/>
      <c r="NEI587" s="14"/>
      <c r="NEJ587" s="14"/>
      <c r="NEK587" s="14"/>
      <c r="NEL587" s="14"/>
      <c r="NEM587" s="14"/>
      <c r="NEN587" s="14"/>
      <c r="NEO587" s="14"/>
      <c r="NEP587" s="14"/>
      <c r="NEQ587" s="14"/>
      <c r="NER587" s="14"/>
      <c r="NES587" s="14"/>
      <c r="NET587" s="14"/>
      <c r="NEU587" s="14"/>
      <c r="NEV587" s="14"/>
      <c r="NEW587" s="14"/>
      <c r="NEX587" s="14"/>
      <c r="NEY587" s="14"/>
      <c r="NEZ587" s="14"/>
      <c r="NFA587" s="14"/>
      <c r="NFB587" s="14"/>
      <c r="NFC587" s="14"/>
      <c r="NFD587" s="14"/>
      <c r="NFE587" s="14"/>
      <c r="NFF587" s="14"/>
      <c r="NFG587" s="14"/>
      <c r="NFH587" s="14"/>
      <c r="NFI587" s="14"/>
      <c r="NFJ587" s="14"/>
      <c r="NFK587" s="14"/>
      <c r="NFL587" s="14"/>
      <c r="NFM587" s="14"/>
      <c r="NFN587" s="14"/>
      <c r="NFO587" s="14"/>
      <c r="NFP587" s="14"/>
      <c r="NFQ587" s="14"/>
      <c r="NFR587" s="14"/>
      <c r="NFS587" s="14"/>
      <c r="NFT587" s="14"/>
      <c r="NFU587" s="14"/>
      <c r="NFV587" s="14"/>
      <c r="NFW587" s="14"/>
      <c r="NFX587" s="14"/>
      <c r="NFY587" s="14"/>
      <c r="NFZ587" s="14"/>
      <c r="NGA587" s="14"/>
      <c r="NGB587" s="14"/>
      <c r="NGC587" s="14"/>
      <c r="NGD587" s="14"/>
      <c r="NGE587" s="14"/>
      <c r="NGF587" s="14"/>
      <c r="NGG587" s="14"/>
      <c r="NGH587" s="14"/>
      <c r="NGI587" s="14"/>
      <c r="NGJ587" s="14"/>
      <c r="NGK587" s="14"/>
      <c r="NGL587" s="14"/>
      <c r="NGM587" s="14"/>
      <c r="NGN587" s="14"/>
      <c r="NGO587" s="14"/>
      <c r="NGP587" s="14"/>
      <c r="NGQ587" s="14"/>
      <c r="NGR587" s="14"/>
      <c r="NGS587" s="14"/>
      <c r="NGT587" s="14"/>
      <c r="NGU587" s="14"/>
      <c r="NGV587" s="14"/>
      <c r="NGW587" s="14"/>
      <c r="NGX587" s="14"/>
      <c r="NGY587" s="14"/>
      <c r="NGZ587" s="14"/>
      <c r="NHA587" s="14"/>
      <c r="NHB587" s="14"/>
      <c r="NHC587" s="14"/>
      <c r="NHD587" s="14"/>
      <c r="NHE587" s="14"/>
      <c r="NHF587" s="14"/>
      <c r="NHG587" s="14"/>
      <c r="NHH587" s="14"/>
      <c r="NHI587" s="14"/>
      <c r="NHJ587" s="14"/>
      <c r="NHK587" s="14"/>
      <c r="NHL587" s="14"/>
      <c r="NHM587" s="14"/>
      <c r="NHN587" s="14"/>
      <c r="NHO587" s="14"/>
      <c r="NHP587" s="14"/>
      <c r="NHQ587" s="14"/>
      <c r="NHR587" s="14"/>
      <c r="NHS587" s="14"/>
      <c r="NHT587" s="14"/>
      <c r="NHU587" s="14"/>
      <c r="NHV587" s="14"/>
      <c r="NHW587" s="14"/>
      <c r="NHX587" s="14"/>
      <c r="NHY587" s="14"/>
      <c r="NHZ587" s="14"/>
      <c r="NIA587" s="14"/>
      <c r="NIB587" s="14"/>
      <c r="NIC587" s="14"/>
      <c r="NID587" s="14"/>
      <c r="NIE587" s="14"/>
      <c r="NIF587" s="14"/>
      <c r="NIG587" s="14"/>
      <c r="NIH587" s="14"/>
      <c r="NII587" s="14"/>
      <c r="NIJ587" s="14"/>
      <c r="NIK587" s="14"/>
      <c r="NIL587" s="14"/>
      <c r="NIM587" s="14"/>
      <c r="NIN587" s="14"/>
      <c r="NIO587" s="14"/>
      <c r="NIP587" s="14"/>
      <c r="NIQ587" s="14"/>
      <c r="NIR587" s="14"/>
      <c r="NIS587" s="14"/>
      <c r="NIT587" s="14"/>
      <c r="NIU587" s="14"/>
      <c r="NIV587" s="14"/>
      <c r="NIW587" s="14"/>
      <c r="NIX587" s="14"/>
      <c r="NIY587" s="14"/>
      <c r="NIZ587" s="14"/>
      <c r="NJA587" s="14"/>
      <c r="NJB587" s="14"/>
      <c r="NJC587" s="14"/>
      <c r="NJD587" s="14"/>
      <c r="NJE587" s="14"/>
      <c r="NJF587" s="14"/>
      <c r="NJG587" s="14"/>
      <c r="NJH587" s="14"/>
      <c r="NJI587" s="14"/>
      <c r="NJJ587" s="14"/>
      <c r="NJK587" s="14"/>
      <c r="NJL587" s="14"/>
      <c r="NJM587" s="14"/>
      <c r="NJN587" s="14"/>
      <c r="NJO587" s="14"/>
      <c r="NJP587" s="14"/>
      <c r="NJQ587" s="14"/>
      <c r="NJR587" s="14"/>
      <c r="NJS587" s="14"/>
      <c r="NJT587" s="14"/>
      <c r="NJU587" s="14"/>
      <c r="NJV587" s="14"/>
      <c r="NJW587" s="14"/>
      <c r="NJX587" s="14"/>
      <c r="NJY587" s="14"/>
      <c r="NJZ587" s="14"/>
      <c r="NKA587" s="14"/>
      <c r="NKB587" s="14"/>
      <c r="NKC587" s="14"/>
      <c r="NKD587" s="14"/>
      <c r="NKE587" s="14"/>
      <c r="NKF587" s="14"/>
      <c r="NKG587" s="14"/>
      <c r="NKH587" s="14"/>
      <c r="NKI587" s="14"/>
      <c r="NKJ587" s="14"/>
      <c r="NKK587" s="14"/>
      <c r="NKL587" s="14"/>
      <c r="NKM587" s="14"/>
      <c r="NKN587" s="14"/>
      <c r="NKO587" s="14"/>
      <c r="NKP587" s="14"/>
      <c r="NKQ587" s="14"/>
      <c r="NKR587" s="14"/>
      <c r="NKS587" s="14"/>
      <c r="NKT587" s="14"/>
      <c r="NKU587" s="14"/>
      <c r="NKV587" s="14"/>
      <c r="NKW587" s="14"/>
      <c r="NKX587" s="14"/>
      <c r="NKY587" s="14"/>
      <c r="NKZ587" s="14"/>
      <c r="NLA587" s="14"/>
      <c r="NLB587" s="14"/>
      <c r="NLC587" s="14"/>
      <c r="NLD587" s="14"/>
      <c r="NLE587" s="14"/>
      <c r="NLF587" s="14"/>
      <c r="NLG587" s="14"/>
      <c r="NLH587" s="14"/>
      <c r="NLI587" s="14"/>
      <c r="NLJ587" s="14"/>
      <c r="NLK587" s="14"/>
      <c r="NLL587" s="14"/>
      <c r="NLM587" s="14"/>
      <c r="NLN587" s="14"/>
      <c r="NLO587" s="14"/>
      <c r="NLP587" s="14"/>
      <c r="NLQ587" s="14"/>
      <c r="NLR587" s="14"/>
      <c r="NLS587" s="14"/>
      <c r="NLT587" s="14"/>
      <c r="NLU587" s="14"/>
      <c r="NLV587" s="14"/>
      <c r="NLW587" s="14"/>
      <c r="NLX587" s="14"/>
      <c r="NLY587" s="14"/>
      <c r="NLZ587" s="14"/>
      <c r="NMA587" s="14"/>
      <c r="NMB587" s="14"/>
      <c r="NMC587" s="14"/>
      <c r="NMD587" s="14"/>
      <c r="NME587" s="14"/>
      <c r="NMF587" s="14"/>
      <c r="NMG587" s="14"/>
      <c r="NMH587" s="14"/>
      <c r="NMI587" s="14"/>
      <c r="NMJ587" s="14"/>
      <c r="NMK587" s="14"/>
      <c r="NML587" s="14"/>
      <c r="NMM587" s="14"/>
      <c r="NMN587" s="14"/>
      <c r="NMO587" s="14"/>
      <c r="NMP587" s="14"/>
      <c r="NMQ587" s="14"/>
      <c r="NMR587" s="14"/>
      <c r="NMS587" s="14"/>
      <c r="NMT587" s="14"/>
      <c r="NMU587" s="14"/>
      <c r="NMV587" s="14"/>
      <c r="NMW587" s="14"/>
      <c r="NMX587" s="14"/>
      <c r="NMY587" s="14"/>
      <c r="NMZ587" s="14"/>
      <c r="NNA587" s="14"/>
      <c r="NNB587" s="14"/>
      <c r="NNC587" s="14"/>
      <c r="NND587" s="14"/>
      <c r="NNE587" s="14"/>
      <c r="NNF587" s="14"/>
      <c r="NNG587" s="14"/>
      <c r="NNH587" s="14"/>
      <c r="NNI587" s="14"/>
      <c r="NNJ587" s="14"/>
      <c r="NNK587" s="14"/>
      <c r="NNL587" s="14"/>
      <c r="NNM587" s="14"/>
      <c r="NNN587" s="14"/>
      <c r="NNO587" s="14"/>
      <c r="NNP587" s="14"/>
      <c r="NNQ587" s="14"/>
      <c r="NNR587" s="14"/>
      <c r="NNS587" s="14"/>
      <c r="NNT587" s="14"/>
      <c r="NNU587" s="14"/>
      <c r="NNV587" s="14"/>
      <c r="NNW587" s="14"/>
      <c r="NNX587" s="14"/>
      <c r="NNY587" s="14"/>
      <c r="NNZ587" s="14"/>
      <c r="NOA587" s="14"/>
      <c r="NOB587" s="14"/>
      <c r="NOC587" s="14"/>
      <c r="NOD587" s="14"/>
      <c r="NOE587" s="14"/>
      <c r="NOF587" s="14"/>
      <c r="NOG587" s="14"/>
      <c r="NOH587" s="14"/>
      <c r="NOI587" s="14"/>
      <c r="NOJ587" s="14"/>
      <c r="NOK587" s="14"/>
      <c r="NOL587" s="14"/>
      <c r="NOM587" s="14"/>
      <c r="NON587" s="14"/>
      <c r="NOO587" s="14"/>
      <c r="NOP587" s="14"/>
      <c r="NOQ587" s="14"/>
      <c r="NOR587" s="14"/>
      <c r="NOS587" s="14"/>
      <c r="NOT587" s="14"/>
      <c r="NOU587" s="14"/>
      <c r="NOV587" s="14"/>
      <c r="NOW587" s="14"/>
      <c r="NOX587" s="14"/>
      <c r="NOY587" s="14"/>
      <c r="NOZ587" s="14"/>
      <c r="NPA587" s="14"/>
      <c r="NPB587" s="14"/>
      <c r="NPC587" s="14"/>
      <c r="NPD587" s="14"/>
      <c r="NPE587" s="14"/>
      <c r="NPF587" s="14"/>
      <c r="NPG587" s="14"/>
      <c r="NPH587" s="14"/>
      <c r="NPI587" s="14"/>
      <c r="NPJ587" s="14"/>
      <c r="NPK587" s="14"/>
      <c r="NPL587" s="14"/>
      <c r="NPM587" s="14"/>
      <c r="NPN587" s="14"/>
      <c r="NPO587" s="14"/>
      <c r="NPP587" s="14"/>
      <c r="NPQ587" s="14"/>
      <c r="NPR587" s="14"/>
      <c r="NPS587" s="14"/>
      <c r="NPT587" s="14"/>
      <c r="NPU587" s="14"/>
      <c r="NPV587" s="14"/>
      <c r="NPW587" s="14"/>
      <c r="NPX587" s="14"/>
      <c r="NPY587" s="14"/>
      <c r="NPZ587" s="14"/>
      <c r="NQA587" s="14"/>
      <c r="NQB587" s="14"/>
      <c r="NQC587" s="14"/>
      <c r="NQD587" s="14"/>
      <c r="NQE587" s="14"/>
      <c r="NQF587" s="14"/>
      <c r="NQG587" s="14"/>
      <c r="NQH587" s="14"/>
      <c r="NQI587" s="14"/>
      <c r="NQJ587" s="14"/>
      <c r="NQK587" s="14"/>
      <c r="NQL587" s="14"/>
      <c r="NQM587" s="14"/>
      <c r="NQN587" s="14"/>
      <c r="NQO587" s="14"/>
      <c r="NQP587" s="14"/>
      <c r="NQQ587" s="14"/>
      <c r="NQR587" s="14"/>
      <c r="NQS587" s="14"/>
      <c r="NQT587" s="14"/>
      <c r="NQU587" s="14"/>
      <c r="NQV587" s="14"/>
      <c r="NQW587" s="14"/>
      <c r="NQX587" s="14"/>
      <c r="NQY587" s="14"/>
      <c r="NQZ587" s="14"/>
      <c r="NRA587" s="14"/>
      <c r="NRB587" s="14"/>
      <c r="NRC587" s="14"/>
      <c r="NRD587" s="14"/>
      <c r="NRE587" s="14"/>
      <c r="NRF587" s="14"/>
      <c r="NRG587" s="14"/>
      <c r="NRH587" s="14"/>
      <c r="NRI587" s="14"/>
      <c r="NRJ587" s="14"/>
      <c r="NRK587" s="14"/>
      <c r="NRL587" s="14"/>
      <c r="NRM587" s="14"/>
      <c r="NRN587" s="14"/>
      <c r="NRO587" s="14"/>
      <c r="NRP587" s="14"/>
      <c r="NRQ587" s="14"/>
      <c r="NRR587" s="14"/>
      <c r="NRS587" s="14"/>
      <c r="NRT587" s="14"/>
      <c r="NRU587" s="14"/>
      <c r="NRV587" s="14"/>
      <c r="NRW587" s="14"/>
      <c r="NRX587" s="14"/>
      <c r="NRY587" s="14"/>
      <c r="NRZ587" s="14"/>
      <c r="NSA587" s="14"/>
      <c r="NSB587" s="14"/>
      <c r="NSC587" s="14"/>
      <c r="NSD587" s="14"/>
      <c r="NSE587" s="14"/>
      <c r="NSF587" s="14"/>
      <c r="NSG587" s="14"/>
      <c r="NSH587" s="14"/>
      <c r="NSI587" s="14"/>
      <c r="NSJ587" s="14"/>
      <c r="NSK587" s="14"/>
      <c r="NSL587" s="14"/>
      <c r="NSM587" s="14"/>
      <c r="NSN587" s="14"/>
      <c r="NSO587" s="14"/>
      <c r="NSP587" s="14"/>
      <c r="NSQ587" s="14"/>
      <c r="NSR587" s="14"/>
      <c r="NSS587" s="14"/>
      <c r="NST587" s="14"/>
      <c r="NSU587" s="14"/>
      <c r="NSV587" s="14"/>
      <c r="NSW587" s="14"/>
      <c r="NSX587" s="14"/>
      <c r="NSY587" s="14"/>
      <c r="NSZ587" s="14"/>
      <c r="NTA587" s="14"/>
      <c r="NTB587" s="14"/>
      <c r="NTC587" s="14"/>
      <c r="NTD587" s="14"/>
      <c r="NTE587" s="14"/>
      <c r="NTF587" s="14"/>
      <c r="NTG587" s="14"/>
      <c r="NTH587" s="14"/>
      <c r="NTI587" s="14"/>
      <c r="NTJ587" s="14"/>
      <c r="NTK587" s="14"/>
      <c r="NTL587" s="14"/>
      <c r="NTM587" s="14"/>
      <c r="NTN587" s="14"/>
      <c r="NTO587" s="14"/>
      <c r="NTP587" s="14"/>
      <c r="NTQ587" s="14"/>
      <c r="NTR587" s="14"/>
      <c r="NTS587" s="14"/>
      <c r="NTT587" s="14"/>
      <c r="NTU587" s="14"/>
      <c r="NTV587" s="14"/>
      <c r="NTW587" s="14"/>
      <c r="NTX587" s="14"/>
      <c r="NTY587" s="14"/>
      <c r="NTZ587" s="14"/>
      <c r="NUA587" s="14"/>
      <c r="NUB587" s="14"/>
      <c r="NUC587" s="14"/>
      <c r="NUD587" s="14"/>
      <c r="NUE587" s="14"/>
      <c r="NUF587" s="14"/>
      <c r="NUG587" s="14"/>
      <c r="NUH587" s="14"/>
      <c r="NUI587" s="14"/>
      <c r="NUJ587" s="14"/>
      <c r="NUK587" s="14"/>
      <c r="NUL587" s="14"/>
      <c r="NUM587" s="14"/>
      <c r="NUN587" s="14"/>
      <c r="NUO587" s="14"/>
      <c r="NUP587" s="14"/>
      <c r="NUQ587" s="14"/>
      <c r="NUR587" s="14"/>
      <c r="NUS587" s="14"/>
      <c r="NUT587" s="14"/>
      <c r="NUU587" s="14"/>
      <c r="NUV587" s="14"/>
      <c r="NUW587" s="14"/>
      <c r="NUX587" s="14"/>
      <c r="NUY587" s="14"/>
      <c r="NUZ587" s="14"/>
      <c r="NVA587" s="14"/>
      <c r="NVB587" s="14"/>
      <c r="NVC587" s="14"/>
      <c r="NVD587" s="14"/>
      <c r="NVE587" s="14"/>
      <c r="NVF587" s="14"/>
      <c r="NVG587" s="14"/>
      <c r="NVH587" s="14"/>
      <c r="NVI587" s="14"/>
      <c r="NVJ587" s="14"/>
      <c r="NVK587" s="14"/>
      <c r="NVL587" s="14"/>
      <c r="NVM587" s="14"/>
      <c r="NVN587" s="14"/>
      <c r="NVO587" s="14"/>
      <c r="NVP587" s="14"/>
      <c r="NVQ587" s="14"/>
      <c r="NVR587" s="14"/>
      <c r="NVS587" s="14"/>
      <c r="NVT587" s="14"/>
      <c r="NVU587" s="14"/>
      <c r="NVV587" s="14"/>
      <c r="NVW587" s="14"/>
      <c r="NVX587" s="14"/>
      <c r="NVY587" s="14"/>
      <c r="NVZ587" s="14"/>
      <c r="NWA587" s="14"/>
      <c r="NWB587" s="14"/>
      <c r="NWC587" s="14"/>
      <c r="NWD587" s="14"/>
      <c r="NWE587" s="14"/>
      <c r="NWF587" s="14"/>
      <c r="NWG587" s="14"/>
      <c r="NWH587" s="14"/>
      <c r="NWI587" s="14"/>
      <c r="NWJ587" s="14"/>
      <c r="NWK587" s="14"/>
      <c r="NWL587" s="14"/>
      <c r="NWM587" s="14"/>
      <c r="NWN587" s="14"/>
      <c r="NWO587" s="14"/>
      <c r="NWP587" s="14"/>
      <c r="NWQ587" s="14"/>
      <c r="NWR587" s="14"/>
      <c r="NWS587" s="14"/>
      <c r="NWT587" s="14"/>
      <c r="NWU587" s="14"/>
      <c r="NWV587" s="14"/>
      <c r="NWW587" s="14"/>
      <c r="NWX587" s="14"/>
      <c r="NWY587" s="14"/>
      <c r="NWZ587" s="14"/>
      <c r="NXA587" s="14"/>
      <c r="NXB587" s="14"/>
      <c r="NXC587" s="14"/>
      <c r="NXD587" s="14"/>
      <c r="NXE587" s="14"/>
      <c r="NXF587" s="14"/>
      <c r="NXG587" s="14"/>
      <c r="NXH587" s="14"/>
      <c r="NXI587" s="14"/>
      <c r="NXJ587" s="14"/>
      <c r="NXK587" s="14"/>
      <c r="NXL587" s="14"/>
      <c r="NXM587" s="14"/>
      <c r="NXN587" s="14"/>
      <c r="NXO587" s="14"/>
      <c r="NXP587" s="14"/>
      <c r="NXQ587" s="14"/>
      <c r="NXR587" s="14"/>
      <c r="NXS587" s="14"/>
      <c r="NXT587" s="14"/>
      <c r="NXU587" s="14"/>
      <c r="NXV587" s="14"/>
      <c r="NXW587" s="14"/>
      <c r="NXX587" s="14"/>
      <c r="NXY587" s="14"/>
      <c r="NXZ587" s="14"/>
      <c r="NYA587" s="14"/>
      <c r="NYB587" s="14"/>
      <c r="NYC587" s="14"/>
      <c r="NYD587" s="14"/>
      <c r="NYE587" s="14"/>
      <c r="NYF587" s="14"/>
      <c r="NYG587" s="14"/>
      <c r="NYH587" s="14"/>
      <c r="NYI587" s="14"/>
      <c r="NYJ587" s="14"/>
      <c r="NYK587" s="14"/>
      <c r="NYL587" s="14"/>
      <c r="NYM587" s="14"/>
      <c r="NYN587" s="14"/>
      <c r="NYO587" s="14"/>
      <c r="NYP587" s="14"/>
      <c r="NYQ587" s="14"/>
      <c r="NYR587" s="14"/>
      <c r="NYS587" s="14"/>
      <c r="NYT587" s="14"/>
      <c r="NYU587" s="14"/>
      <c r="NYV587" s="14"/>
      <c r="NYW587" s="14"/>
      <c r="NYX587" s="14"/>
      <c r="NYY587" s="14"/>
      <c r="NYZ587" s="14"/>
      <c r="NZA587" s="14"/>
      <c r="NZB587" s="14"/>
      <c r="NZC587" s="14"/>
      <c r="NZD587" s="14"/>
      <c r="NZE587" s="14"/>
      <c r="NZF587" s="14"/>
      <c r="NZG587" s="14"/>
      <c r="NZH587" s="14"/>
      <c r="NZI587" s="14"/>
      <c r="NZJ587" s="14"/>
      <c r="NZK587" s="14"/>
      <c r="NZL587" s="14"/>
      <c r="NZM587" s="14"/>
      <c r="NZN587" s="14"/>
      <c r="NZO587" s="14"/>
      <c r="NZP587" s="14"/>
      <c r="NZQ587" s="14"/>
      <c r="NZR587" s="14"/>
      <c r="NZS587" s="14"/>
      <c r="NZT587" s="14"/>
      <c r="NZU587" s="14"/>
      <c r="NZV587" s="14"/>
      <c r="NZW587" s="14"/>
      <c r="NZX587" s="14"/>
      <c r="NZY587" s="14"/>
      <c r="NZZ587" s="14"/>
      <c r="OAA587" s="14"/>
      <c r="OAB587" s="14"/>
      <c r="OAC587" s="14"/>
      <c r="OAD587" s="14"/>
      <c r="OAE587" s="14"/>
      <c r="OAF587" s="14"/>
      <c r="OAG587" s="14"/>
      <c r="OAH587" s="14"/>
      <c r="OAI587" s="14"/>
      <c r="OAJ587" s="14"/>
      <c r="OAK587" s="14"/>
      <c r="OAL587" s="14"/>
      <c r="OAM587" s="14"/>
      <c r="OAN587" s="14"/>
      <c r="OAO587" s="14"/>
      <c r="OAP587" s="14"/>
      <c r="OAQ587" s="14"/>
      <c r="OAR587" s="14"/>
      <c r="OAS587" s="14"/>
      <c r="OAT587" s="14"/>
      <c r="OAU587" s="14"/>
      <c r="OAV587" s="14"/>
      <c r="OAW587" s="14"/>
      <c r="OAX587" s="14"/>
      <c r="OAY587" s="14"/>
      <c r="OAZ587" s="14"/>
      <c r="OBA587" s="14"/>
      <c r="OBB587" s="14"/>
      <c r="OBC587" s="14"/>
      <c r="OBD587" s="14"/>
      <c r="OBE587" s="14"/>
      <c r="OBF587" s="14"/>
      <c r="OBG587" s="14"/>
      <c r="OBH587" s="14"/>
      <c r="OBI587" s="14"/>
      <c r="OBJ587" s="14"/>
      <c r="OBK587" s="14"/>
      <c r="OBL587" s="14"/>
      <c r="OBM587" s="14"/>
      <c r="OBN587" s="14"/>
      <c r="OBO587" s="14"/>
      <c r="OBP587" s="14"/>
      <c r="OBQ587" s="14"/>
      <c r="OBR587" s="14"/>
      <c r="OBS587" s="14"/>
      <c r="OBT587" s="14"/>
      <c r="OBU587" s="14"/>
      <c r="OBV587" s="14"/>
      <c r="OBW587" s="14"/>
      <c r="OBX587" s="14"/>
      <c r="OBY587" s="14"/>
      <c r="OBZ587" s="14"/>
      <c r="OCA587" s="14"/>
      <c r="OCB587" s="14"/>
      <c r="OCC587" s="14"/>
      <c r="OCD587" s="14"/>
      <c r="OCE587" s="14"/>
      <c r="OCF587" s="14"/>
      <c r="OCG587" s="14"/>
      <c r="OCH587" s="14"/>
      <c r="OCI587" s="14"/>
      <c r="OCJ587" s="14"/>
      <c r="OCK587" s="14"/>
      <c r="OCL587" s="14"/>
      <c r="OCM587" s="14"/>
      <c r="OCN587" s="14"/>
      <c r="OCO587" s="14"/>
      <c r="OCP587" s="14"/>
      <c r="OCQ587" s="14"/>
      <c r="OCR587" s="14"/>
      <c r="OCS587" s="14"/>
      <c r="OCT587" s="14"/>
      <c r="OCU587" s="14"/>
      <c r="OCV587" s="14"/>
      <c r="OCW587" s="14"/>
      <c r="OCX587" s="14"/>
      <c r="OCY587" s="14"/>
      <c r="OCZ587" s="14"/>
      <c r="ODA587" s="14"/>
      <c r="ODB587" s="14"/>
      <c r="ODC587" s="14"/>
      <c r="ODD587" s="14"/>
      <c r="ODE587" s="14"/>
      <c r="ODF587" s="14"/>
      <c r="ODG587" s="14"/>
      <c r="ODH587" s="14"/>
      <c r="ODI587" s="14"/>
      <c r="ODJ587" s="14"/>
      <c r="ODK587" s="14"/>
      <c r="ODL587" s="14"/>
      <c r="ODM587" s="14"/>
      <c r="ODN587" s="14"/>
      <c r="ODO587" s="14"/>
      <c r="ODP587" s="14"/>
      <c r="ODQ587" s="14"/>
      <c r="ODR587" s="14"/>
      <c r="ODS587" s="14"/>
      <c r="ODT587" s="14"/>
      <c r="ODU587" s="14"/>
      <c r="ODV587" s="14"/>
      <c r="ODW587" s="14"/>
      <c r="ODX587" s="14"/>
      <c r="ODY587" s="14"/>
      <c r="ODZ587" s="14"/>
      <c r="OEA587" s="14"/>
      <c r="OEB587" s="14"/>
      <c r="OEC587" s="14"/>
      <c r="OED587" s="14"/>
      <c r="OEE587" s="14"/>
      <c r="OEF587" s="14"/>
      <c r="OEG587" s="14"/>
      <c r="OEH587" s="14"/>
      <c r="OEI587" s="14"/>
      <c r="OEJ587" s="14"/>
      <c r="OEK587" s="14"/>
      <c r="OEL587" s="14"/>
      <c r="OEM587" s="14"/>
      <c r="OEN587" s="14"/>
      <c r="OEO587" s="14"/>
      <c r="OEP587" s="14"/>
      <c r="OEQ587" s="14"/>
      <c r="OER587" s="14"/>
      <c r="OES587" s="14"/>
      <c r="OET587" s="14"/>
      <c r="OEU587" s="14"/>
      <c r="OEV587" s="14"/>
      <c r="OEW587" s="14"/>
      <c r="OEX587" s="14"/>
      <c r="OEY587" s="14"/>
      <c r="OEZ587" s="14"/>
      <c r="OFA587" s="14"/>
      <c r="OFB587" s="14"/>
      <c r="OFC587" s="14"/>
      <c r="OFD587" s="14"/>
      <c r="OFE587" s="14"/>
      <c r="OFF587" s="14"/>
      <c r="OFG587" s="14"/>
      <c r="OFH587" s="14"/>
      <c r="OFI587" s="14"/>
      <c r="OFJ587" s="14"/>
      <c r="OFK587" s="14"/>
      <c r="OFL587" s="14"/>
      <c r="OFM587" s="14"/>
      <c r="OFN587" s="14"/>
      <c r="OFO587" s="14"/>
      <c r="OFP587" s="14"/>
      <c r="OFQ587" s="14"/>
      <c r="OFR587" s="14"/>
      <c r="OFS587" s="14"/>
      <c r="OFT587" s="14"/>
      <c r="OFU587" s="14"/>
      <c r="OFV587" s="14"/>
      <c r="OFW587" s="14"/>
      <c r="OFX587" s="14"/>
      <c r="OFY587" s="14"/>
      <c r="OFZ587" s="14"/>
      <c r="OGA587" s="14"/>
      <c r="OGB587" s="14"/>
      <c r="OGC587" s="14"/>
      <c r="OGD587" s="14"/>
      <c r="OGE587" s="14"/>
      <c r="OGF587" s="14"/>
      <c r="OGG587" s="14"/>
      <c r="OGH587" s="14"/>
      <c r="OGI587" s="14"/>
      <c r="OGJ587" s="14"/>
      <c r="OGK587" s="14"/>
      <c r="OGL587" s="14"/>
      <c r="OGM587" s="14"/>
      <c r="OGN587" s="14"/>
      <c r="OGO587" s="14"/>
      <c r="OGP587" s="14"/>
      <c r="OGQ587" s="14"/>
      <c r="OGR587" s="14"/>
      <c r="OGS587" s="14"/>
      <c r="OGT587" s="14"/>
      <c r="OGU587" s="14"/>
      <c r="OGV587" s="14"/>
      <c r="OGW587" s="14"/>
      <c r="OGX587" s="14"/>
      <c r="OGY587" s="14"/>
      <c r="OGZ587" s="14"/>
      <c r="OHA587" s="14"/>
      <c r="OHB587" s="14"/>
      <c r="OHC587" s="14"/>
      <c r="OHD587" s="14"/>
      <c r="OHE587" s="14"/>
      <c r="OHF587" s="14"/>
      <c r="OHG587" s="14"/>
      <c r="OHH587" s="14"/>
      <c r="OHI587" s="14"/>
      <c r="OHJ587" s="14"/>
      <c r="OHK587" s="14"/>
      <c r="OHL587" s="14"/>
      <c r="OHM587" s="14"/>
      <c r="OHN587" s="14"/>
      <c r="OHO587" s="14"/>
      <c r="OHP587" s="14"/>
      <c r="OHQ587" s="14"/>
      <c r="OHR587" s="14"/>
      <c r="OHS587" s="14"/>
      <c r="OHT587" s="14"/>
      <c r="OHU587" s="14"/>
      <c r="OHV587" s="14"/>
      <c r="OHW587" s="14"/>
      <c r="OHX587" s="14"/>
      <c r="OHY587" s="14"/>
      <c r="OHZ587" s="14"/>
      <c r="OIA587" s="14"/>
      <c r="OIB587" s="14"/>
      <c r="OIC587" s="14"/>
      <c r="OID587" s="14"/>
      <c r="OIE587" s="14"/>
      <c r="OIF587" s="14"/>
      <c r="OIG587" s="14"/>
      <c r="OIH587" s="14"/>
      <c r="OII587" s="14"/>
      <c r="OIJ587" s="14"/>
      <c r="OIK587" s="14"/>
      <c r="OIL587" s="14"/>
      <c r="OIM587" s="14"/>
      <c r="OIN587" s="14"/>
      <c r="OIO587" s="14"/>
      <c r="OIP587" s="14"/>
      <c r="OIQ587" s="14"/>
      <c r="OIR587" s="14"/>
      <c r="OIS587" s="14"/>
      <c r="OIT587" s="14"/>
      <c r="OIU587" s="14"/>
      <c r="OIV587" s="14"/>
      <c r="OIW587" s="14"/>
      <c r="OIX587" s="14"/>
      <c r="OIY587" s="14"/>
      <c r="OIZ587" s="14"/>
      <c r="OJA587" s="14"/>
      <c r="OJB587" s="14"/>
      <c r="OJC587" s="14"/>
      <c r="OJD587" s="14"/>
      <c r="OJE587" s="14"/>
      <c r="OJF587" s="14"/>
      <c r="OJG587" s="14"/>
      <c r="OJH587" s="14"/>
      <c r="OJI587" s="14"/>
      <c r="OJJ587" s="14"/>
      <c r="OJK587" s="14"/>
      <c r="OJL587" s="14"/>
      <c r="OJM587" s="14"/>
      <c r="OJN587" s="14"/>
      <c r="OJO587" s="14"/>
      <c r="OJP587" s="14"/>
      <c r="OJQ587" s="14"/>
      <c r="OJR587" s="14"/>
      <c r="OJS587" s="14"/>
      <c r="OJT587" s="14"/>
      <c r="OJU587" s="14"/>
      <c r="OJV587" s="14"/>
      <c r="OJW587" s="14"/>
      <c r="OJX587" s="14"/>
      <c r="OJY587" s="14"/>
      <c r="OJZ587" s="14"/>
      <c r="OKA587" s="14"/>
      <c r="OKB587" s="14"/>
      <c r="OKC587" s="14"/>
      <c r="OKD587" s="14"/>
      <c r="OKE587" s="14"/>
      <c r="OKF587" s="14"/>
      <c r="OKG587" s="14"/>
      <c r="OKH587" s="14"/>
      <c r="OKI587" s="14"/>
      <c r="OKJ587" s="14"/>
      <c r="OKK587" s="14"/>
      <c r="OKL587" s="14"/>
      <c r="OKM587" s="14"/>
      <c r="OKN587" s="14"/>
      <c r="OKO587" s="14"/>
      <c r="OKP587" s="14"/>
      <c r="OKQ587" s="14"/>
      <c r="OKR587" s="14"/>
      <c r="OKS587" s="14"/>
      <c r="OKT587" s="14"/>
      <c r="OKU587" s="14"/>
      <c r="OKV587" s="14"/>
      <c r="OKW587" s="14"/>
      <c r="OKX587" s="14"/>
      <c r="OKY587" s="14"/>
      <c r="OKZ587" s="14"/>
      <c r="OLA587" s="14"/>
      <c r="OLB587" s="14"/>
      <c r="OLC587" s="14"/>
      <c r="OLD587" s="14"/>
      <c r="OLE587" s="14"/>
      <c r="OLF587" s="14"/>
      <c r="OLG587" s="14"/>
      <c r="OLH587" s="14"/>
      <c r="OLI587" s="14"/>
      <c r="OLJ587" s="14"/>
      <c r="OLK587" s="14"/>
      <c r="OLL587" s="14"/>
      <c r="OLM587" s="14"/>
      <c r="OLN587" s="14"/>
      <c r="OLO587" s="14"/>
      <c r="OLP587" s="14"/>
      <c r="OLQ587" s="14"/>
      <c r="OLR587" s="14"/>
      <c r="OLS587" s="14"/>
      <c r="OLT587" s="14"/>
      <c r="OLU587" s="14"/>
      <c r="OLV587" s="14"/>
      <c r="OLW587" s="14"/>
      <c r="OLX587" s="14"/>
      <c r="OLY587" s="14"/>
      <c r="OLZ587" s="14"/>
      <c r="OMA587" s="14"/>
      <c r="OMB587" s="14"/>
      <c r="OMC587" s="14"/>
      <c r="OMD587" s="14"/>
      <c r="OME587" s="14"/>
      <c r="OMF587" s="14"/>
      <c r="OMG587" s="14"/>
      <c r="OMH587" s="14"/>
      <c r="OMI587" s="14"/>
      <c r="OMJ587" s="14"/>
      <c r="OMK587" s="14"/>
      <c r="OML587" s="14"/>
      <c r="OMM587" s="14"/>
      <c r="OMN587" s="14"/>
      <c r="OMO587" s="14"/>
      <c r="OMP587" s="14"/>
      <c r="OMQ587" s="14"/>
      <c r="OMR587" s="14"/>
      <c r="OMS587" s="14"/>
      <c r="OMT587" s="14"/>
      <c r="OMU587" s="14"/>
      <c r="OMV587" s="14"/>
      <c r="OMW587" s="14"/>
      <c r="OMX587" s="14"/>
      <c r="OMY587" s="14"/>
      <c r="OMZ587" s="14"/>
      <c r="ONA587" s="14"/>
      <c r="ONB587" s="14"/>
      <c r="ONC587" s="14"/>
      <c r="OND587" s="14"/>
      <c r="ONE587" s="14"/>
      <c r="ONF587" s="14"/>
      <c r="ONG587" s="14"/>
      <c r="ONH587" s="14"/>
      <c r="ONI587" s="14"/>
      <c r="ONJ587" s="14"/>
      <c r="ONK587" s="14"/>
      <c r="ONL587" s="14"/>
      <c r="ONM587" s="14"/>
      <c r="ONN587" s="14"/>
      <c r="ONO587" s="14"/>
      <c r="ONP587" s="14"/>
      <c r="ONQ587" s="14"/>
      <c r="ONR587" s="14"/>
      <c r="ONS587" s="14"/>
      <c r="ONT587" s="14"/>
      <c r="ONU587" s="14"/>
      <c r="ONV587" s="14"/>
      <c r="ONW587" s="14"/>
      <c r="ONX587" s="14"/>
      <c r="ONY587" s="14"/>
      <c r="ONZ587" s="14"/>
      <c r="OOA587" s="14"/>
      <c r="OOB587" s="14"/>
      <c r="OOC587" s="14"/>
      <c r="OOD587" s="14"/>
      <c r="OOE587" s="14"/>
      <c r="OOF587" s="14"/>
      <c r="OOG587" s="14"/>
      <c r="OOH587" s="14"/>
      <c r="OOI587" s="14"/>
      <c r="OOJ587" s="14"/>
      <c r="OOK587" s="14"/>
      <c r="OOL587" s="14"/>
      <c r="OOM587" s="14"/>
      <c r="OON587" s="14"/>
      <c r="OOO587" s="14"/>
      <c r="OOP587" s="14"/>
      <c r="OOQ587" s="14"/>
      <c r="OOR587" s="14"/>
      <c r="OOS587" s="14"/>
      <c r="OOT587" s="14"/>
      <c r="OOU587" s="14"/>
      <c r="OOV587" s="14"/>
      <c r="OOW587" s="14"/>
      <c r="OOX587" s="14"/>
      <c r="OOY587" s="14"/>
      <c r="OOZ587" s="14"/>
      <c r="OPA587" s="14"/>
      <c r="OPB587" s="14"/>
      <c r="OPC587" s="14"/>
      <c r="OPD587" s="14"/>
      <c r="OPE587" s="14"/>
      <c r="OPF587" s="14"/>
      <c r="OPG587" s="14"/>
      <c r="OPH587" s="14"/>
      <c r="OPI587" s="14"/>
      <c r="OPJ587" s="14"/>
      <c r="OPK587" s="14"/>
      <c r="OPL587" s="14"/>
      <c r="OPM587" s="14"/>
      <c r="OPN587" s="14"/>
      <c r="OPO587" s="14"/>
      <c r="OPP587" s="14"/>
      <c r="OPQ587" s="14"/>
      <c r="OPR587" s="14"/>
      <c r="OPS587" s="14"/>
      <c r="OPT587" s="14"/>
      <c r="OPU587" s="14"/>
      <c r="OPV587" s="14"/>
      <c r="OPW587" s="14"/>
      <c r="OPX587" s="14"/>
      <c r="OPY587" s="14"/>
      <c r="OPZ587" s="14"/>
      <c r="OQA587" s="14"/>
      <c r="OQB587" s="14"/>
      <c r="OQC587" s="14"/>
      <c r="OQD587" s="14"/>
      <c r="OQE587" s="14"/>
      <c r="OQF587" s="14"/>
      <c r="OQG587" s="14"/>
      <c r="OQH587" s="14"/>
      <c r="OQI587" s="14"/>
      <c r="OQJ587" s="14"/>
      <c r="OQK587" s="14"/>
      <c r="OQL587" s="14"/>
      <c r="OQM587" s="14"/>
      <c r="OQN587" s="14"/>
      <c r="OQO587" s="14"/>
      <c r="OQP587" s="14"/>
      <c r="OQQ587" s="14"/>
      <c r="OQR587" s="14"/>
      <c r="OQS587" s="14"/>
      <c r="OQT587" s="14"/>
      <c r="OQU587" s="14"/>
      <c r="OQV587" s="14"/>
      <c r="OQW587" s="14"/>
      <c r="OQX587" s="14"/>
      <c r="OQY587" s="14"/>
      <c r="OQZ587" s="14"/>
      <c r="ORA587" s="14"/>
      <c r="ORB587" s="14"/>
      <c r="ORC587" s="14"/>
      <c r="ORD587" s="14"/>
      <c r="ORE587" s="14"/>
      <c r="ORF587" s="14"/>
      <c r="ORG587" s="14"/>
      <c r="ORH587" s="14"/>
      <c r="ORI587" s="14"/>
      <c r="ORJ587" s="14"/>
      <c r="ORK587" s="14"/>
      <c r="ORL587" s="14"/>
      <c r="ORM587" s="14"/>
      <c r="ORN587" s="14"/>
      <c r="ORO587" s="14"/>
      <c r="ORP587" s="14"/>
      <c r="ORQ587" s="14"/>
      <c r="ORR587" s="14"/>
      <c r="ORS587" s="14"/>
      <c r="ORT587" s="14"/>
      <c r="ORU587" s="14"/>
      <c r="ORV587" s="14"/>
      <c r="ORW587" s="14"/>
      <c r="ORX587" s="14"/>
      <c r="ORY587" s="14"/>
      <c r="ORZ587" s="14"/>
      <c r="OSA587" s="14"/>
      <c r="OSB587" s="14"/>
      <c r="OSC587" s="14"/>
      <c r="OSD587" s="14"/>
      <c r="OSE587" s="14"/>
      <c r="OSF587" s="14"/>
      <c r="OSG587" s="14"/>
      <c r="OSH587" s="14"/>
      <c r="OSI587" s="14"/>
      <c r="OSJ587" s="14"/>
      <c r="OSK587" s="14"/>
      <c r="OSL587" s="14"/>
      <c r="OSM587" s="14"/>
      <c r="OSN587" s="14"/>
      <c r="OSO587" s="14"/>
      <c r="OSP587" s="14"/>
      <c r="OSQ587" s="14"/>
      <c r="OSR587" s="14"/>
      <c r="OSS587" s="14"/>
      <c r="OST587" s="14"/>
      <c r="OSU587" s="14"/>
      <c r="OSV587" s="14"/>
      <c r="OSW587" s="14"/>
      <c r="OSX587" s="14"/>
      <c r="OSY587" s="14"/>
      <c r="OSZ587" s="14"/>
      <c r="OTA587" s="14"/>
      <c r="OTB587" s="14"/>
      <c r="OTC587" s="14"/>
      <c r="OTD587" s="14"/>
      <c r="OTE587" s="14"/>
      <c r="OTF587" s="14"/>
      <c r="OTG587" s="14"/>
      <c r="OTH587" s="14"/>
      <c r="OTI587" s="14"/>
      <c r="OTJ587" s="14"/>
      <c r="OTK587" s="14"/>
      <c r="OTL587" s="14"/>
      <c r="OTM587" s="14"/>
      <c r="OTN587" s="14"/>
      <c r="OTO587" s="14"/>
      <c r="OTP587" s="14"/>
      <c r="OTQ587" s="14"/>
      <c r="OTR587" s="14"/>
      <c r="OTS587" s="14"/>
      <c r="OTT587" s="14"/>
      <c r="OTU587" s="14"/>
      <c r="OTV587" s="14"/>
      <c r="OTW587" s="14"/>
      <c r="OTX587" s="14"/>
      <c r="OTY587" s="14"/>
      <c r="OTZ587" s="14"/>
      <c r="OUA587" s="14"/>
      <c r="OUB587" s="14"/>
      <c r="OUC587" s="14"/>
      <c r="OUD587" s="14"/>
      <c r="OUE587" s="14"/>
      <c r="OUF587" s="14"/>
      <c r="OUG587" s="14"/>
      <c r="OUH587" s="14"/>
      <c r="OUI587" s="14"/>
      <c r="OUJ587" s="14"/>
      <c r="OUK587" s="14"/>
      <c r="OUL587" s="14"/>
      <c r="OUM587" s="14"/>
      <c r="OUN587" s="14"/>
      <c r="OUO587" s="14"/>
      <c r="OUP587" s="14"/>
      <c r="OUQ587" s="14"/>
      <c r="OUR587" s="14"/>
      <c r="OUS587" s="14"/>
      <c r="OUT587" s="14"/>
      <c r="OUU587" s="14"/>
      <c r="OUV587" s="14"/>
      <c r="OUW587" s="14"/>
      <c r="OUX587" s="14"/>
      <c r="OUY587" s="14"/>
      <c r="OUZ587" s="14"/>
      <c r="OVA587" s="14"/>
      <c r="OVB587" s="14"/>
      <c r="OVC587" s="14"/>
      <c r="OVD587" s="14"/>
      <c r="OVE587" s="14"/>
      <c r="OVF587" s="14"/>
      <c r="OVG587" s="14"/>
      <c r="OVH587" s="14"/>
      <c r="OVI587" s="14"/>
      <c r="OVJ587" s="14"/>
      <c r="OVK587" s="14"/>
      <c r="OVL587" s="14"/>
      <c r="OVM587" s="14"/>
      <c r="OVN587" s="14"/>
      <c r="OVO587" s="14"/>
      <c r="OVP587" s="14"/>
      <c r="OVQ587" s="14"/>
      <c r="OVR587" s="14"/>
      <c r="OVS587" s="14"/>
      <c r="OVT587" s="14"/>
      <c r="OVU587" s="14"/>
      <c r="OVV587" s="14"/>
      <c r="OVW587" s="14"/>
      <c r="OVX587" s="14"/>
      <c r="OVY587" s="14"/>
      <c r="OVZ587" s="14"/>
      <c r="OWA587" s="14"/>
      <c r="OWB587" s="14"/>
      <c r="OWC587" s="14"/>
      <c r="OWD587" s="14"/>
      <c r="OWE587" s="14"/>
      <c r="OWF587" s="14"/>
      <c r="OWG587" s="14"/>
      <c r="OWH587" s="14"/>
      <c r="OWI587" s="14"/>
      <c r="OWJ587" s="14"/>
      <c r="OWK587" s="14"/>
      <c r="OWL587" s="14"/>
      <c r="OWM587" s="14"/>
      <c r="OWN587" s="14"/>
      <c r="OWO587" s="14"/>
      <c r="OWP587" s="14"/>
      <c r="OWQ587" s="14"/>
      <c r="OWR587" s="14"/>
      <c r="OWS587" s="14"/>
      <c r="OWT587" s="14"/>
      <c r="OWU587" s="14"/>
      <c r="OWV587" s="14"/>
      <c r="OWW587" s="14"/>
      <c r="OWX587" s="14"/>
      <c r="OWY587" s="14"/>
      <c r="OWZ587" s="14"/>
      <c r="OXA587" s="14"/>
      <c r="OXB587" s="14"/>
      <c r="OXC587" s="14"/>
      <c r="OXD587" s="14"/>
      <c r="OXE587" s="14"/>
      <c r="OXF587" s="14"/>
      <c r="OXG587" s="14"/>
      <c r="OXH587" s="14"/>
      <c r="OXI587" s="14"/>
      <c r="OXJ587" s="14"/>
      <c r="OXK587" s="14"/>
      <c r="OXL587" s="14"/>
      <c r="OXM587" s="14"/>
      <c r="OXN587" s="14"/>
      <c r="OXO587" s="14"/>
      <c r="OXP587" s="14"/>
      <c r="OXQ587" s="14"/>
      <c r="OXR587" s="14"/>
      <c r="OXS587" s="14"/>
      <c r="OXT587" s="14"/>
      <c r="OXU587" s="14"/>
      <c r="OXV587" s="14"/>
      <c r="OXW587" s="14"/>
      <c r="OXX587" s="14"/>
      <c r="OXY587" s="14"/>
      <c r="OXZ587" s="14"/>
      <c r="OYA587" s="14"/>
      <c r="OYB587" s="14"/>
      <c r="OYC587" s="14"/>
      <c r="OYD587" s="14"/>
      <c r="OYE587" s="14"/>
      <c r="OYF587" s="14"/>
      <c r="OYG587" s="14"/>
      <c r="OYH587" s="14"/>
      <c r="OYI587" s="14"/>
      <c r="OYJ587" s="14"/>
      <c r="OYK587" s="14"/>
      <c r="OYL587" s="14"/>
      <c r="OYM587" s="14"/>
      <c r="OYN587" s="14"/>
      <c r="OYO587" s="14"/>
      <c r="OYP587" s="14"/>
      <c r="OYQ587" s="14"/>
      <c r="OYR587" s="14"/>
      <c r="OYS587" s="14"/>
      <c r="OYT587" s="14"/>
      <c r="OYU587" s="14"/>
      <c r="OYV587" s="14"/>
      <c r="OYW587" s="14"/>
      <c r="OYX587" s="14"/>
      <c r="OYY587" s="14"/>
      <c r="OYZ587" s="14"/>
      <c r="OZA587" s="14"/>
      <c r="OZB587" s="14"/>
      <c r="OZC587" s="14"/>
      <c r="OZD587" s="14"/>
      <c r="OZE587" s="14"/>
      <c r="OZF587" s="14"/>
      <c r="OZG587" s="14"/>
      <c r="OZH587" s="14"/>
      <c r="OZI587" s="14"/>
      <c r="OZJ587" s="14"/>
      <c r="OZK587" s="14"/>
      <c r="OZL587" s="14"/>
      <c r="OZM587" s="14"/>
      <c r="OZN587" s="14"/>
      <c r="OZO587" s="14"/>
      <c r="OZP587" s="14"/>
      <c r="OZQ587" s="14"/>
      <c r="OZR587" s="14"/>
      <c r="OZS587" s="14"/>
      <c r="OZT587" s="14"/>
      <c r="OZU587" s="14"/>
      <c r="OZV587" s="14"/>
      <c r="OZW587" s="14"/>
      <c r="OZX587" s="14"/>
      <c r="OZY587" s="14"/>
      <c r="OZZ587" s="14"/>
      <c r="PAA587" s="14"/>
      <c r="PAB587" s="14"/>
      <c r="PAC587" s="14"/>
      <c r="PAD587" s="14"/>
      <c r="PAE587" s="14"/>
      <c r="PAF587" s="14"/>
      <c r="PAG587" s="14"/>
      <c r="PAH587" s="14"/>
      <c r="PAI587" s="14"/>
      <c r="PAJ587" s="14"/>
      <c r="PAK587" s="14"/>
      <c r="PAL587" s="14"/>
      <c r="PAM587" s="14"/>
      <c r="PAN587" s="14"/>
      <c r="PAO587" s="14"/>
      <c r="PAP587" s="14"/>
      <c r="PAQ587" s="14"/>
      <c r="PAR587" s="14"/>
      <c r="PAS587" s="14"/>
      <c r="PAT587" s="14"/>
      <c r="PAU587" s="14"/>
      <c r="PAV587" s="14"/>
      <c r="PAW587" s="14"/>
      <c r="PAX587" s="14"/>
      <c r="PAY587" s="14"/>
      <c r="PAZ587" s="14"/>
      <c r="PBA587" s="14"/>
      <c r="PBB587" s="14"/>
      <c r="PBC587" s="14"/>
      <c r="PBD587" s="14"/>
      <c r="PBE587" s="14"/>
      <c r="PBF587" s="14"/>
      <c r="PBG587" s="14"/>
      <c r="PBH587" s="14"/>
      <c r="PBI587" s="14"/>
      <c r="PBJ587" s="14"/>
      <c r="PBK587" s="14"/>
      <c r="PBL587" s="14"/>
      <c r="PBM587" s="14"/>
      <c r="PBN587" s="14"/>
      <c r="PBO587" s="14"/>
      <c r="PBP587" s="14"/>
      <c r="PBQ587" s="14"/>
      <c r="PBR587" s="14"/>
      <c r="PBS587" s="14"/>
      <c r="PBT587" s="14"/>
      <c r="PBU587" s="14"/>
      <c r="PBV587" s="14"/>
      <c r="PBW587" s="14"/>
      <c r="PBX587" s="14"/>
      <c r="PBY587" s="14"/>
      <c r="PBZ587" s="14"/>
      <c r="PCA587" s="14"/>
      <c r="PCB587" s="14"/>
      <c r="PCC587" s="14"/>
      <c r="PCD587" s="14"/>
      <c r="PCE587" s="14"/>
      <c r="PCF587" s="14"/>
      <c r="PCG587" s="14"/>
      <c r="PCH587" s="14"/>
      <c r="PCI587" s="14"/>
      <c r="PCJ587" s="14"/>
      <c r="PCK587" s="14"/>
      <c r="PCL587" s="14"/>
      <c r="PCM587" s="14"/>
      <c r="PCN587" s="14"/>
      <c r="PCO587" s="14"/>
      <c r="PCP587" s="14"/>
      <c r="PCQ587" s="14"/>
      <c r="PCR587" s="14"/>
      <c r="PCS587" s="14"/>
      <c r="PCT587" s="14"/>
      <c r="PCU587" s="14"/>
      <c r="PCV587" s="14"/>
      <c r="PCW587" s="14"/>
      <c r="PCX587" s="14"/>
      <c r="PCY587" s="14"/>
      <c r="PCZ587" s="14"/>
      <c r="PDA587" s="14"/>
      <c r="PDB587" s="14"/>
      <c r="PDC587" s="14"/>
      <c r="PDD587" s="14"/>
      <c r="PDE587" s="14"/>
      <c r="PDF587" s="14"/>
      <c r="PDG587" s="14"/>
      <c r="PDH587" s="14"/>
      <c r="PDI587" s="14"/>
      <c r="PDJ587" s="14"/>
      <c r="PDK587" s="14"/>
      <c r="PDL587" s="14"/>
      <c r="PDM587" s="14"/>
      <c r="PDN587" s="14"/>
      <c r="PDO587" s="14"/>
      <c r="PDP587" s="14"/>
      <c r="PDQ587" s="14"/>
      <c r="PDR587" s="14"/>
      <c r="PDS587" s="14"/>
      <c r="PDT587" s="14"/>
      <c r="PDU587" s="14"/>
      <c r="PDV587" s="14"/>
      <c r="PDW587" s="14"/>
      <c r="PDX587" s="14"/>
      <c r="PDY587" s="14"/>
      <c r="PDZ587" s="14"/>
      <c r="PEA587" s="14"/>
      <c r="PEB587" s="14"/>
      <c r="PEC587" s="14"/>
      <c r="PED587" s="14"/>
      <c r="PEE587" s="14"/>
      <c r="PEF587" s="14"/>
      <c r="PEG587" s="14"/>
      <c r="PEH587" s="14"/>
      <c r="PEI587" s="14"/>
      <c r="PEJ587" s="14"/>
      <c r="PEK587" s="14"/>
      <c r="PEL587" s="14"/>
      <c r="PEM587" s="14"/>
      <c r="PEN587" s="14"/>
      <c r="PEO587" s="14"/>
      <c r="PEP587" s="14"/>
      <c r="PEQ587" s="14"/>
      <c r="PER587" s="14"/>
      <c r="PES587" s="14"/>
      <c r="PET587" s="14"/>
      <c r="PEU587" s="14"/>
      <c r="PEV587" s="14"/>
      <c r="PEW587" s="14"/>
      <c r="PEX587" s="14"/>
      <c r="PEY587" s="14"/>
      <c r="PEZ587" s="14"/>
      <c r="PFA587" s="14"/>
      <c r="PFB587" s="14"/>
      <c r="PFC587" s="14"/>
      <c r="PFD587" s="14"/>
      <c r="PFE587" s="14"/>
      <c r="PFF587" s="14"/>
      <c r="PFG587" s="14"/>
      <c r="PFH587" s="14"/>
      <c r="PFI587" s="14"/>
      <c r="PFJ587" s="14"/>
      <c r="PFK587" s="14"/>
      <c r="PFL587" s="14"/>
      <c r="PFM587" s="14"/>
      <c r="PFN587" s="14"/>
      <c r="PFO587" s="14"/>
      <c r="PFP587" s="14"/>
      <c r="PFQ587" s="14"/>
      <c r="PFR587" s="14"/>
      <c r="PFS587" s="14"/>
      <c r="PFT587" s="14"/>
      <c r="PFU587" s="14"/>
      <c r="PFV587" s="14"/>
      <c r="PFW587" s="14"/>
      <c r="PFX587" s="14"/>
      <c r="PFY587" s="14"/>
      <c r="PFZ587" s="14"/>
      <c r="PGA587" s="14"/>
      <c r="PGB587" s="14"/>
      <c r="PGC587" s="14"/>
      <c r="PGD587" s="14"/>
      <c r="PGE587" s="14"/>
      <c r="PGF587" s="14"/>
      <c r="PGG587" s="14"/>
      <c r="PGH587" s="14"/>
      <c r="PGI587" s="14"/>
      <c r="PGJ587" s="14"/>
      <c r="PGK587" s="14"/>
      <c r="PGL587" s="14"/>
      <c r="PGM587" s="14"/>
      <c r="PGN587" s="14"/>
      <c r="PGO587" s="14"/>
      <c r="PGP587" s="14"/>
      <c r="PGQ587" s="14"/>
      <c r="PGR587" s="14"/>
      <c r="PGS587" s="14"/>
      <c r="PGT587" s="14"/>
      <c r="PGU587" s="14"/>
      <c r="PGV587" s="14"/>
      <c r="PGW587" s="14"/>
      <c r="PGX587" s="14"/>
      <c r="PGY587" s="14"/>
      <c r="PGZ587" s="14"/>
      <c r="PHA587" s="14"/>
      <c r="PHB587" s="14"/>
      <c r="PHC587" s="14"/>
      <c r="PHD587" s="14"/>
      <c r="PHE587" s="14"/>
      <c r="PHF587" s="14"/>
      <c r="PHG587" s="14"/>
      <c r="PHH587" s="14"/>
      <c r="PHI587" s="14"/>
      <c r="PHJ587" s="14"/>
      <c r="PHK587" s="14"/>
      <c r="PHL587" s="14"/>
      <c r="PHM587" s="14"/>
      <c r="PHN587" s="14"/>
      <c r="PHO587" s="14"/>
      <c r="PHP587" s="14"/>
      <c r="PHQ587" s="14"/>
      <c r="PHR587" s="14"/>
      <c r="PHS587" s="14"/>
      <c r="PHT587" s="14"/>
      <c r="PHU587" s="14"/>
      <c r="PHV587" s="14"/>
      <c r="PHW587" s="14"/>
      <c r="PHX587" s="14"/>
      <c r="PHY587" s="14"/>
      <c r="PHZ587" s="14"/>
      <c r="PIA587" s="14"/>
      <c r="PIB587" s="14"/>
      <c r="PIC587" s="14"/>
      <c r="PID587" s="14"/>
      <c r="PIE587" s="14"/>
      <c r="PIF587" s="14"/>
      <c r="PIG587" s="14"/>
      <c r="PIH587" s="14"/>
      <c r="PII587" s="14"/>
      <c r="PIJ587" s="14"/>
      <c r="PIK587" s="14"/>
      <c r="PIL587" s="14"/>
      <c r="PIM587" s="14"/>
      <c r="PIN587" s="14"/>
      <c r="PIO587" s="14"/>
      <c r="PIP587" s="14"/>
      <c r="PIQ587" s="14"/>
      <c r="PIR587" s="14"/>
      <c r="PIS587" s="14"/>
      <c r="PIT587" s="14"/>
      <c r="PIU587" s="14"/>
      <c r="PIV587" s="14"/>
      <c r="PIW587" s="14"/>
      <c r="PIX587" s="14"/>
      <c r="PIY587" s="14"/>
      <c r="PIZ587" s="14"/>
      <c r="PJA587" s="14"/>
      <c r="PJB587" s="14"/>
      <c r="PJC587" s="14"/>
      <c r="PJD587" s="14"/>
      <c r="PJE587" s="14"/>
      <c r="PJF587" s="14"/>
      <c r="PJG587" s="14"/>
      <c r="PJH587" s="14"/>
      <c r="PJI587" s="14"/>
      <c r="PJJ587" s="14"/>
      <c r="PJK587" s="14"/>
      <c r="PJL587" s="14"/>
      <c r="PJM587" s="14"/>
      <c r="PJN587" s="14"/>
      <c r="PJO587" s="14"/>
      <c r="PJP587" s="14"/>
      <c r="PJQ587" s="14"/>
      <c r="PJR587" s="14"/>
      <c r="PJS587" s="14"/>
      <c r="PJT587" s="14"/>
      <c r="PJU587" s="14"/>
      <c r="PJV587" s="14"/>
      <c r="PJW587" s="14"/>
      <c r="PJX587" s="14"/>
      <c r="PJY587" s="14"/>
      <c r="PJZ587" s="14"/>
      <c r="PKA587" s="14"/>
      <c r="PKB587" s="14"/>
      <c r="PKC587" s="14"/>
      <c r="PKD587" s="14"/>
      <c r="PKE587" s="14"/>
      <c r="PKF587" s="14"/>
      <c r="PKG587" s="14"/>
      <c r="PKH587" s="14"/>
      <c r="PKI587" s="14"/>
      <c r="PKJ587" s="14"/>
      <c r="PKK587" s="14"/>
      <c r="PKL587" s="14"/>
      <c r="PKM587" s="14"/>
      <c r="PKN587" s="14"/>
      <c r="PKO587" s="14"/>
      <c r="PKP587" s="14"/>
      <c r="PKQ587" s="14"/>
      <c r="PKR587" s="14"/>
      <c r="PKS587" s="14"/>
      <c r="PKT587" s="14"/>
      <c r="PKU587" s="14"/>
      <c r="PKV587" s="14"/>
      <c r="PKW587" s="14"/>
      <c r="PKX587" s="14"/>
      <c r="PKY587" s="14"/>
      <c r="PKZ587" s="14"/>
      <c r="PLA587" s="14"/>
      <c r="PLB587" s="14"/>
      <c r="PLC587" s="14"/>
      <c r="PLD587" s="14"/>
      <c r="PLE587" s="14"/>
      <c r="PLF587" s="14"/>
      <c r="PLG587" s="14"/>
      <c r="PLH587" s="14"/>
      <c r="PLI587" s="14"/>
      <c r="PLJ587" s="14"/>
      <c r="PLK587" s="14"/>
      <c r="PLL587" s="14"/>
      <c r="PLM587" s="14"/>
      <c r="PLN587" s="14"/>
      <c r="PLO587" s="14"/>
      <c r="PLP587" s="14"/>
      <c r="PLQ587" s="14"/>
      <c r="PLR587" s="14"/>
      <c r="PLS587" s="14"/>
      <c r="PLT587" s="14"/>
      <c r="PLU587" s="14"/>
      <c r="PLV587" s="14"/>
      <c r="PLW587" s="14"/>
      <c r="PLX587" s="14"/>
      <c r="PLY587" s="14"/>
      <c r="PLZ587" s="14"/>
      <c r="PMA587" s="14"/>
      <c r="PMB587" s="14"/>
      <c r="PMC587" s="14"/>
      <c r="PMD587" s="14"/>
      <c r="PME587" s="14"/>
      <c r="PMF587" s="14"/>
      <c r="PMG587" s="14"/>
      <c r="PMH587" s="14"/>
      <c r="PMI587" s="14"/>
      <c r="PMJ587" s="14"/>
      <c r="PMK587" s="14"/>
      <c r="PML587" s="14"/>
      <c r="PMM587" s="14"/>
      <c r="PMN587" s="14"/>
      <c r="PMO587" s="14"/>
      <c r="PMP587" s="14"/>
      <c r="PMQ587" s="14"/>
      <c r="PMR587" s="14"/>
      <c r="PMS587" s="14"/>
      <c r="PMT587" s="14"/>
      <c r="PMU587" s="14"/>
      <c r="PMV587" s="14"/>
      <c r="PMW587" s="14"/>
      <c r="PMX587" s="14"/>
      <c r="PMY587" s="14"/>
      <c r="PMZ587" s="14"/>
      <c r="PNA587" s="14"/>
      <c r="PNB587" s="14"/>
      <c r="PNC587" s="14"/>
      <c r="PND587" s="14"/>
      <c r="PNE587" s="14"/>
      <c r="PNF587" s="14"/>
      <c r="PNG587" s="14"/>
      <c r="PNH587" s="14"/>
      <c r="PNI587" s="14"/>
      <c r="PNJ587" s="14"/>
      <c r="PNK587" s="14"/>
      <c r="PNL587" s="14"/>
      <c r="PNM587" s="14"/>
      <c r="PNN587" s="14"/>
      <c r="PNO587" s="14"/>
      <c r="PNP587" s="14"/>
      <c r="PNQ587" s="14"/>
      <c r="PNR587" s="14"/>
      <c r="PNS587" s="14"/>
      <c r="PNT587" s="14"/>
      <c r="PNU587" s="14"/>
      <c r="PNV587" s="14"/>
      <c r="PNW587" s="14"/>
      <c r="PNX587" s="14"/>
      <c r="PNY587" s="14"/>
      <c r="PNZ587" s="14"/>
      <c r="POA587" s="14"/>
      <c r="POB587" s="14"/>
      <c r="POC587" s="14"/>
      <c r="POD587" s="14"/>
      <c r="POE587" s="14"/>
      <c r="POF587" s="14"/>
      <c r="POG587" s="14"/>
      <c r="POH587" s="14"/>
      <c r="POI587" s="14"/>
      <c r="POJ587" s="14"/>
      <c r="POK587" s="14"/>
      <c r="POL587" s="14"/>
      <c r="POM587" s="14"/>
      <c r="PON587" s="14"/>
      <c r="POO587" s="14"/>
      <c r="POP587" s="14"/>
      <c r="POQ587" s="14"/>
      <c r="POR587" s="14"/>
      <c r="POS587" s="14"/>
      <c r="POT587" s="14"/>
      <c r="POU587" s="14"/>
      <c r="POV587" s="14"/>
      <c r="POW587" s="14"/>
      <c r="POX587" s="14"/>
      <c r="POY587" s="14"/>
      <c r="POZ587" s="14"/>
      <c r="PPA587" s="14"/>
      <c r="PPB587" s="14"/>
      <c r="PPC587" s="14"/>
      <c r="PPD587" s="14"/>
      <c r="PPE587" s="14"/>
      <c r="PPF587" s="14"/>
      <c r="PPG587" s="14"/>
      <c r="PPH587" s="14"/>
      <c r="PPI587" s="14"/>
      <c r="PPJ587" s="14"/>
      <c r="PPK587" s="14"/>
      <c r="PPL587" s="14"/>
      <c r="PPM587" s="14"/>
      <c r="PPN587" s="14"/>
      <c r="PPO587" s="14"/>
      <c r="PPP587" s="14"/>
      <c r="PPQ587" s="14"/>
      <c r="PPR587" s="14"/>
      <c r="PPS587" s="14"/>
      <c r="PPT587" s="14"/>
      <c r="PPU587" s="14"/>
      <c r="PPV587" s="14"/>
      <c r="PPW587" s="14"/>
      <c r="PPX587" s="14"/>
      <c r="PPY587" s="14"/>
      <c r="PPZ587" s="14"/>
      <c r="PQA587" s="14"/>
      <c r="PQB587" s="14"/>
      <c r="PQC587" s="14"/>
      <c r="PQD587" s="14"/>
      <c r="PQE587" s="14"/>
      <c r="PQF587" s="14"/>
      <c r="PQG587" s="14"/>
      <c r="PQH587" s="14"/>
      <c r="PQI587" s="14"/>
      <c r="PQJ587" s="14"/>
      <c r="PQK587" s="14"/>
      <c r="PQL587" s="14"/>
      <c r="PQM587" s="14"/>
      <c r="PQN587" s="14"/>
      <c r="PQO587" s="14"/>
      <c r="PQP587" s="14"/>
      <c r="PQQ587" s="14"/>
      <c r="PQR587" s="14"/>
      <c r="PQS587" s="14"/>
      <c r="PQT587" s="14"/>
      <c r="PQU587" s="14"/>
      <c r="PQV587" s="14"/>
      <c r="PQW587" s="14"/>
      <c r="PQX587" s="14"/>
      <c r="PQY587" s="14"/>
      <c r="PQZ587" s="14"/>
      <c r="PRA587" s="14"/>
      <c r="PRB587" s="14"/>
      <c r="PRC587" s="14"/>
      <c r="PRD587" s="14"/>
      <c r="PRE587" s="14"/>
      <c r="PRF587" s="14"/>
      <c r="PRG587" s="14"/>
      <c r="PRH587" s="14"/>
      <c r="PRI587" s="14"/>
      <c r="PRJ587" s="14"/>
      <c r="PRK587" s="14"/>
      <c r="PRL587" s="14"/>
      <c r="PRM587" s="14"/>
      <c r="PRN587" s="14"/>
      <c r="PRO587" s="14"/>
      <c r="PRP587" s="14"/>
      <c r="PRQ587" s="14"/>
      <c r="PRR587" s="14"/>
      <c r="PRS587" s="14"/>
      <c r="PRT587" s="14"/>
      <c r="PRU587" s="14"/>
      <c r="PRV587" s="14"/>
      <c r="PRW587" s="14"/>
      <c r="PRX587" s="14"/>
      <c r="PRY587" s="14"/>
      <c r="PRZ587" s="14"/>
      <c r="PSA587" s="14"/>
      <c r="PSB587" s="14"/>
      <c r="PSC587" s="14"/>
      <c r="PSD587" s="14"/>
      <c r="PSE587" s="14"/>
      <c r="PSF587" s="14"/>
      <c r="PSG587" s="14"/>
      <c r="PSH587" s="14"/>
      <c r="PSI587" s="14"/>
      <c r="PSJ587" s="14"/>
      <c r="PSK587" s="14"/>
      <c r="PSL587" s="14"/>
      <c r="PSM587" s="14"/>
      <c r="PSN587" s="14"/>
      <c r="PSO587" s="14"/>
      <c r="PSP587" s="14"/>
      <c r="PSQ587" s="14"/>
      <c r="PSR587" s="14"/>
      <c r="PSS587" s="14"/>
      <c r="PST587" s="14"/>
      <c r="PSU587" s="14"/>
      <c r="PSV587" s="14"/>
      <c r="PSW587" s="14"/>
      <c r="PSX587" s="14"/>
      <c r="PSY587" s="14"/>
      <c r="PSZ587" s="14"/>
      <c r="PTA587" s="14"/>
      <c r="PTB587" s="14"/>
      <c r="PTC587" s="14"/>
      <c r="PTD587" s="14"/>
      <c r="PTE587" s="14"/>
      <c r="PTF587" s="14"/>
      <c r="PTG587" s="14"/>
      <c r="PTH587" s="14"/>
      <c r="PTI587" s="14"/>
      <c r="PTJ587" s="14"/>
      <c r="PTK587" s="14"/>
      <c r="PTL587" s="14"/>
      <c r="PTM587" s="14"/>
      <c r="PTN587" s="14"/>
      <c r="PTO587" s="14"/>
      <c r="PTP587" s="14"/>
      <c r="PTQ587" s="14"/>
      <c r="PTR587" s="14"/>
      <c r="PTS587" s="14"/>
      <c r="PTT587" s="14"/>
      <c r="PTU587" s="14"/>
      <c r="PTV587" s="14"/>
      <c r="PTW587" s="14"/>
      <c r="PTX587" s="14"/>
      <c r="PTY587" s="14"/>
      <c r="PTZ587" s="14"/>
      <c r="PUA587" s="14"/>
      <c r="PUB587" s="14"/>
      <c r="PUC587" s="14"/>
      <c r="PUD587" s="14"/>
      <c r="PUE587" s="14"/>
      <c r="PUF587" s="14"/>
      <c r="PUG587" s="14"/>
      <c r="PUH587" s="14"/>
      <c r="PUI587" s="14"/>
      <c r="PUJ587" s="14"/>
      <c r="PUK587" s="14"/>
      <c r="PUL587" s="14"/>
      <c r="PUM587" s="14"/>
      <c r="PUN587" s="14"/>
      <c r="PUO587" s="14"/>
      <c r="PUP587" s="14"/>
      <c r="PUQ587" s="14"/>
      <c r="PUR587" s="14"/>
      <c r="PUS587" s="14"/>
      <c r="PUT587" s="14"/>
      <c r="PUU587" s="14"/>
      <c r="PUV587" s="14"/>
      <c r="PUW587" s="14"/>
      <c r="PUX587" s="14"/>
      <c r="PUY587" s="14"/>
      <c r="PUZ587" s="14"/>
      <c r="PVA587" s="14"/>
      <c r="PVB587" s="14"/>
      <c r="PVC587" s="14"/>
      <c r="PVD587" s="14"/>
      <c r="PVE587" s="14"/>
      <c r="PVF587" s="14"/>
      <c r="PVG587" s="14"/>
      <c r="PVH587" s="14"/>
      <c r="PVI587" s="14"/>
      <c r="PVJ587" s="14"/>
      <c r="PVK587" s="14"/>
      <c r="PVL587" s="14"/>
      <c r="PVM587" s="14"/>
      <c r="PVN587" s="14"/>
      <c r="PVO587" s="14"/>
      <c r="PVP587" s="14"/>
      <c r="PVQ587" s="14"/>
      <c r="PVR587" s="14"/>
      <c r="PVS587" s="14"/>
      <c r="PVT587" s="14"/>
      <c r="PVU587" s="14"/>
      <c r="PVV587" s="14"/>
      <c r="PVW587" s="14"/>
      <c r="PVX587" s="14"/>
      <c r="PVY587" s="14"/>
      <c r="PVZ587" s="14"/>
      <c r="PWA587" s="14"/>
      <c r="PWB587" s="14"/>
      <c r="PWC587" s="14"/>
      <c r="PWD587" s="14"/>
      <c r="PWE587" s="14"/>
      <c r="PWF587" s="14"/>
      <c r="PWG587" s="14"/>
      <c r="PWH587" s="14"/>
      <c r="PWI587" s="14"/>
      <c r="PWJ587" s="14"/>
      <c r="PWK587" s="14"/>
      <c r="PWL587" s="14"/>
      <c r="PWM587" s="14"/>
      <c r="PWN587" s="14"/>
      <c r="PWO587" s="14"/>
      <c r="PWP587" s="14"/>
      <c r="PWQ587" s="14"/>
      <c r="PWR587" s="14"/>
      <c r="PWS587" s="14"/>
      <c r="PWT587" s="14"/>
      <c r="PWU587" s="14"/>
      <c r="PWV587" s="14"/>
      <c r="PWW587" s="14"/>
      <c r="PWX587" s="14"/>
      <c r="PWY587" s="14"/>
      <c r="PWZ587" s="14"/>
      <c r="PXA587" s="14"/>
      <c r="PXB587" s="14"/>
      <c r="PXC587" s="14"/>
      <c r="PXD587" s="14"/>
      <c r="PXE587" s="14"/>
      <c r="PXF587" s="14"/>
      <c r="PXG587" s="14"/>
      <c r="PXH587" s="14"/>
      <c r="PXI587" s="14"/>
      <c r="PXJ587" s="14"/>
      <c r="PXK587" s="14"/>
      <c r="PXL587" s="14"/>
      <c r="PXM587" s="14"/>
      <c r="PXN587" s="14"/>
      <c r="PXO587" s="14"/>
      <c r="PXP587" s="14"/>
      <c r="PXQ587" s="14"/>
      <c r="PXR587" s="14"/>
      <c r="PXS587" s="14"/>
      <c r="PXT587" s="14"/>
      <c r="PXU587" s="14"/>
      <c r="PXV587" s="14"/>
      <c r="PXW587" s="14"/>
      <c r="PXX587" s="14"/>
      <c r="PXY587" s="14"/>
      <c r="PXZ587" s="14"/>
      <c r="PYA587" s="14"/>
      <c r="PYB587" s="14"/>
      <c r="PYC587" s="14"/>
      <c r="PYD587" s="14"/>
      <c r="PYE587" s="14"/>
      <c r="PYF587" s="14"/>
      <c r="PYG587" s="14"/>
      <c r="PYH587" s="14"/>
      <c r="PYI587" s="14"/>
      <c r="PYJ587" s="14"/>
      <c r="PYK587" s="14"/>
      <c r="PYL587" s="14"/>
      <c r="PYM587" s="14"/>
      <c r="PYN587" s="14"/>
      <c r="PYO587" s="14"/>
      <c r="PYP587" s="14"/>
      <c r="PYQ587" s="14"/>
      <c r="PYR587" s="14"/>
      <c r="PYS587" s="14"/>
      <c r="PYT587" s="14"/>
      <c r="PYU587" s="14"/>
      <c r="PYV587" s="14"/>
      <c r="PYW587" s="14"/>
      <c r="PYX587" s="14"/>
      <c r="PYY587" s="14"/>
      <c r="PYZ587" s="14"/>
      <c r="PZA587" s="14"/>
      <c r="PZB587" s="14"/>
      <c r="PZC587" s="14"/>
      <c r="PZD587" s="14"/>
      <c r="PZE587" s="14"/>
      <c r="PZF587" s="14"/>
      <c r="PZG587" s="14"/>
      <c r="PZH587" s="14"/>
      <c r="PZI587" s="14"/>
      <c r="PZJ587" s="14"/>
      <c r="PZK587" s="14"/>
      <c r="PZL587" s="14"/>
      <c r="PZM587" s="14"/>
      <c r="PZN587" s="14"/>
      <c r="PZO587" s="14"/>
      <c r="PZP587" s="14"/>
      <c r="PZQ587" s="14"/>
      <c r="PZR587" s="14"/>
      <c r="PZS587" s="14"/>
      <c r="PZT587" s="14"/>
      <c r="PZU587" s="14"/>
      <c r="PZV587" s="14"/>
      <c r="PZW587" s="14"/>
      <c r="PZX587" s="14"/>
      <c r="PZY587" s="14"/>
      <c r="PZZ587" s="14"/>
      <c r="QAA587" s="14"/>
      <c r="QAB587" s="14"/>
      <c r="QAC587" s="14"/>
      <c r="QAD587" s="14"/>
      <c r="QAE587" s="14"/>
      <c r="QAF587" s="14"/>
      <c r="QAG587" s="14"/>
      <c r="QAH587" s="14"/>
      <c r="QAI587" s="14"/>
      <c r="QAJ587" s="14"/>
      <c r="QAK587" s="14"/>
      <c r="QAL587" s="14"/>
      <c r="QAM587" s="14"/>
      <c r="QAN587" s="14"/>
      <c r="QAO587" s="14"/>
      <c r="QAP587" s="14"/>
      <c r="QAQ587" s="14"/>
      <c r="QAR587" s="14"/>
      <c r="QAS587" s="14"/>
      <c r="QAT587" s="14"/>
      <c r="QAU587" s="14"/>
      <c r="QAV587" s="14"/>
      <c r="QAW587" s="14"/>
      <c r="QAX587" s="14"/>
      <c r="QAY587" s="14"/>
      <c r="QAZ587" s="14"/>
      <c r="QBA587" s="14"/>
      <c r="QBB587" s="14"/>
      <c r="QBC587" s="14"/>
      <c r="QBD587" s="14"/>
      <c r="QBE587" s="14"/>
      <c r="QBF587" s="14"/>
      <c r="QBG587" s="14"/>
      <c r="QBH587" s="14"/>
      <c r="QBI587" s="14"/>
      <c r="QBJ587" s="14"/>
      <c r="QBK587" s="14"/>
      <c r="QBL587" s="14"/>
      <c r="QBM587" s="14"/>
      <c r="QBN587" s="14"/>
      <c r="QBO587" s="14"/>
      <c r="QBP587" s="14"/>
      <c r="QBQ587" s="14"/>
      <c r="QBR587" s="14"/>
      <c r="QBS587" s="14"/>
      <c r="QBT587" s="14"/>
      <c r="QBU587" s="14"/>
      <c r="QBV587" s="14"/>
      <c r="QBW587" s="14"/>
      <c r="QBX587" s="14"/>
      <c r="QBY587" s="14"/>
      <c r="QBZ587" s="14"/>
      <c r="QCA587" s="14"/>
      <c r="QCB587" s="14"/>
      <c r="QCC587" s="14"/>
      <c r="QCD587" s="14"/>
      <c r="QCE587" s="14"/>
      <c r="QCF587" s="14"/>
      <c r="QCG587" s="14"/>
      <c r="QCH587" s="14"/>
      <c r="QCI587" s="14"/>
      <c r="QCJ587" s="14"/>
      <c r="QCK587" s="14"/>
      <c r="QCL587" s="14"/>
      <c r="QCM587" s="14"/>
      <c r="QCN587" s="14"/>
      <c r="QCO587" s="14"/>
      <c r="QCP587" s="14"/>
      <c r="QCQ587" s="14"/>
      <c r="QCR587" s="14"/>
      <c r="QCS587" s="14"/>
      <c r="QCT587" s="14"/>
      <c r="QCU587" s="14"/>
      <c r="QCV587" s="14"/>
      <c r="QCW587" s="14"/>
      <c r="QCX587" s="14"/>
      <c r="QCY587" s="14"/>
      <c r="QCZ587" s="14"/>
      <c r="QDA587" s="14"/>
      <c r="QDB587" s="14"/>
      <c r="QDC587" s="14"/>
      <c r="QDD587" s="14"/>
      <c r="QDE587" s="14"/>
      <c r="QDF587" s="14"/>
      <c r="QDG587" s="14"/>
      <c r="QDH587" s="14"/>
      <c r="QDI587" s="14"/>
      <c r="QDJ587" s="14"/>
      <c r="QDK587" s="14"/>
      <c r="QDL587" s="14"/>
      <c r="QDM587" s="14"/>
      <c r="QDN587" s="14"/>
      <c r="QDO587" s="14"/>
      <c r="QDP587" s="14"/>
      <c r="QDQ587" s="14"/>
      <c r="QDR587" s="14"/>
      <c r="QDS587" s="14"/>
      <c r="QDT587" s="14"/>
      <c r="QDU587" s="14"/>
      <c r="QDV587" s="14"/>
      <c r="QDW587" s="14"/>
      <c r="QDX587" s="14"/>
      <c r="QDY587" s="14"/>
      <c r="QDZ587" s="14"/>
      <c r="QEA587" s="14"/>
      <c r="QEB587" s="14"/>
      <c r="QEC587" s="14"/>
      <c r="QED587" s="14"/>
      <c r="QEE587" s="14"/>
      <c r="QEF587" s="14"/>
      <c r="QEG587" s="14"/>
      <c r="QEH587" s="14"/>
      <c r="QEI587" s="14"/>
      <c r="QEJ587" s="14"/>
      <c r="QEK587" s="14"/>
      <c r="QEL587" s="14"/>
      <c r="QEM587" s="14"/>
      <c r="QEN587" s="14"/>
      <c r="QEO587" s="14"/>
      <c r="QEP587" s="14"/>
      <c r="QEQ587" s="14"/>
      <c r="QER587" s="14"/>
      <c r="QES587" s="14"/>
      <c r="QET587" s="14"/>
      <c r="QEU587" s="14"/>
      <c r="QEV587" s="14"/>
      <c r="QEW587" s="14"/>
      <c r="QEX587" s="14"/>
      <c r="QEY587" s="14"/>
      <c r="QEZ587" s="14"/>
      <c r="QFA587" s="14"/>
      <c r="QFB587" s="14"/>
      <c r="QFC587" s="14"/>
      <c r="QFD587" s="14"/>
      <c r="QFE587" s="14"/>
      <c r="QFF587" s="14"/>
      <c r="QFG587" s="14"/>
      <c r="QFH587" s="14"/>
      <c r="QFI587" s="14"/>
      <c r="QFJ587" s="14"/>
      <c r="QFK587" s="14"/>
      <c r="QFL587" s="14"/>
      <c r="QFM587" s="14"/>
      <c r="QFN587" s="14"/>
      <c r="QFO587" s="14"/>
      <c r="QFP587" s="14"/>
      <c r="QFQ587" s="14"/>
      <c r="QFR587" s="14"/>
      <c r="QFS587" s="14"/>
      <c r="QFT587" s="14"/>
      <c r="QFU587" s="14"/>
      <c r="QFV587" s="14"/>
      <c r="QFW587" s="14"/>
      <c r="QFX587" s="14"/>
      <c r="QFY587" s="14"/>
      <c r="QFZ587" s="14"/>
      <c r="QGA587" s="14"/>
      <c r="QGB587" s="14"/>
      <c r="QGC587" s="14"/>
      <c r="QGD587" s="14"/>
      <c r="QGE587" s="14"/>
      <c r="QGF587" s="14"/>
      <c r="QGG587" s="14"/>
      <c r="QGH587" s="14"/>
      <c r="QGI587" s="14"/>
      <c r="QGJ587" s="14"/>
      <c r="QGK587" s="14"/>
      <c r="QGL587" s="14"/>
      <c r="QGM587" s="14"/>
      <c r="QGN587" s="14"/>
      <c r="QGO587" s="14"/>
      <c r="QGP587" s="14"/>
      <c r="QGQ587" s="14"/>
      <c r="QGR587" s="14"/>
      <c r="QGS587" s="14"/>
      <c r="QGT587" s="14"/>
      <c r="QGU587" s="14"/>
      <c r="QGV587" s="14"/>
      <c r="QGW587" s="14"/>
      <c r="QGX587" s="14"/>
      <c r="QGY587" s="14"/>
      <c r="QGZ587" s="14"/>
      <c r="QHA587" s="14"/>
      <c r="QHB587" s="14"/>
      <c r="QHC587" s="14"/>
      <c r="QHD587" s="14"/>
      <c r="QHE587" s="14"/>
      <c r="QHF587" s="14"/>
      <c r="QHG587" s="14"/>
      <c r="QHH587" s="14"/>
      <c r="QHI587" s="14"/>
      <c r="QHJ587" s="14"/>
      <c r="QHK587" s="14"/>
      <c r="QHL587" s="14"/>
      <c r="QHM587" s="14"/>
      <c r="QHN587" s="14"/>
      <c r="QHO587" s="14"/>
      <c r="QHP587" s="14"/>
      <c r="QHQ587" s="14"/>
      <c r="QHR587" s="14"/>
      <c r="QHS587" s="14"/>
      <c r="QHT587" s="14"/>
      <c r="QHU587" s="14"/>
      <c r="QHV587" s="14"/>
      <c r="QHW587" s="14"/>
      <c r="QHX587" s="14"/>
      <c r="QHY587" s="14"/>
      <c r="QHZ587" s="14"/>
      <c r="QIA587" s="14"/>
      <c r="QIB587" s="14"/>
      <c r="QIC587" s="14"/>
      <c r="QID587" s="14"/>
      <c r="QIE587" s="14"/>
      <c r="QIF587" s="14"/>
      <c r="QIG587" s="14"/>
      <c r="QIH587" s="14"/>
      <c r="QII587" s="14"/>
      <c r="QIJ587" s="14"/>
      <c r="QIK587" s="14"/>
      <c r="QIL587" s="14"/>
      <c r="QIM587" s="14"/>
      <c r="QIN587" s="14"/>
      <c r="QIO587" s="14"/>
      <c r="QIP587" s="14"/>
      <c r="QIQ587" s="14"/>
      <c r="QIR587" s="14"/>
      <c r="QIS587" s="14"/>
      <c r="QIT587" s="14"/>
      <c r="QIU587" s="14"/>
      <c r="QIV587" s="14"/>
      <c r="QIW587" s="14"/>
      <c r="QIX587" s="14"/>
      <c r="QIY587" s="14"/>
      <c r="QIZ587" s="14"/>
      <c r="QJA587" s="14"/>
      <c r="QJB587" s="14"/>
      <c r="QJC587" s="14"/>
      <c r="QJD587" s="14"/>
      <c r="QJE587" s="14"/>
      <c r="QJF587" s="14"/>
      <c r="QJG587" s="14"/>
      <c r="QJH587" s="14"/>
      <c r="QJI587" s="14"/>
      <c r="QJJ587" s="14"/>
      <c r="QJK587" s="14"/>
      <c r="QJL587" s="14"/>
      <c r="QJM587" s="14"/>
      <c r="QJN587" s="14"/>
      <c r="QJO587" s="14"/>
      <c r="QJP587" s="14"/>
      <c r="QJQ587" s="14"/>
      <c r="QJR587" s="14"/>
      <c r="QJS587" s="14"/>
      <c r="QJT587" s="14"/>
      <c r="QJU587" s="14"/>
      <c r="QJV587" s="14"/>
      <c r="QJW587" s="14"/>
      <c r="QJX587" s="14"/>
      <c r="QJY587" s="14"/>
      <c r="QJZ587" s="14"/>
      <c r="QKA587" s="14"/>
      <c r="QKB587" s="14"/>
      <c r="QKC587" s="14"/>
      <c r="QKD587" s="14"/>
      <c r="QKE587" s="14"/>
      <c r="QKF587" s="14"/>
      <c r="QKG587" s="14"/>
      <c r="QKH587" s="14"/>
      <c r="QKI587" s="14"/>
      <c r="QKJ587" s="14"/>
      <c r="QKK587" s="14"/>
      <c r="QKL587" s="14"/>
      <c r="QKM587" s="14"/>
      <c r="QKN587" s="14"/>
      <c r="QKO587" s="14"/>
      <c r="QKP587" s="14"/>
      <c r="QKQ587" s="14"/>
      <c r="QKR587" s="14"/>
      <c r="QKS587" s="14"/>
      <c r="QKT587" s="14"/>
      <c r="QKU587" s="14"/>
      <c r="QKV587" s="14"/>
      <c r="QKW587" s="14"/>
      <c r="QKX587" s="14"/>
      <c r="QKY587" s="14"/>
      <c r="QKZ587" s="14"/>
      <c r="QLA587" s="14"/>
      <c r="QLB587" s="14"/>
      <c r="QLC587" s="14"/>
      <c r="QLD587" s="14"/>
      <c r="QLE587" s="14"/>
      <c r="QLF587" s="14"/>
      <c r="QLG587" s="14"/>
      <c r="QLH587" s="14"/>
      <c r="QLI587" s="14"/>
      <c r="QLJ587" s="14"/>
      <c r="QLK587" s="14"/>
      <c r="QLL587" s="14"/>
      <c r="QLM587" s="14"/>
      <c r="QLN587" s="14"/>
      <c r="QLO587" s="14"/>
      <c r="QLP587" s="14"/>
      <c r="QLQ587" s="14"/>
      <c r="QLR587" s="14"/>
      <c r="QLS587" s="14"/>
      <c r="QLT587" s="14"/>
      <c r="QLU587" s="14"/>
      <c r="QLV587" s="14"/>
      <c r="QLW587" s="14"/>
      <c r="QLX587" s="14"/>
      <c r="QLY587" s="14"/>
      <c r="QLZ587" s="14"/>
      <c r="QMA587" s="14"/>
      <c r="QMB587" s="14"/>
      <c r="QMC587" s="14"/>
      <c r="QMD587" s="14"/>
      <c r="QME587" s="14"/>
      <c r="QMF587" s="14"/>
      <c r="QMG587" s="14"/>
      <c r="QMH587" s="14"/>
      <c r="QMI587" s="14"/>
      <c r="QMJ587" s="14"/>
      <c r="QMK587" s="14"/>
      <c r="QML587" s="14"/>
      <c r="QMM587" s="14"/>
      <c r="QMN587" s="14"/>
      <c r="QMO587" s="14"/>
      <c r="QMP587" s="14"/>
      <c r="QMQ587" s="14"/>
      <c r="QMR587" s="14"/>
      <c r="QMS587" s="14"/>
      <c r="QMT587" s="14"/>
      <c r="QMU587" s="14"/>
      <c r="QMV587" s="14"/>
      <c r="QMW587" s="14"/>
      <c r="QMX587" s="14"/>
      <c r="QMY587" s="14"/>
      <c r="QMZ587" s="14"/>
      <c r="QNA587" s="14"/>
      <c r="QNB587" s="14"/>
      <c r="QNC587" s="14"/>
      <c r="QND587" s="14"/>
      <c r="QNE587" s="14"/>
      <c r="QNF587" s="14"/>
      <c r="QNG587" s="14"/>
      <c r="QNH587" s="14"/>
      <c r="QNI587" s="14"/>
      <c r="QNJ587" s="14"/>
      <c r="QNK587" s="14"/>
      <c r="QNL587" s="14"/>
      <c r="QNM587" s="14"/>
      <c r="QNN587" s="14"/>
      <c r="QNO587" s="14"/>
      <c r="QNP587" s="14"/>
      <c r="QNQ587" s="14"/>
      <c r="QNR587" s="14"/>
      <c r="QNS587" s="14"/>
      <c r="QNT587" s="14"/>
      <c r="QNU587" s="14"/>
      <c r="QNV587" s="14"/>
      <c r="QNW587" s="14"/>
      <c r="QNX587" s="14"/>
      <c r="QNY587" s="14"/>
      <c r="QNZ587" s="14"/>
      <c r="QOA587" s="14"/>
      <c r="QOB587" s="14"/>
      <c r="QOC587" s="14"/>
      <c r="QOD587" s="14"/>
      <c r="QOE587" s="14"/>
      <c r="QOF587" s="14"/>
      <c r="QOG587" s="14"/>
      <c r="QOH587" s="14"/>
      <c r="QOI587" s="14"/>
      <c r="QOJ587" s="14"/>
      <c r="QOK587" s="14"/>
      <c r="QOL587" s="14"/>
      <c r="QOM587" s="14"/>
      <c r="QON587" s="14"/>
      <c r="QOO587" s="14"/>
      <c r="QOP587" s="14"/>
      <c r="QOQ587" s="14"/>
      <c r="QOR587" s="14"/>
      <c r="QOS587" s="14"/>
      <c r="QOT587" s="14"/>
      <c r="QOU587" s="14"/>
      <c r="QOV587" s="14"/>
      <c r="QOW587" s="14"/>
      <c r="QOX587" s="14"/>
      <c r="QOY587" s="14"/>
      <c r="QOZ587" s="14"/>
      <c r="QPA587" s="14"/>
      <c r="QPB587" s="14"/>
      <c r="QPC587" s="14"/>
      <c r="QPD587" s="14"/>
      <c r="QPE587" s="14"/>
      <c r="QPF587" s="14"/>
      <c r="QPG587" s="14"/>
      <c r="QPH587" s="14"/>
      <c r="QPI587" s="14"/>
      <c r="QPJ587" s="14"/>
      <c r="QPK587" s="14"/>
      <c r="QPL587" s="14"/>
      <c r="QPM587" s="14"/>
      <c r="QPN587" s="14"/>
      <c r="QPO587" s="14"/>
      <c r="QPP587" s="14"/>
      <c r="QPQ587" s="14"/>
      <c r="QPR587" s="14"/>
      <c r="QPS587" s="14"/>
      <c r="QPT587" s="14"/>
      <c r="QPU587" s="14"/>
      <c r="QPV587" s="14"/>
      <c r="QPW587" s="14"/>
      <c r="QPX587" s="14"/>
      <c r="QPY587" s="14"/>
      <c r="QPZ587" s="14"/>
      <c r="QQA587" s="14"/>
      <c r="QQB587" s="14"/>
      <c r="QQC587" s="14"/>
      <c r="QQD587" s="14"/>
      <c r="QQE587" s="14"/>
      <c r="QQF587" s="14"/>
      <c r="QQG587" s="14"/>
      <c r="QQH587" s="14"/>
      <c r="QQI587" s="14"/>
      <c r="QQJ587" s="14"/>
      <c r="QQK587" s="14"/>
      <c r="QQL587" s="14"/>
      <c r="QQM587" s="14"/>
      <c r="QQN587" s="14"/>
      <c r="QQO587" s="14"/>
      <c r="QQP587" s="14"/>
      <c r="QQQ587" s="14"/>
      <c r="QQR587" s="14"/>
      <c r="QQS587" s="14"/>
      <c r="QQT587" s="14"/>
      <c r="QQU587" s="14"/>
      <c r="QQV587" s="14"/>
      <c r="QQW587" s="14"/>
      <c r="QQX587" s="14"/>
      <c r="QQY587" s="14"/>
      <c r="QQZ587" s="14"/>
      <c r="QRA587" s="14"/>
      <c r="QRB587" s="14"/>
      <c r="QRC587" s="14"/>
      <c r="QRD587" s="14"/>
      <c r="QRE587" s="14"/>
      <c r="QRF587" s="14"/>
      <c r="QRG587" s="14"/>
      <c r="QRH587" s="14"/>
      <c r="QRI587" s="14"/>
      <c r="QRJ587" s="14"/>
      <c r="QRK587" s="14"/>
      <c r="QRL587" s="14"/>
      <c r="QRM587" s="14"/>
      <c r="QRN587" s="14"/>
      <c r="QRO587" s="14"/>
      <c r="QRP587" s="14"/>
      <c r="QRQ587" s="14"/>
      <c r="QRR587" s="14"/>
      <c r="QRS587" s="14"/>
      <c r="QRT587" s="14"/>
      <c r="QRU587" s="14"/>
      <c r="QRV587" s="14"/>
      <c r="QRW587" s="14"/>
      <c r="QRX587" s="14"/>
      <c r="QRY587" s="14"/>
      <c r="QRZ587" s="14"/>
      <c r="QSA587" s="14"/>
      <c r="QSB587" s="14"/>
      <c r="QSC587" s="14"/>
      <c r="QSD587" s="14"/>
      <c r="QSE587" s="14"/>
      <c r="QSF587" s="14"/>
      <c r="QSG587" s="14"/>
      <c r="QSH587" s="14"/>
      <c r="QSI587" s="14"/>
      <c r="QSJ587" s="14"/>
      <c r="QSK587" s="14"/>
      <c r="QSL587" s="14"/>
      <c r="QSM587" s="14"/>
      <c r="QSN587" s="14"/>
      <c r="QSO587" s="14"/>
      <c r="QSP587" s="14"/>
      <c r="QSQ587" s="14"/>
      <c r="QSR587" s="14"/>
      <c r="QSS587" s="14"/>
      <c r="QST587" s="14"/>
      <c r="QSU587" s="14"/>
      <c r="QSV587" s="14"/>
      <c r="QSW587" s="14"/>
      <c r="QSX587" s="14"/>
      <c r="QSY587" s="14"/>
      <c r="QSZ587" s="14"/>
      <c r="QTA587" s="14"/>
      <c r="QTB587" s="14"/>
      <c r="QTC587" s="14"/>
      <c r="QTD587" s="14"/>
      <c r="QTE587" s="14"/>
      <c r="QTF587" s="14"/>
      <c r="QTG587" s="14"/>
      <c r="QTH587" s="14"/>
      <c r="QTI587" s="14"/>
      <c r="QTJ587" s="14"/>
      <c r="QTK587" s="14"/>
      <c r="QTL587" s="14"/>
      <c r="QTM587" s="14"/>
      <c r="QTN587" s="14"/>
      <c r="QTO587" s="14"/>
      <c r="QTP587" s="14"/>
      <c r="QTQ587" s="14"/>
      <c r="QTR587" s="14"/>
      <c r="QTS587" s="14"/>
      <c r="QTT587" s="14"/>
      <c r="QTU587" s="14"/>
      <c r="QTV587" s="14"/>
      <c r="QTW587" s="14"/>
      <c r="QTX587" s="14"/>
      <c r="QTY587" s="14"/>
      <c r="QTZ587" s="14"/>
      <c r="QUA587" s="14"/>
      <c r="QUB587" s="14"/>
      <c r="QUC587" s="14"/>
      <c r="QUD587" s="14"/>
      <c r="QUE587" s="14"/>
      <c r="QUF587" s="14"/>
      <c r="QUG587" s="14"/>
      <c r="QUH587" s="14"/>
      <c r="QUI587" s="14"/>
      <c r="QUJ587" s="14"/>
      <c r="QUK587" s="14"/>
      <c r="QUL587" s="14"/>
      <c r="QUM587" s="14"/>
      <c r="QUN587" s="14"/>
      <c r="QUO587" s="14"/>
      <c r="QUP587" s="14"/>
      <c r="QUQ587" s="14"/>
      <c r="QUR587" s="14"/>
      <c r="QUS587" s="14"/>
      <c r="QUT587" s="14"/>
      <c r="QUU587" s="14"/>
      <c r="QUV587" s="14"/>
      <c r="QUW587" s="14"/>
      <c r="QUX587" s="14"/>
      <c r="QUY587" s="14"/>
      <c r="QUZ587" s="14"/>
      <c r="QVA587" s="14"/>
      <c r="QVB587" s="14"/>
      <c r="QVC587" s="14"/>
      <c r="QVD587" s="14"/>
      <c r="QVE587" s="14"/>
      <c r="QVF587" s="14"/>
      <c r="QVG587" s="14"/>
      <c r="QVH587" s="14"/>
      <c r="QVI587" s="14"/>
      <c r="QVJ587" s="14"/>
      <c r="QVK587" s="14"/>
      <c r="QVL587" s="14"/>
      <c r="QVM587" s="14"/>
      <c r="QVN587" s="14"/>
      <c r="QVO587" s="14"/>
      <c r="QVP587" s="14"/>
      <c r="QVQ587" s="14"/>
      <c r="QVR587" s="14"/>
      <c r="QVS587" s="14"/>
      <c r="QVT587" s="14"/>
      <c r="QVU587" s="14"/>
      <c r="QVV587" s="14"/>
      <c r="QVW587" s="14"/>
      <c r="QVX587" s="14"/>
      <c r="QVY587" s="14"/>
      <c r="QVZ587" s="14"/>
      <c r="QWA587" s="14"/>
      <c r="QWB587" s="14"/>
      <c r="QWC587" s="14"/>
      <c r="QWD587" s="14"/>
      <c r="QWE587" s="14"/>
      <c r="QWF587" s="14"/>
      <c r="QWG587" s="14"/>
      <c r="QWH587" s="14"/>
      <c r="QWI587" s="14"/>
      <c r="QWJ587" s="14"/>
      <c r="QWK587" s="14"/>
      <c r="QWL587" s="14"/>
      <c r="QWM587" s="14"/>
      <c r="QWN587" s="14"/>
      <c r="QWO587" s="14"/>
      <c r="QWP587" s="14"/>
      <c r="QWQ587" s="14"/>
      <c r="QWR587" s="14"/>
      <c r="QWS587" s="14"/>
      <c r="QWT587" s="14"/>
      <c r="QWU587" s="14"/>
      <c r="QWV587" s="14"/>
      <c r="QWW587" s="14"/>
      <c r="QWX587" s="14"/>
      <c r="QWY587" s="14"/>
      <c r="QWZ587" s="14"/>
      <c r="QXA587" s="14"/>
      <c r="QXB587" s="14"/>
      <c r="QXC587" s="14"/>
      <c r="QXD587" s="14"/>
      <c r="QXE587" s="14"/>
      <c r="QXF587" s="14"/>
      <c r="QXG587" s="14"/>
      <c r="QXH587" s="14"/>
      <c r="QXI587" s="14"/>
      <c r="QXJ587" s="14"/>
      <c r="QXK587" s="14"/>
      <c r="QXL587" s="14"/>
      <c r="QXM587" s="14"/>
      <c r="QXN587" s="14"/>
      <c r="QXO587" s="14"/>
      <c r="QXP587" s="14"/>
      <c r="QXQ587" s="14"/>
      <c r="QXR587" s="14"/>
      <c r="QXS587" s="14"/>
      <c r="QXT587" s="14"/>
      <c r="QXU587" s="14"/>
      <c r="QXV587" s="14"/>
      <c r="QXW587" s="14"/>
      <c r="QXX587" s="14"/>
      <c r="QXY587" s="14"/>
      <c r="QXZ587" s="14"/>
      <c r="QYA587" s="14"/>
      <c r="QYB587" s="14"/>
      <c r="QYC587" s="14"/>
      <c r="QYD587" s="14"/>
      <c r="QYE587" s="14"/>
      <c r="QYF587" s="14"/>
      <c r="QYG587" s="14"/>
      <c r="QYH587" s="14"/>
      <c r="QYI587" s="14"/>
      <c r="QYJ587" s="14"/>
      <c r="QYK587" s="14"/>
      <c r="QYL587" s="14"/>
      <c r="QYM587" s="14"/>
      <c r="QYN587" s="14"/>
      <c r="QYO587" s="14"/>
      <c r="QYP587" s="14"/>
      <c r="QYQ587" s="14"/>
      <c r="QYR587" s="14"/>
      <c r="QYS587" s="14"/>
      <c r="QYT587" s="14"/>
      <c r="QYU587" s="14"/>
      <c r="QYV587" s="14"/>
      <c r="QYW587" s="14"/>
      <c r="QYX587" s="14"/>
      <c r="QYY587" s="14"/>
      <c r="QYZ587" s="14"/>
      <c r="QZA587" s="14"/>
      <c r="QZB587" s="14"/>
      <c r="QZC587" s="14"/>
      <c r="QZD587" s="14"/>
      <c r="QZE587" s="14"/>
      <c r="QZF587" s="14"/>
      <c r="QZG587" s="14"/>
      <c r="QZH587" s="14"/>
      <c r="QZI587" s="14"/>
      <c r="QZJ587" s="14"/>
      <c r="QZK587" s="14"/>
      <c r="QZL587" s="14"/>
      <c r="QZM587" s="14"/>
      <c r="QZN587" s="14"/>
      <c r="QZO587" s="14"/>
      <c r="QZP587" s="14"/>
      <c r="QZQ587" s="14"/>
      <c r="QZR587" s="14"/>
      <c r="QZS587" s="14"/>
      <c r="QZT587" s="14"/>
      <c r="QZU587" s="14"/>
      <c r="QZV587" s="14"/>
      <c r="QZW587" s="14"/>
      <c r="QZX587" s="14"/>
      <c r="QZY587" s="14"/>
      <c r="QZZ587" s="14"/>
      <c r="RAA587" s="14"/>
      <c r="RAB587" s="14"/>
      <c r="RAC587" s="14"/>
      <c r="RAD587" s="14"/>
      <c r="RAE587" s="14"/>
      <c r="RAF587" s="14"/>
      <c r="RAG587" s="14"/>
      <c r="RAH587" s="14"/>
      <c r="RAI587" s="14"/>
      <c r="RAJ587" s="14"/>
      <c r="RAK587" s="14"/>
      <c r="RAL587" s="14"/>
      <c r="RAM587" s="14"/>
      <c r="RAN587" s="14"/>
      <c r="RAO587" s="14"/>
      <c r="RAP587" s="14"/>
      <c r="RAQ587" s="14"/>
      <c r="RAR587" s="14"/>
      <c r="RAS587" s="14"/>
      <c r="RAT587" s="14"/>
      <c r="RAU587" s="14"/>
      <c r="RAV587" s="14"/>
      <c r="RAW587" s="14"/>
      <c r="RAX587" s="14"/>
      <c r="RAY587" s="14"/>
      <c r="RAZ587" s="14"/>
      <c r="RBA587" s="14"/>
      <c r="RBB587" s="14"/>
      <c r="RBC587" s="14"/>
      <c r="RBD587" s="14"/>
      <c r="RBE587" s="14"/>
      <c r="RBF587" s="14"/>
      <c r="RBG587" s="14"/>
      <c r="RBH587" s="14"/>
      <c r="RBI587" s="14"/>
      <c r="RBJ587" s="14"/>
      <c r="RBK587" s="14"/>
      <c r="RBL587" s="14"/>
      <c r="RBM587" s="14"/>
      <c r="RBN587" s="14"/>
      <c r="RBO587" s="14"/>
      <c r="RBP587" s="14"/>
      <c r="RBQ587" s="14"/>
      <c r="RBR587" s="14"/>
      <c r="RBS587" s="14"/>
      <c r="RBT587" s="14"/>
      <c r="RBU587" s="14"/>
      <c r="RBV587" s="14"/>
      <c r="RBW587" s="14"/>
      <c r="RBX587" s="14"/>
      <c r="RBY587" s="14"/>
      <c r="RBZ587" s="14"/>
      <c r="RCA587" s="14"/>
      <c r="RCB587" s="14"/>
      <c r="RCC587" s="14"/>
      <c r="RCD587" s="14"/>
      <c r="RCE587" s="14"/>
      <c r="RCF587" s="14"/>
      <c r="RCG587" s="14"/>
      <c r="RCH587" s="14"/>
      <c r="RCI587" s="14"/>
      <c r="RCJ587" s="14"/>
      <c r="RCK587" s="14"/>
      <c r="RCL587" s="14"/>
      <c r="RCM587" s="14"/>
      <c r="RCN587" s="14"/>
      <c r="RCO587" s="14"/>
      <c r="RCP587" s="14"/>
      <c r="RCQ587" s="14"/>
      <c r="RCR587" s="14"/>
      <c r="RCS587" s="14"/>
      <c r="RCT587" s="14"/>
      <c r="RCU587" s="14"/>
      <c r="RCV587" s="14"/>
      <c r="RCW587" s="14"/>
      <c r="RCX587" s="14"/>
      <c r="RCY587" s="14"/>
      <c r="RCZ587" s="14"/>
      <c r="RDA587" s="14"/>
      <c r="RDB587" s="14"/>
      <c r="RDC587" s="14"/>
      <c r="RDD587" s="14"/>
      <c r="RDE587" s="14"/>
      <c r="RDF587" s="14"/>
      <c r="RDG587" s="14"/>
      <c r="RDH587" s="14"/>
      <c r="RDI587" s="14"/>
      <c r="RDJ587" s="14"/>
      <c r="RDK587" s="14"/>
      <c r="RDL587" s="14"/>
      <c r="RDM587" s="14"/>
      <c r="RDN587" s="14"/>
      <c r="RDO587" s="14"/>
      <c r="RDP587" s="14"/>
      <c r="RDQ587" s="14"/>
      <c r="RDR587" s="14"/>
      <c r="RDS587" s="14"/>
      <c r="RDT587" s="14"/>
      <c r="RDU587" s="14"/>
      <c r="RDV587" s="14"/>
      <c r="RDW587" s="14"/>
      <c r="RDX587" s="14"/>
      <c r="RDY587" s="14"/>
      <c r="RDZ587" s="14"/>
      <c r="REA587" s="14"/>
      <c r="REB587" s="14"/>
      <c r="REC587" s="14"/>
      <c r="RED587" s="14"/>
      <c r="REE587" s="14"/>
      <c r="REF587" s="14"/>
      <c r="REG587" s="14"/>
      <c r="REH587" s="14"/>
      <c r="REI587" s="14"/>
      <c r="REJ587" s="14"/>
      <c r="REK587" s="14"/>
      <c r="REL587" s="14"/>
      <c r="REM587" s="14"/>
      <c r="REN587" s="14"/>
      <c r="REO587" s="14"/>
      <c r="REP587" s="14"/>
      <c r="REQ587" s="14"/>
      <c r="RER587" s="14"/>
      <c r="RES587" s="14"/>
      <c r="RET587" s="14"/>
      <c r="REU587" s="14"/>
      <c r="REV587" s="14"/>
      <c r="REW587" s="14"/>
      <c r="REX587" s="14"/>
      <c r="REY587" s="14"/>
      <c r="REZ587" s="14"/>
      <c r="RFA587" s="14"/>
      <c r="RFB587" s="14"/>
      <c r="RFC587" s="14"/>
      <c r="RFD587" s="14"/>
      <c r="RFE587" s="14"/>
      <c r="RFF587" s="14"/>
      <c r="RFG587" s="14"/>
      <c r="RFH587" s="14"/>
      <c r="RFI587" s="14"/>
      <c r="RFJ587" s="14"/>
      <c r="RFK587" s="14"/>
      <c r="RFL587" s="14"/>
      <c r="RFM587" s="14"/>
      <c r="RFN587" s="14"/>
      <c r="RFO587" s="14"/>
      <c r="RFP587" s="14"/>
      <c r="RFQ587" s="14"/>
      <c r="RFR587" s="14"/>
      <c r="RFS587" s="14"/>
      <c r="RFT587" s="14"/>
      <c r="RFU587" s="14"/>
      <c r="RFV587" s="14"/>
      <c r="RFW587" s="14"/>
      <c r="RFX587" s="14"/>
      <c r="RFY587" s="14"/>
      <c r="RFZ587" s="14"/>
      <c r="RGA587" s="14"/>
      <c r="RGB587" s="14"/>
      <c r="RGC587" s="14"/>
      <c r="RGD587" s="14"/>
      <c r="RGE587" s="14"/>
      <c r="RGF587" s="14"/>
      <c r="RGG587" s="14"/>
      <c r="RGH587" s="14"/>
      <c r="RGI587" s="14"/>
      <c r="RGJ587" s="14"/>
      <c r="RGK587" s="14"/>
      <c r="RGL587" s="14"/>
      <c r="RGM587" s="14"/>
      <c r="RGN587" s="14"/>
      <c r="RGO587" s="14"/>
      <c r="RGP587" s="14"/>
      <c r="RGQ587" s="14"/>
      <c r="RGR587" s="14"/>
      <c r="RGS587" s="14"/>
      <c r="RGT587" s="14"/>
      <c r="RGU587" s="14"/>
      <c r="RGV587" s="14"/>
      <c r="RGW587" s="14"/>
      <c r="RGX587" s="14"/>
      <c r="RGY587" s="14"/>
      <c r="RGZ587" s="14"/>
      <c r="RHA587" s="14"/>
      <c r="RHB587" s="14"/>
      <c r="RHC587" s="14"/>
      <c r="RHD587" s="14"/>
      <c r="RHE587" s="14"/>
      <c r="RHF587" s="14"/>
      <c r="RHG587" s="14"/>
      <c r="RHH587" s="14"/>
      <c r="RHI587" s="14"/>
      <c r="RHJ587" s="14"/>
      <c r="RHK587" s="14"/>
      <c r="RHL587" s="14"/>
      <c r="RHM587" s="14"/>
      <c r="RHN587" s="14"/>
      <c r="RHO587" s="14"/>
      <c r="RHP587" s="14"/>
      <c r="RHQ587" s="14"/>
      <c r="RHR587" s="14"/>
      <c r="RHS587" s="14"/>
      <c r="RHT587" s="14"/>
      <c r="RHU587" s="14"/>
      <c r="RHV587" s="14"/>
      <c r="RHW587" s="14"/>
      <c r="RHX587" s="14"/>
      <c r="RHY587" s="14"/>
      <c r="RHZ587" s="14"/>
      <c r="RIA587" s="14"/>
      <c r="RIB587" s="14"/>
      <c r="RIC587" s="14"/>
      <c r="RID587" s="14"/>
      <c r="RIE587" s="14"/>
      <c r="RIF587" s="14"/>
      <c r="RIG587" s="14"/>
      <c r="RIH587" s="14"/>
      <c r="RII587" s="14"/>
      <c r="RIJ587" s="14"/>
      <c r="RIK587" s="14"/>
      <c r="RIL587" s="14"/>
      <c r="RIM587" s="14"/>
      <c r="RIN587" s="14"/>
      <c r="RIO587" s="14"/>
      <c r="RIP587" s="14"/>
      <c r="RIQ587" s="14"/>
      <c r="RIR587" s="14"/>
      <c r="RIS587" s="14"/>
      <c r="RIT587" s="14"/>
      <c r="RIU587" s="14"/>
      <c r="RIV587" s="14"/>
      <c r="RIW587" s="14"/>
      <c r="RIX587" s="14"/>
      <c r="RIY587" s="14"/>
      <c r="RIZ587" s="14"/>
      <c r="RJA587" s="14"/>
      <c r="RJB587" s="14"/>
      <c r="RJC587" s="14"/>
      <c r="RJD587" s="14"/>
      <c r="RJE587" s="14"/>
      <c r="RJF587" s="14"/>
      <c r="RJG587" s="14"/>
      <c r="RJH587" s="14"/>
      <c r="RJI587" s="14"/>
      <c r="RJJ587" s="14"/>
      <c r="RJK587" s="14"/>
      <c r="RJL587" s="14"/>
      <c r="RJM587" s="14"/>
      <c r="RJN587" s="14"/>
      <c r="RJO587" s="14"/>
      <c r="RJP587" s="14"/>
      <c r="RJQ587" s="14"/>
      <c r="RJR587" s="14"/>
      <c r="RJS587" s="14"/>
      <c r="RJT587" s="14"/>
      <c r="RJU587" s="14"/>
      <c r="RJV587" s="14"/>
      <c r="RJW587" s="14"/>
      <c r="RJX587" s="14"/>
      <c r="RJY587" s="14"/>
      <c r="RJZ587" s="14"/>
      <c r="RKA587" s="14"/>
      <c r="RKB587" s="14"/>
      <c r="RKC587" s="14"/>
      <c r="RKD587" s="14"/>
      <c r="RKE587" s="14"/>
      <c r="RKF587" s="14"/>
      <c r="RKG587" s="14"/>
      <c r="RKH587" s="14"/>
      <c r="RKI587" s="14"/>
      <c r="RKJ587" s="14"/>
      <c r="RKK587" s="14"/>
      <c r="RKL587" s="14"/>
      <c r="RKM587" s="14"/>
      <c r="RKN587" s="14"/>
      <c r="RKO587" s="14"/>
      <c r="RKP587" s="14"/>
      <c r="RKQ587" s="14"/>
      <c r="RKR587" s="14"/>
      <c r="RKS587" s="14"/>
      <c r="RKT587" s="14"/>
      <c r="RKU587" s="14"/>
      <c r="RKV587" s="14"/>
      <c r="RKW587" s="14"/>
      <c r="RKX587" s="14"/>
      <c r="RKY587" s="14"/>
      <c r="RKZ587" s="14"/>
      <c r="RLA587" s="14"/>
      <c r="RLB587" s="14"/>
      <c r="RLC587" s="14"/>
      <c r="RLD587" s="14"/>
      <c r="RLE587" s="14"/>
      <c r="RLF587" s="14"/>
      <c r="RLG587" s="14"/>
      <c r="RLH587" s="14"/>
      <c r="RLI587" s="14"/>
      <c r="RLJ587" s="14"/>
      <c r="RLK587" s="14"/>
      <c r="RLL587" s="14"/>
      <c r="RLM587" s="14"/>
      <c r="RLN587" s="14"/>
      <c r="RLO587" s="14"/>
      <c r="RLP587" s="14"/>
      <c r="RLQ587" s="14"/>
      <c r="RLR587" s="14"/>
      <c r="RLS587" s="14"/>
      <c r="RLT587" s="14"/>
      <c r="RLU587" s="14"/>
      <c r="RLV587" s="14"/>
      <c r="RLW587" s="14"/>
      <c r="RLX587" s="14"/>
      <c r="RLY587" s="14"/>
      <c r="RLZ587" s="14"/>
      <c r="RMA587" s="14"/>
      <c r="RMB587" s="14"/>
      <c r="RMC587" s="14"/>
      <c r="RMD587" s="14"/>
      <c r="RME587" s="14"/>
      <c r="RMF587" s="14"/>
      <c r="RMG587" s="14"/>
      <c r="RMH587" s="14"/>
      <c r="RMI587" s="14"/>
      <c r="RMJ587" s="14"/>
      <c r="RMK587" s="14"/>
      <c r="RML587" s="14"/>
      <c r="RMM587" s="14"/>
      <c r="RMN587" s="14"/>
      <c r="RMO587" s="14"/>
      <c r="RMP587" s="14"/>
      <c r="RMQ587" s="14"/>
      <c r="RMR587" s="14"/>
      <c r="RMS587" s="14"/>
      <c r="RMT587" s="14"/>
      <c r="RMU587" s="14"/>
      <c r="RMV587" s="14"/>
      <c r="RMW587" s="14"/>
      <c r="RMX587" s="14"/>
      <c r="RMY587" s="14"/>
      <c r="RMZ587" s="14"/>
      <c r="RNA587" s="14"/>
      <c r="RNB587" s="14"/>
      <c r="RNC587" s="14"/>
      <c r="RND587" s="14"/>
      <c r="RNE587" s="14"/>
      <c r="RNF587" s="14"/>
      <c r="RNG587" s="14"/>
      <c r="RNH587" s="14"/>
      <c r="RNI587" s="14"/>
      <c r="RNJ587" s="14"/>
      <c r="RNK587" s="14"/>
      <c r="RNL587" s="14"/>
      <c r="RNM587" s="14"/>
      <c r="RNN587" s="14"/>
      <c r="RNO587" s="14"/>
      <c r="RNP587" s="14"/>
      <c r="RNQ587" s="14"/>
      <c r="RNR587" s="14"/>
      <c r="RNS587" s="14"/>
      <c r="RNT587" s="14"/>
      <c r="RNU587" s="14"/>
      <c r="RNV587" s="14"/>
      <c r="RNW587" s="14"/>
      <c r="RNX587" s="14"/>
      <c r="RNY587" s="14"/>
      <c r="RNZ587" s="14"/>
      <c r="ROA587" s="14"/>
      <c r="ROB587" s="14"/>
      <c r="ROC587" s="14"/>
      <c r="ROD587" s="14"/>
      <c r="ROE587" s="14"/>
      <c r="ROF587" s="14"/>
      <c r="ROG587" s="14"/>
      <c r="ROH587" s="14"/>
      <c r="ROI587" s="14"/>
      <c r="ROJ587" s="14"/>
      <c r="ROK587" s="14"/>
      <c r="ROL587" s="14"/>
      <c r="ROM587" s="14"/>
      <c r="RON587" s="14"/>
      <c r="ROO587" s="14"/>
      <c r="ROP587" s="14"/>
      <c r="ROQ587" s="14"/>
      <c r="ROR587" s="14"/>
      <c r="ROS587" s="14"/>
      <c r="ROT587" s="14"/>
      <c r="ROU587" s="14"/>
      <c r="ROV587" s="14"/>
      <c r="ROW587" s="14"/>
      <c r="ROX587" s="14"/>
      <c r="ROY587" s="14"/>
      <c r="ROZ587" s="14"/>
      <c r="RPA587" s="14"/>
      <c r="RPB587" s="14"/>
      <c r="RPC587" s="14"/>
      <c r="RPD587" s="14"/>
      <c r="RPE587" s="14"/>
      <c r="RPF587" s="14"/>
      <c r="RPG587" s="14"/>
      <c r="RPH587" s="14"/>
      <c r="RPI587" s="14"/>
      <c r="RPJ587" s="14"/>
      <c r="RPK587" s="14"/>
      <c r="RPL587" s="14"/>
      <c r="RPM587" s="14"/>
      <c r="RPN587" s="14"/>
      <c r="RPO587" s="14"/>
      <c r="RPP587" s="14"/>
      <c r="RPQ587" s="14"/>
      <c r="RPR587" s="14"/>
      <c r="RPS587" s="14"/>
      <c r="RPT587" s="14"/>
      <c r="RPU587" s="14"/>
      <c r="RPV587" s="14"/>
      <c r="RPW587" s="14"/>
      <c r="RPX587" s="14"/>
      <c r="RPY587" s="14"/>
      <c r="RPZ587" s="14"/>
      <c r="RQA587" s="14"/>
      <c r="RQB587" s="14"/>
      <c r="RQC587" s="14"/>
      <c r="RQD587" s="14"/>
      <c r="RQE587" s="14"/>
      <c r="RQF587" s="14"/>
      <c r="RQG587" s="14"/>
      <c r="RQH587" s="14"/>
      <c r="RQI587" s="14"/>
      <c r="RQJ587" s="14"/>
      <c r="RQK587" s="14"/>
      <c r="RQL587" s="14"/>
      <c r="RQM587" s="14"/>
      <c r="RQN587" s="14"/>
      <c r="RQO587" s="14"/>
      <c r="RQP587" s="14"/>
      <c r="RQQ587" s="14"/>
      <c r="RQR587" s="14"/>
      <c r="RQS587" s="14"/>
      <c r="RQT587" s="14"/>
      <c r="RQU587" s="14"/>
      <c r="RQV587" s="14"/>
      <c r="RQW587" s="14"/>
      <c r="RQX587" s="14"/>
      <c r="RQY587" s="14"/>
      <c r="RQZ587" s="14"/>
      <c r="RRA587" s="14"/>
      <c r="RRB587" s="14"/>
      <c r="RRC587" s="14"/>
      <c r="RRD587" s="14"/>
      <c r="RRE587" s="14"/>
      <c r="RRF587" s="14"/>
      <c r="RRG587" s="14"/>
      <c r="RRH587" s="14"/>
      <c r="RRI587" s="14"/>
      <c r="RRJ587" s="14"/>
      <c r="RRK587" s="14"/>
      <c r="RRL587" s="14"/>
      <c r="RRM587" s="14"/>
      <c r="RRN587" s="14"/>
      <c r="RRO587" s="14"/>
      <c r="RRP587" s="14"/>
      <c r="RRQ587" s="14"/>
      <c r="RRR587" s="14"/>
      <c r="RRS587" s="14"/>
      <c r="RRT587" s="14"/>
      <c r="RRU587" s="14"/>
      <c r="RRV587" s="14"/>
      <c r="RRW587" s="14"/>
      <c r="RRX587" s="14"/>
      <c r="RRY587" s="14"/>
      <c r="RRZ587" s="14"/>
      <c r="RSA587" s="14"/>
      <c r="RSB587" s="14"/>
      <c r="RSC587" s="14"/>
      <c r="RSD587" s="14"/>
      <c r="RSE587" s="14"/>
      <c r="RSF587" s="14"/>
      <c r="RSG587" s="14"/>
      <c r="RSH587" s="14"/>
      <c r="RSI587" s="14"/>
      <c r="RSJ587" s="14"/>
      <c r="RSK587" s="14"/>
      <c r="RSL587" s="14"/>
      <c r="RSM587" s="14"/>
      <c r="RSN587" s="14"/>
      <c r="RSO587" s="14"/>
      <c r="RSP587" s="14"/>
      <c r="RSQ587" s="14"/>
      <c r="RSR587" s="14"/>
      <c r="RSS587" s="14"/>
      <c r="RST587" s="14"/>
      <c r="RSU587" s="14"/>
      <c r="RSV587" s="14"/>
      <c r="RSW587" s="14"/>
      <c r="RSX587" s="14"/>
      <c r="RSY587" s="14"/>
      <c r="RSZ587" s="14"/>
      <c r="RTA587" s="14"/>
      <c r="RTB587" s="14"/>
      <c r="RTC587" s="14"/>
      <c r="RTD587" s="14"/>
      <c r="RTE587" s="14"/>
      <c r="RTF587" s="14"/>
      <c r="RTG587" s="14"/>
      <c r="RTH587" s="14"/>
      <c r="RTI587" s="14"/>
      <c r="RTJ587" s="14"/>
      <c r="RTK587" s="14"/>
      <c r="RTL587" s="14"/>
      <c r="RTM587" s="14"/>
      <c r="RTN587" s="14"/>
      <c r="RTO587" s="14"/>
      <c r="RTP587" s="14"/>
      <c r="RTQ587" s="14"/>
      <c r="RTR587" s="14"/>
      <c r="RTS587" s="14"/>
      <c r="RTT587" s="14"/>
      <c r="RTU587" s="14"/>
      <c r="RTV587" s="14"/>
      <c r="RTW587" s="14"/>
      <c r="RTX587" s="14"/>
      <c r="RTY587" s="14"/>
      <c r="RTZ587" s="14"/>
      <c r="RUA587" s="14"/>
      <c r="RUB587" s="14"/>
      <c r="RUC587" s="14"/>
      <c r="RUD587" s="14"/>
      <c r="RUE587" s="14"/>
      <c r="RUF587" s="14"/>
      <c r="RUG587" s="14"/>
      <c r="RUH587" s="14"/>
      <c r="RUI587" s="14"/>
      <c r="RUJ587" s="14"/>
      <c r="RUK587" s="14"/>
      <c r="RUL587" s="14"/>
      <c r="RUM587" s="14"/>
      <c r="RUN587" s="14"/>
      <c r="RUO587" s="14"/>
      <c r="RUP587" s="14"/>
      <c r="RUQ587" s="14"/>
      <c r="RUR587" s="14"/>
      <c r="RUS587" s="14"/>
      <c r="RUT587" s="14"/>
      <c r="RUU587" s="14"/>
      <c r="RUV587" s="14"/>
      <c r="RUW587" s="14"/>
      <c r="RUX587" s="14"/>
      <c r="RUY587" s="14"/>
      <c r="RUZ587" s="14"/>
      <c r="RVA587" s="14"/>
      <c r="RVB587" s="14"/>
      <c r="RVC587" s="14"/>
      <c r="RVD587" s="14"/>
      <c r="RVE587" s="14"/>
      <c r="RVF587" s="14"/>
      <c r="RVG587" s="14"/>
      <c r="RVH587" s="14"/>
      <c r="RVI587" s="14"/>
      <c r="RVJ587" s="14"/>
      <c r="RVK587" s="14"/>
      <c r="RVL587" s="14"/>
      <c r="RVM587" s="14"/>
      <c r="RVN587" s="14"/>
      <c r="RVO587" s="14"/>
      <c r="RVP587" s="14"/>
      <c r="RVQ587" s="14"/>
      <c r="RVR587" s="14"/>
      <c r="RVS587" s="14"/>
      <c r="RVT587" s="14"/>
      <c r="RVU587" s="14"/>
      <c r="RVV587" s="14"/>
      <c r="RVW587" s="14"/>
      <c r="RVX587" s="14"/>
      <c r="RVY587" s="14"/>
      <c r="RVZ587" s="14"/>
      <c r="RWA587" s="14"/>
      <c r="RWB587" s="14"/>
      <c r="RWC587" s="14"/>
      <c r="RWD587" s="14"/>
      <c r="RWE587" s="14"/>
      <c r="RWF587" s="14"/>
      <c r="RWG587" s="14"/>
      <c r="RWH587" s="14"/>
      <c r="RWI587" s="14"/>
      <c r="RWJ587" s="14"/>
      <c r="RWK587" s="14"/>
      <c r="RWL587" s="14"/>
      <c r="RWM587" s="14"/>
      <c r="RWN587" s="14"/>
      <c r="RWO587" s="14"/>
      <c r="RWP587" s="14"/>
      <c r="RWQ587" s="14"/>
      <c r="RWR587" s="14"/>
      <c r="RWS587" s="14"/>
      <c r="RWT587" s="14"/>
      <c r="RWU587" s="14"/>
      <c r="RWV587" s="14"/>
      <c r="RWW587" s="14"/>
      <c r="RWX587" s="14"/>
      <c r="RWY587" s="14"/>
      <c r="RWZ587" s="14"/>
      <c r="RXA587" s="14"/>
      <c r="RXB587" s="14"/>
      <c r="RXC587" s="14"/>
      <c r="RXD587" s="14"/>
      <c r="RXE587" s="14"/>
      <c r="RXF587" s="14"/>
      <c r="RXG587" s="14"/>
      <c r="RXH587" s="14"/>
      <c r="RXI587" s="14"/>
      <c r="RXJ587" s="14"/>
      <c r="RXK587" s="14"/>
      <c r="RXL587" s="14"/>
      <c r="RXM587" s="14"/>
      <c r="RXN587" s="14"/>
      <c r="RXO587" s="14"/>
      <c r="RXP587" s="14"/>
      <c r="RXQ587" s="14"/>
      <c r="RXR587" s="14"/>
      <c r="RXS587" s="14"/>
      <c r="RXT587" s="14"/>
      <c r="RXU587" s="14"/>
      <c r="RXV587" s="14"/>
      <c r="RXW587" s="14"/>
      <c r="RXX587" s="14"/>
      <c r="RXY587" s="14"/>
      <c r="RXZ587" s="14"/>
      <c r="RYA587" s="14"/>
      <c r="RYB587" s="14"/>
      <c r="RYC587" s="14"/>
      <c r="RYD587" s="14"/>
      <c r="RYE587" s="14"/>
      <c r="RYF587" s="14"/>
      <c r="RYG587" s="14"/>
      <c r="RYH587" s="14"/>
      <c r="RYI587" s="14"/>
      <c r="RYJ587" s="14"/>
      <c r="RYK587" s="14"/>
      <c r="RYL587" s="14"/>
      <c r="RYM587" s="14"/>
      <c r="RYN587" s="14"/>
      <c r="RYO587" s="14"/>
      <c r="RYP587" s="14"/>
      <c r="RYQ587" s="14"/>
      <c r="RYR587" s="14"/>
      <c r="RYS587" s="14"/>
      <c r="RYT587" s="14"/>
      <c r="RYU587" s="14"/>
      <c r="RYV587" s="14"/>
      <c r="RYW587" s="14"/>
      <c r="RYX587" s="14"/>
      <c r="RYY587" s="14"/>
      <c r="RYZ587" s="14"/>
      <c r="RZA587" s="14"/>
      <c r="RZB587" s="14"/>
      <c r="RZC587" s="14"/>
      <c r="RZD587" s="14"/>
      <c r="RZE587" s="14"/>
      <c r="RZF587" s="14"/>
      <c r="RZG587" s="14"/>
      <c r="RZH587" s="14"/>
      <c r="RZI587" s="14"/>
      <c r="RZJ587" s="14"/>
      <c r="RZK587" s="14"/>
      <c r="RZL587" s="14"/>
      <c r="RZM587" s="14"/>
      <c r="RZN587" s="14"/>
      <c r="RZO587" s="14"/>
      <c r="RZP587" s="14"/>
      <c r="RZQ587" s="14"/>
      <c r="RZR587" s="14"/>
      <c r="RZS587" s="14"/>
      <c r="RZT587" s="14"/>
      <c r="RZU587" s="14"/>
      <c r="RZV587" s="14"/>
      <c r="RZW587" s="14"/>
      <c r="RZX587" s="14"/>
      <c r="RZY587" s="14"/>
      <c r="RZZ587" s="14"/>
      <c r="SAA587" s="14"/>
      <c r="SAB587" s="14"/>
      <c r="SAC587" s="14"/>
      <c r="SAD587" s="14"/>
      <c r="SAE587" s="14"/>
      <c r="SAF587" s="14"/>
      <c r="SAG587" s="14"/>
      <c r="SAH587" s="14"/>
      <c r="SAI587" s="14"/>
      <c r="SAJ587" s="14"/>
      <c r="SAK587" s="14"/>
      <c r="SAL587" s="14"/>
      <c r="SAM587" s="14"/>
      <c r="SAN587" s="14"/>
      <c r="SAO587" s="14"/>
      <c r="SAP587" s="14"/>
      <c r="SAQ587" s="14"/>
      <c r="SAR587" s="14"/>
      <c r="SAS587" s="14"/>
      <c r="SAT587" s="14"/>
      <c r="SAU587" s="14"/>
      <c r="SAV587" s="14"/>
      <c r="SAW587" s="14"/>
      <c r="SAX587" s="14"/>
      <c r="SAY587" s="14"/>
      <c r="SAZ587" s="14"/>
      <c r="SBA587" s="14"/>
      <c r="SBB587" s="14"/>
      <c r="SBC587" s="14"/>
      <c r="SBD587" s="14"/>
      <c r="SBE587" s="14"/>
      <c r="SBF587" s="14"/>
      <c r="SBG587" s="14"/>
      <c r="SBH587" s="14"/>
      <c r="SBI587" s="14"/>
      <c r="SBJ587" s="14"/>
      <c r="SBK587" s="14"/>
      <c r="SBL587" s="14"/>
      <c r="SBM587" s="14"/>
      <c r="SBN587" s="14"/>
      <c r="SBO587" s="14"/>
      <c r="SBP587" s="14"/>
      <c r="SBQ587" s="14"/>
      <c r="SBR587" s="14"/>
      <c r="SBS587" s="14"/>
      <c r="SBT587" s="14"/>
      <c r="SBU587" s="14"/>
      <c r="SBV587" s="14"/>
      <c r="SBW587" s="14"/>
      <c r="SBX587" s="14"/>
      <c r="SBY587" s="14"/>
      <c r="SBZ587" s="14"/>
      <c r="SCA587" s="14"/>
      <c r="SCB587" s="14"/>
      <c r="SCC587" s="14"/>
      <c r="SCD587" s="14"/>
      <c r="SCE587" s="14"/>
      <c r="SCF587" s="14"/>
      <c r="SCG587" s="14"/>
      <c r="SCH587" s="14"/>
      <c r="SCI587" s="14"/>
      <c r="SCJ587" s="14"/>
      <c r="SCK587" s="14"/>
      <c r="SCL587" s="14"/>
      <c r="SCM587" s="14"/>
      <c r="SCN587" s="14"/>
      <c r="SCO587" s="14"/>
      <c r="SCP587" s="14"/>
      <c r="SCQ587" s="14"/>
      <c r="SCR587" s="14"/>
      <c r="SCS587" s="14"/>
      <c r="SCT587" s="14"/>
      <c r="SCU587" s="14"/>
      <c r="SCV587" s="14"/>
      <c r="SCW587" s="14"/>
      <c r="SCX587" s="14"/>
      <c r="SCY587" s="14"/>
      <c r="SCZ587" s="14"/>
      <c r="SDA587" s="14"/>
      <c r="SDB587" s="14"/>
      <c r="SDC587" s="14"/>
      <c r="SDD587" s="14"/>
      <c r="SDE587" s="14"/>
      <c r="SDF587" s="14"/>
      <c r="SDG587" s="14"/>
      <c r="SDH587" s="14"/>
      <c r="SDI587" s="14"/>
      <c r="SDJ587" s="14"/>
      <c r="SDK587" s="14"/>
      <c r="SDL587" s="14"/>
      <c r="SDM587" s="14"/>
      <c r="SDN587" s="14"/>
      <c r="SDO587" s="14"/>
      <c r="SDP587" s="14"/>
      <c r="SDQ587" s="14"/>
      <c r="SDR587" s="14"/>
      <c r="SDS587" s="14"/>
      <c r="SDT587" s="14"/>
      <c r="SDU587" s="14"/>
      <c r="SDV587" s="14"/>
      <c r="SDW587" s="14"/>
      <c r="SDX587" s="14"/>
      <c r="SDY587" s="14"/>
      <c r="SDZ587" s="14"/>
      <c r="SEA587" s="14"/>
      <c r="SEB587" s="14"/>
      <c r="SEC587" s="14"/>
      <c r="SED587" s="14"/>
      <c r="SEE587" s="14"/>
      <c r="SEF587" s="14"/>
      <c r="SEG587" s="14"/>
      <c r="SEH587" s="14"/>
      <c r="SEI587" s="14"/>
      <c r="SEJ587" s="14"/>
      <c r="SEK587" s="14"/>
      <c r="SEL587" s="14"/>
      <c r="SEM587" s="14"/>
      <c r="SEN587" s="14"/>
      <c r="SEO587" s="14"/>
      <c r="SEP587" s="14"/>
      <c r="SEQ587" s="14"/>
      <c r="SER587" s="14"/>
      <c r="SES587" s="14"/>
      <c r="SET587" s="14"/>
      <c r="SEU587" s="14"/>
      <c r="SEV587" s="14"/>
      <c r="SEW587" s="14"/>
      <c r="SEX587" s="14"/>
      <c r="SEY587" s="14"/>
      <c r="SEZ587" s="14"/>
      <c r="SFA587" s="14"/>
      <c r="SFB587" s="14"/>
      <c r="SFC587" s="14"/>
      <c r="SFD587" s="14"/>
      <c r="SFE587" s="14"/>
      <c r="SFF587" s="14"/>
      <c r="SFG587" s="14"/>
      <c r="SFH587" s="14"/>
      <c r="SFI587" s="14"/>
      <c r="SFJ587" s="14"/>
      <c r="SFK587" s="14"/>
      <c r="SFL587" s="14"/>
      <c r="SFM587" s="14"/>
      <c r="SFN587" s="14"/>
      <c r="SFO587" s="14"/>
      <c r="SFP587" s="14"/>
      <c r="SFQ587" s="14"/>
      <c r="SFR587" s="14"/>
      <c r="SFS587" s="14"/>
      <c r="SFT587" s="14"/>
      <c r="SFU587" s="14"/>
      <c r="SFV587" s="14"/>
      <c r="SFW587" s="14"/>
      <c r="SFX587" s="14"/>
      <c r="SFY587" s="14"/>
      <c r="SFZ587" s="14"/>
      <c r="SGA587" s="14"/>
      <c r="SGB587" s="14"/>
      <c r="SGC587" s="14"/>
      <c r="SGD587" s="14"/>
      <c r="SGE587" s="14"/>
      <c r="SGF587" s="14"/>
      <c r="SGG587" s="14"/>
      <c r="SGH587" s="14"/>
      <c r="SGI587" s="14"/>
      <c r="SGJ587" s="14"/>
      <c r="SGK587" s="14"/>
      <c r="SGL587" s="14"/>
      <c r="SGM587" s="14"/>
      <c r="SGN587" s="14"/>
      <c r="SGO587" s="14"/>
      <c r="SGP587" s="14"/>
      <c r="SGQ587" s="14"/>
      <c r="SGR587" s="14"/>
      <c r="SGS587" s="14"/>
      <c r="SGT587" s="14"/>
      <c r="SGU587" s="14"/>
      <c r="SGV587" s="14"/>
      <c r="SGW587" s="14"/>
      <c r="SGX587" s="14"/>
      <c r="SGY587" s="14"/>
      <c r="SGZ587" s="14"/>
      <c r="SHA587" s="14"/>
      <c r="SHB587" s="14"/>
      <c r="SHC587" s="14"/>
      <c r="SHD587" s="14"/>
      <c r="SHE587" s="14"/>
      <c r="SHF587" s="14"/>
      <c r="SHG587" s="14"/>
      <c r="SHH587" s="14"/>
      <c r="SHI587" s="14"/>
      <c r="SHJ587" s="14"/>
      <c r="SHK587" s="14"/>
      <c r="SHL587" s="14"/>
      <c r="SHM587" s="14"/>
      <c r="SHN587" s="14"/>
      <c r="SHO587" s="14"/>
      <c r="SHP587" s="14"/>
      <c r="SHQ587" s="14"/>
      <c r="SHR587" s="14"/>
      <c r="SHS587" s="14"/>
      <c r="SHT587" s="14"/>
      <c r="SHU587" s="14"/>
      <c r="SHV587" s="14"/>
      <c r="SHW587" s="14"/>
      <c r="SHX587" s="14"/>
      <c r="SHY587" s="14"/>
      <c r="SHZ587" s="14"/>
      <c r="SIA587" s="14"/>
      <c r="SIB587" s="14"/>
      <c r="SIC587" s="14"/>
      <c r="SID587" s="14"/>
      <c r="SIE587" s="14"/>
      <c r="SIF587" s="14"/>
      <c r="SIG587" s="14"/>
      <c r="SIH587" s="14"/>
      <c r="SII587" s="14"/>
      <c r="SIJ587" s="14"/>
      <c r="SIK587" s="14"/>
      <c r="SIL587" s="14"/>
      <c r="SIM587" s="14"/>
      <c r="SIN587" s="14"/>
      <c r="SIO587" s="14"/>
      <c r="SIP587" s="14"/>
      <c r="SIQ587" s="14"/>
      <c r="SIR587" s="14"/>
      <c r="SIS587" s="14"/>
      <c r="SIT587" s="14"/>
      <c r="SIU587" s="14"/>
      <c r="SIV587" s="14"/>
      <c r="SIW587" s="14"/>
      <c r="SIX587" s="14"/>
      <c r="SIY587" s="14"/>
      <c r="SIZ587" s="14"/>
      <c r="SJA587" s="14"/>
      <c r="SJB587" s="14"/>
      <c r="SJC587" s="14"/>
      <c r="SJD587" s="14"/>
      <c r="SJE587" s="14"/>
      <c r="SJF587" s="14"/>
      <c r="SJG587" s="14"/>
      <c r="SJH587" s="14"/>
      <c r="SJI587" s="14"/>
      <c r="SJJ587" s="14"/>
      <c r="SJK587" s="14"/>
      <c r="SJL587" s="14"/>
      <c r="SJM587" s="14"/>
      <c r="SJN587" s="14"/>
      <c r="SJO587" s="14"/>
      <c r="SJP587" s="14"/>
      <c r="SJQ587" s="14"/>
      <c r="SJR587" s="14"/>
      <c r="SJS587" s="14"/>
      <c r="SJT587" s="14"/>
      <c r="SJU587" s="14"/>
      <c r="SJV587" s="14"/>
      <c r="SJW587" s="14"/>
      <c r="SJX587" s="14"/>
      <c r="SJY587" s="14"/>
      <c r="SJZ587" s="14"/>
      <c r="SKA587" s="14"/>
      <c r="SKB587" s="14"/>
      <c r="SKC587" s="14"/>
      <c r="SKD587" s="14"/>
      <c r="SKE587" s="14"/>
      <c r="SKF587" s="14"/>
      <c r="SKG587" s="14"/>
      <c r="SKH587" s="14"/>
      <c r="SKI587" s="14"/>
      <c r="SKJ587" s="14"/>
      <c r="SKK587" s="14"/>
      <c r="SKL587" s="14"/>
      <c r="SKM587" s="14"/>
      <c r="SKN587" s="14"/>
      <c r="SKO587" s="14"/>
      <c r="SKP587" s="14"/>
      <c r="SKQ587" s="14"/>
      <c r="SKR587" s="14"/>
      <c r="SKS587" s="14"/>
      <c r="SKT587" s="14"/>
      <c r="SKU587" s="14"/>
      <c r="SKV587" s="14"/>
      <c r="SKW587" s="14"/>
      <c r="SKX587" s="14"/>
      <c r="SKY587" s="14"/>
      <c r="SKZ587" s="14"/>
      <c r="SLA587" s="14"/>
      <c r="SLB587" s="14"/>
      <c r="SLC587" s="14"/>
      <c r="SLD587" s="14"/>
      <c r="SLE587" s="14"/>
      <c r="SLF587" s="14"/>
      <c r="SLG587" s="14"/>
      <c r="SLH587" s="14"/>
      <c r="SLI587" s="14"/>
      <c r="SLJ587" s="14"/>
      <c r="SLK587" s="14"/>
      <c r="SLL587" s="14"/>
      <c r="SLM587" s="14"/>
      <c r="SLN587" s="14"/>
      <c r="SLO587" s="14"/>
      <c r="SLP587" s="14"/>
      <c r="SLQ587" s="14"/>
      <c r="SLR587" s="14"/>
      <c r="SLS587" s="14"/>
      <c r="SLT587" s="14"/>
      <c r="SLU587" s="14"/>
      <c r="SLV587" s="14"/>
      <c r="SLW587" s="14"/>
      <c r="SLX587" s="14"/>
      <c r="SLY587" s="14"/>
      <c r="SLZ587" s="14"/>
      <c r="SMA587" s="14"/>
      <c r="SMB587" s="14"/>
      <c r="SMC587" s="14"/>
      <c r="SMD587" s="14"/>
      <c r="SME587" s="14"/>
      <c r="SMF587" s="14"/>
      <c r="SMG587" s="14"/>
      <c r="SMH587" s="14"/>
      <c r="SMI587" s="14"/>
      <c r="SMJ587" s="14"/>
      <c r="SMK587" s="14"/>
      <c r="SML587" s="14"/>
      <c r="SMM587" s="14"/>
      <c r="SMN587" s="14"/>
      <c r="SMO587" s="14"/>
      <c r="SMP587" s="14"/>
      <c r="SMQ587" s="14"/>
      <c r="SMR587" s="14"/>
      <c r="SMS587" s="14"/>
      <c r="SMT587" s="14"/>
      <c r="SMU587" s="14"/>
      <c r="SMV587" s="14"/>
      <c r="SMW587" s="14"/>
      <c r="SMX587" s="14"/>
      <c r="SMY587" s="14"/>
      <c r="SMZ587" s="14"/>
      <c r="SNA587" s="14"/>
      <c r="SNB587" s="14"/>
      <c r="SNC587" s="14"/>
      <c r="SND587" s="14"/>
      <c r="SNE587" s="14"/>
      <c r="SNF587" s="14"/>
      <c r="SNG587" s="14"/>
      <c r="SNH587" s="14"/>
      <c r="SNI587" s="14"/>
      <c r="SNJ587" s="14"/>
      <c r="SNK587" s="14"/>
      <c r="SNL587" s="14"/>
      <c r="SNM587" s="14"/>
      <c r="SNN587" s="14"/>
      <c r="SNO587" s="14"/>
      <c r="SNP587" s="14"/>
      <c r="SNQ587" s="14"/>
      <c r="SNR587" s="14"/>
      <c r="SNS587" s="14"/>
      <c r="SNT587" s="14"/>
      <c r="SNU587" s="14"/>
      <c r="SNV587" s="14"/>
      <c r="SNW587" s="14"/>
      <c r="SNX587" s="14"/>
      <c r="SNY587" s="14"/>
      <c r="SNZ587" s="14"/>
      <c r="SOA587" s="14"/>
      <c r="SOB587" s="14"/>
      <c r="SOC587" s="14"/>
      <c r="SOD587" s="14"/>
      <c r="SOE587" s="14"/>
      <c r="SOF587" s="14"/>
      <c r="SOG587" s="14"/>
      <c r="SOH587" s="14"/>
      <c r="SOI587" s="14"/>
      <c r="SOJ587" s="14"/>
      <c r="SOK587" s="14"/>
      <c r="SOL587" s="14"/>
      <c r="SOM587" s="14"/>
      <c r="SON587" s="14"/>
      <c r="SOO587" s="14"/>
      <c r="SOP587" s="14"/>
      <c r="SOQ587" s="14"/>
      <c r="SOR587" s="14"/>
      <c r="SOS587" s="14"/>
      <c r="SOT587" s="14"/>
      <c r="SOU587" s="14"/>
      <c r="SOV587" s="14"/>
      <c r="SOW587" s="14"/>
      <c r="SOX587" s="14"/>
      <c r="SOY587" s="14"/>
      <c r="SOZ587" s="14"/>
      <c r="SPA587" s="14"/>
      <c r="SPB587" s="14"/>
      <c r="SPC587" s="14"/>
      <c r="SPD587" s="14"/>
      <c r="SPE587" s="14"/>
      <c r="SPF587" s="14"/>
      <c r="SPG587" s="14"/>
      <c r="SPH587" s="14"/>
      <c r="SPI587" s="14"/>
      <c r="SPJ587" s="14"/>
      <c r="SPK587" s="14"/>
      <c r="SPL587" s="14"/>
      <c r="SPM587" s="14"/>
      <c r="SPN587" s="14"/>
      <c r="SPO587" s="14"/>
      <c r="SPP587" s="14"/>
      <c r="SPQ587" s="14"/>
      <c r="SPR587" s="14"/>
      <c r="SPS587" s="14"/>
      <c r="SPT587" s="14"/>
      <c r="SPU587" s="14"/>
      <c r="SPV587" s="14"/>
      <c r="SPW587" s="14"/>
      <c r="SPX587" s="14"/>
      <c r="SPY587" s="14"/>
      <c r="SPZ587" s="14"/>
      <c r="SQA587" s="14"/>
      <c r="SQB587" s="14"/>
      <c r="SQC587" s="14"/>
      <c r="SQD587" s="14"/>
      <c r="SQE587" s="14"/>
      <c r="SQF587" s="14"/>
      <c r="SQG587" s="14"/>
      <c r="SQH587" s="14"/>
      <c r="SQI587" s="14"/>
      <c r="SQJ587" s="14"/>
      <c r="SQK587" s="14"/>
      <c r="SQL587" s="14"/>
      <c r="SQM587" s="14"/>
      <c r="SQN587" s="14"/>
      <c r="SQO587" s="14"/>
      <c r="SQP587" s="14"/>
      <c r="SQQ587" s="14"/>
      <c r="SQR587" s="14"/>
      <c r="SQS587" s="14"/>
      <c r="SQT587" s="14"/>
      <c r="SQU587" s="14"/>
      <c r="SQV587" s="14"/>
      <c r="SQW587" s="14"/>
      <c r="SQX587" s="14"/>
      <c r="SQY587" s="14"/>
      <c r="SQZ587" s="14"/>
      <c r="SRA587" s="14"/>
      <c r="SRB587" s="14"/>
      <c r="SRC587" s="14"/>
      <c r="SRD587" s="14"/>
      <c r="SRE587" s="14"/>
      <c r="SRF587" s="14"/>
      <c r="SRG587" s="14"/>
      <c r="SRH587" s="14"/>
      <c r="SRI587" s="14"/>
      <c r="SRJ587" s="14"/>
      <c r="SRK587" s="14"/>
      <c r="SRL587" s="14"/>
      <c r="SRM587" s="14"/>
      <c r="SRN587" s="14"/>
      <c r="SRO587" s="14"/>
      <c r="SRP587" s="14"/>
      <c r="SRQ587" s="14"/>
      <c r="SRR587" s="14"/>
      <c r="SRS587" s="14"/>
      <c r="SRT587" s="14"/>
      <c r="SRU587" s="14"/>
      <c r="SRV587" s="14"/>
      <c r="SRW587" s="14"/>
      <c r="SRX587" s="14"/>
      <c r="SRY587" s="14"/>
      <c r="SRZ587" s="14"/>
      <c r="SSA587" s="14"/>
      <c r="SSB587" s="14"/>
      <c r="SSC587" s="14"/>
      <c r="SSD587" s="14"/>
      <c r="SSE587" s="14"/>
      <c r="SSF587" s="14"/>
      <c r="SSG587" s="14"/>
      <c r="SSH587" s="14"/>
      <c r="SSI587" s="14"/>
      <c r="SSJ587" s="14"/>
      <c r="SSK587" s="14"/>
      <c r="SSL587" s="14"/>
      <c r="SSM587" s="14"/>
      <c r="SSN587" s="14"/>
      <c r="SSO587" s="14"/>
      <c r="SSP587" s="14"/>
      <c r="SSQ587" s="14"/>
      <c r="SSR587" s="14"/>
      <c r="SSS587" s="14"/>
      <c r="SST587" s="14"/>
      <c r="SSU587" s="14"/>
      <c r="SSV587" s="14"/>
      <c r="SSW587" s="14"/>
      <c r="SSX587" s="14"/>
      <c r="SSY587" s="14"/>
      <c r="SSZ587" s="14"/>
      <c r="STA587" s="14"/>
      <c r="STB587" s="14"/>
      <c r="STC587" s="14"/>
      <c r="STD587" s="14"/>
      <c r="STE587" s="14"/>
      <c r="STF587" s="14"/>
      <c r="STG587" s="14"/>
      <c r="STH587" s="14"/>
      <c r="STI587" s="14"/>
      <c r="STJ587" s="14"/>
      <c r="STK587" s="14"/>
      <c r="STL587" s="14"/>
      <c r="STM587" s="14"/>
      <c r="STN587" s="14"/>
      <c r="STO587" s="14"/>
      <c r="STP587" s="14"/>
      <c r="STQ587" s="14"/>
      <c r="STR587" s="14"/>
      <c r="STS587" s="14"/>
      <c r="STT587" s="14"/>
      <c r="STU587" s="14"/>
      <c r="STV587" s="14"/>
      <c r="STW587" s="14"/>
      <c r="STX587" s="14"/>
      <c r="STY587" s="14"/>
      <c r="STZ587" s="14"/>
      <c r="SUA587" s="14"/>
      <c r="SUB587" s="14"/>
      <c r="SUC587" s="14"/>
      <c r="SUD587" s="14"/>
      <c r="SUE587" s="14"/>
      <c r="SUF587" s="14"/>
      <c r="SUG587" s="14"/>
      <c r="SUH587" s="14"/>
      <c r="SUI587" s="14"/>
      <c r="SUJ587" s="14"/>
      <c r="SUK587" s="14"/>
      <c r="SUL587" s="14"/>
      <c r="SUM587" s="14"/>
      <c r="SUN587" s="14"/>
      <c r="SUO587" s="14"/>
      <c r="SUP587" s="14"/>
      <c r="SUQ587" s="14"/>
      <c r="SUR587" s="14"/>
      <c r="SUS587" s="14"/>
      <c r="SUT587" s="14"/>
      <c r="SUU587" s="14"/>
      <c r="SUV587" s="14"/>
      <c r="SUW587" s="14"/>
      <c r="SUX587" s="14"/>
      <c r="SUY587" s="14"/>
      <c r="SUZ587" s="14"/>
      <c r="SVA587" s="14"/>
      <c r="SVB587" s="14"/>
      <c r="SVC587" s="14"/>
      <c r="SVD587" s="14"/>
      <c r="SVE587" s="14"/>
      <c r="SVF587" s="14"/>
      <c r="SVG587" s="14"/>
      <c r="SVH587" s="14"/>
      <c r="SVI587" s="14"/>
      <c r="SVJ587" s="14"/>
      <c r="SVK587" s="14"/>
      <c r="SVL587" s="14"/>
      <c r="SVM587" s="14"/>
      <c r="SVN587" s="14"/>
      <c r="SVO587" s="14"/>
      <c r="SVP587" s="14"/>
      <c r="SVQ587" s="14"/>
      <c r="SVR587" s="14"/>
      <c r="SVS587" s="14"/>
      <c r="SVT587" s="14"/>
      <c r="SVU587" s="14"/>
      <c r="SVV587" s="14"/>
      <c r="SVW587" s="14"/>
      <c r="SVX587" s="14"/>
      <c r="SVY587" s="14"/>
      <c r="SVZ587" s="14"/>
      <c r="SWA587" s="14"/>
      <c r="SWB587" s="14"/>
      <c r="SWC587" s="14"/>
      <c r="SWD587" s="14"/>
      <c r="SWE587" s="14"/>
      <c r="SWF587" s="14"/>
      <c r="SWG587" s="14"/>
      <c r="SWH587" s="14"/>
      <c r="SWI587" s="14"/>
      <c r="SWJ587" s="14"/>
      <c r="SWK587" s="14"/>
      <c r="SWL587" s="14"/>
      <c r="SWM587" s="14"/>
      <c r="SWN587" s="14"/>
      <c r="SWO587" s="14"/>
      <c r="SWP587" s="14"/>
      <c r="SWQ587" s="14"/>
      <c r="SWR587" s="14"/>
      <c r="SWS587" s="14"/>
      <c r="SWT587" s="14"/>
      <c r="SWU587" s="14"/>
      <c r="SWV587" s="14"/>
      <c r="SWW587" s="14"/>
      <c r="SWX587" s="14"/>
      <c r="SWY587" s="14"/>
      <c r="SWZ587" s="14"/>
      <c r="SXA587" s="14"/>
      <c r="SXB587" s="14"/>
      <c r="SXC587" s="14"/>
      <c r="SXD587" s="14"/>
      <c r="SXE587" s="14"/>
      <c r="SXF587" s="14"/>
      <c r="SXG587" s="14"/>
      <c r="SXH587" s="14"/>
      <c r="SXI587" s="14"/>
      <c r="SXJ587" s="14"/>
      <c r="SXK587" s="14"/>
      <c r="SXL587" s="14"/>
      <c r="SXM587" s="14"/>
      <c r="SXN587" s="14"/>
      <c r="SXO587" s="14"/>
      <c r="SXP587" s="14"/>
      <c r="SXQ587" s="14"/>
      <c r="SXR587" s="14"/>
      <c r="SXS587" s="14"/>
      <c r="SXT587" s="14"/>
      <c r="SXU587" s="14"/>
      <c r="SXV587" s="14"/>
      <c r="SXW587" s="14"/>
      <c r="SXX587" s="14"/>
      <c r="SXY587" s="14"/>
      <c r="SXZ587" s="14"/>
      <c r="SYA587" s="14"/>
      <c r="SYB587" s="14"/>
      <c r="SYC587" s="14"/>
      <c r="SYD587" s="14"/>
      <c r="SYE587" s="14"/>
      <c r="SYF587" s="14"/>
      <c r="SYG587" s="14"/>
      <c r="SYH587" s="14"/>
      <c r="SYI587" s="14"/>
      <c r="SYJ587" s="14"/>
      <c r="SYK587" s="14"/>
      <c r="SYL587" s="14"/>
      <c r="SYM587" s="14"/>
      <c r="SYN587" s="14"/>
      <c r="SYO587" s="14"/>
      <c r="SYP587" s="14"/>
      <c r="SYQ587" s="14"/>
      <c r="SYR587" s="14"/>
      <c r="SYS587" s="14"/>
      <c r="SYT587" s="14"/>
      <c r="SYU587" s="14"/>
      <c r="SYV587" s="14"/>
      <c r="SYW587" s="14"/>
      <c r="SYX587" s="14"/>
      <c r="SYY587" s="14"/>
      <c r="SYZ587" s="14"/>
      <c r="SZA587" s="14"/>
      <c r="SZB587" s="14"/>
      <c r="SZC587" s="14"/>
      <c r="SZD587" s="14"/>
      <c r="SZE587" s="14"/>
      <c r="SZF587" s="14"/>
      <c r="SZG587" s="14"/>
      <c r="SZH587" s="14"/>
      <c r="SZI587" s="14"/>
      <c r="SZJ587" s="14"/>
      <c r="SZK587" s="14"/>
      <c r="SZL587" s="14"/>
      <c r="SZM587" s="14"/>
      <c r="SZN587" s="14"/>
      <c r="SZO587" s="14"/>
      <c r="SZP587" s="14"/>
      <c r="SZQ587" s="14"/>
      <c r="SZR587" s="14"/>
      <c r="SZS587" s="14"/>
      <c r="SZT587" s="14"/>
      <c r="SZU587" s="14"/>
      <c r="SZV587" s="14"/>
      <c r="SZW587" s="14"/>
      <c r="SZX587" s="14"/>
      <c r="SZY587" s="14"/>
      <c r="SZZ587" s="14"/>
      <c r="TAA587" s="14"/>
      <c r="TAB587" s="14"/>
      <c r="TAC587" s="14"/>
      <c r="TAD587" s="14"/>
      <c r="TAE587" s="14"/>
      <c r="TAF587" s="14"/>
      <c r="TAG587" s="14"/>
      <c r="TAH587" s="14"/>
      <c r="TAI587" s="14"/>
      <c r="TAJ587" s="14"/>
      <c r="TAK587" s="14"/>
      <c r="TAL587" s="14"/>
      <c r="TAM587" s="14"/>
      <c r="TAN587" s="14"/>
      <c r="TAO587" s="14"/>
      <c r="TAP587" s="14"/>
      <c r="TAQ587" s="14"/>
      <c r="TAR587" s="14"/>
      <c r="TAS587" s="14"/>
      <c r="TAT587" s="14"/>
      <c r="TAU587" s="14"/>
      <c r="TAV587" s="14"/>
      <c r="TAW587" s="14"/>
      <c r="TAX587" s="14"/>
      <c r="TAY587" s="14"/>
      <c r="TAZ587" s="14"/>
      <c r="TBA587" s="14"/>
      <c r="TBB587" s="14"/>
      <c r="TBC587" s="14"/>
      <c r="TBD587" s="14"/>
      <c r="TBE587" s="14"/>
      <c r="TBF587" s="14"/>
      <c r="TBG587" s="14"/>
      <c r="TBH587" s="14"/>
      <c r="TBI587" s="14"/>
      <c r="TBJ587" s="14"/>
      <c r="TBK587" s="14"/>
      <c r="TBL587" s="14"/>
      <c r="TBM587" s="14"/>
      <c r="TBN587" s="14"/>
      <c r="TBO587" s="14"/>
      <c r="TBP587" s="14"/>
      <c r="TBQ587" s="14"/>
      <c r="TBR587" s="14"/>
      <c r="TBS587" s="14"/>
      <c r="TBT587" s="14"/>
      <c r="TBU587" s="14"/>
      <c r="TBV587" s="14"/>
      <c r="TBW587" s="14"/>
      <c r="TBX587" s="14"/>
      <c r="TBY587" s="14"/>
      <c r="TBZ587" s="14"/>
      <c r="TCA587" s="14"/>
      <c r="TCB587" s="14"/>
      <c r="TCC587" s="14"/>
      <c r="TCD587" s="14"/>
      <c r="TCE587" s="14"/>
      <c r="TCF587" s="14"/>
      <c r="TCG587" s="14"/>
      <c r="TCH587" s="14"/>
      <c r="TCI587" s="14"/>
      <c r="TCJ587" s="14"/>
      <c r="TCK587" s="14"/>
      <c r="TCL587" s="14"/>
      <c r="TCM587" s="14"/>
      <c r="TCN587" s="14"/>
      <c r="TCO587" s="14"/>
      <c r="TCP587" s="14"/>
      <c r="TCQ587" s="14"/>
      <c r="TCR587" s="14"/>
      <c r="TCS587" s="14"/>
      <c r="TCT587" s="14"/>
      <c r="TCU587" s="14"/>
      <c r="TCV587" s="14"/>
      <c r="TCW587" s="14"/>
      <c r="TCX587" s="14"/>
      <c r="TCY587" s="14"/>
      <c r="TCZ587" s="14"/>
      <c r="TDA587" s="14"/>
      <c r="TDB587" s="14"/>
      <c r="TDC587" s="14"/>
      <c r="TDD587" s="14"/>
      <c r="TDE587" s="14"/>
      <c r="TDF587" s="14"/>
      <c r="TDG587" s="14"/>
      <c r="TDH587" s="14"/>
      <c r="TDI587" s="14"/>
      <c r="TDJ587" s="14"/>
      <c r="TDK587" s="14"/>
      <c r="TDL587" s="14"/>
      <c r="TDM587" s="14"/>
      <c r="TDN587" s="14"/>
      <c r="TDO587" s="14"/>
      <c r="TDP587" s="14"/>
      <c r="TDQ587" s="14"/>
      <c r="TDR587" s="14"/>
      <c r="TDS587" s="14"/>
      <c r="TDT587" s="14"/>
      <c r="TDU587" s="14"/>
      <c r="TDV587" s="14"/>
      <c r="TDW587" s="14"/>
      <c r="TDX587" s="14"/>
      <c r="TDY587" s="14"/>
      <c r="TDZ587" s="14"/>
      <c r="TEA587" s="14"/>
      <c r="TEB587" s="14"/>
      <c r="TEC587" s="14"/>
      <c r="TED587" s="14"/>
      <c r="TEE587" s="14"/>
      <c r="TEF587" s="14"/>
      <c r="TEG587" s="14"/>
      <c r="TEH587" s="14"/>
      <c r="TEI587" s="14"/>
      <c r="TEJ587" s="14"/>
      <c r="TEK587" s="14"/>
      <c r="TEL587" s="14"/>
      <c r="TEM587" s="14"/>
      <c r="TEN587" s="14"/>
      <c r="TEO587" s="14"/>
      <c r="TEP587" s="14"/>
      <c r="TEQ587" s="14"/>
      <c r="TER587" s="14"/>
      <c r="TES587" s="14"/>
      <c r="TET587" s="14"/>
      <c r="TEU587" s="14"/>
      <c r="TEV587" s="14"/>
      <c r="TEW587" s="14"/>
      <c r="TEX587" s="14"/>
      <c r="TEY587" s="14"/>
      <c r="TEZ587" s="14"/>
      <c r="TFA587" s="14"/>
      <c r="TFB587" s="14"/>
      <c r="TFC587" s="14"/>
      <c r="TFD587" s="14"/>
      <c r="TFE587" s="14"/>
      <c r="TFF587" s="14"/>
      <c r="TFG587" s="14"/>
      <c r="TFH587" s="14"/>
      <c r="TFI587" s="14"/>
      <c r="TFJ587" s="14"/>
      <c r="TFK587" s="14"/>
      <c r="TFL587" s="14"/>
      <c r="TFM587" s="14"/>
      <c r="TFN587" s="14"/>
      <c r="TFO587" s="14"/>
      <c r="TFP587" s="14"/>
      <c r="TFQ587" s="14"/>
      <c r="TFR587" s="14"/>
      <c r="TFS587" s="14"/>
      <c r="TFT587" s="14"/>
      <c r="TFU587" s="14"/>
      <c r="TFV587" s="14"/>
      <c r="TFW587" s="14"/>
      <c r="TFX587" s="14"/>
      <c r="TFY587" s="14"/>
      <c r="TFZ587" s="14"/>
      <c r="TGA587" s="14"/>
      <c r="TGB587" s="14"/>
      <c r="TGC587" s="14"/>
      <c r="TGD587" s="14"/>
      <c r="TGE587" s="14"/>
      <c r="TGF587" s="14"/>
      <c r="TGG587" s="14"/>
      <c r="TGH587" s="14"/>
      <c r="TGI587" s="14"/>
      <c r="TGJ587" s="14"/>
      <c r="TGK587" s="14"/>
      <c r="TGL587" s="14"/>
      <c r="TGM587" s="14"/>
      <c r="TGN587" s="14"/>
      <c r="TGO587" s="14"/>
      <c r="TGP587" s="14"/>
      <c r="TGQ587" s="14"/>
      <c r="TGR587" s="14"/>
      <c r="TGS587" s="14"/>
      <c r="TGT587" s="14"/>
      <c r="TGU587" s="14"/>
      <c r="TGV587" s="14"/>
      <c r="TGW587" s="14"/>
      <c r="TGX587" s="14"/>
      <c r="TGY587" s="14"/>
      <c r="TGZ587" s="14"/>
      <c r="THA587" s="14"/>
      <c r="THB587" s="14"/>
      <c r="THC587" s="14"/>
      <c r="THD587" s="14"/>
      <c r="THE587" s="14"/>
      <c r="THF587" s="14"/>
      <c r="THG587" s="14"/>
      <c r="THH587" s="14"/>
      <c r="THI587" s="14"/>
      <c r="THJ587" s="14"/>
      <c r="THK587" s="14"/>
      <c r="THL587" s="14"/>
      <c r="THM587" s="14"/>
      <c r="THN587" s="14"/>
      <c r="THO587" s="14"/>
      <c r="THP587" s="14"/>
      <c r="THQ587" s="14"/>
      <c r="THR587" s="14"/>
      <c r="THS587" s="14"/>
      <c r="THT587" s="14"/>
      <c r="THU587" s="14"/>
      <c r="THV587" s="14"/>
      <c r="THW587" s="14"/>
      <c r="THX587" s="14"/>
      <c r="THY587" s="14"/>
      <c r="THZ587" s="14"/>
      <c r="TIA587" s="14"/>
      <c r="TIB587" s="14"/>
      <c r="TIC587" s="14"/>
      <c r="TID587" s="14"/>
      <c r="TIE587" s="14"/>
      <c r="TIF587" s="14"/>
      <c r="TIG587" s="14"/>
      <c r="TIH587" s="14"/>
      <c r="TII587" s="14"/>
      <c r="TIJ587" s="14"/>
      <c r="TIK587" s="14"/>
      <c r="TIL587" s="14"/>
      <c r="TIM587" s="14"/>
      <c r="TIN587" s="14"/>
      <c r="TIO587" s="14"/>
      <c r="TIP587" s="14"/>
      <c r="TIQ587" s="14"/>
      <c r="TIR587" s="14"/>
      <c r="TIS587" s="14"/>
      <c r="TIT587" s="14"/>
      <c r="TIU587" s="14"/>
      <c r="TIV587" s="14"/>
      <c r="TIW587" s="14"/>
      <c r="TIX587" s="14"/>
      <c r="TIY587" s="14"/>
      <c r="TIZ587" s="14"/>
      <c r="TJA587" s="14"/>
      <c r="TJB587" s="14"/>
      <c r="TJC587" s="14"/>
      <c r="TJD587" s="14"/>
      <c r="TJE587" s="14"/>
      <c r="TJF587" s="14"/>
      <c r="TJG587" s="14"/>
      <c r="TJH587" s="14"/>
      <c r="TJI587" s="14"/>
      <c r="TJJ587" s="14"/>
      <c r="TJK587" s="14"/>
      <c r="TJL587" s="14"/>
      <c r="TJM587" s="14"/>
      <c r="TJN587" s="14"/>
      <c r="TJO587" s="14"/>
      <c r="TJP587" s="14"/>
      <c r="TJQ587" s="14"/>
      <c r="TJR587" s="14"/>
      <c r="TJS587" s="14"/>
      <c r="TJT587" s="14"/>
      <c r="TJU587" s="14"/>
      <c r="TJV587" s="14"/>
      <c r="TJW587" s="14"/>
      <c r="TJX587" s="14"/>
      <c r="TJY587" s="14"/>
      <c r="TJZ587" s="14"/>
      <c r="TKA587" s="14"/>
      <c r="TKB587" s="14"/>
      <c r="TKC587" s="14"/>
      <c r="TKD587" s="14"/>
      <c r="TKE587" s="14"/>
      <c r="TKF587" s="14"/>
      <c r="TKG587" s="14"/>
      <c r="TKH587" s="14"/>
      <c r="TKI587" s="14"/>
      <c r="TKJ587" s="14"/>
      <c r="TKK587" s="14"/>
      <c r="TKL587" s="14"/>
      <c r="TKM587" s="14"/>
      <c r="TKN587" s="14"/>
      <c r="TKO587" s="14"/>
      <c r="TKP587" s="14"/>
      <c r="TKQ587" s="14"/>
      <c r="TKR587" s="14"/>
      <c r="TKS587" s="14"/>
      <c r="TKT587" s="14"/>
      <c r="TKU587" s="14"/>
      <c r="TKV587" s="14"/>
      <c r="TKW587" s="14"/>
      <c r="TKX587" s="14"/>
      <c r="TKY587" s="14"/>
      <c r="TKZ587" s="14"/>
      <c r="TLA587" s="14"/>
      <c r="TLB587" s="14"/>
      <c r="TLC587" s="14"/>
      <c r="TLD587" s="14"/>
      <c r="TLE587" s="14"/>
      <c r="TLF587" s="14"/>
      <c r="TLG587" s="14"/>
      <c r="TLH587" s="14"/>
      <c r="TLI587" s="14"/>
      <c r="TLJ587" s="14"/>
      <c r="TLK587" s="14"/>
      <c r="TLL587" s="14"/>
      <c r="TLM587" s="14"/>
      <c r="TLN587" s="14"/>
      <c r="TLO587" s="14"/>
      <c r="TLP587" s="14"/>
      <c r="TLQ587" s="14"/>
      <c r="TLR587" s="14"/>
      <c r="TLS587" s="14"/>
      <c r="TLT587" s="14"/>
      <c r="TLU587" s="14"/>
      <c r="TLV587" s="14"/>
      <c r="TLW587" s="14"/>
      <c r="TLX587" s="14"/>
      <c r="TLY587" s="14"/>
      <c r="TLZ587" s="14"/>
      <c r="TMA587" s="14"/>
      <c r="TMB587" s="14"/>
      <c r="TMC587" s="14"/>
      <c r="TMD587" s="14"/>
      <c r="TME587" s="14"/>
      <c r="TMF587" s="14"/>
      <c r="TMG587" s="14"/>
      <c r="TMH587" s="14"/>
      <c r="TMI587" s="14"/>
      <c r="TMJ587" s="14"/>
      <c r="TMK587" s="14"/>
      <c r="TML587" s="14"/>
      <c r="TMM587" s="14"/>
      <c r="TMN587" s="14"/>
      <c r="TMO587" s="14"/>
      <c r="TMP587" s="14"/>
      <c r="TMQ587" s="14"/>
      <c r="TMR587" s="14"/>
      <c r="TMS587" s="14"/>
      <c r="TMT587" s="14"/>
      <c r="TMU587" s="14"/>
      <c r="TMV587" s="14"/>
      <c r="TMW587" s="14"/>
      <c r="TMX587" s="14"/>
      <c r="TMY587" s="14"/>
      <c r="TMZ587" s="14"/>
      <c r="TNA587" s="14"/>
      <c r="TNB587" s="14"/>
      <c r="TNC587" s="14"/>
      <c r="TND587" s="14"/>
      <c r="TNE587" s="14"/>
      <c r="TNF587" s="14"/>
      <c r="TNG587" s="14"/>
      <c r="TNH587" s="14"/>
      <c r="TNI587" s="14"/>
      <c r="TNJ587" s="14"/>
      <c r="TNK587" s="14"/>
      <c r="TNL587" s="14"/>
      <c r="TNM587" s="14"/>
      <c r="TNN587" s="14"/>
      <c r="TNO587" s="14"/>
      <c r="TNP587" s="14"/>
      <c r="TNQ587" s="14"/>
      <c r="TNR587" s="14"/>
      <c r="TNS587" s="14"/>
      <c r="TNT587" s="14"/>
      <c r="TNU587" s="14"/>
      <c r="TNV587" s="14"/>
      <c r="TNW587" s="14"/>
      <c r="TNX587" s="14"/>
      <c r="TNY587" s="14"/>
      <c r="TNZ587" s="14"/>
      <c r="TOA587" s="14"/>
      <c r="TOB587" s="14"/>
      <c r="TOC587" s="14"/>
      <c r="TOD587" s="14"/>
      <c r="TOE587" s="14"/>
      <c r="TOF587" s="14"/>
      <c r="TOG587" s="14"/>
      <c r="TOH587" s="14"/>
      <c r="TOI587" s="14"/>
      <c r="TOJ587" s="14"/>
      <c r="TOK587" s="14"/>
      <c r="TOL587" s="14"/>
      <c r="TOM587" s="14"/>
      <c r="TON587" s="14"/>
      <c r="TOO587" s="14"/>
      <c r="TOP587" s="14"/>
      <c r="TOQ587" s="14"/>
      <c r="TOR587" s="14"/>
      <c r="TOS587" s="14"/>
      <c r="TOT587" s="14"/>
      <c r="TOU587" s="14"/>
      <c r="TOV587" s="14"/>
      <c r="TOW587" s="14"/>
      <c r="TOX587" s="14"/>
      <c r="TOY587" s="14"/>
      <c r="TOZ587" s="14"/>
      <c r="TPA587" s="14"/>
      <c r="TPB587" s="14"/>
      <c r="TPC587" s="14"/>
      <c r="TPD587" s="14"/>
      <c r="TPE587" s="14"/>
      <c r="TPF587" s="14"/>
      <c r="TPG587" s="14"/>
      <c r="TPH587" s="14"/>
      <c r="TPI587" s="14"/>
      <c r="TPJ587" s="14"/>
      <c r="TPK587" s="14"/>
      <c r="TPL587" s="14"/>
      <c r="TPM587" s="14"/>
      <c r="TPN587" s="14"/>
      <c r="TPO587" s="14"/>
      <c r="TPP587" s="14"/>
      <c r="TPQ587" s="14"/>
      <c r="TPR587" s="14"/>
      <c r="TPS587" s="14"/>
      <c r="TPT587" s="14"/>
      <c r="TPU587" s="14"/>
      <c r="TPV587" s="14"/>
      <c r="TPW587" s="14"/>
      <c r="TPX587" s="14"/>
      <c r="TPY587" s="14"/>
      <c r="TPZ587" s="14"/>
      <c r="TQA587" s="14"/>
      <c r="TQB587" s="14"/>
      <c r="TQC587" s="14"/>
      <c r="TQD587" s="14"/>
      <c r="TQE587" s="14"/>
      <c r="TQF587" s="14"/>
      <c r="TQG587" s="14"/>
      <c r="TQH587" s="14"/>
      <c r="TQI587" s="14"/>
      <c r="TQJ587" s="14"/>
      <c r="TQK587" s="14"/>
      <c r="TQL587" s="14"/>
      <c r="TQM587" s="14"/>
      <c r="TQN587" s="14"/>
      <c r="TQO587" s="14"/>
      <c r="TQP587" s="14"/>
      <c r="TQQ587" s="14"/>
      <c r="TQR587" s="14"/>
      <c r="TQS587" s="14"/>
      <c r="TQT587" s="14"/>
      <c r="TQU587" s="14"/>
      <c r="TQV587" s="14"/>
      <c r="TQW587" s="14"/>
      <c r="TQX587" s="14"/>
      <c r="TQY587" s="14"/>
      <c r="TQZ587" s="14"/>
      <c r="TRA587" s="14"/>
      <c r="TRB587" s="14"/>
      <c r="TRC587" s="14"/>
      <c r="TRD587" s="14"/>
      <c r="TRE587" s="14"/>
      <c r="TRF587" s="14"/>
      <c r="TRG587" s="14"/>
      <c r="TRH587" s="14"/>
      <c r="TRI587" s="14"/>
      <c r="TRJ587" s="14"/>
      <c r="TRK587" s="14"/>
      <c r="TRL587" s="14"/>
      <c r="TRM587" s="14"/>
      <c r="TRN587" s="14"/>
      <c r="TRO587" s="14"/>
      <c r="TRP587" s="14"/>
      <c r="TRQ587" s="14"/>
      <c r="TRR587" s="14"/>
      <c r="TRS587" s="14"/>
      <c r="TRT587" s="14"/>
      <c r="TRU587" s="14"/>
      <c r="TRV587" s="14"/>
      <c r="TRW587" s="14"/>
      <c r="TRX587" s="14"/>
      <c r="TRY587" s="14"/>
      <c r="TRZ587" s="14"/>
      <c r="TSA587" s="14"/>
      <c r="TSB587" s="14"/>
      <c r="TSC587" s="14"/>
      <c r="TSD587" s="14"/>
      <c r="TSE587" s="14"/>
      <c r="TSF587" s="14"/>
      <c r="TSG587" s="14"/>
      <c r="TSH587" s="14"/>
      <c r="TSI587" s="14"/>
      <c r="TSJ587" s="14"/>
      <c r="TSK587" s="14"/>
      <c r="TSL587" s="14"/>
      <c r="TSM587" s="14"/>
      <c r="TSN587" s="14"/>
      <c r="TSO587" s="14"/>
      <c r="TSP587" s="14"/>
      <c r="TSQ587" s="14"/>
      <c r="TSR587" s="14"/>
      <c r="TSS587" s="14"/>
      <c r="TST587" s="14"/>
      <c r="TSU587" s="14"/>
      <c r="TSV587" s="14"/>
      <c r="TSW587" s="14"/>
      <c r="TSX587" s="14"/>
      <c r="TSY587" s="14"/>
      <c r="TSZ587" s="14"/>
      <c r="TTA587" s="14"/>
      <c r="TTB587" s="14"/>
      <c r="TTC587" s="14"/>
      <c r="TTD587" s="14"/>
      <c r="TTE587" s="14"/>
      <c r="TTF587" s="14"/>
      <c r="TTG587" s="14"/>
      <c r="TTH587" s="14"/>
      <c r="TTI587" s="14"/>
      <c r="TTJ587" s="14"/>
      <c r="TTK587" s="14"/>
      <c r="TTL587" s="14"/>
      <c r="TTM587" s="14"/>
      <c r="TTN587" s="14"/>
      <c r="TTO587" s="14"/>
      <c r="TTP587" s="14"/>
      <c r="TTQ587" s="14"/>
      <c r="TTR587" s="14"/>
      <c r="TTS587" s="14"/>
      <c r="TTT587" s="14"/>
      <c r="TTU587" s="14"/>
      <c r="TTV587" s="14"/>
      <c r="TTW587" s="14"/>
      <c r="TTX587" s="14"/>
      <c r="TTY587" s="14"/>
      <c r="TTZ587" s="14"/>
      <c r="TUA587" s="14"/>
      <c r="TUB587" s="14"/>
      <c r="TUC587" s="14"/>
      <c r="TUD587" s="14"/>
      <c r="TUE587" s="14"/>
      <c r="TUF587" s="14"/>
      <c r="TUG587" s="14"/>
      <c r="TUH587" s="14"/>
      <c r="TUI587" s="14"/>
      <c r="TUJ587" s="14"/>
      <c r="TUK587" s="14"/>
      <c r="TUL587" s="14"/>
      <c r="TUM587" s="14"/>
      <c r="TUN587" s="14"/>
      <c r="TUO587" s="14"/>
      <c r="TUP587" s="14"/>
      <c r="TUQ587" s="14"/>
      <c r="TUR587" s="14"/>
      <c r="TUS587" s="14"/>
      <c r="TUT587" s="14"/>
      <c r="TUU587" s="14"/>
      <c r="TUV587" s="14"/>
      <c r="TUW587" s="14"/>
      <c r="TUX587" s="14"/>
      <c r="TUY587" s="14"/>
      <c r="TUZ587" s="14"/>
      <c r="TVA587" s="14"/>
      <c r="TVB587" s="14"/>
      <c r="TVC587" s="14"/>
      <c r="TVD587" s="14"/>
      <c r="TVE587" s="14"/>
      <c r="TVF587" s="14"/>
      <c r="TVG587" s="14"/>
      <c r="TVH587" s="14"/>
      <c r="TVI587" s="14"/>
      <c r="TVJ587" s="14"/>
      <c r="TVK587" s="14"/>
      <c r="TVL587" s="14"/>
      <c r="TVM587" s="14"/>
      <c r="TVN587" s="14"/>
      <c r="TVO587" s="14"/>
      <c r="TVP587" s="14"/>
      <c r="TVQ587" s="14"/>
      <c r="TVR587" s="14"/>
      <c r="TVS587" s="14"/>
      <c r="TVT587" s="14"/>
      <c r="TVU587" s="14"/>
      <c r="TVV587" s="14"/>
      <c r="TVW587" s="14"/>
      <c r="TVX587" s="14"/>
      <c r="TVY587" s="14"/>
      <c r="TVZ587" s="14"/>
      <c r="TWA587" s="14"/>
      <c r="TWB587" s="14"/>
      <c r="TWC587" s="14"/>
      <c r="TWD587" s="14"/>
      <c r="TWE587" s="14"/>
      <c r="TWF587" s="14"/>
      <c r="TWG587" s="14"/>
      <c r="TWH587" s="14"/>
      <c r="TWI587" s="14"/>
      <c r="TWJ587" s="14"/>
      <c r="TWK587" s="14"/>
      <c r="TWL587" s="14"/>
      <c r="TWM587" s="14"/>
      <c r="TWN587" s="14"/>
      <c r="TWO587" s="14"/>
      <c r="TWP587" s="14"/>
      <c r="TWQ587" s="14"/>
      <c r="TWR587" s="14"/>
      <c r="TWS587" s="14"/>
      <c r="TWT587" s="14"/>
      <c r="TWU587" s="14"/>
      <c r="TWV587" s="14"/>
      <c r="TWW587" s="14"/>
      <c r="TWX587" s="14"/>
      <c r="TWY587" s="14"/>
      <c r="TWZ587" s="14"/>
      <c r="TXA587" s="14"/>
      <c r="TXB587" s="14"/>
      <c r="TXC587" s="14"/>
      <c r="TXD587" s="14"/>
      <c r="TXE587" s="14"/>
      <c r="TXF587" s="14"/>
      <c r="TXG587" s="14"/>
      <c r="TXH587" s="14"/>
      <c r="TXI587" s="14"/>
      <c r="TXJ587" s="14"/>
      <c r="TXK587" s="14"/>
      <c r="TXL587" s="14"/>
      <c r="TXM587" s="14"/>
      <c r="TXN587" s="14"/>
      <c r="TXO587" s="14"/>
      <c r="TXP587" s="14"/>
      <c r="TXQ587" s="14"/>
      <c r="TXR587" s="14"/>
      <c r="TXS587" s="14"/>
      <c r="TXT587" s="14"/>
      <c r="TXU587" s="14"/>
      <c r="TXV587" s="14"/>
      <c r="TXW587" s="14"/>
      <c r="TXX587" s="14"/>
      <c r="TXY587" s="14"/>
      <c r="TXZ587" s="14"/>
      <c r="TYA587" s="14"/>
      <c r="TYB587" s="14"/>
      <c r="TYC587" s="14"/>
      <c r="TYD587" s="14"/>
      <c r="TYE587" s="14"/>
      <c r="TYF587" s="14"/>
      <c r="TYG587" s="14"/>
      <c r="TYH587" s="14"/>
      <c r="TYI587" s="14"/>
      <c r="TYJ587" s="14"/>
      <c r="TYK587" s="14"/>
      <c r="TYL587" s="14"/>
      <c r="TYM587" s="14"/>
      <c r="TYN587" s="14"/>
      <c r="TYO587" s="14"/>
      <c r="TYP587" s="14"/>
      <c r="TYQ587" s="14"/>
      <c r="TYR587" s="14"/>
      <c r="TYS587" s="14"/>
      <c r="TYT587" s="14"/>
      <c r="TYU587" s="14"/>
      <c r="TYV587" s="14"/>
      <c r="TYW587" s="14"/>
      <c r="TYX587" s="14"/>
      <c r="TYY587" s="14"/>
      <c r="TYZ587" s="14"/>
      <c r="TZA587" s="14"/>
      <c r="TZB587" s="14"/>
      <c r="TZC587" s="14"/>
      <c r="TZD587" s="14"/>
      <c r="TZE587" s="14"/>
      <c r="TZF587" s="14"/>
      <c r="TZG587" s="14"/>
      <c r="TZH587" s="14"/>
      <c r="TZI587" s="14"/>
      <c r="TZJ587" s="14"/>
      <c r="TZK587" s="14"/>
      <c r="TZL587" s="14"/>
      <c r="TZM587" s="14"/>
      <c r="TZN587" s="14"/>
      <c r="TZO587" s="14"/>
      <c r="TZP587" s="14"/>
      <c r="TZQ587" s="14"/>
      <c r="TZR587" s="14"/>
      <c r="TZS587" s="14"/>
      <c r="TZT587" s="14"/>
      <c r="TZU587" s="14"/>
      <c r="TZV587" s="14"/>
      <c r="TZW587" s="14"/>
      <c r="TZX587" s="14"/>
      <c r="TZY587" s="14"/>
      <c r="TZZ587" s="14"/>
      <c r="UAA587" s="14"/>
      <c r="UAB587" s="14"/>
      <c r="UAC587" s="14"/>
      <c r="UAD587" s="14"/>
      <c r="UAE587" s="14"/>
      <c r="UAF587" s="14"/>
      <c r="UAG587" s="14"/>
      <c r="UAH587" s="14"/>
      <c r="UAI587" s="14"/>
      <c r="UAJ587" s="14"/>
      <c r="UAK587" s="14"/>
      <c r="UAL587" s="14"/>
      <c r="UAM587" s="14"/>
      <c r="UAN587" s="14"/>
      <c r="UAO587" s="14"/>
      <c r="UAP587" s="14"/>
      <c r="UAQ587" s="14"/>
      <c r="UAR587" s="14"/>
      <c r="UAS587" s="14"/>
      <c r="UAT587" s="14"/>
      <c r="UAU587" s="14"/>
      <c r="UAV587" s="14"/>
      <c r="UAW587" s="14"/>
      <c r="UAX587" s="14"/>
      <c r="UAY587" s="14"/>
      <c r="UAZ587" s="14"/>
      <c r="UBA587" s="14"/>
      <c r="UBB587" s="14"/>
      <c r="UBC587" s="14"/>
      <c r="UBD587" s="14"/>
      <c r="UBE587" s="14"/>
      <c r="UBF587" s="14"/>
      <c r="UBG587" s="14"/>
      <c r="UBH587" s="14"/>
      <c r="UBI587" s="14"/>
      <c r="UBJ587" s="14"/>
      <c r="UBK587" s="14"/>
      <c r="UBL587" s="14"/>
      <c r="UBM587" s="14"/>
      <c r="UBN587" s="14"/>
      <c r="UBO587" s="14"/>
      <c r="UBP587" s="14"/>
      <c r="UBQ587" s="14"/>
      <c r="UBR587" s="14"/>
      <c r="UBS587" s="14"/>
      <c r="UBT587" s="14"/>
      <c r="UBU587" s="14"/>
      <c r="UBV587" s="14"/>
      <c r="UBW587" s="14"/>
      <c r="UBX587" s="14"/>
      <c r="UBY587" s="14"/>
      <c r="UBZ587" s="14"/>
      <c r="UCA587" s="14"/>
      <c r="UCB587" s="14"/>
      <c r="UCC587" s="14"/>
      <c r="UCD587" s="14"/>
      <c r="UCE587" s="14"/>
      <c r="UCF587" s="14"/>
      <c r="UCG587" s="14"/>
      <c r="UCH587" s="14"/>
      <c r="UCI587" s="14"/>
      <c r="UCJ587" s="14"/>
      <c r="UCK587" s="14"/>
      <c r="UCL587" s="14"/>
      <c r="UCM587" s="14"/>
      <c r="UCN587" s="14"/>
      <c r="UCO587" s="14"/>
      <c r="UCP587" s="14"/>
      <c r="UCQ587" s="14"/>
      <c r="UCR587" s="14"/>
      <c r="UCS587" s="14"/>
      <c r="UCT587" s="14"/>
      <c r="UCU587" s="14"/>
      <c r="UCV587" s="14"/>
      <c r="UCW587" s="14"/>
      <c r="UCX587" s="14"/>
      <c r="UCY587" s="14"/>
      <c r="UCZ587" s="14"/>
      <c r="UDA587" s="14"/>
      <c r="UDB587" s="14"/>
      <c r="UDC587" s="14"/>
      <c r="UDD587" s="14"/>
      <c r="UDE587" s="14"/>
      <c r="UDF587" s="14"/>
      <c r="UDG587" s="14"/>
      <c r="UDH587" s="14"/>
      <c r="UDI587" s="14"/>
      <c r="UDJ587" s="14"/>
      <c r="UDK587" s="14"/>
      <c r="UDL587" s="14"/>
      <c r="UDM587" s="14"/>
      <c r="UDN587" s="14"/>
      <c r="UDO587" s="14"/>
      <c r="UDP587" s="14"/>
      <c r="UDQ587" s="14"/>
      <c r="UDR587" s="14"/>
      <c r="UDS587" s="14"/>
      <c r="UDT587" s="14"/>
      <c r="UDU587" s="14"/>
      <c r="UDV587" s="14"/>
      <c r="UDW587" s="14"/>
      <c r="UDX587" s="14"/>
      <c r="UDY587" s="14"/>
      <c r="UDZ587" s="14"/>
      <c r="UEA587" s="14"/>
      <c r="UEB587" s="14"/>
      <c r="UEC587" s="14"/>
      <c r="UED587" s="14"/>
      <c r="UEE587" s="14"/>
      <c r="UEF587" s="14"/>
      <c r="UEG587" s="14"/>
      <c r="UEH587" s="14"/>
      <c r="UEI587" s="14"/>
      <c r="UEJ587" s="14"/>
      <c r="UEK587" s="14"/>
      <c r="UEL587" s="14"/>
      <c r="UEM587" s="14"/>
      <c r="UEN587" s="14"/>
      <c r="UEO587" s="14"/>
      <c r="UEP587" s="14"/>
      <c r="UEQ587" s="14"/>
      <c r="UER587" s="14"/>
      <c r="UES587" s="14"/>
      <c r="UET587" s="14"/>
      <c r="UEU587" s="14"/>
      <c r="UEV587" s="14"/>
      <c r="UEW587" s="14"/>
      <c r="UEX587" s="14"/>
      <c r="UEY587" s="14"/>
      <c r="UEZ587" s="14"/>
      <c r="UFA587" s="14"/>
      <c r="UFB587" s="14"/>
      <c r="UFC587" s="14"/>
      <c r="UFD587" s="14"/>
      <c r="UFE587" s="14"/>
      <c r="UFF587" s="14"/>
      <c r="UFG587" s="14"/>
      <c r="UFH587" s="14"/>
      <c r="UFI587" s="14"/>
      <c r="UFJ587" s="14"/>
      <c r="UFK587" s="14"/>
      <c r="UFL587" s="14"/>
      <c r="UFM587" s="14"/>
      <c r="UFN587" s="14"/>
      <c r="UFO587" s="14"/>
      <c r="UFP587" s="14"/>
      <c r="UFQ587" s="14"/>
      <c r="UFR587" s="14"/>
      <c r="UFS587" s="14"/>
      <c r="UFT587" s="14"/>
      <c r="UFU587" s="14"/>
      <c r="UFV587" s="14"/>
      <c r="UFW587" s="14"/>
      <c r="UFX587" s="14"/>
      <c r="UFY587" s="14"/>
      <c r="UFZ587" s="14"/>
      <c r="UGA587" s="14"/>
      <c r="UGB587" s="14"/>
      <c r="UGC587" s="14"/>
      <c r="UGD587" s="14"/>
      <c r="UGE587" s="14"/>
      <c r="UGF587" s="14"/>
      <c r="UGG587" s="14"/>
      <c r="UGH587" s="14"/>
      <c r="UGI587" s="14"/>
      <c r="UGJ587" s="14"/>
      <c r="UGK587" s="14"/>
      <c r="UGL587" s="14"/>
      <c r="UGM587" s="14"/>
      <c r="UGN587" s="14"/>
      <c r="UGO587" s="14"/>
      <c r="UGP587" s="14"/>
      <c r="UGQ587" s="14"/>
      <c r="UGR587" s="14"/>
      <c r="UGS587" s="14"/>
      <c r="UGT587" s="14"/>
      <c r="UGU587" s="14"/>
      <c r="UGV587" s="14"/>
      <c r="UGW587" s="14"/>
      <c r="UGX587" s="14"/>
      <c r="UGY587" s="14"/>
      <c r="UGZ587" s="14"/>
      <c r="UHA587" s="14"/>
      <c r="UHB587" s="14"/>
      <c r="UHC587" s="14"/>
      <c r="UHD587" s="14"/>
      <c r="UHE587" s="14"/>
      <c r="UHF587" s="14"/>
      <c r="UHG587" s="14"/>
      <c r="UHH587" s="14"/>
      <c r="UHI587" s="14"/>
      <c r="UHJ587" s="14"/>
      <c r="UHK587" s="14"/>
      <c r="UHL587" s="14"/>
      <c r="UHM587" s="14"/>
      <c r="UHN587" s="14"/>
      <c r="UHO587" s="14"/>
      <c r="UHP587" s="14"/>
      <c r="UHQ587" s="14"/>
      <c r="UHR587" s="14"/>
      <c r="UHS587" s="14"/>
      <c r="UHT587" s="14"/>
      <c r="UHU587" s="14"/>
      <c r="UHV587" s="14"/>
      <c r="UHW587" s="14"/>
      <c r="UHX587" s="14"/>
      <c r="UHY587" s="14"/>
      <c r="UHZ587" s="14"/>
      <c r="UIA587" s="14"/>
      <c r="UIB587" s="14"/>
      <c r="UIC587" s="14"/>
      <c r="UID587" s="14"/>
      <c r="UIE587" s="14"/>
      <c r="UIF587" s="14"/>
      <c r="UIG587" s="14"/>
      <c r="UIH587" s="14"/>
      <c r="UII587" s="14"/>
      <c r="UIJ587" s="14"/>
      <c r="UIK587" s="14"/>
      <c r="UIL587" s="14"/>
      <c r="UIM587" s="14"/>
      <c r="UIN587" s="14"/>
      <c r="UIO587" s="14"/>
      <c r="UIP587" s="14"/>
      <c r="UIQ587" s="14"/>
      <c r="UIR587" s="14"/>
      <c r="UIS587" s="14"/>
      <c r="UIT587" s="14"/>
      <c r="UIU587" s="14"/>
      <c r="UIV587" s="14"/>
      <c r="UIW587" s="14"/>
      <c r="UIX587" s="14"/>
      <c r="UIY587" s="14"/>
      <c r="UIZ587" s="14"/>
      <c r="UJA587" s="14"/>
      <c r="UJB587" s="14"/>
      <c r="UJC587" s="14"/>
      <c r="UJD587" s="14"/>
      <c r="UJE587" s="14"/>
      <c r="UJF587" s="14"/>
      <c r="UJG587" s="14"/>
      <c r="UJH587" s="14"/>
      <c r="UJI587" s="14"/>
      <c r="UJJ587" s="14"/>
      <c r="UJK587" s="14"/>
      <c r="UJL587" s="14"/>
      <c r="UJM587" s="14"/>
      <c r="UJN587" s="14"/>
      <c r="UJO587" s="14"/>
      <c r="UJP587" s="14"/>
      <c r="UJQ587" s="14"/>
      <c r="UJR587" s="14"/>
      <c r="UJS587" s="14"/>
      <c r="UJT587" s="14"/>
      <c r="UJU587" s="14"/>
      <c r="UJV587" s="14"/>
      <c r="UJW587" s="14"/>
      <c r="UJX587" s="14"/>
      <c r="UJY587" s="14"/>
      <c r="UJZ587" s="14"/>
      <c r="UKA587" s="14"/>
      <c r="UKB587" s="14"/>
      <c r="UKC587" s="14"/>
      <c r="UKD587" s="14"/>
      <c r="UKE587" s="14"/>
      <c r="UKF587" s="14"/>
      <c r="UKG587" s="14"/>
      <c r="UKH587" s="14"/>
      <c r="UKI587" s="14"/>
      <c r="UKJ587" s="14"/>
      <c r="UKK587" s="14"/>
      <c r="UKL587" s="14"/>
      <c r="UKM587" s="14"/>
      <c r="UKN587" s="14"/>
      <c r="UKO587" s="14"/>
      <c r="UKP587" s="14"/>
      <c r="UKQ587" s="14"/>
      <c r="UKR587" s="14"/>
      <c r="UKS587" s="14"/>
      <c r="UKT587" s="14"/>
      <c r="UKU587" s="14"/>
      <c r="UKV587" s="14"/>
      <c r="UKW587" s="14"/>
      <c r="UKX587" s="14"/>
      <c r="UKY587" s="14"/>
      <c r="UKZ587" s="14"/>
      <c r="ULA587" s="14"/>
      <c r="ULB587" s="14"/>
      <c r="ULC587" s="14"/>
      <c r="ULD587" s="14"/>
      <c r="ULE587" s="14"/>
      <c r="ULF587" s="14"/>
      <c r="ULG587" s="14"/>
      <c r="ULH587" s="14"/>
      <c r="ULI587" s="14"/>
      <c r="ULJ587" s="14"/>
      <c r="ULK587" s="14"/>
      <c r="ULL587" s="14"/>
      <c r="ULM587" s="14"/>
      <c r="ULN587" s="14"/>
      <c r="ULO587" s="14"/>
      <c r="ULP587" s="14"/>
      <c r="ULQ587" s="14"/>
      <c r="ULR587" s="14"/>
      <c r="ULS587" s="14"/>
      <c r="ULT587" s="14"/>
      <c r="ULU587" s="14"/>
      <c r="ULV587" s="14"/>
      <c r="ULW587" s="14"/>
      <c r="ULX587" s="14"/>
      <c r="ULY587" s="14"/>
      <c r="ULZ587" s="14"/>
      <c r="UMA587" s="14"/>
      <c r="UMB587" s="14"/>
      <c r="UMC587" s="14"/>
      <c r="UMD587" s="14"/>
      <c r="UME587" s="14"/>
      <c r="UMF587" s="14"/>
      <c r="UMG587" s="14"/>
      <c r="UMH587" s="14"/>
      <c r="UMI587" s="14"/>
      <c r="UMJ587" s="14"/>
      <c r="UMK587" s="14"/>
      <c r="UML587" s="14"/>
      <c r="UMM587" s="14"/>
      <c r="UMN587" s="14"/>
      <c r="UMO587" s="14"/>
      <c r="UMP587" s="14"/>
      <c r="UMQ587" s="14"/>
      <c r="UMR587" s="14"/>
      <c r="UMS587" s="14"/>
      <c r="UMT587" s="14"/>
      <c r="UMU587" s="14"/>
      <c r="UMV587" s="14"/>
      <c r="UMW587" s="14"/>
      <c r="UMX587" s="14"/>
      <c r="UMY587" s="14"/>
      <c r="UMZ587" s="14"/>
      <c r="UNA587" s="14"/>
      <c r="UNB587" s="14"/>
      <c r="UNC587" s="14"/>
      <c r="UND587" s="14"/>
      <c r="UNE587" s="14"/>
      <c r="UNF587" s="14"/>
      <c r="UNG587" s="14"/>
      <c r="UNH587" s="14"/>
      <c r="UNI587" s="14"/>
      <c r="UNJ587" s="14"/>
      <c r="UNK587" s="14"/>
      <c r="UNL587" s="14"/>
      <c r="UNM587" s="14"/>
      <c r="UNN587" s="14"/>
      <c r="UNO587" s="14"/>
      <c r="UNP587" s="14"/>
      <c r="UNQ587" s="14"/>
      <c r="UNR587" s="14"/>
      <c r="UNS587" s="14"/>
      <c r="UNT587" s="14"/>
      <c r="UNU587" s="14"/>
      <c r="UNV587" s="14"/>
      <c r="UNW587" s="14"/>
      <c r="UNX587" s="14"/>
      <c r="UNY587" s="14"/>
      <c r="UNZ587" s="14"/>
      <c r="UOA587" s="14"/>
      <c r="UOB587" s="14"/>
      <c r="UOC587" s="14"/>
      <c r="UOD587" s="14"/>
      <c r="UOE587" s="14"/>
      <c r="UOF587" s="14"/>
      <c r="UOG587" s="14"/>
      <c r="UOH587" s="14"/>
      <c r="UOI587" s="14"/>
      <c r="UOJ587" s="14"/>
      <c r="UOK587" s="14"/>
      <c r="UOL587" s="14"/>
      <c r="UOM587" s="14"/>
      <c r="UON587" s="14"/>
      <c r="UOO587" s="14"/>
      <c r="UOP587" s="14"/>
      <c r="UOQ587" s="14"/>
      <c r="UOR587" s="14"/>
      <c r="UOS587" s="14"/>
      <c r="UOT587" s="14"/>
      <c r="UOU587" s="14"/>
      <c r="UOV587" s="14"/>
      <c r="UOW587" s="14"/>
      <c r="UOX587" s="14"/>
      <c r="UOY587" s="14"/>
      <c r="UOZ587" s="14"/>
      <c r="UPA587" s="14"/>
      <c r="UPB587" s="14"/>
      <c r="UPC587" s="14"/>
      <c r="UPD587" s="14"/>
      <c r="UPE587" s="14"/>
      <c r="UPF587" s="14"/>
      <c r="UPG587" s="14"/>
      <c r="UPH587" s="14"/>
      <c r="UPI587" s="14"/>
      <c r="UPJ587" s="14"/>
      <c r="UPK587" s="14"/>
      <c r="UPL587" s="14"/>
      <c r="UPM587" s="14"/>
      <c r="UPN587" s="14"/>
      <c r="UPO587" s="14"/>
      <c r="UPP587" s="14"/>
      <c r="UPQ587" s="14"/>
      <c r="UPR587" s="14"/>
      <c r="UPS587" s="14"/>
      <c r="UPT587" s="14"/>
      <c r="UPU587" s="14"/>
      <c r="UPV587" s="14"/>
      <c r="UPW587" s="14"/>
      <c r="UPX587" s="14"/>
      <c r="UPY587" s="14"/>
      <c r="UPZ587" s="14"/>
      <c r="UQA587" s="14"/>
      <c r="UQB587" s="14"/>
      <c r="UQC587" s="14"/>
      <c r="UQD587" s="14"/>
      <c r="UQE587" s="14"/>
      <c r="UQF587" s="14"/>
      <c r="UQG587" s="14"/>
      <c r="UQH587" s="14"/>
      <c r="UQI587" s="14"/>
      <c r="UQJ587" s="14"/>
      <c r="UQK587" s="14"/>
      <c r="UQL587" s="14"/>
      <c r="UQM587" s="14"/>
      <c r="UQN587" s="14"/>
      <c r="UQO587" s="14"/>
      <c r="UQP587" s="14"/>
      <c r="UQQ587" s="14"/>
      <c r="UQR587" s="14"/>
      <c r="UQS587" s="14"/>
      <c r="UQT587" s="14"/>
      <c r="UQU587" s="14"/>
      <c r="UQV587" s="14"/>
      <c r="UQW587" s="14"/>
      <c r="UQX587" s="14"/>
      <c r="UQY587" s="14"/>
      <c r="UQZ587" s="14"/>
      <c r="URA587" s="14"/>
      <c r="URB587" s="14"/>
      <c r="URC587" s="14"/>
      <c r="URD587" s="14"/>
      <c r="URE587" s="14"/>
      <c r="URF587" s="14"/>
      <c r="URG587" s="14"/>
      <c r="URH587" s="14"/>
      <c r="URI587" s="14"/>
      <c r="URJ587" s="14"/>
      <c r="URK587" s="14"/>
      <c r="URL587" s="14"/>
      <c r="URM587" s="14"/>
      <c r="URN587" s="14"/>
      <c r="URO587" s="14"/>
      <c r="URP587" s="14"/>
      <c r="URQ587" s="14"/>
      <c r="URR587" s="14"/>
      <c r="URS587" s="14"/>
      <c r="URT587" s="14"/>
      <c r="URU587" s="14"/>
      <c r="URV587" s="14"/>
      <c r="URW587" s="14"/>
      <c r="URX587" s="14"/>
      <c r="URY587" s="14"/>
      <c r="URZ587" s="14"/>
      <c r="USA587" s="14"/>
      <c r="USB587" s="14"/>
      <c r="USC587" s="14"/>
      <c r="USD587" s="14"/>
      <c r="USE587" s="14"/>
      <c r="USF587" s="14"/>
      <c r="USG587" s="14"/>
      <c r="USH587" s="14"/>
      <c r="USI587" s="14"/>
      <c r="USJ587" s="14"/>
      <c r="USK587" s="14"/>
      <c r="USL587" s="14"/>
      <c r="USM587" s="14"/>
      <c r="USN587" s="14"/>
      <c r="USO587" s="14"/>
      <c r="USP587" s="14"/>
      <c r="USQ587" s="14"/>
      <c r="USR587" s="14"/>
      <c r="USS587" s="14"/>
      <c r="UST587" s="14"/>
      <c r="USU587" s="14"/>
      <c r="USV587" s="14"/>
      <c r="USW587" s="14"/>
      <c r="USX587" s="14"/>
      <c r="USY587" s="14"/>
      <c r="USZ587" s="14"/>
      <c r="UTA587" s="14"/>
      <c r="UTB587" s="14"/>
      <c r="UTC587" s="14"/>
      <c r="UTD587" s="14"/>
      <c r="UTE587" s="14"/>
      <c r="UTF587" s="14"/>
      <c r="UTG587" s="14"/>
      <c r="UTH587" s="14"/>
      <c r="UTI587" s="14"/>
      <c r="UTJ587" s="14"/>
      <c r="UTK587" s="14"/>
      <c r="UTL587" s="14"/>
      <c r="UTM587" s="14"/>
      <c r="UTN587" s="14"/>
      <c r="UTO587" s="14"/>
      <c r="UTP587" s="14"/>
      <c r="UTQ587" s="14"/>
      <c r="UTR587" s="14"/>
      <c r="UTS587" s="14"/>
      <c r="UTT587" s="14"/>
      <c r="UTU587" s="14"/>
      <c r="UTV587" s="14"/>
      <c r="UTW587" s="14"/>
      <c r="UTX587" s="14"/>
      <c r="UTY587" s="14"/>
      <c r="UTZ587" s="14"/>
      <c r="UUA587" s="14"/>
      <c r="UUB587" s="14"/>
      <c r="UUC587" s="14"/>
      <c r="UUD587" s="14"/>
      <c r="UUE587" s="14"/>
      <c r="UUF587" s="14"/>
      <c r="UUG587" s="14"/>
      <c r="UUH587" s="14"/>
      <c r="UUI587" s="14"/>
      <c r="UUJ587" s="14"/>
      <c r="UUK587" s="14"/>
      <c r="UUL587" s="14"/>
      <c r="UUM587" s="14"/>
      <c r="UUN587" s="14"/>
      <c r="UUO587" s="14"/>
      <c r="UUP587" s="14"/>
      <c r="UUQ587" s="14"/>
      <c r="UUR587" s="14"/>
      <c r="UUS587" s="14"/>
      <c r="UUT587" s="14"/>
      <c r="UUU587" s="14"/>
      <c r="UUV587" s="14"/>
      <c r="UUW587" s="14"/>
      <c r="UUX587" s="14"/>
      <c r="UUY587" s="14"/>
      <c r="UUZ587" s="14"/>
      <c r="UVA587" s="14"/>
      <c r="UVB587" s="14"/>
      <c r="UVC587" s="14"/>
      <c r="UVD587" s="14"/>
      <c r="UVE587" s="14"/>
      <c r="UVF587" s="14"/>
      <c r="UVG587" s="14"/>
      <c r="UVH587" s="14"/>
      <c r="UVI587" s="14"/>
      <c r="UVJ587" s="14"/>
      <c r="UVK587" s="14"/>
      <c r="UVL587" s="14"/>
      <c r="UVM587" s="14"/>
      <c r="UVN587" s="14"/>
      <c r="UVO587" s="14"/>
      <c r="UVP587" s="14"/>
      <c r="UVQ587" s="14"/>
      <c r="UVR587" s="14"/>
      <c r="UVS587" s="14"/>
      <c r="UVT587" s="14"/>
      <c r="UVU587" s="14"/>
      <c r="UVV587" s="14"/>
      <c r="UVW587" s="14"/>
      <c r="UVX587" s="14"/>
      <c r="UVY587" s="14"/>
      <c r="UVZ587" s="14"/>
      <c r="UWA587" s="14"/>
      <c r="UWB587" s="14"/>
      <c r="UWC587" s="14"/>
      <c r="UWD587" s="14"/>
      <c r="UWE587" s="14"/>
      <c r="UWF587" s="14"/>
      <c r="UWG587" s="14"/>
      <c r="UWH587" s="14"/>
      <c r="UWI587" s="14"/>
      <c r="UWJ587" s="14"/>
      <c r="UWK587" s="14"/>
      <c r="UWL587" s="14"/>
      <c r="UWM587" s="14"/>
      <c r="UWN587" s="14"/>
      <c r="UWO587" s="14"/>
      <c r="UWP587" s="14"/>
      <c r="UWQ587" s="14"/>
      <c r="UWR587" s="14"/>
      <c r="UWS587" s="14"/>
      <c r="UWT587" s="14"/>
      <c r="UWU587" s="14"/>
      <c r="UWV587" s="14"/>
      <c r="UWW587" s="14"/>
      <c r="UWX587" s="14"/>
      <c r="UWY587" s="14"/>
      <c r="UWZ587" s="14"/>
      <c r="UXA587" s="14"/>
      <c r="UXB587" s="14"/>
      <c r="UXC587" s="14"/>
      <c r="UXD587" s="14"/>
      <c r="UXE587" s="14"/>
      <c r="UXF587" s="14"/>
      <c r="UXG587" s="14"/>
      <c r="UXH587" s="14"/>
      <c r="UXI587" s="14"/>
      <c r="UXJ587" s="14"/>
      <c r="UXK587" s="14"/>
      <c r="UXL587" s="14"/>
      <c r="UXM587" s="14"/>
      <c r="UXN587" s="14"/>
      <c r="UXO587" s="14"/>
      <c r="UXP587" s="14"/>
      <c r="UXQ587" s="14"/>
      <c r="UXR587" s="14"/>
      <c r="UXS587" s="14"/>
      <c r="UXT587" s="14"/>
      <c r="UXU587" s="14"/>
      <c r="UXV587" s="14"/>
      <c r="UXW587" s="14"/>
      <c r="UXX587" s="14"/>
      <c r="UXY587" s="14"/>
      <c r="UXZ587" s="14"/>
      <c r="UYA587" s="14"/>
      <c r="UYB587" s="14"/>
      <c r="UYC587" s="14"/>
      <c r="UYD587" s="14"/>
      <c r="UYE587" s="14"/>
      <c r="UYF587" s="14"/>
      <c r="UYG587" s="14"/>
      <c r="UYH587" s="14"/>
      <c r="UYI587" s="14"/>
      <c r="UYJ587" s="14"/>
      <c r="UYK587" s="14"/>
      <c r="UYL587" s="14"/>
      <c r="UYM587" s="14"/>
      <c r="UYN587" s="14"/>
      <c r="UYO587" s="14"/>
      <c r="UYP587" s="14"/>
      <c r="UYQ587" s="14"/>
      <c r="UYR587" s="14"/>
      <c r="UYS587" s="14"/>
      <c r="UYT587" s="14"/>
      <c r="UYU587" s="14"/>
      <c r="UYV587" s="14"/>
      <c r="UYW587" s="14"/>
      <c r="UYX587" s="14"/>
      <c r="UYY587" s="14"/>
      <c r="UYZ587" s="14"/>
      <c r="UZA587" s="14"/>
      <c r="UZB587" s="14"/>
      <c r="UZC587" s="14"/>
      <c r="UZD587" s="14"/>
      <c r="UZE587" s="14"/>
      <c r="UZF587" s="14"/>
      <c r="UZG587" s="14"/>
      <c r="UZH587" s="14"/>
      <c r="UZI587" s="14"/>
      <c r="UZJ587" s="14"/>
      <c r="UZK587" s="14"/>
      <c r="UZL587" s="14"/>
      <c r="UZM587" s="14"/>
      <c r="UZN587" s="14"/>
      <c r="UZO587" s="14"/>
      <c r="UZP587" s="14"/>
      <c r="UZQ587" s="14"/>
      <c r="UZR587" s="14"/>
      <c r="UZS587" s="14"/>
      <c r="UZT587" s="14"/>
      <c r="UZU587" s="14"/>
      <c r="UZV587" s="14"/>
      <c r="UZW587" s="14"/>
      <c r="UZX587" s="14"/>
      <c r="UZY587" s="14"/>
      <c r="UZZ587" s="14"/>
      <c r="VAA587" s="14"/>
      <c r="VAB587" s="14"/>
      <c r="VAC587" s="14"/>
      <c r="VAD587" s="14"/>
      <c r="VAE587" s="14"/>
      <c r="VAF587" s="14"/>
      <c r="VAG587" s="14"/>
      <c r="VAH587" s="14"/>
      <c r="VAI587" s="14"/>
      <c r="VAJ587" s="14"/>
      <c r="VAK587" s="14"/>
      <c r="VAL587" s="14"/>
      <c r="VAM587" s="14"/>
      <c r="VAN587" s="14"/>
      <c r="VAO587" s="14"/>
      <c r="VAP587" s="14"/>
      <c r="VAQ587" s="14"/>
      <c r="VAR587" s="14"/>
      <c r="VAS587" s="14"/>
      <c r="VAT587" s="14"/>
      <c r="VAU587" s="14"/>
      <c r="VAV587" s="14"/>
      <c r="VAW587" s="14"/>
      <c r="VAX587" s="14"/>
      <c r="VAY587" s="14"/>
      <c r="VAZ587" s="14"/>
      <c r="VBA587" s="14"/>
      <c r="VBB587" s="14"/>
      <c r="VBC587" s="14"/>
      <c r="VBD587" s="14"/>
      <c r="VBE587" s="14"/>
      <c r="VBF587" s="14"/>
      <c r="VBG587" s="14"/>
      <c r="VBH587" s="14"/>
      <c r="VBI587" s="14"/>
      <c r="VBJ587" s="14"/>
      <c r="VBK587" s="14"/>
      <c r="VBL587" s="14"/>
      <c r="VBM587" s="14"/>
      <c r="VBN587" s="14"/>
      <c r="VBO587" s="14"/>
      <c r="VBP587" s="14"/>
      <c r="VBQ587" s="14"/>
      <c r="VBR587" s="14"/>
      <c r="VBS587" s="14"/>
      <c r="VBT587" s="14"/>
      <c r="VBU587" s="14"/>
      <c r="VBV587" s="14"/>
      <c r="VBW587" s="14"/>
      <c r="VBX587" s="14"/>
      <c r="VBY587" s="14"/>
      <c r="VBZ587" s="14"/>
      <c r="VCA587" s="14"/>
      <c r="VCB587" s="14"/>
      <c r="VCC587" s="14"/>
      <c r="VCD587" s="14"/>
      <c r="VCE587" s="14"/>
      <c r="VCF587" s="14"/>
      <c r="VCG587" s="14"/>
      <c r="VCH587" s="14"/>
      <c r="VCI587" s="14"/>
      <c r="VCJ587" s="14"/>
      <c r="VCK587" s="14"/>
      <c r="VCL587" s="14"/>
      <c r="VCM587" s="14"/>
      <c r="VCN587" s="14"/>
      <c r="VCO587" s="14"/>
      <c r="VCP587" s="14"/>
      <c r="VCQ587" s="14"/>
      <c r="VCR587" s="14"/>
      <c r="VCS587" s="14"/>
      <c r="VCT587" s="14"/>
      <c r="VCU587" s="14"/>
      <c r="VCV587" s="14"/>
      <c r="VCW587" s="14"/>
      <c r="VCX587" s="14"/>
      <c r="VCY587" s="14"/>
      <c r="VCZ587" s="14"/>
      <c r="VDA587" s="14"/>
      <c r="VDB587" s="14"/>
      <c r="VDC587" s="14"/>
      <c r="VDD587" s="14"/>
      <c r="VDE587" s="14"/>
      <c r="VDF587" s="14"/>
      <c r="VDG587" s="14"/>
      <c r="VDH587" s="14"/>
      <c r="VDI587" s="14"/>
      <c r="VDJ587" s="14"/>
      <c r="VDK587" s="14"/>
      <c r="VDL587" s="14"/>
      <c r="VDM587" s="14"/>
      <c r="VDN587" s="14"/>
      <c r="VDO587" s="14"/>
      <c r="VDP587" s="14"/>
      <c r="VDQ587" s="14"/>
      <c r="VDR587" s="14"/>
      <c r="VDS587" s="14"/>
      <c r="VDT587" s="14"/>
      <c r="VDU587" s="14"/>
      <c r="VDV587" s="14"/>
      <c r="VDW587" s="14"/>
      <c r="VDX587" s="14"/>
      <c r="VDY587" s="14"/>
      <c r="VDZ587" s="14"/>
      <c r="VEA587" s="14"/>
      <c r="VEB587" s="14"/>
      <c r="VEC587" s="14"/>
      <c r="VED587" s="14"/>
      <c r="VEE587" s="14"/>
      <c r="VEF587" s="14"/>
      <c r="VEG587" s="14"/>
      <c r="VEH587" s="14"/>
      <c r="VEI587" s="14"/>
      <c r="VEJ587" s="14"/>
      <c r="VEK587" s="14"/>
      <c r="VEL587" s="14"/>
      <c r="VEM587" s="14"/>
      <c r="VEN587" s="14"/>
      <c r="VEO587" s="14"/>
      <c r="VEP587" s="14"/>
      <c r="VEQ587" s="14"/>
      <c r="VER587" s="14"/>
      <c r="VES587" s="14"/>
      <c r="VET587" s="14"/>
      <c r="VEU587" s="14"/>
      <c r="VEV587" s="14"/>
      <c r="VEW587" s="14"/>
      <c r="VEX587" s="14"/>
      <c r="VEY587" s="14"/>
      <c r="VEZ587" s="14"/>
      <c r="VFA587" s="14"/>
      <c r="VFB587" s="14"/>
      <c r="VFC587" s="14"/>
      <c r="VFD587" s="14"/>
      <c r="VFE587" s="14"/>
      <c r="VFF587" s="14"/>
      <c r="VFG587" s="14"/>
      <c r="VFH587" s="14"/>
      <c r="VFI587" s="14"/>
      <c r="VFJ587" s="14"/>
      <c r="VFK587" s="14"/>
      <c r="VFL587" s="14"/>
      <c r="VFM587" s="14"/>
      <c r="VFN587" s="14"/>
      <c r="VFO587" s="14"/>
      <c r="VFP587" s="14"/>
      <c r="VFQ587" s="14"/>
      <c r="VFR587" s="14"/>
      <c r="VFS587" s="14"/>
      <c r="VFT587" s="14"/>
      <c r="VFU587" s="14"/>
      <c r="VFV587" s="14"/>
      <c r="VFW587" s="14"/>
      <c r="VFX587" s="14"/>
      <c r="VFY587" s="14"/>
      <c r="VFZ587" s="14"/>
      <c r="VGA587" s="14"/>
      <c r="VGB587" s="14"/>
      <c r="VGC587" s="14"/>
      <c r="VGD587" s="14"/>
      <c r="VGE587" s="14"/>
      <c r="VGF587" s="14"/>
      <c r="VGG587" s="14"/>
      <c r="VGH587" s="14"/>
      <c r="VGI587" s="14"/>
      <c r="VGJ587" s="14"/>
      <c r="VGK587" s="14"/>
      <c r="VGL587" s="14"/>
      <c r="VGM587" s="14"/>
      <c r="VGN587" s="14"/>
      <c r="VGO587" s="14"/>
      <c r="VGP587" s="14"/>
      <c r="VGQ587" s="14"/>
      <c r="VGR587" s="14"/>
      <c r="VGS587" s="14"/>
      <c r="VGT587" s="14"/>
      <c r="VGU587" s="14"/>
      <c r="VGV587" s="14"/>
      <c r="VGW587" s="14"/>
      <c r="VGX587" s="14"/>
      <c r="VGY587" s="14"/>
      <c r="VGZ587" s="14"/>
      <c r="VHA587" s="14"/>
      <c r="VHB587" s="14"/>
      <c r="VHC587" s="14"/>
      <c r="VHD587" s="14"/>
      <c r="VHE587" s="14"/>
      <c r="VHF587" s="14"/>
      <c r="VHG587" s="14"/>
      <c r="VHH587" s="14"/>
      <c r="VHI587" s="14"/>
      <c r="VHJ587" s="14"/>
      <c r="VHK587" s="14"/>
      <c r="VHL587" s="14"/>
      <c r="VHM587" s="14"/>
      <c r="VHN587" s="14"/>
      <c r="VHO587" s="14"/>
      <c r="VHP587" s="14"/>
      <c r="VHQ587" s="14"/>
      <c r="VHR587" s="14"/>
      <c r="VHS587" s="14"/>
      <c r="VHT587" s="14"/>
      <c r="VHU587" s="14"/>
      <c r="VHV587" s="14"/>
      <c r="VHW587" s="14"/>
      <c r="VHX587" s="14"/>
      <c r="VHY587" s="14"/>
      <c r="VHZ587" s="14"/>
      <c r="VIA587" s="14"/>
      <c r="VIB587" s="14"/>
      <c r="VIC587" s="14"/>
      <c r="VID587" s="14"/>
      <c r="VIE587" s="14"/>
      <c r="VIF587" s="14"/>
      <c r="VIG587" s="14"/>
      <c r="VIH587" s="14"/>
      <c r="VII587" s="14"/>
      <c r="VIJ587" s="14"/>
      <c r="VIK587" s="14"/>
      <c r="VIL587" s="14"/>
      <c r="VIM587" s="14"/>
      <c r="VIN587" s="14"/>
      <c r="VIO587" s="14"/>
      <c r="VIP587" s="14"/>
      <c r="VIQ587" s="14"/>
      <c r="VIR587" s="14"/>
      <c r="VIS587" s="14"/>
      <c r="VIT587" s="14"/>
      <c r="VIU587" s="14"/>
      <c r="VIV587" s="14"/>
      <c r="VIW587" s="14"/>
      <c r="VIX587" s="14"/>
      <c r="VIY587" s="14"/>
      <c r="VIZ587" s="14"/>
      <c r="VJA587" s="14"/>
      <c r="VJB587" s="14"/>
      <c r="VJC587" s="14"/>
      <c r="VJD587" s="14"/>
      <c r="VJE587" s="14"/>
      <c r="VJF587" s="14"/>
      <c r="VJG587" s="14"/>
      <c r="VJH587" s="14"/>
      <c r="VJI587" s="14"/>
      <c r="VJJ587" s="14"/>
      <c r="VJK587" s="14"/>
      <c r="VJL587" s="14"/>
      <c r="VJM587" s="14"/>
      <c r="VJN587" s="14"/>
      <c r="VJO587" s="14"/>
      <c r="VJP587" s="14"/>
      <c r="VJQ587" s="14"/>
      <c r="VJR587" s="14"/>
      <c r="VJS587" s="14"/>
      <c r="VJT587" s="14"/>
      <c r="VJU587" s="14"/>
      <c r="VJV587" s="14"/>
      <c r="VJW587" s="14"/>
      <c r="VJX587" s="14"/>
      <c r="VJY587" s="14"/>
      <c r="VJZ587" s="14"/>
      <c r="VKA587" s="14"/>
      <c r="VKB587" s="14"/>
      <c r="VKC587" s="14"/>
      <c r="VKD587" s="14"/>
      <c r="VKE587" s="14"/>
      <c r="VKF587" s="14"/>
      <c r="VKG587" s="14"/>
      <c r="VKH587" s="14"/>
      <c r="VKI587" s="14"/>
      <c r="VKJ587" s="14"/>
      <c r="VKK587" s="14"/>
      <c r="VKL587" s="14"/>
      <c r="VKM587" s="14"/>
      <c r="VKN587" s="14"/>
      <c r="VKO587" s="14"/>
      <c r="VKP587" s="14"/>
      <c r="VKQ587" s="14"/>
      <c r="VKR587" s="14"/>
      <c r="VKS587" s="14"/>
      <c r="VKT587" s="14"/>
      <c r="VKU587" s="14"/>
      <c r="VKV587" s="14"/>
      <c r="VKW587" s="14"/>
      <c r="VKX587" s="14"/>
      <c r="VKY587" s="14"/>
      <c r="VKZ587" s="14"/>
      <c r="VLA587" s="14"/>
      <c r="VLB587" s="14"/>
      <c r="VLC587" s="14"/>
      <c r="VLD587" s="14"/>
      <c r="VLE587" s="14"/>
      <c r="VLF587" s="14"/>
      <c r="VLG587" s="14"/>
      <c r="VLH587" s="14"/>
      <c r="VLI587" s="14"/>
      <c r="VLJ587" s="14"/>
      <c r="VLK587" s="14"/>
      <c r="VLL587" s="14"/>
      <c r="VLM587" s="14"/>
      <c r="VLN587" s="14"/>
      <c r="VLO587" s="14"/>
      <c r="VLP587" s="14"/>
      <c r="VLQ587" s="14"/>
      <c r="VLR587" s="14"/>
      <c r="VLS587" s="14"/>
      <c r="VLT587" s="14"/>
      <c r="VLU587" s="14"/>
      <c r="VLV587" s="14"/>
      <c r="VLW587" s="14"/>
      <c r="VLX587" s="14"/>
      <c r="VLY587" s="14"/>
      <c r="VLZ587" s="14"/>
      <c r="VMA587" s="14"/>
      <c r="VMB587" s="14"/>
      <c r="VMC587" s="14"/>
      <c r="VMD587" s="14"/>
      <c r="VME587" s="14"/>
      <c r="VMF587" s="14"/>
      <c r="VMG587" s="14"/>
      <c r="VMH587" s="14"/>
      <c r="VMI587" s="14"/>
      <c r="VMJ587" s="14"/>
      <c r="VMK587" s="14"/>
      <c r="VML587" s="14"/>
      <c r="VMM587" s="14"/>
      <c r="VMN587" s="14"/>
      <c r="VMO587" s="14"/>
      <c r="VMP587" s="14"/>
      <c r="VMQ587" s="14"/>
      <c r="VMR587" s="14"/>
      <c r="VMS587" s="14"/>
      <c r="VMT587" s="14"/>
      <c r="VMU587" s="14"/>
      <c r="VMV587" s="14"/>
      <c r="VMW587" s="14"/>
      <c r="VMX587" s="14"/>
      <c r="VMY587" s="14"/>
      <c r="VMZ587" s="14"/>
      <c r="VNA587" s="14"/>
      <c r="VNB587" s="14"/>
      <c r="VNC587" s="14"/>
      <c r="VND587" s="14"/>
      <c r="VNE587" s="14"/>
      <c r="VNF587" s="14"/>
      <c r="VNG587" s="14"/>
      <c r="VNH587" s="14"/>
      <c r="VNI587" s="14"/>
      <c r="VNJ587" s="14"/>
      <c r="VNK587" s="14"/>
      <c r="VNL587" s="14"/>
      <c r="VNM587" s="14"/>
      <c r="VNN587" s="14"/>
      <c r="VNO587" s="14"/>
      <c r="VNP587" s="14"/>
      <c r="VNQ587" s="14"/>
      <c r="VNR587" s="14"/>
      <c r="VNS587" s="14"/>
      <c r="VNT587" s="14"/>
      <c r="VNU587" s="14"/>
      <c r="VNV587" s="14"/>
      <c r="VNW587" s="14"/>
      <c r="VNX587" s="14"/>
      <c r="VNY587" s="14"/>
      <c r="VNZ587" s="14"/>
      <c r="VOA587" s="14"/>
      <c r="VOB587" s="14"/>
      <c r="VOC587" s="14"/>
      <c r="VOD587" s="14"/>
      <c r="VOE587" s="14"/>
      <c r="VOF587" s="14"/>
      <c r="VOG587" s="14"/>
      <c r="VOH587" s="14"/>
      <c r="VOI587" s="14"/>
      <c r="VOJ587" s="14"/>
      <c r="VOK587" s="14"/>
      <c r="VOL587" s="14"/>
      <c r="VOM587" s="14"/>
      <c r="VON587" s="14"/>
      <c r="VOO587" s="14"/>
      <c r="VOP587" s="14"/>
      <c r="VOQ587" s="14"/>
      <c r="VOR587" s="14"/>
      <c r="VOS587" s="14"/>
      <c r="VOT587" s="14"/>
      <c r="VOU587" s="14"/>
      <c r="VOV587" s="14"/>
      <c r="VOW587" s="14"/>
      <c r="VOX587" s="14"/>
      <c r="VOY587" s="14"/>
      <c r="VOZ587" s="14"/>
      <c r="VPA587" s="14"/>
      <c r="VPB587" s="14"/>
      <c r="VPC587" s="14"/>
      <c r="VPD587" s="14"/>
      <c r="VPE587" s="14"/>
      <c r="VPF587" s="14"/>
      <c r="VPG587" s="14"/>
      <c r="VPH587" s="14"/>
      <c r="VPI587" s="14"/>
      <c r="VPJ587" s="14"/>
      <c r="VPK587" s="14"/>
      <c r="VPL587" s="14"/>
      <c r="VPM587" s="14"/>
      <c r="VPN587" s="14"/>
      <c r="VPO587" s="14"/>
      <c r="VPP587" s="14"/>
      <c r="VPQ587" s="14"/>
      <c r="VPR587" s="14"/>
      <c r="VPS587" s="14"/>
      <c r="VPT587" s="14"/>
      <c r="VPU587" s="14"/>
      <c r="VPV587" s="14"/>
      <c r="VPW587" s="14"/>
      <c r="VPX587" s="14"/>
      <c r="VPY587" s="14"/>
      <c r="VPZ587" s="14"/>
      <c r="VQA587" s="14"/>
      <c r="VQB587" s="14"/>
      <c r="VQC587" s="14"/>
      <c r="VQD587" s="14"/>
      <c r="VQE587" s="14"/>
      <c r="VQF587" s="14"/>
      <c r="VQG587" s="14"/>
      <c r="VQH587" s="14"/>
      <c r="VQI587" s="14"/>
      <c r="VQJ587" s="14"/>
      <c r="VQK587" s="14"/>
      <c r="VQL587" s="14"/>
      <c r="VQM587" s="14"/>
      <c r="VQN587" s="14"/>
      <c r="VQO587" s="14"/>
      <c r="VQP587" s="14"/>
      <c r="VQQ587" s="14"/>
      <c r="VQR587" s="14"/>
      <c r="VQS587" s="14"/>
      <c r="VQT587" s="14"/>
      <c r="VQU587" s="14"/>
      <c r="VQV587" s="14"/>
      <c r="VQW587" s="14"/>
      <c r="VQX587" s="14"/>
      <c r="VQY587" s="14"/>
      <c r="VQZ587" s="14"/>
      <c r="VRA587" s="14"/>
      <c r="VRB587" s="14"/>
      <c r="VRC587" s="14"/>
      <c r="VRD587" s="14"/>
      <c r="VRE587" s="14"/>
      <c r="VRF587" s="14"/>
      <c r="VRG587" s="14"/>
      <c r="VRH587" s="14"/>
      <c r="VRI587" s="14"/>
      <c r="VRJ587" s="14"/>
      <c r="VRK587" s="14"/>
      <c r="VRL587" s="14"/>
      <c r="VRM587" s="14"/>
      <c r="VRN587" s="14"/>
      <c r="VRO587" s="14"/>
      <c r="VRP587" s="14"/>
      <c r="VRQ587" s="14"/>
      <c r="VRR587" s="14"/>
      <c r="VRS587" s="14"/>
      <c r="VRT587" s="14"/>
      <c r="VRU587" s="14"/>
      <c r="VRV587" s="14"/>
      <c r="VRW587" s="14"/>
      <c r="VRX587" s="14"/>
      <c r="VRY587" s="14"/>
      <c r="VRZ587" s="14"/>
      <c r="VSA587" s="14"/>
      <c r="VSB587" s="14"/>
      <c r="VSC587" s="14"/>
      <c r="VSD587" s="14"/>
      <c r="VSE587" s="14"/>
      <c r="VSF587" s="14"/>
      <c r="VSG587" s="14"/>
      <c r="VSH587" s="14"/>
      <c r="VSI587" s="14"/>
      <c r="VSJ587" s="14"/>
      <c r="VSK587" s="14"/>
      <c r="VSL587" s="14"/>
      <c r="VSM587" s="14"/>
      <c r="VSN587" s="14"/>
      <c r="VSO587" s="14"/>
      <c r="VSP587" s="14"/>
      <c r="VSQ587" s="14"/>
      <c r="VSR587" s="14"/>
      <c r="VSS587" s="14"/>
      <c r="VST587" s="14"/>
      <c r="VSU587" s="14"/>
      <c r="VSV587" s="14"/>
      <c r="VSW587" s="14"/>
      <c r="VSX587" s="14"/>
      <c r="VSY587" s="14"/>
      <c r="VSZ587" s="14"/>
      <c r="VTA587" s="14"/>
      <c r="VTB587" s="14"/>
      <c r="VTC587" s="14"/>
      <c r="VTD587" s="14"/>
      <c r="VTE587" s="14"/>
      <c r="VTF587" s="14"/>
      <c r="VTG587" s="14"/>
      <c r="VTH587" s="14"/>
      <c r="VTI587" s="14"/>
      <c r="VTJ587" s="14"/>
      <c r="VTK587" s="14"/>
      <c r="VTL587" s="14"/>
      <c r="VTM587" s="14"/>
      <c r="VTN587" s="14"/>
      <c r="VTO587" s="14"/>
      <c r="VTP587" s="14"/>
      <c r="VTQ587" s="14"/>
      <c r="VTR587" s="14"/>
      <c r="VTS587" s="14"/>
      <c r="VTT587" s="14"/>
      <c r="VTU587" s="14"/>
      <c r="VTV587" s="14"/>
      <c r="VTW587" s="14"/>
      <c r="VTX587" s="14"/>
      <c r="VTY587" s="14"/>
      <c r="VTZ587" s="14"/>
      <c r="VUA587" s="14"/>
      <c r="VUB587" s="14"/>
      <c r="VUC587" s="14"/>
      <c r="VUD587" s="14"/>
      <c r="VUE587" s="14"/>
      <c r="VUF587" s="14"/>
      <c r="VUG587" s="14"/>
      <c r="VUH587" s="14"/>
      <c r="VUI587" s="14"/>
      <c r="VUJ587" s="14"/>
      <c r="VUK587" s="14"/>
      <c r="VUL587" s="14"/>
      <c r="VUM587" s="14"/>
      <c r="VUN587" s="14"/>
      <c r="VUO587" s="14"/>
      <c r="VUP587" s="14"/>
      <c r="VUQ587" s="14"/>
      <c r="VUR587" s="14"/>
      <c r="VUS587" s="14"/>
      <c r="VUT587" s="14"/>
      <c r="VUU587" s="14"/>
      <c r="VUV587" s="14"/>
      <c r="VUW587" s="14"/>
      <c r="VUX587" s="14"/>
      <c r="VUY587" s="14"/>
      <c r="VUZ587" s="14"/>
      <c r="VVA587" s="14"/>
      <c r="VVB587" s="14"/>
      <c r="VVC587" s="14"/>
      <c r="VVD587" s="14"/>
      <c r="VVE587" s="14"/>
      <c r="VVF587" s="14"/>
      <c r="VVG587" s="14"/>
      <c r="VVH587" s="14"/>
      <c r="VVI587" s="14"/>
      <c r="VVJ587" s="14"/>
      <c r="VVK587" s="14"/>
      <c r="VVL587" s="14"/>
      <c r="VVM587" s="14"/>
      <c r="VVN587" s="14"/>
      <c r="VVO587" s="14"/>
      <c r="VVP587" s="14"/>
      <c r="VVQ587" s="14"/>
      <c r="VVR587" s="14"/>
      <c r="VVS587" s="14"/>
      <c r="VVT587" s="14"/>
      <c r="VVU587" s="14"/>
      <c r="VVV587" s="14"/>
      <c r="VVW587" s="14"/>
      <c r="VVX587" s="14"/>
      <c r="VVY587" s="14"/>
      <c r="VVZ587" s="14"/>
      <c r="VWA587" s="14"/>
      <c r="VWB587" s="14"/>
      <c r="VWC587" s="14"/>
      <c r="VWD587" s="14"/>
      <c r="VWE587" s="14"/>
      <c r="VWF587" s="14"/>
      <c r="VWG587" s="14"/>
      <c r="VWH587" s="14"/>
      <c r="VWI587" s="14"/>
      <c r="VWJ587" s="14"/>
      <c r="VWK587" s="14"/>
      <c r="VWL587" s="14"/>
      <c r="VWM587" s="14"/>
      <c r="VWN587" s="14"/>
      <c r="VWO587" s="14"/>
      <c r="VWP587" s="14"/>
      <c r="VWQ587" s="14"/>
      <c r="VWR587" s="14"/>
      <c r="VWS587" s="14"/>
      <c r="VWT587" s="14"/>
      <c r="VWU587" s="14"/>
      <c r="VWV587" s="14"/>
      <c r="VWW587" s="14"/>
      <c r="VWX587" s="14"/>
      <c r="VWY587" s="14"/>
      <c r="VWZ587" s="14"/>
      <c r="VXA587" s="14"/>
      <c r="VXB587" s="14"/>
      <c r="VXC587" s="14"/>
      <c r="VXD587" s="14"/>
      <c r="VXE587" s="14"/>
      <c r="VXF587" s="14"/>
      <c r="VXG587" s="14"/>
      <c r="VXH587" s="14"/>
      <c r="VXI587" s="14"/>
      <c r="VXJ587" s="14"/>
      <c r="VXK587" s="14"/>
      <c r="VXL587" s="14"/>
      <c r="VXM587" s="14"/>
      <c r="VXN587" s="14"/>
      <c r="VXO587" s="14"/>
      <c r="VXP587" s="14"/>
      <c r="VXQ587" s="14"/>
      <c r="VXR587" s="14"/>
      <c r="VXS587" s="14"/>
      <c r="VXT587" s="14"/>
      <c r="VXU587" s="14"/>
      <c r="VXV587" s="14"/>
      <c r="VXW587" s="14"/>
      <c r="VXX587" s="14"/>
      <c r="VXY587" s="14"/>
      <c r="VXZ587" s="14"/>
      <c r="VYA587" s="14"/>
      <c r="VYB587" s="14"/>
      <c r="VYC587" s="14"/>
      <c r="VYD587" s="14"/>
      <c r="VYE587" s="14"/>
      <c r="VYF587" s="14"/>
      <c r="VYG587" s="14"/>
      <c r="VYH587" s="14"/>
      <c r="VYI587" s="14"/>
      <c r="VYJ587" s="14"/>
      <c r="VYK587" s="14"/>
      <c r="VYL587" s="14"/>
      <c r="VYM587" s="14"/>
      <c r="VYN587" s="14"/>
      <c r="VYO587" s="14"/>
      <c r="VYP587" s="14"/>
      <c r="VYQ587" s="14"/>
      <c r="VYR587" s="14"/>
      <c r="VYS587" s="14"/>
      <c r="VYT587" s="14"/>
      <c r="VYU587" s="14"/>
      <c r="VYV587" s="14"/>
      <c r="VYW587" s="14"/>
      <c r="VYX587" s="14"/>
      <c r="VYY587" s="14"/>
      <c r="VYZ587" s="14"/>
      <c r="VZA587" s="14"/>
      <c r="VZB587" s="14"/>
      <c r="VZC587" s="14"/>
      <c r="VZD587" s="14"/>
      <c r="VZE587" s="14"/>
      <c r="VZF587" s="14"/>
      <c r="VZG587" s="14"/>
      <c r="VZH587" s="14"/>
      <c r="VZI587" s="14"/>
      <c r="VZJ587" s="14"/>
      <c r="VZK587" s="14"/>
      <c r="VZL587" s="14"/>
      <c r="VZM587" s="14"/>
      <c r="VZN587" s="14"/>
      <c r="VZO587" s="14"/>
      <c r="VZP587" s="14"/>
      <c r="VZQ587" s="14"/>
      <c r="VZR587" s="14"/>
      <c r="VZS587" s="14"/>
      <c r="VZT587" s="14"/>
      <c r="VZU587" s="14"/>
      <c r="VZV587" s="14"/>
      <c r="VZW587" s="14"/>
      <c r="VZX587" s="14"/>
      <c r="VZY587" s="14"/>
      <c r="VZZ587" s="14"/>
      <c r="WAA587" s="14"/>
      <c r="WAB587" s="14"/>
      <c r="WAC587" s="14"/>
      <c r="WAD587" s="14"/>
      <c r="WAE587" s="14"/>
      <c r="WAF587" s="14"/>
      <c r="WAG587" s="14"/>
      <c r="WAH587" s="14"/>
      <c r="WAI587" s="14"/>
      <c r="WAJ587" s="14"/>
      <c r="WAK587" s="14"/>
      <c r="WAL587" s="14"/>
      <c r="WAM587" s="14"/>
      <c r="WAN587" s="14"/>
      <c r="WAO587" s="14"/>
      <c r="WAP587" s="14"/>
      <c r="WAQ587" s="14"/>
      <c r="WAR587" s="14"/>
      <c r="WAS587" s="14"/>
      <c r="WAT587" s="14"/>
      <c r="WAU587" s="14"/>
      <c r="WAV587" s="14"/>
      <c r="WAW587" s="14"/>
      <c r="WAX587" s="14"/>
      <c r="WAY587" s="14"/>
      <c r="WAZ587" s="14"/>
      <c r="WBA587" s="14"/>
      <c r="WBB587" s="14"/>
      <c r="WBC587" s="14"/>
      <c r="WBD587" s="14"/>
      <c r="WBE587" s="14"/>
      <c r="WBF587" s="14"/>
      <c r="WBG587" s="14"/>
      <c r="WBH587" s="14"/>
      <c r="WBI587" s="14"/>
      <c r="WBJ587" s="14"/>
      <c r="WBK587" s="14"/>
      <c r="WBL587" s="14"/>
      <c r="WBM587" s="14"/>
      <c r="WBN587" s="14"/>
      <c r="WBO587" s="14"/>
      <c r="WBP587" s="14"/>
      <c r="WBQ587" s="14"/>
      <c r="WBR587" s="14"/>
      <c r="WBS587" s="14"/>
      <c r="WBT587" s="14"/>
      <c r="WBU587" s="14"/>
      <c r="WBV587" s="14"/>
      <c r="WBW587" s="14"/>
      <c r="WBX587" s="14"/>
      <c r="WBY587" s="14"/>
      <c r="WBZ587" s="14"/>
      <c r="WCA587" s="14"/>
      <c r="WCB587" s="14"/>
      <c r="WCC587" s="14"/>
      <c r="WCD587" s="14"/>
      <c r="WCE587" s="14"/>
      <c r="WCF587" s="14"/>
      <c r="WCG587" s="14"/>
      <c r="WCH587" s="14"/>
      <c r="WCI587" s="14"/>
      <c r="WCJ587" s="14"/>
      <c r="WCK587" s="14"/>
      <c r="WCL587" s="14"/>
      <c r="WCM587" s="14"/>
      <c r="WCN587" s="14"/>
      <c r="WCO587" s="14"/>
      <c r="WCP587" s="14"/>
      <c r="WCQ587" s="14"/>
      <c r="WCR587" s="14"/>
      <c r="WCS587" s="14"/>
      <c r="WCT587" s="14"/>
      <c r="WCU587" s="14"/>
      <c r="WCV587" s="14"/>
      <c r="WCW587" s="14"/>
      <c r="WCX587" s="14"/>
      <c r="WCY587" s="14"/>
      <c r="WCZ587" s="14"/>
      <c r="WDA587" s="14"/>
      <c r="WDB587" s="14"/>
      <c r="WDC587" s="14"/>
      <c r="WDD587" s="14"/>
      <c r="WDE587" s="14"/>
      <c r="WDF587" s="14"/>
      <c r="WDG587" s="14"/>
      <c r="WDH587" s="14"/>
      <c r="WDI587" s="14"/>
      <c r="WDJ587" s="14"/>
      <c r="WDK587" s="14"/>
      <c r="WDL587" s="14"/>
      <c r="WDM587" s="14"/>
      <c r="WDN587" s="14"/>
      <c r="WDO587" s="14"/>
      <c r="WDP587" s="14"/>
      <c r="WDQ587" s="14"/>
      <c r="WDR587" s="14"/>
      <c r="WDS587" s="14"/>
      <c r="WDT587" s="14"/>
      <c r="WDU587" s="14"/>
      <c r="WDV587" s="14"/>
      <c r="WDW587" s="14"/>
      <c r="WDX587" s="14"/>
      <c r="WDY587" s="14"/>
      <c r="WDZ587" s="14"/>
      <c r="WEA587" s="14"/>
      <c r="WEB587" s="14"/>
      <c r="WEC587" s="14"/>
      <c r="WED587" s="14"/>
      <c r="WEE587" s="14"/>
      <c r="WEF587" s="14"/>
      <c r="WEG587" s="14"/>
      <c r="WEH587" s="14"/>
      <c r="WEI587" s="14"/>
      <c r="WEJ587" s="14"/>
      <c r="WEK587" s="14"/>
      <c r="WEL587" s="14"/>
      <c r="WEM587" s="14"/>
      <c r="WEN587" s="14"/>
      <c r="WEO587" s="14"/>
      <c r="WEP587" s="14"/>
      <c r="WEQ587" s="14"/>
      <c r="WER587" s="14"/>
      <c r="WES587" s="14"/>
      <c r="WET587" s="14"/>
      <c r="WEU587" s="14"/>
      <c r="WEV587" s="14"/>
      <c r="WEW587" s="14"/>
      <c r="WEX587" s="14"/>
      <c r="WEY587" s="14"/>
      <c r="WEZ587" s="14"/>
      <c r="WFA587" s="14"/>
      <c r="WFB587" s="14"/>
      <c r="WFC587" s="14"/>
      <c r="WFD587" s="14"/>
      <c r="WFE587" s="14"/>
      <c r="WFF587" s="14"/>
      <c r="WFG587" s="14"/>
      <c r="WFH587" s="14"/>
      <c r="WFI587" s="14"/>
      <c r="WFJ587" s="14"/>
      <c r="WFK587" s="14"/>
      <c r="WFL587" s="14"/>
      <c r="WFM587" s="14"/>
      <c r="WFN587" s="14"/>
      <c r="WFO587" s="14"/>
      <c r="WFP587" s="14"/>
      <c r="WFQ587" s="14"/>
      <c r="WFR587" s="14"/>
      <c r="WFS587" s="14"/>
      <c r="WFT587" s="14"/>
      <c r="WFU587" s="14"/>
      <c r="WFV587" s="14"/>
      <c r="WFW587" s="14"/>
      <c r="WFX587" s="14"/>
      <c r="WFY587" s="14"/>
      <c r="WFZ587" s="14"/>
      <c r="WGA587" s="14"/>
      <c r="WGB587" s="14"/>
      <c r="WGC587" s="14"/>
      <c r="WGD587" s="14"/>
      <c r="WGE587" s="14"/>
      <c r="WGF587" s="14"/>
      <c r="WGG587" s="14"/>
      <c r="WGH587" s="14"/>
      <c r="WGI587" s="14"/>
      <c r="WGJ587" s="14"/>
      <c r="WGK587" s="14"/>
      <c r="WGL587" s="14"/>
      <c r="WGM587" s="14"/>
      <c r="WGN587" s="14"/>
      <c r="WGO587" s="14"/>
      <c r="WGP587" s="14"/>
      <c r="WGQ587" s="14"/>
      <c r="WGR587" s="14"/>
      <c r="WGS587" s="14"/>
      <c r="WGT587" s="14"/>
      <c r="WGU587" s="14"/>
      <c r="WGV587" s="14"/>
      <c r="WGW587" s="14"/>
      <c r="WGX587" s="14"/>
      <c r="WGY587" s="14"/>
      <c r="WGZ587" s="14"/>
      <c r="WHA587" s="14"/>
      <c r="WHB587" s="14"/>
      <c r="WHC587" s="14"/>
      <c r="WHD587" s="14"/>
      <c r="WHE587" s="14"/>
      <c r="WHF587" s="14"/>
      <c r="WHG587" s="14"/>
      <c r="WHH587" s="14"/>
      <c r="WHI587" s="14"/>
      <c r="WHJ587" s="14"/>
      <c r="WHK587" s="14"/>
      <c r="WHL587" s="14"/>
      <c r="WHM587" s="14"/>
      <c r="WHN587" s="14"/>
      <c r="WHO587" s="14"/>
      <c r="WHP587" s="14"/>
      <c r="WHQ587" s="14"/>
      <c r="WHR587" s="14"/>
      <c r="WHS587" s="14"/>
      <c r="WHT587" s="14"/>
      <c r="WHU587" s="14"/>
      <c r="WHV587" s="14"/>
      <c r="WHW587" s="14"/>
      <c r="WHX587" s="14"/>
      <c r="WHY587" s="14"/>
      <c r="WHZ587" s="14"/>
      <c r="WIA587" s="14"/>
      <c r="WIB587" s="14"/>
      <c r="WIC587" s="14"/>
      <c r="WID587" s="14"/>
      <c r="WIE587" s="14"/>
      <c r="WIF587" s="14"/>
      <c r="WIG587" s="14"/>
      <c r="WIH587" s="14"/>
      <c r="WII587" s="14"/>
      <c r="WIJ587" s="14"/>
      <c r="WIK587" s="14"/>
      <c r="WIL587" s="14"/>
      <c r="WIM587" s="14"/>
      <c r="WIN587" s="14"/>
      <c r="WIO587" s="14"/>
      <c r="WIP587" s="14"/>
      <c r="WIQ587" s="14"/>
      <c r="WIR587" s="14"/>
      <c r="WIS587" s="14"/>
      <c r="WIT587" s="14"/>
      <c r="WIU587" s="14"/>
      <c r="WIV587" s="14"/>
      <c r="WIW587" s="14"/>
      <c r="WIX587" s="14"/>
      <c r="WIY587" s="14"/>
      <c r="WIZ587" s="14"/>
      <c r="WJA587" s="14"/>
      <c r="WJB587" s="14"/>
      <c r="WJC587" s="14"/>
      <c r="WJD587" s="14"/>
      <c r="WJE587" s="14"/>
      <c r="WJF587" s="14"/>
      <c r="WJG587" s="14"/>
      <c r="WJH587" s="14"/>
      <c r="WJI587" s="14"/>
      <c r="WJJ587" s="14"/>
      <c r="WJK587" s="14"/>
      <c r="WJL587" s="14"/>
      <c r="WJM587" s="14"/>
      <c r="WJN587" s="14"/>
      <c r="WJO587" s="14"/>
      <c r="WJP587" s="14"/>
      <c r="WJQ587" s="14"/>
      <c r="WJR587" s="14"/>
      <c r="WJS587" s="14"/>
      <c r="WJT587" s="14"/>
      <c r="WJU587" s="14"/>
      <c r="WJV587" s="14"/>
      <c r="WJW587" s="14"/>
      <c r="WJX587" s="14"/>
      <c r="WJY587" s="14"/>
      <c r="WJZ587" s="14"/>
      <c r="WKA587" s="14"/>
      <c r="WKB587" s="14"/>
      <c r="WKC587" s="14"/>
      <c r="WKD587" s="14"/>
      <c r="WKE587" s="14"/>
      <c r="WKF587" s="14"/>
      <c r="WKG587" s="14"/>
      <c r="WKH587" s="14"/>
      <c r="WKI587" s="14"/>
      <c r="WKJ587" s="14"/>
      <c r="WKK587" s="14"/>
      <c r="WKL587" s="14"/>
      <c r="WKM587" s="14"/>
      <c r="WKN587" s="14"/>
      <c r="WKO587" s="14"/>
      <c r="WKP587" s="14"/>
      <c r="WKQ587" s="14"/>
      <c r="WKR587" s="14"/>
      <c r="WKS587" s="14"/>
      <c r="WKT587" s="14"/>
      <c r="WKU587" s="14"/>
      <c r="WKV587" s="14"/>
      <c r="WKW587" s="14"/>
      <c r="WKX587" s="14"/>
      <c r="WKY587" s="14"/>
      <c r="WKZ587" s="14"/>
      <c r="WLA587" s="14"/>
      <c r="WLB587" s="14"/>
      <c r="WLC587" s="14"/>
      <c r="WLD587" s="14"/>
      <c r="WLE587" s="14"/>
      <c r="WLF587" s="14"/>
      <c r="WLG587" s="14"/>
      <c r="WLH587" s="14"/>
      <c r="WLI587" s="14"/>
      <c r="WLJ587" s="14"/>
      <c r="WLK587" s="14"/>
      <c r="WLL587" s="14"/>
      <c r="WLM587" s="14"/>
      <c r="WLN587" s="14"/>
      <c r="WLO587" s="14"/>
      <c r="WLP587" s="14"/>
      <c r="WLQ587" s="14"/>
      <c r="WLR587" s="14"/>
      <c r="WLS587" s="14"/>
      <c r="WLT587" s="14"/>
      <c r="WLU587" s="14"/>
      <c r="WLV587" s="14"/>
      <c r="WLW587" s="14"/>
      <c r="WLX587" s="14"/>
      <c r="WLY587" s="14"/>
      <c r="WLZ587" s="14"/>
      <c r="WMA587" s="14"/>
      <c r="WMB587" s="14"/>
      <c r="WMC587" s="14"/>
      <c r="WMD587" s="14"/>
      <c r="WME587" s="14"/>
      <c r="WMF587" s="14"/>
      <c r="WMG587" s="14"/>
      <c r="WMH587" s="14"/>
      <c r="WMI587" s="14"/>
      <c r="WMJ587" s="14"/>
      <c r="WMK587" s="14"/>
      <c r="WML587" s="14"/>
      <c r="WMM587" s="14"/>
      <c r="WMN587" s="14"/>
      <c r="WMO587" s="14"/>
      <c r="WMP587" s="14"/>
      <c r="WMQ587" s="14"/>
      <c r="WMR587" s="14"/>
      <c r="WMS587" s="14"/>
      <c r="WMT587" s="14"/>
      <c r="WMU587" s="14"/>
      <c r="WMV587" s="14"/>
      <c r="WMW587" s="14"/>
      <c r="WMX587" s="14"/>
      <c r="WMY587" s="14"/>
      <c r="WMZ587" s="14"/>
      <c r="WNA587" s="14"/>
      <c r="WNB587" s="14"/>
      <c r="WNC587" s="14"/>
      <c r="WND587" s="14"/>
      <c r="WNE587" s="14"/>
      <c r="WNF587" s="14"/>
      <c r="WNG587" s="14"/>
      <c r="WNH587" s="14"/>
      <c r="WNI587" s="14"/>
      <c r="WNJ587" s="14"/>
      <c r="WNK587" s="14"/>
      <c r="WNL587" s="14"/>
      <c r="WNM587" s="14"/>
      <c r="WNN587" s="14"/>
      <c r="WNO587" s="14"/>
      <c r="WNP587" s="14"/>
      <c r="WNQ587" s="14"/>
      <c r="WNR587" s="14"/>
      <c r="WNS587" s="14"/>
      <c r="WNT587" s="14"/>
      <c r="WNU587" s="14"/>
      <c r="WNV587" s="14"/>
      <c r="WNW587" s="14"/>
      <c r="WNX587" s="14"/>
      <c r="WNY587" s="14"/>
      <c r="WNZ587" s="14"/>
      <c r="WOA587" s="14"/>
      <c r="WOB587" s="14"/>
      <c r="WOC587" s="14"/>
      <c r="WOD587" s="14"/>
      <c r="WOE587" s="14"/>
      <c r="WOF587" s="14"/>
      <c r="WOG587" s="14"/>
      <c r="WOH587" s="14"/>
      <c r="WOI587" s="14"/>
      <c r="WOJ587" s="14"/>
      <c r="WOK587" s="14"/>
      <c r="WOL587" s="14"/>
      <c r="WOM587" s="14"/>
      <c r="WON587" s="14"/>
      <c r="WOO587" s="14"/>
      <c r="WOP587" s="14"/>
      <c r="WOQ587" s="14"/>
      <c r="WOR587" s="14"/>
      <c r="WOS587" s="14"/>
      <c r="WOT587" s="14"/>
      <c r="WOU587" s="14"/>
      <c r="WOV587" s="14"/>
      <c r="WOW587" s="14"/>
      <c r="WOX587" s="14"/>
      <c r="WOY587" s="14"/>
      <c r="WOZ587" s="14"/>
      <c r="WPA587" s="14"/>
      <c r="WPB587" s="14"/>
      <c r="WPC587" s="14"/>
      <c r="WPD587" s="14"/>
      <c r="WPE587" s="14"/>
      <c r="WPF587" s="14"/>
      <c r="WPG587" s="14"/>
      <c r="WPH587" s="14"/>
      <c r="WPI587" s="14"/>
      <c r="WPJ587" s="14"/>
      <c r="WPK587" s="14"/>
      <c r="WPL587" s="14"/>
      <c r="WPM587" s="14"/>
      <c r="WPN587" s="14"/>
      <c r="WPO587" s="14"/>
      <c r="WPP587" s="14"/>
      <c r="WPQ587" s="14"/>
      <c r="WPR587" s="14"/>
      <c r="WPS587" s="14"/>
      <c r="WPT587" s="14"/>
      <c r="WPU587" s="14"/>
      <c r="WPV587" s="14"/>
      <c r="WPW587" s="14"/>
      <c r="WPX587" s="14"/>
      <c r="WPY587" s="14"/>
      <c r="WPZ587" s="14"/>
      <c r="WQA587" s="14"/>
      <c r="WQB587" s="14"/>
      <c r="WQC587" s="14"/>
      <c r="WQD587" s="14"/>
      <c r="WQE587" s="14"/>
      <c r="WQF587" s="14"/>
      <c r="WQG587" s="14"/>
      <c r="WQH587" s="14"/>
      <c r="WQI587" s="14"/>
      <c r="WQJ587" s="14"/>
      <c r="WQK587" s="14"/>
      <c r="WQL587" s="14"/>
      <c r="WQM587" s="14"/>
      <c r="WQN587" s="14"/>
      <c r="WQO587" s="14"/>
      <c r="WQP587" s="14"/>
      <c r="WQQ587" s="14"/>
      <c r="WQR587" s="14"/>
      <c r="WQS587" s="14"/>
      <c r="WQT587" s="14"/>
      <c r="WQU587" s="14"/>
      <c r="WQV587" s="14"/>
      <c r="WQW587" s="14"/>
      <c r="WQX587" s="14"/>
      <c r="WQY587" s="14"/>
      <c r="WQZ587" s="14"/>
      <c r="WRA587" s="14"/>
      <c r="WRB587" s="14"/>
      <c r="WRC587" s="14"/>
      <c r="WRD587" s="14"/>
      <c r="WRE587" s="14"/>
      <c r="WRF587" s="14"/>
      <c r="WRG587" s="14"/>
      <c r="WRH587" s="14"/>
      <c r="WRI587" s="14"/>
      <c r="WRJ587" s="14"/>
      <c r="WRK587" s="14"/>
      <c r="WRL587" s="14"/>
      <c r="WRM587" s="14"/>
      <c r="WRN587" s="14"/>
      <c r="WRO587" s="14"/>
      <c r="WRP587" s="14"/>
      <c r="WRQ587" s="14"/>
      <c r="WRR587" s="14"/>
      <c r="WRS587" s="14"/>
      <c r="WRT587" s="14"/>
      <c r="WRU587" s="14"/>
      <c r="WRV587" s="14"/>
      <c r="WRW587" s="14"/>
      <c r="WRX587" s="14"/>
      <c r="WRY587" s="14"/>
      <c r="WRZ587" s="14"/>
      <c r="WSA587" s="14"/>
      <c r="WSB587" s="14"/>
      <c r="WSC587" s="14"/>
      <c r="WSD587" s="14"/>
      <c r="WSE587" s="14"/>
      <c r="WSF587" s="14"/>
      <c r="WSG587" s="14"/>
      <c r="WSH587" s="14"/>
      <c r="WSI587" s="14"/>
      <c r="WSJ587" s="14"/>
      <c r="WSK587" s="14"/>
      <c r="WSL587" s="14"/>
      <c r="WSM587" s="14"/>
      <c r="WSN587" s="14"/>
      <c r="WSO587" s="14"/>
      <c r="WSP587" s="14"/>
      <c r="WSQ587" s="14"/>
      <c r="WSR587" s="14"/>
      <c r="WSS587" s="14"/>
      <c r="WST587" s="14"/>
      <c r="WSU587" s="14"/>
      <c r="WSV587" s="14"/>
      <c r="WSW587" s="14"/>
      <c r="WSX587" s="14"/>
      <c r="WSY587" s="14"/>
      <c r="WSZ587" s="14"/>
      <c r="WTA587" s="14"/>
      <c r="WTB587" s="14"/>
      <c r="WTC587" s="14"/>
      <c r="WTD587" s="14"/>
      <c r="WTE587" s="14"/>
      <c r="WTF587" s="14"/>
      <c r="WTG587" s="14"/>
      <c r="WTH587" s="14"/>
      <c r="WTI587" s="14"/>
      <c r="WTJ587" s="14"/>
      <c r="WTK587" s="14"/>
      <c r="WTL587" s="14"/>
      <c r="WTM587" s="14"/>
      <c r="WTN587" s="14"/>
      <c r="WTO587" s="14"/>
      <c r="WTP587" s="14"/>
      <c r="WTQ587" s="14"/>
      <c r="WTR587" s="14"/>
      <c r="WTS587" s="14"/>
      <c r="WTT587" s="14"/>
      <c r="WTU587" s="14"/>
      <c r="WTV587" s="14"/>
      <c r="WTW587" s="14"/>
      <c r="WTX587" s="14"/>
      <c r="WTY587" s="14"/>
      <c r="WTZ587" s="14"/>
      <c r="WUA587" s="14"/>
      <c r="WUB587" s="14"/>
      <c r="WUC587" s="14"/>
      <c r="WUD587" s="14"/>
      <c r="WUE587" s="14"/>
      <c r="WUF587" s="14"/>
      <c r="WUG587" s="14"/>
      <c r="WUH587" s="14"/>
      <c r="WUI587" s="14"/>
      <c r="WUJ587" s="14"/>
      <c r="WUK587" s="14"/>
      <c r="WUL587" s="14"/>
      <c r="WUM587" s="14"/>
      <c r="WUN587" s="14"/>
      <c r="WUO587" s="14"/>
      <c r="WUP587" s="14"/>
      <c r="WUQ587" s="14"/>
      <c r="WUR587" s="14"/>
      <c r="WUS587" s="14"/>
      <c r="WUT587" s="14"/>
      <c r="WUU587" s="14"/>
      <c r="WUV587" s="14"/>
      <c r="WUW587" s="14"/>
      <c r="WUX587" s="14"/>
      <c r="WUY587" s="14"/>
      <c r="WUZ587" s="14"/>
      <c r="WVA587" s="14"/>
      <c r="WVB587" s="14"/>
      <c r="WVC587" s="14"/>
      <c r="WVD587" s="14"/>
      <c r="WVE587" s="14"/>
      <c r="WVF587" s="14"/>
      <c r="WVG587" s="14"/>
      <c r="WVH587" s="14"/>
      <c r="WVI587" s="14"/>
      <c r="WVJ587" s="14"/>
      <c r="WVK587" s="14"/>
      <c r="WVL587" s="14"/>
      <c r="WVM587" s="14"/>
      <c r="WVN587" s="14"/>
      <c r="WVO587" s="14"/>
      <c r="WVP587" s="14"/>
      <c r="WVQ587" s="14"/>
      <c r="WVR587" s="14"/>
      <c r="WVS587" s="14"/>
      <c r="WVT587" s="14"/>
      <c r="WVU587" s="14"/>
      <c r="WVV587" s="14"/>
      <c r="WVW587" s="14"/>
      <c r="WVX587" s="14"/>
      <c r="WVY587" s="14"/>
      <c r="WVZ587" s="14"/>
      <c r="WWA587" s="14"/>
      <c r="WWB587" s="14"/>
      <c r="WWC587" s="14"/>
      <c r="WWD587" s="14"/>
      <c r="WWE587" s="14"/>
      <c r="WWF587" s="14"/>
      <c r="WWG587" s="14"/>
      <c r="WWH587" s="14"/>
      <c r="WWI587" s="14"/>
      <c r="WWJ587" s="14"/>
      <c r="WWK587" s="14"/>
      <c r="WWL587" s="14"/>
      <c r="WWM587" s="14"/>
      <c r="WWN587" s="14"/>
      <c r="WWO587" s="14"/>
      <c r="WWP587" s="14"/>
      <c r="WWQ587" s="14"/>
      <c r="WWR587" s="14"/>
      <c r="WWS587" s="14"/>
      <c r="WWT587" s="14"/>
      <c r="WWU587" s="14"/>
      <c r="WWV587" s="14"/>
      <c r="WWW587" s="14"/>
      <c r="WWX587" s="14"/>
      <c r="WWY587" s="14"/>
      <c r="WWZ587" s="14"/>
      <c r="WXA587" s="14"/>
      <c r="WXB587" s="14"/>
      <c r="WXC587" s="14"/>
      <c r="WXD587" s="14"/>
      <c r="WXE587" s="14"/>
      <c r="WXF587" s="14"/>
      <c r="WXG587" s="14"/>
      <c r="WXH587" s="14"/>
      <c r="WXI587" s="14"/>
      <c r="WXJ587" s="14"/>
      <c r="WXK587" s="14"/>
      <c r="WXL587" s="14"/>
      <c r="WXM587" s="14"/>
      <c r="WXN587" s="14"/>
      <c r="WXO587" s="14"/>
      <c r="WXP587" s="14"/>
      <c r="WXQ587" s="14"/>
      <c r="WXR587" s="14"/>
      <c r="WXS587" s="14"/>
      <c r="WXT587" s="14"/>
      <c r="WXU587" s="14"/>
      <c r="WXV587" s="14"/>
      <c r="WXW587" s="14"/>
      <c r="WXX587" s="14"/>
      <c r="WXY587" s="14"/>
      <c r="WXZ587" s="14"/>
      <c r="WYA587" s="14"/>
      <c r="WYB587" s="14"/>
      <c r="WYC587" s="14"/>
      <c r="WYD587" s="14"/>
      <c r="WYE587" s="14"/>
      <c r="WYF587" s="14"/>
      <c r="WYG587" s="14"/>
      <c r="WYH587" s="14"/>
      <c r="WYI587" s="14"/>
      <c r="WYJ587" s="14"/>
      <c r="WYK587" s="14"/>
      <c r="WYL587" s="14"/>
      <c r="WYM587" s="14"/>
      <c r="WYN587" s="14"/>
      <c r="WYO587" s="14"/>
      <c r="WYP587" s="14"/>
      <c r="WYQ587" s="14"/>
      <c r="WYR587" s="14"/>
      <c r="WYS587" s="14"/>
      <c r="WYT587" s="14"/>
      <c r="WYU587" s="14"/>
      <c r="WYV587" s="14"/>
      <c r="WYW587" s="14"/>
      <c r="WYX587" s="14"/>
      <c r="WYY587" s="14"/>
      <c r="WYZ587" s="14"/>
      <c r="WZA587" s="14"/>
      <c r="WZB587" s="14"/>
      <c r="WZC587" s="14"/>
      <c r="WZD587" s="14"/>
      <c r="WZE587" s="14"/>
      <c r="WZF587" s="14"/>
      <c r="WZG587" s="14"/>
      <c r="WZH587" s="14"/>
      <c r="WZI587" s="14"/>
      <c r="WZJ587" s="14"/>
      <c r="WZK587" s="14"/>
      <c r="WZL587" s="14"/>
      <c r="WZM587" s="14"/>
      <c r="WZN587" s="14"/>
      <c r="WZO587" s="14"/>
      <c r="WZP587" s="14"/>
      <c r="WZQ587" s="14"/>
      <c r="WZR587" s="14"/>
      <c r="WZS587" s="14"/>
      <c r="WZT587" s="14"/>
      <c r="WZU587" s="14"/>
      <c r="WZV587" s="14"/>
      <c r="WZW587" s="14"/>
      <c r="WZX587" s="14"/>
      <c r="WZY587" s="14"/>
      <c r="WZZ587" s="14"/>
      <c r="XAA587" s="14"/>
      <c r="XAB587" s="14"/>
      <c r="XAC587" s="14"/>
      <c r="XAD587" s="14"/>
      <c r="XAE587" s="14"/>
      <c r="XAF587" s="14"/>
      <c r="XAG587" s="14"/>
      <c r="XAH587" s="14"/>
      <c r="XAI587" s="14"/>
      <c r="XAJ587" s="14"/>
      <c r="XAK587" s="14"/>
      <c r="XAL587" s="14"/>
      <c r="XAM587" s="14"/>
      <c r="XAN587" s="14"/>
      <c r="XAO587" s="14"/>
      <c r="XAP587" s="14"/>
      <c r="XAQ587" s="14"/>
      <c r="XAR587" s="14"/>
      <c r="XAS587" s="14"/>
      <c r="XAT587" s="14"/>
      <c r="XAU587" s="14"/>
      <c r="XAV587" s="14"/>
      <c r="XAW587" s="14"/>
      <c r="XAX587" s="14"/>
      <c r="XAY587" s="14"/>
      <c r="XAZ587" s="14"/>
      <c r="XBA587" s="14"/>
      <c r="XBB587" s="14"/>
      <c r="XBC587" s="14"/>
      <c r="XBD587" s="14"/>
      <c r="XBE587" s="14"/>
      <c r="XBF587" s="14"/>
      <c r="XBG587" s="14"/>
      <c r="XBH587" s="14"/>
      <c r="XBI587" s="14"/>
      <c r="XBJ587" s="14"/>
      <c r="XBK587" s="14"/>
      <c r="XBL587" s="14"/>
      <c r="XBM587" s="14"/>
      <c r="XBN587" s="14"/>
      <c r="XBO587" s="14"/>
      <c r="XBP587" s="14"/>
      <c r="XBQ587" s="14"/>
      <c r="XBR587" s="14"/>
      <c r="XBS587" s="14"/>
      <c r="XBT587" s="14"/>
      <c r="XBU587" s="14"/>
      <c r="XBV587" s="14"/>
      <c r="XBW587" s="14"/>
      <c r="XBX587" s="14"/>
      <c r="XBY587" s="14"/>
      <c r="XBZ587" s="14"/>
      <c r="XCA587" s="14"/>
      <c r="XCB587" s="14"/>
      <c r="XCC587" s="14"/>
      <c r="XCD587" s="14"/>
      <c r="XCE587" s="14"/>
      <c r="XCF587" s="14"/>
      <c r="XCG587" s="14"/>
      <c r="XCH587" s="14"/>
      <c r="XCI587" s="14"/>
      <c r="XCJ587" s="14"/>
      <c r="XCK587" s="14"/>
      <c r="XCL587" s="14"/>
      <c r="XCM587" s="14"/>
      <c r="XCN587" s="14"/>
      <c r="XCO587" s="14"/>
      <c r="XCP587" s="14"/>
      <c r="XCQ587" s="14"/>
      <c r="XCR587" s="14"/>
      <c r="XCS587" s="14"/>
      <c r="XCT587" s="14"/>
      <c r="XCU587" s="14"/>
      <c r="XCV587" s="14"/>
      <c r="XCW587" s="14"/>
      <c r="XCX587" s="14"/>
      <c r="XCY587" s="14"/>
      <c r="XCZ587" s="14"/>
      <c r="XDA587" s="14"/>
      <c r="XDB587" s="14"/>
      <c r="XDC587" s="14"/>
      <c r="XDD587" s="14"/>
      <c r="XDE587" s="14"/>
      <c r="XDF587" s="14"/>
      <c r="XDG587" s="14"/>
      <c r="XDH587" s="14"/>
      <c r="XDI587" s="14"/>
      <c r="XDJ587" s="14"/>
      <c r="XDK587" s="14"/>
      <c r="XDL587" s="14"/>
      <c r="XDM587" s="14"/>
      <c r="XDN587" s="14"/>
      <c r="XDO587" s="14"/>
      <c r="XDP587" s="14"/>
      <c r="XDQ587" s="14"/>
      <c r="XDR587" s="14"/>
      <c r="XDS587" s="14"/>
      <c r="XDT587" s="14"/>
      <c r="XDU587" s="14"/>
      <c r="XDV587" s="14"/>
      <c r="XDW587" s="14"/>
      <c r="XDX587" s="14"/>
      <c r="XDY587" s="14"/>
      <c r="XDZ587" s="14"/>
      <c r="XEA587" s="14"/>
      <c r="XEB587" s="14"/>
      <c r="XEC587" s="14"/>
      <c r="XED587" s="14"/>
      <c r="XEE587" s="14"/>
      <c r="XEF587" s="14"/>
      <c r="XEG587" s="14"/>
      <c r="XEH587" s="14"/>
      <c r="XEI587" s="14"/>
      <c r="XEJ587" s="14"/>
      <c r="XEK587" s="14"/>
      <c r="XEL587" s="14"/>
      <c r="XEM587" s="14"/>
      <c r="XEN587" s="14"/>
      <c r="XEO587" s="14"/>
      <c r="XEP587" s="14"/>
      <c r="XEQ587" s="14"/>
      <c r="XER587" s="14"/>
      <c r="XES587" s="14"/>
      <c r="XET587" s="14"/>
      <c r="XEU587" s="14"/>
      <c r="XEV587" s="14"/>
      <c r="XEW587" s="14"/>
      <c r="XEX587" s="14"/>
      <c r="XEY587" s="14"/>
      <c r="XEZ587" s="14"/>
      <c r="XFA587" s="14"/>
      <c r="XFB587" s="14"/>
      <c r="XFC587" s="14"/>
    </row>
    <row r="588" spans="1:16383" s="50" customFormat="1" ht="18.75" customHeight="1" x14ac:dyDescent="0.4">
      <c r="A588" s="492"/>
      <c r="B588" s="97" t="s">
        <v>1609</v>
      </c>
      <c r="C588" s="138"/>
      <c r="D588" s="97"/>
      <c r="E588" s="97"/>
      <c r="F588" s="380"/>
      <c r="G588" s="138"/>
      <c r="H588" s="138">
        <f>SUM(H586:H587)</f>
        <v>14576958</v>
      </c>
      <c r="I588" s="123"/>
      <c r="J588" s="123"/>
      <c r="K588" s="123"/>
      <c r="L588" s="621"/>
    </row>
    <row r="589" spans="1:16383" s="50" customFormat="1" ht="18.75" customHeight="1" x14ac:dyDescent="0.4">
      <c r="A589" s="488">
        <v>46182</v>
      </c>
      <c r="B589" s="103" t="s">
        <v>823</v>
      </c>
      <c r="C589" s="115" t="s">
        <v>602</v>
      </c>
      <c r="D589" s="42">
        <v>12668416</v>
      </c>
      <c r="E589" s="42" t="s">
        <v>17</v>
      </c>
      <c r="F589" s="117">
        <v>90</v>
      </c>
      <c r="G589" s="8">
        <v>138710</v>
      </c>
      <c r="H589" s="8">
        <f>+G589*F589</f>
        <v>12483900</v>
      </c>
      <c r="I589" s="191"/>
      <c r="J589" s="70"/>
      <c r="K589" s="8"/>
      <c r="L589" s="706"/>
    </row>
    <row r="590" spans="1:16383" s="50" customFormat="1" ht="18.75" customHeight="1" x14ac:dyDescent="0.4">
      <c r="A590" s="488">
        <v>46183</v>
      </c>
      <c r="B590" s="103" t="s">
        <v>823</v>
      </c>
      <c r="C590" s="115" t="s">
        <v>602</v>
      </c>
      <c r="D590" s="42">
        <v>12668416</v>
      </c>
      <c r="E590" s="42" t="s">
        <v>17</v>
      </c>
      <c r="F590" s="117">
        <v>210</v>
      </c>
      <c r="G590" s="8">
        <v>138710</v>
      </c>
      <c r="H590" s="8">
        <f>+G590*F590</f>
        <v>29129100</v>
      </c>
      <c r="I590" s="191"/>
      <c r="J590" s="70"/>
      <c r="K590" s="8"/>
      <c r="L590" s="116"/>
    </row>
    <row r="591" spans="1:16383" s="50" customFormat="1" ht="18.75" customHeight="1" x14ac:dyDescent="0.4">
      <c r="A591" s="488">
        <v>46183</v>
      </c>
      <c r="B591" s="103" t="s">
        <v>823</v>
      </c>
      <c r="C591" s="115" t="s">
        <v>602</v>
      </c>
      <c r="D591" s="42">
        <v>12668416</v>
      </c>
      <c r="E591" s="42" t="s">
        <v>17</v>
      </c>
      <c r="F591" s="117">
        <v>240</v>
      </c>
      <c r="G591" s="8">
        <v>138710</v>
      </c>
      <c r="H591" s="8">
        <f>+G591*F591</f>
        <v>33290400</v>
      </c>
      <c r="I591" s="191"/>
      <c r="J591" s="70"/>
      <c r="K591" s="8"/>
      <c r="L591" s="116"/>
    </row>
    <row r="592" spans="1:16383" s="50" customFormat="1" ht="18.75" customHeight="1" x14ac:dyDescent="0.4">
      <c r="A592" s="488">
        <v>46183</v>
      </c>
      <c r="B592" s="103" t="s">
        <v>823</v>
      </c>
      <c r="C592" s="115" t="s">
        <v>602</v>
      </c>
      <c r="D592" s="42">
        <v>12668416</v>
      </c>
      <c r="E592" s="42" t="s">
        <v>17</v>
      </c>
      <c r="F592" s="117">
        <v>56</v>
      </c>
      <c r="G592" s="8">
        <v>138710</v>
      </c>
      <c r="H592" s="8">
        <f>+G592*F592</f>
        <v>7767760</v>
      </c>
      <c r="I592" s="191"/>
      <c r="J592" s="70"/>
      <c r="K592" s="8"/>
      <c r="L592" s="116"/>
    </row>
    <row r="593" spans="1:12" s="50" customFormat="1" ht="18.75" customHeight="1" x14ac:dyDescent="0.4">
      <c r="A593" s="488">
        <v>46197</v>
      </c>
      <c r="B593" s="103" t="s">
        <v>823</v>
      </c>
      <c r="C593" s="115" t="s">
        <v>602</v>
      </c>
      <c r="D593" s="42">
        <v>12668416</v>
      </c>
      <c r="E593" s="42" t="s">
        <v>17</v>
      </c>
      <c r="F593" s="117">
        <v>30</v>
      </c>
      <c r="G593" s="8">
        <v>138710</v>
      </c>
      <c r="H593" s="8">
        <f>+G593*F593</f>
        <v>4161300</v>
      </c>
      <c r="I593" s="191"/>
      <c r="J593" s="70"/>
      <c r="K593" s="8"/>
      <c r="L593" s="116"/>
    </row>
    <row r="594" spans="1:12" s="50" customFormat="1" ht="18.75" customHeight="1" x14ac:dyDescent="0.4">
      <c r="A594" s="499"/>
      <c r="B594" s="205"/>
      <c r="C594" s="206"/>
      <c r="D594" s="207"/>
      <c r="E594" s="208"/>
      <c r="F594" s="64">
        <f>SUM(F589:F593)</f>
        <v>626</v>
      </c>
      <c r="G594" s="122"/>
      <c r="H594" s="64">
        <f>SUM(H589:H593)</f>
        <v>86832460</v>
      </c>
      <c r="I594" s="122"/>
      <c r="J594" s="208"/>
      <c r="K594" s="292"/>
      <c r="L594" s="707"/>
    </row>
    <row r="595" spans="1:12" s="50" customFormat="1" ht="18.75" customHeight="1" x14ac:dyDescent="0.4">
      <c r="A595" s="488">
        <v>46183</v>
      </c>
      <c r="B595" s="103" t="s">
        <v>823</v>
      </c>
      <c r="C595" s="115" t="s">
        <v>602</v>
      </c>
      <c r="D595" s="42">
        <v>12668416</v>
      </c>
      <c r="E595" s="42" t="s">
        <v>17</v>
      </c>
      <c r="F595" s="117">
        <v>180</v>
      </c>
      <c r="G595" s="8">
        <v>138710</v>
      </c>
      <c r="H595" s="8">
        <f>+G595*F595</f>
        <v>24967800</v>
      </c>
      <c r="I595" s="191"/>
      <c r="J595" s="70"/>
      <c r="K595" s="8"/>
      <c r="L595" s="116"/>
    </row>
    <row r="596" spans="1:12" s="50" customFormat="1" ht="18.75" customHeight="1" x14ac:dyDescent="0.4">
      <c r="A596" s="488">
        <v>46183</v>
      </c>
      <c r="B596" s="103" t="s">
        <v>823</v>
      </c>
      <c r="C596" s="115" t="s">
        <v>602</v>
      </c>
      <c r="D596" s="42">
        <v>12668416</v>
      </c>
      <c r="E596" s="8"/>
      <c r="F596" s="8"/>
      <c r="G596" s="8">
        <v>138710</v>
      </c>
      <c r="H596" s="8">
        <f>+G596*F596</f>
        <v>0</v>
      </c>
      <c r="I596" s="139" t="s">
        <v>1610</v>
      </c>
      <c r="J596" s="8">
        <f>86/2.54</f>
        <v>33.85826771653543</v>
      </c>
      <c r="K596" s="30"/>
      <c r="L596" s="708"/>
    </row>
    <row r="597" spans="1:12" s="50" customFormat="1" ht="18.75" customHeight="1" x14ac:dyDescent="0.4">
      <c r="A597" s="499"/>
      <c r="B597" s="205"/>
      <c r="C597" s="206"/>
      <c r="D597" s="207"/>
      <c r="E597" s="208"/>
      <c r="F597" s="64">
        <f>SUM(F595:F596)</f>
        <v>180</v>
      </c>
      <c r="G597" s="122"/>
      <c r="H597" s="64">
        <f>SUM(H595)</f>
        <v>24967800</v>
      </c>
      <c r="I597" s="209"/>
      <c r="J597" s="208"/>
      <c r="K597" s="85"/>
      <c r="L597" s="210"/>
    </row>
    <row r="598" spans="1:12" s="50" customFormat="1" ht="18.75" customHeight="1" x14ac:dyDescent="0.4">
      <c r="A598" s="488">
        <v>46183</v>
      </c>
      <c r="B598" s="103" t="s">
        <v>823</v>
      </c>
      <c r="C598" s="115" t="s">
        <v>602</v>
      </c>
      <c r="D598" s="42">
        <v>12668416</v>
      </c>
      <c r="E598" s="42" t="s">
        <v>17</v>
      </c>
      <c r="F598" s="117">
        <v>-30</v>
      </c>
      <c r="G598" s="8">
        <v>138710</v>
      </c>
      <c r="H598" s="8">
        <f>+G598*F598</f>
        <v>-4161300</v>
      </c>
      <c r="I598" s="191"/>
      <c r="J598" s="70"/>
      <c r="K598" s="8"/>
      <c r="L598" s="116"/>
    </row>
    <row r="599" spans="1:12" s="50" customFormat="1" ht="18.75" customHeight="1" x14ac:dyDescent="0.4">
      <c r="A599" s="485">
        <v>46192</v>
      </c>
      <c r="B599" s="103" t="s">
        <v>823</v>
      </c>
      <c r="C599" s="115" t="s">
        <v>602</v>
      </c>
      <c r="D599" s="42">
        <v>12668416</v>
      </c>
      <c r="E599" s="42" t="s">
        <v>17</v>
      </c>
      <c r="F599" s="117">
        <v>-30</v>
      </c>
      <c r="G599" s="8">
        <v>138710</v>
      </c>
      <c r="H599" s="8">
        <f>+G599*F599</f>
        <v>-4161300</v>
      </c>
      <c r="I599" s="139"/>
      <c r="J599" s="8"/>
      <c r="K599" s="41"/>
      <c r="L599" s="405"/>
    </row>
    <row r="600" spans="1:12" s="50" customFormat="1" ht="18.75" customHeight="1" x14ac:dyDescent="0.4">
      <c r="A600" s="485">
        <v>46195</v>
      </c>
      <c r="B600" s="103" t="s">
        <v>823</v>
      </c>
      <c r="C600" s="115" t="s">
        <v>602</v>
      </c>
      <c r="D600" s="42">
        <v>12668416</v>
      </c>
      <c r="E600" s="42" t="s">
        <v>17</v>
      </c>
      <c r="F600" s="117">
        <v>-240</v>
      </c>
      <c r="G600" s="8">
        <v>138710</v>
      </c>
      <c r="H600" s="8">
        <f>+G600*F600</f>
        <v>-33290400</v>
      </c>
      <c r="I600" s="139"/>
      <c r="J600" s="8"/>
      <c r="K600" s="41"/>
      <c r="L600" s="405"/>
    </row>
    <row r="601" spans="1:12" s="50" customFormat="1" ht="18.75" customHeight="1" x14ac:dyDescent="0.4">
      <c r="A601" s="485">
        <v>46197</v>
      </c>
      <c r="B601" s="103" t="s">
        <v>823</v>
      </c>
      <c r="C601" s="115" t="s">
        <v>602</v>
      </c>
      <c r="D601" s="42">
        <v>12668416</v>
      </c>
      <c r="E601" s="42" t="s">
        <v>17</v>
      </c>
      <c r="F601" s="117">
        <v>-80</v>
      </c>
      <c r="G601" s="8">
        <v>138710</v>
      </c>
      <c r="H601" s="8">
        <f>+G601*F601</f>
        <v>-11096800</v>
      </c>
      <c r="I601" s="139"/>
      <c r="J601" s="8"/>
      <c r="K601" s="41"/>
      <c r="L601" s="405"/>
    </row>
    <row r="602" spans="1:12" s="50" customFormat="1" ht="18.75" customHeight="1" x14ac:dyDescent="0.4">
      <c r="A602" s="499"/>
      <c r="B602" s="205"/>
      <c r="C602" s="206"/>
      <c r="D602" s="207"/>
      <c r="E602" s="208"/>
      <c r="F602" s="64">
        <f>SUM(F598:F601)</f>
        <v>-380</v>
      </c>
      <c r="G602" s="63"/>
      <c r="H602" s="64">
        <f>SUM(H598:H601)</f>
        <v>-52709800</v>
      </c>
      <c r="I602" s="65"/>
      <c r="J602" s="62"/>
      <c r="K602" s="62"/>
      <c r="L602" s="709"/>
    </row>
    <row r="603" spans="1:12" s="50" customFormat="1" ht="18.75" customHeight="1" x14ac:dyDescent="0.4">
      <c r="A603" s="499"/>
      <c r="B603" s="205"/>
      <c r="C603" s="206"/>
      <c r="D603" s="207" t="s">
        <v>1534</v>
      </c>
      <c r="E603" s="208"/>
      <c r="F603" s="64"/>
      <c r="G603" s="63"/>
      <c r="H603" s="64">
        <v>2326220</v>
      </c>
      <c r="I603" s="65"/>
      <c r="J603" s="62"/>
      <c r="K603" s="62"/>
      <c r="L603" s="709"/>
    </row>
    <row r="604" spans="1:12" s="50" customFormat="1" ht="18.75" customHeight="1" x14ac:dyDescent="0.4">
      <c r="A604" s="492"/>
      <c r="B604" s="123"/>
      <c r="C604" s="138"/>
      <c r="D604" s="97"/>
      <c r="E604" s="634"/>
      <c r="F604" s="500"/>
      <c r="G604" s="138"/>
      <c r="H604" s="138">
        <f>SUM(H594,H597,H602,H603)</f>
        <v>61416680</v>
      </c>
      <c r="I604" s="123"/>
      <c r="J604" s="123"/>
      <c r="K604" s="123"/>
      <c r="L604" s="621"/>
    </row>
    <row r="605" spans="1:12" s="50" customFormat="1" ht="18.75" customHeight="1" x14ac:dyDescent="0.4">
      <c r="A605" s="485">
        <v>46192</v>
      </c>
      <c r="B605" s="8" t="s">
        <v>395</v>
      </c>
      <c r="C605" s="49" t="s">
        <v>1032</v>
      </c>
      <c r="D605" s="59" t="s">
        <v>1033</v>
      </c>
      <c r="E605" s="67"/>
      <c r="F605" s="81">
        <v>27</v>
      </c>
      <c r="G605" s="49">
        <f>J605*L605</f>
        <v>2368278.9035999998</v>
      </c>
      <c r="H605" s="36">
        <f>INT(F605*G605)</f>
        <v>63943530</v>
      </c>
      <c r="I605" s="67"/>
      <c r="J605" s="68">
        <v>249164</v>
      </c>
      <c r="K605" s="67" t="s">
        <v>1647</v>
      </c>
      <c r="L605" s="409">
        <v>9.5048999999999992</v>
      </c>
    </row>
    <row r="606" spans="1:12" s="50" customFormat="1" ht="18.75" customHeight="1" x14ac:dyDescent="0.4">
      <c r="A606" s="485">
        <v>46199</v>
      </c>
      <c r="B606" s="8" t="s">
        <v>395</v>
      </c>
      <c r="C606" s="49" t="s">
        <v>1032</v>
      </c>
      <c r="D606" s="59" t="s">
        <v>1033</v>
      </c>
      <c r="E606" s="67"/>
      <c r="F606" s="81">
        <v>27</v>
      </c>
      <c r="G606" s="49">
        <f>J606*L606</f>
        <v>2372664.1900000004</v>
      </c>
      <c r="H606" s="36">
        <f>INT(F606*G606)</f>
        <v>64061933</v>
      </c>
      <c r="I606" s="67" t="s">
        <v>1649</v>
      </c>
      <c r="J606" s="68">
        <v>249164</v>
      </c>
      <c r="K606" s="67" t="s">
        <v>1648</v>
      </c>
      <c r="L606" s="409">
        <v>9.5225000000000009</v>
      </c>
    </row>
    <row r="607" spans="1:12" s="50" customFormat="1" ht="18.75" customHeight="1" x14ac:dyDescent="0.4">
      <c r="A607" s="492"/>
      <c r="B607" s="123"/>
      <c r="C607" s="138"/>
      <c r="D607" s="97"/>
      <c r="E607" s="123"/>
      <c r="F607" s="380"/>
      <c r="G607" s="138"/>
      <c r="H607" s="138">
        <f>SUM(H605)</f>
        <v>63943530</v>
      </c>
      <c r="I607" s="123"/>
      <c r="J607" s="123"/>
      <c r="K607" s="123"/>
      <c r="L607" s="621"/>
    </row>
    <row r="608" spans="1:12" x14ac:dyDescent="0.4">
      <c r="A608" s="501">
        <v>46166</v>
      </c>
      <c r="B608" s="7" t="s">
        <v>164</v>
      </c>
      <c r="C608" s="6" t="s">
        <v>512</v>
      </c>
      <c r="D608" s="42" t="s">
        <v>551</v>
      </c>
      <c r="E608" s="1" t="s">
        <v>13</v>
      </c>
      <c r="F608" s="92">
        <v>6</v>
      </c>
      <c r="G608" s="8">
        <v>1270000</v>
      </c>
      <c r="H608" s="8">
        <f>F608*G608</f>
        <v>7620000</v>
      </c>
      <c r="I608" s="142"/>
      <c r="J608" s="43"/>
      <c r="K608" s="1"/>
      <c r="L608" s="405"/>
    </row>
    <row r="609" spans="1:12" x14ac:dyDescent="0.4">
      <c r="A609" s="501">
        <v>46166</v>
      </c>
      <c r="B609" s="7" t="s">
        <v>164</v>
      </c>
      <c r="C609" s="6" t="s">
        <v>170</v>
      </c>
      <c r="D609" s="42" t="s">
        <v>511</v>
      </c>
      <c r="E609" s="1" t="s">
        <v>13</v>
      </c>
      <c r="F609" s="36">
        <v>2</v>
      </c>
      <c r="G609" s="8">
        <v>1300000</v>
      </c>
      <c r="H609" s="36">
        <f>F609*G609</f>
        <v>2600000</v>
      </c>
      <c r="I609" s="36"/>
      <c r="J609" s="43"/>
      <c r="K609" s="1"/>
      <c r="L609" s="405"/>
    </row>
    <row r="610" spans="1:12" x14ac:dyDescent="0.4">
      <c r="A610" s="501">
        <v>46166</v>
      </c>
      <c r="B610" s="7" t="s">
        <v>164</v>
      </c>
      <c r="C610" s="60" t="s">
        <v>165</v>
      </c>
      <c r="D610" s="71" t="s">
        <v>510</v>
      </c>
      <c r="E610" s="7" t="s">
        <v>13</v>
      </c>
      <c r="F610" s="7">
        <v>2</v>
      </c>
      <c r="G610" s="17">
        <v>3720000</v>
      </c>
      <c r="H610" s="36">
        <f t="shared" ref="H610:H617" si="21">F610*G610</f>
        <v>7440000</v>
      </c>
      <c r="I610" s="142"/>
      <c r="J610" s="43"/>
      <c r="K610" s="1"/>
      <c r="L610" s="405"/>
    </row>
    <row r="611" spans="1:12" s="19" customFormat="1" ht="18.75" customHeight="1" x14ac:dyDescent="0.4">
      <c r="A611" s="501">
        <v>46182</v>
      </c>
      <c r="B611" s="7" t="s">
        <v>164</v>
      </c>
      <c r="C611" s="60" t="s">
        <v>1611</v>
      </c>
      <c r="D611" s="71" t="s">
        <v>510</v>
      </c>
      <c r="E611" s="7" t="s">
        <v>13</v>
      </c>
      <c r="F611" s="7">
        <v>2</v>
      </c>
      <c r="G611" s="17">
        <v>3720000</v>
      </c>
      <c r="H611" s="36">
        <f t="shared" si="21"/>
        <v>7440000</v>
      </c>
      <c r="I611" s="142"/>
      <c r="J611" s="43"/>
      <c r="K611" s="8"/>
      <c r="L611" s="405"/>
    </row>
    <row r="612" spans="1:12" s="19" customFormat="1" ht="18.75" customHeight="1" x14ac:dyDescent="0.4">
      <c r="A612" s="501">
        <v>46182</v>
      </c>
      <c r="B612" s="7" t="s">
        <v>164</v>
      </c>
      <c r="C612" s="6" t="s">
        <v>512</v>
      </c>
      <c r="D612" s="42" t="s">
        <v>551</v>
      </c>
      <c r="E612" s="1" t="s">
        <v>13</v>
      </c>
      <c r="F612" s="92">
        <v>2</v>
      </c>
      <c r="G612" s="8">
        <v>1270000</v>
      </c>
      <c r="H612" s="8">
        <f t="shared" si="21"/>
        <v>2540000</v>
      </c>
      <c r="I612" s="142"/>
      <c r="J612" s="43"/>
      <c r="K612" s="8"/>
      <c r="L612" s="405"/>
    </row>
    <row r="613" spans="1:12" s="19" customFormat="1" ht="18.75" customHeight="1" x14ac:dyDescent="0.4">
      <c r="A613" s="501">
        <v>46182</v>
      </c>
      <c r="B613" s="7" t="s">
        <v>164</v>
      </c>
      <c r="C613" s="6" t="s">
        <v>170</v>
      </c>
      <c r="D613" s="42" t="s">
        <v>511</v>
      </c>
      <c r="E613" s="1" t="s">
        <v>13</v>
      </c>
      <c r="F613" s="36">
        <v>2</v>
      </c>
      <c r="G613" s="8">
        <v>1300000</v>
      </c>
      <c r="H613" s="36">
        <f t="shared" si="21"/>
        <v>2600000</v>
      </c>
      <c r="I613" s="36"/>
      <c r="J613" s="43"/>
      <c r="K613" s="8"/>
      <c r="L613" s="405"/>
    </row>
    <row r="614" spans="1:12" s="19" customFormat="1" ht="18.75" customHeight="1" x14ac:dyDescent="0.4">
      <c r="A614" s="501">
        <v>46182</v>
      </c>
      <c r="B614" s="7" t="s">
        <v>164</v>
      </c>
      <c r="C614" s="6" t="s">
        <v>166</v>
      </c>
      <c r="D614" s="42" t="s">
        <v>167</v>
      </c>
      <c r="E614" s="1" t="s">
        <v>13</v>
      </c>
      <c r="F614" s="92">
        <v>4</v>
      </c>
      <c r="G614" s="8">
        <v>650000</v>
      </c>
      <c r="H614" s="36">
        <f t="shared" si="21"/>
        <v>2600000</v>
      </c>
      <c r="I614" s="142"/>
      <c r="J614" s="43"/>
      <c r="K614" s="8"/>
      <c r="L614" s="405"/>
    </row>
    <row r="615" spans="1:12" s="19" customFormat="1" ht="18.75" customHeight="1" x14ac:dyDescent="0.4">
      <c r="A615" s="501">
        <v>46186</v>
      </c>
      <c r="B615" s="7" t="s">
        <v>164</v>
      </c>
      <c r="C615" s="60" t="s">
        <v>1611</v>
      </c>
      <c r="D615" s="71" t="s">
        <v>510</v>
      </c>
      <c r="E615" s="7" t="s">
        <v>13</v>
      </c>
      <c r="F615" s="7">
        <v>2</v>
      </c>
      <c r="G615" s="17">
        <v>3720000</v>
      </c>
      <c r="H615" s="36">
        <f t="shared" si="21"/>
        <v>7440000</v>
      </c>
      <c r="I615" s="142"/>
      <c r="J615" s="43"/>
      <c r="K615" s="8"/>
      <c r="L615" s="405"/>
    </row>
    <row r="616" spans="1:12" s="19" customFormat="1" ht="18.75" customHeight="1" x14ac:dyDescent="0.4">
      <c r="A616" s="501">
        <v>46186</v>
      </c>
      <c r="B616" s="7" t="s">
        <v>164</v>
      </c>
      <c r="C616" s="6" t="s">
        <v>170</v>
      </c>
      <c r="D616" s="42" t="s">
        <v>511</v>
      </c>
      <c r="E616" s="1" t="s">
        <v>13</v>
      </c>
      <c r="F616" s="36">
        <v>2</v>
      </c>
      <c r="G616" s="8">
        <v>1300000</v>
      </c>
      <c r="H616" s="36">
        <f t="shared" si="21"/>
        <v>2600000</v>
      </c>
      <c r="I616" s="36"/>
      <c r="J616" s="43"/>
      <c r="K616" s="8"/>
      <c r="L616" s="405"/>
    </row>
    <row r="617" spans="1:12" s="19" customFormat="1" ht="18.75" customHeight="1" x14ac:dyDescent="0.4">
      <c r="A617" s="501">
        <v>46196</v>
      </c>
      <c r="B617" s="7" t="s">
        <v>164</v>
      </c>
      <c r="C617" s="60" t="s">
        <v>1611</v>
      </c>
      <c r="D617" s="71" t="s">
        <v>510</v>
      </c>
      <c r="E617" s="7" t="s">
        <v>13</v>
      </c>
      <c r="F617" s="7">
        <v>4</v>
      </c>
      <c r="G617" s="17">
        <v>3720000</v>
      </c>
      <c r="H617" s="36">
        <f t="shared" si="21"/>
        <v>14880000</v>
      </c>
      <c r="I617" s="142"/>
      <c r="J617" s="43"/>
      <c r="K617" s="8"/>
      <c r="L617" s="405"/>
    </row>
    <row r="618" spans="1:12" s="19" customFormat="1" ht="18.75" customHeight="1" x14ac:dyDescent="0.4">
      <c r="A618" s="501">
        <v>46196</v>
      </c>
      <c r="B618" s="7" t="s">
        <v>164</v>
      </c>
      <c r="C618" s="6" t="s">
        <v>170</v>
      </c>
      <c r="D618" s="42" t="s">
        <v>511</v>
      </c>
      <c r="E618" s="1" t="s">
        <v>13</v>
      </c>
      <c r="F618" s="36">
        <v>2</v>
      </c>
      <c r="G618" s="8">
        <v>1300000</v>
      </c>
      <c r="H618" s="36">
        <f t="shared" ref="H618:H624" si="22">F618*G618</f>
        <v>2600000</v>
      </c>
      <c r="I618" s="36"/>
      <c r="J618" s="43"/>
      <c r="K618" s="8"/>
      <c r="L618" s="405"/>
    </row>
    <row r="619" spans="1:12" s="19" customFormat="1" ht="18.75" customHeight="1" x14ac:dyDescent="0.4">
      <c r="A619" s="501">
        <v>46196</v>
      </c>
      <c r="B619" s="7" t="s">
        <v>164</v>
      </c>
      <c r="C619" s="6" t="s">
        <v>166</v>
      </c>
      <c r="D619" s="42" t="s">
        <v>167</v>
      </c>
      <c r="E619" s="1" t="s">
        <v>13</v>
      </c>
      <c r="F619" s="92">
        <v>1</v>
      </c>
      <c r="G619" s="8">
        <v>650000</v>
      </c>
      <c r="H619" s="36">
        <f t="shared" si="22"/>
        <v>650000</v>
      </c>
      <c r="I619" s="142"/>
      <c r="J619" s="43"/>
      <c r="K619" s="8"/>
      <c r="L619" s="405"/>
    </row>
    <row r="620" spans="1:12" s="19" customFormat="1" ht="18.75" customHeight="1" x14ac:dyDescent="0.4">
      <c r="A620" s="501"/>
      <c r="B620" s="7" t="s">
        <v>164</v>
      </c>
      <c r="C620" s="60" t="s">
        <v>1611</v>
      </c>
      <c r="D620" s="71" t="s">
        <v>510</v>
      </c>
      <c r="E620" s="7" t="s">
        <v>13</v>
      </c>
      <c r="F620" s="7">
        <v>-1</v>
      </c>
      <c r="G620" s="17">
        <v>3720000</v>
      </c>
      <c r="H620" s="36">
        <f t="shared" si="22"/>
        <v>-3720000</v>
      </c>
      <c r="I620" s="142" t="s">
        <v>1650</v>
      </c>
      <c r="J620" s="43"/>
      <c r="K620" s="8"/>
      <c r="L620" s="405"/>
    </row>
    <row r="621" spans="1:12" s="19" customFormat="1" ht="18.75" customHeight="1" x14ac:dyDescent="0.4">
      <c r="A621" s="571">
        <v>46203</v>
      </c>
      <c r="B621" s="572" t="s">
        <v>164</v>
      </c>
      <c r="C621" s="579" t="s">
        <v>1611</v>
      </c>
      <c r="D621" s="580" t="s">
        <v>510</v>
      </c>
      <c r="E621" s="572" t="s">
        <v>13</v>
      </c>
      <c r="F621" s="572">
        <v>1</v>
      </c>
      <c r="G621" s="581">
        <v>3720000</v>
      </c>
      <c r="H621" s="575">
        <f t="shared" si="22"/>
        <v>3720000</v>
      </c>
      <c r="I621" s="576"/>
      <c r="J621" s="577"/>
      <c r="K621" s="463" t="s">
        <v>1632</v>
      </c>
      <c r="L621" s="688"/>
    </row>
    <row r="622" spans="1:12" s="19" customFormat="1" ht="18.75" customHeight="1" x14ac:dyDescent="0.4">
      <c r="A622" s="571">
        <v>46203</v>
      </c>
      <c r="B622" s="572" t="s">
        <v>164</v>
      </c>
      <c r="C622" s="573" t="s">
        <v>170</v>
      </c>
      <c r="D622" s="461" t="s">
        <v>511</v>
      </c>
      <c r="E622" s="574" t="s">
        <v>13</v>
      </c>
      <c r="F622" s="575">
        <v>1</v>
      </c>
      <c r="G622" s="463">
        <v>1300000</v>
      </c>
      <c r="H622" s="575">
        <f t="shared" si="22"/>
        <v>1300000</v>
      </c>
      <c r="I622" s="575"/>
      <c r="J622" s="577"/>
      <c r="K622" s="463" t="s">
        <v>1632</v>
      </c>
      <c r="L622" s="688"/>
    </row>
    <row r="623" spans="1:12" s="19" customFormat="1" ht="18.75" customHeight="1" x14ac:dyDescent="0.4">
      <c r="A623" s="571">
        <v>46203</v>
      </c>
      <c r="B623" s="572" t="s">
        <v>164</v>
      </c>
      <c r="C623" s="573" t="s">
        <v>166</v>
      </c>
      <c r="D623" s="461" t="s">
        <v>167</v>
      </c>
      <c r="E623" s="574" t="s">
        <v>13</v>
      </c>
      <c r="F623" s="687">
        <v>4</v>
      </c>
      <c r="G623" s="463">
        <v>650000</v>
      </c>
      <c r="H623" s="575">
        <f t="shared" si="22"/>
        <v>2600000</v>
      </c>
      <c r="I623" s="576"/>
      <c r="J623" s="577"/>
      <c r="K623" s="463" t="s">
        <v>1632</v>
      </c>
      <c r="L623" s="688"/>
    </row>
    <row r="624" spans="1:12" s="19" customFormat="1" ht="18.75" customHeight="1" x14ac:dyDescent="0.4">
      <c r="A624" s="571">
        <v>46203</v>
      </c>
      <c r="B624" s="572" t="s">
        <v>164</v>
      </c>
      <c r="C624" s="573" t="s">
        <v>512</v>
      </c>
      <c r="D624" s="461" t="s">
        <v>551</v>
      </c>
      <c r="E624" s="574" t="s">
        <v>13</v>
      </c>
      <c r="F624" s="687">
        <v>2</v>
      </c>
      <c r="G624" s="463">
        <v>1270000</v>
      </c>
      <c r="H624" s="463">
        <f t="shared" si="22"/>
        <v>2540000</v>
      </c>
      <c r="I624" s="576"/>
      <c r="J624" s="577"/>
      <c r="K624" s="463" t="s">
        <v>1632</v>
      </c>
      <c r="L624" s="688"/>
    </row>
    <row r="625" spans="1:12" s="19" customFormat="1" ht="18.75" customHeight="1" x14ac:dyDescent="0.4">
      <c r="A625" s="501"/>
      <c r="B625" s="7"/>
      <c r="C625" s="6"/>
      <c r="D625" s="42"/>
      <c r="E625" s="1"/>
      <c r="F625" s="36"/>
      <c r="G625" s="8"/>
      <c r="H625" s="36"/>
      <c r="I625" s="142"/>
      <c r="J625" s="43"/>
      <c r="K625" s="81"/>
      <c r="L625" s="405"/>
    </row>
    <row r="626" spans="1:12" s="50" customFormat="1" ht="18.75" customHeight="1" x14ac:dyDescent="0.4">
      <c r="A626" s="492"/>
      <c r="B626" s="97" t="s">
        <v>164</v>
      </c>
      <c r="C626" s="138"/>
      <c r="D626" s="97"/>
      <c r="E626" s="123"/>
      <c r="F626" s="380"/>
      <c r="G626" s="138"/>
      <c r="H626" s="138">
        <f>SUM(H608:H620)</f>
        <v>57290000</v>
      </c>
      <c r="I626" s="123"/>
      <c r="J626" s="123"/>
      <c r="K626" s="123"/>
      <c r="L626" s="621"/>
    </row>
    <row r="627" spans="1:12" x14ac:dyDescent="0.4">
      <c r="A627" s="484">
        <v>46169</v>
      </c>
      <c r="B627" s="8" t="s">
        <v>483</v>
      </c>
      <c r="C627" s="49" t="s">
        <v>487</v>
      </c>
      <c r="D627" s="59" t="s">
        <v>488</v>
      </c>
      <c r="E627" s="8" t="s">
        <v>13</v>
      </c>
      <c r="F627" s="49">
        <v>2</v>
      </c>
      <c r="G627" s="49">
        <v>1233600</v>
      </c>
      <c r="H627" s="36">
        <f>G627*F627</f>
        <v>2467200</v>
      </c>
      <c r="I627" s="67" t="s">
        <v>1528</v>
      </c>
      <c r="J627" s="67"/>
      <c r="K627" s="67"/>
      <c r="L627" s="49"/>
    </row>
    <row r="628" spans="1:12" x14ac:dyDescent="0.4">
      <c r="A628" s="484">
        <v>46169</v>
      </c>
      <c r="B628" s="8" t="s">
        <v>483</v>
      </c>
      <c r="C628" s="49" t="s">
        <v>1493</v>
      </c>
      <c r="D628" s="59" t="s">
        <v>1494</v>
      </c>
      <c r="E628" s="8" t="s">
        <v>13</v>
      </c>
      <c r="F628" s="49">
        <v>1</v>
      </c>
      <c r="G628" s="49">
        <v>10976520</v>
      </c>
      <c r="H628" s="36"/>
      <c r="I628" s="67" t="s">
        <v>1495</v>
      </c>
      <c r="J628" s="67"/>
      <c r="K628" s="67"/>
      <c r="L628" s="49"/>
    </row>
    <row r="629" spans="1:12" x14ac:dyDescent="0.4">
      <c r="A629" s="484">
        <v>46170</v>
      </c>
      <c r="B629" s="8" t="s">
        <v>483</v>
      </c>
      <c r="C629" s="49" t="s">
        <v>484</v>
      </c>
      <c r="D629" s="59" t="s">
        <v>1220</v>
      </c>
      <c r="E629" s="8" t="s">
        <v>13</v>
      </c>
      <c r="F629" s="49">
        <v>1</v>
      </c>
      <c r="G629" s="49">
        <v>1123200</v>
      </c>
      <c r="H629" s="36">
        <f>G629*F629</f>
        <v>1123200</v>
      </c>
      <c r="I629" s="67" t="s">
        <v>1528</v>
      </c>
      <c r="J629" s="67"/>
      <c r="K629" s="67"/>
      <c r="L629" s="49"/>
    </row>
    <row r="630" spans="1:12" x14ac:dyDescent="0.4">
      <c r="A630" s="484">
        <v>46170</v>
      </c>
      <c r="B630" s="8" t="s">
        <v>483</v>
      </c>
      <c r="C630" s="49" t="s">
        <v>1491</v>
      </c>
      <c r="D630" s="59" t="s">
        <v>1492</v>
      </c>
      <c r="E630" s="8" t="s">
        <v>13</v>
      </c>
      <c r="F630" s="49">
        <v>2</v>
      </c>
      <c r="G630" s="49">
        <v>3764000</v>
      </c>
      <c r="H630" s="36">
        <f>G630*F630</f>
        <v>7528000</v>
      </c>
      <c r="I630" s="67" t="s">
        <v>1528</v>
      </c>
      <c r="J630" s="67"/>
      <c r="K630" s="67"/>
      <c r="L630" s="49"/>
    </row>
    <row r="631" spans="1:12" x14ac:dyDescent="0.4">
      <c r="A631" s="492"/>
      <c r="B631" s="123"/>
      <c r="C631" s="138"/>
      <c r="D631" s="97"/>
      <c r="E631" s="123"/>
      <c r="F631" s="380"/>
      <c r="G631" s="138"/>
      <c r="H631" s="138">
        <f>SUM(H627:H630)</f>
        <v>11118400</v>
      </c>
      <c r="I631" s="123"/>
      <c r="J631" s="123"/>
      <c r="K631" s="123"/>
      <c r="L631" s="621"/>
    </row>
    <row r="632" spans="1:12" s="50" customFormat="1" ht="18.75" customHeight="1" x14ac:dyDescent="0.4">
      <c r="A632" s="484">
        <v>46197</v>
      </c>
      <c r="B632" s="46" t="s">
        <v>1612</v>
      </c>
      <c r="C632" s="6" t="s">
        <v>1613</v>
      </c>
      <c r="D632" s="42" t="s">
        <v>1614</v>
      </c>
      <c r="E632" s="1" t="s">
        <v>343</v>
      </c>
      <c r="F632" s="36">
        <v>5</v>
      </c>
      <c r="G632" s="7">
        <v>3696750</v>
      </c>
      <c r="H632" s="7">
        <f>G632*F632</f>
        <v>18483750</v>
      </c>
      <c r="I632" s="67"/>
      <c r="J632" s="67" t="s">
        <v>1615</v>
      </c>
      <c r="K632" s="67"/>
      <c r="L632" s="67"/>
    </row>
    <row r="633" spans="1:12" s="50" customFormat="1" ht="18.75" customHeight="1" x14ac:dyDescent="0.4">
      <c r="A633" s="484">
        <v>46197</v>
      </c>
      <c r="B633" s="46" t="s">
        <v>1612</v>
      </c>
      <c r="C633" s="6" t="s">
        <v>1616</v>
      </c>
      <c r="D633" s="42" t="s">
        <v>1617</v>
      </c>
      <c r="E633" s="1"/>
      <c r="F633" s="36">
        <v>1</v>
      </c>
      <c r="G633" s="7">
        <v>20000000</v>
      </c>
      <c r="H633" s="7">
        <f>G633*F633</f>
        <v>20000000</v>
      </c>
      <c r="I633" s="67"/>
      <c r="J633" s="67" t="s">
        <v>1618</v>
      </c>
      <c r="K633" s="67"/>
      <c r="L633" s="67"/>
    </row>
    <row r="634" spans="1:12" s="50" customFormat="1" ht="18.75" customHeight="1" x14ac:dyDescent="0.4">
      <c r="A634" s="484"/>
      <c r="B634" s="59"/>
      <c r="C634" s="49"/>
      <c r="D634" s="59"/>
      <c r="E634" s="67"/>
      <c r="F634" s="710"/>
      <c r="G634" s="49"/>
      <c r="H634" s="49"/>
      <c r="I634" s="67"/>
      <c r="J634" s="67"/>
      <c r="K634" s="67"/>
      <c r="L634" s="409"/>
    </row>
    <row r="635" spans="1:12" s="50" customFormat="1" ht="18.75" customHeight="1" x14ac:dyDescent="0.4">
      <c r="A635" s="492"/>
      <c r="B635" s="97"/>
      <c r="C635" s="138"/>
      <c r="D635" s="97"/>
      <c r="E635" s="123"/>
      <c r="F635" s="380"/>
      <c r="G635" s="138"/>
      <c r="H635" s="138">
        <f>SUM(H632:H634)</f>
        <v>38483750</v>
      </c>
      <c r="I635" s="123"/>
      <c r="J635" s="123"/>
      <c r="K635" s="123"/>
      <c r="L635" s="621"/>
    </row>
    <row r="636" spans="1:12" s="720" customFormat="1" ht="18" customHeight="1" x14ac:dyDescent="0.4">
      <c r="A636" s="711"/>
      <c r="B636" s="712"/>
      <c r="C636" s="713"/>
      <c r="D636" s="714"/>
      <c r="E636" s="714"/>
      <c r="F636" s="715"/>
      <c r="G636" s="716"/>
      <c r="H636" s="716">
        <f>SUM(H15,H22,H43,H52,H67,H120,H123,H300,H302,H357,H385,H475,H482,H575,H583,H588,H604,H607,H626,H631,H635)</f>
        <v>2874769101.7019997</v>
      </c>
      <c r="I636" s="717"/>
      <c r="J636" s="718"/>
      <c r="K636" s="716"/>
      <c r="L636" s="719"/>
    </row>
    <row r="637" spans="1:12" s="50" customFormat="1" ht="18" customHeight="1" x14ac:dyDescent="0.4">
      <c r="A637" s="488"/>
      <c r="B637" s="103"/>
      <c r="C637" s="693"/>
      <c r="D637" s="42"/>
      <c r="E637" s="42"/>
      <c r="F637" s="117"/>
      <c r="G637" s="7"/>
      <c r="H637" s="7"/>
      <c r="I637" s="141"/>
      <c r="J637" s="72"/>
      <c r="K637" s="7"/>
      <c r="L637" s="695"/>
    </row>
    <row r="638" spans="1:12" s="50" customFormat="1" ht="18" customHeight="1" x14ac:dyDescent="0.4">
      <c r="A638" s="488"/>
      <c r="B638" s="103"/>
      <c r="C638" s="693"/>
      <c r="D638" s="42"/>
      <c r="E638" s="42"/>
      <c r="F638" s="117"/>
      <c r="G638" s="7"/>
      <c r="H638" s="7"/>
      <c r="I638" s="141"/>
      <c r="J638" s="72"/>
      <c r="K638" s="7"/>
      <c r="L638" s="695"/>
    </row>
    <row r="639" spans="1:12" s="50" customFormat="1" ht="18" customHeight="1" x14ac:dyDescent="0.4">
      <c r="A639" s="488"/>
      <c r="B639" s="103"/>
      <c r="C639" s="693"/>
      <c r="D639" s="42"/>
      <c r="E639" s="42"/>
      <c r="F639" s="117"/>
      <c r="G639" s="7"/>
      <c r="H639" s="7"/>
      <c r="I639" s="141"/>
      <c r="J639" s="72"/>
      <c r="K639" s="7"/>
      <c r="L639" s="695"/>
    </row>
    <row r="640" spans="1:12" s="50" customFormat="1" ht="18" customHeight="1" x14ac:dyDescent="0.4">
      <c r="A640" s="488"/>
      <c r="B640" s="103"/>
      <c r="C640" s="693"/>
      <c r="D640" s="42"/>
      <c r="E640" s="42"/>
      <c r="F640" s="117"/>
      <c r="G640" s="7"/>
      <c r="H640" s="7"/>
      <c r="I640" s="141"/>
      <c r="J640" s="72"/>
      <c r="K640" s="7"/>
      <c r="L640" s="695"/>
    </row>
    <row r="641" spans="1:12" s="50" customFormat="1" ht="18" customHeight="1" x14ac:dyDescent="0.4">
      <c r="A641" s="488"/>
      <c r="B641" s="103"/>
      <c r="C641" s="693"/>
      <c r="D641" s="42"/>
      <c r="E641" s="42"/>
      <c r="F641" s="117"/>
      <c r="G641" s="7"/>
      <c r="H641" s="7"/>
      <c r="I641" s="141"/>
      <c r="J641" s="72"/>
      <c r="K641" s="7"/>
      <c r="L641" s="695"/>
    </row>
    <row r="642" spans="1:12" s="50" customFormat="1" ht="18" customHeight="1" x14ac:dyDescent="0.4">
      <c r="A642" s="488"/>
      <c r="B642" s="103"/>
      <c r="C642" s="693"/>
      <c r="D642" s="42"/>
      <c r="E642" s="42"/>
      <c r="F642" s="117"/>
      <c r="G642" s="7"/>
      <c r="H642" s="7"/>
      <c r="I642" s="141"/>
      <c r="J642" s="72"/>
      <c r="K642" s="7"/>
      <c r="L642" s="695"/>
    </row>
    <row r="643" spans="1:12" s="50" customFormat="1" ht="18" customHeight="1" x14ac:dyDescent="0.4">
      <c r="A643" s="488"/>
      <c r="B643" s="103"/>
      <c r="C643" s="693"/>
      <c r="D643" s="42"/>
      <c r="E643" s="42"/>
      <c r="F643" s="117"/>
      <c r="G643" s="7"/>
      <c r="H643" s="7"/>
      <c r="I643" s="141"/>
      <c r="J643" s="72"/>
      <c r="K643" s="7"/>
      <c r="L643" s="695"/>
    </row>
    <row r="644" spans="1:12" s="50" customFormat="1" ht="18" customHeight="1" x14ac:dyDescent="0.4">
      <c r="A644" s="488"/>
      <c r="B644" s="103"/>
      <c r="C644" s="693"/>
      <c r="D644" s="42"/>
      <c r="E644" s="42"/>
      <c r="F644" s="117"/>
      <c r="G644" s="7"/>
      <c r="H644" s="7"/>
      <c r="I644" s="141"/>
      <c r="J644" s="72"/>
      <c r="K644" s="7"/>
      <c r="L644" s="695"/>
    </row>
    <row r="645" spans="1:12" s="50" customFormat="1" ht="18" customHeight="1" x14ac:dyDescent="0.4">
      <c r="A645" s="488"/>
      <c r="B645" s="103"/>
      <c r="C645" s="693"/>
      <c r="D645" s="42"/>
      <c r="E645" s="42"/>
      <c r="F645" s="117"/>
      <c r="G645" s="7"/>
      <c r="H645" s="7"/>
      <c r="I645" s="141"/>
      <c r="J645" s="72"/>
      <c r="K645" s="7"/>
      <c r="L645" s="695"/>
    </row>
    <row r="646" spans="1:12" s="50" customFormat="1" ht="18" customHeight="1" x14ac:dyDescent="0.4">
      <c r="A646" s="488"/>
      <c r="B646" s="103"/>
      <c r="C646" s="693"/>
      <c r="D646" s="42"/>
      <c r="E646" s="42"/>
      <c r="F646" s="117"/>
      <c r="G646" s="7"/>
      <c r="H646" s="7"/>
      <c r="I646" s="141"/>
      <c r="J646" s="72"/>
      <c r="K646" s="7"/>
      <c r="L646" s="695"/>
    </row>
    <row r="647" spans="1:12" s="50" customFormat="1" ht="18" customHeight="1" x14ac:dyDescent="0.4">
      <c r="A647" s="488"/>
      <c r="B647" s="103"/>
      <c r="C647" s="693"/>
      <c r="D647" s="42"/>
      <c r="E647" s="42"/>
      <c r="F647" s="117"/>
      <c r="G647" s="7"/>
      <c r="H647" s="7"/>
      <c r="I647" s="141"/>
      <c r="J647" s="72"/>
      <c r="K647" s="7"/>
      <c r="L647" s="695"/>
    </row>
    <row r="648" spans="1:12" s="50" customFormat="1" ht="18" customHeight="1" x14ac:dyDescent="0.4">
      <c r="A648" s="488"/>
      <c r="B648" s="103"/>
      <c r="C648" s="693"/>
      <c r="D648" s="42"/>
      <c r="E648" s="42"/>
      <c r="F648" s="117"/>
      <c r="G648" s="7"/>
      <c r="H648" s="7"/>
      <c r="I648" s="141"/>
      <c r="J648" s="72"/>
      <c r="K648" s="7"/>
      <c r="L648" s="695"/>
    </row>
    <row r="649" spans="1:12" s="50" customFormat="1" ht="18" customHeight="1" x14ac:dyDescent="0.4">
      <c r="A649" s="488"/>
      <c r="B649" s="103"/>
      <c r="C649" s="693"/>
      <c r="D649" s="42"/>
      <c r="E649" s="42"/>
      <c r="F649" s="117"/>
      <c r="G649" s="7"/>
      <c r="H649" s="7"/>
      <c r="I649" s="7"/>
      <c r="J649" s="72"/>
      <c r="K649" s="7"/>
      <c r="L649" s="695"/>
    </row>
    <row r="650" spans="1:12" s="50" customFormat="1" ht="18" customHeight="1" x14ac:dyDescent="0.4">
      <c r="A650" s="488"/>
      <c r="B650" s="103"/>
      <c r="C650" s="693"/>
      <c r="D650" s="42"/>
      <c r="E650" s="42"/>
      <c r="F650" s="117"/>
      <c r="G650" s="7"/>
      <c r="H650" s="7"/>
      <c r="I650" s="7"/>
      <c r="J650" s="72"/>
      <c r="K650" s="7"/>
      <c r="L650" s="695"/>
    </row>
    <row r="651" spans="1:12" s="50" customFormat="1" ht="18" customHeight="1" x14ac:dyDescent="0.4">
      <c r="A651" s="488"/>
      <c r="B651" s="103"/>
      <c r="C651" s="693"/>
      <c r="D651" s="42"/>
      <c r="E651" s="42"/>
      <c r="F651" s="117"/>
      <c r="G651" s="7"/>
      <c r="H651" s="7"/>
      <c r="I651" s="7"/>
      <c r="J651" s="72"/>
      <c r="K651" s="7"/>
      <c r="L651" s="695"/>
    </row>
    <row r="652" spans="1:12" s="50" customFormat="1" ht="18" customHeight="1" x14ac:dyDescent="0.4">
      <c r="A652" s="488"/>
      <c r="B652" s="103"/>
      <c r="C652" s="693"/>
      <c r="D652" s="42"/>
      <c r="E652" s="42"/>
      <c r="F652" s="117"/>
      <c r="G652" s="7"/>
      <c r="H652" s="7"/>
      <c r="I652" s="7"/>
      <c r="J652" s="72"/>
      <c r="K652" s="7"/>
      <c r="L652" s="695"/>
    </row>
    <row r="653" spans="1:12" s="50" customFormat="1" ht="18" customHeight="1" x14ac:dyDescent="0.4">
      <c r="A653" s="488"/>
      <c r="B653" s="103"/>
      <c r="C653" s="693"/>
      <c r="D653" s="42"/>
      <c r="E653" s="42"/>
      <c r="F653" s="117"/>
      <c r="G653" s="7"/>
      <c r="H653" s="7">
        <f>SUM(H636:H652)</f>
        <v>2874769101.7019997</v>
      </c>
      <c r="I653" s="141"/>
      <c r="J653" s="72"/>
      <c r="K653" s="7"/>
      <c r="L653" s="695"/>
    </row>
    <row r="654" spans="1:12" s="50" customFormat="1" ht="18" customHeight="1" x14ac:dyDescent="0.4">
      <c r="A654" s="488"/>
      <c r="B654" s="103"/>
      <c r="C654" s="693"/>
      <c r="D654" s="42"/>
      <c r="E654" s="42"/>
      <c r="F654" s="117"/>
      <c r="G654" s="7"/>
      <c r="H654" s="7"/>
      <c r="I654" s="141"/>
      <c r="J654" s="72"/>
      <c r="K654" s="7"/>
      <c r="L654" s="695"/>
    </row>
    <row r="655" spans="1:12" s="50" customFormat="1" ht="18" customHeight="1" x14ac:dyDescent="0.4">
      <c r="A655" s="488"/>
      <c r="B655" s="103"/>
      <c r="C655" s="693"/>
      <c r="D655" s="42"/>
      <c r="E655" s="42"/>
      <c r="F655" s="117"/>
      <c r="G655" s="7"/>
      <c r="H655" s="7"/>
      <c r="I655" s="141"/>
      <c r="J655" s="72"/>
      <c r="K655" s="7"/>
      <c r="L655" s="695"/>
    </row>
    <row r="656" spans="1:12" s="50" customFormat="1" ht="18" customHeight="1" x14ac:dyDescent="0.4">
      <c r="A656" s="488"/>
      <c r="B656" s="103"/>
      <c r="C656" s="693"/>
      <c r="D656" s="42"/>
      <c r="E656" s="42"/>
      <c r="F656" s="117"/>
      <c r="G656" s="7"/>
      <c r="H656" s="7"/>
      <c r="I656" s="141"/>
      <c r="J656" s="72"/>
      <c r="K656" s="7"/>
      <c r="L656" s="695"/>
    </row>
    <row r="657" spans="1:13" s="50" customFormat="1" ht="18" customHeight="1" x14ac:dyDescent="0.4">
      <c r="A657" s="488"/>
      <c r="B657" s="103"/>
      <c r="C657" s="693"/>
      <c r="D657" s="42"/>
      <c r="E657" s="42"/>
      <c r="F657" s="117"/>
      <c r="G657" s="7"/>
      <c r="H657" s="7"/>
      <c r="I657" s="141"/>
      <c r="J657" s="72"/>
      <c r="K657" s="7"/>
      <c r="L657" s="695"/>
    </row>
    <row r="658" spans="1:13" s="3" customFormat="1" ht="20.25" customHeight="1" x14ac:dyDescent="0.4">
      <c r="A658" s="721">
        <v>46171</v>
      </c>
      <c r="B658" s="722" t="s">
        <v>556</v>
      </c>
      <c r="C658" s="723" t="s">
        <v>401</v>
      </c>
      <c r="D658" s="722" t="s">
        <v>402</v>
      </c>
      <c r="E658" s="722"/>
      <c r="F658" s="724">
        <v>9</v>
      </c>
      <c r="G658" s="725">
        <v>6099100</v>
      </c>
      <c r="H658" s="726">
        <f>+G658*F658</f>
        <v>54891900</v>
      </c>
      <c r="I658" s="725" t="s">
        <v>1619</v>
      </c>
      <c r="J658" s="144"/>
      <c r="K658" s="144"/>
      <c r="L658" s="409"/>
      <c r="M658" s="89"/>
    </row>
    <row r="659" spans="1:13" s="456" customFormat="1" ht="20.25" customHeight="1" x14ac:dyDescent="0.4">
      <c r="A659" s="727">
        <v>46171</v>
      </c>
      <c r="B659" s="451" t="s">
        <v>556</v>
      </c>
      <c r="C659" s="452" t="s">
        <v>1408</v>
      </c>
      <c r="D659" s="451" t="s">
        <v>1409</v>
      </c>
      <c r="E659" s="451"/>
      <c r="F659" s="728">
        <v>31</v>
      </c>
      <c r="G659" s="453">
        <v>607000</v>
      </c>
      <c r="H659" s="421">
        <f>+G659*F659</f>
        <v>18817000</v>
      </c>
      <c r="I659" s="81" t="s">
        <v>1620</v>
      </c>
      <c r="J659" s="454"/>
      <c r="K659" s="454"/>
      <c r="L659" s="729"/>
      <c r="M659" s="455"/>
    </row>
    <row r="660" spans="1:13" s="3" customFormat="1" ht="20.25" customHeight="1" x14ac:dyDescent="0.4">
      <c r="A660" s="721">
        <v>46171</v>
      </c>
      <c r="B660" s="722" t="s">
        <v>556</v>
      </c>
      <c r="C660" s="723" t="s">
        <v>1255</v>
      </c>
      <c r="D660" s="722" t="s">
        <v>1410</v>
      </c>
      <c r="E660" s="722"/>
      <c r="F660" s="724">
        <v>11</v>
      </c>
      <c r="G660" s="725">
        <v>524800</v>
      </c>
      <c r="H660" s="726">
        <f>+G660*F660</f>
        <v>5772800</v>
      </c>
      <c r="I660" s="972" t="s">
        <v>1621</v>
      </c>
      <c r="J660" s="144"/>
      <c r="K660" s="144"/>
      <c r="L660" s="409"/>
      <c r="M660" s="89"/>
    </row>
    <row r="661" spans="1:13" s="646" customFormat="1" ht="18" customHeight="1" x14ac:dyDescent="0.4">
      <c r="A661" s="730">
        <v>46142</v>
      </c>
      <c r="B661" s="731" t="s">
        <v>556</v>
      </c>
      <c r="C661" s="732" t="s">
        <v>1255</v>
      </c>
      <c r="D661" s="731">
        <v>7060741009</v>
      </c>
      <c r="E661" s="731" t="s">
        <v>13</v>
      </c>
      <c r="F661" s="733">
        <v>35</v>
      </c>
      <c r="G661" s="733">
        <v>524800</v>
      </c>
      <c r="H661" s="733">
        <v>18368000</v>
      </c>
      <c r="I661" s="973"/>
      <c r="J661" s="734"/>
      <c r="K661" s="735"/>
      <c r="L661" s="736"/>
    </row>
    <row r="662" spans="1:13" s="50" customFormat="1" ht="20.25" customHeight="1" x14ac:dyDescent="0.4">
      <c r="A662" s="737">
        <v>46170</v>
      </c>
      <c r="B662" s="738" t="s">
        <v>356</v>
      </c>
      <c r="C662" s="739" t="s">
        <v>56</v>
      </c>
      <c r="D662" s="738" t="s">
        <v>1269</v>
      </c>
      <c r="E662" s="738" t="s">
        <v>13</v>
      </c>
      <c r="F662" s="739">
        <v>20</v>
      </c>
      <c r="G662" s="739">
        <v>536960</v>
      </c>
      <c r="H662" s="739">
        <f>F662*G662</f>
        <v>10739200</v>
      </c>
      <c r="I662" s="740">
        <v>46182</v>
      </c>
      <c r="J662" s="59"/>
      <c r="K662" s="67"/>
      <c r="L662" s="409"/>
    </row>
    <row r="663" spans="1:13" s="3" customFormat="1" ht="18" customHeight="1" x14ac:dyDescent="0.4">
      <c r="A663" s="484">
        <v>46172</v>
      </c>
      <c r="B663" s="59" t="s">
        <v>61</v>
      </c>
      <c r="C663" s="61" t="s">
        <v>81</v>
      </c>
      <c r="D663" s="516" t="s">
        <v>1422</v>
      </c>
      <c r="E663" s="516"/>
      <c r="F663" s="741">
        <v>6</v>
      </c>
      <c r="G663" s="414">
        <v>86300</v>
      </c>
      <c r="H663" s="7">
        <f>F663*G663</f>
        <v>517800</v>
      </c>
      <c r="I663" s="624" t="s">
        <v>1622</v>
      </c>
      <c r="J663" s="109"/>
      <c r="K663" s="742" t="s">
        <v>1623</v>
      </c>
      <c r="L663" s="140"/>
      <c r="M663" s="743"/>
    </row>
    <row r="664" spans="1:13" s="3" customFormat="1" ht="18" customHeight="1" x14ac:dyDescent="0.4">
      <c r="A664" s="484">
        <v>46172</v>
      </c>
      <c r="B664" s="59" t="s">
        <v>61</v>
      </c>
      <c r="C664" s="61" t="s">
        <v>105</v>
      </c>
      <c r="D664" s="516" t="s">
        <v>117</v>
      </c>
      <c r="E664" s="516"/>
      <c r="F664" s="741">
        <v>1</v>
      </c>
      <c r="G664" s="414">
        <v>248000</v>
      </c>
      <c r="H664" s="7">
        <f>F664*G664</f>
        <v>248000</v>
      </c>
      <c r="I664" s="49"/>
      <c r="J664" s="109"/>
      <c r="K664" s="144"/>
      <c r="L664" s="140"/>
      <c r="M664" s="89"/>
    </row>
    <row r="665" spans="1:13" s="646" customFormat="1" ht="18" customHeight="1" x14ac:dyDescent="0.4">
      <c r="A665" s="744">
        <v>46052</v>
      </c>
      <c r="B665" s="745" t="s">
        <v>58</v>
      </c>
      <c r="C665" s="735" t="s">
        <v>445</v>
      </c>
      <c r="D665" s="735" t="s">
        <v>446</v>
      </c>
      <c r="E665" s="745"/>
      <c r="F665" s="746">
        <v>12</v>
      </c>
      <c r="G665" s="746">
        <v>1671500</v>
      </c>
      <c r="H665" s="746">
        <v>20058000</v>
      </c>
      <c r="I665" s="735" t="s">
        <v>1496</v>
      </c>
      <c r="J665" s="734"/>
      <c r="K665" s="735" t="s">
        <v>1497</v>
      </c>
      <c r="L665" s="736"/>
    </row>
    <row r="666" spans="1:13" s="646" customFormat="1" ht="18" customHeight="1" x14ac:dyDescent="0.4">
      <c r="A666" s="744">
        <v>46066</v>
      </c>
      <c r="B666" s="745" t="s">
        <v>58</v>
      </c>
      <c r="C666" s="735" t="s">
        <v>445</v>
      </c>
      <c r="D666" s="735" t="s">
        <v>446</v>
      </c>
      <c r="E666" s="745" t="s">
        <v>11</v>
      </c>
      <c r="F666" s="746">
        <v>36</v>
      </c>
      <c r="G666" s="746">
        <v>1671500</v>
      </c>
      <c r="H666" s="746">
        <v>60174000</v>
      </c>
      <c r="I666" s="735" t="s">
        <v>1498</v>
      </c>
      <c r="J666" s="734"/>
      <c r="K666" s="735"/>
      <c r="L666" s="736"/>
    </row>
    <row r="667" spans="1:13" s="646" customFormat="1" ht="18" customHeight="1" x14ac:dyDescent="0.4">
      <c r="A667" s="744">
        <v>46080</v>
      </c>
      <c r="B667" s="745" t="s">
        <v>58</v>
      </c>
      <c r="C667" s="735" t="s">
        <v>445</v>
      </c>
      <c r="D667" s="735" t="s">
        <v>446</v>
      </c>
      <c r="E667" s="745" t="s">
        <v>11</v>
      </c>
      <c r="F667" s="746">
        <v>24</v>
      </c>
      <c r="G667" s="746">
        <v>1671500</v>
      </c>
      <c r="H667" s="746">
        <v>40116000</v>
      </c>
      <c r="I667" s="735"/>
      <c r="J667" s="734"/>
      <c r="K667" s="735"/>
      <c r="L667" s="736"/>
    </row>
    <row r="668" spans="1:13" s="646" customFormat="1" ht="18" customHeight="1" x14ac:dyDescent="0.4">
      <c r="A668" s="744">
        <v>46106</v>
      </c>
      <c r="B668" s="745" t="s">
        <v>134</v>
      </c>
      <c r="C668" s="735" t="s">
        <v>181</v>
      </c>
      <c r="D668" s="735" t="s">
        <v>749</v>
      </c>
      <c r="E668" s="745" t="s">
        <v>13</v>
      </c>
      <c r="F668" s="746">
        <v>3</v>
      </c>
      <c r="G668" s="746">
        <v>2163000</v>
      </c>
      <c r="H668" s="746">
        <v>6489000</v>
      </c>
      <c r="I668" s="735"/>
      <c r="J668" s="734"/>
      <c r="K668" s="735"/>
      <c r="L668" s="736"/>
    </row>
    <row r="669" spans="1:13" s="646" customFormat="1" ht="18" customHeight="1" x14ac:dyDescent="0.4">
      <c r="A669" s="744">
        <v>46106</v>
      </c>
      <c r="B669" s="745" t="s">
        <v>134</v>
      </c>
      <c r="C669" s="735" t="s">
        <v>182</v>
      </c>
      <c r="D669" s="735" t="s">
        <v>372</v>
      </c>
      <c r="E669" s="745" t="s">
        <v>13</v>
      </c>
      <c r="F669" s="746">
        <v>3</v>
      </c>
      <c r="G669" s="746">
        <v>2163000</v>
      </c>
      <c r="H669" s="746">
        <v>6489000</v>
      </c>
      <c r="I669" s="735"/>
      <c r="J669" s="734"/>
      <c r="K669" s="735"/>
      <c r="L669" s="736"/>
    </row>
    <row r="670" spans="1:13" s="50" customFormat="1" ht="18.75" customHeight="1" x14ac:dyDescent="0.4">
      <c r="A670" s="485">
        <v>46150</v>
      </c>
      <c r="B670" s="5" t="s">
        <v>134</v>
      </c>
      <c r="C670" s="80" t="s">
        <v>181</v>
      </c>
      <c r="D670" s="625" t="s">
        <v>371</v>
      </c>
      <c r="E670" s="59" t="s">
        <v>13</v>
      </c>
      <c r="F670" s="80">
        <v>4</v>
      </c>
      <c r="G670" s="61">
        <v>2163000</v>
      </c>
      <c r="H670" s="61">
        <f>F670*G670</f>
        <v>8652000</v>
      </c>
      <c r="I670" s="67" t="s">
        <v>1624</v>
      </c>
      <c r="J670" s="67"/>
      <c r="K670" s="67"/>
      <c r="L670" s="409"/>
    </row>
    <row r="671" spans="1:13" s="50" customFormat="1" ht="18.75" customHeight="1" x14ac:dyDescent="0.4">
      <c r="A671" s="485">
        <v>46150</v>
      </c>
      <c r="B671" s="5" t="s">
        <v>134</v>
      </c>
      <c r="C671" s="80" t="s">
        <v>182</v>
      </c>
      <c r="D671" s="625" t="s">
        <v>372</v>
      </c>
      <c r="E671" s="59" t="s">
        <v>13</v>
      </c>
      <c r="F671" s="80">
        <v>4</v>
      </c>
      <c r="G671" s="61">
        <v>2163000</v>
      </c>
      <c r="H671" s="61">
        <f>F671*G671</f>
        <v>8652000</v>
      </c>
      <c r="I671" s="67" t="s">
        <v>1624</v>
      </c>
      <c r="J671" s="67"/>
      <c r="K671" s="67"/>
      <c r="L671" s="409"/>
    </row>
    <row r="672" spans="1:13" s="646" customFormat="1" ht="18" customHeight="1" x14ac:dyDescent="0.4">
      <c r="A672" s="645"/>
      <c r="J672" s="648"/>
      <c r="L672" s="649"/>
    </row>
    <row r="673" spans="1:12" s="646" customFormat="1" ht="18" customHeight="1" x14ac:dyDescent="0.4">
      <c r="A673" s="645"/>
      <c r="J673" s="648"/>
      <c r="L673" s="649"/>
    </row>
    <row r="674" spans="1:12" s="646" customFormat="1" ht="18" customHeight="1" x14ac:dyDescent="0.4">
      <c r="A674" s="645"/>
      <c r="J674" s="648"/>
      <c r="L674" s="649"/>
    </row>
    <row r="676" spans="1:12" ht="18" customHeight="1" x14ac:dyDescent="0.4">
      <c r="G676" s="539"/>
    </row>
  </sheetData>
  <autoFilter ref="A1:XFC676" xr:uid="{A888F9C3-1D35-40FE-BBD6-19E789EABE71}"/>
  <sortState ref="A555:XFC574">
    <sortCondition ref="L555:L574"/>
  </sortState>
  <mergeCells count="1">
    <mergeCell ref="I660:I661"/>
  </mergeCells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B970-53A7-482D-A47B-4D5F2DC1DA00}">
  <dimension ref="A1:M670"/>
  <sheetViews>
    <sheetView workbookViewId="0">
      <pane ySplit="1" topLeftCell="A59" activePane="bottomLeft" state="frozen"/>
      <selection pane="bottomLeft" activeCell="D79" sqref="D79"/>
    </sheetView>
  </sheetViews>
  <sheetFormatPr defaultRowHeight="17.399999999999999" x14ac:dyDescent="0.4"/>
  <cols>
    <col min="1" max="1" width="9.69921875" style="505" bestFit="1" customWidth="1"/>
    <col min="2" max="2" width="22.19921875" style="440" customWidth="1"/>
    <col min="3" max="3" width="27.09765625" style="50" customWidth="1"/>
    <col min="4" max="4" width="21.59765625" style="440" bestFit="1" customWidth="1"/>
    <col min="5" max="5" width="6.69921875" style="50" customWidth="1"/>
    <col min="6" max="6" width="6.69921875" style="439" customWidth="1"/>
    <col min="7" max="7" width="12.19921875" style="439" customWidth="1"/>
    <col min="8" max="8" width="16.8984375" style="50" customWidth="1"/>
    <col min="9" max="9" width="30.09765625" style="50" customWidth="1"/>
    <col min="10" max="10" width="22.09765625" style="505" customWidth="1"/>
    <col min="11" max="11" width="14.09765625" style="50" customWidth="1"/>
    <col min="12" max="12" width="10.5" style="755" bestFit="1" customWidth="1"/>
    <col min="13" max="13" width="12.8984375" style="50" bestFit="1" customWidth="1"/>
  </cols>
  <sheetData>
    <row r="1" spans="1:13" x14ac:dyDescent="0.4">
      <c r="A1" s="481" t="s">
        <v>0</v>
      </c>
      <c r="B1" s="100" t="s">
        <v>1</v>
      </c>
      <c r="C1" s="101" t="s">
        <v>2</v>
      </c>
      <c r="D1" s="102" t="s">
        <v>3</v>
      </c>
      <c r="E1" s="102" t="s">
        <v>4</v>
      </c>
      <c r="F1" s="120" t="s">
        <v>5</v>
      </c>
      <c r="G1" s="87" t="s">
        <v>6</v>
      </c>
      <c r="H1" s="87" t="s">
        <v>7</v>
      </c>
      <c r="I1" s="136" t="s">
        <v>8</v>
      </c>
      <c r="J1" s="360"/>
      <c r="K1" s="87"/>
      <c r="L1" s="619" t="s">
        <v>9</v>
      </c>
    </row>
    <row r="2" spans="1:13" s="50" customFormat="1" ht="18" customHeight="1" x14ac:dyDescent="0.4">
      <c r="A2" s="488">
        <v>46203</v>
      </c>
      <c r="B2" s="103" t="s">
        <v>10</v>
      </c>
      <c r="C2" s="693" t="s">
        <v>14</v>
      </c>
      <c r="D2" s="42">
        <v>60817438</v>
      </c>
      <c r="E2" s="42" t="s">
        <v>13</v>
      </c>
      <c r="F2" s="117">
        <v>30</v>
      </c>
      <c r="G2" s="7">
        <v>620000</v>
      </c>
      <c r="H2" s="7">
        <f>F2*G2</f>
        <v>18600000</v>
      </c>
      <c r="I2" s="142"/>
      <c r="J2" s="72"/>
      <c r="K2" s="7"/>
      <c r="L2" s="695"/>
    </row>
    <row r="3" spans="1:13" s="50" customFormat="1" ht="18" customHeight="1" x14ac:dyDescent="0.4">
      <c r="A3" s="488">
        <v>46203</v>
      </c>
      <c r="B3" s="103" t="s">
        <v>10</v>
      </c>
      <c r="C3" s="693" t="s">
        <v>15</v>
      </c>
      <c r="D3" s="42">
        <v>60817439</v>
      </c>
      <c r="E3" s="42" t="s">
        <v>13</v>
      </c>
      <c r="F3" s="117">
        <v>30</v>
      </c>
      <c r="G3" s="7">
        <v>500000</v>
      </c>
      <c r="H3" s="7">
        <f>F3*G3</f>
        <v>15000000</v>
      </c>
      <c r="I3" s="142"/>
      <c r="J3" s="72"/>
      <c r="K3" s="7"/>
      <c r="L3" s="695"/>
    </row>
    <row r="4" spans="1:13" s="50" customFormat="1" ht="18" customHeight="1" x14ac:dyDescent="0.4">
      <c r="A4" s="488">
        <v>46205</v>
      </c>
      <c r="B4" s="103" t="s">
        <v>10</v>
      </c>
      <c r="C4" s="693" t="s">
        <v>14</v>
      </c>
      <c r="D4" s="42">
        <v>60817438</v>
      </c>
      <c r="E4" s="42" t="s">
        <v>13</v>
      </c>
      <c r="F4" s="117">
        <v>4</v>
      </c>
      <c r="G4" s="7">
        <v>620000</v>
      </c>
      <c r="H4" s="7">
        <f>F4*G4</f>
        <v>2480000</v>
      </c>
      <c r="I4" s="141"/>
      <c r="J4" s="72"/>
      <c r="K4" s="7"/>
      <c r="L4" s="695"/>
    </row>
    <row r="5" spans="1:13" s="50" customFormat="1" ht="18" customHeight="1" x14ac:dyDescent="0.4">
      <c r="A5" s="488">
        <v>46205</v>
      </c>
      <c r="B5" s="103" t="s">
        <v>10</v>
      </c>
      <c r="C5" s="693" t="s">
        <v>15</v>
      </c>
      <c r="D5" s="42">
        <v>60817439</v>
      </c>
      <c r="E5" s="42" t="s">
        <v>13</v>
      </c>
      <c r="F5" s="117">
        <v>15</v>
      </c>
      <c r="G5" s="7">
        <v>500000</v>
      </c>
      <c r="H5" s="7">
        <f>F5*G5</f>
        <v>7500000</v>
      </c>
      <c r="I5" s="141"/>
      <c r="J5" s="72"/>
      <c r="K5" s="7"/>
      <c r="L5" s="695"/>
    </row>
    <row r="6" spans="1:13" x14ac:dyDescent="0.4">
      <c r="A6" s="622"/>
      <c r="B6" s="39"/>
      <c r="C6" s="88"/>
      <c r="D6" s="434"/>
      <c r="E6" s="39"/>
      <c r="F6" s="39"/>
      <c r="G6" s="98"/>
      <c r="H6" s="138">
        <f>SUM(H2:H5)</f>
        <v>43580000</v>
      </c>
      <c r="I6" s="435"/>
      <c r="J6" s="436"/>
      <c r="K6" s="40"/>
      <c r="L6" s="696"/>
    </row>
    <row r="7" spans="1:13" s="3" customFormat="1" ht="20.25" customHeight="1" x14ac:dyDescent="0.4">
      <c r="A7" s="482">
        <v>46198</v>
      </c>
      <c r="B7" s="110" t="s">
        <v>16</v>
      </c>
      <c r="C7" s="29" t="s">
        <v>18</v>
      </c>
      <c r="D7" s="110" t="s">
        <v>836</v>
      </c>
      <c r="E7" s="110" t="s">
        <v>17</v>
      </c>
      <c r="F7" s="81">
        <v>81</v>
      </c>
      <c r="G7" s="49">
        <v>278654</v>
      </c>
      <c r="H7" s="8">
        <f>+G7*F7</f>
        <v>22570974</v>
      </c>
      <c r="I7" s="49"/>
      <c r="J7" s="144"/>
      <c r="K7" s="144"/>
      <c r="L7" s="140">
        <v>0</v>
      </c>
      <c r="M7" s="89">
        <f>32*7700000</f>
        <v>246400000</v>
      </c>
    </row>
    <row r="8" spans="1:13" s="3" customFormat="1" ht="20.25" customHeight="1" x14ac:dyDescent="0.4">
      <c r="A8" s="482">
        <v>46203</v>
      </c>
      <c r="B8" s="110" t="s">
        <v>16</v>
      </c>
      <c r="C8" s="29" t="s">
        <v>18</v>
      </c>
      <c r="D8" s="110" t="s">
        <v>836</v>
      </c>
      <c r="E8" s="110" t="s">
        <v>17</v>
      </c>
      <c r="F8" s="81">
        <v>108</v>
      </c>
      <c r="G8" s="49">
        <v>278654</v>
      </c>
      <c r="H8" s="8">
        <f t="shared" ref="H8:H17" si="0">+G8*F8</f>
        <v>30094632</v>
      </c>
      <c r="I8" s="49"/>
      <c r="J8" s="144"/>
      <c r="K8" s="144"/>
      <c r="L8" s="140"/>
      <c r="M8" s="89"/>
    </row>
    <row r="9" spans="1:13" s="3" customFormat="1" ht="20.25" customHeight="1" x14ac:dyDescent="0.4">
      <c r="A9" s="482">
        <v>46203</v>
      </c>
      <c r="B9" s="110" t="s">
        <v>16</v>
      </c>
      <c r="C9" s="29" t="s">
        <v>1538</v>
      </c>
      <c r="D9" s="110" t="s">
        <v>1539</v>
      </c>
      <c r="E9" s="110" t="s">
        <v>17</v>
      </c>
      <c r="F9" s="81">
        <v>61</v>
      </c>
      <c r="G9" s="49">
        <v>159054</v>
      </c>
      <c r="H9" s="8">
        <f t="shared" si="0"/>
        <v>9702294</v>
      </c>
      <c r="I9" s="49"/>
      <c r="J9" s="144"/>
      <c r="K9" s="144"/>
      <c r="L9" s="140"/>
      <c r="M9" s="89"/>
    </row>
    <row r="10" spans="1:13" x14ac:dyDescent="0.4">
      <c r="A10" s="482">
        <v>46204</v>
      </c>
      <c r="B10" s="110" t="s">
        <v>16</v>
      </c>
      <c r="C10" s="29" t="s">
        <v>18</v>
      </c>
      <c r="D10" s="110" t="s">
        <v>836</v>
      </c>
      <c r="E10" s="110" t="s">
        <v>17</v>
      </c>
      <c r="F10" s="81">
        <v>54</v>
      </c>
      <c r="G10" s="49">
        <v>278654</v>
      </c>
      <c r="H10" s="8">
        <f t="shared" si="0"/>
        <v>15047316</v>
      </c>
      <c r="I10" s="49"/>
      <c r="J10" s="109"/>
      <c r="K10" s="144"/>
      <c r="L10" s="140">
        <v>0</v>
      </c>
    </row>
    <row r="11" spans="1:13" x14ac:dyDescent="0.4">
      <c r="A11" s="482">
        <v>46234</v>
      </c>
      <c r="B11" s="110" t="s">
        <v>16</v>
      </c>
      <c r="C11" s="29" t="s">
        <v>18</v>
      </c>
      <c r="D11" s="110" t="s">
        <v>836</v>
      </c>
      <c r="E11" s="110" t="s">
        <v>17</v>
      </c>
      <c r="F11" s="81">
        <v>-1</v>
      </c>
      <c r="G11" s="49">
        <v>278654</v>
      </c>
      <c r="H11" s="8">
        <f t="shared" si="0"/>
        <v>-278654</v>
      </c>
      <c r="I11" s="49"/>
      <c r="J11" s="109"/>
      <c r="K11" s="144"/>
      <c r="L11" s="140">
        <v>0</v>
      </c>
    </row>
    <row r="12" spans="1:13" x14ac:dyDescent="0.4">
      <c r="A12" s="482">
        <v>46234</v>
      </c>
      <c r="B12" s="110" t="s">
        <v>16</v>
      </c>
      <c r="C12" s="29" t="s">
        <v>1512</v>
      </c>
      <c r="D12" s="110" t="s">
        <v>1511</v>
      </c>
      <c r="E12" s="110"/>
      <c r="F12" s="81">
        <v>-3</v>
      </c>
      <c r="G12" s="49">
        <v>18831</v>
      </c>
      <c r="H12" s="8">
        <f t="shared" si="0"/>
        <v>-56493</v>
      </c>
      <c r="I12" s="49" t="s">
        <v>1751</v>
      </c>
      <c r="J12" s="109" t="s">
        <v>1752</v>
      </c>
      <c r="K12" s="144"/>
      <c r="L12" s="140"/>
    </row>
    <row r="13" spans="1:13" x14ac:dyDescent="0.4">
      <c r="A13" s="482">
        <v>46234</v>
      </c>
      <c r="B13" s="110" t="s">
        <v>16</v>
      </c>
      <c r="C13" s="29" t="s">
        <v>1512</v>
      </c>
      <c r="D13" s="110" t="s">
        <v>1753</v>
      </c>
      <c r="E13" s="110"/>
      <c r="F13" s="81">
        <v>52</v>
      </c>
      <c r="G13" s="49">
        <v>21137</v>
      </c>
      <c r="H13" s="8">
        <f t="shared" si="0"/>
        <v>1099124</v>
      </c>
      <c r="I13" s="49" t="s">
        <v>1751</v>
      </c>
      <c r="J13" s="109" t="s">
        <v>1752</v>
      </c>
      <c r="K13" s="144"/>
      <c r="L13" s="140"/>
    </row>
    <row r="14" spans="1:13" x14ac:dyDescent="0.4">
      <c r="A14" s="482">
        <v>46234</v>
      </c>
      <c r="B14" s="110" t="s">
        <v>16</v>
      </c>
      <c r="C14" s="29" t="s">
        <v>20</v>
      </c>
      <c r="D14" s="110" t="s">
        <v>21</v>
      </c>
      <c r="E14" s="110"/>
      <c r="F14" s="81">
        <v>440</v>
      </c>
      <c r="G14" s="49">
        <v>12105</v>
      </c>
      <c r="H14" s="8">
        <f t="shared" si="0"/>
        <v>5326200</v>
      </c>
      <c r="I14" s="49" t="s">
        <v>1754</v>
      </c>
      <c r="J14" s="109" t="s">
        <v>1752</v>
      </c>
      <c r="K14" s="144"/>
      <c r="L14" s="140"/>
    </row>
    <row r="15" spans="1:13" x14ac:dyDescent="0.4">
      <c r="A15" s="482">
        <v>46234</v>
      </c>
      <c r="B15" s="110" t="s">
        <v>16</v>
      </c>
      <c r="C15" s="29" t="s">
        <v>20</v>
      </c>
      <c r="D15" s="110" t="s">
        <v>21</v>
      </c>
      <c r="E15" s="110"/>
      <c r="F15" s="81">
        <v>1344</v>
      </c>
      <c r="G15" s="49">
        <v>27542</v>
      </c>
      <c r="H15" s="8">
        <f t="shared" si="0"/>
        <v>37016448</v>
      </c>
      <c r="I15" s="49" t="s">
        <v>1751</v>
      </c>
      <c r="J15" s="109" t="s">
        <v>1752</v>
      </c>
      <c r="K15" s="144"/>
      <c r="L15" s="140"/>
    </row>
    <row r="16" spans="1:13" x14ac:dyDescent="0.4">
      <c r="A16" s="482">
        <v>46234</v>
      </c>
      <c r="B16" s="110" t="s">
        <v>16</v>
      </c>
      <c r="C16" s="29" t="s">
        <v>22</v>
      </c>
      <c r="D16" s="110" t="s">
        <v>23</v>
      </c>
      <c r="E16" s="110"/>
      <c r="F16" s="81">
        <v>-2</v>
      </c>
      <c r="G16" s="49">
        <v>18016</v>
      </c>
      <c r="H16" s="8">
        <f t="shared" si="0"/>
        <v>-36032</v>
      </c>
      <c r="I16" s="49" t="s">
        <v>1754</v>
      </c>
      <c r="J16" s="109" t="s">
        <v>1752</v>
      </c>
      <c r="K16" s="144"/>
      <c r="L16" s="140"/>
    </row>
    <row r="17" spans="1:13" x14ac:dyDescent="0.4">
      <c r="A17" s="482">
        <v>46234</v>
      </c>
      <c r="B17" s="110" t="s">
        <v>16</v>
      </c>
      <c r="C17" s="29" t="s">
        <v>22</v>
      </c>
      <c r="D17" s="110" t="s">
        <v>23</v>
      </c>
      <c r="E17" s="110"/>
      <c r="F17" s="81">
        <v>266</v>
      </c>
      <c r="G17" s="49">
        <v>40992</v>
      </c>
      <c r="H17" s="8">
        <f t="shared" si="0"/>
        <v>10903872</v>
      </c>
      <c r="I17" s="49" t="s">
        <v>1751</v>
      </c>
      <c r="J17" s="109" t="s">
        <v>1752</v>
      </c>
      <c r="K17" s="144"/>
      <c r="L17" s="140"/>
    </row>
    <row r="18" spans="1:13" x14ac:dyDescent="0.4">
      <c r="A18" s="482">
        <v>46212</v>
      </c>
      <c r="B18" s="110" t="s">
        <v>16</v>
      </c>
      <c r="C18" s="29" t="s">
        <v>18</v>
      </c>
      <c r="D18" s="110" t="s">
        <v>836</v>
      </c>
      <c r="E18" s="110" t="s">
        <v>17</v>
      </c>
      <c r="F18" s="81">
        <v>135</v>
      </c>
      <c r="G18" s="49">
        <v>278654</v>
      </c>
      <c r="H18" s="8">
        <f>F18*G18</f>
        <v>37618290</v>
      </c>
      <c r="I18" s="49" t="s">
        <v>1726</v>
      </c>
      <c r="J18" s="109"/>
      <c r="K18" s="144"/>
      <c r="L18" s="140">
        <v>0</v>
      </c>
      <c r="M18" s="21"/>
    </row>
    <row r="19" spans="1:13" s="3" customFormat="1" ht="20.25" customHeight="1" x14ac:dyDescent="0.4">
      <c r="A19" s="482">
        <v>46234</v>
      </c>
      <c r="B19" s="110" t="s">
        <v>16</v>
      </c>
      <c r="C19" s="29" t="s">
        <v>18</v>
      </c>
      <c r="D19" s="110" t="s">
        <v>836</v>
      </c>
      <c r="E19" s="110" t="s">
        <v>17</v>
      </c>
      <c r="F19" s="697">
        <v>270</v>
      </c>
      <c r="G19" s="49">
        <v>278654</v>
      </c>
      <c r="H19" s="8">
        <f>F19*G19</f>
        <v>75236580</v>
      </c>
      <c r="I19" s="49" t="s">
        <v>1726</v>
      </c>
      <c r="J19" s="109"/>
      <c r="K19" s="144"/>
      <c r="L19" s="140"/>
      <c r="M19" s="89"/>
    </row>
    <row r="20" spans="1:13" s="3" customFormat="1" ht="20.25" customHeight="1" x14ac:dyDescent="0.4">
      <c r="A20" s="482">
        <v>46234</v>
      </c>
      <c r="B20" s="110" t="s">
        <v>16</v>
      </c>
      <c r="C20" s="29" t="s">
        <v>18</v>
      </c>
      <c r="D20" s="110" t="s">
        <v>19</v>
      </c>
      <c r="E20" s="110" t="s">
        <v>17</v>
      </c>
      <c r="F20" s="697">
        <v>80</v>
      </c>
      <c r="G20" s="49">
        <v>307237</v>
      </c>
      <c r="H20" s="8">
        <f>+G20*F20</f>
        <v>24578960</v>
      </c>
      <c r="I20" s="49" t="s">
        <v>1726</v>
      </c>
      <c r="J20" s="144"/>
      <c r="K20" s="144"/>
      <c r="L20" s="140"/>
      <c r="M20" s="89"/>
    </row>
    <row r="21" spans="1:13" s="3" customFormat="1" ht="20.25" customHeight="1" x14ac:dyDescent="0.4">
      <c r="A21" s="622"/>
      <c r="B21" s="39"/>
      <c r="C21" s="88"/>
      <c r="D21" s="434"/>
      <c r="E21" s="39"/>
      <c r="F21" s="39"/>
      <c r="G21" s="98"/>
      <c r="H21" s="138">
        <f>SUM(H7:H17)</f>
        <v>131389681</v>
      </c>
      <c r="I21" s="435"/>
      <c r="J21" s="436"/>
      <c r="K21" s="40"/>
      <c r="L21" s="696"/>
      <c r="M21" s="89"/>
    </row>
    <row r="22" spans="1:13" x14ac:dyDescent="0.4">
      <c r="A22" s="482">
        <v>46212</v>
      </c>
      <c r="B22" s="110" t="s">
        <v>24</v>
      </c>
      <c r="C22" s="29" t="s">
        <v>25</v>
      </c>
      <c r="D22" s="110" t="s">
        <v>26</v>
      </c>
      <c r="E22" s="110" t="s">
        <v>17</v>
      </c>
      <c r="F22" s="81">
        <v>99</v>
      </c>
      <c r="G22" s="49">
        <v>122010</v>
      </c>
      <c r="H22" s="8">
        <f>+G22*F22</f>
        <v>12078990</v>
      </c>
      <c r="I22" s="49"/>
      <c r="J22" s="144"/>
      <c r="K22" s="144"/>
      <c r="L22" s="409">
        <v>0</v>
      </c>
      <c r="M22" s="89"/>
    </row>
    <row r="23" spans="1:13" s="3" customFormat="1" ht="19.5" customHeight="1" x14ac:dyDescent="0.4">
      <c r="A23" s="482">
        <v>46234</v>
      </c>
      <c r="B23" s="110" t="s">
        <v>24</v>
      </c>
      <c r="C23" s="29" t="s">
        <v>25</v>
      </c>
      <c r="D23" s="110" t="s">
        <v>26</v>
      </c>
      <c r="E23" s="110" t="s">
        <v>17</v>
      </c>
      <c r="F23" s="81">
        <v>-1</v>
      </c>
      <c r="G23" s="49">
        <v>122010</v>
      </c>
      <c r="H23" s="36">
        <f>F23*G23</f>
        <v>-122010</v>
      </c>
      <c r="I23" s="49"/>
      <c r="J23" s="144"/>
      <c r="K23" s="144"/>
      <c r="L23" s="144"/>
      <c r="M23" s="89"/>
    </row>
    <row r="24" spans="1:13" ht="19.5" customHeight="1" x14ac:dyDescent="0.4">
      <c r="A24" s="482">
        <v>46234</v>
      </c>
      <c r="B24" s="110" t="s">
        <v>24</v>
      </c>
      <c r="C24" s="29" t="s">
        <v>29</v>
      </c>
      <c r="D24" s="110" t="s">
        <v>30</v>
      </c>
      <c r="E24" s="110" t="s">
        <v>17</v>
      </c>
      <c r="F24" s="81">
        <v>-15</v>
      </c>
      <c r="G24" s="49">
        <v>206710</v>
      </c>
      <c r="H24" s="36">
        <f>F24*G24</f>
        <v>-3100650</v>
      </c>
      <c r="I24" s="49"/>
      <c r="J24" s="109"/>
      <c r="K24" s="144"/>
      <c r="L24" s="409">
        <v>0</v>
      </c>
      <c r="M24"/>
    </row>
    <row r="25" spans="1:13" s="19" customFormat="1" ht="19.5" customHeight="1" x14ac:dyDescent="0.3">
      <c r="A25" s="482">
        <v>46234</v>
      </c>
      <c r="B25" s="5" t="s">
        <v>24</v>
      </c>
      <c r="C25" s="401" t="s">
        <v>27</v>
      </c>
      <c r="D25" s="1" t="s">
        <v>839</v>
      </c>
      <c r="E25" s="1" t="s">
        <v>840</v>
      </c>
      <c r="F25" s="402">
        <v>-18</v>
      </c>
      <c r="G25" s="403" ph="1">
        <v>9149</v>
      </c>
      <c r="H25" s="7">
        <f>F25*G25</f>
        <v>-164682</v>
      </c>
      <c r="I25" s="404"/>
      <c r="J25" s="398"/>
      <c r="K25" s="400"/>
      <c r="L25" s="405"/>
      <c r="M25" s="406"/>
    </row>
    <row r="26" spans="1:13" s="19" customFormat="1" ht="19.5" customHeight="1" x14ac:dyDescent="0.4">
      <c r="A26" s="482">
        <v>46234</v>
      </c>
      <c r="B26" s="5" t="s">
        <v>24</v>
      </c>
      <c r="C26" s="401" t="s">
        <v>841</v>
      </c>
      <c r="D26" s="1" t="s">
        <v>28</v>
      </c>
      <c r="E26" s="1" t="s">
        <v>840</v>
      </c>
      <c r="F26" s="402">
        <v>-1</v>
      </c>
      <c r="G26" s="403">
        <v>9081</v>
      </c>
      <c r="H26" s="7">
        <f>F26*G26</f>
        <v>-9081</v>
      </c>
      <c r="I26" s="404"/>
      <c r="J26" s="398"/>
      <c r="K26" s="400"/>
      <c r="L26" s="405"/>
      <c r="M26" s="406"/>
    </row>
    <row r="27" spans="1:13" x14ac:dyDescent="0.4">
      <c r="A27" s="622"/>
      <c r="B27" s="39"/>
      <c r="C27" s="88"/>
      <c r="D27" s="434"/>
      <c r="E27" s="39"/>
      <c r="F27" s="39"/>
      <c r="G27" s="98"/>
      <c r="H27" s="138">
        <f>SUM(H22:H26)</f>
        <v>8682567</v>
      </c>
      <c r="I27" s="435"/>
      <c r="J27" s="436"/>
      <c r="K27" s="40"/>
      <c r="L27" s="696"/>
      <c r="M27" s="89"/>
    </row>
    <row r="28" spans="1:13" s="19" customFormat="1" ht="18.75" customHeight="1" x14ac:dyDescent="0.4">
      <c r="A28" s="484">
        <v>46203</v>
      </c>
      <c r="B28" s="59" t="s">
        <v>556</v>
      </c>
      <c r="C28" s="68" t="s">
        <v>39</v>
      </c>
      <c r="D28" s="42" t="s">
        <v>1542</v>
      </c>
      <c r="E28" s="1"/>
      <c r="F28" s="36">
        <v>32</v>
      </c>
      <c r="G28" s="7">
        <v>1380450</v>
      </c>
      <c r="H28" s="36">
        <f>F28*G28</f>
        <v>44174400</v>
      </c>
      <c r="I28" s="49"/>
      <c r="J28" s="70"/>
      <c r="K28" s="29"/>
      <c r="L28" s="698">
        <v>0</v>
      </c>
    </row>
    <row r="29" spans="1:13" s="19" customFormat="1" ht="18.75" customHeight="1" x14ac:dyDescent="0.4">
      <c r="A29" s="484">
        <v>46203</v>
      </c>
      <c r="B29" s="59" t="s">
        <v>556</v>
      </c>
      <c r="C29" s="68" t="s">
        <v>1543</v>
      </c>
      <c r="D29" s="42" t="s">
        <v>1544</v>
      </c>
      <c r="E29" s="1"/>
      <c r="F29" s="36">
        <v>32</v>
      </c>
      <c r="G29" s="7">
        <v>176840</v>
      </c>
      <c r="H29" s="36">
        <f t="shared" ref="H29:H58" si="1">F29*G29</f>
        <v>5658880</v>
      </c>
      <c r="I29" s="49"/>
      <c r="J29" s="70"/>
      <c r="K29" s="29"/>
      <c r="L29" s="698">
        <v>0</v>
      </c>
    </row>
    <row r="30" spans="1:13" s="19" customFormat="1" ht="18.75" customHeight="1" x14ac:dyDescent="0.4">
      <c r="A30" s="484">
        <v>46203</v>
      </c>
      <c r="B30" s="59" t="s">
        <v>556</v>
      </c>
      <c r="C30" s="68" t="s">
        <v>177</v>
      </c>
      <c r="D30" s="42" t="s">
        <v>178</v>
      </c>
      <c r="E30" s="1"/>
      <c r="F30" s="36">
        <v>2</v>
      </c>
      <c r="G30" s="7">
        <v>176840</v>
      </c>
      <c r="H30" s="36">
        <f t="shared" si="1"/>
        <v>353680</v>
      </c>
      <c r="I30" s="49"/>
      <c r="J30" s="70"/>
      <c r="K30" s="29"/>
      <c r="L30" s="698">
        <v>0</v>
      </c>
    </row>
    <row r="31" spans="1:13" s="19" customFormat="1" ht="18.75" customHeight="1" x14ac:dyDescent="0.4">
      <c r="A31" s="484">
        <v>46203</v>
      </c>
      <c r="B31" s="59" t="s">
        <v>556</v>
      </c>
      <c r="C31" s="68" t="s">
        <v>177</v>
      </c>
      <c r="D31" s="42" t="s">
        <v>178</v>
      </c>
      <c r="E31" s="1"/>
      <c r="F31" s="36">
        <v>9</v>
      </c>
      <c r="G31" s="7">
        <v>184700</v>
      </c>
      <c r="H31" s="36">
        <f t="shared" si="1"/>
        <v>1662300</v>
      </c>
      <c r="I31" s="49"/>
      <c r="J31" s="70"/>
      <c r="K31" s="29"/>
      <c r="L31" s="698">
        <v>0</v>
      </c>
    </row>
    <row r="32" spans="1:13" s="19" customFormat="1" ht="18.75" customHeight="1" x14ac:dyDescent="0.4">
      <c r="A32" s="484">
        <v>46203</v>
      </c>
      <c r="B32" s="59" t="s">
        <v>556</v>
      </c>
      <c r="C32" s="68" t="s">
        <v>177</v>
      </c>
      <c r="D32" s="42" t="s">
        <v>178</v>
      </c>
      <c r="E32" s="1"/>
      <c r="F32" s="36">
        <v>3</v>
      </c>
      <c r="G32" s="7">
        <v>184700</v>
      </c>
      <c r="H32" s="36">
        <f t="shared" si="1"/>
        <v>554100</v>
      </c>
      <c r="I32" s="49"/>
      <c r="J32" s="70"/>
      <c r="K32" s="29"/>
      <c r="L32" s="698">
        <v>0</v>
      </c>
    </row>
    <row r="33" spans="1:13" s="19" customFormat="1" ht="18.75" customHeight="1" x14ac:dyDescent="0.4">
      <c r="A33" s="484">
        <v>46203</v>
      </c>
      <c r="B33" s="59" t="s">
        <v>556</v>
      </c>
      <c r="C33" s="68" t="s">
        <v>177</v>
      </c>
      <c r="D33" s="42" t="s">
        <v>178</v>
      </c>
      <c r="E33" s="1"/>
      <c r="F33" s="36">
        <v>14</v>
      </c>
      <c r="G33" s="7">
        <v>184700</v>
      </c>
      <c r="H33" s="36">
        <f t="shared" si="1"/>
        <v>2585800</v>
      </c>
      <c r="I33" s="49"/>
      <c r="J33" s="70"/>
      <c r="K33" s="29"/>
      <c r="L33" s="698">
        <v>0</v>
      </c>
    </row>
    <row r="34" spans="1:13" x14ac:dyDescent="0.4">
      <c r="A34" s="485">
        <v>46210</v>
      </c>
      <c r="B34" s="8" t="s">
        <v>556</v>
      </c>
      <c r="C34" s="6" t="s">
        <v>35</v>
      </c>
      <c r="D34" s="69" t="s">
        <v>36</v>
      </c>
      <c r="E34" s="8"/>
      <c r="F34" s="8">
        <v>2</v>
      </c>
      <c r="G34" s="36">
        <v>1259290</v>
      </c>
      <c r="H34" s="36">
        <f t="shared" si="1"/>
        <v>2518580</v>
      </c>
      <c r="I34" s="29"/>
      <c r="J34" s="70"/>
      <c r="K34" s="29"/>
      <c r="L34" s="405">
        <v>0</v>
      </c>
      <c r="M34" s="19"/>
    </row>
    <row r="35" spans="1:13" x14ac:dyDescent="0.4">
      <c r="A35" s="485">
        <v>46212</v>
      </c>
      <c r="B35" s="8" t="s">
        <v>556</v>
      </c>
      <c r="C35" s="6" t="s">
        <v>35</v>
      </c>
      <c r="D35" s="69" t="s">
        <v>36</v>
      </c>
      <c r="E35" s="8"/>
      <c r="F35" s="8">
        <v>2</v>
      </c>
      <c r="G35" s="36">
        <v>1259290</v>
      </c>
      <c r="H35" s="36">
        <f t="shared" si="1"/>
        <v>2518580</v>
      </c>
      <c r="I35" s="29"/>
      <c r="J35" s="70"/>
      <c r="K35" s="29"/>
      <c r="L35" s="405">
        <v>0</v>
      </c>
      <c r="M35" s="89"/>
    </row>
    <row r="36" spans="1:13" ht="19.5" customHeight="1" x14ac:dyDescent="0.4">
      <c r="A36" s="485">
        <v>46212</v>
      </c>
      <c r="B36" s="8" t="s">
        <v>556</v>
      </c>
      <c r="C36" s="6" t="s">
        <v>35</v>
      </c>
      <c r="D36" s="69" t="s">
        <v>36</v>
      </c>
      <c r="E36" s="8"/>
      <c r="F36" s="8">
        <v>1</v>
      </c>
      <c r="G36" s="36">
        <v>1259290</v>
      </c>
      <c r="H36" s="36">
        <f t="shared" si="1"/>
        <v>1259290</v>
      </c>
      <c r="I36" s="29"/>
      <c r="J36" s="70"/>
      <c r="K36" s="29"/>
      <c r="L36" s="405">
        <v>0</v>
      </c>
      <c r="M36"/>
    </row>
    <row r="37" spans="1:13" s="3" customFormat="1" ht="19.5" customHeight="1" x14ac:dyDescent="0.4">
      <c r="A37" s="485">
        <v>46212</v>
      </c>
      <c r="B37" s="8" t="s">
        <v>556</v>
      </c>
      <c r="C37" s="6" t="s">
        <v>35</v>
      </c>
      <c r="D37" s="69" t="s">
        <v>36</v>
      </c>
      <c r="E37" s="8"/>
      <c r="F37" s="8">
        <v>1</v>
      </c>
      <c r="G37" s="36">
        <v>1259290</v>
      </c>
      <c r="H37" s="36">
        <f t="shared" si="1"/>
        <v>1259290</v>
      </c>
      <c r="I37" s="29"/>
      <c r="J37" s="70"/>
      <c r="K37" s="29"/>
      <c r="L37" s="405">
        <v>0</v>
      </c>
      <c r="M37" s="89"/>
    </row>
    <row r="38" spans="1:13" s="19" customFormat="1" ht="19.5" customHeight="1" x14ac:dyDescent="0.4">
      <c r="A38" s="485">
        <v>46218</v>
      </c>
      <c r="B38" s="8" t="s">
        <v>556</v>
      </c>
      <c r="C38" s="6" t="s">
        <v>35</v>
      </c>
      <c r="D38" s="69" t="s">
        <v>36</v>
      </c>
      <c r="E38" s="8"/>
      <c r="F38" s="8">
        <v>2</v>
      </c>
      <c r="G38" s="36">
        <v>1259290</v>
      </c>
      <c r="H38" s="36">
        <f t="shared" si="1"/>
        <v>2518580</v>
      </c>
      <c r="I38" s="29"/>
      <c r="J38" s="70"/>
      <c r="K38" s="29"/>
      <c r="L38" s="405">
        <v>0</v>
      </c>
      <c r="M38" s="406"/>
    </row>
    <row r="39" spans="1:13" s="19" customFormat="1" ht="19.5" customHeight="1" x14ac:dyDescent="0.4">
      <c r="A39" s="485">
        <v>46218</v>
      </c>
      <c r="B39" s="8" t="s">
        <v>556</v>
      </c>
      <c r="C39" s="6" t="s">
        <v>35</v>
      </c>
      <c r="D39" s="69" t="s">
        <v>36</v>
      </c>
      <c r="E39" s="8"/>
      <c r="F39" s="8">
        <v>1</v>
      </c>
      <c r="G39" s="36">
        <v>1259290</v>
      </c>
      <c r="H39" s="36">
        <f t="shared" si="1"/>
        <v>1259290</v>
      </c>
      <c r="I39" s="29"/>
      <c r="J39" s="70"/>
      <c r="K39" s="29"/>
      <c r="L39" s="405">
        <v>0</v>
      </c>
      <c r="M39" s="406"/>
    </row>
    <row r="40" spans="1:13" x14ac:dyDescent="0.4">
      <c r="A40" s="485">
        <v>46218</v>
      </c>
      <c r="B40" s="8" t="s">
        <v>556</v>
      </c>
      <c r="C40" s="6" t="s">
        <v>43</v>
      </c>
      <c r="D40" s="69" t="s">
        <v>1655</v>
      </c>
      <c r="E40" s="8"/>
      <c r="F40" s="8">
        <v>4</v>
      </c>
      <c r="G40" s="36">
        <v>174080</v>
      </c>
      <c r="H40" s="36">
        <f t="shared" si="1"/>
        <v>696320</v>
      </c>
      <c r="I40" s="29"/>
      <c r="J40" s="70"/>
      <c r="K40" s="29"/>
      <c r="L40" s="405">
        <v>0</v>
      </c>
      <c r="M40" s="89"/>
    </row>
    <row r="41" spans="1:13" x14ac:dyDescent="0.4">
      <c r="A41" s="485">
        <v>46218</v>
      </c>
      <c r="B41" s="8" t="s">
        <v>556</v>
      </c>
      <c r="C41" s="6" t="s">
        <v>43</v>
      </c>
      <c r="D41" s="69" t="s">
        <v>1655</v>
      </c>
      <c r="E41" s="8"/>
      <c r="F41" s="8">
        <v>43</v>
      </c>
      <c r="G41" s="36">
        <v>220800</v>
      </c>
      <c r="H41" s="36">
        <f t="shared" si="1"/>
        <v>9494400</v>
      </c>
      <c r="I41" s="29"/>
      <c r="J41" s="70"/>
      <c r="K41" s="29"/>
      <c r="L41" s="405">
        <v>0</v>
      </c>
      <c r="M41" s="19"/>
    </row>
    <row r="42" spans="1:13" ht="19.5" customHeight="1" x14ac:dyDescent="0.4">
      <c r="A42" s="485">
        <v>46218</v>
      </c>
      <c r="B42" s="8" t="s">
        <v>556</v>
      </c>
      <c r="C42" s="6" t="s">
        <v>43</v>
      </c>
      <c r="D42" s="69" t="s">
        <v>44</v>
      </c>
      <c r="E42" s="8"/>
      <c r="F42" s="8">
        <v>50</v>
      </c>
      <c r="G42" s="36">
        <v>220800</v>
      </c>
      <c r="H42" s="36">
        <f t="shared" si="1"/>
        <v>11040000</v>
      </c>
      <c r="I42" s="29"/>
      <c r="J42" s="70"/>
      <c r="K42" s="29"/>
      <c r="L42" s="405">
        <v>0</v>
      </c>
      <c r="M42"/>
    </row>
    <row r="43" spans="1:13" s="19" customFormat="1" ht="18.75" customHeight="1" x14ac:dyDescent="0.4">
      <c r="A43" s="485">
        <v>46218</v>
      </c>
      <c r="B43" s="8" t="s">
        <v>556</v>
      </c>
      <c r="C43" s="6" t="s">
        <v>172</v>
      </c>
      <c r="D43" s="69" t="s">
        <v>173</v>
      </c>
      <c r="E43" s="8"/>
      <c r="F43" s="8">
        <v>1</v>
      </c>
      <c r="G43" s="36">
        <v>246640</v>
      </c>
      <c r="H43" s="36">
        <f t="shared" si="1"/>
        <v>246640</v>
      </c>
      <c r="I43" s="29"/>
      <c r="J43" s="70"/>
      <c r="K43" s="29"/>
      <c r="L43" s="405">
        <v>0</v>
      </c>
    </row>
    <row r="44" spans="1:13" s="19" customFormat="1" ht="18.75" customHeight="1" x14ac:dyDescent="0.4">
      <c r="A44" s="485">
        <v>46218</v>
      </c>
      <c r="B44" s="8" t="s">
        <v>556</v>
      </c>
      <c r="C44" s="6" t="s">
        <v>172</v>
      </c>
      <c r="D44" s="69" t="s">
        <v>173</v>
      </c>
      <c r="E44" s="8"/>
      <c r="F44" s="8">
        <v>12</v>
      </c>
      <c r="G44" s="36">
        <v>246640</v>
      </c>
      <c r="H44" s="36">
        <f t="shared" si="1"/>
        <v>2959680</v>
      </c>
      <c r="I44" s="29"/>
      <c r="J44" s="70"/>
      <c r="K44" s="29"/>
      <c r="L44" s="405">
        <v>0</v>
      </c>
    </row>
    <row r="45" spans="1:13" s="19" customFormat="1" ht="18.75" customHeight="1" x14ac:dyDescent="0.4">
      <c r="A45" s="485">
        <v>46218</v>
      </c>
      <c r="B45" s="8" t="s">
        <v>556</v>
      </c>
      <c r="C45" s="6" t="s">
        <v>172</v>
      </c>
      <c r="D45" s="69" t="s">
        <v>173</v>
      </c>
      <c r="E45" s="8"/>
      <c r="F45" s="8">
        <v>58</v>
      </c>
      <c r="G45" s="36">
        <v>281900</v>
      </c>
      <c r="H45" s="36">
        <f t="shared" si="1"/>
        <v>16350200</v>
      </c>
      <c r="I45" s="29"/>
      <c r="J45" s="70"/>
      <c r="K45" s="29"/>
      <c r="L45" s="405">
        <v>0</v>
      </c>
    </row>
    <row r="46" spans="1:13" s="19" customFormat="1" ht="18.75" customHeight="1" x14ac:dyDescent="0.4">
      <c r="A46" s="485">
        <v>46218</v>
      </c>
      <c r="B46" s="8" t="s">
        <v>556</v>
      </c>
      <c r="C46" s="6" t="s">
        <v>49</v>
      </c>
      <c r="D46" s="69" t="s">
        <v>50</v>
      </c>
      <c r="E46" s="8"/>
      <c r="F46" s="8">
        <v>6</v>
      </c>
      <c r="G46" s="36">
        <v>101460</v>
      </c>
      <c r="H46" s="36">
        <f t="shared" si="1"/>
        <v>608760</v>
      </c>
      <c r="I46" s="29"/>
      <c r="J46" s="70"/>
      <c r="K46" s="29"/>
      <c r="L46" s="405">
        <v>0</v>
      </c>
    </row>
    <row r="47" spans="1:13" s="19" customFormat="1" ht="18.75" customHeight="1" x14ac:dyDescent="0.4">
      <c r="A47" s="485">
        <v>46218</v>
      </c>
      <c r="B47" s="8" t="s">
        <v>556</v>
      </c>
      <c r="C47" s="6" t="s">
        <v>49</v>
      </c>
      <c r="D47" s="69" t="s">
        <v>50</v>
      </c>
      <c r="E47" s="8"/>
      <c r="F47" s="8">
        <v>1</v>
      </c>
      <c r="G47" s="36">
        <v>101460</v>
      </c>
      <c r="H47" s="36">
        <f t="shared" si="1"/>
        <v>101460</v>
      </c>
      <c r="I47" s="29"/>
      <c r="J47" s="70"/>
      <c r="K47" s="29"/>
      <c r="L47" s="405">
        <v>0</v>
      </c>
    </row>
    <row r="48" spans="1:13" s="19" customFormat="1" ht="18.75" customHeight="1" x14ac:dyDescent="0.4">
      <c r="A48" s="485">
        <v>46218</v>
      </c>
      <c r="B48" s="8" t="s">
        <v>556</v>
      </c>
      <c r="C48" s="6" t="s">
        <v>49</v>
      </c>
      <c r="D48" s="69" t="s">
        <v>50</v>
      </c>
      <c r="E48" s="8"/>
      <c r="F48" s="8">
        <v>3</v>
      </c>
      <c r="G48" s="36">
        <v>104300</v>
      </c>
      <c r="H48" s="36">
        <f t="shared" si="1"/>
        <v>312900</v>
      </c>
      <c r="I48" s="29"/>
      <c r="J48" s="70"/>
      <c r="K48" s="29"/>
      <c r="L48" s="405">
        <v>0</v>
      </c>
    </row>
    <row r="49" spans="1:13" x14ac:dyDescent="0.4">
      <c r="A49" s="485">
        <v>46218</v>
      </c>
      <c r="B49" s="8" t="s">
        <v>556</v>
      </c>
      <c r="C49" s="6" t="s">
        <v>49</v>
      </c>
      <c r="D49" s="69" t="s">
        <v>50</v>
      </c>
      <c r="E49" s="8"/>
      <c r="F49" s="8">
        <v>22</v>
      </c>
      <c r="G49" s="36">
        <v>104300</v>
      </c>
      <c r="H49" s="36">
        <f t="shared" si="1"/>
        <v>2294600</v>
      </c>
      <c r="I49" s="29"/>
      <c r="J49" s="70"/>
      <c r="K49" s="29"/>
      <c r="L49" s="405">
        <v>0</v>
      </c>
      <c r="M49" s="19"/>
    </row>
    <row r="50" spans="1:13" x14ac:dyDescent="0.4">
      <c r="A50" s="485">
        <v>46218</v>
      </c>
      <c r="B50" s="8" t="s">
        <v>556</v>
      </c>
      <c r="C50" s="6" t="s">
        <v>49</v>
      </c>
      <c r="D50" s="69" t="s">
        <v>50</v>
      </c>
      <c r="E50" s="8"/>
      <c r="F50" s="8">
        <v>18</v>
      </c>
      <c r="G50" s="36">
        <v>104300</v>
      </c>
      <c r="H50" s="36">
        <f t="shared" si="1"/>
        <v>1877400</v>
      </c>
      <c r="I50" s="29"/>
      <c r="J50" s="70"/>
      <c r="K50" s="29"/>
      <c r="L50" s="405">
        <v>0</v>
      </c>
      <c r="M50" s="19"/>
    </row>
    <row r="51" spans="1:13" x14ac:dyDescent="0.4">
      <c r="A51" s="485">
        <v>46225</v>
      </c>
      <c r="B51" s="8" t="s">
        <v>556</v>
      </c>
      <c r="C51" s="6" t="s">
        <v>1656</v>
      </c>
      <c r="D51" s="69" t="s">
        <v>40</v>
      </c>
      <c r="E51" s="8"/>
      <c r="F51" s="8">
        <v>4</v>
      </c>
      <c r="G51" s="36">
        <v>1648200</v>
      </c>
      <c r="H51" s="36">
        <f t="shared" si="1"/>
        <v>6592800</v>
      </c>
      <c r="I51" s="29"/>
      <c r="J51" s="70"/>
      <c r="K51" s="29"/>
      <c r="L51" s="405">
        <v>0</v>
      </c>
      <c r="M51" s="19"/>
    </row>
    <row r="52" spans="1:13" x14ac:dyDescent="0.4">
      <c r="A52" s="485">
        <v>46226</v>
      </c>
      <c r="B52" s="8" t="s">
        <v>556</v>
      </c>
      <c r="C52" s="6" t="s">
        <v>35</v>
      </c>
      <c r="D52" s="69" t="s">
        <v>396</v>
      </c>
      <c r="E52" s="8"/>
      <c r="F52" s="8">
        <v>3</v>
      </c>
      <c r="G52" s="36">
        <v>1389100</v>
      </c>
      <c r="H52" s="36">
        <f t="shared" si="1"/>
        <v>4167300</v>
      </c>
      <c r="I52" s="29"/>
      <c r="J52" s="70"/>
      <c r="K52" s="29"/>
      <c r="L52" s="405">
        <v>0</v>
      </c>
      <c r="M52" s="19"/>
    </row>
    <row r="53" spans="1:13" x14ac:dyDescent="0.4">
      <c r="A53" s="485">
        <v>46226</v>
      </c>
      <c r="B53" s="8" t="s">
        <v>556</v>
      </c>
      <c r="C53" s="6" t="s">
        <v>37</v>
      </c>
      <c r="D53" s="69" t="s">
        <v>38</v>
      </c>
      <c r="E53" s="8"/>
      <c r="F53" s="8">
        <v>10</v>
      </c>
      <c r="G53" s="36">
        <v>1418400</v>
      </c>
      <c r="H53" s="36">
        <f t="shared" si="1"/>
        <v>14184000</v>
      </c>
      <c r="I53" s="29"/>
      <c r="J53" s="70"/>
      <c r="K53" s="29"/>
      <c r="L53" s="405">
        <v>0</v>
      </c>
      <c r="M53" s="19"/>
    </row>
    <row r="54" spans="1:13" x14ac:dyDescent="0.4">
      <c r="A54" s="485">
        <v>46226</v>
      </c>
      <c r="B54" s="8" t="s">
        <v>556</v>
      </c>
      <c r="C54" s="6" t="s">
        <v>177</v>
      </c>
      <c r="D54" s="69" t="s">
        <v>178</v>
      </c>
      <c r="E54" s="8"/>
      <c r="F54" s="8">
        <v>32</v>
      </c>
      <c r="G54" s="36">
        <v>184700</v>
      </c>
      <c r="H54" s="36">
        <f t="shared" si="1"/>
        <v>5910400</v>
      </c>
      <c r="I54" s="29"/>
      <c r="J54" s="70"/>
      <c r="K54" s="29"/>
      <c r="L54" s="405">
        <v>0</v>
      </c>
      <c r="M54" s="19"/>
    </row>
    <row r="55" spans="1:13" x14ac:dyDescent="0.4">
      <c r="A55" s="485">
        <v>46226</v>
      </c>
      <c r="B55" s="8" t="s">
        <v>556</v>
      </c>
      <c r="C55" s="6" t="s">
        <v>177</v>
      </c>
      <c r="D55" s="69" t="s">
        <v>178</v>
      </c>
      <c r="E55" s="8"/>
      <c r="F55" s="8">
        <v>2</v>
      </c>
      <c r="G55" s="36">
        <v>184700</v>
      </c>
      <c r="H55" s="36">
        <f t="shared" si="1"/>
        <v>369400</v>
      </c>
      <c r="I55" s="29"/>
      <c r="J55" s="70"/>
      <c r="K55" s="29"/>
      <c r="L55" s="405">
        <v>0</v>
      </c>
      <c r="M55" s="19"/>
    </row>
    <row r="56" spans="1:13" x14ac:dyDescent="0.4">
      <c r="A56" s="485">
        <v>46226</v>
      </c>
      <c r="B56" s="8" t="s">
        <v>556</v>
      </c>
      <c r="C56" s="6" t="s">
        <v>177</v>
      </c>
      <c r="D56" s="69" t="s">
        <v>178</v>
      </c>
      <c r="E56" s="8"/>
      <c r="F56" s="8">
        <v>9</v>
      </c>
      <c r="G56" s="36">
        <v>184700</v>
      </c>
      <c r="H56" s="36">
        <f t="shared" si="1"/>
        <v>1662300</v>
      </c>
      <c r="I56" s="29"/>
      <c r="J56" s="70"/>
      <c r="K56" s="29"/>
      <c r="L56" s="405">
        <v>0</v>
      </c>
      <c r="M56" s="19"/>
    </row>
    <row r="57" spans="1:13" x14ac:dyDescent="0.4">
      <c r="A57" s="485">
        <v>46226</v>
      </c>
      <c r="B57" s="8" t="s">
        <v>556</v>
      </c>
      <c r="C57" s="6" t="s">
        <v>177</v>
      </c>
      <c r="D57" s="69" t="s">
        <v>178</v>
      </c>
      <c r="E57" s="8"/>
      <c r="F57" s="8">
        <v>3</v>
      </c>
      <c r="G57" s="36">
        <v>184700</v>
      </c>
      <c r="H57" s="36">
        <f t="shared" si="1"/>
        <v>554100</v>
      </c>
      <c r="I57" s="29"/>
      <c r="J57" s="70"/>
      <c r="K57" s="29"/>
      <c r="L57" s="405">
        <v>0</v>
      </c>
      <c r="M57" s="19"/>
    </row>
    <row r="58" spans="1:13" x14ac:dyDescent="0.4">
      <c r="A58" s="485">
        <v>46226</v>
      </c>
      <c r="B58" s="8" t="s">
        <v>556</v>
      </c>
      <c r="C58" s="6" t="s">
        <v>177</v>
      </c>
      <c r="D58" s="69" t="s">
        <v>178</v>
      </c>
      <c r="E58" s="8"/>
      <c r="F58" s="8">
        <v>4</v>
      </c>
      <c r="G58" s="36">
        <v>184700</v>
      </c>
      <c r="H58" s="36">
        <f t="shared" si="1"/>
        <v>738800</v>
      </c>
      <c r="I58" s="29"/>
      <c r="J58" s="70"/>
      <c r="K58" s="29"/>
      <c r="L58" s="405">
        <v>0</v>
      </c>
      <c r="M58" s="19"/>
    </row>
    <row r="59" spans="1:13" ht="19.5" customHeight="1" x14ac:dyDescent="0.4">
      <c r="A59" s="482">
        <v>46171</v>
      </c>
      <c r="B59" s="110" t="s">
        <v>556</v>
      </c>
      <c r="C59" s="29" t="s">
        <v>1408</v>
      </c>
      <c r="D59" s="110" t="s">
        <v>1409</v>
      </c>
      <c r="E59" s="110"/>
      <c r="F59" s="81">
        <v>31</v>
      </c>
      <c r="G59" s="49">
        <v>607000</v>
      </c>
      <c r="H59" s="8">
        <f>+G59*F59</f>
        <v>18817000</v>
      </c>
      <c r="I59" s="49" t="s">
        <v>1726</v>
      </c>
      <c r="J59" s="144"/>
      <c r="K59" s="144"/>
      <c r="L59" s="144"/>
      <c r="M59"/>
    </row>
    <row r="60" spans="1:13" x14ac:dyDescent="0.4">
      <c r="A60" s="485">
        <v>46233</v>
      </c>
      <c r="B60" s="8" t="s">
        <v>556</v>
      </c>
      <c r="C60" s="6" t="s">
        <v>347</v>
      </c>
      <c r="D60" s="69" t="s">
        <v>348</v>
      </c>
      <c r="E60" s="8"/>
      <c r="F60" s="8">
        <v>3</v>
      </c>
      <c r="G60" s="36">
        <v>38000</v>
      </c>
      <c r="H60" s="8">
        <f t="shared" ref="H60:H74" si="2">F60*G60</f>
        <v>114000</v>
      </c>
      <c r="I60" s="49" t="s">
        <v>1726</v>
      </c>
      <c r="J60" s="70"/>
      <c r="K60" s="29"/>
      <c r="L60" s="405"/>
      <c r="M60" s="19"/>
    </row>
    <row r="61" spans="1:13" x14ac:dyDescent="0.4">
      <c r="A61" s="485">
        <v>46233</v>
      </c>
      <c r="B61" s="8" t="s">
        <v>556</v>
      </c>
      <c r="C61" s="6" t="s">
        <v>347</v>
      </c>
      <c r="D61" s="69" t="s">
        <v>348</v>
      </c>
      <c r="E61" s="8"/>
      <c r="F61" s="8">
        <v>20</v>
      </c>
      <c r="G61" s="36">
        <v>38000</v>
      </c>
      <c r="H61" s="8">
        <f t="shared" si="2"/>
        <v>760000</v>
      </c>
      <c r="I61" s="49" t="s">
        <v>1726</v>
      </c>
      <c r="J61" s="70"/>
      <c r="K61" s="29"/>
      <c r="L61" s="405"/>
      <c r="M61" s="19"/>
    </row>
    <row r="62" spans="1:13" x14ac:dyDescent="0.4">
      <c r="A62" s="485">
        <v>46233</v>
      </c>
      <c r="B62" s="8" t="s">
        <v>556</v>
      </c>
      <c r="C62" s="6" t="s">
        <v>347</v>
      </c>
      <c r="D62" s="69" t="s">
        <v>349</v>
      </c>
      <c r="E62" s="8"/>
      <c r="F62" s="8">
        <v>3</v>
      </c>
      <c r="G62" s="36">
        <v>43200</v>
      </c>
      <c r="H62" s="8">
        <f t="shared" si="2"/>
        <v>129600</v>
      </c>
      <c r="I62" s="49" t="s">
        <v>1726</v>
      </c>
      <c r="J62" s="70"/>
      <c r="K62" s="29"/>
      <c r="L62" s="405"/>
      <c r="M62" s="19"/>
    </row>
    <row r="63" spans="1:13" x14ac:dyDescent="0.4">
      <c r="A63" s="485">
        <v>46233</v>
      </c>
      <c r="B63" s="8" t="s">
        <v>556</v>
      </c>
      <c r="C63" s="6" t="s">
        <v>347</v>
      </c>
      <c r="D63" s="69" t="s">
        <v>349</v>
      </c>
      <c r="E63" s="8"/>
      <c r="F63" s="8">
        <v>20</v>
      </c>
      <c r="G63" s="36">
        <v>43200</v>
      </c>
      <c r="H63" s="8">
        <f t="shared" si="2"/>
        <v>864000</v>
      </c>
      <c r="I63" s="49" t="s">
        <v>1726</v>
      </c>
      <c r="J63" s="70"/>
      <c r="K63" s="29"/>
      <c r="L63" s="405"/>
      <c r="M63" s="19"/>
    </row>
    <row r="64" spans="1:13" x14ac:dyDescent="0.4">
      <c r="A64" s="485">
        <v>46233</v>
      </c>
      <c r="B64" s="8" t="s">
        <v>556</v>
      </c>
      <c r="C64" s="6" t="s">
        <v>347</v>
      </c>
      <c r="D64" s="69" t="s">
        <v>350</v>
      </c>
      <c r="E64" s="8"/>
      <c r="F64" s="8">
        <v>3</v>
      </c>
      <c r="G64" s="36">
        <v>38000</v>
      </c>
      <c r="H64" s="8">
        <f t="shared" si="2"/>
        <v>114000</v>
      </c>
      <c r="I64" s="49" t="s">
        <v>1726</v>
      </c>
      <c r="J64" s="70"/>
      <c r="K64" s="29"/>
      <c r="L64" s="405"/>
      <c r="M64" s="19"/>
    </row>
    <row r="65" spans="1:13" x14ac:dyDescent="0.4">
      <c r="A65" s="485">
        <v>46233</v>
      </c>
      <c r="B65" s="8" t="s">
        <v>556</v>
      </c>
      <c r="C65" s="6" t="s">
        <v>347</v>
      </c>
      <c r="D65" s="69" t="s">
        <v>350</v>
      </c>
      <c r="E65" s="8"/>
      <c r="F65" s="8">
        <v>20</v>
      </c>
      <c r="G65" s="36">
        <v>38000</v>
      </c>
      <c r="H65" s="8">
        <f t="shared" si="2"/>
        <v>760000</v>
      </c>
      <c r="I65" s="49" t="s">
        <v>1726</v>
      </c>
      <c r="J65" s="70"/>
      <c r="K65" s="29"/>
      <c r="L65" s="405"/>
      <c r="M65" s="19"/>
    </row>
    <row r="66" spans="1:13" x14ac:dyDescent="0.4">
      <c r="A66" s="485">
        <v>46233</v>
      </c>
      <c r="B66" s="8" t="s">
        <v>556</v>
      </c>
      <c r="C66" s="6" t="s">
        <v>347</v>
      </c>
      <c r="D66" s="69" t="s">
        <v>351</v>
      </c>
      <c r="E66" s="8"/>
      <c r="F66" s="8">
        <v>3</v>
      </c>
      <c r="G66" s="36">
        <v>39400</v>
      </c>
      <c r="H66" s="8">
        <f t="shared" si="2"/>
        <v>118200</v>
      </c>
      <c r="I66" s="49" t="s">
        <v>1726</v>
      </c>
      <c r="J66" s="70"/>
      <c r="K66" s="29"/>
      <c r="L66" s="405"/>
      <c r="M66" s="19"/>
    </row>
    <row r="67" spans="1:13" x14ac:dyDescent="0.4">
      <c r="A67" s="485">
        <v>46233</v>
      </c>
      <c r="B67" s="8" t="s">
        <v>556</v>
      </c>
      <c r="C67" s="6" t="s">
        <v>347</v>
      </c>
      <c r="D67" s="69" t="s">
        <v>351</v>
      </c>
      <c r="E67" s="8"/>
      <c r="F67" s="8">
        <v>20</v>
      </c>
      <c r="G67" s="36">
        <v>39400</v>
      </c>
      <c r="H67" s="8">
        <f t="shared" si="2"/>
        <v>788000</v>
      </c>
      <c r="I67" s="49" t="s">
        <v>1726</v>
      </c>
      <c r="J67" s="70"/>
      <c r="K67" s="29"/>
      <c r="L67" s="405"/>
      <c r="M67" s="19"/>
    </row>
    <row r="68" spans="1:13" x14ac:dyDescent="0.4">
      <c r="A68" s="485">
        <v>46233</v>
      </c>
      <c r="B68" s="8" t="s">
        <v>556</v>
      </c>
      <c r="C68" s="6" t="s">
        <v>347</v>
      </c>
      <c r="D68" s="69" t="s">
        <v>352</v>
      </c>
      <c r="E68" s="8"/>
      <c r="F68" s="8">
        <v>3</v>
      </c>
      <c r="G68" s="36">
        <v>35400</v>
      </c>
      <c r="H68" s="8">
        <f t="shared" si="2"/>
        <v>106200</v>
      </c>
      <c r="I68" s="49" t="s">
        <v>1726</v>
      </c>
      <c r="J68" s="70"/>
      <c r="K68" s="29"/>
      <c r="L68" s="405"/>
      <c r="M68" s="19"/>
    </row>
    <row r="69" spans="1:13" x14ac:dyDescent="0.4">
      <c r="A69" s="485">
        <v>46233</v>
      </c>
      <c r="B69" s="8" t="s">
        <v>556</v>
      </c>
      <c r="C69" s="6" t="s">
        <v>347</v>
      </c>
      <c r="D69" s="69" t="s">
        <v>352</v>
      </c>
      <c r="E69" s="8"/>
      <c r="F69" s="8">
        <v>20</v>
      </c>
      <c r="G69" s="36">
        <v>35400</v>
      </c>
      <c r="H69" s="8">
        <f t="shared" si="2"/>
        <v>708000</v>
      </c>
      <c r="I69" s="49" t="s">
        <v>1726</v>
      </c>
      <c r="J69" s="70"/>
      <c r="K69" s="29"/>
      <c r="L69" s="405"/>
      <c r="M69" s="19"/>
    </row>
    <row r="70" spans="1:13" x14ac:dyDescent="0.4">
      <c r="A70" s="485">
        <v>46233</v>
      </c>
      <c r="B70" s="8" t="s">
        <v>556</v>
      </c>
      <c r="C70" s="6" t="s">
        <v>347</v>
      </c>
      <c r="D70" s="69" t="s">
        <v>353</v>
      </c>
      <c r="E70" s="8"/>
      <c r="F70" s="8">
        <v>3</v>
      </c>
      <c r="G70" s="36">
        <v>40000</v>
      </c>
      <c r="H70" s="8">
        <f t="shared" si="2"/>
        <v>120000</v>
      </c>
      <c r="I70" s="49" t="s">
        <v>1726</v>
      </c>
      <c r="J70" s="70"/>
      <c r="K70" s="29"/>
      <c r="L70" s="405"/>
      <c r="M70" s="19"/>
    </row>
    <row r="71" spans="1:13" x14ac:dyDescent="0.4">
      <c r="A71" s="485">
        <v>46233</v>
      </c>
      <c r="B71" s="8" t="s">
        <v>556</v>
      </c>
      <c r="C71" s="6" t="s">
        <v>347</v>
      </c>
      <c r="D71" s="69" t="s">
        <v>353</v>
      </c>
      <c r="E71" s="8"/>
      <c r="F71" s="8">
        <v>20</v>
      </c>
      <c r="G71" s="36">
        <v>40000</v>
      </c>
      <c r="H71" s="8">
        <f t="shared" si="2"/>
        <v>800000</v>
      </c>
      <c r="I71" s="49" t="s">
        <v>1726</v>
      </c>
      <c r="J71" s="70"/>
      <c r="K71" s="29"/>
      <c r="L71" s="405"/>
      <c r="M71" s="19"/>
    </row>
    <row r="72" spans="1:13" x14ac:dyDescent="0.4">
      <c r="A72" s="485">
        <v>46233</v>
      </c>
      <c r="B72" s="8" t="s">
        <v>556</v>
      </c>
      <c r="C72" s="6" t="s">
        <v>354</v>
      </c>
      <c r="D72" s="69" t="s">
        <v>355</v>
      </c>
      <c r="E72" s="8"/>
      <c r="F72" s="8">
        <v>6</v>
      </c>
      <c r="G72" s="36">
        <v>1364980</v>
      </c>
      <c r="H72" s="8">
        <f t="shared" si="2"/>
        <v>8189880</v>
      </c>
      <c r="I72" s="49" t="s">
        <v>1726</v>
      </c>
      <c r="J72" s="70"/>
      <c r="K72" s="29"/>
      <c r="L72" s="405"/>
      <c r="M72" s="19"/>
    </row>
    <row r="73" spans="1:13" x14ac:dyDescent="0.4">
      <c r="A73" s="485">
        <v>46233</v>
      </c>
      <c r="B73" s="8" t="s">
        <v>556</v>
      </c>
      <c r="C73" s="6" t="s">
        <v>354</v>
      </c>
      <c r="D73" s="69" t="s">
        <v>355</v>
      </c>
      <c r="E73" s="8"/>
      <c r="F73" s="8">
        <v>17</v>
      </c>
      <c r="G73" s="36">
        <v>1364980</v>
      </c>
      <c r="H73" s="8">
        <f t="shared" si="2"/>
        <v>23204660</v>
      </c>
      <c r="I73" s="49" t="s">
        <v>1726</v>
      </c>
      <c r="J73" s="70"/>
      <c r="K73" s="29"/>
      <c r="L73" s="405"/>
      <c r="M73" s="19"/>
    </row>
    <row r="74" spans="1:13" x14ac:dyDescent="0.4">
      <c r="A74" s="485">
        <v>46234</v>
      </c>
      <c r="B74" s="8" t="s">
        <v>556</v>
      </c>
      <c r="C74" s="6" t="s">
        <v>401</v>
      </c>
      <c r="D74" s="69" t="s">
        <v>402</v>
      </c>
      <c r="E74" s="8"/>
      <c r="F74" s="8">
        <v>5</v>
      </c>
      <c r="G74" s="36">
        <v>6099100</v>
      </c>
      <c r="H74" s="8">
        <f t="shared" si="2"/>
        <v>30495500</v>
      </c>
      <c r="I74" s="49" t="s">
        <v>1726</v>
      </c>
      <c r="J74" s="70"/>
      <c r="K74" s="29"/>
      <c r="L74" s="405"/>
      <c r="M74" s="19"/>
    </row>
    <row r="75" spans="1:13" x14ac:dyDescent="0.4">
      <c r="A75" s="622"/>
      <c r="B75" s="39"/>
      <c r="C75" s="88"/>
      <c r="D75" s="434"/>
      <c r="E75" s="39"/>
      <c r="F75" s="39"/>
      <c r="G75" s="98"/>
      <c r="H75" s="138">
        <f>SUM(H28:H58)</f>
        <v>146484230</v>
      </c>
      <c r="I75" s="435"/>
      <c r="J75" s="436"/>
      <c r="K75" s="40"/>
      <c r="L75" s="696"/>
      <c r="M75" s="19"/>
    </row>
    <row r="76" spans="1:13" s="50" customFormat="1" ht="20.25" customHeight="1" x14ac:dyDescent="0.4">
      <c r="A76" s="482">
        <v>46203</v>
      </c>
      <c r="B76" s="59" t="s">
        <v>55</v>
      </c>
      <c r="C76" s="68" t="s">
        <v>345</v>
      </c>
      <c r="D76" s="59" t="s">
        <v>675</v>
      </c>
      <c r="E76" s="67"/>
      <c r="F76" s="49">
        <v>72</v>
      </c>
      <c r="G76" s="49">
        <v>304770</v>
      </c>
      <c r="H76" s="68">
        <f t="shared" ref="H76:H81" si="3">F76*G76</f>
        <v>21943440</v>
      </c>
      <c r="I76" s="68"/>
      <c r="J76" s="67"/>
      <c r="K76" s="67"/>
      <c r="L76" s="140"/>
    </row>
    <row r="77" spans="1:13" s="50" customFormat="1" ht="20.25" customHeight="1" x14ac:dyDescent="0.4">
      <c r="A77" s="482">
        <v>46203</v>
      </c>
      <c r="B77" s="59" t="s">
        <v>55</v>
      </c>
      <c r="C77" s="68" t="s">
        <v>345</v>
      </c>
      <c r="D77" s="59" t="s">
        <v>346</v>
      </c>
      <c r="E77" s="67"/>
      <c r="F77" s="49">
        <f>36+55</f>
        <v>91</v>
      </c>
      <c r="G77" s="49">
        <v>259178</v>
      </c>
      <c r="H77" s="68">
        <f t="shared" si="3"/>
        <v>23585198</v>
      </c>
      <c r="I77" s="68"/>
      <c r="J77" s="67"/>
      <c r="K77" s="67"/>
      <c r="L77" s="140"/>
    </row>
    <row r="78" spans="1:13" s="50" customFormat="1" ht="20.25" customHeight="1" x14ac:dyDescent="0.4">
      <c r="A78" s="482">
        <v>46226</v>
      </c>
      <c r="B78" s="59" t="s">
        <v>55</v>
      </c>
      <c r="C78" s="49" t="s">
        <v>56</v>
      </c>
      <c r="D78" s="59" t="s">
        <v>281</v>
      </c>
      <c r="E78" s="67"/>
      <c r="F78" s="49">
        <v>6</v>
      </c>
      <c r="G78" s="49">
        <v>259178</v>
      </c>
      <c r="H78" s="68">
        <f t="shared" si="3"/>
        <v>1555068</v>
      </c>
      <c r="I78" s="68"/>
      <c r="J78" s="67"/>
      <c r="K78" s="67"/>
      <c r="L78" s="140"/>
    </row>
    <row r="79" spans="1:13" x14ac:dyDescent="0.4">
      <c r="A79" s="482">
        <v>46212</v>
      </c>
      <c r="B79" s="59" t="s">
        <v>55</v>
      </c>
      <c r="C79" s="68" t="s">
        <v>345</v>
      </c>
      <c r="D79" s="59" t="s">
        <v>1631</v>
      </c>
      <c r="E79" s="67"/>
      <c r="F79" s="49">
        <v>53</v>
      </c>
      <c r="G79" s="68">
        <v>294453</v>
      </c>
      <c r="H79" s="68">
        <f t="shared" si="3"/>
        <v>15606009</v>
      </c>
      <c r="I79" s="68"/>
      <c r="J79" s="67"/>
      <c r="K79" s="67"/>
      <c r="L79" s="140"/>
      <c r="M79" s="19"/>
    </row>
    <row r="80" spans="1:13" s="50" customFormat="1" ht="20.25" customHeight="1" x14ac:dyDescent="0.4">
      <c r="A80" s="482">
        <v>46226</v>
      </c>
      <c r="B80" s="59" t="s">
        <v>55</v>
      </c>
      <c r="C80" s="68" t="s">
        <v>56</v>
      </c>
      <c r="D80" s="59" t="s">
        <v>1657</v>
      </c>
      <c r="E80" s="67"/>
      <c r="F80" s="49">
        <v>30</v>
      </c>
      <c r="G80" s="68">
        <v>294453</v>
      </c>
      <c r="H80" s="68">
        <f t="shared" si="3"/>
        <v>8833590</v>
      </c>
      <c r="I80" s="68"/>
      <c r="J80" s="67"/>
      <c r="K80" s="67"/>
      <c r="L80" s="140"/>
    </row>
    <row r="81" spans="1:13" s="50" customFormat="1" ht="20.25" customHeight="1" x14ac:dyDescent="0.4">
      <c r="A81" s="482">
        <v>46234</v>
      </c>
      <c r="B81" s="59" t="s">
        <v>55</v>
      </c>
      <c r="C81" s="68" t="s">
        <v>56</v>
      </c>
      <c r="D81" s="59" t="s">
        <v>57</v>
      </c>
      <c r="E81" s="67"/>
      <c r="F81" s="49">
        <v>-3</v>
      </c>
      <c r="G81" s="49">
        <v>304770</v>
      </c>
      <c r="H81" s="68">
        <f t="shared" si="3"/>
        <v>-914310</v>
      </c>
      <c r="I81" s="68"/>
      <c r="J81" s="67"/>
      <c r="K81" s="67"/>
      <c r="L81" s="140"/>
    </row>
    <row r="82" spans="1:13" s="3" customFormat="1" ht="20.25" customHeight="1" x14ac:dyDescent="0.4">
      <c r="A82" s="482">
        <v>46234</v>
      </c>
      <c r="B82" s="59" t="s">
        <v>55</v>
      </c>
      <c r="C82" s="29" t="s">
        <v>345</v>
      </c>
      <c r="D82" s="110" t="s">
        <v>676</v>
      </c>
      <c r="E82" s="110" t="s">
        <v>17</v>
      </c>
      <c r="F82" s="81">
        <v>-1</v>
      </c>
      <c r="G82" s="49">
        <v>302289</v>
      </c>
      <c r="H82" s="8">
        <f>+G82*F82</f>
        <v>-302289</v>
      </c>
      <c r="I82" s="49"/>
      <c r="J82" s="144"/>
      <c r="K82" s="144"/>
      <c r="L82" s="140" t="s">
        <v>1247</v>
      </c>
      <c r="M82" s="89"/>
    </row>
    <row r="83" spans="1:13" s="50" customFormat="1" ht="20.25" customHeight="1" x14ac:dyDescent="0.4">
      <c r="A83" s="482">
        <v>46234</v>
      </c>
      <c r="B83" s="59" t="s">
        <v>55</v>
      </c>
      <c r="C83" s="68" t="s">
        <v>345</v>
      </c>
      <c r="D83" s="59" t="s">
        <v>1381</v>
      </c>
      <c r="E83" s="67"/>
      <c r="F83" s="49">
        <v>-5</v>
      </c>
      <c r="G83" s="68">
        <v>254606</v>
      </c>
      <c r="H83" s="8">
        <f>+G83*F83</f>
        <v>-1273030</v>
      </c>
      <c r="I83" s="68"/>
      <c r="J83" s="67"/>
      <c r="K83" s="67"/>
      <c r="L83" s="140"/>
    </row>
    <row r="84" spans="1:13" s="50" customFormat="1" ht="20.25" customHeight="1" x14ac:dyDescent="0.4">
      <c r="A84" s="482">
        <v>46234</v>
      </c>
      <c r="B84" s="59" t="s">
        <v>55</v>
      </c>
      <c r="C84" s="68" t="s">
        <v>345</v>
      </c>
      <c r="D84" s="59" t="s">
        <v>678</v>
      </c>
      <c r="E84" s="67"/>
      <c r="F84" s="49">
        <v>-2</v>
      </c>
      <c r="G84" s="68">
        <v>273208</v>
      </c>
      <c r="H84" s="8">
        <f>+G84*F84</f>
        <v>-546416</v>
      </c>
      <c r="I84" s="68"/>
      <c r="J84" s="67"/>
      <c r="K84" s="67"/>
      <c r="L84" s="140"/>
    </row>
    <row r="85" spans="1:13" s="50" customFormat="1" ht="20.25" customHeight="1" x14ac:dyDescent="0.4">
      <c r="A85" s="482">
        <v>46234</v>
      </c>
      <c r="B85" s="59" t="s">
        <v>55</v>
      </c>
      <c r="C85" s="68" t="s">
        <v>56</v>
      </c>
      <c r="D85" s="59" t="s">
        <v>1657</v>
      </c>
      <c r="E85" s="67"/>
      <c r="F85" s="49">
        <v>-3</v>
      </c>
      <c r="G85" s="68">
        <v>294453</v>
      </c>
      <c r="H85" s="8">
        <f>+G85*F85</f>
        <v>-883359</v>
      </c>
      <c r="I85" s="68"/>
      <c r="J85" s="67"/>
      <c r="K85" s="67"/>
      <c r="L85" s="140"/>
    </row>
    <row r="86" spans="1:13" s="50" customFormat="1" ht="20.25" customHeight="1" x14ac:dyDescent="0.4">
      <c r="A86" s="482">
        <v>46203</v>
      </c>
      <c r="B86" s="59" t="s">
        <v>55</v>
      </c>
      <c r="C86" s="68" t="s">
        <v>56</v>
      </c>
      <c r="D86" s="59" t="s">
        <v>57</v>
      </c>
      <c r="E86" s="67"/>
      <c r="F86" s="49">
        <v>124</v>
      </c>
      <c r="G86" s="68">
        <v>304770</v>
      </c>
      <c r="H86" s="68">
        <f>F86*G86</f>
        <v>37791480</v>
      </c>
      <c r="I86" s="68" t="s">
        <v>1726</v>
      </c>
      <c r="J86" s="67"/>
      <c r="K86" s="67"/>
      <c r="L86" s="140"/>
    </row>
    <row r="87" spans="1:13" x14ac:dyDescent="0.4">
      <c r="A87" s="482">
        <v>46233</v>
      </c>
      <c r="B87" s="59" t="s">
        <v>55</v>
      </c>
      <c r="C87" s="49" t="s">
        <v>56</v>
      </c>
      <c r="D87" s="59" t="s">
        <v>57</v>
      </c>
      <c r="E87" s="67"/>
      <c r="F87" s="49">
        <v>36</v>
      </c>
      <c r="G87" s="49">
        <v>304770</v>
      </c>
      <c r="H87" s="68">
        <f>F87*G87</f>
        <v>10971720</v>
      </c>
      <c r="I87" s="68" t="s">
        <v>1726</v>
      </c>
      <c r="J87" s="67"/>
      <c r="K87" s="67"/>
      <c r="L87" s="765"/>
    </row>
    <row r="88" spans="1:13" x14ac:dyDescent="0.4">
      <c r="A88" s="622"/>
      <c r="B88" s="39"/>
      <c r="C88" s="88"/>
      <c r="D88" s="434"/>
      <c r="E88" s="39"/>
      <c r="F88" s="39"/>
      <c r="G88" s="98"/>
      <c r="H88" s="138">
        <f>SUM(H76:H85)</f>
        <v>67603901</v>
      </c>
      <c r="I88" s="40"/>
      <c r="J88" s="39"/>
      <c r="K88" s="40"/>
      <c r="L88" s="696"/>
    </row>
    <row r="89" spans="1:13" x14ac:dyDescent="0.4">
      <c r="A89" s="484">
        <v>46234</v>
      </c>
      <c r="B89" s="46" t="s">
        <v>869</v>
      </c>
      <c r="C89" s="6" t="s">
        <v>181</v>
      </c>
      <c r="D89" s="42">
        <v>61541861</v>
      </c>
      <c r="E89" s="1" t="s">
        <v>13</v>
      </c>
      <c r="F89" s="36">
        <v>10</v>
      </c>
      <c r="G89" s="7">
        <v>2275670</v>
      </c>
      <c r="H89" s="36">
        <f>F89*G89</f>
        <v>22756700</v>
      </c>
      <c r="I89" s="68" t="s">
        <v>1726</v>
      </c>
      <c r="J89" s="67"/>
      <c r="K89" s="29"/>
      <c r="L89" s="49"/>
    </row>
    <row r="90" spans="1:13" x14ac:dyDescent="0.4">
      <c r="A90" s="484">
        <v>46234</v>
      </c>
      <c r="B90" s="46" t="s">
        <v>869</v>
      </c>
      <c r="C90" s="6" t="s">
        <v>182</v>
      </c>
      <c r="D90" s="42">
        <v>61541862</v>
      </c>
      <c r="E90" s="1" t="s">
        <v>13</v>
      </c>
      <c r="F90" s="36">
        <v>10</v>
      </c>
      <c r="G90" s="7">
        <v>2275670</v>
      </c>
      <c r="H90" s="36">
        <f>F90*G90</f>
        <v>22756700</v>
      </c>
      <c r="I90" s="68" t="s">
        <v>1726</v>
      </c>
      <c r="J90" s="67"/>
      <c r="K90" s="29"/>
      <c r="L90" s="49"/>
      <c r="M90" s="19"/>
    </row>
    <row r="91" spans="1:13" s="3" customFormat="1" ht="19.5" customHeight="1" x14ac:dyDescent="0.4">
      <c r="A91" s="484">
        <v>46234</v>
      </c>
      <c r="B91" s="46" t="s">
        <v>869</v>
      </c>
      <c r="C91" s="67" t="s">
        <v>183</v>
      </c>
      <c r="D91" s="42">
        <v>61541863</v>
      </c>
      <c r="E91" s="1" t="s">
        <v>184</v>
      </c>
      <c r="F91" s="36">
        <v>10</v>
      </c>
      <c r="G91" s="7">
        <v>44000</v>
      </c>
      <c r="H91" s="36">
        <f>F91*G91</f>
        <v>440000</v>
      </c>
      <c r="I91" s="68" t="s">
        <v>1726</v>
      </c>
      <c r="J91" s="67"/>
      <c r="K91" s="29"/>
      <c r="L91" s="49"/>
      <c r="M91" s="89"/>
    </row>
    <row r="92" spans="1:13" s="3" customFormat="1" ht="19.5" customHeight="1" x14ac:dyDescent="0.4">
      <c r="A92" s="484">
        <v>46234</v>
      </c>
      <c r="B92" s="46" t="s">
        <v>869</v>
      </c>
      <c r="C92" s="67" t="s">
        <v>183</v>
      </c>
      <c r="D92" s="42">
        <v>61541864</v>
      </c>
      <c r="E92" s="1" t="s">
        <v>184</v>
      </c>
      <c r="F92" s="36">
        <v>10</v>
      </c>
      <c r="G92" s="7">
        <v>44000</v>
      </c>
      <c r="H92" s="36">
        <f>F92*G92</f>
        <v>440000</v>
      </c>
      <c r="I92" s="68" t="s">
        <v>1726</v>
      </c>
      <c r="J92" s="67"/>
      <c r="K92" s="29"/>
      <c r="L92" s="49"/>
      <c r="M92" s="89"/>
    </row>
    <row r="93" spans="1:13" s="3" customFormat="1" ht="19.5" customHeight="1" x14ac:dyDescent="0.4">
      <c r="A93" s="484">
        <v>46234</v>
      </c>
      <c r="B93" s="46" t="s">
        <v>869</v>
      </c>
      <c r="C93" s="67" t="s">
        <v>185</v>
      </c>
      <c r="D93" s="42">
        <v>61541865</v>
      </c>
      <c r="E93" s="1" t="s">
        <v>184</v>
      </c>
      <c r="F93" s="36">
        <v>20</v>
      </c>
      <c r="G93" s="7">
        <v>14700</v>
      </c>
      <c r="H93" s="36">
        <f>F93*G93</f>
        <v>294000</v>
      </c>
      <c r="I93" s="68" t="s">
        <v>1726</v>
      </c>
      <c r="J93" s="67"/>
      <c r="K93" s="29"/>
      <c r="L93" s="49"/>
      <c r="M93" s="89"/>
    </row>
    <row r="94" spans="1:13" s="3" customFormat="1" ht="19.5" customHeight="1" x14ac:dyDescent="0.4">
      <c r="A94" s="492"/>
      <c r="B94" s="781"/>
      <c r="C94" s="123"/>
      <c r="D94" s="782"/>
      <c r="E94" s="38"/>
      <c r="F94" s="98"/>
      <c r="G94" s="496"/>
      <c r="H94" s="98"/>
      <c r="I94" s="435"/>
      <c r="J94" s="123"/>
      <c r="K94" s="40"/>
      <c r="L94" s="138"/>
      <c r="M94" s="89"/>
    </row>
    <row r="95" spans="1:13" s="3" customFormat="1" ht="19.5" customHeight="1" x14ac:dyDescent="0.4">
      <c r="A95" s="488">
        <v>46185</v>
      </c>
      <c r="B95" s="110" t="s">
        <v>58</v>
      </c>
      <c r="C95" s="29" t="s">
        <v>720</v>
      </c>
      <c r="D95" s="110" t="s">
        <v>558</v>
      </c>
      <c r="E95" s="110" t="s">
        <v>11</v>
      </c>
      <c r="F95" s="8">
        <v>16</v>
      </c>
      <c r="G95" s="81">
        <v>700000</v>
      </c>
      <c r="H95" s="8">
        <f>F95*G95</f>
        <v>11200000</v>
      </c>
      <c r="I95" s="137"/>
      <c r="J95" s="116">
        <f>SUBTOTAL(9,H95:H103)</f>
        <v>106821400</v>
      </c>
      <c r="K95" s="8">
        <v>7403000</v>
      </c>
      <c r="L95" s="116"/>
      <c r="M95" s="89"/>
    </row>
    <row r="96" spans="1:13" s="3" customFormat="1" ht="19.5" customHeight="1" x14ac:dyDescent="0.4">
      <c r="A96" s="488">
        <v>46185</v>
      </c>
      <c r="B96" s="110" t="s">
        <v>58</v>
      </c>
      <c r="C96" s="29" t="s">
        <v>720</v>
      </c>
      <c r="D96" s="110" t="s">
        <v>559</v>
      </c>
      <c r="E96" s="110" t="s">
        <v>11</v>
      </c>
      <c r="F96" s="8">
        <v>16</v>
      </c>
      <c r="G96" s="81">
        <v>700000</v>
      </c>
      <c r="H96" s="8">
        <f>F96*G96</f>
        <v>11200000</v>
      </c>
      <c r="I96" s="137"/>
      <c r="J96" s="116"/>
      <c r="K96" s="8">
        <v>41960000</v>
      </c>
      <c r="L96" s="116"/>
      <c r="M96" s="89"/>
    </row>
    <row r="97" spans="1:13" s="113" customFormat="1" ht="18.75" customHeight="1" x14ac:dyDescent="0.4">
      <c r="A97" s="482">
        <v>46211</v>
      </c>
      <c r="B97" s="110" t="s">
        <v>58</v>
      </c>
      <c r="C97" s="29" t="s">
        <v>1658</v>
      </c>
      <c r="D97" s="110" t="s">
        <v>729</v>
      </c>
      <c r="E97" s="110" t="s">
        <v>11</v>
      </c>
      <c r="F97" s="8">
        <v>40</v>
      </c>
      <c r="G97" s="81">
        <v>489000</v>
      </c>
      <c r="H97" s="8">
        <f>F97*G97</f>
        <v>19560000</v>
      </c>
      <c r="I97" s="111"/>
      <c r="J97" s="111"/>
      <c r="K97" s="789">
        <v>57458400</v>
      </c>
      <c r="L97" s="116"/>
    </row>
    <row r="98" spans="1:13" s="3" customFormat="1" ht="19.5" customHeight="1" x14ac:dyDescent="0.4">
      <c r="A98" s="488">
        <v>46189</v>
      </c>
      <c r="B98" s="110" t="s">
        <v>58</v>
      </c>
      <c r="C98" s="29" t="s">
        <v>60</v>
      </c>
      <c r="D98" s="110" t="s">
        <v>498</v>
      </c>
      <c r="E98" s="110" t="s">
        <v>13</v>
      </c>
      <c r="F98" s="518">
        <v>13</v>
      </c>
      <c r="G98" s="81">
        <v>673000</v>
      </c>
      <c r="H98" s="8">
        <f t="shared" ref="H98:H108" si="4">F98*G98</f>
        <v>8749000</v>
      </c>
      <c r="I98" s="111"/>
      <c r="J98" s="116"/>
      <c r="K98" s="8">
        <f>SUBTOTAL(9,K95:K97)</f>
        <v>106821400</v>
      </c>
      <c r="L98" s="116"/>
      <c r="M98" s="89"/>
    </row>
    <row r="99" spans="1:13" s="3" customFormat="1" ht="19.5" customHeight="1" x14ac:dyDescent="0.4">
      <c r="A99" s="488">
        <v>46199</v>
      </c>
      <c r="B99" s="110" t="s">
        <v>58</v>
      </c>
      <c r="C99" s="29" t="s">
        <v>60</v>
      </c>
      <c r="D99" s="110" t="s">
        <v>498</v>
      </c>
      <c r="E99" s="110" t="s">
        <v>13</v>
      </c>
      <c r="F99" s="518">
        <v>16</v>
      </c>
      <c r="G99" s="81">
        <v>673000</v>
      </c>
      <c r="H99" s="8">
        <f t="shared" si="4"/>
        <v>10768000</v>
      </c>
      <c r="I99" s="111"/>
      <c r="J99" s="116"/>
      <c r="K99" s="8"/>
      <c r="L99" s="116"/>
      <c r="M99" s="89"/>
    </row>
    <row r="100" spans="1:13" s="3" customFormat="1" ht="19.5" customHeight="1" x14ac:dyDescent="0.4">
      <c r="A100" s="488">
        <v>46203</v>
      </c>
      <c r="B100" s="110" t="s">
        <v>58</v>
      </c>
      <c r="C100" s="29" t="s">
        <v>60</v>
      </c>
      <c r="D100" s="110" t="s">
        <v>498</v>
      </c>
      <c r="E100" s="110" t="s">
        <v>13</v>
      </c>
      <c r="F100" s="518">
        <v>6</v>
      </c>
      <c r="G100" s="81">
        <v>673000</v>
      </c>
      <c r="H100" s="8">
        <f t="shared" si="4"/>
        <v>4038000</v>
      </c>
      <c r="I100" s="137"/>
      <c r="J100" s="116"/>
      <c r="K100" s="70"/>
      <c r="L100" s="116"/>
      <c r="M100" s="89"/>
    </row>
    <row r="101" spans="1:13" s="113" customFormat="1" ht="18.75" customHeight="1" x14ac:dyDescent="0.4">
      <c r="A101" s="482">
        <v>46231</v>
      </c>
      <c r="B101" s="110" t="s">
        <v>58</v>
      </c>
      <c r="C101" s="418" t="s">
        <v>875</v>
      </c>
      <c r="D101" s="110" t="s">
        <v>500</v>
      </c>
      <c r="E101" s="110" t="s">
        <v>11</v>
      </c>
      <c r="F101" s="8">
        <v>24</v>
      </c>
      <c r="G101" s="81">
        <v>566800</v>
      </c>
      <c r="H101" s="8">
        <f t="shared" si="4"/>
        <v>13603200</v>
      </c>
      <c r="I101" s="111"/>
      <c r="J101" s="111"/>
      <c r="K101" s="111"/>
      <c r="L101" s="116"/>
    </row>
    <row r="102" spans="1:13" s="3" customFormat="1" ht="19.5" customHeight="1" x14ac:dyDescent="0.4">
      <c r="A102" s="482">
        <v>46231</v>
      </c>
      <c r="B102" s="110" t="s">
        <v>58</v>
      </c>
      <c r="C102" s="418" t="s">
        <v>875</v>
      </c>
      <c r="D102" s="110" t="s">
        <v>502</v>
      </c>
      <c r="E102" s="110" t="s">
        <v>11</v>
      </c>
      <c r="F102" s="8">
        <v>24</v>
      </c>
      <c r="G102" s="81">
        <v>566800</v>
      </c>
      <c r="H102" s="8">
        <f t="shared" si="4"/>
        <v>13603200</v>
      </c>
      <c r="I102" s="111"/>
      <c r="J102" s="111"/>
      <c r="K102" s="111"/>
      <c r="L102" s="116"/>
      <c r="M102" s="89"/>
    </row>
    <row r="103" spans="1:13" s="3" customFormat="1" ht="19.5" customHeight="1" x14ac:dyDescent="0.4">
      <c r="A103" s="482">
        <v>46233</v>
      </c>
      <c r="B103" s="110" t="s">
        <v>58</v>
      </c>
      <c r="C103" s="29" t="s">
        <v>1549</v>
      </c>
      <c r="D103" s="110" t="s">
        <v>285</v>
      </c>
      <c r="E103" s="110" t="s">
        <v>11</v>
      </c>
      <c r="F103" s="8">
        <v>75</v>
      </c>
      <c r="G103" s="81">
        <v>188000</v>
      </c>
      <c r="H103" s="8">
        <f t="shared" si="4"/>
        <v>14100000</v>
      </c>
      <c r="I103" s="111" t="s">
        <v>1262</v>
      </c>
      <c r="J103" s="111"/>
      <c r="K103" s="111"/>
      <c r="L103" s="116"/>
      <c r="M103" s="89"/>
    </row>
    <row r="104" spans="1:13" s="3" customFormat="1" ht="19.5" customHeight="1" x14ac:dyDescent="0.4">
      <c r="A104" s="482">
        <v>46034</v>
      </c>
      <c r="B104" s="110" t="s">
        <v>58</v>
      </c>
      <c r="C104" s="29" t="s">
        <v>60</v>
      </c>
      <c r="D104" s="110" t="s">
        <v>722</v>
      </c>
      <c r="E104" s="110" t="s">
        <v>13</v>
      </c>
      <c r="F104" s="8">
        <v>1</v>
      </c>
      <c r="G104" s="81">
        <v>673000</v>
      </c>
      <c r="H104" s="8">
        <f t="shared" si="4"/>
        <v>673000</v>
      </c>
      <c r="I104" s="61"/>
      <c r="J104" s="70"/>
      <c r="K104" s="70" t="s">
        <v>1726</v>
      </c>
      <c r="L104" s="116"/>
      <c r="M104" s="89"/>
    </row>
    <row r="105" spans="1:13" s="3" customFormat="1" ht="19.5" customHeight="1" x14ac:dyDescent="0.4">
      <c r="A105" s="482">
        <v>46034</v>
      </c>
      <c r="B105" s="110" t="s">
        <v>58</v>
      </c>
      <c r="C105" s="29" t="s">
        <v>60</v>
      </c>
      <c r="D105" s="110" t="s">
        <v>723</v>
      </c>
      <c r="E105" s="110" t="s">
        <v>13</v>
      </c>
      <c r="F105" s="8">
        <v>1</v>
      </c>
      <c r="G105" s="81">
        <v>673000</v>
      </c>
      <c r="H105" s="8">
        <f t="shared" si="4"/>
        <v>673000</v>
      </c>
      <c r="I105" s="61"/>
      <c r="J105" s="70"/>
      <c r="K105" s="70" t="s">
        <v>1726</v>
      </c>
      <c r="L105" s="116"/>
      <c r="M105" s="89"/>
    </row>
    <row r="106" spans="1:13" s="3" customFormat="1" ht="19.5" customHeight="1" x14ac:dyDescent="0.4">
      <c r="A106" s="482">
        <v>46034</v>
      </c>
      <c r="B106" s="110" t="s">
        <v>58</v>
      </c>
      <c r="C106" s="29" t="s">
        <v>60</v>
      </c>
      <c r="D106" s="110" t="s">
        <v>724</v>
      </c>
      <c r="E106" s="110" t="s">
        <v>13</v>
      </c>
      <c r="F106" s="8">
        <v>9</v>
      </c>
      <c r="G106" s="81">
        <v>188000</v>
      </c>
      <c r="H106" s="8">
        <f t="shared" si="4"/>
        <v>1692000</v>
      </c>
      <c r="I106" s="61"/>
      <c r="J106" s="70"/>
      <c r="K106" s="70" t="s">
        <v>1726</v>
      </c>
      <c r="L106" s="116"/>
      <c r="M106" s="89"/>
    </row>
    <row r="107" spans="1:13" s="3" customFormat="1" ht="19.5" customHeight="1" x14ac:dyDescent="0.4">
      <c r="A107" s="482">
        <v>46034</v>
      </c>
      <c r="B107" s="110" t="s">
        <v>725</v>
      </c>
      <c r="C107" s="29" t="s">
        <v>60</v>
      </c>
      <c r="D107" s="110" t="s">
        <v>726</v>
      </c>
      <c r="E107" s="110" t="s">
        <v>11</v>
      </c>
      <c r="F107" s="8">
        <v>6</v>
      </c>
      <c r="G107" s="81">
        <v>188000</v>
      </c>
      <c r="H107" s="8">
        <f t="shared" si="4"/>
        <v>1128000</v>
      </c>
      <c r="I107" s="61"/>
      <c r="J107" s="70"/>
      <c r="K107" s="70" t="s">
        <v>1726</v>
      </c>
      <c r="L107" s="116"/>
      <c r="M107" s="89"/>
    </row>
    <row r="108" spans="1:13" s="28" customFormat="1" ht="19.5" customHeight="1" x14ac:dyDescent="0.4">
      <c r="A108" s="485">
        <v>46052</v>
      </c>
      <c r="B108" s="5" t="s">
        <v>58</v>
      </c>
      <c r="C108" s="24" t="s">
        <v>445</v>
      </c>
      <c r="D108" s="11" t="s">
        <v>497</v>
      </c>
      <c r="E108" s="11"/>
      <c r="F108" s="12">
        <v>12</v>
      </c>
      <c r="G108" s="12">
        <v>1671500</v>
      </c>
      <c r="H108" s="8">
        <f t="shared" si="4"/>
        <v>20058000</v>
      </c>
      <c r="I108" s="61"/>
      <c r="J108" s="27"/>
      <c r="K108" s="70" t="s">
        <v>1726</v>
      </c>
      <c r="L108" s="126"/>
      <c r="M108" s="366"/>
    </row>
    <row r="109" spans="1:13" s="113" customFormat="1" ht="18.75" customHeight="1" x14ac:dyDescent="0.4">
      <c r="A109" s="482">
        <v>46066</v>
      </c>
      <c r="B109" s="110" t="s">
        <v>58</v>
      </c>
      <c r="C109" s="29" t="s">
        <v>60</v>
      </c>
      <c r="D109" s="110" t="s">
        <v>282</v>
      </c>
      <c r="E109" s="110" t="s">
        <v>11</v>
      </c>
      <c r="F109" s="8">
        <v>8</v>
      </c>
      <c r="G109" s="414">
        <v>246000</v>
      </c>
      <c r="H109" s="8">
        <f t="shared" ref="H109:H128" si="5">F109*G109</f>
        <v>1968000</v>
      </c>
      <c r="I109" s="111" t="s">
        <v>870</v>
      </c>
      <c r="J109" s="111"/>
      <c r="K109" s="70" t="s">
        <v>1726</v>
      </c>
      <c r="L109" s="116"/>
    </row>
    <row r="110" spans="1:13" s="113" customFormat="1" ht="18.75" customHeight="1" x14ac:dyDescent="0.4">
      <c r="A110" s="482">
        <v>46066</v>
      </c>
      <c r="B110" s="110" t="s">
        <v>58</v>
      </c>
      <c r="C110" s="29" t="s">
        <v>60</v>
      </c>
      <c r="D110" s="110" t="s">
        <v>285</v>
      </c>
      <c r="E110" s="110" t="s">
        <v>11</v>
      </c>
      <c r="F110" s="8">
        <v>8</v>
      </c>
      <c r="G110" s="414">
        <v>188000</v>
      </c>
      <c r="H110" s="8">
        <f t="shared" si="5"/>
        <v>1504000</v>
      </c>
      <c r="I110" s="111" t="s">
        <v>870</v>
      </c>
      <c r="J110" s="111"/>
      <c r="K110" s="70" t="s">
        <v>1726</v>
      </c>
      <c r="L110" s="116"/>
    </row>
    <row r="111" spans="1:13" s="19" customFormat="1" ht="18.75" customHeight="1" x14ac:dyDescent="0.4">
      <c r="A111" s="485">
        <v>46066</v>
      </c>
      <c r="B111" s="5" t="s">
        <v>58</v>
      </c>
      <c r="C111" s="415" t="s">
        <v>445</v>
      </c>
      <c r="D111" s="1" t="s">
        <v>497</v>
      </c>
      <c r="E111" s="110" t="s">
        <v>11</v>
      </c>
      <c r="F111" s="8">
        <v>36</v>
      </c>
      <c r="G111" s="8">
        <v>1671500</v>
      </c>
      <c r="H111" s="8">
        <f t="shared" si="5"/>
        <v>60174000</v>
      </c>
      <c r="I111" s="111" t="s">
        <v>872</v>
      </c>
      <c r="J111" s="404"/>
      <c r="K111" s="70" t="s">
        <v>1726</v>
      </c>
      <c r="L111" s="126"/>
      <c r="M111" s="416"/>
    </row>
    <row r="112" spans="1:13" s="19" customFormat="1" ht="18.75" customHeight="1" x14ac:dyDescent="0.4">
      <c r="A112" s="482">
        <v>46080</v>
      </c>
      <c r="B112" s="5" t="s">
        <v>58</v>
      </c>
      <c r="C112" s="415" t="s">
        <v>445</v>
      </c>
      <c r="D112" s="1" t="s">
        <v>497</v>
      </c>
      <c r="E112" s="110" t="s">
        <v>11</v>
      </c>
      <c r="F112" s="8">
        <v>24</v>
      </c>
      <c r="G112" s="8">
        <v>1671500</v>
      </c>
      <c r="H112" s="8">
        <f t="shared" si="5"/>
        <v>40116000</v>
      </c>
      <c r="I112" s="111" t="s">
        <v>877</v>
      </c>
      <c r="J112" s="404"/>
      <c r="K112" s="70" t="s">
        <v>1726</v>
      </c>
      <c r="L112" s="126"/>
      <c r="M112" s="416"/>
    </row>
    <row r="113" spans="1:13" s="113" customFormat="1" ht="18.75" customHeight="1" x14ac:dyDescent="0.4">
      <c r="A113" s="482">
        <v>46201</v>
      </c>
      <c r="B113" s="110" t="s">
        <v>58</v>
      </c>
      <c r="C113" s="29" t="s">
        <v>1547</v>
      </c>
      <c r="D113" s="110" t="s">
        <v>1548</v>
      </c>
      <c r="E113" s="110" t="s">
        <v>11</v>
      </c>
      <c r="F113" s="8">
        <v>100</v>
      </c>
      <c r="G113" s="81">
        <v>246000</v>
      </c>
      <c r="H113" s="8">
        <f t="shared" si="5"/>
        <v>24600000</v>
      </c>
      <c r="I113" s="111" t="s">
        <v>1262</v>
      </c>
      <c r="J113" s="116"/>
      <c r="K113" s="70" t="s">
        <v>1726</v>
      </c>
      <c r="L113" s="116"/>
    </row>
    <row r="114" spans="1:13" s="3" customFormat="1" ht="19.5" customHeight="1" x14ac:dyDescent="0.4">
      <c r="A114" s="488">
        <v>46203</v>
      </c>
      <c r="B114" s="110" t="s">
        <v>58</v>
      </c>
      <c r="C114" s="29" t="s">
        <v>60</v>
      </c>
      <c r="D114" s="110" t="s">
        <v>498</v>
      </c>
      <c r="E114" s="110" t="s">
        <v>13</v>
      </c>
      <c r="F114" s="8">
        <v>26</v>
      </c>
      <c r="G114" s="81">
        <v>673000</v>
      </c>
      <c r="H114" s="8">
        <f t="shared" si="5"/>
        <v>17498000</v>
      </c>
      <c r="I114" s="137"/>
      <c r="J114" s="116"/>
      <c r="K114" s="70" t="s">
        <v>1726</v>
      </c>
      <c r="L114" s="116"/>
      <c r="M114" s="89"/>
    </row>
    <row r="115" spans="1:13" s="3" customFormat="1" ht="19.5" customHeight="1" x14ac:dyDescent="0.4">
      <c r="A115" s="488">
        <v>46192</v>
      </c>
      <c r="B115" s="110" t="s">
        <v>58</v>
      </c>
      <c r="C115" s="29" t="s">
        <v>720</v>
      </c>
      <c r="D115" s="110" t="s">
        <v>558</v>
      </c>
      <c r="E115" s="110" t="s">
        <v>11</v>
      </c>
      <c r="F115" s="8">
        <v>4</v>
      </c>
      <c r="G115" s="81">
        <v>700000</v>
      </c>
      <c r="H115" s="8">
        <f t="shared" si="5"/>
        <v>2800000</v>
      </c>
      <c r="I115" s="137"/>
      <c r="J115" s="116"/>
      <c r="K115" s="70" t="s">
        <v>1726</v>
      </c>
      <c r="L115" s="116"/>
      <c r="M115" s="89"/>
    </row>
    <row r="116" spans="1:13" s="3" customFormat="1" ht="19.5" customHeight="1" x14ac:dyDescent="0.4">
      <c r="A116" s="488">
        <v>46192</v>
      </c>
      <c r="B116" s="110" t="s">
        <v>58</v>
      </c>
      <c r="C116" s="29" t="s">
        <v>720</v>
      </c>
      <c r="D116" s="110" t="s">
        <v>559</v>
      </c>
      <c r="E116" s="110" t="s">
        <v>11</v>
      </c>
      <c r="F116" s="8">
        <v>4</v>
      </c>
      <c r="G116" s="81">
        <v>700000</v>
      </c>
      <c r="H116" s="8">
        <f t="shared" si="5"/>
        <v>2800000</v>
      </c>
      <c r="I116" s="137"/>
      <c r="J116" s="116"/>
      <c r="K116" s="70" t="s">
        <v>1726</v>
      </c>
      <c r="L116" s="116"/>
      <c r="M116" s="89"/>
    </row>
    <row r="117" spans="1:13" s="3" customFormat="1" ht="19.5" customHeight="1" x14ac:dyDescent="0.4">
      <c r="A117" s="488">
        <v>46203</v>
      </c>
      <c r="B117" s="110" t="s">
        <v>58</v>
      </c>
      <c r="C117" s="29" t="s">
        <v>720</v>
      </c>
      <c r="D117" s="110" t="s">
        <v>558</v>
      </c>
      <c r="E117" s="110" t="s">
        <v>11</v>
      </c>
      <c r="F117" s="8">
        <v>8</v>
      </c>
      <c r="G117" s="81">
        <v>700000</v>
      </c>
      <c r="H117" s="8">
        <f t="shared" si="5"/>
        <v>5600000</v>
      </c>
      <c r="I117" s="137"/>
      <c r="J117" s="116"/>
      <c r="K117" s="70" t="s">
        <v>1726</v>
      </c>
      <c r="L117" s="116"/>
      <c r="M117" s="89"/>
    </row>
    <row r="118" spans="1:13" s="3" customFormat="1" ht="19.5" customHeight="1" x14ac:dyDescent="0.4">
      <c r="A118" s="488">
        <v>46203</v>
      </c>
      <c r="B118" s="110" t="s">
        <v>58</v>
      </c>
      <c r="C118" s="29" t="s">
        <v>720</v>
      </c>
      <c r="D118" s="110" t="s">
        <v>559</v>
      </c>
      <c r="E118" s="110" t="s">
        <v>11</v>
      </c>
      <c r="F118" s="8">
        <v>8</v>
      </c>
      <c r="G118" s="81">
        <v>700000</v>
      </c>
      <c r="H118" s="8">
        <f t="shared" si="5"/>
        <v>5600000</v>
      </c>
      <c r="I118" s="137"/>
      <c r="J118" s="116"/>
      <c r="K118" s="70" t="s">
        <v>1726</v>
      </c>
      <c r="L118" s="116"/>
      <c r="M118" s="89"/>
    </row>
    <row r="119" spans="1:13" s="28" customFormat="1" ht="19.5" customHeight="1" x14ac:dyDescent="0.4">
      <c r="A119" s="488">
        <v>46210</v>
      </c>
      <c r="B119" s="110" t="s">
        <v>58</v>
      </c>
      <c r="C119" s="29" t="s">
        <v>60</v>
      </c>
      <c r="D119" s="110" t="s">
        <v>498</v>
      </c>
      <c r="E119" s="110" t="s">
        <v>13</v>
      </c>
      <c r="F119" s="8">
        <v>38</v>
      </c>
      <c r="G119" s="81">
        <v>673000</v>
      </c>
      <c r="H119" s="8">
        <f t="shared" si="5"/>
        <v>25574000</v>
      </c>
      <c r="I119" s="137"/>
      <c r="J119" s="70"/>
      <c r="K119" s="70" t="s">
        <v>1726</v>
      </c>
      <c r="L119" s="706"/>
      <c r="M119" s="366"/>
    </row>
    <row r="120" spans="1:13" s="19" customFormat="1" ht="18.75" customHeight="1" x14ac:dyDescent="0.4">
      <c r="A120" s="488">
        <v>46221</v>
      </c>
      <c r="B120" s="110" t="s">
        <v>58</v>
      </c>
      <c r="C120" s="29" t="s">
        <v>60</v>
      </c>
      <c r="D120" s="110" t="s">
        <v>498</v>
      </c>
      <c r="E120" s="110" t="s">
        <v>343</v>
      </c>
      <c r="F120" s="8">
        <v>19</v>
      </c>
      <c r="G120" s="81">
        <v>673000</v>
      </c>
      <c r="H120" s="8">
        <f t="shared" si="5"/>
        <v>12787000</v>
      </c>
      <c r="I120" s="137" t="s">
        <v>1659</v>
      </c>
      <c r="J120" s="70"/>
      <c r="K120" s="70" t="s">
        <v>1726</v>
      </c>
      <c r="L120" s="116"/>
      <c r="M120" s="416"/>
    </row>
    <row r="121" spans="1:13" s="3" customFormat="1" ht="19.5" customHeight="1" x14ac:dyDescent="0.4">
      <c r="A121" s="488">
        <v>46227</v>
      </c>
      <c r="B121" s="110" t="s">
        <v>58</v>
      </c>
      <c r="C121" s="29" t="s">
        <v>720</v>
      </c>
      <c r="D121" s="110" t="s">
        <v>558</v>
      </c>
      <c r="E121" s="110" t="s">
        <v>11</v>
      </c>
      <c r="F121" s="8">
        <v>4</v>
      </c>
      <c r="G121" s="81">
        <v>700000</v>
      </c>
      <c r="H121" s="8">
        <f t="shared" si="5"/>
        <v>2800000</v>
      </c>
      <c r="I121" s="137"/>
      <c r="J121" s="70"/>
      <c r="K121" s="70" t="s">
        <v>1726</v>
      </c>
      <c r="L121" s="116"/>
      <c r="M121" s="89"/>
    </row>
    <row r="122" spans="1:13" s="3" customFormat="1" ht="19.5" customHeight="1" x14ac:dyDescent="0.4">
      <c r="A122" s="488">
        <v>46227</v>
      </c>
      <c r="B122" s="110" t="s">
        <v>58</v>
      </c>
      <c r="C122" s="29" t="s">
        <v>720</v>
      </c>
      <c r="D122" s="110" t="s">
        <v>559</v>
      </c>
      <c r="E122" s="110" t="s">
        <v>11</v>
      </c>
      <c r="F122" s="8">
        <v>4</v>
      </c>
      <c r="G122" s="81">
        <v>700000</v>
      </c>
      <c r="H122" s="8">
        <f t="shared" si="5"/>
        <v>2800000</v>
      </c>
      <c r="I122" s="137"/>
      <c r="J122" s="70"/>
      <c r="K122" s="70" t="s">
        <v>1726</v>
      </c>
      <c r="L122" s="116"/>
      <c r="M122" s="89"/>
    </row>
    <row r="123" spans="1:13" s="3" customFormat="1" ht="19.5" customHeight="1" x14ac:dyDescent="0.4">
      <c r="A123" s="488">
        <v>46224</v>
      </c>
      <c r="B123" s="110" t="s">
        <v>58</v>
      </c>
      <c r="C123" s="29" t="s">
        <v>60</v>
      </c>
      <c r="D123" s="110" t="s">
        <v>498</v>
      </c>
      <c r="E123" s="110" t="s">
        <v>343</v>
      </c>
      <c r="F123" s="8">
        <v>20</v>
      </c>
      <c r="G123" s="81">
        <v>673000</v>
      </c>
      <c r="H123" s="8">
        <f t="shared" si="5"/>
        <v>13460000</v>
      </c>
      <c r="I123" s="137" t="s">
        <v>1727</v>
      </c>
      <c r="J123" s="70"/>
      <c r="K123" s="70" t="s">
        <v>1726</v>
      </c>
      <c r="L123" s="116"/>
      <c r="M123" s="89"/>
    </row>
    <row r="124" spans="1:13" s="3" customFormat="1" ht="19.5" customHeight="1" x14ac:dyDescent="0.4">
      <c r="A124" s="482">
        <v>46232</v>
      </c>
      <c r="B124" s="110" t="s">
        <v>58</v>
      </c>
      <c r="C124" s="29" t="s">
        <v>1658</v>
      </c>
      <c r="D124" s="110" t="s">
        <v>729</v>
      </c>
      <c r="E124" s="110" t="s">
        <v>11</v>
      </c>
      <c r="F124" s="8">
        <v>18</v>
      </c>
      <c r="G124" s="81">
        <v>489000</v>
      </c>
      <c r="H124" s="8">
        <f t="shared" si="5"/>
        <v>8802000</v>
      </c>
      <c r="I124" s="111" t="s">
        <v>1728</v>
      </c>
      <c r="J124" s="111"/>
      <c r="K124" s="70" t="s">
        <v>1726</v>
      </c>
      <c r="L124" s="116"/>
      <c r="M124" s="89"/>
    </row>
    <row r="125" spans="1:13" s="3" customFormat="1" ht="19.5" customHeight="1" x14ac:dyDescent="0.4">
      <c r="A125" s="482">
        <v>46233</v>
      </c>
      <c r="B125" s="110" t="s">
        <v>58</v>
      </c>
      <c r="C125" s="29" t="s">
        <v>1547</v>
      </c>
      <c r="D125" s="110" t="s">
        <v>1548</v>
      </c>
      <c r="E125" s="110" t="s">
        <v>11</v>
      </c>
      <c r="F125" s="8">
        <v>72</v>
      </c>
      <c r="G125" s="81">
        <v>246000</v>
      </c>
      <c r="H125" s="8">
        <f t="shared" si="5"/>
        <v>17712000</v>
      </c>
      <c r="I125" s="111" t="s">
        <v>1262</v>
      </c>
      <c r="J125" s="111"/>
      <c r="K125" s="70" t="s">
        <v>1726</v>
      </c>
      <c r="L125" s="116"/>
      <c r="M125" s="89"/>
    </row>
    <row r="126" spans="1:13" s="3" customFormat="1" ht="19.5" customHeight="1" x14ac:dyDescent="0.4">
      <c r="A126" s="482">
        <v>46233</v>
      </c>
      <c r="B126" s="110" t="s">
        <v>58</v>
      </c>
      <c r="C126" s="29" t="s">
        <v>1549</v>
      </c>
      <c r="D126" s="110" t="s">
        <v>285</v>
      </c>
      <c r="E126" s="110" t="s">
        <v>11</v>
      </c>
      <c r="F126" s="8">
        <v>30</v>
      </c>
      <c r="G126" s="81">
        <v>188000</v>
      </c>
      <c r="H126" s="8">
        <f t="shared" si="5"/>
        <v>5640000</v>
      </c>
      <c r="I126" s="111" t="s">
        <v>1262</v>
      </c>
      <c r="J126" s="111"/>
      <c r="K126" s="70" t="s">
        <v>1726</v>
      </c>
      <c r="L126" s="116"/>
      <c r="M126" s="89"/>
    </row>
    <row r="127" spans="1:13" s="3" customFormat="1" ht="19.5" customHeight="1" x14ac:dyDescent="0.4">
      <c r="A127" s="488">
        <v>46234</v>
      </c>
      <c r="B127" s="110" t="s">
        <v>58</v>
      </c>
      <c r="C127" s="29" t="s">
        <v>720</v>
      </c>
      <c r="D127" s="110" t="s">
        <v>558</v>
      </c>
      <c r="E127" s="110" t="s">
        <v>11</v>
      </c>
      <c r="F127" s="8">
        <v>12</v>
      </c>
      <c r="G127" s="81">
        <v>700000</v>
      </c>
      <c r="H127" s="8">
        <f t="shared" si="5"/>
        <v>8400000</v>
      </c>
      <c r="I127" s="137"/>
      <c r="J127" s="70"/>
      <c r="K127" s="70" t="s">
        <v>1726</v>
      </c>
      <c r="L127" s="116"/>
      <c r="M127" s="89"/>
    </row>
    <row r="128" spans="1:13" s="3" customFormat="1" ht="19.5" customHeight="1" x14ac:dyDescent="0.4">
      <c r="A128" s="488">
        <v>46234</v>
      </c>
      <c r="B128" s="110" t="s">
        <v>58</v>
      </c>
      <c r="C128" s="29" t="s">
        <v>720</v>
      </c>
      <c r="D128" s="110" t="s">
        <v>559</v>
      </c>
      <c r="E128" s="110" t="s">
        <v>11</v>
      </c>
      <c r="F128" s="8">
        <v>12</v>
      </c>
      <c r="G128" s="81">
        <v>700000</v>
      </c>
      <c r="H128" s="8">
        <f t="shared" si="5"/>
        <v>8400000</v>
      </c>
      <c r="I128" s="137"/>
      <c r="J128" s="70"/>
      <c r="K128" s="70" t="s">
        <v>1726</v>
      </c>
      <c r="L128" s="116"/>
      <c r="M128" s="89"/>
    </row>
    <row r="129" spans="1:13" x14ac:dyDescent="0.4">
      <c r="A129" s="622"/>
      <c r="B129" s="39" t="s">
        <v>58</v>
      </c>
      <c r="C129" s="88"/>
      <c r="D129" s="434"/>
      <c r="E129" s="39"/>
      <c r="F129" s="39"/>
      <c r="G129" s="98"/>
      <c r="H129" s="138">
        <f>SUM(H95:H103)</f>
        <v>106821400</v>
      </c>
      <c r="I129" s="40"/>
      <c r="J129" s="436"/>
      <c r="K129" s="40"/>
      <c r="L129" s="696"/>
      <c r="M129" s="113"/>
    </row>
    <row r="130" spans="1:13" s="3" customFormat="1" ht="19.5" customHeight="1" x14ac:dyDescent="0.4">
      <c r="A130" s="482">
        <v>46142</v>
      </c>
      <c r="B130" s="110" t="s">
        <v>1755</v>
      </c>
      <c r="C130" s="29" t="s">
        <v>60</v>
      </c>
      <c r="D130" s="783" t="s">
        <v>1266</v>
      </c>
      <c r="E130" s="110" t="s">
        <v>13</v>
      </c>
      <c r="F130" s="784">
        <v>2</v>
      </c>
      <c r="G130" s="785">
        <v>2252000</v>
      </c>
      <c r="H130" s="8">
        <f>F130*G130</f>
        <v>4504000</v>
      </c>
      <c r="I130" s="626"/>
      <c r="J130" s="70"/>
      <c r="K130" s="8"/>
      <c r="L130" s="116"/>
      <c r="M130" s="89"/>
    </row>
    <row r="131" spans="1:13" s="3" customFormat="1" ht="19.5" customHeight="1" x14ac:dyDescent="0.4">
      <c r="A131" s="488">
        <v>46183</v>
      </c>
      <c r="B131" s="110" t="s">
        <v>1755</v>
      </c>
      <c r="C131" s="29" t="s">
        <v>60</v>
      </c>
      <c r="D131" s="783" t="s">
        <v>1545</v>
      </c>
      <c r="E131" s="110" t="s">
        <v>13</v>
      </c>
      <c r="F131" s="784">
        <v>2</v>
      </c>
      <c r="G131" s="785">
        <v>765000</v>
      </c>
      <c r="H131" s="8">
        <f>F131*G131</f>
        <v>1530000</v>
      </c>
      <c r="I131" s="626"/>
      <c r="J131" s="116"/>
      <c r="K131" s="70"/>
      <c r="L131" s="116"/>
      <c r="M131" s="89"/>
    </row>
    <row r="132" spans="1:13" s="3" customFormat="1" ht="19.5" customHeight="1" x14ac:dyDescent="0.4">
      <c r="A132" s="488">
        <v>46183</v>
      </c>
      <c r="B132" s="110" t="s">
        <v>1755</v>
      </c>
      <c r="C132" s="29" t="s">
        <v>60</v>
      </c>
      <c r="D132" s="783" t="s">
        <v>1546</v>
      </c>
      <c r="E132" s="110" t="s">
        <v>13</v>
      </c>
      <c r="F132" s="784">
        <v>2</v>
      </c>
      <c r="G132" s="785">
        <v>575000</v>
      </c>
      <c r="H132" s="8">
        <f>F132*G132</f>
        <v>1150000</v>
      </c>
      <c r="I132" s="626"/>
      <c r="J132" s="116"/>
      <c r="K132" s="70"/>
      <c r="L132" s="116"/>
      <c r="M132" s="89"/>
    </row>
    <row r="133" spans="1:13" x14ac:dyDescent="0.4">
      <c r="A133" s="622"/>
      <c r="B133" s="39" t="s">
        <v>58</v>
      </c>
      <c r="C133" s="88"/>
      <c r="D133" s="434"/>
      <c r="E133" s="39"/>
      <c r="F133" s="39"/>
      <c r="G133" s="98"/>
      <c r="H133" s="138">
        <f>SUM(H130:H132)</f>
        <v>7184000</v>
      </c>
      <c r="I133" s="435"/>
      <c r="J133" s="436"/>
      <c r="K133" s="40"/>
      <c r="L133" s="696"/>
      <c r="M133" s="113"/>
    </row>
    <row r="134" spans="1:13" s="50" customFormat="1" ht="20.25" customHeight="1" x14ac:dyDescent="0.4">
      <c r="A134" s="484">
        <v>46203</v>
      </c>
      <c r="B134" s="59" t="s">
        <v>356</v>
      </c>
      <c r="C134" s="525" t="s">
        <v>56</v>
      </c>
      <c r="D134" s="59" t="s">
        <v>1269</v>
      </c>
      <c r="E134" s="59" t="s">
        <v>13</v>
      </c>
      <c r="F134" s="525">
        <v>20</v>
      </c>
      <c r="G134" s="525">
        <v>536960</v>
      </c>
      <c r="H134" s="525">
        <f>F134*G134</f>
        <v>10739200</v>
      </c>
      <c r="I134" s="409"/>
      <c r="J134" s="59"/>
      <c r="K134" s="67"/>
      <c r="L134" s="67" t="s">
        <v>495</v>
      </c>
    </row>
    <row r="135" spans="1:13" s="50" customFormat="1" ht="20.25" customHeight="1" x14ac:dyDescent="0.4">
      <c r="A135" s="483"/>
      <c r="B135" s="194"/>
      <c r="C135" s="40"/>
      <c r="D135" s="194"/>
      <c r="E135" s="194"/>
      <c r="F135" s="91"/>
      <c r="G135" s="138"/>
      <c r="H135" s="138">
        <f>SUM(H134)</f>
        <v>10739200</v>
      </c>
      <c r="I135" s="138">
        <f>G133*27</f>
        <v>0</v>
      </c>
      <c r="J135" s="145"/>
      <c r="K135" s="145"/>
      <c r="L135" s="145"/>
    </row>
    <row r="136" spans="1:13" s="3" customFormat="1" ht="19.5" customHeight="1" x14ac:dyDescent="0.4">
      <c r="A136" s="482">
        <v>46106</v>
      </c>
      <c r="B136" s="103" t="s">
        <v>1550</v>
      </c>
      <c r="C136" s="29" t="s">
        <v>407</v>
      </c>
      <c r="D136" s="110" t="s">
        <v>531</v>
      </c>
      <c r="E136" s="110"/>
      <c r="F136" s="81">
        <v>4</v>
      </c>
      <c r="G136" s="81">
        <v>239000</v>
      </c>
      <c r="H136" s="36">
        <f>F136*G136</f>
        <v>956000</v>
      </c>
      <c r="I136" s="81" t="s">
        <v>1635</v>
      </c>
      <c r="J136" s="487"/>
      <c r="K136" s="196"/>
      <c r="L136" s="196"/>
      <c r="M136" s="89"/>
    </row>
    <row r="137" spans="1:13" x14ac:dyDescent="0.4">
      <c r="A137" s="484">
        <v>46209</v>
      </c>
      <c r="B137" s="59" t="s">
        <v>1550</v>
      </c>
      <c r="C137" s="67" t="s">
        <v>66</v>
      </c>
      <c r="D137" s="59" t="s">
        <v>195</v>
      </c>
      <c r="E137" s="67"/>
      <c r="F137" s="49">
        <v>5</v>
      </c>
      <c r="G137" s="49">
        <v>1917500</v>
      </c>
      <c r="H137" s="8">
        <f t="shared" ref="H137:H185" si="6">F137*G137</f>
        <v>9587500</v>
      </c>
      <c r="I137" s="67" t="s">
        <v>1558</v>
      </c>
      <c r="J137" s="109">
        <v>46191</v>
      </c>
      <c r="K137" s="67"/>
      <c r="L137" s="409">
        <v>0</v>
      </c>
      <c r="M137" s="113"/>
    </row>
    <row r="138" spans="1:13" x14ac:dyDescent="0.4">
      <c r="A138" s="484">
        <v>46209</v>
      </c>
      <c r="B138" s="59" t="s">
        <v>1550</v>
      </c>
      <c r="C138" s="67" t="s">
        <v>66</v>
      </c>
      <c r="D138" s="59" t="s">
        <v>195</v>
      </c>
      <c r="E138" s="67"/>
      <c r="F138" s="49">
        <v>3</v>
      </c>
      <c r="G138" s="49">
        <v>1917500</v>
      </c>
      <c r="H138" s="8">
        <f t="shared" si="6"/>
        <v>5752500</v>
      </c>
      <c r="I138" s="67" t="s">
        <v>1278</v>
      </c>
      <c r="J138" s="109">
        <v>46150</v>
      </c>
      <c r="K138" s="67"/>
      <c r="L138" s="409">
        <v>0</v>
      </c>
      <c r="M138" s="89"/>
    </row>
    <row r="139" spans="1:13" x14ac:dyDescent="0.4">
      <c r="A139" s="484">
        <v>46209</v>
      </c>
      <c r="B139" s="59" t="s">
        <v>1550</v>
      </c>
      <c r="C139" s="67" t="s">
        <v>66</v>
      </c>
      <c r="D139" s="59" t="s">
        <v>195</v>
      </c>
      <c r="E139" s="67"/>
      <c r="F139" s="49">
        <v>3</v>
      </c>
      <c r="G139" s="49">
        <v>1917500</v>
      </c>
      <c r="H139" s="8">
        <f t="shared" si="6"/>
        <v>5752500</v>
      </c>
      <c r="I139" s="67" t="s">
        <v>1417</v>
      </c>
      <c r="J139" s="109">
        <v>46163</v>
      </c>
      <c r="K139" s="67"/>
      <c r="L139" s="409">
        <v>0</v>
      </c>
      <c r="M139" s="89"/>
    </row>
    <row r="140" spans="1:13" x14ac:dyDescent="0.4">
      <c r="A140" s="484">
        <v>46209</v>
      </c>
      <c r="B140" s="59" t="s">
        <v>1550</v>
      </c>
      <c r="C140" s="67" t="s">
        <v>66</v>
      </c>
      <c r="D140" s="59" t="s">
        <v>195</v>
      </c>
      <c r="E140" s="67"/>
      <c r="F140" s="49">
        <v>3</v>
      </c>
      <c r="G140" s="49">
        <v>1917500</v>
      </c>
      <c r="H140" s="8">
        <f t="shared" si="6"/>
        <v>5752500</v>
      </c>
      <c r="I140" s="67" t="s">
        <v>1559</v>
      </c>
      <c r="J140" s="109">
        <v>46182</v>
      </c>
      <c r="K140" s="67"/>
      <c r="L140" s="409">
        <v>0</v>
      </c>
      <c r="M140" s="89"/>
    </row>
    <row r="141" spans="1:13" x14ac:dyDescent="0.4">
      <c r="A141" s="484">
        <v>46209</v>
      </c>
      <c r="B141" s="59" t="s">
        <v>1550</v>
      </c>
      <c r="C141" s="67" t="s">
        <v>204</v>
      </c>
      <c r="D141" s="59" t="s">
        <v>205</v>
      </c>
      <c r="E141" s="67"/>
      <c r="F141" s="49">
        <v>11</v>
      </c>
      <c r="G141" s="49">
        <v>1295000</v>
      </c>
      <c r="H141" s="8">
        <f t="shared" si="6"/>
        <v>14245000</v>
      </c>
      <c r="I141" s="67" t="s">
        <v>1558</v>
      </c>
      <c r="J141" s="109">
        <v>46191</v>
      </c>
      <c r="K141" s="67"/>
      <c r="L141" s="409">
        <v>0</v>
      </c>
      <c r="M141" s="19"/>
    </row>
    <row r="142" spans="1:13" s="50" customFormat="1" ht="20.25" customHeight="1" x14ac:dyDescent="0.4">
      <c r="A142" s="484">
        <v>46209</v>
      </c>
      <c r="B142" s="59" t="s">
        <v>1550</v>
      </c>
      <c r="C142" s="67" t="s">
        <v>204</v>
      </c>
      <c r="D142" s="59" t="s">
        <v>205</v>
      </c>
      <c r="E142" s="67"/>
      <c r="F142" s="49">
        <v>3</v>
      </c>
      <c r="G142" s="49">
        <v>1295000</v>
      </c>
      <c r="H142" s="8">
        <f t="shared" si="6"/>
        <v>3885000</v>
      </c>
      <c r="I142" s="67" t="s">
        <v>1278</v>
      </c>
      <c r="J142" s="109">
        <v>46150</v>
      </c>
      <c r="K142" s="67"/>
      <c r="L142" s="409">
        <v>0</v>
      </c>
    </row>
    <row r="143" spans="1:13" x14ac:dyDescent="0.4">
      <c r="A143" s="484">
        <v>46209</v>
      </c>
      <c r="B143" s="59" t="s">
        <v>1550</v>
      </c>
      <c r="C143" s="67" t="s">
        <v>204</v>
      </c>
      <c r="D143" s="59" t="s">
        <v>205</v>
      </c>
      <c r="E143" s="67"/>
      <c r="F143" s="49">
        <v>3</v>
      </c>
      <c r="G143" s="49">
        <v>1295000</v>
      </c>
      <c r="H143" s="8">
        <f t="shared" si="6"/>
        <v>3885000</v>
      </c>
      <c r="I143" s="67" t="s">
        <v>1417</v>
      </c>
      <c r="J143" s="109">
        <v>46163</v>
      </c>
      <c r="K143" s="67"/>
      <c r="L143" s="409">
        <v>0</v>
      </c>
      <c r="M143" s="19"/>
    </row>
    <row r="144" spans="1:13" s="3" customFormat="1" ht="19.5" customHeight="1" x14ac:dyDescent="0.4">
      <c r="A144" s="484">
        <v>46209</v>
      </c>
      <c r="B144" s="59" t="s">
        <v>1550</v>
      </c>
      <c r="C144" s="67" t="s">
        <v>204</v>
      </c>
      <c r="D144" s="59" t="s">
        <v>205</v>
      </c>
      <c r="E144" s="67"/>
      <c r="F144" s="49">
        <v>3</v>
      </c>
      <c r="G144" s="49">
        <v>1295000</v>
      </c>
      <c r="H144" s="8">
        <f t="shared" si="6"/>
        <v>3885000</v>
      </c>
      <c r="I144" s="67" t="s">
        <v>1559</v>
      </c>
      <c r="J144" s="109">
        <v>46182</v>
      </c>
      <c r="K144" s="67"/>
      <c r="L144" s="409">
        <v>0</v>
      </c>
      <c r="M144" s="89"/>
    </row>
    <row r="145" spans="1:12" x14ac:dyDescent="0.4">
      <c r="A145" s="484">
        <v>46209</v>
      </c>
      <c r="B145" s="59" t="s">
        <v>1550</v>
      </c>
      <c r="C145" s="67" t="s">
        <v>204</v>
      </c>
      <c r="D145" s="59" t="s">
        <v>205</v>
      </c>
      <c r="E145" s="67"/>
      <c r="F145" s="49">
        <v>3</v>
      </c>
      <c r="G145" s="49">
        <v>1295000</v>
      </c>
      <c r="H145" s="8">
        <f t="shared" si="6"/>
        <v>3885000</v>
      </c>
      <c r="I145" s="67" t="s">
        <v>1560</v>
      </c>
      <c r="J145" s="109">
        <v>46196</v>
      </c>
      <c r="K145" s="67"/>
      <c r="L145" s="409">
        <v>0</v>
      </c>
    </row>
    <row r="146" spans="1:12" x14ac:dyDescent="0.4">
      <c r="A146" s="484">
        <v>46209</v>
      </c>
      <c r="B146" s="59" t="s">
        <v>1550</v>
      </c>
      <c r="C146" s="67" t="s">
        <v>204</v>
      </c>
      <c r="D146" s="59" t="s">
        <v>205</v>
      </c>
      <c r="E146" s="67"/>
      <c r="F146" s="49">
        <v>2</v>
      </c>
      <c r="G146" s="49">
        <v>1295000</v>
      </c>
      <c r="H146" s="8">
        <f t="shared" si="6"/>
        <v>2590000</v>
      </c>
      <c r="I146" s="67" t="s">
        <v>1420</v>
      </c>
      <c r="J146" s="109">
        <v>46177</v>
      </c>
      <c r="K146" s="67"/>
      <c r="L146" s="409">
        <v>0</v>
      </c>
    </row>
    <row r="147" spans="1:12" x14ac:dyDescent="0.4">
      <c r="A147" s="484">
        <v>46209</v>
      </c>
      <c r="B147" s="59" t="s">
        <v>1550</v>
      </c>
      <c r="C147" s="67" t="s">
        <v>66</v>
      </c>
      <c r="D147" s="59" t="s">
        <v>357</v>
      </c>
      <c r="E147" s="67"/>
      <c r="F147" s="49">
        <v>4</v>
      </c>
      <c r="G147" s="49">
        <v>1766050</v>
      </c>
      <c r="H147" s="8">
        <f t="shared" si="6"/>
        <v>7064200</v>
      </c>
      <c r="I147" s="67" t="s">
        <v>1562</v>
      </c>
      <c r="J147" s="109">
        <v>46205</v>
      </c>
      <c r="K147" s="67" t="s">
        <v>1660</v>
      </c>
      <c r="L147" s="409">
        <v>0</v>
      </c>
    </row>
    <row r="148" spans="1:12" x14ac:dyDescent="0.4">
      <c r="A148" s="484">
        <v>46209</v>
      </c>
      <c r="B148" s="59" t="s">
        <v>1550</v>
      </c>
      <c r="C148" s="67" t="s">
        <v>64</v>
      </c>
      <c r="D148" s="59" t="s">
        <v>360</v>
      </c>
      <c r="E148" s="67"/>
      <c r="F148" s="49">
        <v>5</v>
      </c>
      <c r="G148" s="49">
        <v>1431650</v>
      </c>
      <c r="H148" s="8">
        <f t="shared" si="6"/>
        <v>7158250</v>
      </c>
      <c r="I148" s="67" t="s">
        <v>1562</v>
      </c>
      <c r="J148" s="109">
        <v>46205</v>
      </c>
      <c r="K148" s="67" t="s">
        <v>1660</v>
      </c>
      <c r="L148" s="409">
        <v>0</v>
      </c>
    </row>
    <row r="149" spans="1:12" x14ac:dyDescent="0.4">
      <c r="A149" s="484">
        <v>46209</v>
      </c>
      <c r="B149" s="59" t="s">
        <v>1550</v>
      </c>
      <c r="C149" s="67" t="s">
        <v>1661</v>
      </c>
      <c r="D149" s="59" t="s">
        <v>207</v>
      </c>
      <c r="E149" s="67"/>
      <c r="F149" s="49">
        <v>9</v>
      </c>
      <c r="G149" s="49">
        <v>520600</v>
      </c>
      <c r="H149" s="8">
        <f t="shared" si="6"/>
        <v>4685400</v>
      </c>
      <c r="I149" s="67" t="s">
        <v>1562</v>
      </c>
      <c r="J149" s="109">
        <v>46205</v>
      </c>
      <c r="K149" s="67" t="s">
        <v>1660</v>
      </c>
      <c r="L149" s="409">
        <v>0</v>
      </c>
    </row>
    <row r="150" spans="1:12" x14ac:dyDescent="0.4">
      <c r="A150" s="484">
        <v>46209</v>
      </c>
      <c r="B150" s="59" t="s">
        <v>1550</v>
      </c>
      <c r="C150" s="67" t="s">
        <v>67</v>
      </c>
      <c r="D150" s="59" t="s">
        <v>292</v>
      </c>
      <c r="E150" s="67"/>
      <c r="F150" s="49">
        <v>2</v>
      </c>
      <c r="G150" s="49">
        <v>364800</v>
      </c>
      <c r="H150" s="8">
        <f t="shared" si="6"/>
        <v>729600</v>
      </c>
      <c r="I150" s="67" t="s">
        <v>1662</v>
      </c>
      <c r="J150" s="109">
        <v>46184</v>
      </c>
      <c r="K150" s="67" t="s">
        <v>1660</v>
      </c>
      <c r="L150" s="409">
        <v>0</v>
      </c>
    </row>
    <row r="151" spans="1:12" x14ac:dyDescent="0.4">
      <c r="A151" s="484">
        <v>46212</v>
      </c>
      <c r="B151" s="59" t="s">
        <v>1550</v>
      </c>
      <c r="C151" s="67" t="s">
        <v>1663</v>
      </c>
      <c r="D151" s="59" t="s">
        <v>1664</v>
      </c>
      <c r="E151" s="67"/>
      <c r="F151" s="49">
        <v>2</v>
      </c>
      <c r="G151" s="49">
        <v>6100000</v>
      </c>
      <c r="H151" s="8">
        <f t="shared" si="6"/>
        <v>12200000</v>
      </c>
      <c r="I151" s="67" t="s">
        <v>1665</v>
      </c>
      <c r="J151" s="109">
        <v>46021</v>
      </c>
      <c r="K151" s="67"/>
      <c r="L151" s="409">
        <v>0</v>
      </c>
    </row>
    <row r="152" spans="1:12" x14ac:dyDescent="0.4">
      <c r="A152" s="484">
        <v>46212</v>
      </c>
      <c r="B152" s="59" t="s">
        <v>1550</v>
      </c>
      <c r="C152" s="67" t="s">
        <v>101</v>
      </c>
      <c r="D152" s="59" t="s">
        <v>102</v>
      </c>
      <c r="E152" s="67"/>
      <c r="F152" s="49">
        <v>2</v>
      </c>
      <c r="G152" s="49">
        <v>71500</v>
      </c>
      <c r="H152" s="8">
        <f t="shared" si="6"/>
        <v>143000</v>
      </c>
      <c r="I152" s="67" t="s">
        <v>212</v>
      </c>
      <c r="J152" s="109">
        <v>46213</v>
      </c>
      <c r="K152" s="67"/>
      <c r="L152" s="409">
        <v>0</v>
      </c>
    </row>
    <row r="153" spans="1:12" x14ac:dyDescent="0.4">
      <c r="A153" s="484">
        <v>46212</v>
      </c>
      <c r="B153" s="59" t="s">
        <v>1550</v>
      </c>
      <c r="C153" s="67" t="s">
        <v>101</v>
      </c>
      <c r="D153" s="59" t="s">
        <v>102</v>
      </c>
      <c r="E153" s="67"/>
      <c r="F153" s="49">
        <v>1</v>
      </c>
      <c r="G153" s="49">
        <v>71500</v>
      </c>
      <c r="H153" s="8">
        <f t="shared" si="6"/>
        <v>71500</v>
      </c>
      <c r="I153" s="67" t="s">
        <v>212</v>
      </c>
      <c r="J153" s="109">
        <v>46223</v>
      </c>
      <c r="K153" s="67"/>
      <c r="L153" s="409">
        <v>0</v>
      </c>
    </row>
    <row r="154" spans="1:12" x14ac:dyDescent="0.4">
      <c r="A154" s="484">
        <v>46212</v>
      </c>
      <c r="B154" s="59" t="s">
        <v>1550</v>
      </c>
      <c r="C154" s="67" t="s">
        <v>103</v>
      </c>
      <c r="D154" s="59" t="s">
        <v>104</v>
      </c>
      <c r="E154" s="67"/>
      <c r="F154" s="49">
        <v>4</v>
      </c>
      <c r="G154" s="49">
        <v>220000</v>
      </c>
      <c r="H154" s="8">
        <f t="shared" si="6"/>
        <v>880000</v>
      </c>
      <c r="I154" s="67" t="s">
        <v>212</v>
      </c>
      <c r="J154" s="109">
        <v>46213</v>
      </c>
      <c r="K154" s="67"/>
      <c r="L154" s="409">
        <v>0</v>
      </c>
    </row>
    <row r="155" spans="1:12" x14ac:dyDescent="0.4">
      <c r="A155" s="484">
        <v>46212</v>
      </c>
      <c r="B155" s="59" t="s">
        <v>1550</v>
      </c>
      <c r="C155" s="67" t="s">
        <v>190</v>
      </c>
      <c r="D155" s="59" t="s">
        <v>214</v>
      </c>
      <c r="E155" s="67"/>
      <c r="F155" s="49">
        <v>2</v>
      </c>
      <c r="G155" s="49">
        <v>181000</v>
      </c>
      <c r="H155" s="8">
        <f t="shared" si="6"/>
        <v>362000</v>
      </c>
      <c r="I155" s="67" t="s">
        <v>212</v>
      </c>
      <c r="J155" s="109">
        <v>46213</v>
      </c>
      <c r="K155" s="67"/>
      <c r="L155" s="409">
        <v>0</v>
      </c>
    </row>
    <row r="156" spans="1:12" x14ac:dyDescent="0.4">
      <c r="A156" s="484">
        <v>46212</v>
      </c>
      <c r="B156" s="59" t="s">
        <v>1550</v>
      </c>
      <c r="C156" s="67" t="s">
        <v>106</v>
      </c>
      <c r="D156" s="59" t="s">
        <v>107</v>
      </c>
      <c r="E156" s="67"/>
      <c r="F156" s="49">
        <v>2</v>
      </c>
      <c r="G156" s="49">
        <v>333000</v>
      </c>
      <c r="H156" s="8">
        <f t="shared" si="6"/>
        <v>666000</v>
      </c>
      <c r="I156" s="67" t="s">
        <v>212</v>
      </c>
      <c r="J156" s="109">
        <v>46213</v>
      </c>
      <c r="K156" s="67"/>
      <c r="L156" s="409">
        <v>0</v>
      </c>
    </row>
    <row r="157" spans="1:12" x14ac:dyDescent="0.4">
      <c r="A157" s="484">
        <v>46212</v>
      </c>
      <c r="B157" s="59" t="s">
        <v>1550</v>
      </c>
      <c r="C157" s="67" t="s">
        <v>103</v>
      </c>
      <c r="D157" s="59" t="s">
        <v>915</v>
      </c>
      <c r="E157" s="67"/>
      <c r="F157" s="49">
        <v>1</v>
      </c>
      <c r="G157" s="49">
        <v>170000</v>
      </c>
      <c r="H157" s="8">
        <f t="shared" si="6"/>
        <v>170000</v>
      </c>
      <c r="I157" s="67" t="s">
        <v>213</v>
      </c>
      <c r="J157" s="109">
        <v>46203</v>
      </c>
      <c r="K157" s="67"/>
      <c r="L157" s="409">
        <v>0</v>
      </c>
    </row>
    <row r="158" spans="1:12" x14ac:dyDescent="0.4">
      <c r="A158" s="484">
        <v>46212</v>
      </c>
      <c r="B158" s="59" t="s">
        <v>1550</v>
      </c>
      <c r="C158" s="67" t="s">
        <v>108</v>
      </c>
      <c r="D158" s="59" t="s">
        <v>109</v>
      </c>
      <c r="E158" s="67"/>
      <c r="F158" s="49">
        <v>2</v>
      </c>
      <c r="G158" s="49">
        <v>150000</v>
      </c>
      <c r="H158" s="8">
        <f t="shared" si="6"/>
        <v>300000</v>
      </c>
      <c r="I158" s="67" t="s">
        <v>212</v>
      </c>
      <c r="J158" s="109">
        <v>46223</v>
      </c>
      <c r="K158" s="67"/>
      <c r="L158" s="409">
        <v>0</v>
      </c>
    </row>
    <row r="159" spans="1:12" x14ac:dyDescent="0.4">
      <c r="A159" s="484">
        <v>46212</v>
      </c>
      <c r="B159" s="59" t="s">
        <v>1550</v>
      </c>
      <c r="C159" s="67" t="s">
        <v>110</v>
      </c>
      <c r="D159" s="59" t="s">
        <v>111</v>
      </c>
      <c r="E159" s="67"/>
      <c r="F159" s="49">
        <v>1</v>
      </c>
      <c r="G159" s="49">
        <v>102070</v>
      </c>
      <c r="H159" s="8">
        <f t="shared" si="6"/>
        <v>102070</v>
      </c>
      <c r="I159" s="67" t="s">
        <v>212</v>
      </c>
      <c r="J159" s="109">
        <v>46213</v>
      </c>
      <c r="K159" s="67"/>
      <c r="L159" s="409">
        <v>0</v>
      </c>
    </row>
    <row r="160" spans="1:12" x14ac:dyDescent="0.4">
      <c r="A160" s="484">
        <v>46212</v>
      </c>
      <c r="B160" s="59" t="s">
        <v>1550</v>
      </c>
      <c r="C160" s="67" t="s">
        <v>83</v>
      </c>
      <c r="D160" s="59" t="s">
        <v>84</v>
      </c>
      <c r="E160" s="67"/>
      <c r="F160" s="49">
        <v>2</v>
      </c>
      <c r="G160" s="49">
        <v>76500</v>
      </c>
      <c r="H160" s="8">
        <f t="shared" si="6"/>
        <v>153000</v>
      </c>
      <c r="I160" s="67" t="s">
        <v>70</v>
      </c>
      <c r="J160" s="109">
        <v>46218</v>
      </c>
      <c r="K160" s="67"/>
      <c r="L160" s="409">
        <v>0</v>
      </c>
    </row>
    <row r="161" spans="1:12" x14ac:dyDescent="0.4">
      <c r="A161" s="484">
        <v>46212</v>
      </c>
      <c r="B161" s="59" t="s">
        <v>1550</v>
      </c>
      <c r="C161" s="67" t="s">
        <v>83</v>
      </c>
      <c r="D161" s="59" t="s">
        <v>84</v>
      </c>
      <c r="E161" s="67"/>
      <c r="F161" s="49">
        <v>2</v>
      </c>
      <c r="G161" s="49">
        <v>76500</v>
      </c>
      <c r="H161" s="8">
        <f t="shared" si="6"/>
        <v>153000</v>
      </c>
      <c r="I161" s="67" t="s">
        <v>70</v>
      </c>
      <c r="J161" s="109">
        <v>46218</v>
      </c>
      <c r="K161" s="67"/>
      <c r="L161" s="409">
        <v>0</v>
      </c>
    </row>
    <row r="162" spans="1:12" x14ac:dyDescent="0.4">
      <c r="A162" s="484">
        <v>46212</v>
      </c>
      <c r="B162" s="59" t="s">
        <v>1550</v>
      </c>
      <c r="C162" s="67" t="s">
        <v>85</v>
      </c>
      <c r="D162" s="59" t="s">
        <v>86</v>
      </c>
      <c r="E162" s="67"/>
      <c r="F162" s="49">
        <v>2</v>
      </c>
      <c r="G162" s="49">
        <v>37700</v>
      </c>
      <c r="H162" s="8">
        <f t="shared" si="6"/>
        <v>75400</v>
      </c>
      <c r="I162" s="67" t="s">
        <v>70</v>
      </c>
      <c r="J162" s="109">
        <v>46218</v>
      </c>
      <c r="K162" s="67"/>
      <c r="L162" s="409">
        <v>0</v>
      </c>
    </row>
    <row r="163" spans="1:12" x14ac:dyDescent="0.4">
      <c r="A163" s="484">
        <v>46212</v>
      </c>
      <c r="B163" s="59" t="s">
        <v>1550</v>
      </c>
      <c r="C163" s="67" t="s">
        <v>85</v>
      </c>
      <c r="D163" s="59" t="s">
        <v>86</v>
      </c>
      <c r="E163" s="67"/>
      <c r="F163" s="49">
        <v>2</v>
      </c>
      <c r="G163" s="49">
        <v>37700</v>
      </c>
      <c r="H163" s="8">
        <f t="shared" si="6"/>
        <v>75400</v>
      </c>
      <c r="I163" s="67" t="s">
        <v>70</v>
      </c>
      <c r="J163" s="109">
        <v>46218</v>
      </c>
      <c r="K163" s="67"/>
      <c r="L163" s="409">
        <v>0</v>
      </c>
    </row>
    <row r="164" spans="1:12" x14ac:dyDescent="0.4">
      <c r="A164" s="484">
        <v>46212</v>
      </c>
      <c r="B164" s="59" t="s">
        <v>1550</v>
      </c>
      <c r="C164" s="67" t="s">
        <v>83</v>
      </c>
      <c r="D164" s="59" t="s">
        <v>87</v>
      </c>
      <c r="E164" s="67"/>
      <c r="F164" s="49">
        <v>2</v>
      </c>
      <c r="G164" s="49">
        <v>75300</v>
      </c>
      <c r="H164" s="8">
        <f t="shared" si="6"/>
        <v>150600</v>
      </c>
      <c r="I164" s="67" t="s">
        <v>70</v>
      </c>
      <c r="J164" s="109">
        <v>46218</v>
      </c>
      <c r="K164" s="67"/>
      <c r="L164" s="409">
        <v>0</v>
      </c>
    </row>
    <row r="165" spans="1:12" x14ac:dyDescent="0.4">
      <c r="A165" s="484">
        <v>46212</v>
      </c>
      <c r="B165" s="59" t="s">
        <v>1550</v>
      </c>
      <c r="C165" s="67" t="s">
        <v>83</v>
      </c>
      <c r="D165" s="59" t="s">
        <v>87</v>
      </c>
      <c r="E165" s="67"/>
      <c r="F165" s="49">
        <v>2</v>
      </c>
      <c r="G165" s="49">
        <v>75300</v>
      </c>
      <c r="H165" s="8">
        <f t="shared" si="6"/>
        <v>150600</v>
      </c>
      <c r="I165" s="67" t="s">
        <v>70</v>
      </c>
      <c r="J165" s="109">
        <v>46218</v>
      </c>
      <c r="K165" s="67"/>
      <c r="L165" s="409">
        <v>0</v>
      </c>
    </row>
    <row r="166" spans="1:12" x14ac:dyDescent="0.4">
      <c r="A166" s="484">
        <v>46212</v>
      </c>
      <c r="B166" s="59" t="s">
        <v>1550</v>
      </c>
      <c r="C166" s="67" t="s">
        <v>105</v>
      </c>
      <c r="D166" s="59" t="s">
        <v>505</v>
      </c>
      <c r="E166" s="67"/>
      <c r="F166" s="49">
        <v>2</v>
      </c>
      <c r="G166" s="49">
        <v>54300</v>
      </c>
      <c r="H166" s="8">
        <f t="shared" si="6"/>
        <v>108600</v>
      </c>
      <c r="I166" s="67" t="s">
        <v>70</v>
      </c>
      <c r="J166" s="109">
        <v>46217</v>
      </c>
      <c r="K166" s="67"/>
      <c r="L166" s="409">
        <v>0</v>
      </c>
    </row>
    <row r="167" spans="1:12" x14ac:dyDescent="0.4">
      <c r="A167" s="484">
        <v>46212</v>
      </c>
      <c r="B167" s="59" t="s">
        <v>1550</v>
      </c>
      <c r="C167" s="67" t="s">
        <v>68</v>
      </c>
      <c r="D167" s="59" t="s">
        <v>191</v>
      </c>
      <c r="E167" s="67"/>
      <c r="F167" s="49">
        <v>5</v>
      </c>
      <c r="G167" s="49">
        <v>352000</v>
      </c>
      <c r="H167" s="8">
        <f t="shared" si="6"/>
        <v>1760000</v>
      </c>
      <c r="I167" s="67" t="s">
        <v>70</v>
      </c>
      <c r="J167" s="109">
        <v>46213</v>
      </c>
      <c r="K167" s="67"/>
      <c r="L167" s="409">
        <v>0</v>
      </c>
    </row>
    <row r="168" spans="1:12" x14ac:dyDescent="0.4">
      <c r="A168" s="484">
        <v>46212</v>
      </c>
      <c r="B168" s="59" t="s">
        <v>1550</v>
      </c>
      <c r="C168" s="67" t="s">
        <v>1666</v>
      </c>
      <c r="D168" s="59" t="s">
        <v>1667</v>
      </c>
      <c r="E168" s="67"/>
      <c r="F168" s="49">
        <v>1</v>
      </c>
      <c r="G168" s="49">
        <v>770000</v>
      </c>
      <c r="H168" s="8">
        <f t="shared" si="6"/>
        <v>770000</v>
      </c>
      <c r="I168" s="67" t="s">
        <v>70</v>
      </c>
      <c r="J168" s="109">
        <v>46212</v>
      </c>
      <c r="K168" s="67"/>
      <c r="L168" s="409">
        <v>0</v>
      </c>
    </row>
    <row r="169" spans="1:12" x14ac:dyDescent="0.4">
      <c r="A169" s="484">
        <v>46212</v>
      </c>
      <c r="B169" s="59" t="s">
        <v>1550</v>
      </c>
      <c r="C169" s="67" t="s">
        <v>95</v>
      </c>
      <c r="D169" s="59" t="s">
        <v>96</v>
      </c>
      <c r="E169" s="67"/>
      <c r="F169" s="49">
        <v>12</v>
      </c>
      <c r="G169" s="49">
        <v>12000</v>
      </c>
      <c r="H169" s="8">
        <f t="shared" si="6"/>
        <v>144000</v>
      </c>
      <c r="I169" s="67" t="s">
        <v>70</v>
      </c>
      <c r="J169" s="109">
        <v>46218</v>
      </c>
      <c r="K169" s="67"/>
      <c r="L169" s="409">
        <v>0</v>
      </c>
    </row>
    <row r="170" spans="1:12" x14ac:dyDescent="0.4">
      <c r="A170" s="484">
        <v>46213</v>
      </c>
      <c r="B170" s="59" t="s">
        <v>1550</v>
      </c>
      <c r="C170" s="67" t="s">
        <v>99</v>
      </c>
      <c r="D170" s="59" t="s">
        <v>100</v>
      </c>
      <c r="E170" s="67"/>
      <c r="F170" s="49">
        <v>4</v>
      </c>
      <c r="G170" s="49">
        <v>543000</v>
      </c>
      <c r="H170" s="8">
        <f t="shared" si="6"/>
        <v>2172000</v>
      </c>
      <c r="I170" s="67" t="s">
        <v>70</v>
      </c>
      <c r="J170" s="109">
        <v>46120</v>
      </c>
      <c r="K170" s="67"/>
      <c r="L170" s="409">
        <v>0</v>
      </c>
    </row>
    <row r="171" spans="1:12" x14ac:dyDescent="0.4">
      <c r="A171" s="484">
        <v>46213</v>
      </c>
      <c r="B171" s="59" t="s">
        <v>1550</v>
      </c>
      <c r="C171" s="67" t="s">
        <v>99</v>
      </c>
      <c r="D171" s="59" t="s">
        <v>100</v>
      </c>
      <c r="E171" s="67"/>
      <c r="F171" s="49">
        <v>1</v>
      </c>
      <c r="G171" s="49">
        <v>543000</v>
      </c>
      <c r="H171" s="8">
        <f t="shared" si="6"/>
        <v>543000</v>
      </c>
      <c r="I171" s="67" t="s">
        <v>70</v>
      </c>
      <c r="J171" s="109">
        <v>46136</v>
      </c>
      <c r="K171" s="67"/>
      <c r="L171" s="409">
        <v>0</v>
      </c>
    </row>
    <row r="172" spans="1:12" x14ac:dyDescent="0.4">
      <c r="A172" s="484">
        <v>46213</v>
      </c>
      <c r="B172" s="59" t="s">
        <v>1550</v>
      </c>
      <c r="C172" s="67" t="s">
        <v>99</v>
      </c>
      <c r="D172" s="59" t="s">
        <v>100</v>
      </c>
      <c r="E172" s="67"/>
      <c r="F172" s="49">
        <v>5</v>
      </c>
      <c r="G172" s="49">
        <v>543000</v>
      </c>
      <c r="H172" s="8">
        <f t="shared" si="6"/>
        <v>2715000</v>
      </c>
      <c r="I172" s="67" t="s">
        <v>70</v>
      </c>
      <c r="J172" s="109">
        <v>46152</v>
      </c>
      <c r="K172" s="67"/>
      <c r="L172" s="409">
        <v>0</v>
      </c>
    </row>
    <row r="173" spans="1:12" x14ac:dyDescent="0.4">
      <c r="A173" s="484">
        <v>46213</v>
      </c>
      <c r="B173" s="59" t="s">
        <v>1550</v>
      </c>
      <c r="C173" s="67" t="s">
        <v>416</v>
      </c>
      <c r="D173" s="59" t="s">
        <v>417</v>
      </c>
      <c r="E173" s="67"/>
      <c r="F173" s="49">
        <v>4</v>
      </c>
      <c r="G173" s="49">
        <v>251000</v>
      </c>
      <c r="H173" s="8">
        <f t="shared" si="6"/>
        <v>1004000</v>
      </c>
      <c r="I173" s="67" t="s">
        <v>70</v>
      </c>
      <c r="J173" s="109">
        <v>46084</v>
      </c>
      <c r="K173" s="67"/>
      <c r="L173" s="409">
        <v>0</v>
      </c>
    </row>
    <row r="174" spans="1:12" x14ac:dyDescent="0.4">
      <c r="A174" s="484">
        <v>46213</v>
      </c>
      <c r="B174" s="59" t="s">
        <v>1550</v>
      </c>
      <c r="C174" s="67" t="s">
        <v>1668</v>
      </c>
      <c r="D174" s="59" t="s">
        <v>417</v>
      </c>
      <c r="E174" s="67"/>
      <c r="F174" s="49">
        <v>4</v>
      </c>
      <c r="G174" s="49">
        <v>251000</v>
      </c>
      <c r="H174" s="8">
        <f t="shared" si="6"/>
        <v>1004000</v>
      </c>
      <c r="I174" s="67" t="s">
        <v>70</v>
      </c>
      <c r="J174" s="109">
        <v>46091</v>
      </c>
      <c r="K174" s="67"/>
      <c r="L174" s="409">
        <v>0</v>
      </c>
    </row>
    <row r="175" spans="1:12" x14ac:dyDescent="0.4">
      <c r="A175" s="484">
        <v>46213</v>
      </c>
      <c r="B175" s="59" t="s">
        <v>1550</v>
      </c>
      <c r="C175" s="67" t="s">
        <v>1668</v>
      </c>
      <c r="D175" s="59" t="s">
        <v>417</v>
      </c>
      <c r="E175" s="67"/>
      <c r="F175" s="49">
        <v>2</v>
      </c>
      <c r="G175" s="49">
        <v>251000</v>
      </c>
      <c r="H175" s="8">
        <f t="shared" si="6"/>
        <v>502000</v>
      </c>
      <c r="I175" s="67" t="s">
        <v>70</v>
      </c>
      <c r="J175" s="109">
        <v>46127</v>
      </c>
      <c r="K175" s="67"/>
      <c r="L175" s="409">
        <v>0</v>
      </c>
    </row>
    <row r="176" spans="1:12" x14ac:dyDescent="0.4">
      <c r="A176" s="484">
        <v>46213</v>
      </c>
      <c r="B176" s="59" t="s">
        <v>1550</v>
      </c>
      <c r="C176" s="67" t="s">
        <v>202</v>
      </c>
      <c r="D176" s="59" t="s">
        <v>928</v>
      </c>
      <c r="E176" s="67"/>
      <c r="F176" s="49">
        <v>2</v>
      </c>
      <c r="G176" s="49">
        <v>384000</v>
      </c>
      <c r="H176" s="8">
        <f t="shared" si="6"/>
        <v>768000</v>
      </c>
      <c r="I176" s="67" t="s">
        <v>929</v>
      </c>
      <c r="J176" s="109">
        <v>46213</v>
      </c>
      <c r="K176" s="67"/>
      <c r="L176" s="409">
        <v>0</v>
      </c>
    </row>
    <row r="177" spans="1:12" x14ac:dyDescent="0.4">
      <c r="A177" s="484">
        <v>46213</v>
      </c>
      <c r="B177" s="59" t="s">
        <v>1550</v>
      </c>
      <c r="C177" s="67" t="s">
        <v>71</v>
      </c>
      <c r="D177" s="59" t="s">
        <v>72</v>
      </c>
      <c r="E177" s="67"/>
      <c r="F177" s="49">
        <v>3</v>
      </c>
      <c r="G177" s="49">
        <v>548000</v>
      </c>
      <c r="H177" s="8">
        <f t="shared" si="6"/>
        <v>1644000</v>
      </c>
      <c r="I177" s="67" t="s">
        <v>1559</v>
      </c>
      <c r="J177" s="109">
        <v>46182</v>
      </c>
      <c r="K177" s="67"/>
      <c r="L177" s="409">
        <v>0</v>
      </c>
    </row>
    <row r="178" spans="1:12" x14ac:dyDescent="0.4">
      <c r="A178" s="484">
        <v>46213</v>
      </c>
      <c r="B178" s="59" t="s">
        <v>1550</v>
      </c>
      <c r="C178" s="67" t="s">
        <v>71</v>
      </c>
      <c r="D178" s="59" t="s">
        <v>72</v>
      </c>
      <c r="E178" s="67"/>
      <c r="F178" s="49">
        <v>2</v>
      </c>
      <c r="G178" s="49">
        <v>548000</v>
      </c>
      <c r="H178" s="8">
        <f t="shared" si="6"/>
        <v>1096000</v>
      </c>
      <c r="I178" s="67" t="s">
        <v>1558</v>
      </c>
      <c r="J178" s="109">
        <v>46191</v>
      </c>
      <c r="K178" s="67"/>
      <c r="L178" s="409">
        <v>0</v>
      </c>
    </row>
    <row r="179" spans="1:12" x14ac:dyDescent="0.4">
      <c r="A179" s="484">
        <v>46213</v>
      </c>
      <c r="B179" s="59" t="s">
        <v>1550</v>
      </c>
      <c r="C179" s="67" t="s">
        <v>76</v>
      </c>
      <c r="D179" s="59" t="s">
        <v>77</v>
      </c>
      <c r="E179" s="67"/>
      <c r="F179" s="49">
        <v>1</v>
      </c>
      <c r="G179" s="49">
        <v>900000</v>
      </c>
      <c r="H179" s="8">
        <f t="shared" si="6"/>
        <v>900000</v>
      </c>
      <c r="I179" s="67" t="s">
        <v>70</v>
      </c>
      <c r="J179" s="109">
        <v>46122</v>
      </c>
      <c r="K179" s="67"/>
      <c r="L179" s="409">
        <v>0</v>
      </c>
    </row>
    <row r="180" spans="1:12" x14ac:dyDescent="0.4">
      <c r="A180" s="484">
        <v>46213</v>
      </c>
      <c r="B180" s="59" t="s">
        <v>1550</v>
      </c>
      <c r="C180" s="67" t="s">
        <v>63</v>
      </c>
      <c r="D180" s="59" t="s">
        <v>304</v>
      </c>
      <c r="E180" s="67"/>
      <c r="F180" s="49">
        <v>12</v>
      </c>
      <c r="G180" s="49">
        <v>125400</v>
      </c>
      <c r="H180" s="8">
        <f t="shared" si="6"/>
        <v>1504800</v>
      </c>
      <c r="I180" s="67" t="s">
        <v>1551</v>
      </c>
      <c r="J180" s="109">
        <v>46184</v>
      </c>
      <c r="K180" s="67"/>
      <c r="L180" s="409">
        <v>0</v>
      </c>
    </row>
    <row r="181" spans="1:12" x14ac:dyDescent="0.4">
      <c r="A181" s="484">
        <v>46217</v>
      </c>
      <c r="B181" s="59" t="s">
        <v>1550</v>
      </c>
      <c r="C181" s="67" t="s">
        <v>105</v>
      </c>
      <c r="D181" s="59" t="s">
        <v>1083</v>
      </c>
      <c r="E181" s="67"/>
      <c r="F181" s="49">
        <v>11</v>
      </c>
      <c r="G181" s="49">
        <v>227050</v>
      </c>
      <c r="H181" s="8">
        <f t="shared" si="6"/>
        <v>2497550</v>
      </c>
      <c r="I181" s="67" t="s">
        <v>1551</v>
      </c>
      <c r="J181" s="109">
        <v>46184</v>
      </c>
      <c r="K181" s="67"/>
      <c r="L181" s="409">
        <v>0</v>
      </c>
    </row>
    <row r="182" spans="1:12" x14ac:dyDescent="0.4">
      <c r="A182" s="484">
        <v>46217</v>
      </c>
      <c r="B182" s="59" t="s">
        <v>1550</v>
      </c>
      <c r="C182" s="67" t="s">
        <v>202</v>
      </c>
      <c r="D182" s="59" t="s">
        <v>299</v>
      </c>
      <c r="E182" s="67"/>
      <c r="F182" s="49">
        <v>10</v>
      </c>
      <c r="G182" s="49">
        <v>351500</v>
      </c>
      <c r="H182" s="8">
        <f t="shared" si="6"/>
        <v>3515000</v>
      </c>
      <c r="I182" s="67" t="s">
        <v>1551</v>
      </c>
      <c r="J182" s="109">
        <v>46184</v>
      </c>
      <c r="K182" s="67"/>
      <c r="L182" s="409">
        <v>0</v>
      </c>
    </row>
    <row r="183" spans="1:12" x14ac:dyDescent="0.4">
      <c r="A183" s="484">
        <v>46217</v>
      </c>
      <c r="B183" s="59" t="s">
        <v>1550</v>
      </c>
      <c r="C183" s="67" t="s">
        <v>73</v>
      </c>
      <c r="D183" s="59" t="s">
        <v>208</v>
      </c>
      <c r="E183" s="67"/>
      <c r="F183" s="49">
        <v>7</v>
      </c>
      <c r="G183" s="49">
        <v>390000</v>
      </c>
      <c r="H183" s="8">
        <f t="shared" si="6"/>
        <v>2730000</v>
      </c>
      <c r="I183" s="67" t="s">
        <v>1551</v>
      </c>
      <c r="J183" s="109">
        <v>46184</v>
      </c>
      <c r="K183" s="67"/>
      <c r="L183" s="409">
        <v>0</v>
      </c>
    </row>
    <row r="184" spans="1:12" x14ac:dyDescent="0.4">
      <c r="A184" s="484">
        <v>46217</v>
      </c>
      <c r="B184" s="59" t="s">
        <v>1550</v>
      </c>
      <c r="C184" s="67" t="s">
        <v>81</v>
      </c>
      <c r="D184" s="59" t="s">
        <v>219</v>
      </c>
      <c r="E184" s="67"/>
      <c r="F184" s="49">
        <v>4</v>
      </c>
      <c r="G184" s="49">
        <v>78850</v>
      </c>
      <c r="H184" s="8">
        <f t="shared" si="6"/>
        <v>315400</v>
      </c>
      <c r="I184" s="67" t="s">
        <v>1551</v>
      </c>
      <c r="J184" s="109">
        <v>46184</v>
      </c>
      <c r="K184" s="67"/>
      <c r="L184" s="409">
        <v>0</v>
      </c>
    </row>
    <row r="185" spans="1:12" x14ac:dyDescent="0.4">
      <c r="A185" s="484">
        <v>46217</v>
      </c>
      <c r="B185" s="59" t="s">
        <v>1550</v>
      </c>
      <c r="C185" s="67" t="s">
        <v>105</v>
      </c>
      <c r="D185" s="59" t="s">
        <v>1669</v>
      </c>
      <c r="E185" s="67"/>
      <c r="F185" s="49">
        <v>12</v>
      </c>
      <c r="G185" s="49">
        <v>248000</v>
      </c>
      <c r="H185" s="8">
        <f t="shared" si="6"/>
        <v>2976000</v>
      </c>
      <c r="I185" s="67" t="s">
        <v>1420</v>
      </c>
      <c r="J185" s="109">
        <v>46177</v>
      </c>
      <c r="K185" s="67"/>
      <c r="L185" s="409">
        <v>0</v>
      </c>
    </row>
    <row r="186" spans="1:12" x14ac:dyDescent="0.4">
      <c r="A186" s="484">
        <v>46217</v>
      </c>
      <c r="B186" s="59" t="s">
        <v>1550</v>
      </c>
      <c r="C186" s="67" t="s">
        <v>63</v>
      </c>
      <c r="D186" s="59" t="s">
        <v>97</v>
      </c>
      <c r="E186" s="67"/>
      <c r="F186" s="49">
        <v>7</v>
      </c>
      <c r="G186" s="49">
        <v>137000</v>
      </c>
      <c r="H186" s="8">
        <f>F186*G186</f>
        <v>959000</v>
      </c>
      <c r="I186" s="67" t="s">
        <v>1561</v>
      </c>
      <c r="J186" s="109">
        <v>46198</v>
      </c>
      <c r="K186" s="67"/>
      <c r="L186" s="409">
        <v>0</v>
      </c>
    </row>
    <row r="187" spans="1:12" x14ac:dyDescent="0.4">
      <c r="A187" s="484">
        <v>46217</v>
      </c>
      <c r="B187" s="59" t="s">
        <v>1550</v>
      </c>
      <c r="C187" s="67" t="s">
        <v>63</v>
      </c>
      <c r="D187" s="59" t="s">
        <v>97</v>
      </c>
      <c r="E187" s="67"/>
      <c r="F187" s="49">
        <v>11</v>
      </c>
      <c r="G187" s="49">
        <v>137000</v>
      </c>
      <c r="H187" s="8">
        <f>F187*G187</f>
        <v>1507000</v>
      </c>
      <c r="I187" s="67" t="s">
        <v>1558</v>
      </c>
      <c r="J187" s="109">
        <v>46191</v>
      </c>
      <c r="K187" s="67"/>
      <c r="L187" s="409">
        <v>0</v>
      </c>
    </row>
    <row r="188" spans="1:12" x14ac:dyDescent="0.4">
      <c r="A188" s="484">
        <v>46217</v>
      </c>
      <c r="B188" s="59" t="s">
        <v>1550</v>
      </c>
      <c r="C188" s="67" t="s">
        <v>66</v>
      </c>
      <c r="D188" s="59" t="s">
        <v>195</v>
      </c>
      <c r="E188" s="67"/>
      <c r="F188" s="49">
        <v>2</v>
      </c>
      <c r="G188" s="49">
        <v>1917500</v>
      </c>
      <c r="H188" s="8">
        <f>F188*G188</f>
        <v>3835000</v>
      </c>
      <c r="I188" s="67" t="s">
        <v>1561</v>
      </c>
      <c r="J188" s="109">
        <v>46198</v>
      </c>
      <c r="K188" s="67"/>
      <c r="L188" s="409">
        <v>0</v>
      </c>
    </row>
    <row r="189" spans="1:12" x14ac:dyDescent="0.4">
      <c r="A189" s="484">
        <v>46217</v>
      </c>
      <c r="B189" s="59" t="s">
        <v>1670</v>
      </c>
      <c r="C189" s="67" t="s">
        <v>66</v>
      </c>
      <c r="D189" s="59" t="s">
        <v>195</v>
      </c>
      <c r="E189" s="67"/>
      <c r="F189" s="49">
        <v>6</v>
      </c>
      <c r="G189" s="49">
        <v>1917500</v>
      </c>
      <c r="H189" s="8">
        <f>F189*G189</f>
        <v>11505000</v>
      </c>
      <c r="I189" s="67" t="s">
        <v>1671</v>
      </c>
      <c r="J189" s="109">
        <v>46191</v>
      </c>
      <c r="K189" s="67"/>
      <c r="L189" s="409">
        <v>0</v>
      </c>
    </row>
    <row r="190" spans="1:12" x14ac:dyDescent="0.4">
      <c r="A190" s="484">
        <v>46223</v>
      </c>
      <c r="B190" s="59" t="s">
        <v>1670</v>
      </c>
      <c r="C190" s="67" t="s">
        <v>67</v>
      </c>
      <c r="D190" s="59" t="s">
        <v>292</v>
      </c>
      <c r="E190" s="67"/>
      <c r="F190" s="49">
        <v>5</v>
      </c>
      <c r="G190" s="49">
        <v>364800</v>
      </c>
      <c r="H190" s="8">
        <f t="shared" ref="H190:H247" si="7">F190*G190</f>
        <v>1824000</v>
      </c>
      <c r="I190" s="67" t="s">
        <v>1551</v>
      </c>
      <c r="J190" s="109">
        <v>46184</v>
      </c>
      <c r="K190" s="67"/>
      <c r="L190" s="409">
        <v>0</v>
      </c>
    </row>
    <row r="191" spans="1:12" x14ac:dyDescent="0.4">
      <c r="A191" s="484">
        <v>46223</v>
      </c>
      <c r="B191" s="59" t="s">
        <v>1670</v>
      </c>
      <c r="C191" s="67" t="s">
        <v>73</v>
      </c>
      <c r="D191" s="59" t="s">
        <v>208</v>
      </c>
      <c r="E191" s="67"/>
      <c r="F191" s="49">
        <v>1</v>
      </c>
      <c r="G191" s="49">
        <v>390000</v>
      </c>
      <c r="H191" s="8">
        <f t="shared" si="7"/>
        <v>390000</v>
      </c>
      <c r="I191" s="67" t="s">
        <v>1551</v>
      </c>
      <c r="J191" s="109">
        <v>46184</v>
      </c>
      <c r="K191" s="67"/>
      <c r="L191" s="409">
        <v>0</v>
      </c>
    </row>
    <row r="192" spans="1:12" x14ac:dyDescent="0.4">
      <c r="A192" s="484">
        <v>46223</v>
      </c>
      <c r="B192" s="59" t="s">
        <v>1670</v>
      </c>
      <c r="C192" s="67" t="s">
        <v>67</v>
      </c>
      <c r="D192" s="59" t="s">
        <v>80</v>
      </c>
      <c r="E192" s="67"/>
      <c r="F192" s="49">
        <v>3</v>
      </c>
      <c r="G192" s="49">
        <v>384000</v>
      </c>
      <c r="H192" s="8">
        <f t="shared" si="7"/>
        <v>1152000</v>
      </c>
      <c r="I192" s="67" t="s">
        <v>1417</v>
      </c>
      <c r="J192" s="109">
        <v>46163</v>
      </c>
      <c r="K192" s="67"/>
      <c r="L192" s="409">
        <v>0</v>
      </c>
    </row>
    <row r="193" spans="1:13" x14ac:dyDescent="0.4">
      <c r="A193" s="482">
        <v>46223</v>
      </c>
      <c r="B193" s="110" t="s">
        <v>1670</v>
      </c>
      <c r="C193" s="111" t="s">
        <v>76</v>
      </c>
      <c r="D193" s="110" t="s">
        <v>1672</v>
      </c>
      <c r="E193" s="111"/>
      <c r="F193" s="81">
        <v>4</v>
      </c>
      <c r="G193" s="81">
        <v>900000</v>
      </c>
      <c r="H193" s="8">
        <f t="shared" si="7"/>
        <v>3600000</v>
      </c>
      <c r="I193" s="111" t="s">
        <v>70</v>
      </c>
      <c r="J193" s="112">
        <v>46122</v>
      </c>
      <c r="K193" s="111"/>
      <c r="L193" s="409">
        <v>0</v>
      </c>
    </row>
    <row r="194" spans="1:13" x14ac:dyDescent="0.4">
      <c r="A194" s="482">
        <v>46223</v>
      </c>
      <c r="B194" s="110" t="s">
        <v>1670</v>
      </c>
      <c r="C194" s="111" t="s">
        <v>76</v>
      </c>
      <c r="D194" s="110" t="s">
        <v>77</v>
      </c>
      <c r="E194" s="111"/>
      <c r="F194" s="81">
        <v>1</v>
      </c>
      <c r="G194" s="81">
        <v>900000</v>
      </c>
      <c r="H194" s="8">
        <f t="shared" si="7"/>
        <v>900000</v>
      </c>
      <c r="I194" s="111" t="s">
        <v>215</v>
      </c>
      <c r="J194" s="112">
        <v>46129</v>
      </c>
      <c r="K194" s="111"/>
      <c r="L194" s="409">
        <v>0</v>
      </c>
    </row>
    <row r="195" spans="1:13" x14ac:dyDescent="0.4">
      <c r="A195" s="482">
        <v>46223</v>
      </c>
      <c r="B195" s="110" t="s">
        <v>1670</v>
      </c>
      <c r="C195" s="111" t="s">
        <v>76</v>
      </c>
      <c r="D195" s="110" t="s">
        <v>77</v>
      </c>
      <c r="E195" s="111"/>
      <c r="F195" s="81">
        <v>3</v>
      </c>
      <c r="G195" s="81">
        <v>900000</v>
      </c>
      <c r="H195" s="8">
        <f t="shared" si="7"/>
        <v>2700000</v>
      </c>
      <c r="I195" s="111" t="s">
        <v>70</v>
      </c>
      <c r="J195" s="112">
        <v>46136</v>
      </c>
      <c r="K195" s="111"/>
      <c r="L195" s="409">
        <v>0</v>
      </c>
    </row>
    <row r="196" spans="1:13" x14ac:dyDescent="0.4">
      <c r="A196" s="482">
        <v>46223</v>
      </c>
      <c r="B196" s="110" t="s">
        <v>1670</v>
      </c>
      <c r="C196" s="111" t="s">
        <v>118</v>
      </c>
      <c r="D196" s="110" t="s">
        <v>119</v>
      </c>
      <c r="E196" s="111"/>
      <c r="F196" s="81">
        <v>10</v>
      </c>
      <c r="G196" s="81">
        <v>7790000</v>
      </c>
      <c r="H196" s="8">
        <f t="shared" si="7"/>
        <v>77900000</v>
      </c>
      <c r="I196" s="111" t="s">
        <v>120</v>
      </c>
      <c r="J196" s="112">
        <v>46211</v>
      </c>
      <c r="K196" s="111"/>
      <c r="L196" s="627">
        <v>0</v>
      </c>
    </row>
    <row r="197" spans="1:13" x14ac:dyDescent="0.4">
      <c r="A197" s="484">
        <v>46225</v>
      </c>
      <c r="B197" s="59" t="s">
        <v>1670</v>
      </c>
      <c r="C197" s="67" t="s">
        <v>103</v>
      </c>
      <c r="D197" s="59" t="s">
        <v>414</v>
      </c>
      <c r="E197" s="67"/>
      <c r="F197" s="49">
        <v>1</v>
      </c>
      <c r="G197" s="49">
        <v>235000</v>
      </c>
      <c r="H197" s="8">
        <f t="shared" si="7"/>
        <v>235000</v>
      </c>
      <c r="I197" s="67" t="s">
        <v>213</v>
      </c>
      <c r="J197" s="109">
        <v>46227</v>
      </c>
      <c r="K197" s="67" t="s">
        <v>1673</v>
      </c>
      <c r="L197" s="409">
        <v>0</v>
      </c>
    </row>
    <row r="198" spans="1:13" x14ac:dyDescent="0.4">
      <c r="A198" s="484">
        <v>46225</v>
      </c>
      <c r="B198" s="59" t="s">
        <v>1670</v>
      </c>
      <c r="C198" s="67" t="s">
        <v>108</v>
      </c>
      <c r="D198" s="59" t="s">
        <v>109</v>
      </c>
      <c r="E198" s="67"/>
      <c r="F198" s="49">
        <v>2</v>
      </c>
      <c r="G198" s="49">
        <v>150000</v>
      </c>
      <c r="H198" s="8">
        <f t="shared" si="7"/>
        <v>300000</v>
      </c>
      <c r="I198" s="67" t="s">
        <v>212</v>
      </c>
      <c r="J198" s="109">
        <v>46227</v>
      </c>
      <c r="K198" s="67" t="s">
        <v>1673</v>
      </c>
      <c r="L198" s="409">
        <v>0</v>
      </c>
    </row>
    <row r="199" spans="1:13" x14ac:dyDescent="0.4">
      <c r="A199" s="484">
        <v>46225</v>
      </c>
      <c r="B199" s="59" t="s">
        <v>1670</v>
      </c>
      <c r="C199" s="67" t="s">
        <v>108</v>
      </c>
      <c r="D199" s="59" t="s">
        <v>112</v>
      </c>
      <c r="E199" s="67"/>
      <c r="F199" s="49">
        <v>2</v>
      </c>
      <c r="G199" s="49">
        <v>150000</v>
      </c>
      <c r="H199" s="8">
        <f t="shared" si="7"/>
        <v>300000</v>
      </c>
      <c r="I199" s="67" t="s">
        <v>212</v>
      </c>
      <c r="J199" s="109">
        <v>46227</v>
      </c>
      <c r="K199" s="67" t="s">
        <v>1673</v>
      </c>
      <c r="L199" s="409">
        <v>0</v>
      </c>
    </row>
    <row r="200" spans="1:13" x14ac:dyDescent="0.4">
      <c r="A200" s="484">
        <v>46225</v>
      </c>
      <c r="B200" s="59" t="s">
        <v>1670</v>
      </c>
      <c r="C200" s="67" t="s">
        <v>380</v>
      </c>
      <c r="D200" s="59" t="s">
        <v>504</v>
      </c>
      <c r="E200" s="67"/>
      <c r="F200" s="49">
        <v>23</v>
      </c>
      <c r="G200" s="49">
        <v>37700</v>
      </c>
      <c r="H200" s="8">
        <f t="shared" si="7"/>
        <v>867100</v>
      </c>
      <c r="I200" s="67" t="s">
        <v>70</v>
      </c>
      <c r="J200" s="109">
        <v>46231</v>
      </c>
      <c r="K200" s="67" t="s">
        <v>1673</v>
      </c>
      <c r="L200" s="409">
        <v>0</v>
      </c>
    </row>
    <row r="201" spans="1:13" x14ac:dyDescent="0.4">
      <c r="A201" s="484">
        <v>46225</v>
      </c>
      <c r="B201" s="59" t="s">
        <v>1670</v>
      </c>
      <c r="C201" s="67" t="s">
        <v>115</v>
      </c>
      <c r="D201" s="59" t="s">
        <v>194</v>
      </c>
      <c r="E201" s="67"/>
      <c r="F201" s="49">
        <v>4</v>
      </c>
      <c r="G201" s="49">
        <v>158000</v>
      </c>
      <c r="H201" s="8">
        <f t="shared" si="7"/>
        <v>632000</v>
      </c>
      <c r="I201" s="67" t="s">
        <v>70</v>
      </c>
      <c r="J201" s="109">
        <v>46231</v>
      </c>
      <c r="K201" s="67" t="s">
        <v>1673</v>
      </c>
      <c r="L201" s="409">
        <v>0</v>
      </c>
      <c r="M201" s="113"/>
    </row>
    <row r="202" spans="1:13" x14ac:dyDescent="0.4">
      <c r="A202" s="484">
        <v>46225</v>
      </c>
      <c r="B202" s="59" t="s">
        <v>1670</v>
      </c>
      <c r="C202" s="67" t="s">
        <v>1674</v>
      </c>
      <c r="D202" s="59" t="s">
        <v>1675</v>
      </c>
      <c r="E202" s="67"/>
      <c r="F202" s="49">
        <v>1</v>
      </c>
      <c r="G202" s="49">
        <v>69000</v>
      </c>
      <c r="H202" s="8">
        <f t="shared" si="7"/>
        <v>69000</v>
      </c>
      <c r="I202" s="67" t="s">
        <v>1665</v>
      </c>
      <c r="J202" s="109">
        <v>46233</v>
      </c>
      <c r="K202" s="67" t="s">
        <v>1673</v>
      </c>
      <c r="L202" s="409">
        <v>0</v>
      </c>
      <c r="M202" s="113"/>
    </row>
    <row r="203" spans="1:13" x14ac:dyDescent="0.4">
      <c r="A203" s="484">
        <v>46225</v>
      </c>
      <c r="B203" s="59" t="s">
        <v>1670</v>
      </c>
      <c r="C203" s="67" t="s">
        <v>1676</v>
      </c>
      <c r="D203" s="59" t="s">
        <v>1677</v>
      </c>
      <c r="E203" s="67"/>
      <c r="F203" s="49">
        <v>1</v>
      </c>
      <c r="G203" s="49">
        <v>1500000</v>
      </c>
      <c r="H203" s="8">
        <f t="shared" si="7"/>
        <v>1500000</v>
      </c>
      <c r="I203" s="67" t="s">
        <v>1665</v>
      </c>
      <c r="J203" s="109">
        <v>46233</v>
      </c>
      <c r="K203" s="67" t="s">
        <v>1673</v>
      </c>
      <c r="L203" s="409">
        <v>0</v>
      </c>
      <c r="M203" s="113"/>
    </row>
    <row r="204" spans="1:13" x14ac:dyDescent="0.4">
      <c r="A204" s="484">
        <v>46225</v>
      </c>
      <c r="B204" s="59" t="s">
        <v>1670</v>
      </c>
      <c r="C204" s="67" t="s">
        <v>1678</v>
      </c>
      <c r="D204" s="59" t="s">
        <v>1679</v>
      </c>
      <c r="E204" s="67"/>
      <c r="F204" s="49">
        <v>1</v>
      </c>
      <c r="G204" s="49">
        <v>1500000</v>
      </c>
      <c r="H204" s="8">
        <f t="shared" si="7"/>
        <v>1500000</v>
      </c>
      <c r="I204" s="67" t="s">
        <v>1665</v>
      </c>
      <c r="J204" s="109">
        <v>46233</v>
      </c>
      <c r="K204" s="67" t="s">
        <v>1673</v>
      </c>
      <c r="L204" s="409">
        <v>0</v>
      </c>
      <c r="M204" s="113"/>
    </row>
    <row r="205" spans="1:13" x14ac:dyDescent="0.4">
      <c r="A205" s="484">
        <v>46225</v>
      </c>
      <c r="B205" s="59" t="s">
        <v>1670</v>
      </c>
      <c r="C205" s="67" t="s">
        <v>113</v>
      </c>
      <c r="D205" s="59" t="s">
        <v>114</v>
      </c>
      <c r="E205" s="67"/>
      <c r="F205" s="49">
        <v>1</v>
      </c>
      <c r="G205" s="49">
        <v>36500</v>
      </c>
      <c r="H205" s="8">
        <f t="shared" si="7"/>
        <v>36500</v>
      </c>
      <c r="I205" s="67" t="s">
        <v>70</v>
      </c>
      <c r="J205" s="109">
        <v>46234</v>
      </c>
      <c r="K205" s="67" t="s">
        <v>1673</v>
      </c>
      <c r="L205" s="409">
        <v>0</v>
      </c>
    </row>
    <row r="206" spans="1:13" x14ac:dyDescent="0.4">
      <c r="A206" s="484">
        <v>46225</v>
      </c>
      <c r="B206" s="59" t="s">
        <v>1670</v>
      </c>
      <c r="C206" s="67" t="s">
        <v>83</v>
      </c>
      <c r="D206" s="59" t="s">
        <v>84</v>
      </c>
      <c r="E206" s="67"/>
      <c r="F206" s="49">
        <v>2</v>
      </c>
      <c r="G206" s="49">
        <v>76500</v>
      </c>
      <c r="H206" s="8">
        <f t="shared" si="7"/>
        <v>153000</v>
      </c>
      <c r="I206" s="67" t="s">
        <v>70</v>
      </c>
      <c r="J206" s="109">
        <v>46239</v>
      </c>
      <c r="K206" s="67" t="s">
        <v>1673</v>
      </c>
      <c r="L206" s="409">
        <v>0</v>
      </c>
    </row>
    <row r="207" spans="1:13" x14ac:dyDescent="0.4">
      <c r="A207" s="484">
        <v>46225</v>
      </c>
      <c r="B207" s="59" t="s">
        <v>1670</v>
      </c>
      <c r="C207" s="67" t="s">
        <v>83</v>
      </c>
      <c r="D207" s="59" t="s">
        <v>84</v>
      </c>
      <c r="E207" s="67"/>
      <c r="F207" s="49">
        <v>2</v>
      </c>
      <c r="G207" s="49">
        <v>76500</v>
      </c>
      <c r="H207" s="8">
        <f t="shared" si="7"/>
        <v>153000</v>
      </c>
      <c r="I207" s="67" t="s">
        <v>70</v>
      </c>
      <c r="J207" s="109">
        <v>46239</v>
      </c>
      <c r="K207" s="67" t="s">
        <v>1673</v>
      </c>
      <c r="L207" s="409">
        <v>0</v>
      </c>
    </row>
    <row r="208" spans="1:13" x14ac:dyDescent="0.4">
      <c r="A208" s="484">
        <v>46225</v>
      </c>
      <c r="B208" s="59" t="s">
        <v>1670</v>
      </c>
      <c r="C208" s="67" t="s">
        <v>85</v>
      </c>
      <c r="D208" s="59" t="s">
        <v>86</v>
      </c>
      <c r="E208" s="67"/>
      <c r="F208" s="49">
        <v>2</v>
      </c>
      <c r="G208" s="49">
        <v>37700</v>
      </c>
      <c r="H208" s="8">
        <f t="shared" si="7"/>
        <v>75400</v>
      </c>
      <c r="I208" s="67" t="s">
        <v>70</v>
      </c>
      <c r="J208" s="109">
        <v>46239</v>
      </c>
      <c r="K208" s="67" t="s">
        <v>1673</v>
      </c>
      <c r="L208" s="409">
        <v>0</v>
      </c>
    </row>
    <row r="209" spans="1:12" x14ac:dyDescent="0.4">
      <c r="A209" s="484">
        <v>46225</v>
      </c>
      <c r="B209" s="59" t="s">
        <v>1670</v>
      </c>
      <c r="C209" s="67" t="s">
        <v>85</v>
      </c>
      <c r="D209" s="59" t="s">
        <v>86</v>
      </c>
      <c r="E209" s="67"/>
      <c r="F209" s="49">
        <v>2</v>
      </c>
      <c r="G209" s="49">
        <v>37700</v>
      </c>
      <c r="H209" s="8">
        <f t="shared" si="7"/>
        <v>75400</v>
      </c>
      <c r="I209" s="67" t="s">
        <v>70</v>
      </c>
      <c r="J209" s="109">
        <v>46239</v>
      </c>
      <c r="K209" s="67" t="s">
        <v>1673</v>
      </c>
      <c r="L209" s="409">
        <v>0</v>
      </c>
    </row>
    <row r="210" spans="1:12" x14ac:dyDescent="0.4">
      <c r="A210" s="484">
        <v>46225</v>
      </c>
      <c r="B210" s="59" t="s">
        <v>1670</v>
      </c>
      <c r="C210" s="67" t="s">
        <v>83</v>
      </c>
      <c r="D210" s="59" t="s">
        <v>87</v>
      </c>
      <c r="E210" s="67"/>
      <c r="F210" s="49">
        <v>1</v>
      </c>
      <c r="G210" s="49">
        <v>75300</v>
      </c>
      <c r="H210" s="8">
        <f t="shared" si="7"/>
        <v>75300</v>
      </c>
      <c r="I210" s="67" t="s">
        <v>215</v>
      </c>
      <c r="J210" s="109">
        <v>46239</v>
      </c>
      <c r="K210" s="67" t="s">
        <v>1673</v>
      </c>
      <c r="L210" s="409">
        <v>0</v>
      </c>
    </row>
    <row r="211" spans="1:12" x14ac:dyDescent="0.4">
      <c r="A211" s="484">
        <v>46225</v>
      </c>
      <c r="B211" s="59" t="s">
        <v>1670</v>
      </c>
      <c r="C211" s="67" t="s">
        <v>83</v>
      </c>
      <c r="D211" s="59" t="s">
        <v>87</v>
      </c>
      <c r="E211" s="67"/>
      <c r="F211" s="49">
        <v>2</v>
      </c>
      <c r="G211" s="49">
        <v>75300</v>
      </c>
      <c r="H211" s="8">
        <f t="shared" si="7"/>
        <v>150600</v>
      </c>
      <c r="I211" s="67" t="s">
        <v>70</v>
      </c>
      <c r="J211" s="109">
        <v>46239</v>
      </c>
      <c r="K211" s="67" t="s">
        <v>1673</v>
      </c>
      <c r="L211" s="409">
        <v>0</v>
      </c>
    </row>
    <row r="212" spans="1:12" x14ac:dyDescent="0.4">
      <c r="A212" s="484">
        <v>46225</v>
      </c>
      <c r="B212" s="59" t="s">
        <v>1670</v>
      </c>
      <c r="C212" s="67" t="s">
        <v>83</v>
      </c>
      <c r="D212" s="59" t="s">
        <v>87</v>
      </c>
      <c r="E212" s="67"/>
      <c r="F212" s="49">
        <v>2</v>
      </c>
      <c r="G212" s="49">
        <v>75300</v>
      </c>
      <c r="H212" s="8">
        <f t="shared" si="7"/>
        <v>150600</v>
      </c>
      <c r="I212" s="67" t="s">
        <v>70</v>
      </c>
      <c r="J212" s="109">
        <v>46239</v>
      </c>
      <c r="K212" s="67" t="s">
        <v>1673</v>
      </c>
      <c r="L212" s="409">
        <v>0</v>
      </c>
    </row>
    <row r="213" spans="1:12" x14ac:dyDescent="0.4">
      <c r="A213" s="484">
        <v>46226</v>
      </c>
      <c r="B213" s="59" t="s">
        <v>1670</v>
      </c>
      <c r="C213" s="67" t="s">
        <v>192</v>
      </c>
      <c r="D213" s="59" t="s">
        <v>193</v>
      </c>
      <c r="E213" s="67" t="s">
        <v>201</v>
      </c>
      <c r="F213" s="49">
        <v>4</v>
      </c>
      <c r="G213" s="49">
        <v>218000</v>
      </c>
      <c r="H213" s="8">
        <f t="shared" si="7"/>
        <v>872000</v>
      </c>
      <c r="I213" s="67" t="s">
        <v>70</v>
      </c>
      <c r="J213" s="109">
        <v>46231</v>
      </c>
      <c r="K213" s="67"/>
      <c r="L213" s="409">
        <v>0</v>
      </c>
    </row>
    <row r="214" spans="1:12" x14ac:dyDescent="0.4">
      <c r="A214" s="484">
        <v>46226</v>
      </c>
      <c r="B214" s="59" t="s">
        <v>1670</v>
      </c>
      <c r="C214" s="67" t="s">
        <v>78</v>
      </c>
      <c r="D214" s="59" t="s">
        <v>79</v>
      </c>
      <c r="E214" s="67"/>
      <c r="F214" s="49">
        <v>14</v>
      </c>
      <c r="G214" s="49">
        <v>90500</v>
      </c>
      <c r="H214" s="8">
        <f t="shared" si="7"/>
        <v>1267000</v>
      </c>
      <c r="I214" s="67" t="s">
        <v>1680</v>
      </c>
      <c r="J214" s="109">
        <v>46227</v>
      </c>
      <c r="K214" s="67"/>
      <c r="L214" s="409">
        <v>0</v>
      </c>
    </row>
    <row r="215" spans="1:12" x14ac:dyDescent="0.4">
      <c r="A215" s="484">
        <v>46226</v>
      </c>
      <c r="B215" s="59" t="s">
        <v>1670</v>
      </c>
      <c r="C215" s="67" t="s">
        <v>78</v>
      </c>
      <c r="D215" s="59" t="s">
        <v>79</v>
      </c>
      <c r="E215" s="67"/>
      <c r="F215" s="49">
        <v>3</v>
      </c>
      <c r="G215" s="49">
        <v>90500</v>
      </c>
      <c r="H215" s="8">
        <f t="shared" si="7"/>
        <v>271500</v>
      </c>
      <c r="I215" s="67" t="s">
        <v>1681</v>
      </c>
      <c r="J215" s="109">
        <v>46213</v>
      </c>
      <c r="K215" s="67"/>
      <c r="L215" s="409">
        <v>0</v>
      </c>
    </row>
    <row r="216" spans="1:12" x14ac:dyDescent="0.4">
      <c r="A216" s="484">
        <v>46226</v>
      </c>
      <c r="B216" s="59" t="s">
        <v>1670</v>
      </c>
      <c r="C216" s="67" t="s">
        <v>78</v>
      </c>
      <c r="D216" s="59" t="s">
        <v>79</v>
      </c>
      <c r="E216" s="67"/>
      <c r="F216" s="49">
        <v>4</v>
      </c>
      <c r="G216" s="49">
        <v>90500</v>
      </c>
      <c r="H216" s="8">
        <f t="shared" si="7"/>
        <v>362000</v>
      </c>
      <c r="I216" s="67" t="s">
        <v>1682</v>
      </c>
      <c r="J216" s="109">
        <v>46227</v>
      </c>
      <c r="K216" s="67"/>
      <c r="L216" s="409">
        <v>0</v>
      </c>
    </row>
    <row r="217" spans="1:12" x14ac:dyDescent="0.4">
      <c r="A217" s="484">
        <v>46226</v>
      </c>
      <c r="B217" s="59" t="s">
        <v>1670</v>
      </c>
      <c r="C217" s="67" t="s">
        <v>78</v>
      </c>
      <c r="D217" s="59" t="s">
        <v>79</v>
      </c>
      <c r="E217" s="67"/>
      <c r="F217" s="49">
        <v>3</v>
      </c>
      <c r="G217" s="49">
        <v>90500</v>
      </c>
      <c r="H217" s="8">
        <f t="shared" si="7"/>
        <v>271500</v>
      </c>
      <c r="I217" s="67" t="s">
        <v>1683</v>
      </c>
      <c r="J217" s="109">
        <v>46234</v>
      </c>
      <c r="K217" s="67"/>
      <c r="L217" s="409">
        <v>0</v>
      </c>
    </row>
    <row r="218" spans="1:12" x14ac:dyDescent="0.4">
      <c r="A218" s="484">
        <v>46226</v>
      </c>
      <c r="B218" s="59" t="s">
        <v>1670</v>
      </c>
      <c r="C218" s="67" t="s">
        <v>78</v>
      </c>
      <c r="D218" s="59" t="s">
        <v>79</v>
      </c>
      <c r="E218" s="67"/>
      <c r="F218" s="49">
        <v>11</v>
      </c>
      <c r="G218" s="49">
        <v>90500</v>
      </c>
      <c r="H218" s="8">
        <f t="shared" si="7"/>
        <v>995500</v>
      </c>
      <c r="I218" s="67" t="s">
        <v>1684</v>
      </c>
      <c r="J218" s="109">
        <v>46233</v>
      </c>
      <c r="K218" s="67"/>
      <c r="L218" s="409">
        <v>0</v>
      </c>
    </row>
    <row r="219" spans="1:12" x14ac:dyDescent="0.4">
      <c r="A219" s="484">
        <v>46226</v>
      </c>
      <c r="B219" s="59" t="s">
        <v>1670</v>
      </c>
      <c r="C219" s="67" t="s">
        <v>202</v>
      </c>
      <c r="D219" s="59" t="s">
        <v>203</v>
      </c>
      <c r="E219" s="67"/>
      <c r="F219" s="49">
        <v>10</v>
      </c>
      <c r="G219" s="49">
        <v>384000</v>
      </c>
      <c r="H219" s="8">
        <f t="shared" si="7"/>
        <v>3840000</v>
      </c>
      <c r="I219" s="67" t="s">
        <v>1561</v>
      </c>
      <c r="J219" s="109">
        <v>46198</v>
      </c>
      <c r="K219" s="67"/>
      <c r="L219" s="409">
        <v>0</v>
      </c>
    </row>
    <row r="220" spans="1:12" x14ac:dyDescent="0.4">
      <c r="A220" s="484">
        <v>46226</v>
      </c>
      <c r="B220" s="59" t="s">
        <v>1670</v>
      </c>
      <c r="C220" s="67" t="s">
        <v>81</v>
      </c>
      <c r="D220" s="59" t="s">
        <v>82</v>
      </c>
      <c r="E220" s="67"/>
      <c r="F220" s="49">
        <v>10</v>
      </c>
      <c r="G220" s="49">
        <v>86300</v>
      </c>
      <c r="H220" s="8">
        <f t="shared" si="7"/>
        <v>863000</v>
      </c>
      <c r="I220" s="67" t="s">
        <v>1561</v>
      </c>
      <c r="J220" s="109">
        <v>46198</v>
      </c>
      <c r="K220" s="67"/>
      <c r="L220" s="409">
        <v>0</v>
      </c>
    </row>
    <row r="221" spans="1:12" x14ac:dyDescent="0.4">
      <c r="A221" s="484">
        <v>46226</v>
      </c>
      <c r="B221" s="59" t="s">
        <v>1670</v>
      </c>
      <c r="C221" s="67" t="s">
        <v>105</v>
      </c>
      <c r="D221" s="59" t="s">
        <v>117</v>
      </c>
      <c r="E221" s="67"/>
      <c r="F221" s="49">
        <v>3</v>
      </c>
      <c r="G221" s="49">
        <v>248000</v>
      </c>
      <c r="H221" s="8">
        <f t="shared" si="7"/>
        <v>744000</v>
      </c>
      <c r="I221" s="67" t="s">
        <v>1559</v>
      </c>
      <c r="J221" s="109">
        <v>46182</v>
      </c>
      <c r="K221" s="67"/>
      <c r="L221" s="409">
        <v>0</v>
      </c>
    </row>
    <row r="222" spans="1:12" x14ac:dyDescent="0.4">
      <c r="A222" s="484">
        <v>46226</v>
      </c>
      <c r="B222" s="59" t="s">
        <v>1670</v>
      </c>
      <c r="C222" s="67" t="s">
        <v>105</v>
      </c>
      <c r="D222" s="59" t="s">
        <v>117</v>
      </c>
      <c r="E222" s="67"/>
      <c r="F222" s="49">
        <v>11</v>
      </c>
      <c r="G222" s="49">
        <v>248000</v>
      </c>
      <c r="H222" s="8">
        <f t="shared" si="7"/>
        <v>2728000</v>
      </c>
      <c r="I222" s="67" t="s">
        <v>1558</v>
      </c>
      <c r="J222" s="109">
        <v>46191</v>
      </c>
      <c r="K222" s="67"/>
      <c r="L222" s="409">
        <v>0</v>
      </c>
    </row>
    <row r="223" spans="1:12" x14ac:dyDescent="0.4">
      <c r="A223" s="484">
        <v>46226</v>
      </c>
      <c r="B223" s="59" t="s">
        <v>1670</v>
      </c>
      <c r="C223" s="67" t="s">
        <v>105</v>
      </c>
      <c r="D223" s="59" t="s">
        <v>117</v>
      </c>
      <c r="E223" s="67"/>
      <c r="F223" s="49">
        <v>3</v>
      </c>
      <c r="G223" s="49">
        <v>248000</v>
      </c>
      <c r="H223" s="8">
        <f t="shared" si="7"/>
        <v>744000</v>
      </c>
      <c r="I223" s="67" t="s">
        <v>1560</v>
      </c>
      <c r="J223" s="109">
        <v>46196</v>
      </c>
      <c r="K223" s="67"/>
      <c r="L223" s="409">
        <v>0</v>
      </c>
    </row>
    <row r="224" spans="1:12" x14ac:dyDescent="0.4">
      <c r="A224" s="484">
        <v>46226</v>
      </c>
      <c r="B224" s="59" t="s">
        <v>1670</v>
      </c>
      <c r="C224" s="67" t="s">
        <v>105</v>
      </c>
      <c r="D224" s="59" t="s">
        <v>117</v>
      </c>
      <c r="E224" s="67"/>
      <c r="F224" s="49">
        <v>10</v>
      </c>
      <c r="G224" s="49">
        <v>248000</v>
      </c>
      <c r="H224" s="8">
        <f t="shared" si="7"/>
        <v>2480000</v>
      </c>
      <c r="I224" s="67" t="s">
        <v>1561</v>
      </c>
      <c r="J224" s="109">
        <v>46198</v>
      </c>
      <c r="K224" s="67"/>
      <c r="L224" s="409">
        <v>0</v>
      </c>
    </row>
    <row r="225" spans="1:12" x14ac:dyDescent="0.4">
      <c r="A225" s="484">
        <v>46226</v>
      </c>
      <c r="B225" s="59" t="s">
        <v>1670</v>
      </c>
      <c r="C225" s="67" t="s">
        <v>105</v>
      </c>
      <c r="D225" s="59" t="s">
        <v>117</v>
      </c>
      <c r="E225" s="67"/>
      <c r="F225" s="49">
        <v>3</v>
      </c>
      <c r="G225" s="49">
        <v>248000</v>
      </c>
      <c r="H225" s="8">
        <f t="shared" si="7"/>
        <v>744000</v>
      </c>
      <c r="I225" s="67" t="s">
        <v>1681</v>
      </c>
      <c r="J225" s="109">
        <v>46213</v>
      </c>
      <c r="K225" s="67"/>
      <c r="L225" s="409">
        <v>0</v>
      </c>
    </row>
    <row r="226" spans="1:12" x14ac:dyDescent="0.4">
      <c r="A226" s="484">
        <v>46226</v>
      </c>
      <c r="B226" s="59" t="s">
        <v>1670</v>
      </c>
      <c r="C226" s="67" t="s">
        <v>105</v>
      </c>
      <c r="D226" s="59" t="s">
        <v>117</v>
      </c>
      <c r="E226" s="67"/>
      <c r="F226" s="49">
        <v>14</v>
      </c>
      <c r="G226" s="49">
        <v>248000</v>
      </c>
      <c r="H226" s="8">
        <f t="shared" si="7"/>
        <v>3472000</v>
      </c>
      <c r="I226" s="67" t="s">
        <v>1680</v>
      </c>
      <c r="J226" s="109">
        <v>46227</v>
      </c>
      <c r="K226" s="67"/>
      <c r="L226" s="409">
        <v>0</v>
      </c>
    </row>
    <row r="227" spans="1:12" x14ac:dyDescent="0.4">
      <c r="A227" s="484">
        <v>46226</v>
      </c>
      <c r="B227" s="59" t="s">
        <v>1670</v>
      </c>
      <c r="C227" s="67" t="s">
        <v>105</v>
      </c>
      <c r="D227" s="59" t="s">
        <v>117</v>
      </c>
      <c r="E227" s="67"/>
      <c r="F227" s="49">
        <v>4</v>
      </c>
      <c r="G227" s="49">
        <v>248000</v>
      </c>
      <c r="H227" s="8">
        <f t="shared" si="7"/>
        <v>992000</v>
      </c>
      <c r="I227" s="67" t="s">
        <v>1682</v>
      </c>
      <c r="J227" s="109">
        <v>46227</v>
      </c>
      <c r="K227" s="67"/>
      <c r="L227" s="409">
        <v>0</v>
      </c>
    </row>
    <row r="228" spans="1:12" x14ac:dyDescent="0.4">
      <c r="A228" s="484">
        <v>46226</v>
      </c>
      <c r="B228" s="59" t="s">
        <v>1670</v>
      </c>
      <c r="C228" s="67" t="s">
        <v>76</v>
      </c>
      <c r="D228" s="59" t="s">
        <v>77</v>
      </c>
      <c r="E228" s="67"/>
      <c r="F228" s="49">
        <v>1</v>
      </c>
      <c r="G228" s="49">
        <v>900000</v>
      </c>
      <c r="H228" s="8">
        <f t="shared" si="7"/>
        <v>900000</v>
      </c>
      <c r="I228" s="67" t="s">
        <v>215</v>
      </c>
      <c r="J228" s="109">
        <v>46185</v>
      </c>
      <c r="K228" s="67"/>
      <c r="L228" s="409">
        <v>0</v>
      </c>
    </row>
    <row r="229" spans="1:12" x14ac:dyDescent="0.4">
      <c r="A229" s="484">
        <v>46226</v>
      </c>
      <c r="B229" s="59" t="s">
        <v>1670</v>
      </c>
      <c r="C229" s="67" t="s">
        <v>76</v>
      </c>
      <c r="D229" s="59" t="s">
        <v>77</v>
      </c>
      <c r="E229" s="67"/>
      <c r="F229" s="49">
        <v>6</v>
      </c>
      <c r="G229" s="49">
        <v>900000</v>
      </c>
      <c r="H229" s="8">
        <f t="shared" si="7"/>
        <v>5400000</v>
      </c>
      <c r="I229" s="67" t="s">
        <v>70</v>
      </c>
      <c r="J229" s="109">
        <v>46213</v>
      </c>
      <c r="K229" s="67"/>
      <c r="L229" s="409">
        <v>0</v>
      </c>
    </row>
    <row r="230" spans="1:12" x14ac:dyDescent="0.4">
      <c r="A230" s="484">
        <v>46226</v>
      </c>
      <c r="B230" s="59" t="s">
        <v>1670</v>
      </c>
      <c r="C230" s="67" t="s">
        <v>204</v>
      </c>
      <c r="D230" s="59" t="s">
        <v>205</v>
      </c>
      <c r="E230" s="67"/>
      <c r="F230" s="49">
        <v>10</v>
      </c>
      <c r="G230" s="49">
        <v>1295000</v>
      </c>
      <c r="H230" s="8">
        <f t="shared" si="7"/>
        <v>12950000</v>
      </c>
      <c r="I230" s="67" t="s">
        <v>1561</v>
      </c>
      <c r="J230" s="109">
        <v>46198</v>
      </c>
      <c r="K230" s="67"/>
      <c r="L230" s="409">
        <v>0</v>
      </c>
    </row>
    <row r="231" spans="1:12" x14ac:dyDescent="0.4">
      <c r="A231" s="484">
        <v>46226</v>
      </c>
      <c r="B231" s="59" t="s">
        <v>1670</v>
      </c>
      <c r="C231" s="67" t="s">
        <v>71</v>
      </c>
      <c r="D231" s="59" t="s">
        <v>207</v>
      </c>
      <c r="E231" s="67"/>
      <c r="F231" s="49">
        <v>3</v>
      </c>
      <c r="G231" s="49">
        <v>520600</v>
      </c>
      <c r="H231" s="8">
        <f t="shared" si="7"/>
        <v>1561800</v>
      </c>
      <c r="I231" s="67" t="s">
        <v>1685</v>
      </c>
      <c r="J231" s="109">
        <v>46205</v>
      </c>
      <c r="K231" s="67"/>
      <c r="L231" s="409">
        <v>0</v>
      </c>
    </row>
    <row r="232" spans="1:12" x14ac:dyDescent="0.4">
      <c r="A232" s="484">
        <v>46226</v>
      </c>
      <c r="B232" s="59" t="s">
        <v>1670</v>
      </c>
      <c r="C232" s="67" t="s">
        <v>105</v>
      </c>
      <c r="D232" s="59" t="s">
        <v>1083</v>
      </c>
      <c r="E232" s="67"/>
      <c r="F232" s="49">
        <v>1</v>
      </c>
      <c r="G232" s="49">
        <v>227050</v>
      </c>
      <c r="H232" s="8">
        <f t="shared" si="7"/>
        <v>227050</v>
      </c>
      <c r="I232" s="67" t="s">
        <v>1551</v>
      </c>
      <c r="J232" s="109">
        <v>46184</v>
      </c>
      <c r="K232" s="67"/>
      <c r="L232" s="409">
        <v>0</v>
      </c>
    </row>
    <row r="233" spans="1:12" x14ac:dyDescent="0.4">
      <c r="A233" s="484">
        <v>46226</v>
      </c>
      <c r="B233" s="59" t="s">
        <v>1670</v>
      </c>
      <c r="C233" s="67" t="s">
        <v>105</v>
      </c>
      <c r="D233" s="59" t="s">
        <v>364</v>
      </c>
      <c r="E233" s="67"/>
      <c r="F233" s="49">
        <v>12</v>
      </c>
      <c r="G233" s="49">
        <v>227050</v>
      </c>
      <c r="H233" s="8">
        <f t="shared" si="7"/>
        <v>2724600</v>
      </c>
      <c r="I233" s="67" t="s">
        <v>1562</v>
      </c>
      <c r="J233" s="109">
        <v>46205</v>
      </c>
      <c r="K233" s="67"/>
      <c r="L233" s="409">
        <v>0</v>
      </c>
    </row>
    <row r="234" spans="1:12" x14ac:dyDescent="0.4">
      <c r="A234" s="484">
        <v>46226</v>
      </c>
      <c r="B234" s="59" t="s">
        <v>1670</v>
      </c>
      <c r="C234" s="67" t="s">
        <v>81</v>
      </c>
      <c r="D234" s="59" t="s">
        <v>219</v>
      </c>
      <c r="E234" s="67"/>
      <c r="F234" s="49">
        <v>8</v>
      </c>
      <c r="G234" s="49">
        <v>78850</v>
      </c>
      <c r="H234" s="8">
        <f t="shared" si="7"/>
        <v>630800</v>
      </c>
      <c r="I234" s="67" t="s">
        <v>1551</v>
      </c>
      <c r="J234" s="109">
        <v>46184</v>
      </c>
      <c r="K234" s="67"/>
      <c r="L234" s="409">
        <v>0</v>
      </c>
    </row>
    <row r="235" spans="1:12" x14ac:dyDescent="0.4">
      <c r="A235" s="484">
        <v>46226</v>
      </c>
      <c r="B235" s="59" t="s">
        <v>1670</v>
      </c>
      <c r="C235" s="67" t="s">
        <v>63</v>
      </c>
      <c r="D235" s="59" t="s">
        <v>304</v>
      </c>
      <c r="E235" s="67"/>
      <c r="F235" s="49">
        <v>12</v>
      </c>
      <c r="G235" s="49">
        <v>125400</v>
      </c>
      <c r="H235" s="8">
        <f t="shared" si="7"/>
        <v>1504800</v>
      </c>
      <c r="I235" s="67" t="s">
        <v>1562</v>
      </c>
      <c r="J235" s="109">
        <v>46205</v>
      </c>
      <c r="K235" s="67"/>
      <c r="L235" s="409">
        <v>0</v>
      </c>
    </row>
    <row r="236" spans="1:12" x14ac:dyDescent="0.4">
      <c r="A236" s="484">
        <v>46231</v>
      </c>
      <c r="B236" s="59" t="s">
        <v>1670</v>
      </c>
      <c r="C236" s="67" t="s">
        <v>88</v>
      </c>
      <c r="D236" s="59" t="s">
        <v>89</v>
      </c>
      <c r="E236" s="67"/>
      <c r="F236" s="68">
        <v>2</v>
      </c>
      <c r="G236" s="68">
        <v>64000</v>
      </c>
      <c r="H236" s="8">
        <f t="shared" si="7"/>
        <v>128000</v>
      </c>
      <c r="I236" s="67" t="s">
        <v>215</v>
      </c>
      <c r="J236" s="109">
        <v>46129</v>
      </c>
      <c r="K236" s="67"/>
      <c r="L236" s="409">
        <v>0</v>
      </c>
    </row>
    <row r="237" spans="1:12" x14ac:dyDescent="0.4">
      <c r="A237" s="484">
        <v>46231</v>
      </c>
      <c r="B237" s="59" t="s">
        <v>1670</v>
      </c>
      <c r="C237" s="67" t="s">
        <v>88</v>
      </c>
      <c r="D237" s="59" t="s">
        <v>89</v>
      </c>
      <c r="E237" s="67"/>
      <c r="F237" s="68">
        <v>4</v>
      </c>
      <c r="G237" s="68">
        <v>64000</v>
      </c>
      <c r="H237" s="8">
        <f t="shared" si="7"/>
        <v>256000</v>
      </c>
      <c r="I237" s="67" t="s">
        <v>70</v>
      </c>
      <c r="J237" s="109">
        <v>46156</v>
      </c>
      <c r="K237" s="67"/>
      <c r="L237" s="409">
        <v>0</v>
      </c>
    </row>
    <row r="238" spans="1:12" x14ac:dyDescent="0.4">
      <c r="A238" s="484">
        <v>46231</v>
      </c>
      <c r="B238" s="59" t="s">
        <v>1670</v>
      </c>
      <c r="C238" s="67" t="s">
        <v>88</v>
      </c>
      <c r="D238" s="59" t="s">
        <v>89</v>
      </c>
      <c r="E238" s="67"/>
      <c r="F238" s="68">
        <v>4</v>
      </c>
      <c r="G238" s="68">
        <v>64000</v>
      </c>
      <c r="H238" s="8">
        <f t="shared" si="7"/>
        <v>256000</v>
      </c>
      <c r="I238" s="67" t="s">
        <v>70</v>
      </c>
      <c r="J238" s="109">
        <v>46157</v>
      </c>
      <c r="K238" s="67"/>
      <c r="L238" s="409">
        <v>0</v>
      </c>
    </row>
    <row r="239" spans="1:12" x14ac:dyDescent="0.4">
      <c r="A239" s="484">
        <v>46231</v>
      </c>
      <c r="B239" s="59" t="s">
        <v>1670</v>
      </c>
      <c r="C239" s="67" t="s">
        <v>88</v>
      </c>
      <c r="D239" s="59" t="s">
        <v>89</v>
      </c>
      <c r="E239" s="67"/>
      <c r="F239" s="68">
        <v>4</v>
      </c>
      <c r="G239" s="68">
        <v>64000</v>
      </c>
      <c r="H239" s="8">
        <f t="shared" si="7"/>
        <v>256000</v>
      </c>
      <c r="I239" s="67" t="s">
        <v>70</v>
      </c>
      <c r="J239" s="109">
        <v>46157</v>
      </c>
      <c r="K239" s="67"/>
      <c r="L239" s="409">
        <v>0</v>
      </c>
    </row>
    <row r="240" spans="1:12" x14ac:dyDescent="0.4">
      <c r="A240" s="484">
        <v>46231</v>
      </c>
      <c r="B240" s="59" t="s">
        <v>1670</v>
      </c>
      <c r="C240" s="67" t="s">
        <v>88</v>
      </c>
      <c r="D240" s="59" t="s">
        <v>89</v>
      </c>
      <c r="E240" s="67"/>
      <c r="F240" s="68">
        <v>4</v>
      </c>
      <c r="G240" s="68">
        <v>64000</v>
      </c>
      <c r="H240" s="8">
        <f t="shared" si="7"/>
        <v>256000</v>
      </c>
      <c r="I240" s="67" t="s">
        <v>70</v>
      </c>
      <c r="J240" s="109">
        <v>46164</v>
      </c>
      <c r="K240" s="67"/>
      <c r="L240" s="409">
        <v>0</v>
      </c>
    </row>
    <row r="241" spans="1:12" x14ac:dyDescent="0.4">
      <c r="A241" s="484">
        <v>46231</v>
      </c>
      <c r="B241" s="59" t="s">
        <v>1670</v>
      </c>
      <c r="C241" s="67" t="s">
        <v>88</v>
      </c>
      <c r="D241" s="59" t="s">
        <v>89</v>
      </c>
      <c r="E241" s="67"/>
      <c r="F241" s="68">
        <v>4</v>
      </c>
      <c r="G241" s="68">
        <v>64000</v>
      </c>
      <c r="H241" s="8">
        <f t="shared" si="7"/>
        <v>256000</v>
      </c>
      <c r="I241" s="67" t="s">
        <v>70</v>
      </c>
      <c r="J241" s="109">
        <v>46178</v>
      </c>
      <c r="K241" s="67"/>
      <c r="L241" s="409">
        <v>0</v>
      </c>
    </row>
    <row r="242" spans="1:12" x14ac:dyDescent="0.4">
      <c r="A242" s="484">
        <v>46231</v>
      </c>
      <c r="B242" s="59" t="s">
        <v>1670</v>
      </c>
      <c r="C242" s="67" t="s">
        <v>88</v>
      </c>
      <c r="D242" s="59" t="s">
        <v>89</v>
      </c>
      <c r="E242" s="67"/>
      <c r="F242" s="68">
        <v>1</v>
      </c>
      <c r="G242" s="68">
        <v>64000</v>
      </c>
      <c r="H242" s="8">
        <f t="shared" si="7"/>
        <v>64000</v>
      </c>
      <c r="I242" s="67" t="s">
        <v>70</v>
      </c>
      <c r="J242" s="109">
        <v>46178</v>
      </c>
      <c r="K242" s="67"/>
      <c r="L242" s="409">
        <v>0</v>
      </c>
    </row>
    <row r="243" spans="1:12" x14ac:dyDescent="0.4">
      <c r="A243" s="484">
        <v>46231</v>
      </c>
      <c r="B243" s="59" t="s">
        <v>1670</v>
      </c>
      <c r="C243" s="67" t="s">
        <v>88</v>
      </c>
      <c r="D243" s="59" t="s">
        <v>89</v>
      </c>
      <c r="E243" s="67"/>
      <c r="F243" s="49">
        <v>3</v>
      </c>
      <c r="G243" s="49">
        <v>64000</v>
      </c>
      <c r="H243" s="8">
        <f t="shared" si="7"/>
        <v>192000</v>
      </c>
      <c r="I243" s="67" t="s">
        <v>70</v>
      </c>
      <c r="J243" s="109">
        <v>46178</v>
      </c>
      <c r="K243" s="67"/>
      <c r="L243" s="409">
        <v>0</v>
      </c>
    </row>
    <row r="244" spans="1:12" x14ac:dyDescent="0.4">
      <c r="A244" s="484">
        <v>46231</v>
      </c>
      <c r="B244" s="59" t="s">
        <v>1670</v>
      </c>
      <c r="C244" s="67" t="s">
        <v>88</v>
      </c>
      <c r="D244" s="59" t="s">
        <v>89</v>
      </c>
      <c r="E244" s="67"/>
      <c r="F244" s="49">
        <v>4</v>
      </c>
      <c r="G244" s="49">
        <v>64000</v>
      </c>
      <c r="H244" s="8">
        <f t="shared" si="7"/>
        <v>256000</v>
      </c>
      <c r="I244" s="67" t="s">
        <v>70</v>
      </c>
      <c r="J244" s="109">
        <v>46188</v>
      </c>
      <c r="K244" s="67"/>
      <c r="L244" s="409">
        <v>0</v>
      </c>
    </row>
    <row r="245" spans="1:12" x14ac:dyDescent="0.4">
      <c r="A245" s="484">
        <v>46231</v>
      </c>
      <c r="B245" s="59" t="s">
        <v>1670</v>
      </c>
      <c r="C245" s="67" t="s">
        <v>88</v>
      </c>
      <c r="D245" s="59" t="s">
        <v>89</v>
      </c>
      <c r="E245" s="67"/>
      <c r="F245" s="49">
        <v>4</v>
      </c>
      <c r="G245" s="49">
        <v>64000</v>
      </c>
      <c r="H245" s="8">
        <f t="shared" si="7"/>
        <v>256000</v>
      </c>
      <c r="I245" s="67" t="s">
        <v>70</v>
      </c>
      <c r="J245" s="109">
        <v>46188</v>
      </c>
      <c r="K245" s="67"/>
      <c r="L245" s="409">
        <v>0</v>
      </c>
    </row>
    <row r="246" spans="1:12" x14ac:dyDescent="0.4">
      <c r="A246" s="484">
        <v>46231</v>
      </c>
      <c r="B246" s="59" t="s">
        <v>1670</v>
      </c>
      <c r="C246" s="67" t="s">
        <v>88</v>
      </c>
      <c r="D246" s="59" t="s">
        <v>89</v>
      </c>
      <c r="E246" s="67"/>
      <c r="F246" s="49">
        <v>4</v>
      </c>
      <c r="G246" s="49">
        <v>64000</v>
      </c>
      <c r="H246" s="8">
        <f t="shared" si="7"/>
        <v>256000</v>
      </c>
      <c r="I246" s="67" t="s">
        <v>70</v>
      </c>
      <c r="J246" s="109">
        <v>46198</v>
      </c>
      <c r="K246" s="67"/>
      <c r="L246" s="409">
        <v>0</v>
      </c>
    </row>
    <row r="247" spans="1:12" x14ac:dyDescent="0.4">
      <c r="A247" s="484">
        <v>46231</v>
      </c>
      <c r="B247" s="59" t="s">
        <v>1670</v>
      </c>
      <c r="C247" s="67" t="s">
        <v>88</v>
      </c>
      <c r="D247" s="59" t="s">
        <v>89</v>
      </c>
      <c r="E247" s="67"/>
      <c r="F247" s="49">
        <v>4</v>
      </c>
      <c r="G247" s="49">
        <v>64000</v>
      </c>
      <c r="H247" s="8">
        <f t="shared" si="7"/>
        <v>256000</v>
      </c>
      <c r="I247" s="67" t="s">
        <v>70</v>
      </c>
      <c r="J247" s="109">
        <v>46198</v>
      </c>
      <c r="K247" s="67"/>
      <c r="L247" s="409">
        <v>0</v>
      </c>
    </row>
    <row r="248" spans="1:12" x14ac:dyDescent="0.4">
      <c r="A248" s="484">
        <v>46231</v>
      </c>
      <c r="B248" s="59" t="s">
        <v>1670</v>
      </c>
      <c r="C248" s="67" t="s">
        <v>88</v>
      </c>
      <c r="D248" s="59" t="s">
        <v>89</v>
      </c>
      <c r="E248" s="67"/>
      <c r="F248" s="49">
        <v>4</v>
      </c>
      <c r="G248" s="49">
        <v>64000</v>
      </c>
      <c r="H248" s="8">
        <f t="shared" ref="H248:H303" si="8">F248*G248</f>
        <v>256000</v>
      </c>
      <c r="I248" s="67" t="s">
        <v>70</v>
      </c>
      <c r="J248" s="109">
        <v>46208</v>
      </c>
      <c r="K248" s="67"/>
      <c r="L248" s="409">
        <v>0</v>
      </c>
    </row>
    <row r="249" spans="1:12" x14ac:dyDescent="0.4">
      <c r="A249" s="484">
        <v>46231</v>
      </c>
      <c r="B249" s="59" t="s">
        <v>1670</v>
      </c>
      <c r="C249" s="67" t="s">
        <v>88</v>
      </c>
      <c r="D249" s="59" t="s">
        <v>89</v>
      </c>
      <c r="E249" s="67"/>
      <c r="F249" s="68">
        <v>4</v>
      </c>
      <c r="G249" s="68">
        <v>64000</v>
      </c>
      <c r="H249" s="8">
        <f t="shared" si="8"/>
        <v>256000</v>
      </c>
      <c r="I249" s="67" t="s">
        <v>70</v>
      </c>
      <c r="J249" s="109">
        <v>46208</v>
      </c>
      <c r="K249" s="67"/>
      <c r="L249" s="409">
        <v>0</v>
      </c>
    </row>
    <row r="250" spans="1:12" x14ac:dyDescent="0.4">
      <c r="A250" s="484">
        <v>46231</v>
      </c>
      <c r="B250" s="59" t="s">
        <v>1670</v>
      </c>
      <c r="C250" s="67" t="s">
        <v>88</v>
      </c>
      <c r="D250" s="59" t="s">
        <v>89</v>
      </c>
      <c r="E250" s="67"/>
      <c r="F250" s="68">
        <v>4</v>
      </c>
      <c r="G250" s="68">
        <v>64000</v>
      </c>
      <c r="H250" s="8">
        <f t="shared" si="8"/>
        <v>256000</v>
      </c>
      <c r="I250" s="67" t="s">
        <v>70</v>
      </c>
      <c r="J250" s="109">
        <v>46227</v>
      </c>
      <c r="K250" s="67"/>
      <c r="L250" s="409">
        <v>0</v>
      </c>
    </row>
    <row r="251" spans="1:12" x14ac:dyDescent="0.4">
      <c r="A251" s="484">
        <v>46231</v>
      </c>
      <c r="B251" s="59" t="s">
        <v>1670</v>
      </c>
      <c r="C251" s="67" t="s">
        <v>88</v>
      </c>
      <c r="D251" s="59" t="s">
        <v>89</v>
      </c>
      <c r="E251" s="67"/>
      <c r="F251" s="68">
        <v>4</v>
      </c>
      <c r="G251" s="68">
        <v>64000</v>
      </c>
      <c r="H251" s="8">
        <f t="shared" si="8"/>
        <v>256000</v>
      </c>
      <c r="I251" s="67" t="s">
        <v>70</v>
      </c>
      <c r="J251" s="109">
        <v>46227</v>
      </c>
      <c r="K251" s="67"/>
      <c r="L251" s="409">
        <v>0</v>
      </c>
    </row>
    <row r="252" spans="1:12" x14ac:dyDescent="0.4">
      <c r="A252" s="484">
        <v>46231</v>
      </c>
      <c r="B252" s="59" t="s">
        <v>1670</v>
      </c>
      <c r="C252" s="67" t="s">
        <v>88</v>
      </c>
      <c r="D252" s="59" t="s">
        <v>89</v>
      </c>
      <c r="E252" s="67"/>
      <c r="F252" s="68">
        <v>4</v>
      </c>
      <c r="G252" s="68">
        <v>64000</v>
      </c>
      <c r="H252" s="8">
        <f t="shared" si="8"/>
        <v>256000</v>
      </c>
      <c r="I252" s="67" t="s">
        <v>70</v>
      </c>
      <c r="J252" s="109">
        <v>46239</v>
      </c>
      <c r="K252" s="67"/>
      <c r="L252" s="409">
        <v>0</v>
      </c>
    </row>
    <row r="253" spans="1:12" x14ac:dyDescent="0.4">
      <c r="A253" s="484">
        <v>46231</v>
      </c>
      <c r="B253" s="59" t="s">
        <v>1670</v>
      </c>
      <c r="C253" s="67" t="s">
        <v>88</v>
      </c>
      <c r="D253" s="59" t="s">
        <v>89</v>
      </c>
      <c r="E253" s="67"/>
      <c r="F253" s="68">
        <v>4</v>
      </c>
      <c r="G253" s="68">
        <v>64000</v>
      </c>
      <c r="H253" s="8">
        <f t="shared" si="8"/>
        <v>256000</v>
      </c>
      <c r="I253" s="67" t="s">
        <v>70</v>
      </c>
      <c r="J253" s="109">
        <v>46239</v>
      </c>
      <c r="K253" s="67"/>
      <c r="L253" s="409">
        <v>0</v>
      </c>
    </row>
    <row r="254" spans="1:12" x14ac:dyDescent="0.4">
      <c r="A254" s="484">
        <v>46231</v>
      </c>
      <c r="B254" s="59" t="s">
        <v>1670</v>
      </c>
      <c r="C254" s="67" t="s">
        <v>88</v>
      </c>
      <c r="D254" s="59" t="s">
        <v>89</v>
      </c>
      <c r="E254" s="67"/>
      <c r="F254" s="49">
        <v>4</v>
      </c>
      <c r="G254" s="49">
        <v>64000</v>
      </c>
      <c r="H254" s="8">
        <f t="shared" si="8"/>
        <v>256000</v>
      </c>
      <c r="I254" s="67" t="s">
        <v>215</v>
      </c>
      <c r="J254" s="109">
        <v>46239</v>
      </c>
      <c r="K254" s="67"/>
      <c r="L254" s="409">
        <v>0</v>
      </c>
    </row>
    <row r="255" spans="1:12" x14ac:dyDescent="0.4">
      <c r="A255" s="484">
        <v>46231</v>
      </c>
      <c r="B255" s="59" t="s">
        <v>1670</v>
      </c>
      <c r="C255" s="67" t="s">
        <v>71</v>
      </c>
      <c r="D255" s="59" t="s">
        <v>72</v>
      </c>
      <c r="E255" s="67"/>
      <c r="F255" s="49">
        <v>3</v>
      </c>
      <c r="G255" s="49">
        <v>548000</v>
      </c>
      <c r="H255" s="8">
        <f t="shared" si="8"/>
        <v>1644000</v>
      </c>
      <c r="I255" s="67" t="s">
        <v>1560</v>
      </c>
      <c r="J255" s="109">
        <v>46196</v>
      </c>
      <c r="K255" s="67"/>
      <c r="L255" s="409">
        <v>0</v>
      </c>
    </row>
    <row r="256" spans="1:12" x14ac:dyDescent="0.4">
      <c r="A256" s="484">
        <v>46231</v>
      </c>
      <c r="B256" s="59" t="s">
        <v>1670</v>
      </c>
      <c r="C256" s="67" t="s">
        <v>67</v>
      </c>
      <c r="D256" s="59" t="s">
        <v>80</v>
      </c>
      <c r="E256" s="67"/>
      <c r="F256" s="49">
        <v>10</v>
      </c>
      <c r="G256" s="49">
        <v>384000</v>
      </c>
      <c r="H256" s="8">
        <f t="shared" si="8"/>
        <v>3840000</v>
      </c>
      <c r="I256" s="67" t="s">
        <v>1558</v>
      </c>
      <c r="J256" s="109">
        <v>46191</v>
      </c>
      <c r="K256" s="67"/>
      <c r="L256" s="409">
        <v>0</v>
      </c>
    </row>
    <row r="257" spans="1:12" x14ac:dyDescent="0.4">
      <c r="A257" s="484">
        <v>46231</v>
      </c>
      <c r="B257" s="59" t="s">
        <v>1670</v>
      </c>
      <c r="C257" s="67" t="s">
        <v>63</v>
      </c>
      <c r="D257" s="59" t="s">
        <v>97</v>
      </c>
      <c r="E257" s="67"/>
      <c r="F257" s="49">
        <v>3</v>
      </c>
      <c r="G257" s="49">
        <v>137000</v>
      </c>
      <c r="H257" s="8">
        <f t="shared" si="8"/>
        <v>411000</v>
      </c>
      <c r="I257" s="67" t="s">
        <v>1560</v>
      </c>
      <c r="J257" s="109">
        <v>46196</v>
      </c>
      <c r="K257" s="67"/>
      <c r="L257" s="409">
        <v>0</v>
      </c>
    </row>
    <row r="258" spans="1:12" x14ac:dyDescent="0.4">
      <c r="A258" s="484">
        <v>46231</v>
      </c>
      <c r="B258" s="59" t="s">
        <v>1670</v>
      </c>
      <c r="C258" s="67" t="s">
        <v>63</v>
      </c>
      <c r="D258" s="59" t="s">
        <v>97</v>
      </c>
      <c r="E258" s="67"/>
      <c r="F258" s="49">
        <v>3</v>
      </c>
      <c r="G258" s="49">
        <v>137000</v>
      </c>
      <c r="H258" s="8">
        <f t="shared" si="8"/>
        <v>411000</v>
      </c>
      <c r="I258" s="67" t="s">
        <v>1561</v>
      </c>
      <c r="J258" s="109">
        <v>46198</v>
      </c>
      <c r="K258" s="67"/>
      <c r="L258" s="409">
        <v>0</v>
      </c>
    </row>
    <row r="259" spans="1:12" x14ac:dyDescent="0.4">
      <c r="A259" s="484">
        <v>46231</v>
      </c>
      <c r="B259" s="59" t="s">
        <v>1670</v>
      </c>
      <c r="C259" s="67" t="s">
        <v>73</v>
      </c>
      <c r="D259" s="59" t="s">
        <v>74</v>
      </c>
      <c r="E259" s="67"/>
      <c r="F259" s="49">
        <v>1</v>
      </c>
      <c r="G259" s="49">
        <v>442000</v>
      </c>
      <c r="H259" s="8">
        <f t="shared" si="8"/>
        <v>442000</v>
      </c>
      <c r="I259" s="67" t="s">
        <v>1561</v>
      </c>
      <c r="J259" s="109">
        <v>46198</v>
      </c>
      <c r="K259" s="67"/>
      <c r="L259" s="409">
        <v>0</v>
      </c>
    </row>
    <row r="260" spans="1:12" x14ac:dyDescent="0.4">
      <c r="A260" s="484">
        <v>46231</v>
      </c>
      <c r="B260" s="59" t="s">
        <v>1670</v>
      </c>
      <c r="C260" s="67" t="s">
        <v>62</v>
      </c>
      <c r="D260" s="59" t="s">
        <v>75</v>
      </c>
      <c r="E260" s="67"/>
      <c r="F260" s="49">
        <v>6</v>
      </c>
      <c r="G260" s="49">
        <v>442000</v>
      </c>
      <c r="H260" s="8">
        <f t="shared" si="8"/>
        <v>2652000</v>
      </c>
      <c r="I260" s="67" t="s">
        <v>1561</v>
      </c>
      <c r="J260" s="109">
        <v>46198</v>
      </c>
      <c r="K260" s="67"/>
      <c r="L260" s="409">
        <v>0</v>
      </c>
    </row>
    <row r="261" spans="1:12" x14ac:dyDescent="0.4">
      <c r="A261" s="484">
        <v>46231</v>
      </c>
      <c r="B261" s="59" t="s">
        <v>1670</v>
      </c>
      <c r="C261" s="67" t="s">
        <v>105</v>
      </c>
      <c r="D261" s="59" t="s">
        <v>117</v>
      </c>
      <c r="E261" s="67"/>
      <c r="F261" s="49">
        <v>4</v>
      </c>
      <c r="G261" s="49">
        <v>248000</v>
      </c>
      <c r="H261" s="8">
        <f t="shared" si="8"/>
        <v>992000</v>
      </c>
      <c r="I261" s="67" t="s">
        <v>1684</v>
      </c>
      <c r="J261" s="109">
        <v>46233</v>
      </c>
      <c r="K261" s="67"/>
      <c r="L261" s="409">
        <v>0</v>
      </c>
    </row>
    <row r="262" spans="1:12" x14ac:dyDescent="0.4">
      <c r="A262" s="484">
        <v>46231</v>
      </c>
      <c r="B262" s="59" t="s">
        <v>1670</v>
      </c>
      <c r="C262" s="67" t="s">
        <v>66</v>
      </c>
      <c r="D262" s="59" t="s">
        <v>195</v>
      </c>
      <c r="E262" s="67"/>
      <c r="F262" s="49">
        <v>2</v>
      </c>
      <c r="G262" s="49">
        <v>1917500</v>
      </c>
      <c r="H262" s="8">
        <f t="shared" si="8"/>
        <v>3835000</v>
      </c>
      <c r="I262" s="67" t="s">
        <v>1561</v>
      </c>
      <c r="J262" s="109">
        <v>46198</v>
      </c>
      <c r="K262" s="67"/>
      <c r="L262" s="409">
        <v>0</v>
      </c>
    </row>
    <row r="263" spans="1:12" x14ac:dyDescent="0.4">
      <c r="A263" s="484">
        <v>46231</v>
      </c>
      <c r="B263" s="59" t="s">
        <v>1670</v>
      </c>
      <c r="C263" s="67" t="s">
        <v>64</v>
      </c>
      <c r="D263" s="59" t="s">
        <v>65</v>
      </c>
      <c r="E263" s="67"/>
      <c r="F263" s="49">
        <v>11</v>
      </c>
      <c r="G263" s="49">
        <v>1568700</v>
      </c>
      <c r="H263" s="8">
        <f t="shared" si="8"/>
        <v>17255700</v>
      </c>
      <c r="I263" s="67" t="s">
        <v>1558</v>
      </c>
      <c r="J263" s="109">
        <v>46191</v>
      </c>
      <c r="K263" s="67"/>
      <c r="L263" s="409">
        <v>0</v>
      </c>
    </row>
    <row r="264" spans="1:12" x14ac:dyDescent="0.4">
      <c r="A264" s="484">
        <v>46231</v>
      </c>
      <c r="B264" s="59" t="s">
        <v>1670</v>
      </c>
      <c r="C264" s="67" t="s">
        <v>202</v>
      </c>
      <c r="D264" s="59" t="s">
        <v>921</v>
      </c>
      <c r="E264" s="67"/>
      <c r="F264" s="49">
        <v>2</v>
      </c>
      <c r="G264" s="49">
        <v>351500</v>
      </c>
      <c r="H264" s="8">
        <f t="shared" si="8"/>
        <v>703000</v>
      </c>
      <c r="I264" s="67" t="s">
        <v>1551</v>
      </c>
      <c r="J264" s="109">
        <v>46184</v>
      </c>
      <c r="K264" s="67"/>
      <c r="L264" s="409">
        <v>0</v>
      </c>
    </row>
    <row r="265" spans="1:12" x14ac:dyDescent="0.4">
      <c r="A265" s="484">
        <v>46225</v>
      </c>
      <c r="B265" s="59" t="s">
        <v>1670</v>
      </c>
      <c r="C265" s="67" t="s">
        <v>103</v>
      </c>
      <c r="D265" s="59" t="s">
        <v>104</v>
      </c>
      <c r="E265" s="67"/>
      <c r="F265" s="49">
        <v>2</v>
      </c>
      <c r="G265" s="49">
        <v>220000</v>
      </c>
      <c r="H265" s="8">
        <f t="shared" ref="H265:H270" si="9">F265*G265</f>
        <v>440000</v>
      </c>
      <c r="I265" s="67" t="s">
        <v>213</v>
      </c>
      <c r="J265" s="109">
        <v>46245</v>
      </c>
      <c r="K265" s="409" t="s">
        <v>1726</v>
      </c>
      <c r="L265" s="409"/>
    </row>
    <row r="266" spans="1:12" x14ac:dyDescent="0.4">
      <c r="A266" s="484">
        <v>46225</v>
      </c>
      <c r="B266" s="59" t="s">
        <v>1670</v>
      </c>
      <c r="C266" s="67" t="s">
        <v>190</v>
      </c>
      <c r="D266" s="59" t="s">
        <v>214</v>
      </c>
      <c r="E266" s="67"/>
      <c r="F266" s="49">
        <v>2</v>
      </c>
      <c r="G266" s="49">
        <v>181000</v>
      </c>
      <c r="H266" s="8">
        <f t="shared" si="9"/>
        <v>362000</v>
      </c>
      <c r="I266" s="67" t="s">
        <v>213</v>
      </c>
      <c r="J266" s="109">
        <v>46245</v>
      </c>
      <c r="K266" s="409" t="s">
        <v>1726</v>
      </c>
      <c r="L266" s="409"/>
    </row>
    <row r="267" spans="1:12" x14ac:dyDescent="0.4">
      <c r="A267" s="484">
        <v>46225</v>
      </c>
      <c r="B267" s="59" t="s">
        <v>1670</v>
      </c>
      <c r="C267" s="67" t="s">
        <v>103</v>
      </c>
      <c r="D267" s="59" t="s">
        <v>414</v>
      </c>
      <c r="E267" s="67"/>
      <c r="F267" s="49">
        <v>1</v>
      </c>
      <c r="G267" s="49">
        <v>235000</v>
      </c>
      <c r="H267" s="8">
        <f t="shared" si="9"/>
        <v>235000</v>
      </c>
      <c r="I267" s="67" t="s">
        <v>213</v>
      </c>
      <c r="J267" s="109">
        <v>46245</v>
      </c>
      <c r="K267" s="409" t="s">
        <v>1726</v>
      </c>
      <c r="L267" s="409"/>
    </row>
    <row r="268" spans="1:12" x14ac:dyDescent="0.4">
      <c r="A268" s="484">
        <v>46225</v>
      </c>
      <c r="B268" s="59" t="s">
        <v>1670</v>
      </c>
      <c r="C268" s="67" t="s">
        <v>103</v>
      </c>
      <c r="D268" s="59" t="s">
        <v>415</v>
      </c>
      <c r="E268" s="67"/>
      <c r="F268" s="49">
        <v>1</v>
      </c>
      <c r="G268" s="49">
        <v>225000</v>
      </c>
      <c r="H268" s="8">
        <f t="shared" si="9"/>
        <v>225000</v>
      </c>
      <c r="I268" s="67" t="s">
        <v>213</v>
      </c>
      <c r="J268" s="109">
        <v>46245</v>
      </c>
      <c r="K268" s="409" t="s">
        <v>1726</v>
      </c>
      <c r="L268" s="409"/>
    </row>
    <row r="269" spans="1:12" x14ac:dyDescent="0.4">
      <c r="A269" s="484">
        <v>46225</v>
      </c>
      <c r="B269" s="59" t="s">
        <v>1670</v>
      </c>
      <c r="C269" s="67" t="s">
        <v>106</v>
      </c>
      <c r="D269" s="59" t="s">
        <v>107</v>
      </c>
      <c r="E269" s="67"/>
      <c r="F269" s="49">
        <v>2</v>
      </c>
      <c r="G269" s="49">
        <v>333000</v>
      </c>
      <c r="H269" s="8">
        <f t="shared" si="9"/>
        <v>666000</v>
      </c>
      <c r="I269" s="67" t="s">
        <v>213</v>
      </c>
      <c r="J269" s="109">
        <v>46245</v>
      </c>
      <c r="K269" s="409" t="s">
        <v>1726</v>
      </c>
      <c r="L269" s="409"/>
    </row>
    <row r="270" spans="1:12" x14ac:dyDescent="0.4">
      <c r="A270" s="484">
        <v>46225</v>
      </c>
      <c r="B270" s="59" t="s">
        <v>1670</v>
      </c>
      <c r="C270" s="67" t="s">
        <v>103</v>
      </c>
      <c r="D270" s="59" t="s">
        <v>915</v>
      </c>
      <c r="E270" s="67"/>
      <c r="F270" s="49">
        <v>1</v>
      </c>
      <c r="G270" s="49">
        <v>170000</v>
      </c>
      <c r="H270" s="8">
        <f t="shared" si="9"/>
        <v>170000</v>
      </c>
      <c r="I270" s="67" t="s">
        <v>213</v>
      </c>
      <c r="J270" s="109">
        <v>46245</v>
      </c>
      <c r="K270" s="409" t="s">
        <v>1726</v>
      </c>
      <c r="L270" s="409"/>
    </row>
    <row r="271" spans="1:12" x14ac:dyDescent="0.4">
      <c r="A271" s="484">
        <v>46233</v>
      </c>
      <c r="B271" s="59" t="s">
        <v>1670</v>
      </c>
      <c r="C271" s="67" t="s">
        <v>562</v>
      </c>
      <c r="D271" s="59" t="s">
        <v>1729</v>
      </c>
      <c r="E271" s="67"/>
      <c r="F271" s="49">
        <v>1</v>
      </c>
      <c r="G271" s="49">
        <v>1000000</v>
      </c>
      <c r="H271" s="8">
        <f t="shared" si="8"/>
        <v>1000000</v>
      </c>
      <c r="I271" s="67" t="s">
        <v>70</v>
      </c>
      <c r="J271" s="109">
        <v>46136</v>
      </c>
      <c r="K271" s="409" t="s">
        <v>1726</v>
      </c>
      <c r="L271" s="409"/>
    </row>
    <row r="272" spans="1:12" x14ac:dyDescent="0.4">
      <c r="A272" s="484">
        <v>46233</v>
      </c>
      <c r="B272" s="59" t="s">
        <v>1670</v>
      </c>
      <c r="C272" s="67" t="s">
        <v>562</v>
      </c>
      <c r="D272" s="59" t="s">
        <v>1729</v>
      </c>
      <c r="E272" s="67"/>
      <c r="F272" s="49">
        <v>1</v>
      </c>
      <c r="G272" s="49">
        <v>1000000</v>
      </c>
      <c r="H272" s="8">
        <f t="shared" si="8"/>
        <v>1000000</v>
      </c>
      <c r="I272" s="67" t="s">
        <v>70</v>
      </c>
      <c r="J272" s="109">
        <v>46212</v>
      </c>
      <c r="K272" s="409" t="s">
        <v>1726</v>
      </c>
      <c r="L272" s="409"/>
    </row>
    <row r="273" spans="1:13" x14ac:dyDescent="0.4">
      <c r="A273" s="484">
        <v>46233</v>
      </c>
      <c r="B273" s="59" t="s">
        <v>1670</v>
      </c>
      <c r="C273" s="67" t="s">
        <v>358</v>
      </c>
      <c r="D273" s="59" t="s">
        <v>359</v>
      </c>
      <c r="E273" s="67"/>
      <c r="F273" s="49">
        <v>3</v>
      </c>
      <c r="G273" s="49">
        <v>318000</v>
      </c>
      <c r="H273" s="8">
        <f t="shared" si="8"/>
        <v>954000</v>
      </c>
      <c r="I273" s="67" t="s">
        <v>70</v>
      </c>
      <c r="J273" s="109">
        <v>46127</v>
      </c>
      <c r="K273" s="409" t="s">
        <v>1726</v>
      </c>
      <c r="L273" s="409"/>
    </row>
    <row r="274" spans="1:13" x14ac:dyDescent="0.4">
      <c r="A274" s="484">
        <v>46233</v>
      </c>
      <c r="B274" s="59" t="s">
        <v>1670</v>
      </c>
      <c r="C274" s="67" t="s">
        <v>358</v>
      </c>
      <c r="D274" s="59" t="s">
        <v>359</v>
      </c>
      <c r="E274" s="67"/>
      <c r="F274" s="49">
        <v>2</v>
      </c>
      <c r="G274" s="49">
        <v>318000</v>
      </c>
      <c r="H274" s="8">
        <f t="shared" si="8"/>
        <v>636000</v>
      </c>
      <c r="I274" s="67" t="s">
        <v>70</v>
      </c>
      <c r="J274" s="109">
        <v>46136</v>
      </c>
      <c r="K274" s="409" t="s">
        <v>1726</v>
      </c>
      <c r="L274" s="409"/>
    </row>
    <row r="275" spans="1:13" x14ac:dyDescent="0.4">
      <c r="A275" s="484">
        <v>46233</v>
      </c>
      <c r="B275" s="59" t="s">
        <v>1670</v>
      </c>
      <c r="C275" s="67" t="s">
        <v>358</v>
      </c>
      <c r="D275" s="59" t="s">
        <v>359</v>
      </c>
      <c r="E275" s="67"/>
      <c r="F275" s="49">
        <v>4</v>
      </c>
      <c r="G275" s="49">
        <v>318000</v>
      </c>
      <c r="H275" s="8">
        <f t="shared" si="8"/>
        <v>1272000</v>
      </c>
      <c r="I275" s="67" t="s">
        <v>70</v>
      </c>
      <c r="J275" s="109">
        <v>46148</v>
      </c>
      <c r="K275" s="409" t="s">
        <v>1726</v>
      </c>
      <c r="L275" s="409"/>
    </row>
    <row r="276" spans="1:13" x14ac:dyDescent="0.4">
      <c r="A276" s="484">
        <v>46233</v>
      </c>
      <c r="B276" s="59" t="s">
        <v>1670</v>
      </c>
      <c r="C276" s="67" t="s">
        <v>358</v>
      </c>
      <c r="D276" s="59" t="s">
        <v>359</v>
      </c>
      <c r="E276" s="67"/>
      <c r="F276" s="49">
        <v>4</v>
      </c>
      <c r="G276" s="49">
        <v>318000</v>
      </c>
      <c r="H276" s="8">
        <f t="shared" si="8"/>
        <v>1272000</v>
      </c>
      <c r="I276" s="67" t="s">
        <v>70</v>
      </c>
      <c r="J276" s="109">
        <v>46162</v>
      </c>
      <c r="K276" s="409" t="s">
        <v>1726</v>
      </c>
      <c r="L276" s="409"/>
    </row>
    <row r="277" spans="1:13" x14ac:dyDescent="0.4">
      <c r="A277" s="484">
        <v>46233</v>
      </c>
      <c r="B277" s="59" t="s">
        <v>1670</v>
      </c>
      <c r="C277" s="67" t="s">
        <v>71</v>
      </c>
      <c r="D277" s="59" t="s">
        <v>72</v>
      </c>
      <c r="E277" s="67"/>
      <c r="F277" s="49">
        <v>10</v>
      </c>
      <c r="G277" s="49">
        <v>548000</v>
      </c>
      <c r="H277" s="8">
        <f t="shared" si="8"/>
        <v>5480000</v>
      </c>
      <c r="I277" s="67" t="s">
        <v>1561</v>
      </c>
      <c r="J277" s="109">
        <v>46198</v>
      </c>
      <c r="K277" s="409" t="s">
        <v>1726</v>
      </c>
      <c r="L277" s="409"/>
    </row>
    <row r="278" spans="1:13" x14ac:dyDescent="0.4">
      <c r="A278" s="484">
        <v>46233</v>
      </c>
      <c r="B278" s="59" t="s">
        <v>1670</v>
      </c>
      <c r="C278" s="67" t="s">
        <v>71</v>
      </c>
      <c r="D278" s="59" t="s">
        <v>72</v>
      </c>
      <c r="E278" s="67"/>
      <c r="F278" s="49">
        <v>3</v>
      </c>
      <c r="G278" s="49">
        <v>548000</v>
      </c>
      <c r="H278" s="8">
        <f t="shared" si="8"/>
        <v>1644000</v>
      </c>
      <c r="I278" s="67" t="s">
        <v>1681</v>
      </c>
      <c r="J278" s="109">
        <v>46213</v>
      </c>
      <c r="K278" s="409" t="s">
        <v>1726</v>
      </c>
      <c r="L278" s="409"/>
    </row>
    <row r="279" spans="1:13" x14ac:dyDescent="0.4">
      <c r="A279" s="484">
        <v>46233</v>
      </c>
      <c r="B279" s="59" t="s">
        <v>1670</v>
      </c>
      <c r="C279" s="67" t="s">
        <v>71</v>
      </c>
      <c r="D279" s="59" t="s">
        <v>72</v>
      </c>
      <c r="E279" s="67"/>
      <c r="F279" s="49">
        <v>12</v>
      </c>
      <c r="G279" s="49">
        <v>548000</v>
      </c>
      <c r="H279" s="8">
        <f t="shared" si="8"/>
        <v>6576000</v>
      </c>
      <c r="I279" s="67" t="s">
        <v>1680</v>
      </c>
      <c r="J279" s="109">
        <v>46227</v>
      </c>
      <c r="K279" s="409" t="s">
        <v>1726</v>
      </c>
      <c r="L279" s="409"/>
    </row>
    <row r="280" spans="1:13" x14ac:dyDescent="0.4">
      <c r="A280" s="484">
        <v>46233</v>
      </c>
      <c r="B280" s="59" t="s">
        <v>1670</v>
      </c>
      <c r="C280" s="67" t="s">
        <v>71</v>
      </c>
      <c r="D280" s="59" t="s">
        <v>72</v>
      </c>
      <c r="E280" s="67"/>
      <c r="F280" s="49">
        <v>4</v>
      </c>
      <c r="G280" s="49">
        <v>548000</v>
      </c>
      <c r="H280" s="8">
        <f t="shared" si="8"/>
        <v>2192000</v>
      </c>
      <c r="I280" s="67" t="s">
        <v>1682</v>
      </c>
      <c r="J280" s="109">
        <v>46227</v>
      </c>
      <c r="K280" s="409" t="s">
        <v>1726</v>
      </c>
      <c r="L280" s="409"/>
    </row>
    <row r="281" spans="1:13" x14ac:dyDescent="0.4">
      <c r="A281" s="484">
        <v>46233</v>
      </c>
      <c r="B281" s="59" t="s">
        <v>1670</v>
      </c>
      <c r="C281" s="67" t="s">
        <v>67</v>
      </c>
      <c r="D281" s="59" t="s">
        <v>80</v>
      </c>
      <c r="E281" s="67"/>
      <c r="F281" s="49">
        <v>3</v>
      </c>
      <c r="G281" s="49">
        <v>384000</v>
      </c>
      <c r="H281" s="8">
        <f t="shared" si="8"/>
        <v>1152000</v>
      </c>
      <c r="I281" s="67" t="s">
        <v>1559</v>
      </c>
      <c r="J281" s="109">
        <v>46182</v>
      </c>
      <c r="K281" s="409" t="s">
        <v>1726</v>
      </c>
      <c r="L281" s="409"/>
    </row>
    <row r="282" spans="1:13" x14ac:dyDescent="0.4">
      <c r="A282" s="484">
        <v>46233</v>
      </c>
      <c r="B282" s="59" t="s">
        <v>1670</v>
      </c>
      <c r="C282" s="67" t="s">
        <v>67</v>
      </c>
      <c r="D282" s="59" t="s">
        <v>80</v>
      </c>
      <c r="E282" s="67"/>
      <c r="F282" s="49">
        <v>3</v>
      </c>
      <c r="G282" s="49">
        <v>384000</v>
      </c>
      <c r="H282" s="8">
        <f t="shared" si="8"/>
        <v>1152000</v>
      </c>
      <c r="I282" s="67" t="s">
        <v>1560</v>
      </c>
      <c r="J282" s="109">
        <v>46196</v>
      </c>
      <c r="K282" s="409" t="s">
        <v>1726</v>
      </c>
      <c r="L282" s="409"/>
    </row>
    <row r="283" spans="1:13" x14ac:dyDescent="0.4">
      <c r="A283" s="484">
        <v>46233</v>
      </c>
      <c r="B283" s="59" t="s">
        <v>1670</v>
      </c>
      <c r="C283" s="67" t="s">
        <v>67</v>
      </c>
      <c r="D283" s="59" t="s">
        <v>80</v>
      </c>
      <c r="E283" s="67"/>
      <c r="F283" s="49">
        <v>10</v>
      </c>
      <c r="G283" s="49">
        <v>384000</v>
      </c>
      <c r="H283" s="8">
        <f t="shared" si="8"/>
        <v>3840000</v>
      </c>
      <c r="I283" s="67" t="s">
        <v>1561</v>
      </c>
      <c r="J283" s="109">
        <v>46198</v>
      </c>
      <c r="K283" s="409" t="s">
        <v>1726</v>
      </c>
      <c r="L283" s="409"/>
    </row>
    <row r="284" spans="1:13" x14ac:dyDescent="0.4">
      <c r="A284" s="484">
        <v>46233</v>
      </c>
      <c r="B284" s="59" t="s">
        <v>1670</v>
      </c>
      <c r="C284" s="67" t="s">
        <v>67</v>
      </c>
      <c r="D284" s="59" t="s">
        <v>80</v>
      </c>
      <c r="E284" s="67"/>
      <c r="F284" s="49">
        <v>3</v>
      </c>
      <c r="G284" s="49">
        <v>384000</v>
      </c>
      <c r="H284" s="8">
        <f t="shared" si="8"/>
        <v>1152000</v>
      </c>
      <c r="I284" s="67" t="s">
        <v>1681</v>
      </c>
      <c r="J284" s="109">
        <v>46213</v>
      </c>
      <c r="K284" s="409" t="s">
        <v>1726</v>
      </c>
      <c r="L284" s="409"/>
    </row>
    <row r="285" spans="1:13" s="3" customFormat="1" ht="18.75" customHeight="1" x14ac:dyDescent="0.4">
      <c r="A285" s="484">
        <v>46233</v>
      </c>
      <c r="B285" s="59" t="s">
        <v>1670</v>
      </c>
      <c r="C285" s="67" t="s">
        <v>67</v>
      </c>
      <c r="D285" s="59" t="s">
        <v>80</v>
      </c>
      <c r="E285" s="67"/>
      <c r="F285" s="49">
        <v>4</v>
      </c>
      <c r="G285" s="49">
        <v>384000</v>
      </c>
      <c r="H285" s="8">
        <f t="shared" si="8"/>
        <v>1536000</v>
      </c>
      <c r="I285" s="67" t="s">
        <v>1682</v>
      </c>
      <c r="J285" s="109">
        <v>46227</v>
      </c>
      <c r="K285" s="409" t="s">
        <v>1726</v>
      </c>
      <c r="L285" s="409"/>
      <c r="M285" s="89"/>
    </row>
    <row r="286" spans="1:13" s="3" customFormat="1" ht="18.75" customHeight="1" x14ac:dyDescent="0.4">
      <c r="A286" s="484">
        <v>46233</v>
      </c>
      <c r="B286" s="59" t="s">
        <v>1670</v>
      </c>
      <c r="C286" s="67" t="s">
        <v>67</v>
      </c>
      <c r="D286" s="59" t="s">
        <v>80</v>
      </c>
      <c r="E286" s="67"/>
      <c r="F286" s="49">
        <v>3</v>
      </c>
      <c r="G286" s="49">
        <v>384000</v>
      </c>
      <c r="H286" s="8">
        <f t="shared" si="8"/>
        <v>1152000</v>
      </c>
      <c r="I286" s="67" t="s">
        <v>1683</v>
      </c>
      <c r="J286" s="109">
        <v>46234</v>
      </c>
      <c r="K286" s="409" t="s">
        <v>1726</v>
      </c>
      <c r="L286" s="409"/>
      <c r="M286" s="89"/>
    </row>
    <row r="287" spans="1:13" s="50" customFormat="1" ht="18.75" customHeight="1" x14ac:dyDescent="0.4">
      <c r="A287" s="484">
        <v>46233</v>
      </c>
      <c r="B287" s="59" t="s">
        <v>1670</v>
      </c>
      <c r="C287" s="67" t="s">
        <v>202</v>
      </c>
      <c r="D287" s="59" t="s">
        <v>928</v>
      </c>
      <c r="E287" s="67"/>
      <c r="F287" s="49">
        <v>1</v>
      </c>
      <c r="G287" s="49">
        <v>384000</v>
      </c>
      <c r="H287" s="8">
        <f t="shared" si="8"/>
        <v>384000</v>
      </c>
      <c r="I287" s="67" t="s">
        <v>929</v>
      </c>
      <c r="J287" s="109">
        <v>46231</v>
      </c>
      <c r="K287" s="409" t="s">
        <v>1726</v>
      </c>
      <c r="L287" s="409"/>
    </row>
    <row r="288" spans="1:13" s="50" customFormat="1" ht="18.75" customHeight="1" x14ac:dyDescent="0.4">
      <c r="A288" s="484">
        <v>46233</v>
      </c>
      <c r="B288" s="59" t="s">
        <v>1670</v>
      </c>
      <c r="C288" s="67" t="s">
        <v>202</v>
      </c>
      <c r="D288" s="59" t="s">
        <v>203</v>
      </c>
      <c r="E288" s="67"/>
      <c r="F288" s="49">
        <v>3</v>
      </c>
      <c r="G288" s="49">
        <v>384000</v>
      </c>
      <c r="H288" s="8">
        <f t="shared" si="8"/>
        <v>1152000</v>
      </c>
      <c r="I288" s="67" t="s">
        <v>1681</v>
      </c>
      <c r="J288" s="109">
        <v>46213</v>
      </c>
      <c r="K288" s="409" t="s">
        <v>1726</v>
      </c>
      <c r="L288" s="409"/>
    </row>
    <row r="289" spans="1:13" s="50" customFormat="1" ht="18.75" customHeight="1" x14ac:dyDescent="0.4">
      <c r="A289" s="484">
        <v>46233</v>
      </c>
      <c r="B289" s="59" t="s">
        <v>1670</v>
      </c>
      <c r="C289" s="67" t="s">
        <v>81</v>
      </c>
      <c r="D289" s="59" t="s">
        <v>82</v>
      </c>
      <c r="E289" s="67"/>
      <c r="F289" s="49">
        <v>3</v>
      </c>
      <c r="G289" s="49">
        <v>86300</v>
      </c>
      <c r="H289" s="8">
        <f t="shared" si="8"/>
        <v>258900</v>
      </c>
      <c r="I289" s="67" t="s">
        <v>1681</v>
      </c>
      <c r="J289" s="109">
        <v>46213</v>
      </c>
      <c r="K289" s="409" t="s">
        <v>1726</v>
      </c>
      <c r="L289" s="409"/>
    </row>
    <row r="290" spans="1:13" x14ac:dyDescent="0.4">
      <c r="A290" s="484">
        <v>46233</v>
      </c>
      <c r="B290" s="59" t="s">
        <v>1670</v>
      </c>
      <c r="C290" s="67" t="s">
        <v>81</v>
      </c>
      <c r="D290" s="59" t="s">
        <v>82</v>
      </c>
      <c r="E290" s="67"/>
      <c r="F290" s="49">
        <v>4</v>
      </c>
      <c r="G290" s="49">
        <v>86300</v>
      </c>
      <c r="H290" s="8">
        <f t="shared" si="8"/>
        <v>345200</v>
      </c>
      <c r="I290" s="67" t="s">
        <v>1682</v>
      </c>
      <c r="J290" s="109">
        <v>46227</v>
      </c>
      <c r="K290" s="409" t="s">
        <v>1726</v>
      </c>
      <c r="L290" s="409"/>
      <c r="M290"/>
    </row>
    <row r="291" spans="1:13" x14ac:dyDescent="0.4">
      <c r="A291" s="484">
        <v>46233</v>
      </c>
      <c r="B291" s="59" t="s">
        <v>1670</v>
      </c>
      <c r="C291" s="67" t="s">
        <v>81</v>
      </c>
      <c r="D291" s="59" t="s">
        <v>82</v>
      </c>
      <c r="E291" s="67"/>
      <c r="F291" s="49">
        <v>14</v>
      </c>
      <c r="G291" s="49">
        <v>86300</v>
      </c>
      <c r="H291" s="8">
        <f t="shared" si="8"/>
        <v>1208200</v>
      </c>
      <c r="I291" s="67" t="s">
        <v>1680</v>
      </c>
      <c r="J291" s="109">
        <v>46227</v>
      </c>
      <c r="K291" s="409" t="s">
        <v>1726</v>
      </c>
      <c r="L291" s="409"/>
      <c r="M291"/>
    </row>
    <row r="292" spans="1:13" s="19" customFormat="1" ht="19.2" customHeight="1" x14ac:dyDescent="0.4">
      <c r="A292" s="484">
        <v>46233</v>
      </c>
      <c r="B292" s="59" t="s">
        <v>1670</v>
      </c>
      <c r="C292" s="67" t="s">
        <v>81</v>
      </c>
      <c r="D292" s="59" t="s">
        <v>82</v>
      </c>
      <c r="E292" s="67"/>
      <c r="F292" s="49">
        <v>11</v>
      </c>
      <c r="G292" s="49">
        <v>86300</v>
      </c>
      <c r="H292" s="8">
        <f t="shared" si="8"/>
        <v>949300</v>
      </c>
      <c r="I292" s="67" t="s">
        <v>1684</v>
      </c>
      <c r="J292" s="109">
        <v>46233</v>
      </c>
      <c r="K292" s="409" t="s">
        <v>1726</v>
      </c>
      <c r="L292" s="409"/>
      <c r="M292" s="200"/>
    </row>
    <row r="293" spans="1:13" s="50" customFormat="1" ht="18.75" customHeight="1" x14ac:dyDescent="0.4">
      <c r="A293" s="484">
        <v>46233</v>
      </c>
      <c r="B293" s="59" t="s">
        <v>1670</v>
      </c>
      <c r="C293" s="67" t="s">
        <v>81</v>
      </c>
      <c r="D293" s="59" t="s">
        <v>82</v>
      </c>
      <c r="E293" s="67"/>
      <c r="F293" s="49">
        <v>3</v>
      </c>
      <c r="G293" s="49">
        <v>86300</v>
      </c>
      <c r="H293" s="8">
        <f t="shared" si="8"/>
        <v>258900</v>
      </c>
      <c r="I293" s="67" t="s">
        <v>1683</v>
      </c>
      <c r="J293" s="109">
        <v>46234</v>
      </c>
      <c r="K293" s="409" t="s">
        <v>1726</v>
      </c>
      <c r="L293" s="409"/>
    </row>
    <row r="294" spans="1:13" s="50" customFormat="1" ht="18.75" customHeight="1" x14ac:dyDescent="0.4">
      <c r="A294" s="484">
        <v>46233</v>
      </c>
      <c r="B294" s="59" t="s">
        <v>1670</v>
      </c>
      <c r="C294" s="67" t="s">
        <v>66</v>
      </c>
      <c r="D294" s="59" t="s">
        <v>195</v>
      </c>
      <c r="E294" s="67"/>
      <c r="F294" s="49">
        <v>3</v>
      </c>
      <c r="G294" s="49">
        <v>1917500</v>
      </c>
      <c r="H294" s="8">
        <f t="shared" si="8"/>
        <v>5752500</v>
      </c>
      <c r="I294" s="67" t="s">
        <v>1560</v>
      </c>
      <c r="J294" s="109">
        <v>46196</v>
      </c>
      <c r="K294" s="409" t="s">
        <v>1726</v>
      </c>
      <c r="L294" s="409"/>
    </row>
    <row r="295" spans="1:13" s="50" customFormat="1" ht="18.75" customHeight="1" x14ac:dyDescent="0.4">
      <c r="A295" s="484">
        <v>46233</v>
      </c>
      <c r="B295" s="59" t="s">
        <v>1670</v>
      </c>
      <c r="C295" s="67" t="s">
        <v>66</v>
      </c>
      <c r="D295" s="59" t="s">
        <v>195</v>
      </c>
      <c r="E295" s="67"/>
      <c r="F295" s="49">
        <v>6</v>
      </c>
      <c r="G295" s="49">
        <v>1917500</v>
      </c>
      <c r="H295" s="8">
        <f t="shared" si="8"/>
        <v>11505000</v>
      </c>
      <c r="I295" s="67" t="s">
        <v>1561</v>
      </c>
      <c r="J295" s="109">
        <v>46198</v>
      </c>
      <c r="K295" s="409" t="s">
        <v>1726</v>
      </c>
      <c r="L295" s="409"/>
    </row>
    <row r="296" spans="1:13" s="50" customFormat="1" ht="18.75" customHeight="1" x14ac:dyDescent="0.4">
      <c r="A296" s="484">
        <v>46233</v>
      </c>
      <c r="B296" s="59" t="s">
        <v>1670</v>
      </c>
      <c r="C296" s="67" t="s">
        <v>66</v>
      </c>
      <c r="D296" s="59" t="s">
        <v>195</v>
      </c>
      <c r="E296" s="67"/>
      <c r="F296" s="49">
        <v>3</v>
      </c>
      <c r="G296" s="49">
        <v>1917500</v>
      </c>
      <c r="H296" s="8">
        <f t="shared" si="8"/>
        <v>5752500</v>
      </c>
      <c r="I296" s="67" t="s">
        <v>1681</v>
      </c>
      <c r="J296" s="109">
        <v>46213</v>
      </c>
      <c r="K296" s="409" t="s">
        <v>1726</v>
      </c>
      <c r="L296" s="409"/>
    </row>
    <row r="297" spans="1:13" s="50" customFormat="1" ht="18.75" customHeight="1" x14ac:dyDescent="0.4">
      <c r="A297" s="484">
        <v>46233</v>
      </c>
      <c r="B297" s="59" t="s">
        <v>1670</v>
      </c>
      <c r="C297" s="67" t="s">
        <v>64</v>
      </c>
      <c r="D297" s="59" t="s">
        <v>65</v>
      </c>
      <c r="E297" s="67"/>
      <c r="F297" s="49">
        <v>10</v>
      </c>
      <c r="G297" s="49">
        <v>1568700</v>
      </c>
      <c r="H297" s="8">
        <f t="shared" si="8"/>
        <v>15687000</v>
      </c>
      <c r="I297" s="67" t="s">
        <v>1561</v>
      </c>
      <c r="J297" s="109">
        <v>46198</v>
      </c>
      <c r="K297" s="409" t="s">
        <v>1726</v>
      </c>
      <c r="L297" s="409"/>
    </row>
    <row r="298" spans="1:13" s="50" customFormat="1" ht="18.75" customHeight="1" x14ac:dyDescent="0.4">
      <c r="A298" s="484">
        <v>46233</v>
      </c>
      <c r="B298" s="59" t="s">
        <v>1670</v>
      </c>
      <c r="C298" s="67" t="s">
        <v>81</v>
      </c>
      <c r="D298" s="59" t="s">
        <v>196</v>
      </c>
      <c r="E298" s="67"/>
      <c r="F298" s="49">
        <v>12</v>
      </c>
      <c r="G298" s="49">
        <v>78850</v>
      </c>
      <c r="H298" s="8">
        <f t="shared" si="8"/>
        <v>946200</v>
      </c>
      <c r="I298" s="67" t="s">
        <v>1562</v>
      </c>
      <c r="J298" s="109">
        <v>46205</v>
      </c>
      <c r="K298" s="409" t="s">
        <v>1726</v>
      </c>
      <c r="L298" s="409"/>
    </row>
    <row r="299" spans="1:13" s="50" customFormat="1" ht="18.75" customHeight="1" x14ac:dyDescent="0.4">
      <c r="A299" s="484">
        <v>46233</v>
      </c>
      <c r="B299" s="59" t="s">
        <v>1670</v>
      </c>
      <c r="C299" s="67" t="s">
        <v>67</v>
      </c>
      <c r="D299" s="59" t="s">
        <v>197</v>
      </c>
      <c r="E299" s="67"/>
      <c r="F299" s="49">
        <v>5</v>
      </c>
      <c r="G299" s="49">
        <v>364800</v>
      </c>
      <c r="H299" s="8">
        <f t="shared" si="8"/>
        <v>1824000</v>
      </c>
      <c r="I299" s="67" t="s">
        <v>1551</v>
      </c>
      <c r="J299" s="109">
        <v>46184</v>
      </c>
      <c r="K299" s="409" t="s">
        <v>1726</v>
      </c>
      <c r="L299" s="409"/>
    </row>
    <row r="300" spans="1:13" s="50" customFormat="1" ht="18.75" customHeight="1" x14ac:dyDescent="0.4">
      <c r="A300" s="484">
        <v>46233</v>
      </c>
      <c r="B300" s="59" t="s">
        <v>1670</v>
      </c>
      <c r="C300" s="67" t="s">
        <v>67</v>
      </c>
      <c r="D300" s="59" t="s">
        <v>197</v>
      </c>
      <c r="E300" s="67"/>
      <c r="F300" s="49">
        <v>8</v>
      </c>
      <c r="G300" s="49">
        <v>364800</v>
      </c>
      <c r="H300" s="8">
        <f t="shared" si="8"/>
        <v>2918400</v>
      </c>
      <c r="I300" s="67" t="s">
        <v>1562</v>
      </c>
      <c r="J300" s="109">
        <v>46205</v>
      </c>
      <c r="K300" s="409" t="s">
        <v>1726</v>
      </c>
      <c r="L300" s="409"/>
    </row>
    <row r="301" spans="1:13" s="50" customFormat="1" ht="18.75" customHeight="1" x14ac:dyDescent="0.4">
      <c r="A301" s="484">
        <v>46233</v>
      </c>
      <c r="B301" s="59" t="s">
        <v>1670</v>
      </c>
      <c r="C301" s="67" t="s">
        <v>73</v>
      </c>
      <c r="D301" s="59" t="s">
        <v>288</v>
      </c>
      <c r="E301" s="67"/>
      <c r="F301" s="49">
        <v>5</v>
      </c>
      <c r="G301" s="49">
        <v>390000</v>
      </c>
      <c r="H301" s="8">
        <f t="shared" si="8"/>
        <v>1950000</v>
      </c>
      <c r="I301" s="67" t="s">
        <v>1562</v>
      </c>
      <c r="J301" s="109">
        <v>46205</v>
      </c>
      <c r="K301" s="409" t="s">
        <v>1726</v>
      </c>
      <c r="L301" s="409"/>
    </row>
    <row r="302" spans="1:13" s="50" customFormat="1" ht="18.75" customHeight="1" x14ac:dyDescent="0.4">
      <c r="A302" s="482">
        <v>46234</v>
      </c>
      <c r="B302" s="110" t="s">
        <v>1670</v>
      </c>
      <c r="C302" s="111" t="s">
        <v>118</v>
      </c>
      <c r="D302" s="110" t="s">
        <v>119</v>
      </c>
      <c r="E302" s="111"/>
      <c r="F302" s="81">
        <v>10</v>
      </c>
      <c r="G302" s="81">
        <v>7790000</v>
      </c>
      <c r="H302" s="8">
        <f t="shared" si="8"/>
        <v>77900000</v>
      </c>
      <c r="I302" s="111" t="s">
        <v>120</v>
      </c>
      <c r="J302" s="112"/>
      <c r="K302" s="409" t="s">
        <v>1726</v>
      </c>
      <c r="L302" s="627"/>
    </row>
    <row r="303" spans="1:13" s="50" customFormat="1" ht="18.75" customHeight="1" x14ac:dyDescent="0.4">
      <c r="A303" s="482">
        <v>46234</v>
      </c>
      <c r="B303" s="110" t="s">
        <v>1670</v>
      </c>
      <c r="C303" s="111" t="s">
        <v>118</v>
      </c>
      <c r="D303" s="110" t="s">
        <v>119</v>
      </c>
      <c r="E303" s="111"/>
      <c r="F303" s="81">
        <v>8</v>
      </c>
      <c r="G303" s="81">
        <v>7790000</v>
      </c>
      <c r="H303" s="8">
        <f t="shared" si="8"/>
        <v>62320000</v>
      </c>
      <c r="I303" s="111" t="s">
        <v>120</v>
      </c>
      <c r="J303" s="112"/>
      <c r="K303" s="409" t="s">
        <v>1726</v>
      </c>
      <c r="L303" s="627"/>
    </row>
    <row r="304" spans="1:13" s="50" customFormat="1" ht="18.75" customHeight="1" x14ac:dyDescent="0.4">
      <c r="A304" s="620"/>
      <c r="B304" s="97" t="s">
        <v>1670</v>
      </c>
      <c r="C304" s="123"/>
      <c r="D304" s="97"/>
      <c r="E304" s="123"/>
      <c r="F304" s="138"/>
      <c r="G304" s="138"/>
      <c r="H304" s="145">
        <f>SUM(H136:H264)</f>
        <v>319891520</v>
      </c>
      <c r="I304" s="756"/>
      <c r="J304" s="145"/>
      <c r="K304" s="123"/>
      <c r="L304" s="621"/>
    </row>
    <row r="305" spans="1:13" s="3" customFormat="1" ht="18.75" customHeight="1" x14ac:dyDescent="0.4">
      <c r="A305" s="482">
        <v>46203</v>
      </c>
      <c r="B305" s="110" t="s">
        <v>1101</v>
      </c>
      <c r="C305" s="29" t="s">
        <v>105</v>
      </c>
      <c r="D305" s="110" t="s">
        <v>126</v>
      </c>
      <c r="E305" s="110"/>
      <c r="F305" s="81">
        <v>100</v>
      </c>
      <c r="G305" s="49">
        <v>55800</v>
      </c>
      <c r="H305" s="36">
        <f>F305*G305</f>
        <v>5580000</v>
      </c>
      <c r="I305" s="49" t="s">
        <v>1632</v>
      </c>
      <c r="J305" s="144"/>
      <c r="K305" s="144"/>
      <c r="L305" s="67"/>
      <c r="M305" s="89"/>
    </row>
    <row r="306" spans="1:13" s="3" customFormat="1" ht="18.75" customHeight="1" x14ac:dyDescent="0.4">
      <c r="A306" s="483"/>
      <c r="B306" s="194"/>
      <c r="C306" s="40"/>
      <c r="D306" s="194"/>
      <c r="E306" s="194"/>
      <c r="F306" s="91"/>
      <c r="G306" s="138"/>
      <c r="H306" s="138">
        <f>SUM(H305)</f>
        <v>5580000</v>
      </c>
      <c r="I306" s="138"/>
      <c r="J306" s="145"/>
      <c r="K306" s="145"/>
      <c r="L306" s="145"/>
      <c r="M306" s="89"/>
    </row>
    <row r="307" spans="1:13" x14ac:dyDescent="0.4">
      <c r="A307" s="109">
        <v>46225</v>
      </c>
      <c r="B307" s="59" t="s">
        <v>1686</v>
      </c>
      <c r="C307" s="67" t="s">
        <v>1296</v>
      </c>
      <c r="D307" s="59" t="s">
        <v>1297</v>
      </c>
      <c r="E307" s="67"/>
      <c r="F307" s="49">
        <v>2</v>
      </c>
      <c r="G307" s="49">
        <v>417300</v>
      </c>
      <c r="H307" s="144">
        <f>F307*G307</f>
        <v>834600</v>
      </c>
      <c r="I307" s="67" t="s">
        <v>1687</v>
      </c>
      <c r="J307" s="109">
        <v>46233</v>
      </c>
      <c r="K307" s="67"/>
      <c r="L307" s="409"/>
    </row>
    <row r="308" spans="1:13" x14ac:dyDescent="0.4">
      <c r="A308" s="109">
        <v>46225</v>
      </c>
      <c r="B308" s="59" t="s">
        <v>1686</v>
      </c>
      <c r="C308" s="67" t="s">
        <v>123</v>
      </c>
      <c r="D308" s="59" t="s">
        <v>124</v>
      </c>
      <c r="E308" s="67"/>
      <c r="F308" s="49">
        <v>2</v>
      </c>
      <c r="G308" s="49">
        <v>155840</v>
      </c>
      <c r="H308" s="144">
        <f>F308*G308</f>
        <v>311680</v>
      </c>
      <c r="I308" s="67" t="s">
        <v>1687</v>
      </c>
      <c r="J308" s="109">
        <v>46233</v>
      </c>
      <c r="K308" s="67"/>
      <c r="L308" s="409"/>
    </row>
    <row r="309" spans="1:13" x14ac:dyDescent="0.4">
      <c r="A309" s="109">
        <v>46225</v>
      </c>
      <c r="B309" s="59" t="s">
        <v>1686</v>
      </c>
      <c r="C309" s="67" t="s">
        <v>1296</v>
      </c>
      <c r="D309" s="59" t="s">
        <v>1297</v>
      </c>
      <c r="E309" s="67"/>
      <c r="F309" s="49">
        <v>2</v>
      </c>
      <c r="G309" s="49">
        <v>417300</v>
      </c>
      <c r="H309" s="144">
        <f>F309*G309</f>
        <v>834600</v>
      </c>
      <c r="I309" s="67" t="s">
        <v>1726</v>
      </c>
      <c r="J309" s="109">
        <v>46246</v>
      </c>
      <c r="K309" s="67"/>
      <c r="L309" s="409"/>
    </row>
    <row r="310" spans="1:13" x14ac:dyDescent="0.4">
      <c r="A310" s="109">
        <v>46225</v>
      </c>
      <c r="B310" s="59" t="s">
        <v>1686</v>
      </c>
      <c r="C310" s="67" t="s">
        <v>123</v>
      </c>
      <c r="D310" s="59" t="s">
        <v>124</v>
      </c>
      <c r="E310" s="67"/>
      <c r="F310" s="49">
        <v>2</v>
      </c>
      <c r="G310" s="49">
        <v>155840</v>
      </c>
      <c r="H310" s="144">
        <f>F310*G310</f>
        <v>311680</v>
      </c>
      <c r="I310" s="67" t="s">
        <v>1726</v>
      </c>
      <c r="J310" s="109">
        <v>46246</v>
      </c>
      <c r="K310" s="67"/>
      <c r="L310" s="409"/>
    </row>
    <row r="311" spans="1:13" x14ac:dyDescent="0.4">
      <c r="A311" s="620"/>
      <c r="B311" s="97"/>
      <c r="C311" s="123"/>
      <c r="D311" s="97"/>
      <c r="E311" s="123"/>
      <c r="F311" s="138"/>
      <c r="G311" s="138"/>
      <c r="H311" s="145">
        <f>SUM(H307:H308)</f>
        <v>1146280</v>
      </c>
      <c r="I311" s="123"/>
      <c r="J311" s="620"/>
      <c r="K311" s="123"/>
      <c r="L311" s="621"/>
    </row>
    <row r="312" spans="1:13" s="50" customFormat="1" ht="18.75" customHeight="1" x14ac:dyDescent="0.4">
      <c r="A312" s="484">
        <v>46106</v>
      </c>
      <c r="B312" s="5" t="s">
        <v>134</v>
      </c>
      <c r="C312" s="67" t="s">
        <v>181</v>
      </c>
      <c r="D312" s="468" t="s">
        <v>371</v>
      </c>
      <c r="E312" s="59" t="s">
        <v>13</v>
      </c>
      <c r="F312" s="67">
        <v>3</v>
      </c>
      <c r="G312" s="7">
        <v>2163000</v>
      </c>
      <c r="H312" s="7">
        <f>F312*G312</f>
        <v>6489000</v>
      </c>
      <c r="I312" s="67" t="s">
        <v>1757</v>
      </c>
      <c r="J312" s="67"/>
      <c r="K312" s="67"/>
      <c r="L312" s="67"/>
    </row>
    <row r="313" spans="1:13" s="50" customFormat="1" ht="18.75" customHeight="1" x14ac:dyDescent="0.4">
      <c r="A313" s="484">
        <v>46106</v>
      </c>
      <c r="B313" s="5" t="s">
        <v>134</v>
      </c>
      <c r="C313" s="67" t="s">
        <v>182</v>
      </c>
      <c r="D313" s="468" t="s">
        <v>372</v>
      </c>
      <c r="E313" s="59" t="s">
        <v>13</v>
      </c>
      <c r="F313" s="67">
        <v>3</v>
      </c>
      <c r="G313" s="7">
        <v>2163000</v>
      </c>
      <c r="H313" s="7">
        <f>F313*G313</f>
        <v>6489000</v>
      </c>
      <c r="I313" s="67" t="s">
        <v>1757</v>
      </c>
      <c r="J313" s="67"/>
      <c r="K313" s="67"/>
      <c r="L313" s="67"/>
    </row>
    <row r="314" spans="1:13" x14ac:dyDescent="0.4">
      <c r="A314" s="485">
        <v>46150</v>
      </c>
      <c r="B314" s="5" t="s">
        <v>134</v>
      </c>
      <c r="C314" s="61" t="s">
        <v>181</v>
      </c>
      <c r="D314" s="625" t="s">
        <v>371</v>
      </c>
      <c r="E314" s="59" t="s">
        <v>13</v>
      </c>
      <c r="F314" s="61">
        <v>4</v>
      </c>
      <c r="G314" s="61">
        <v>2163000</v>
      </c>
      <c r="H314" s="61">
        <f>F314*G314</f>
        <v>8652000</v>
      </c>
      <c r="I314" s="67" t="s">
        <v>1757</v>
      </c>
      <c r="J314" s="67"/>
      <c r="K314" s="67"/>
      <c r="L314" s="409"/>
      <c r="M314"/>
    </row>
    <row r="315" spans="1:13" x14ac:dyDescent="0.4">
      <c r="A315" s="485">
        <v>46150</v>
      </c>
      <c r="B315" s="5" t="s">
        <v>134</v>
      </c>
      <c r="C315" s="61" t="s">
        <v>182</v>
      </c>
      <c r="D315" s="625" t="s">
        <v>372</v>
      </c>
      <c r="E315" s="59" t="s">
        <v>13</v>
      </c>
      <c r="F315" s="61">
        <v>4</v>
      </c>
      <c r="G315" s="61">
        <v>2163000</v>
      </c>
      <c r="H315" s="61">
        <f>F315*G315</f>
        <v>8652000</v>
      </c>
      <c r="I315" s="67" t="s">
        <v>1757</v>
      </c>
      <c r="J315" s="67"/>
      <c r="K315" s="67"/>
      <c r="L315" s="409"/>
      <c r="M315"/>
    </row>
    <row r="316" spans="1:13" s="19" customFormat="1" ht="19.2" customHeight="1" x14ac:dyDescent="0.4">
      <c r="A316" s="485">
        <v>46051</v>
      </c>
      <c r="B316" s="5" t="s">
        <v>134</v>
      </c>
      <c r="C316" s="6" t="s">
        <v>132</v>
      </c>
      <c r="D316" s="42" t="s">
        <v>1527</v>
      </c>
      <c r="E316" s="1" t="s">
        <v>13</v>
      </c>
      <c r="F316" s="36">
        <v>22</v>
      </c>
      <c r="G316" s="7">
        <v>3225880</v>
      </c>
      <c r="H316" s="7">
        <f>F316*G316</f>
        <v>70969360</v>
      </c>
      <c r="I316" s="67" t="s">
        <v>1757</v>
      </c>
      <c r="J316" s="66"/>
      <c r="K316" s="66"/>
      <c r="L316" s="408"/>
      <c r="M316" s="200"/>
    </row>
    <row r="317" spans="1:13" s="50" customFormat="1" ht="18.75" customHeight="1" x14ac:dyDescent="0.4">
      <c r="A317" s="485">
        <v>46198</v>
      </c>
      <c r="B317" s="5" t="s">
        <v>1568</v>
      </c>
      <c r="C317" s="6" t="s">
        <v>129</v>
      </c>
      <c r="D317" s="405" t="s">
        <v>1429</v>
      </c>
      <c r="E317" s="1" t="s">
        <v>1430</v>
      </c>
      <c r="F317" s="792">
        <v>14</v>
      </c>
      <c r="G317" s="407">
        <v>52326</v>
      </c>
      <c r="H317" s="407">
        <f t="shared" ref="H317:H369" si="10">G317*F317</f>
        <v>732564</v>
      </c>
      <c r="I317" s="67" t="s">
        <v>1757</v>
      </c>
      <c r="J317" s="67" t="s">
        <v>1247</v>
      </c>
      <c r="K317" s="67"/>
      <c r="L317" s="67"/>
    </row>
    <row r="318" spans="1:13" s="50" customFormat="1" ht="18.75" customHeight="1" x14ac:dyDescent="0.4">
      <c r="A318" s="485">
        <v>46198</v>
      </c>
      <c r="B318" s="5" t="s">
        <v>1568</v>
      </c>
      <c r="C318" s="6" t="s">
        <v>132</v>
      </c>
      <c r="D318" s="405" t="s">
        <v>1120</v>
      </c>
      <c r="E318" s="1" t="s">
        <v>13</v>
      </c>
      <c r="F318" s="36">
        <v>6</v>
      </c>
      <c r="G318" s="36">
        <v>3225880</v>
      </c>
      <c r="H318" s="7">
        <f t="shared" si="10"/>
        <v>19355280</v>
      </c>
      <c r="I318" s="67" t="s">
        <v>1757</v>
      </c>
      <c r="J318" s="67" t="s">
        <v>1247</v>
      </c>
      <c r="K318" s="67"/>
      <c r="L318" s="67"/>
    </row>
    <row r="319" spans="1:13" s="50" customFormat="1" ht="18.75" customHeight="1" x14ac:dyDescent="0.4">
      <c r="A319" s="485">
        <v>46198</v>
      </c>
      <c r="B319" s="5" t="s">
        <v>134</v>
      </c>
      <c r="C319" s="67" t="s">
        <v>223</v>
      </c>
      <c r="D319" s="625" t="s">
        <v>1569</v>
      </c>
      <c r="E319" s="1" t="s">
        <v>127</v>
      </c>
      <c r="F319" s="67">
        <v>193</v>
      </c>
      <c r="G319" s="7">
        <v>115200</v>
      </c>
      <c r="H319" s="7">
        <f t="shared" si="10"/>
        <v>22233600</v>
      </c>
      <c r="I319" s="67" t="s">
        <v>1757</v>
      </c>
      <c r="J319" s="67" t="s">
        <v>1247</v>
      </c>
      <c r="K319" s="67"/>
      <c r="L319" s="67"/>
    </row>
    <row r="320" spans="1:13" s="50" customFormat="1" ht="18.75" customHeight="1" x14ac:dyDescent="0.4">
      <c r="A320" s="485">
        <v>46198</v>
      </c>
      <c r="B320" s="5" t="s">
        <v>134</v>
      </c>
      <c r="C320" s="6" t="s">
        <v>949</v>
      </c>
      <c r="D320" s="405">
        <v>12267108</v>
      </c>
      <c r="E320" s="794" t="s">
        <v>1114</v>
      </c>
      <c r="F320" s="792">
        <v>95</v>
      </c>
      <c r="G320" s="407">
        <v>80570</v>
      </c>
      <c r="H320" s="407">
        <f t="shared" si="10"/>
        <v>7654150</v>
      </c>
      <c r="I320" s="67" t="s">
        <v>1757</v>
      </c>
      <c r="J320" s="67" t="s">
        <v>1247</v>
      </c>
      <c r="K320" s="67"/>
      <c r="L320" s="67"/>
    </row>
    <row r="321" spans="1:12" s="50" customFormat="1" ht="18.75" customHeight="1" x14ac:dyDescent="0.4">
      <c r="A321" s="485">
        <v>46198</v>
      </c>
      <c r="B321" s="5" t="s">
        <v>134</v>
      </c>
      <c r="C321" s="111" t="s">
        <v>135</v>
      </c>
      <c r="D321" s="140" t="s">
        <v>1570</v>
      </c>
      <c r="E321" s="1" t="s">
        <v>17</v>
      </c>
      <c r="F321" s="792">
        <v>90</v>
      </c>
      <c r="G321" s="793">
        <v>115150</v>
      </c>
      <c r="H321" s="407">
        <f t="shared" si="10"/>
        <v>10363500</v>
      </c>
      <c r="I321" s="67" t="s">
        <v>1757</v>
      </c>
      <c r="J321" s="67" t="s">
        <v>1247</v>
      </c>
      <c r="K321" s="67"/>
      <c r="L321" s="67"/>
    </row>
    <row r="322" spans="1:12" s="50" customFormat="1" ht="18.75" customHeight="1" x14ac:dyDescent="0.4">
      <c r="A322" s="485">
        <v>46198</v>
      </c>
      <c r="B322" s="5" t="s">
        <v>134</v>
      </c>
      <c r="C322" s="67" t="s">
        <v>388</v>
      </c>
      <c r="D322" s="625" t="s">
        <v>1125</v>
      </c>
      <c r="E322" s="1" t="s">
        <v>17</v>
      </c>
      <c r="F322" s="67">
        <v>160</v>
      </c>
      <c r="G322" s="7">
        <v>283020</v>
      </c>
      <c r="H322" s="7">
        <f t="shared" si="10"/>
        <v>45283200</v>
      </c>
      <c r="I322" s="67" t="s">
        <v>1757</v>
      </c>
      <c r="J322" s="67" t="s">
        <v>1247</v>
      </c>
      <c r="K322" s="67"/>
      <c r="L322" s="67"/>
    </row>
    <row r="323" spans="1:12" s="50" customFormat="1" ht="18.75" customHeight="1" x14ac:dyDescent="0.4">
      <c r="A323" s="4">
        <v>46199</v>
      </c>
      <c r="B323" s="5" t="s">
        <v>134</v>
      </c>
      <c r="C323" s="409" t="s">
        <v>136</v>
      </c>
      <c r="D323" s="140" t="s">
        <v>947</v>
      </c>
      <c r="E323" s="405" t="s">
        <v>13</v>
      </c>
      <c r="F323" s="29">
        <v>3</v>
      </c>
      <c r="G323" s="61">
        <v>597880</v>
      </c>
      <c r="H323" s="518">
        <f t="shared" si="10"/>
        <v>1793640</v>
      </c>
      <c r="I323" s="67" t="s">
        <v>1757</v>
      </c>
      <c r="J323" s="67" t="s">
        <v>1247</v>
      </c>
      <c r="K323" s="67"/>
      <c r="L323" s="67"/>
    </row>
    <row r="324" spans="1:12" s="50" customFormat="1" ht="18.75" customHeight="1" x14ac:dyDescent="0.4">
      <c r="A324" s="4">
        <v>46202</v>
      </c>
      <c r="B324" s="5" t="s">
        <v>134</v>
      </c>
      <c r="C324" s="6" t="s">
        <v>508</v>
      </c>
      <c r="D324" s="405" t="s">
        <v>329</v>
      </c>
      <c r="E324" s="405" t="s">
        <v>13</v>
      </c>
      <c r="F324" s="29">
        <v>4</v>
      </c>
      <c r="G324" s="7">
        <v>1364000</v>
      </c>
      <c r="H324" s="518">
        <f t="shared" si="10"/>
        <v>5456000</v>
      </c>
      <c r="I324" s="67" t="s">
        <v>1757</v>
      </c>
      <c r="J324" s="67"/>
      <c r="K324" s="67"/>
      <c r="L324" s="67"/>
    </row>
    <row r="325" spans="1:12" s="50" customFormat="1" ht="18.75" customHeight="1" x14ac:dyDescent="0.4">
      <c r="A325" s="4">
        <v>46202</v>
      </c>
      <c r="B325" s="5" t="s">
        <v>134</v>
      </c>
      <c r="C325" s="6" t="s">
        <v>957</v>
      </c>
      <c r="D325" s="140">
        <v>61540923</v>
      </c>
      <c r="E325" s="405" t="s">
        <v>13</v>
      </c>
      <c r="F325" s="29">
        <v>15</v>
      </c>
      <c r="G325" s="7">
        <v>1364000</v>
      </c>
      <c r="H325" s="518">
        <f t="shared" si="10"/>
        <v>20460000</v>
      </c>
      <c r="I325" s="67" t="s">
        <v>1757</v>
      </c>
      <c r="J325" s="67"/>
      <c r="K325" s="67"/>
      <c r="L325" s="67"/>
    </row>
    <row r="326" spans="1:12" s="50" customFormat="1" ht="18.75" customHeight="1" x14ac:dyDescent="0.4">
      <c r="A326" s="4">
        <v>46202</v>
      </c>
      <c r="B326" s="5" t="s">
        <v>134</v>
      </c>
      <c r="C326" s="409" t="s">
        <v>136</v>
      </c>
      <c r="D326" s="140" t="s">
        <v>947</v>
      </c>
      <c r="E326" s="405" t="s">
        <v>13</v>
      </c>
      <c r="F326" s="29">
        <v>8</v>
      </c>
      <c r="G326" s="61">
        <v>597880</v>
      </c>
      <c r="H326" s="517">
        <f>F326*G326</f>
        <v>4783040</v>
      </c>
      <c r="I326" s="67" t="s">
        <v>1757</v>
      </c>
      <c r="J326" s="67" t="s">
        <v>1247</v>
      </c>
      <c r="K326" s="67"/>
      <c r="L326" s="67"/>
    </row>
    <row r="327" spans="1:12" s="50" customFormat="1" ht="18.75" customHeight="1" x14ac:dyDescent="0.4">
      <c r="A327" s="4">
        <v>46202</v>
      </c>
      <c r="B327" s="5" t="s">
        <v>134</v>
      </c>
      <c r="C327" s="409" t="s">
        <v>181</v>
      </c>
      <c r="D327" s="625" t="s">
        <v>371</v>
      </c>
      <c r="E327" s="409" t="s">
        <v>13</v>
      </c>
      <c r="F327" s="29">
        <v>5</v>
      </c>
      <c r="G327" s="7">
        <v>2163000</v>
      </c>
      <c r="H327" s="517">
        <f>F327*G327</f>
        <v>10815000</v>
      </c>
      <c r="I327" s="67" t="s">
        <v>1757</v>
      </c>
      <c r="J327" s="67" t="s">
        <v>1247</v>
      </c>
      <c r="K327" s="67"/>
      <c r="L327" s="67"/>
    </row>
    <row r="328" spans="1:12" s="50" customFormat="1" ht="18.75" customHeight="1" x14ac:dyDescent="0.4">
      <c r="A328" s="4">
        <v>46202</v>
      </c>
      <c r="B328" s="5" t="s">
        <v>134</v>
      </c>
      <c r="C328" s="409" t="s">
        <v>182</v>
      </c>
      <c r="D328" s="625" t="s">
        <v>372</v>
      </c>
      <c r="E328" s="409" t="s">
        <v>13</v>
      </c>
      <c r="F328" s="29">
        <v>5</v>
      </c>
      <c r="G328" s="7">
        <v>2163000</v>
      </c>
      <c r="H328" s="517">
        <f>F328*G328</f>
        <v>10815000</v>
      </c>
      <c r="I328" s="67" t="s">
        <v>1757</v>
      </c>
      <c r="J328" s="67" t="s">
        <v>1247</v>
      </c>
      <c r="K328" s="67"/>
      <c r="L328" s="67"/>
    </row>
    <row r="329" spans="1:12" x14ac:dyDescent="0.4">
      <c r="A329" s="484">
        <v>46210</v>
      </c>
      <c r="B329" s="5" t="s">
        <v>134</v>
      </c>
      <c r="C329" s="6" t="s">
        <v>129</v>
      </c>
      <c r="D329" s="405" t="s">
        <v>1429</v>
      </c>
      <c r="E329" s="1" t="s">
        <v>1430</v>
      </c>
      <c r="F329" s="795">
        <v>12</v>
      </c>
      <c r="G329" s="407">
        <v>52326</v>
      </c>
      <c r="H329" s="407">
        <f>G329*F329</f>
        <v>627912</v>
      </c>
      <c r="I329" s="67" t="s">
        <v>1757</v>
      </c>
      <c r="J329" s="67" t="s">
        <v>1068</v>
      </c>
      <c r="K329" s="67"/>
      <c r="L329" s="49"/>
    </row>
    <row r="330" spans="1:12" x14ac:dyDescent="0.4">
      <c r="A330" s="484">
        <v>46213</v>
      </c>
      <c r="B330" s="7" t="s">
        <v>134</v>
      </c>
      <c r="C330" s="60" t="s">
        <v>319</v>
      </c>
      <c r="D330" s="71" t="s">
        <v>1313</v>
      </c>
      <c r="E330" s="7" t="s">
        <v>127</v>
      </c>
      <c r="F330" s="7">
        <v>29</v>
      </c>
      <c r="G330" s="17">
        <v>20400</v>
      </c>
      <c r="H330" s="7">
        <f>F330*G330</f>
        <v>591600</v>
      </c>
      <c r="I330" s="67" t="s">
        <v>1757</v>
      </c>
      <c r="J330" s="67" t="s">
        <v>1068</v>
      </c>
      <c r="K330" s="67"/>
      <c r="L330" s="49"/>
    </row>
    <row r="331" spans="1:12" x14ac:dyDescent="0.4">
      <c r="A331" s="484">
        <v>46213</v>
      </c>
      <c r="B331" s="8" t="s">
        <v>134</v>
      </c>
      <c r="C331" s="6" t="s">
        <v>310</v>
      </c>
      <c r="D331" s="69" t="s">
        <v>315</v>
      </c>
      <c r="E331" s="8" t="s">
        <v>13</v>
      </c>
      <c r="F331" s="8">
        <v>14</v>
      </c>
      <c r="G331" s="36">
        <v>84000</v>
      </c>
      <c r="H331" s="7">
        <f>F331*G331</f>
        <v>1176000</v>
      </c>
      <c r="I331" s="67" t="s">
        <v>1757</v>
      </c>
      <c r="J331" s="67" t="s">
        <v>1068</v>
      </c>
      <c r="K331" s="67"/>
      <c r="L331" s="49"/>
    </row>
    <row r="332" spans="1:12" x14ac:dyDescent="0.4">
      <c r="A332" s="484">
        <v>46213</v>
      </c>
      <c r="B332" s="8" t="s">
        <v>134</v>
      </c>
      <c r="C332" s="6" t="s">
        <v>310</v>
      </c>
      <c r="D332" s="59" t="s">
        <v>1302</v>
      </c>
      <c r="E332" s="8" t="s">
        <v>13</v>
      </c>
      <c r="F332" s="49">
        <v>12</v>
      </c>
      <c r="G332" s="49">
        <v>92000</v>
      </c>
      <c r="H332" s="7">
        <f>F332*G332</f>
        <v>1104000</v>
      </c>
      <c r="I332" s="67" t="s">
        <v>1757</v>
      </c>
      <c r="J332" s="67" t="s">
        <v>1068</v>
      </c>
      <c r="K332" s="67"/>
      <c r="L332" s="49"/>
    </row>
    <row r="333" spans="1:12" x14ac:dyDescent="0.4">
      <c r="A333" s="484">
        <v>46213</v>
      </c>
      <c r="B333" s="7" t="s">
        <v>134</v>
      </c>
      <c r="C333" s="60" t="s">
        <v>1107</v>
      </c>
      <c r="D333" s="71" t="s">
        <v>1108</v>
      </c>
      <c r="E333" s="7" t="s">
        <v>127</v>
      </c>
      <c r="F333" s="7">
        <v>24</v>
      </c>
      <c r="G333" s="17">
        <v>34900</v>
      </c>
      <c r="H333" s="7">
        <f>F333*G333</f>
        <v>837600</v>
      </c>
      <c r="I333" s="67" t="s">
        <v>1757</v>
      </c>
      <c r="J333" s="67" t="s">
        <v>1068</v>
      </c>
      <c r="K333" s="67"/>
      <c r="L333" s="49"/>
    </row>
    <row r="334" spans="1:12" x14ac:dyDescent="0.4">
      <c r="A334" s="484">
        <v>46213</v>
      </c>
      <c r="B334" s="8" t="s">
        <v>134</v>
      </c>
      <c r="C334" s="49" t="s">
        <v>229</v>
      </c>
      <c r="D334" s="59" t="s">
        <v>1565</v>
      </c>
      <c r="E334" s="8" t="s">
        <v>127</v>
      </c>
      <c r="F334" s="791">
        <v>27</v>
      </c>
      <c r="G334" s="791">
        <v>144860</v>
      </c>
      <c r="H334" s="407">
        <f>F334*G334</f>
        <v>3911220</v>
      </c>
      <c r="I334" s="67" t="s">
        <v>1757</v>
      </c>
      <c r="J334" s="67" t="s">
        <v>1068</v>
      </c>
      <c r="K334" s="67"/>
      <c r="L334" s="49"/>
    </row>
    <row r="335" spans="1:12" x14ac:dyDescent="0.4">
      <c r="A335" s="484">
        <v>46216</v>
      </c>
      <c r="B335" s="5" t="s">
        <v>134</v>
      </c>
      <c r="C335" s="409" t="s">
        <v>136</v>
      </c>
      <c r="D335" s="140" t="s">
        <v>947</v>
      </c>
      <c r="E335" s="1" t="s">
        <v>13</v>
      </c>
      <c r="F335" s="29">
        <v>18</v>
      </c>
      <c r="G335" s="61">
        <v>597880</v>
      </c>
      <c r="H335" s="7">
        <f t="shared" ref="H335:H343" si="11">G335*F335</f>
        <v>10761840</v>
      </c>
      <c r="I335" s="67" t="s">
        <v>1757</v>
      </c>
      <c r="J335" s="67" t="s">
        <v>1068</v>
      </c>
      <c r="K335" s="67"/>
      <c r="L335" s="49"/>
    </row>
    <row r="336" spans="1:12" x14ac:dyDescent="0.4">
      <c r="A336" s="484">
        <v>46217</v>
      </c>
      <c r="B336" s="5" t="s">
        <v>134</v>
      </c>
      <c r="C336" s="6" t="s">
        <v>129</v>
      </c>
      <c r="D336" s="405" t="s">
        <v>1429</v>
      </c>
      <c r="E336" s="1" t="s">
        <v>1430</v>
      </c>
      <c r="F336" s="795">
        <v>12</v>
      </c>
      <c r="G336" s="407">
        <v>52326</v>
      </c>
      <c r="H336" s="407">
        <f t="shared" si="11"/>
        <v>627912</v>
      </c>
      <c r="I336" s="67" t="s">
        <v>1757</v>
      </c>
      <c r="J336" s="67" t="s">
        <v>1068</v>
      </c>
      <c r="K336" s="67"/>
      <c r="L336" s="49"/>
    </row>
    <row r="337" spans="1:12" x14ac:dyDescent="0.4">
      <c r="A337" s="484">
        <v>46222</v>
      </c>
      <c r="B337" s="5" t="s">
        <v>134</v>
      </c>
      <c r="C337" s="6" t="s">
        <v>507</v>
      </c>
      <c r="D337" s="405" t="s">
        <v>328</v>
      </c>
      <c r="E337" s="1" t="s">
        <v>13</v>
      </c>
      <c r="F337" s="29">
        <v>9</v>
      </c>
      <c r="G337" s="7">
        <v>1364000</v>
      </c>
      <c r="H337" s="7">
        <f t="shared" si="11"/>
        <v>12276000</v>
      </c>
      <c r="I337" s="67" t="s">
        <v>1757</v>
      </c>
      <c r="J337" s="67" t="s">
        <v>1068</v>
      </c>
      <c r="K337" s="67"/>
      <c r="L337" s="49"/>
    </row>
    <row r="338" spans="1:12" x14ac:dyDescent="0.4">
      <c r="A338" s="484">
        <v>46222</v>
      </c>
      <c r="B338" s="5" t="s">
        <v>134</v>
      </c>
      <c r="C338" s="6" t="s">
        <v>314</v>
      </c>
      <c r="D338" s="405" t="s">
        <v>387</v>
      </c>
      <c r="E338" s="1" t="s">
        <v>13</v>
      </c>
      <c r="F338" s="29">
        <v>33</v>
      </c>
      <c r="G338" s="7">
        <v>200000</v>
      </c>
      <c r="H338" s="7">
        <f t="shared" si="11"/>
        <v>6600000</v>
      </c>
      <c r="I338" s="67" t="s">
        <v>1757</v>
      </c>
      <c r="J338" s="67" t="s">
        <v>1068</v>
      </c>
      <c r="K338" s="67"/>
      <c r="L338" s="49"/>
    </row>
    <row r="339" spans="1:12" x14ac:dyDescent="0.4">
      <c r="A339" s="484">
        <v>46222</v>
      </c>
      <c r="B339" s="5" t="s">
        <v>134</v>
      </c>
      <c r="C339" s="6" t="s">
        <v>320</v>
      </c>
      <c r="D339" s="405" t="s">
        <v>324</v>
      </c>
      <c r="E339" s="1" t="s">
        <v>127</v>
      </c>
      <c r="F339" s="29">
        <v>10</v>
      </c>
      <c r="G339" s="7">
        <v>20000</v>
      </c>
      <c r="H339" s="7">
        <f t="shared" si="11"/>
        <v>200000</v>
      </c>
      <c r="I339" s="67" t="s">
        <v>1757</v>
      </c>
      <c r="J339" s="67" t="s">
        <v>1068</v>
      </c>
      <c r="K339" s="67"/>
      <c r="L339" s="49"/>
    </row>
    <row r="340" spans="1:12" x14ac:dyDescent="0.4">
      <c r="A340" s="484">
        <v>46222</v>
      </c>
      <c r="B340" s="5" t="s">
        <v>134</v>
      </c>
      <c r="C340" s="6" t="s">
        <v>314</v>
      </c>
      <c r="D340" s="405" t="s">
        <v>956</v>
      </c>
      <c r="E340" s="1" t="s">
        <v>13</v>
      </c>
      <c r="F340" s="29">
        <v>5</v>
      </c>
      <c r="G340" s="7">
        <v>79000</v>
      </c>
      <c r="H340" s="7">
        <f t="shared" si="11"/>
        <v>395000</v>
      </c>
      <c r="I340" s="67" t="s">
        <v>1757</v>
      </c>
      <c r="J340" s="67" t="s">
        <v>1068</v>
      </c>
      <c r="K340" s="67"/>
      <c r="L340" s="49"/>
    </row>
    <row r="341" spans="1:12" x14ac:dyDescent="0.4">
      <c r="A341" s="109">
        <v>46227</v>
      </c>
      <c r="B341" s="59" t="s">
        <v>134</v>
      </c>
      <c r="C341" s="67" t="s">
        <v>941</v>
      </c>
      <c r="D341" s="59" t="s">
        <v>1311</v>
      </c>
      <c r="E341" s="67" t="s">
        <v>13</v>
      </c>
      <c r="F341" s="49">
        <v>18</v>
      </c>
      <c r="G341" s="49">
        <v>290000</v>
      </c>
      <c r="H341" s="7">
        <f t="shared" si="11"/>
        <v>5220000</v>
      </c>
      <c r="I341" s="67" t="s">
        <v>1757</v>
      </c>
      <c r="J341" s="109" t="s">
        <v>1688</v>
      </c>
      <c r="K341" s="67"/>
      <c r="L341" s="409"/>
    </row>
    <row r="342" spans="1:12" x14ac:dyDescent="0.4">
      <c r="A342" s="109">
        <v>46227</v>
      </c>
      <c r="B342" s="59" t="s">
        <v>134</v>
      </c>
      <c r="C342" s="67" t="s">
        <v>941</v>
      </c>
      <c r="D342" s="59" t="s">
        <v>1311</v>
      </c>
      <c r="E342" s="67" t="s">
        <v>13</v>
      </c>
      <c r="F342" s="49">
        <v>4</v>
      </c>
      <c r="G342" s="49">
        <v>290000</v>
      </c>
      <c r="H342" s="7">
        <f t="shared" si="11"/>
        <v>1160000</v>
      </c>
      <c r="I342" s="67" t="s">
        <v>1757</v>
      </c>
      <c r="J342" s="109" t="s">
        <v>1688</v>
      </c>
      <c r="K342" s="67"/>
      <c r="L342" s="409"/>
    </row>
    <row r="343" spans="1:12" x14ac:dyDescent="0.4">
      <c r="A343" s="109">
        <v>46227</v>
      </c>
      <c r="B343" s="59" t="s">
        <v>134</v>
      </c>
      <c r="C343" s="67" t="s">
        <v>945</v>
      </c>
      <c r="D343" s="59" t="s">
        <v>1312</v>
      </c>
      <c r="E343" s="67" t="s">
        <v>13</v>
      </c>
      <c r="F343" s="49">
        <v>22</v>
      </c>
      <c r="G343" s="49">
        <v>225000</v>
      </c>
      <c r="H343" s="7">
        <f t="shared" si="11"/>
        <v>4950000</v>
      </c>
      <c r="I343" s="67" t="s">
        <v>1757</v>
      </c>
      <c r="J343" s="109" t="s">
        <v>1688</v>
      </c>
      <c r="K343" s="67"/>
      <c r="L343" s="409"/>
    </row>
    <row r="344" spans="1:12" s="50" customFormat="1" ht="18.75" customHeight="1" x14ac:dyDescent="0.4">
      <c r="A344" s="485">
        <v>46198</v>
      </c>
      <c r="B344" s="5" t="s">
        <v>1568</v>
      </c>
      <c r="C344" s="6" t="s">
        <v>132</v>
      </c>
      <c r="D344" s="405" t="s">
        <v>1120</v>
      </c>
      <c r="E344" s="1" t="s">
        <v>13</v>
      </c>
      <c r="F344" s="809">
        <v>6</v>
      </c>
      <c r="G344" s="809">
        <v>3225880</v>
      </c>
      <c r="H344" s="805">
        <f t="shared" si="10"/>
        <v>19355280</v>
      </c>
      <c r="I344" s="67" t="s">
        <v>1758</v>
      </c>
      <c r="J344" s="67" t="s">
        <v>1247</v>
      </c>
      <c r="K344" s="67"/>
      <c r="L344" s="67"/>
    </row>
    <row r="345" spans="1:12" s="50" customFormat="1" ht="18.75" customHeight="1" x14ac:dyDescent="0.4">
      <c r="A345" s="485">
        <v>46202</v>
      </c>
      <c r="B345" s="5" t="s">
        <v>134</v>
      </c>
      <c r="C345" s="6" t="s">
        <v>132</v>
      </c>
      <c r="D345" s="405" t="s">
        <v>1120</v>
      </c>
      <c r="E345" s="405" t="s">
        <v>343</v>
      </c>
      <c r="F345" s="806">
        <v>6</v>
      </c>
      <c r="G345" s="805">
        <v>3225880</v>
      </c>
      <c r="H345" s="810">
        <f t="shared" si="10"/>
        <v>19355280</v>
      </c>
      <c r="I345" s="67" t="s">
        <v>1758</v>
      </c>
      <c r="J345" s="67"/>
      <c r="K345" s="67"/>
      <c r="L345" s="67"/>
    </row>
    <row r="346" spans="1:12" x14ac:dyDescent="0.4">
      <c r="A346" s="484">
        <v>46222</v>
      </c>
      <c r="B346" s="5" t="s">
        <v>134</v>
      </c>
      <c r="C346" s="6" t="s">
        <v>320</v>
      </c>
      <c r="D346" s="405" t="s">
        <v>324</v>
      </c>
      <c r="E346" s="1" t="s">
        <v>127</v>
      </c>
      <c r="F346" s="29">
        <v>3</v>
      </c>
      <c r="G346" s="7">
        <v>20000</v>
      </c>
      <c r="H346" s="7">
        <f t="shared" si="10"/>
        <v>60000</v>
      </c>
      <c r="I346" s="67" t="s">
        <v>1759</v>
      </c>
      <c r="J346" s="67" t="s">
        <v>1068</v>
      </c>
      <c r="K346" s="67"/>
      <c r="L346" s="49"/>
    </row>
    <row r="347" spans="1:12" x14ac:dyDescent="0.4">
      <c r="A347" s="484">
        <v>46222</v>
      </c>
      <c r="B347" s="5" t="s">
        <v>134</v>
      </c>
      <c r="C347" s="6" t="s">
        <v>314</v>
      </c>
      <c r="D347" s="405" t="s">
        <v>956</v>
      </c>
      <c r="E347" s="1" t="s">
        <v>13</v>
      </c>
      <c r="F347" s="29">
        <v>3</v>
      </c>
      <c r="G347" s="7">
        <v>79000</v>
      </c>
      <c r="H347" s="7">
        <f t="shared" si="10"/>
        <v>237000</v>
      </c>
      <c r="I347" s="67" t="s">
        <v>1759</v>
      </c>
      <c r="J347" s="67" t="s">
        <v>1068</v>
      </c>
      <c r="K347" s="67"/>
      <c r="L347" s="49"/>
    </row>
    <row r="348" spans="1:12" x14ac:dyDescent="0.4">
      <c r="A348" s="484">
        <v>46222</v>
      </c>
      <c r="B348" s="5" t="s">
        <v>134</v>
      </c>
      <c r="C348" s="6" t="s">
        <v>129</v>
      </c>
      <c r="D348" s="405" t="s">
        <v>1429</v>
      </c>
      <c r="E348" s="1" t="s">
        <v>1430</v>
      </c>
      <c r="F348" s="806">
        <v>12</v>
      </c>
      <c r="G348" s="805">
        <v>52326</v>
      </c>
      <c r="H348" s="805">
        <f t="shared" si="10"/>
        <v>627912</v>
      </c>
      <c r="I348" s="67" t="s">
        <v>1758</v>
      </c>
      <c r="J348" s="67"/>
      <c r="K348" s="67"/>
      <c r="L348" s="49"/>
    </row>
    <row r="349" spans="1:12" x14ac:dyDescent="0.4">
      <c r="A349" s="109">
        <v>46227</v>
      </c>
      <c r="B349" s="59" t="s">
        <v>134</v>
      </c>
      <c r="C349" s="67" t="s">
        <v>132</v>
      </c>
      <c r="D349" s="59" t="s">
        <v>1120</v>
      </c>
      <c r="E349" s="67" t="s">
        <v>13</v>
      </c>
      <c r="F349" s="811">
        <v>11</v>
      </c>
      <c r="G349" s="811">
        <v>3225880</v>
      </c>
      <c r="H349" s="805">
        <f t="shared" si="10"/>
        <v>35484680</v>
      </c>
      <c r="I349" s="67" t="s">
        <v>1758</v>
      </c>
      <c r="J349" s="109" t="s">
        <v>1688</v>
      </c>
      <c r="K349" s="67"/>
      <c r="L349" s="409"/>
    </row>
    <row r="350" spans="1:12" x14ac:dyDescent="0.4">
      <c r="A350" s="484">
        <v>46227</v>
      </c>
      <c r="B350" s="5" t="s">
        <v>134</v>
      </c>
      <c r="C350" s="409" t="s">
        <v>136</v>
      </c>
      <c r="D350" s="140" t="s">
        <v>947</v>
      </c>
      <c r="E350" s="1" t="s">
        <v>13</v>
      </c>
      <c r="F350" s="806">
        <v>14</v>
      </c>
      <c r="G350" s="807">
        <v>597880</v>
      </c>
      <c r="H350" s="805">
        <f t="shared" si="10"/>
        <v>8370320</v>
      </c>
      <c r="I350" s="67" t="s">
        <v>1758</v>
      </c>
      <c r="J350" s="67" t="s">
        <v>1068</v>
      </c>
      <c r="K350" s="67"/>
      <c r="L350" s="49"/>
    </row>
    <row r="351" spans="1:12" ht="26.4" x14ac:dyDescent="0.4">
      <c r="A351" s="484">
        <v>46233</v>
      </c>
      <c r="B351" s="5" t="s">
        <v>134</v>
      </c>
      <c r="C351" s="409" t="s">
        <v>1563</v>
      </c>
      <c r="D351" s="140" t="s">
        <v>1730</v>
      </c>
      <c r="E351" s="1" t="s">
        <v>127</v>
      </c>
      <c r="F351" s="806">
        <v>16</v>
      </c>
      <c r="G351" s="807">
        <v>47400</v>
      </c>
      <c r="H351" s="805">
        <f t="shared" si="10"/>
        <v>758400</v>
      </c>
      <c r="I351" s="67" t="s">
        <v>1758</v>
      </c>
      <c r="J351" s="67" t="s">
        <v>1068</v>
      </c>
      <c r="K351" s="67"/>
      <c r="L351" s="49"/>
    </row>
    <row r="352" spans="1:12" ht="26.4" x14ac:dyDescent="0.4">
      <c r="A352" s="484">
        <v>46233</v>
      </c>
      <c r="B352" s="5" t="s">
        <v>134</v>
      </c>
      <c r="C352" s="409" t="s">
        <v>949</v>
      </c>
      <c r="D352" s="140" t="s">
        <v>1731</v>
      </c>
      <c r="E352" s="796" t="s">
        <v>127</v>
      </c>
      <c r="F352" s="372">
        <v>69</v>
      </c>
      <c r="G352" s="806">
        <v>80570</v>
      </c>
      <c r="H352" s="808">
        <f t="shared" si="10"/>
        <v>5559330</v>
      </c>
      <c r="I352" s="67" t="s">
        <v>1758</v>
      </c>
      <c r="J352" s="67" t="s">
        <v>1068</v>
      </c>
      <c r="K352" s="67"/>
      <c r="L352" s="49"/>
    </row>
    <row r="353" spans="1:12" ht="26.4" x14ac:dyDescent="0.4">
      <c r="A353" s="484">
        <v>46233</v>
      </c>
      <c r="B353" s="5" t="s">
        <v>134</v>
      </c>
      <c r="C353" s="409" t="s">
        <v>965</v>
      </c>
      <c r="D353" s="140" t="s">
        <v>1732</v>
      </c>
      <c r="E353" s="1" t="s">
        <v>17</v>
      </c>
      <c r="F353" s="806">
        <v>56</v>
      </c>
      <c r="G353" s="807">
        <v>124180</v>
      </c>
      <c r="H353" s="805">
        <f t="shared" si="10"/>
        <v>6954080</v>
      </c>
      <c r="I353" s="67" t="s">
        <v>1758</v>
      </c>
      <c r="J353" s="67" t="s">
        <v>1068</v>
      </c>
      <c r="K353" s="67"/>
      <c r="L353" s="49"/>
    </row>
    <row r="354" spans="1:12" ht="26.4" x14ac:dyDescent="0.4">
      <c r="A354" s="484">
        <v>46233</v>
      </c>
      <c r="B354" s="5" t="s">
        <v>134</v>
      </c>
      <c r="C354" s="409" t="s">
        <v>367</v>
      </c>
      <c r="D354" s="140" t="s">
        <v>368</v>
      </c>
      <c r="E354" s="1" t="s">
        <v>17</v>
      </c>
      <c r="F354" s="806">
        <v>43</v>
      </c>
      <c r="G354" s="807">
        <v>96490</v>
      </c>
      <c r="H354" s="805">
        <f t="shared" si="10"/>
        <v>4149070</v>
      </c>
      <c r="I354" s="67" t="s">
        <v>1758</v>
      </c>
      <c r="J354" s="67" t="s">
        <v>1068</v>
      </c>
      <c r="K354" s="67"/>
      <c r="L354" s="49"/>
    </row>
    <row r="355" spans="1:12" ht="26.4" x14ac:dyDescent="0.4">
      <c r="A355" s="484">
        <v>46233</v>
      </c>
      <c r="B355" s="5" t="s">
        <v>134</v>
      </c>
      <c r="C355" s="409" t="s">
        <v>1733</v>
      </c>
      <c r="D355" s="140" t="s">
        <v>1734</v>
      </c>
      <c r="E355" s="1" t="s">
        <v>127</v>
      </c>
      <c r="F355" s="29">
        <v>10</v>
      </c>
      <c r="G355" s="61">
        <v>18400</v>
      </c>
      <c r="H355" s="805">
        <f t="shared" si="10"/>
        <v>184000</v>
      </c>
      <c r="I355" s="67" t="s">
        <v>1758</v>
      </c>
      <c r="J355" s="67" t="s">
        <v>1068</v>
      </c>
      <c r="K355" s="67"/>
      <c r="L355" s="49"/>
    </row>
    <row r="356" spans="1:12" ht="26.4" x14ac:dyDescent="0.4">
      <c r="A356" s="484">
        <v>46233</v>
      </c>
      <c r="B356" s="5" t="s">
        <v>134</v>
      </c>
      <c r="C356" s="409" t="s">
        <v>1735</v>
      </c>
      <c r="D356" s="140" t="s">
        <v>1736</v>
      </c>
      <c r="E356" s="1" t="s">
        <v>127</v>
      </c>
      <c r="F356" s="29">
        <v>15</v>
      </c>
      <c r="G356" s="61">
        <v>26000</v>
      </c>
      <c r="H356" s="805">
        <f t="shared" si="10"/>
        <v>390000</v>
      </c>
      <c r="I356" s="67" t="s">
        <v>1758</v>
      </c>
      <c r="J356" s="67" t="s">
        <v>1068</v>
      </c>
      <c r="K356" s="67"/>
      <c r="L356" s="49"/>
    </row>
    <row r="357" spans="1:12" ht="26.4" x14ac:dyDescent="0.4">
      <c r="A357" s="484">
        <v>46233</v>
      </c>
      <c r="B357" s="5" t="s">
        <v>134</v>
      </c>
      <c r="C357" s="409" t="s">
        <v>1737</v>
      </c>
      <c r="D357" s="140" t="s">
        <v>1738</v>
      </c>
      <c r="E357" s="1" t="s">
        <v>127</v>
      </c>
      <c r="F357" s="29">
        <v>19</v>
      </c>
      <c r="G357" s="61">
        <v>18400</v>
      </c>
      <c r="H357" s="805">
        <f t="shared" si="10"/>
        <v>349600</v>
      </c>
      <c r="I357" s="67" t="s">
        <v>1758</v>
      </c>
      <c r="J357" s="67" t="s">
        <v>1068</v>
      </c>
      <c r="K357" s="67"/>
      <c r="L357" s="49"/>
    </row>
    <row r="358" spans="1:12" ht="26.4" x14ac:dyDescent="0.4">
      <c r="A358" s="484">
        <v>46233</v>
      </c>
      <c r="B358" s="5" t="s">
        <v>134</v>
      </c>
      <c r="C358" s="409" t="s">
        <v>1739</v>
      </c>
      <c r="D358" s="140" t="s">
        <v>1740</v>
      </c>
      <c r="E358" s="1" t="s">
        <v>127</v>
      </c>
      <c r="F358" s="29">
        <v>14</v>
      </c>
      <c r="G358" s="61">
        <v>26000</v>
      </c>
      <c r="H358" s="805">
        <f t="shared" si="10"/>
        <v>364000</v>
      </c>
      <c r="I358" s="67" t="s">
        <v>1758</v>
      </c>
      <c r="J358" s="67" t="s">
        <v>1068</v>
      </c>
      <c r="K358" s="67"/>
      <c r="L358" s="49"/>
    </row>
    <row r="359" spans="1:12" x14ac:dyDescent="0.4">
      <c r="A359" s="484">
        <v>46233</v>
      </c>
      <c r="B359" s="5" t="s">
        <v>134</v>
      </c>
      <c r="C359" s="6" t="s">
        <v>369</v>
      </c>
      <c r="D359" s="786" t="s">
        <v>1303</v>
      </c>
      <c r="E359" s="8" t="s">
        <v>17</v>
      </c>
      <c r="F359" s="808">
        <v>58</v>
      </c>
      <c r="G359" s="809">
        <v>99220</v>
      </c>
      <c r="H359" s="805">
        <f t="shared" si="10"/>
        <v>5754760</v>
      </c>
      <c r="I359" s="67" t="s">
        <v>1758</v>
      </c>
      <c r="J359" s="67" t="s">
        <v>1068</v>
      </c>
      <c r="K359" s="67"/>
      <c r="L359" s="49"/>
    </row>
    <row r="360" spans="1:12" ht="26.4" x14ac:dyDescent="0.4">
      <c r="A360" s="484">
        <v>46233</v>
      </c>
      <c r="B360" s="5" t="s">
        <v>134</v>
      </c>
      <c r="C360" s="409" t="s">
        <v>132</v>
      </c>
      <c r="D360" s="140" t="s">
        <v>1120</v>
      </c>
      <c r="E360" s="1" t="s">
        <v>13</v>
      </c>
      <c r="F360" s="806">
        <v>12</v>
      </c>
      <c r="G360" s="807">
        <v>3225880</v>
      </c>
      <c r="H360" s="805">
        <f t="shared" si="10"/>
        <v>38710560</v>
      </c>
      <c r="I360" s="67" t="s">
        <v>1758</v>
      </c>
      <c r="J360" s="67" t="s">
        <v>1068</v>
      </c>
      <c r="K360" s="67"/>
      <c r="L360" s="49"/>
    </row>
    <row r="361" spans="1:12" ht="26.4" x14ac:dyDescent="0.4">
      <c r="A361" s="484">
        <v>46233</v>
      </c>
      <c r="B361" s="5" t="s">
        <v>134</v>
      </c>
      <c r="C361" s="409" t="s">
        <v>132</v>
      </c>
      <c r="D361" s="140" t="s">
        <v>1120</v>
      </c>
      <c r="E361" s="1" t="s">
        <v>13</v>
      </c>
      <c r="F361" s="806">
        <v>4</v>
      </c>
      <c r="G361" s="807">
        <v>3225880</v>
      </c>
      <c r="H361" s="805">
        <f t="shared" si="10"/>
        <v>12903520</v>
      </c>
      <c r="I361" s="67" t="s">
        <v>1758</v>
      </c>
      <c r="J361" s="67"/>
      <c r="K361" s="67"/>
      <c r="L361" s="49"/>
    </row>
    <row r="362" spans="1:12" x14ac:dyDescent="0.4">
      <c r="A362" s="484">
        <v>46233</v>
      </c>
      <c r="B362" s="5" t="s">
        <v>134</v>
      </c>
      <c r="C362" s="6" t="s">
        <v>1741</v>
      </c>
      <c r="D362" s="786" t="s">
        <v>1742</v>
      </c>
      <c r="E362" s="8" t="s">
        <v>17</v>
      </c>
      <c r="F362" s="8">
        <v>63</v>
      </c>
      <c r="G362" s="36">
        <v>215340</v>
      </c>
      <c r="H362" s="805">
        <f t="shared" si="10"/>
        <v>13566420</v>
      </c>
      <c r="I362" s="67" t="s">
        <v>1758</v>
      </c>
      <c r="J362" s="67" t="s">
        <v>1068</v>
      </c>
      <c r="K362" s="67"/>
      <c r="L362" s="49"/>
    </row>
    <row r="363" spans="1:12" x14ac:dyDescent="0.4">
      <c r="A363" s="484">
        <v>46233</v>
      </c>
      <c r="B363" s="5" t="s">
        <v>134</v>
      </c>
      <c r="C363" s="409" t="s">
        <v>941</v>
      </c>
      <c r="D363" s="140" t="s">
        <v>1311</v>
      </c>
      <c r="E363" s="812" t="s">
        <v>13</v>
      </c>
      <c r="F363" s="806">
        <v>22</v>
      </c>
      <c r="G363" s="807">
        <v>290000</v>
      </c>
      <c r="H363" s="805">
        <f t="shared" si="10"/>
        <v>6380000</v>
      </c>
      <c r="I363" s="67" t="s">
        <v>1758</v>
      </c>
      <c r="J363" s="67" t="s">
        <v>1068</v>
      </c>
      <c r="K363" s="67"/>
      <c r="L363" s="49"/>
    </row>
    <row r="364" spans="1:12" x14ac:dyDescent="0.4">
      <c r="A364" s="484">
        <v>46233</v>
      </c>
      <c r="B364" s="5" t="s">
        <v>134</v>
      </c>
      <c r="C364" s="409" t="s">
        <v>945</v>
      </c>
      <c r="D364" s="140" t="s">
        <v>1312</v>
      </c>
      <c r="E364" s="1" t="s">
        <v>13</v>
      </c>
      <c r="F364" s="806">
        <v>17</v>
      </c>
      <c r="G364" s="807">
        <v>225000</v>
      </c>
      <c r="H364" s="805">
        <f t="shared" si="10"/>
        <v>3825000</v>
      </c>
      <c r="I364" s="67" t="s">
        <v>1758</v>
      </c>
      <c r="J364" s="67" t="s">
        <v>1068</v>
      </c>
      <c r="K364" s="67"/>
      <c r="L364" s="49"/>
    </row>
    <row r="365" spans="1:12" x14ac:dyDescent="0.4">
      <c r="A365" s="484">
        <v>46233</v>
      </c>
      <c r="B365" s="5" t="s">
        <v>134</v>
      </c>
      <c r="C365" s="409" t="s">
        <v>312</v>
      </c>
      <c r="D365" s="140" t="s">
        <v>316</v>
      </c>
      <c r="E365" s="1" t="s">
        <v>13</v>
      </c>
      <c r="F365" s="806">
        <v>23</v>
      </c>
      <c r="G365" s="807">
        <v>96000</v>
      </c>
      <c r="H365" s="805">
        <f t="shared" si="10"/>
        <v>2208000</v>
      </c>
      <c r="I365" s="67" t="s">
        <v>1758</v>
      </c>
      <c r="J365" s="67" t="s">
        <v>1068</v>
      </c>
      <c r="K365" s="67"/>
      <c r="L365" s="49"/>
    </row>
    <row r="366" spans="1:12" x14ac:dyDescent="0.4">
      <c r="A366" s="484">
        <v>46233</v>
      </c>
      <c r="B366" s="5" t="s">
        <v>134</v>
      </c>
      <c r="C366" s="409" t="s">
        <v>319</v>
      </c>
      <c r="D366" s="140" t="s">
        <v>960</v>
      </c>
      <c r="E366" s="1" t="s">
        <v>13</v>
      </c>
      <c r="F366" s="806">
        <v>14</v>
      </c>
      <c r="G366" s="807">
        <v>142700</v>
      </c>
      <c r="H366" s="805">
        <f t="shared" si="10"/>
        <v>1997800</v>
      </c>
      <c r="I366" s="67" t="s">
        <v>1758</v>
      </c>
      <c r="J366" s="67" t="s">
        <v>1068</v>
      </c>
      <c r="K366" s="67"/>
      <c r="L366" s="49"/>
    </row>
    <row r="367" spans="1:12" x14ac:dyDescent="0.4">
      <c r="A367" s="484">
        <v>46233</v>
      </c>
      <c r="B367" s="5" t="s">
        <v>134</v>
      </c>
      <c r="C367" s="409" t="s">
        <v>319</v>
      </c>
      <c r="D367" s="140" t="s">
        <v>1307</v>
      </c>
      <c r="E367" s="812" t="s">
        <v>13</v>
      </c>
      <c r="F367" s="806">
        <v>11</v>
      </c>
      <c r="G367" s="807">
        <v>94000</v>
      </c>
      <c r="H367" s="805">
        <f t="shared" si="10"/>
        <v>1034000</v>
      </c>
      <c r="I367" s="67" t="s">
        <v>1758</v>
      </c>
      <c r="J367" s="67" t="s">
        <v>1068</v>
      </c>
      <c r="K367" s="67"/>
      <c r="L367" s="49"/>
    </row>
    <row r="368" spans="1:12" x14ac:dyDescent="0.4">
      <c r="A368" s="484">
        <v>46233</v>
      </c>
      <c r="B368" s="5" t="s">
        <v>134</v>
      </c>
      <c r="C368" s="409" t="s">
        <v>508</v>
      </c>
      <c r="D368" s="140" t="s">
        <v>329</v>
      </c>
      <c r="E368" s="1" t="s">
        <v>13</v>
      </c>
      <c r="F368" s="29">
        <v>11</v>
      </c>
      <c r="G368" s="807">
        <v>1364000</v>
      </c>
      <c r="H368" s="805">
        <f t="shared" si="10"/>
        <v>15004000</v>
      </c>
      <c r="I368" s="67" t="s">
        <v>1758</v>
      </c>
      <c r="J368" s="67" t="s">
        <v>1068</v>
      </c>
      <c r="K368" s="67"/>
      <c r="L368" s="49"/>
    </row>
    <row r="369" spans="1:13" s="113" customFormat="1" ht="20.25" customHeight="1" x14ac:dyDescent="0.4">
      <c r="A369" s="484">
        <v>46233</v>
      </c>
      <c r="B369" s="5" t="s">
        <v>134</v>
      </c>
      <c r="C369" s="409" t="s">
        <v>507</v>
      </c>
      <c r="D369" s="140" t="s">
        <v>328</v>
      </c>
      <c r="E369" s="1" t="s">
        <v>13</v>
      </c>
      <c r="F369" s="806">
        <v>6</v>
      </c>
      <c r="G369" s="807">
        <v>1364000</v>
      </c>
      <c r="H369" s="805">
        <f t="shared" si="10"/>
        <v>8184000</v>
      </c>
      <c r="I369" s="67" t="s">
        <v>1758</v>
      </c>
      <c r="J369" s="67" t="s">
        <v>1068</v>
      </c>
      <c r="K369" s="67"/>
      <c r="L369" s="49"/>
    </row>
    <row r="370" spans="1:13" s="50" customFormat="1" ht="18.75" customHeight="1" x14ac:dyDescent="0.4">
      <c r="A370" s="620"/>
      <c r="B370" s="97"/>
      <c r="C370" s="123"/>
      <c r="D370" s="97"/>
      <c r="E370" s="123"/>
      <c r="F370" s="138"/>
      <c r="G370" s="138"/>
      <c r="H370" s="145">
        <f>SUM(H312:H343)</f>
        <v>311435418</v>
      </c>
      <c r="I370" s="123"/>
      <c r="J370" s="620"/>
      <c r="K370" s="123"/>
      <c r="L370" s="621"/>
    </row>
    <row r="371" spans="1:13" s="50" customFormat="1" ht="18.75" customHeight="1" x14ac:dyDescent="0.4">
      <c r="A371" s="482">
        <v>46224</v>
      </c>
      <c r="B371" s="110" t="s">
        <v>137</v>
      </c>
      <c r="C371" s="525" t="s">
        <v>241</v>
      </c>
      <c r="D371" s="59" t="s">
        <v>231</v>
      </c>
      <c r="E371" s="67"/>
      <c r="F371" s="49">
        <v>32</v>
      </c>
      <c r="G371" s="49">
        <v>195700</v>
      </c>
      <c r="H371" s="7">
        <f t="shared" ref="H371:H383" si="12">G371*F371</f>
        <v>6262400</v>
      </c>
      <c r="I371" s="67" t="s">
        <v>1574</v>
      </c>
      <c r="J371" s="49"/>
      <c r="K371" s="67"/>
      <c r="L371" s="409"/>
    </row>
    <row r="372" spans="1:13" s="50" customFormat="1" ht="18.75" customHeight="1" x14ac:dyDescent="0.4">
      <c r="A372" s="482">
        <v>46224</v>
      </c>
      <c r="B372" s="110" t="s">
        <v>137</v>
      </c>
      <c r="C372" s="525" t="s">
        <v>241</v>
      </c>
      <c r="D372" s="59" t="s">
        <v>373</v>
      </c>
      <c r="E372" s="67"/>
      <c r="F372" s="49">
        <v>32</v>
      </c>
      <c r="G372" s="49">
        <v>195700</v>
      </c>
      <c r="H372" s="7">
        <f t="shared" si="12"/>
        <v>6262400</v>
      </c>
      <c r="I372" s="67" t="s">
        <v>1574</v>
      </c>
      <c r="J372" s="49"/>
      <c r="K372" s="67"/>
      <c r="L372" s="409"/>
    </row>
    <row r="373" spans="1:13" s="50" customFormat="1" ht="18.75" customHeight="1" x14ac:dyDescent="0.4">
      <c r="A373" s="482">
        <v>46224</v>
      </c>
      <c r="B373" s="110" t="s">
        <v>137</v>
      </c>
      <c r="C373" s="525" t="s">
        <v>241</v>
      </c>
      <c r="D373" s="59" t="s">
        <v>373</v>
      </c>
      <c r="E373" s="67"/>
      <c r="F373" s="49">
        <v>8</v>
      </c>
      <c r="G373" s="49">
        <v>195700</v>
      </c>
      <c r="H373" s="7">
        <f t="shared" si="12"/>
        <v>1565600</v>
      </c>
      <c r="I373" s="67" t="s">
        <v>1574</v>
      </c>
      <c r="J373" s="49"/>
      <c r="K373" s="67"/>
      <c r="L373" s="409"/>
    </row>
    <row r="374" spans="1:13" s="3" customFormat="1" ht="18.75" customHeight="1" x14ac:dyDescent="0.4">
      <c r="A374" s="482">
        <v>46224</v>
      </c>
      <c r="B374" s="110" t="s">
        <v>137</v>
      </c>
      <c r="C374" s="525" t="s">
        <v>241</v>
      </c>
      <c r="D374" s="59" t="s">
        <v>373</v>
      </c>
      <c r="E374" s="67"/>
      <c r="F374" s="49">
        <v>24</v>
      </c>
      <c r="G374" s="49">
        <v>199600</v>
      </c>
      <c r="H374" s="7">
        <f t="shared" si="12"/>
        <v>4790400</v>
      </c>
      <c r="I374" s="67" t="s">
        <v>1689</v>
      </c>
      <c r="J374" s="49"/>
      <c r="K374" s="67"/>
      <c r="L374" s="409"/>
      <c r="M374" s="89"/>
    </row>
    <row r="375" spans="1:13" s="3" customFormat="1" ht="18.75" customHeight="1" x14ac:dyDescent="0.4">
      <c r="A375" s="482">
        <v>46224</v>
      </c>
      <c r="B375" s="110" t="s">
        <v>137</v>
      </c>
      <c r="C375" s="525" t="s">
        <v>241</v>
      </c>
      <c r="D375" s="59" t="s">
        <v>373</v>
      </c>
      <c r="E375" s="67"/>
      <c r="F375" s="49">
        <v>24</v>
      </c>
      <c r="G375" s="49">
        <v>199600</v>
      </c>
      <c r="H375" s="7">
        <f t="shared" si="12"/>
        <v>4790400</v>
      </c>
      <c r="I375" s="67" t="s">
        <v>1689</v>
      </c>
      <c r="J375" s="49"/>
      <c r="K375" s="67"/>
      <c r="L375" s="409"/>
      <c r="M375" s="89"/>
    </row>
    <row r="376" spans="1:13" s="50" customFormat="1" ht="18.75" customHeight="1" x14ac:dyDescent="0.4">
      <c r="A376" s="482">
        <v>46224</v>
      </c>
      <c r="B376" s="110" t="s">
        <v>137</v>
      </c>
      <c r="C376" s="525" t="s">
        <v>241</v>
      </c>
      <c r="D376" s="59" t="s">
        <v>419</v>
      </c>
      <c r="E376" s="67"/>
      <c r="F376" s="49">
        <v>7</v>
      </c>
      <c r="G376" s="49">
        <v>171300</v>
      </c>
      <c r="H376" s="7">
        <f t="shared" si="12"/>
        <v>1199100</v>
      </c>
      <c r="I376" s="67" t="s">
        <v>1439</v>
      </c>
      <c r="J376" s="49"/>
      <c r="K376" s="67"/>
      <c r="L376" s="409"/>
    </row>
    <row r="377" spans="1:13" s="50" customFormat="1" ht="18.75" customHeight="1" x14ac:dyDescent="0.4">
      <c r="A377" s="482">
        <v>46224</v>
      </c>
      <c r="B377" s="110" t="s">
        <v>137</v>
      </c>
      <c r="C377" s="525" t="s">
        <v>241</v>
      </c>
      <c r="D377" s="59" t="s">
        <v>419</v>
      </c>
      <c r="E377" s="67"/>
      <c r="F377" s="49">
        <v>17</v>
      </c>
      <c r="G377" s="49">
        <v>174700</v>
      </c>
      <c r="H377" s="7">
        <f t="shared" si="12"/>
        <v>2969900</v>
      </c>
      <c r="I377" s="67" t="s">
        <v>1690</v>
      </c>
      <c r="J377" s="49"/>
      <c r="K377" s="67"/>
      <c r="L377" s="409"/>
    </row>
    <row r="378" spans="1:13" s="50" customFormat="1" ht="24" customHeight="1" x14ac:dyDescent="0.4">
      <c r="A378" s="482">
        <v>46224</v>
      </c>
      <c r="B378" s="110" t="s">
        <v>137</v>
      </c>
      <c r="C378" s="525" t="s">
        <v>241</v>
      </c>
      <c r="D378" s="59" t="s">
        <v>419</v>
      </c>
      <c r="E378" s="67"/>
      <c r="F378" s="49">
        <v>24</v>
      </c>
      <c r="G378" s="49">
        <v>174700</v>
      </c>
      <c r="H378" s="7">
        <f t="shared" si="12"/>
        <v>4192800</v>
      </c>
      <c r="I378" s="67" t="s">
        <v>1690</v>
      </c>
      <c r="J378" s="49"/>
      <c r="K378" s="67"/>
      <c r="L378" s="409"/>
    </row>
    <row r="379" spans="1:13" s="50" customFormat="1" ht="18.75" customHeight="1" x14ac:dyDescent="0.4">
      <c r="A379" s="482">
        <v>46224</v>
      </c>
      <c r="B379" s="110" t="s">
        <v>137</v>
      </c>
      <c r="C379" s="525" t="s">
        <v>241</v>
      </c>
      <c r="D379" s="59" t="s">
        <v>232</v>
      </c>
      <c r="E379" s="67"/>
      <c r="F379" s="49">
        <v>9</v>
      </c>
      <c r="G379" s="49">
        <v>174700</v>
      </c>
      <c r="H379" s="7">
        <f t="shared" si="12"/>
        <v>1572300</v>
      </c>
      <c r="I379" s="67" t="s">
        <v>1690</v>
      </c>
      <c r="J379" s="49"/>
      <c r="K379" s="67"/>
      <c r="L379" s="409"/>
    </row>
    <row r="380" spans="1:13" s="50" customFormat="1" ht="18.75" customHeight="1" x14ac:dyDescent="0.4">
      <c r="A380" s="482">
        <v>46224</v>
      </c>
      <c r="B380" s="110" t="s">
        <v>137</v>
      </c>
      <c r="C380" s="525" t="s">
        <v>241</v>
      </c>
      <c r="D380" s="59" t="s">
        <v>419</v>
      </c>
      <c r="E380" s="67"/>
      <c r="F380" s="49">
        <v>15</v>
      </c>
      <c r="G380" s="49">
        <v>181100</v>
      </c>
      <c r="H380" s="7">
        <f t="shared" si="12"/>
        <v>2716500</v>
      </c>
      <c r="I380" s="67" t="s">
        <v>1691</v>
      </c>
      <c r="J380" s="49"/>
      <c r="K380" s="67"/>
      <c r="L380" s="409"/>
    </row>
    <row r="381" spans="1:13" s="50" customFormat="1" ht="18.75" customHeight="1" x14ac:dyDescent="0.4">
      <c r="A381" s="482">
        <v>46224</v>
      </c>
      <c r="B381" s="110" t="s">
        <v>137</v>
      </c>
      <c r="C381" s="525" t="s">
        <v>241</v>
      </c>
      <c r="D381" s="59" t="s">
        <v>419</v>
      </c>
      <c r="E381" s="67"/>
      <c r="F381" s="49">
        <v>24</v>
      </c>
      <c r="G381" s="49">
        <v>181100</v>
      </c>
      <c r="H381" s="7">
        <f t="shared" si="12"/>
        <v>4346400</v>
      </c>
      <c r="I381" s="67" t="s">
        <v>1691</v>
      </c>
      <c r="J381" s="49"/>
      <c r="K381" s="67"/>
      <c r="L381" s="409"/>
    </row>
    <row r="382" spans="1:13" s="50" customFormat="1" ht="18.75" customHeight="1" x14ac:dyDescent="0.4">
      <c r="A382" s="482">
        <v>46224</v>
      </c>
      <c r="B382" s="110" t="s">
        <v>137</v>
      </c>
      <c r="C382" s="525" t="s">
        <v>332</v>
      </c>
      <c r="D382" s="59" t="s">
        <v>238</v>
      </c>
      <c r="E382" s="67"/>
      <c r="F382" s="49">
        <v>20</v>
      </c>
      <c r="G382" s="49">
        <v>137000</v>
      </c>
      <c r="H382" s="7">
        <f t="shared" si="12"/>
        <v>2740000</v>
      </c>
      <c r="I382" s="67" t="s">
        <v>1439</v>
      </c>
      <c r="J382" s="49"/>
      <c r="K382" s="67"/>
      <c r="L382" s="409"/>
    </row>
    <row r="383" spans="1:13" s="50" customFormat="1" ht="18.75" customHeight="1" x14ac:dyDescent="0.4">
      <c r="A383" s="482">
        <v>46224</v>
      </c>
      <c r="B383" s="110" t="s">
        <v>137</v>
      </c>
      <c r="C383" s="525" t="s">
        <v>332</v>
      </c>
      <c r="D383" s="59" t="s">
        <v>420</v>
      </c>
      <c r="E383" s="67"/>
      <c r="F383" s="49">
        <v>36</v>
      </c>
      <c r="G383" s="49">
        <v>141100</v>
      </c>
      <c r="H383" s="7">
        <f t="shared" si="12"/>
        <v>5079600</v>
      </c>
      <c r="I383" s="67" t="s">
        <v>1692</v>
      </c>
      <c r="J383" s="49"/>
      <c r="K383" s="67"/>
      <c r="L383" s="409"/>
    </row>
    <row r="384" spans="1:13" x14ac:dyDescent="0.4">
      <c r="A384" s="482">
        <v>46224</v>
      </c>
      <c r="B384" s="110" t="s">
        <v>137</v>
      </c>
      <c r="C384" s="525" t="s">
        <v>241</v>
      </c>
      <c r="D384" s="59" t="s">
        <v>240</v>
      </c>
      <c r="E384" s="67"/>
      <c r="F384" s="49">
        <v>8</v>
      </c>
      <c r="G384" s="49">
        <v>256600</v>
      </c>
      <c r="H384" s="7">
        <f>G384*F384</f>
        <v>2052800</v>
      </c>
      <c r="I384" s="67" t="s">
        <v>1572</v>
      </c>
      <c r="J384" s="49"/>
      <c r="K384" s="67"/>
      <c r="L384" s="409"/>
      <c r="M384"/>
    </row>
    <row r="385" spans="1:13" x14ac:dyDescent="0.4">
      <c r="A385" s="482">
        <v>46224</v>
      </c>
      <c r="B385" s="110" t="s">
        <v>137</v>
      </c>
      <c r="C385" s="525" t="s">
        <v>241</v>
      </c>
      <c r="D385" s="59" t="s">
        <v>471</v>
      </c>
      <c r="E385" s="67"/>
      <c r="F385" s="49">
        <v>16</v>
      </c>
      <c r="G385" s="49">
        <v>261900</v>
      </c>
      <c r="H385" s="7">
        <f>G385*F385</f>
        <v>4190400</v>
      </c>
      <c r="I385" s="67" t="s">
        <v>1689</v>
      </c>
      <c r="J385" s="49"/>
      <c r="K385" s="67"/>
      <c r="L385" s="409"/>
      <c r="M385"/>
    </row>
    <row r="386" spans="1:13" x14ac:dyDescent="0.4">
      <c r="A386" s="482">
        <v>46233</v>
      </c>
      <c r="B386" s="110" t="s">
        <v>137</v>
      </c>
      <c r="C386" s="525" t="s">
        <v>138</v>
      </c>
      <c r="D386" s="59" t="s">
        <v>1743</v>
      </c>
      <c r="E386" s="67"/>
      <c r="F386" s="49">
        <v>45</v>
      </c>
      <c r="G386" s="49">
        <v>184100</v>
      </c>
      <c r="H386" s="7">
        <f>G386*F386</f>
        <v>8284500</v>
      </c>
      <c r="I386" s="67" t="s">
        <v>1744</v>
      </c>
      <c r="J386" s="49"/>
      <c r="K386" s="67"/>
      <c r="L386" s="409"/>
      <c r="M386"/>
    </row>
    <row r="387" spans="1:13" x14ac:dyDescent="0.4">
      <c r="A387" s="482">
        <v>46233</v>
      </c>
      <c r="B387" s="110" t="s">
        <v>137</v>
      </c>
      <c r="C387" s="525" t="s">
        <v>233</v>
      </c>
      <c r="D387" s="59" t="s">
        <v>977</v>
      </c>
      <c r="E387" s="67"/>
      <c r="F387" s="49">
        <v>60</v>
      </c>
      <c r="G387" s="49">
        <v>133300</v>
      </c>
      <c r="H387" s="7">
        <f>G387*F387</f>
        <v>7998000</v>
      </c>
      <c r="I387" s="67" t="s">
        <v>1439</v>
      </c>
      <c r="J387" s="49"/>
      <c r="K387" s="67"/>
      <c r="L387" s="409"/>
      <c r="M387"/>
    </row>
    <row r="388" spans="1:13" x14ac:dyDescent="0.4">
      <c r="A388" s="482"/>
      <c r="B388" s="110"/>
      <c r="C388" s="525"/>
      <c r="D388" s="59"/>
      <c r="E388" s="67"/>
      <c r="F388" s="49"/>
      <c r="G388" s="49"/>
      <c r="H388" s="7"/>
      <c r="I388" s="67"/>
      <c r="J388" s="49"/>
      <c r="K388" s="67"/>
      <c r="L388" s="409"/>
      <c r="M388"/>
    </row>
    <row r="389" spans="1:13" x14ac:dyDescent="0.4">
      <c r="A389" s="620"/>
      <c r="B389" s="97" t="s">
        <v>1693</v>
      </c>
      <c r="C389" s="529"/>
      <c r="D389" s="97"/>
      <c r="E389" s="123"/>
      <c r="F389" s="138"/>
      <c r="G389" s="138"/>
      <c r="H389" s="145">
        <f>SUM(H371:H387)</f>
        <v>71013500</v>
      </c>
      <c r="I389" s="123"/>
      <c r="J389" s="620"/>
      <c r="K389" s="123"/>
      <c r="L389" s="621"/>
      <c r="M389"/>
    </row>
    <row r="390" spans="1:13" s="50" customFormat="1" ht="18.75" customHeight="1" x14ac:dyDescent="0.4">
      <c r="A390" s="559">
        <v>46058</v>
      </c>
      <c r="B390" s="471" t="s">
        <v>140</v>
      </c>
      <c r="C390" s="470" t="s">
        <v>473</v>
      </c>
      <c r="D390" s="471" t="s">
        <v>777</v>
      </c>
      <c r="E390" s="471" t="s">
        <v>13</v>
      </c>
      <c r="F390" s="472">
        <v>1</v>
      </c>
      <c r="G390" s="473">
        <v>437172</v>
      </c>
      <c r="H390" s="466">
        <f t="shared" ref="H390:H401" si="13">F390*G390</f>
        <v>437172</v>
      </c>
      <c r="I390" s="67" t="s">
        <v>1757</v>
      </c>
      <c r="J390" s="67"/>
      <c r="K390" s="67"/>
      <c r="L390" s="67"/>
    </row>
    <row r="391" spans="1:13" s="50" customFormat="1" ht="18.75" customHeight="1" x14ac:dyDescent="0.4">
      <c r="A391" s="559">
        <v>46084</v>
      </c>
      <c r="B391" s="471" t="s">
        <v>140</v>
      </c>
      <c r="C391" s="470" t="s">
        <v>473</v>
      </c>
      <c r="D391" s="471" t="s">
        <v>777</v>
      </c>
      <c r="E391" s="471" t="s">
        <v>13</v>
      </c>
      <c r="F391" s="472">
        <v>1</v>
      </c>
      <c r="G391" s="473">
        <v>437172</v>
      </c>
      <c r="H391" s="466">
        <f t="shared" si="13"/>
        <v>437172</v>
      </c>
      <c r="I391" s="67" t="s">
        <v>1757</v>
      </c>
      <c r="J391" s="67"/>
      <c r="K391" s="67"/>
      <c r="L391" s="67"/>
    </row>
    <row r="392" spans="1:13" s="50" customFormat="1" ht="18.75" customHeight="1" x14ac:dyDescent="0.4">
      <c r="A392" s="559">
        <v>46135</v>
      </c>
      <c r="B392" s="471" t="s">
        <v>140</v>
      </c>
      <c r="C392" s="470" t="s">
        <v>473</v>
      </c>
      <c r="D392" s="471" t="s">
        <v>777</v>
      </c>
      <c r="E392" s="471" t="s">
        <v>13</v>
      </c>
      <c r="F392" s="472">
        <v>2</v>
      </c>
      <c r="G392" s="473">
        <v>437172</v>
      </c>
      <c r="H392" s="466">
        <f t="shared" si="13"/>
        <v>874344</v>
      </c>
      <c r="I392" s="67" t="s">
        <v>1757</v>
      </c>
      <c r="J392" s="67"/>
      <c r="K392" s="67"/>
      <c r="L392" s="67"/>
    </row>
    <row r="393" spans="1:13" s="3" customFormat="1" ht="18.75" customHeight="1" x14ac:dyDescent="0.4">
      <c r="A393" s="556">
        <v>46114</v>
      </c>
      <c r="B393" s="471" t="s">
        <v>140</v>
      </c>
      <c r="C393" s="470" t="s">
        <v>553</v>
      </c>
      <c r="D393" s="471" t="s">
        <v>244</v>
      </c>
      <c r="E393" s="471" t="s">
        <v>13</v>
      </c>
      <c r="F393" s="564">
        <v>2</v>
      </c>
      <c r="G393" s="565">
        <v>973200</v>
      </c>
      <c r="H393" s="466">
        <f t="shared" si="13"/>
        <v>1946400</v>
      </c>
      <c r="I393" s="67" t="s">
        <v>1757</v>
      </c>
      <c r="J393" s="144"/>
      <c r="K393" s="144"/>
      <c r="L393" s="144"/>
      <c r="M393" s="89"/>
    </row>
    <row r="394" spans="1:13" s="50" customFormat="1" ht="18.75" customHeight="1" x14ac:dyDescent="0.4">
      <c r="A394" s="556">
        <v>46115</v>
      </c>
      <c r="B394" s="560" t="s">
        <v>140</v>
      </c>
      <c r="C394" s="561" t="s">
        <v>553</v>
      </c>
      <c r="D394" s="562" t="s">
        <v>244</v>
      </c>
      <c r="E394" s="562" t="s">
        <v>13</v>
      </c>
      <c r="F394" s="563">
        <v>1</v>
      </c>
      <c r="G394" s="563">
        <v>973200</v>
      </c>
      <c r="H394" s="466">
        <f t="shared" si="13"/>
        <v>973200</v>
      </c>
      <c r="I394" s="67" t="s">
        <v>1757</v>
      </c>
      <c r="J394" s="67"/>
      <c r="K394" s="67"/>
      <c r="L394" s="67"/>
    </row>
    <row r="395" spans="1:13" x14ac:dyDescent="0.4">
      <c r="A395" s="559">
        <v>46161</v>
      </c>
      <c r="B395" s="466" t="s">
        <v>140</v>
      </c>
      <c r="C395" s="473" t="s">
        <v>580</v>
      </c>
      <c r="D395" s="628" t="s">
        <v>1454</v>
      </c>
      <c r="E395" s="628" t="s">
        <v>13</v>
      </c>
      <c r="F395" s="473">
        <v>6</v>
      </c>
      <c r="G395" s="473">
        <v>1095240</v>
      </c>
      <c r="H395" s="466">
        <f t="shared" si="13"/>
        <v>6571440</v>
      </c>
      <c r="I395" s="67" t="s">
        <v>1757</v>
      </c>
      <c r="J395" s="59"/>
      <c r="K395" s="67"/>
      <c r="L395" s="59"/>
      <c r="M395"/>
    </row>
    <row r="396" spans="1:13" x14ac:dyDescent="0.4">
      <c r="A396" s="559">
        <v>46161</v>
      </c>
      <c r="B396" s="560" t="s">
        <v>140</v>
      </c>
      <c r="C396" s="561" t="s">
        <v>553</v>
      </c>
      <c r="D396" s="562" t="s">
        <v>1455</v>
      </c>
      <c r="E396" s="562" t="s">
        <v>13</v>
      </c>
      <c r="F396" s="563">
        <v>1</v>
      </c>
      <c r="G396" s="563">
        <v>1095240</v>
      </c>
      <c r="H396" s="466">
        <f t="shared" si="13"/>
        <v>1095240</v>
      </c>
      <c r="I396" s="67" t="s">
        <v>1757</v>
      </c>
      <c r="J396" s="59"/>
      <c r="K396" s="67"/>
      <c r="L396" s="59"/>
      <c r="M396"/>
    </row>
    <row r="397" spans="1:13" x14ac:dyDescent="0.4">
      <c r="A397" s="559">
        <v>46164</v>
      </c>
      <c r="B397" s="560" t="s">
        <v>140</v>
      </c>
      <c r="C397" s="473" t="s">
        <v>1456</v>
      </c>
      <c r="D397" s="628" t="s">
        <v>1454</v>
      </c>
      <c r="E397" s="628" t="s">
        <v>13</v>
      </c>
      <c r="F397" s="473">
        <v>5</v>
      </c>
      <c r="G397" s="473">
        <v>1095240</v>
      </c>
      <c r="H397" s="466">
        <f t="shared" si="13"/>
        <v>5476200</v>
      </c>
      <c r="I397" s="67" t="s">
        <v>1757</v>
      </c>
      <c r="J397" s="59"/>
      <c r="K397" s="67"/>
      <c r="L397" s="59"/>
      <c r="M397"/>
    </row>
    <row r="398" spans="1:13" x14ac:dyDescent="0.4">
      <c r="A398" s="559">
        <v>46171</v>
      </c>
      <c r="B398" s="466" t="s">
        <v>140</v>
      </c>
      <c r="C398" s="473" t="s">
        <v>1760</v>
      </c>
      <c r="D398" s="628" t="s">
        <v>1454</v>
      </c>
      <c r="E398" s="628" t="s">
        <v>13</v>
      </c>
      <c r="F398" s="473">
        <v>2</v>
      </c>
      <c r="G398" s="473">
        <v>1095240</v>
      </c>
      <c r="H398" s="466">
        <f t="shared" si="13"/>
        <v>2190480</v>
      </c>
      <c r="I398" s="67" t="s">
        <v>1757</v>
      </c>
      <c r="J398" s="59"/>
      <c r="K398" s="67"/>
      <c r="L398" s="59"/>
      <c r="M398"/>
    </row>
    <row r="399" spans="1:13" s="50" customFormat="1" ht="18.600000000000001" customHeight="1" x14ac:dyDescent="0.4">
      <c r="A399" s="559">
        <v>46189</v>
      </c>
      <c r="B399" s="466" t="s">
        <v>140</v>
      </c>
      <c r="C399" s="565" t="s">
        <v>1456</v>
      </c>
      <c r="D399" s="628" t="s">
        <v>581</v>
      </c>
      <c r="E399" s="628" t="s">
        <v>13</v>
      </c>
      <c r="F399" s="565">
        <v>3</v>
      </c>
      <c r="G399" s="473">
        <v>1095240</v>
      </c>
      <c r="H399" s="565">
        <f t="shared" si="13"/>
        <v>3285720</v>
      </c>
      <c r="I399" s="67" t="s">
        <v>1757</v>
      </c>
      <c r="J399" s="67"/>
      <c r="K399" s="67"/>
      <c r="L399" s="67"/>
    </row>
    <row r="400" spans="1:13" s="50" customFormat="1" ht="18.75" customHeight="1" x14ac:dyDescent="0.4">
      <c r="A400" s="559">
        <v>46189</v>
      </c>
      <c r="B400" s="466" t="s">
        <v>140</v>
      </c>
      <c r="C400" s="565" t="s">
        <v>1456</v>
      </c>
      <c r="D400" s="628" t="s">
        <v>581</v>
      </c>
      <c r="E400" s="628" t="s">
        <v>13</v>
      </c>
      <c r="F400" s="565">
        <v>2</v>
      </c>
      <c r="G400" s="473">
        <v>1095240</v>
      </c>
      <c r="H400" s="565">
        <f t="shared" si="13"/>
        <v>2190480</v>
      </c>
      <c r="I400" s="67" t="s">
        <v>1757</v>
      </c>
      <c r="J400" s="67"/>
      <c r="K400" s="67"/>
      <c r="L400" s="67"/>
    </row>
    <row r="401" spans="1:13" s="50" customFormat="1" ht="18.75" customHeight="1" x14ac:dyDescent="0.4">
      <c r="A401" s="559">
        <v>46190</v>
      </c>
      <c r="B401" s="466" t="s">
        <v>140</v>
      </c>
      <c r="C401" s="473" t="s">
        <v>1456</v>
      </c>
      <c r="D401" s="628" t="s">
        <v>581</v>
      </c>
      <c r="E401" s="628" t="s">
        <v>13</v>
      </c>
      <c r="F401" s="473">
        <v>3</v>
      </c>
      <c r="G401" s="473">
        <v>1095240</v>
      </c>
      <c r="H401" s="565">
        <f t="shared" si="13"/>
        <v>3285720</v>
      </c>
      <c r="I401" s="67" t="s">
        <v>1757</v>
      </c>
      <c r="J401" s="67"/>
      <c r="K401" s="67"/>
      <c r="L401" s="67"/>
    </row>
    <row r="402" spans="1:13" s="50" customFormat="1" ht="18.75" customHeight="1" x14ac:dyDescent="0.4">
      <c r="A402" s="559">
        <v>46195</v>
      </c>
      <c r="B402" s="466" t="s">
        <v>140</v>
      </c>
      <c r="C402" s="473" t="s">
        <v>580</v>
      </c>
      <c r="D402" s="628" t="s">
        <v>581</v>
      </c>
      <c r="E402" s="628" t="s">
        <v>13</v>
      </c>
      <c r="F402" s="473">
        <v>4</v>
      </c>
      <c r="G402" s="473">
        <v>1095240</v>
      </c>
      <c r="H402" s="565">
        <f t="shared" ref="H402:H410" si="14">F402*G402</f>
        <v>4380960</v>
      </c>
      <c r="I402" s="67" t="s">
        <v>1757</v>
      </c>
      <c r="J402" s="67"/>
      <c r="K402" s="67"/>
      <c r="L402" s="67"/>
    </row>
    <row r="403" spans="1:13" s="50" customFormat="1" ht="18.75" customHeight="1" x14ac:dyDescent="0.4">
      <c r="A403" s="559">
        <v>46177</v>
      </c>
      <c r="B403" s="471" t="s">
        <v>140</v>
      </c>
      <c r="C403" s="470" t="s">
        <v>1576</v>
      </c>
      <c r="D403" s="471" t="s">
        <v>772</v>
      </c>
      <c r="E403" s="471" t="s">
        <v>13</v>
      </c>
      <c r="F403" s="564">
        <v>2</v>
      </c>
      <c r="G403" s="565">
        <v>703040</v>
      </c>
      <c r="H403" s="565">
        <f t="shared" si="14"/>
        <v>1406080</v>
      </c>
      <c r="I403" s="67" t="s">
        <v>1757</v>
      </c>
      <c r="J403" s="67"/>
      <c r="K403" s="67"/>
      <c r="L403" s="67"/>
    </row>
    <row r="404" spans="1:13" s="50" customFormat="1" ht="18.75" customHeight="1" x14ac:dyDescent="0.4">
      <c r="A404" s="559">
        <v>46181</v>
      </c>
      <c r="B404" s="471" t="s">
        <v>140</v>
      </c>
      <c r="C404" s="470" t="s">
        <v>1576</v>
      </c>
      <c r="D404" s="471" t="s">
        <v>772</v>
      </c>
      <c r="E404" s="471" t="s">
        <v>13</v>
      </c>
      <c r="F404" s="564">
        <v>1</v>
      </c>
      <c r="G404" s="565">
        <v>703040</v>
      </c>
      <c r="H404" s="565">
        <f t="shared" si="14"/>
        <v>703040</v>
      </c>
      <c r="I404" s="67" t="s">
        <v>1757</v>
      </c>
      <c r="J404" s="67"/>
      <c r="K404" s="67"/>
      <c r="L404" s="67"/>
    </row>
    <row r="405" spans="1:13" s="50" customFormat="1" ht="18.75" customHeight="1" x14ac:dyDescent="0.4">
      <c r="A405" s="559">
        <v>46189</v>
      </c>
      <c r="B405" s="471" t="s">
        <v>140</v>
      </c>
      <c r="C405" s="470" t="s">
        <v>1576</v>
      </c>
      <c r="D405" s="471" t="s">
        <v>772</v>
      </c>
      <c r="E405" s="471" t="s">
        <v>13</v>
      </c>
      <c r="F405" s="564">
        <v>5</v>
      </c>
      <c r="G405" s="565">
        <v>703040</v>
      </c>
      <c r="H405" s="565">
        <f t="shared" si="14"/>
        <v>3515200</v>
      </c>
      <c r="I405" s="67" t="s">
        <v>1757</v>
      </c>
      <c r="J405" s="67"/>
      <c r="K405" s="67"/>
      <c r="L405" s="67"/>
    </row>
    <row r="406" spans="1:13" s="50" customFormat="1" ht="18.75" customHeight="1" x14ac:dyDescent="0.4">
      <c r="A406" s="559">
        <v>46195</v>
      </c>
      <c r="B406" s="471" t="s">
        <v>140</v>
      </c>
      <c r="C406" s="470" t="s">
        <v>771</v>
      </c>
      <c r="D406" s="471" t="s">
        <v>772</v>
      </c>
      <c r="E406" s="471" t="s">
        <v>13</v>
      </c>
      <c r="F406" s="472">
        <v>2</v>
      </c>
      <c r="G406" s="565">
        <v>703040</v>
      </c>
      <c r="H406" s="565">
        <f t="shared" si="14"/>
        <v>1406080</v>
      </c>
      <c r="I406" s="67" t="s">
        <v>1757</v>
      </c>
      <c r="J406" s="67"/>
      <c r="K406" s="144"/>
      <c r="L406" s="67"/>
    </row>
    <row r="407" spans="1:13" s="50" customFormat="1" ht="18.75" customHeight="1" x14ac:dyDescent="0.4">
      <c r="A407" s="559">
        <v>46203</v>
      </c>
      <c r="B407" s="471" t="s">
        <v>140</v>
      </c>
      <c r="C407" s="470" t="s">
        <v>1576</v>
      </c>
      <c r="D407" s="471" t="s">
        <v>772</v>
      </c>
      <c r="E407" s="471" t="s">
        <v>13</v>
      </c>
      <c r="F407" s="472">
        <v>7</v>
      </c>
      <c r="G407" s="565">
        <v>703040</v>
      </c>
      <c r="H407" s="565">
        <f t="shared" si="14"/>
        <v>4921280</v>
      </c>
      <c r="I407" s="67" t="s">
        <v>1757</v>
      </c>
      <c r="J407" s="67"/>
      <c r="K407" s="144"/>
      <c r="L407" s="67"/>
    </row>
    <row r="408" spans="1:13" x14ac:dyDescent="0.4">
      <c r="A408" s="790">
        <v>46212</v>
      </c>
      <c r="B408" s="471" t="s">
        <v>140</v>
      </c>
      <c r="C408" s="470" t="s">
        <v>771</v>
      </c>
      <c r="D408" s="471" t="s">
        <v>772</v>
      </c>
      <c r="E408" s="471" t="s">
        <v>13</v>
      </c>
      <c r="F408" s="472">
        <v>1</v>
      </c>
      <c r="G408" s="565">
        <v>703040</v>
      </c>
      <c r="H408" s="466">
        <f t="shared" si="14"/>
        <v>703040</v>
      </c>
      <c r="I408" s="67" t="s">
        <v>1757</v>
      </c>
      <c r="J408" s="67"/>
      <c r="K408" s="67"/>
      <c r="L408" s="67"/>
      <c r="M408"/>
    </row>
    <row r="409" spans="1:13" x14ac:dyDescent="0.4">
      <c r="A409" s="790">
        <v>46217</v>
      </c>
      <c r="B409" s="471" t="s">
        <v>140</v>
      </c>
      <c r="C409" s="470" t="s">
        <v>1576</v>
      </c>
      <c r="D409" s="471" t="s">
        <v>772</v>
      </c>
      <c r="E409" s="471" t="s">
        <v>13</v>
      </c>
      <c r="F409" s="472">
        <v>2</v>
      </c>
      <c r="G409" s="565">
        <v>703040</v>
      </c>
      <c r="H409" s="466">
        <f t="shared" si="14"/>
        <v>1406080</v>
      </c>
      <c r="I409" s="67" t="s">
        <v>1757</v>
      </c>
      <c r="J409" s="67"/>
      <c r="K409" s="67"/>
      <c r="L409" s="67"/>
      <c r="M409"/>
    </row>
    <row r="410" spans="1:13" x14ac:dyDescent="0.4">
      <c r="A410" s="790">
        <v>46218</v>
      </c>
      <c r="B410" s="471" t="s">
        <v>140</v>
      </c>
      <c r="C410" s="470" t="s">
        <v>1576</v>
      </c>
      <c r="D410" s="471" t="s">
        <v>772</v>
      </c>
      <c r="E410" s="471" t="s">
        <v>13</v>
      </c>
      <c r="F410" s="472">
        <v>3</v>
      </c>
      <c r="G410" s="565">
        <v>703040</v>
      </c>
      <c r="H410" s="466">
        <f t="shared" si="14"/>
        <v>2109120</v>
      </c>
      <c r="I410" s="67" t="s">
        <v>1757</v>
      </c>
      <c r="J410" s="67"/>
      <c r="K410" s="67"/>
      <c r="L410" s="67"/>
      <c r="M410"/>
    </row>
    <row r="411" spans="1:13" s="50" customFormat="1" ht="18.75" customHeight="1" x14ac:dyDescent="0.4">
      <c r="A411" s="559">
        <v>46077</v>
      </c>
      <c r="B411" s="471" t="s">
        <v>140</v>
      </c>
      <c r="C411" s="470" t="s">
        <v>773</v>
      </c>
      <c r="D411" s="471" t="s">
        <v>774</v>
      </c>
      <c r="E411" s="471" t="s">
        <v>775</v>
      </c>
      <c r="F411" s="472">
        <v>7</v>
      </c>
      <c r="G411" s="473">
        <v>77265</v>
      </c>
      <c r="H411" s="466">
        <f>F411*G411</f>
        <v>540855</v>
      </c>
      <c r="I411" s="67" t="s">
        <v>1757</v>
      </c>
      <c r="J411" s="67"/>
      <c r="K411" s="67"/>
      <c r="L411" s="67"/>
    </row>
    <row r="412" spans="1:13" s="50" customFormat="1" ht="18.75" customHeight="1" x14ac:dyDescent="0.4">
      <c r="A412" s="559">
        <v>46129</v>
      </c>
      <c r="B412" s="471" t="s">
        <v>140</v>
      </c>
      <c r="C412" s="557" t="s">
        <v>773</v>
      </c>
      <c r="D412" s="558" t="s">
        <v>774</v>
      </c>
      <c r="E412" s="558" t="s">
        <v>775</v>
      </c>
      <c r="F412" s="472">
        <v>5</v>
      </c>
      <c r="G412" s="473">
        <v>77265</v>
      </c>
      <c r="H412" s="466">
        <f>F412*G412</f>
        <v>386325</v>
      </c>
      <c r="I412" s="67" t="s">
        <v>1757</v>
      </c>
      <c r="J412" s="67"/>
      <c r="K412" s="67"/>
      <c r="L412" s="67"/>
    </row>
    <row r="413" spans="1:13" s="50" customFormat="1" ht="18.75" customHeight="1" x14ac:dyDescent="0.4">
      <c r="A413" s="559">
        <v>46183</v>
      </c>
      <c r="B413" s="471" t="s">
        <v>140</v>
      </c>
      <c r="C413" s="557" t="s">
        <v>773</v>
      </c>
      <c r="D413" s="558" t="s">
        <v>774</v>
      </c>
      <c r="E413" s="558" t="s">
        <v>775</v>
      </c>
      <c r="F413" s="564">
        <v>7</v>
      </c>
      <c r="G413" s="473">
        <v>77265</v>
      </c>
      <c r="H413" s="565">
        <f>F413*G413</f>
        <v>540855</v>
      </c>
      <c r="I413" s="67" t="s">
        <v>1757</v>
      </c>
      <c r="J413" s="67"/>
      <c r="K413" s="67"/>
      <c r="L413" s="67"/>
    </row>
    <row r="414" spans="1:13" x14ac:dyDescent="0.4">
      <c r="A414" s="559">
        <v>46154</v>
      </c>
      <c r="B414" s="560" t="s">
        <v>140</v>
      </c>
      <c r="C414" s="561" t="s">
        <v>1448</v>
      </c>
      <c r="D414" s="562" t="s">
        <v>243</v>
      </c>
      <c r="E414" s="562" t="s">
        <v>13</v>
      </c>
      <c r="F414" s="563">
        <v>1</v>
      </c>
      <c r="G414" s="458">
        <v>216997</v>
      </c>
      <c r="H414" s="466">
        <f>F414*G414</f>
        <v>216997</v>
      </c>
      <c r="I414" s="67" t="s">
        <v>1757</v>
      </c>
      <c r="J414" s="67"/>
      <c r="K414" s="67"/>
      <c r="L414" s="67"/>
      <c r="M414"/>
    </row>
    <row r="415" spans="1:13" x14ac:dyDescent="0.4">
      <c r="A415" s="559">
        <v>46161</v>
      </c>
      <c r="B415" s="560" t="s">
        <v>140</v>
      </c>
      <c r="C415" s="561" t="s">
        <v>1448</v>
      </c>
      <c r="D415" s="562" t="s">
        <v>1452</v>
      </c>
      <c r="E415" s="562" t="s">
        <v>13</v>
      </c>
      <c r="F415" s="563">
        <v>15</v>
      </c>
      <c r="G415" s="458">
        <v>216997</v>
      </c>
      <c r="H415" s="466">
        <f>F415*G415</f>
        <v>3254955</v>
      </c>
      <c r="I415" s="67" t="s">
        <v>1757</v>
      </c>
      <c r="J415" s="59"/>
      <c r="K415" s="67"/>
      <c r="L415" s="59"/>
      <c r="M415"/>
    </row>
    <row r="416" spans="1:13" x14ac:dyDescent="0.4">
      <c r="A416" s="559">
        <v>46171</v>
      </c>
      <c r="B416" s="466" t="s">
        <v>140</v>
      </c>
      <c r="C416" s="561" t="s">
        <v>1448</v>
      </c>
      <c r="D416" s="562" t="s">
        <v>1452</v>
      </c>
      <c r="E416" s="562" t="s">
        <v>13</v>
      </c>
      <c r="F416" s="563">
        <v>14</v>
      </c>
      <c r="G416" s="458">
        <v>216997</v>
      </c>
      <c r="H416" s="563">
        <f>G416*F416</f>
        <v>3037958</v>
      </c>
      <c r="I416" s="67" t="s">
        <v>1757</v>
      </c>
      <c r="J416" s="631"/>
      <c r="K416" s="607"/>
      <c r="L416" s="631"/>
      <c r="M416"/>
    </row>
    <row r="417" spans="1:13" s="113" customFormat="1" ht="20.25" customHeight="1" x14ac:dyDescent="0.4">
      <c r="A417" s="501"/>
      <c r="B417" s="7" t="s">
        <v>140</v>
      </c>
      <c r="C417" s="29" t="s">
        <v>474</v>
      </c>
      <c r="D417" s="110" t="s">
        <v>475</v>
      </c>
      <c r="E417" s="110" t="s">
        <v>11</v>
      </c>
      <c r="F417" s="81">
        <v>10</v>
      </c>
      <c r="G417" s="81">
        <v>652000</v>
      </c>
      <c r="H417" s="49">
        <f t="shared" ref="H417:H480" si="15">F417*G417</f>
        <v>6520000</v>
      </c>
      <c r="I417" s="67" t="s">
        <v>1726</v>
      </c>
      <c r="J417" s="111"/>
      <c r="K417" s="111"/>
      <c r="L417" s="25"/>
    </row>
    <row r="418" spans="1:13" s="113" customFormat="1" ht="20.25" customHeight="1" x14ac:dyDescent="0.4">
      <c r="A418" s="501"/>
      <c r="B418" s="7" t="s">
        <v>140</v>
      </c>
      <c r="C418" s="29" t="s">
        <v>540</v>
      </c>
      <c r="D418" s="110" t="s">
        <v>541</v>
      </c>
      <c r="E418" s="110" t="s">
        <v>13</v>
      </c>
      <c r="F418" s="81">
        <v>3</v>
      </c>
      <c r="G418" s="81">
        <v>102000</v>
      </c>
      <c r="H418" s="49">
        <f t="shared" si="15"/>
        <v>306000</v>
      </c>
      <c r="I418" s="67" t="s">
        <v>1726</v>
      </c>
      <c r="J418" s="111"/>
      <c r="K418" s="111"/>
      <c r="L418" s="25"/>
    </row>
    <row r="419" spans="1:13" s="113" customFormat="1" ht="20.25" customHeight="1" x14ac:dyDescent="0.4">
      <c r="A419" s="501"/>
      <c r="B419" s="7" t="s">
        <v>140</v>
      </c>
      <c r="C419" s="29" t="s">
        <v>540</v>
      </c>
      <c r="D419" s="110" t="s">
        <v>541</v>
      </c>
      <c r="E419" s="110" t="s">
        <v>13</v>
      </c>
      <c r="F419" s="81">
        <v>7</v>
      </c>
      <c r="G419" s="81">
        <v>102000</v>
      </c>
      <c r="H419" s="49">
        <f t="shared" si="15"/>
        <v>714000</v>
      </c>
      <c r="I419" s="67" t="s">
        <v>1726</v>
      </c>
      <c r="J419" s="111"/>
      <c r="K419" s="111"/>
      <c r="L419" s="25"/>
    </row>
    <row r="420" spans="1:13" s="261" customFormat="1" ht="18.600000000000001" customHeight="1" x14ac:dyDescent="0.4">
      <c r="A420" s="501">
        <v>45993</v>
      </c>
      <c r="B420" s="275" t="s">
        <v>140</v>
      </c>
      <c r="C420" s="259" t="s">
        <v>1239</v>
      </c>
      <c r="D420" s="257" t="s">
        <v>475</v>
      </c>
      <c r="E420" s="257" t="s">
        <v>11</v>
      </c>
      <c r="F420" s="259">
        <v>3</v>
      </c>
      <c r="G420" s="259">
        <v>652000</v>
      </c>
      <c r="H420" s="259">
        <f t="shared" si="15"/>
        <v>1956000</v>
      </c>
      <c r="I420" s="67" t="s">
        <v>1726</v>
      </c>
      <c r="J420" s="258"/>
      <c r="K420" s="258"/>
      <c r="L420" s="258"/>
    </row>
    <row r="421" spans="1:13" s="50" customFormat="1" ht="18.75" customHeight="1" x14ac:dyDescent="0.4">
      <c r="A421" s="485">
        <v>46076</v>
      </c>
      <c r="B421" s="110" t="s">
        <v>140</v>
      </c>
      <c r="C421" s="29" t="s">
        <v>540</v>
      </c>
      <c r="D421" s="110" t="s">
        <v>541</v>
      </c>
      <c r="E421" s="110" t="s">
        <v>343</v>
      </c>
      <c r="F421" s="81">
        <v>4</v>
      </c>
      <c r="G421" s="49">
        <v>102000</v>
      </c>
      <c r="H421" s="7">
        <f t="shared" si="15"/>
        <v>408000</v>
      </c>
      <c r="I421" s="67" t="s">
        <v>1726</v>
      </c>
      <c r="J421" s="67"/>
      <c r="K421" s="67"/>
      <c r="L421" s="67"/>
    </row>
    <row r="422" spans="1:13" s="50" customFormat="1" ht="18.75" customHeight="1" x14ac:dyDescent="0.4">
      <c r="A422" s="485">
        <v>46076</v>
      </c>
      <c r="B422" s="110" t="s">
        <v>140</v>
      </c>
      <c r="C422" s="29" t="s">
        <v>474</v>
      </c>
      <c r="D422" s="110" t="s">
        <v>475</v>
      </c>
      <c r="E422" s="110" t="s">
        <v>11</v>
      </c>
      <c r="F422" s="81">
        <v>6</v>
      </c>
      <c r="G422" s="49">
        <v>652000</v>
      </c>
      <c r="H422" s="7">
        <f t="shared" si="15"/>
        <v>3912000</v>
      </c>
      <c r="I422" s="67" t="s">
        <v>1726</v>
      </c>
      <c r="J422" s="67"/>
      <c r="K422" s="67"/>
      <c r="L422" s="67"/>
    </row>
    <row r="423" spans="1:13" s="50" customFormat="1" ht="18.75" customHeight="1" x14ac:dyDescent="0.4">
      <c r="A423" s="485">
        <v>46100</v>
      </c>
      <c r="B423" s="5" t="s">
        <v>140</v>
      </c>
      <c r="C423" s="6" t="s">
        <v>476</v>
      </c>
      <c r="D423" s="1" t="s">
        <v>477</v>
      </c>
      <c r="E423" s="1" t="s">
        <v>11</v>
      </c>
      <c r="F423" s="36">
        <v>2</v>
      </c>
      <c r="G423" s="36">
        <v>271000</v>
      </c>
      <c r="H423" s="7">
        <f t="shared" si="15"/>
        <v>542000</v>
      </c>
      <c r="I423" s="67" t="s">
        <v>1726</v>
      </c>
      <c r="J423" s="67"/>
      <c r="K423" s="67"/>
      <c r="L423" s="67"/>
    </row>
    <row r="424" spans="1:13" s="50" customFormat="1" ht="18.75" customHeight="1" x14ac:dyDescent="0.4">
      <c r="A424" s="485">
        <v>46111</v>
      </c>
      <c r="B424" s="110" t="s">
        <v>140</v>
      </c>
      <c r="C424" s="29" t="s">
        <v>474</v>
      </c>
      <c r="D424" s="110" t="s">
        <v>475</v>
      </c>
      <c r="E424" s="110" t="s">
        <v>11</v>
      </c>
      <c r="F424" s="81">
        <v>3</v>
      </c>
      <c r="G424" s="49">
        <v>652000</v>
      </c>
      <c r="H424" s="7">
        <f t="shared" si="15"/>
        <v>1956000</v>
      </c>
      <c r="I424" s="67" t="s">
        <v>1726</v>
      </c>
      <c r="J424" s="67"/>
      <c r="K424" s="67"/>
      <c r="L424" s="67"/>
    </row>
    <row r="425" spans="1:13" s="3" customFormat="1" ht="18.75" customHeight="1" x14ac:dyDescent="0.4">
      <c r="A425" s="482">
        <v>46115</v>
      </c>
      <c r="B425" s="110" t="s">
        <v>140</v>
      </c>
      <c r="C425" s="29" t="s">
        <v>1135</v>
      </c>
      <c r="D425" s="110" t="s">
        <v>1136</v>
      </c>
      <c r="E425" s="110" t="s">
        <v>13</v>
      </c>
      <c r="F425" s="533">
        <v>6</v>
      </c>
      <c r="G425" s="525">
        <v>193500</v>
      </c>
      <c r="H425" s="7">
        <f t="shared" si="15"/>
        <v>1161000</v>
      </c>
      <c r="I425" s="67" t="s">
        <v>1726</v>
      </c>
      <c r="J425" s="144"/>
      <c r="K425" s="144"/>
      <c r="L425" s="144"/>
      <c r="M425" s="89"/>
    </row>
    <row r="426" spans="1:13" s="50" customFormat="1" ht="18.75" customHeight="1" x14ac:dyDescent="0.4">
      <c r="A426" s="482">
        <v>46115</v>
      </c>
      <c r="B426" s="5" t="s">
        <v>140</v>
      </c>
      <c r="C426" s="6" t="s">
        <v>553</v>
      </c>
      <c r="D426" s="1" t="s">
        <v>244</v>
      </c>
      <c r="E426" s="1" t="s">
        <v>13</v>
      </c>
      <c r="F426" s="36">
        <v>4</v>
      </c>
      <c r="G426" s="36">
        <v>973200</v>
      </c>
      <c r="H426" s="7">
        <f t="shared" si="15"/>
        <v>3892800</v>
      </c>
      <c r="I426" s="67" t="s">
        <v>1726</v>
      </c>
      <c r="J426" s="67"/>
      <c r="K426" s="67"/>
      <c r="L426" s="67"/>
    </row>
    <row r="427" spans="1:13" s="50" customFormat="1" ht="18.75" customHeight="1" x14ac:dyDescent="0.4">
      <c r="A427" s="482">
        <v>46115</v>
      </c>
      <c r="B427" s="5" t="s">
        <v>140</v>
      </c>
      <c r="C427" s="6" t="s">
        <v>1135</v>
      </c>
      <c r="D427" s="1" t="s">
        <v>1136</v>
      </c>
      <c r="E427" s="1" t="s">
        <v>13</v>
      </c>
      <c r="F427" s="36">
        <v>5</v>
      </c>
      <c r="G427" s="7">
        <v>193500</v>
      </c>
      <c r="H427" s="7">
        <f t="shared" si="15"/>
        <v>967500</v>
      </c>
      <c r="I427" s="67" t="s">
        <v>1726</v>
      </c>
      <c r="J427" s="67"/>
      <c r="K427" s="67"/>
      <c r="L427" s="67"/>
    </row>
    <row r="428" spans="1:13" s="50" customFormat="1" ht="24" customHeight="1" x14ac:dyDescent="0.4">
      <c r="A428" s="485">
        <v>46125</v>
      </c>
      <c r="B428" s="5" t="s">
        <v>140</v>
      </c>
      <c r="C428" s="6" t="s">
        <v>553</v>
      </c>
      <c r="D428" s="1" t="s">
        <v>244</v>
      </c>
      <c r="E428" s="1" t="s">
        <v>13</v>
      </c>
      <c r="F428" s="36">
        <v>14</v>
      </c>
      <c r="G428" s="36">
        <v>973200</v>
      </c>
      <c r="H428" s="7">
        <f t="shared" si="15"/>
        <v>13624800</v>
      </c>
      <c r="I428" s="67" t="s">
        <v>1726</v>
      </c>
      <c r="J428" s="67"/>
      <c r="K428" s="67"/>
      <c r="L428" s="67"/>
    </row>
    <row r="429" spans="1:13" s="50" customFormat="1" ht="18.75" customHeight="1" x14ac:dyDescent="0.4">
      <c r="A429" s="485">
        <v>46135</v>
      </c>
      <c r="B429" s="110" t="s">
        <v>140</v>
      </c>
      <c r="C429" s="29" t="s">
        <v>473</v>
      </c>
      <c r="D429" s="110" t="s">
        <v>777</v>
      </c>
      <c r="E429" s="110" t="s">
        <v>13</v>
      </c>
      <c r="F429" s="81">
        <v>3</v>
      </c>
      <c r="G429" s="49">
        <v>393500</v>
      </c>
      <c r="H429" s="7">
        <f t="shared" si="15"/>
        <v>1180500</v>
      </c>
      <c r="I429" s="67" t="s">
        <v>1726</v>
      </c>
      <c r="J429" s="67"/>
      <c r="K429" s="67"/>
      <c r="L429" s="67"/>
    </row>
    <row r="430" spans="1:13" s="50" customFormat="1" ht="18.75" customHeight="1" x14ac:dyDescent="0.4">
      <c r="A430" s="485">
        <v>46135</v>
      </c>
      <c r="B430" s="5" t="s">
        <v>140</v>
      </c>
      <c r="C430" s="6" t="s">
        <v>1135</v>
      </c>
      <c r="D430" s="1" t="s">
        <v>1136</v>
      </c>
      <c r="E430" s="1" t="s">
        <v>13</v>
      </c>
      <c r="F430" s="36">
        <v>3</v>
      </c>
      <c r="G430" s="7">
        <v>193500</v>
      </c>
      <c r="H430" s="7">
        <f t="shared" si="15"/>
        <v>580500</v>
      </c>
      <c r="I430" s="67" t="s">
        <v>1726</v>
      </c>
      <c r="J430" s="67"/>
      <c r="K430" s="67"/>
      <c r="L430" s="67"/>
    </row>
    <row r="431" spans="1:13" s="50" customFormat="1" ht="18.75" customHeight="1" x14ac:dyDescent="0.4">
      <c r="A431" s="485">
        <v>46139</v>
      </c>
      <c r="B431" s="110" t="s">
        <v>140</v>
      </c>
      <c r="C431" s="29" t="s">
        <v>473</v>
      </c>
      <c r="D431" s="110" t="s">
        <v>777</v>
      </c>
      <c r="E431" s="110" t="s">
        <v>13</v>
      </c>
      <c r="F431" s="81">
        <v>6</v>
      </c>
      <c r="G431" s="49">
        <v>393500</v>
      </c>
      <c r="H431" s="7">
        <f t="shared" si="15"/>
        <v>2361000</v>
      </c>
      <c r="I431" s="67" t="s">
        <v>1726</v>
      </c>
      <c r="J431" s="67"/>
      <c r="K431" s="67"/>
      <c r="L431" s="67"/>
    </row>
    <row r="432" spans="1:13" s="50" customFormat="1" ht="18.75" customHeight="1" x14ac:dyDescent="0.4">
      <c r="A432" s="485">
        <v>46139</v>
      </c>
      <c r="B432" s="5" t="s">
        <v>140</v>
      </c>
      <c r="C432" s="6" t="s">
        <v>553</v>
      </c>
      <c r="D432" s="1" t="s">
        <v>244</v>
      </c>
      <c r="E432" s="1" t="s">
        <v>13</v>
      </c>
      <c r="F432" s="36">
        <v>5</v>
      </c>
      <c r="G432" s="36">
        <v>973200</v>
      </c>
      <c r="H432" s="7">
        <f t="shared" si="15"/>
        <v>4866000</v>
      </c>
      <c r="I432" s="67" t="s">
        <v>1726</v>
      </c>
      <c r="J432" s="67"/>
      <c r="K432" s="67"/>
      <c r="L432" s="67"/>
    </row>
    <row r="433" spans="1:13" x14ac:dyDescent="0.4">
      <c r="A433" s="485">
        <v>46149</v>
      </c>
      <c r="B433" s="5" t="s">
        <v>140</v>
      </c>
      <c r="C433" s="80" t="s">
        <v>1449</v>
      </c>
      <c r="D433" s="42" t="s">
        <v>248</v>
      </c>
      <c r="E433" s="1" t="s">
        <v>13</v>
      </c>
      <c r="F433" s="36">
        <v>1</v>
      </c>
      <c r="G433" s="7">
        <v>227500</v>
      </c>
      <c r="H433" s="7">
        <f>F433*G433</f>
        <v>227500</v>
      </c>
      <c r="I433" s="67" t="s">
        <v>1726</v>
      </c>
      <c r="J433" s="67"/>
      <c r="K433" s="67"/>
      <c r="L433" s="409"/>
      <c r="M433"/>
    </row>
    <row r="434" spans="1:13" x14ac:dyDescent="0.4">
      <c r="A434" s="485">
        <v>46149</v>
      </c>
      <c r="B434" s="5" t="s">
        <v>140</v>
      </c>
      <c r="C434" s="6" t="s">
        <v>641</v>
      </c>
      <c r="D434" s="1" t="s">
        <v>244</v>
      </c>
      <c r="E434" s="1" t="s">
        <v>13</v>
      </c>
      <c r="F434" s="36">
        <v>6</v>
      </c>
      <c r="G434" s="36">
        <v>973200</v>
      </c>
      <c r="H434" s="7">
        <f t="shared" si="15"/>
        <v>5839200</v>
      </c>
      <c r="I434" s="67" t="s">
        <v>1726</v>
      </c>
      <c r="J434" s="67"/>
      <c r="K434" s="67"/>
      <c r="L434" s="67"/>
      <c r="M434"/>
    </row>
    <row r="435" spans="1:13" x14ac:dyDescent="0.4">
      <c r="A435" s="485">
        <v>46149</v>
      </c>
      <c r="B435" s="5" t="s">
        <v>140</v>
      </c>
      <c r="C435" s="6" t="s">
        <v>473</v>
      </c>
      <c r="D435" s="1" t="s">
        <v>246</v>
      </c>
      <c r="E435" s="1" t="s">
        <v>13</v>
      </c>
      <c r="F435" s="36">
        <v>2</v>
      </c>
      <c r="G435" s="7">
        <v>393500</v>
      </c>
      <c r="H435" s="7">
        <f t="shared" si="15"/>
        <v>787000</v>
      </c>
      <c r="I435" s="67" t="s">
        <v>1726</v>
      </c>
      <c r="J435" s="67"/>
      <c r="K435" s="67"/>
      <c r="L435" s="67"/>
      <c r="M435"/>
    </row>
    <row r="436" spans="1:13" x14ac:dyDescent="0.4">
      <c r="A436" s="485">
        <v>46149</v>
      </c>
      <c r="B436" s="5" t="s">
        <v>140</v>
      </c>
      <c r="C436" s="80" t="s">
        <v>1449</v>
      </c>
      <c r="D436" s="42" t="s">
        <v>248</v>
      </c>
      <c r="E436" s="1" t="s">
        <v>13</v>
      </c>
      <c r="F436" s="36">
        <v>6</v>
      </c>
      <c r="G436" s="7">
        <v>227500</v>
      </c>
      <c r="H436" s="7">
        <f t="shared" si="15"/>
        <v>1365000</v>
      </c>
      <c r="I436" s="67" t="s">
        <v>1726</v>
      </c>
      <c r="J436" s="67"/>
      <c r="K436" s="67"/>
      <c r="L436" s="67"/>
      <c r="M436"/>
    </row>
    <row r="437" spans="1:13" x14ac:dyDescent="0.4">
      <c r="A437" s="485">
        <v>46154</v>
      </c>
      <c r="B437" s="5" t="s">
        <v>140</v>
      </c>
      <c r="C437" s="527" t="s">
        <v>595</v>
      </c>
      <c r="D437" s="42" t="s">
        <v>247</v>
      </c>
      <c r="E437" s="1" t="s">
        <v>13</v>
      </c>
      <c r="F437" s="36">
        <v>5</v>
      </c>
      <c r="G437" s="7">
        <v>56100</v>
      </c>
      <c r="H437" s="7">
        <f t="shared" si="15"/>
        <v>280500</v>
      </c>
      <c r="I437" s="67" t="s">
        <v>1726</v>
      </c>
      <c r="J437" s="67"/>
      <c r="K437" s="67"/>
      <c r="L437" s="67"/>
      <c r="M437"/>
    </row>
    <row r="438" spans="1:13" x14ac:dyDescent="0.4">
      <c r="A438" s="485">
        <v>46154</v>
      </c>
      <c r="B438" s="5" t="s">
        <v>140</v>
      </c>
      <c r="C438" s="6" t="s">
        <v>1448</v>
      </c>
      <c r="D438" s="1" t="s">
        <v>243</v>
      </c>
      <c r="E438" s="1" t="s">
        <v>13</v>
      </c>
      <c r="F438" s="36">
        <v>1</v>
      </c>
      <c r="G438" s="8">
        <v>202000</v>
      </c>
      <c r="H438" s="7">
        <f>F438*G438</f>
        <v>202000</v>
      </c>
      <c r="I438" s="67" t="s">
        <v>1726</v>
      </c>
      <c r="J438" s="67"/>
      <c r="K438" s="67"/>
      <c r="L438" s="67"/>
      <c r="M438"/>
    </row>
    <row r="439" spans="1:13" x14ac:dyDescent="0.4">
      <c r="A439" s="485">
        <v>46154</v>
      </c>
      <c r="B439" s="5" t="s">
        <v>140</v>
      </c>
      <c r="C439" s="29" t="s">
        <v>540</v>
      </c>
      <c r="D439" s="110" t="s">
        <v>541</v>
      </c>
      <c r="E439" s="110" t="s">
        <v>343</v>
      </c>
      <c r="F439" s="81">
        <v>1</v>
      </c>
      <c r="G439" s="49">
        <v>102000</v>
      </c>
      <c r="H439" s="7">
        <f t="shared" si="15"/>
        <v>102000</v>
      </c>
      <c r="I439" s="67" t="s">
        <v>1726</v>
      </c>
      <c r="J439" s="67"/>
      <c r="K439" s="67"/>
      <c r="L439" s="67"/>
      <c r="M439"/>
    </row>
    <row r="440" spans="1:13" x14ac:dyDescent="0.4">
      <c r="A440" s="485">
        <v>46161</v>
      </c>
      <c r="B440" s="5" t="s">
        <v>140</v>
      </c>
      <c r="C440" s="29" t="s">
        <v>540</v>
      </c>
      <c r="D440" s="110" t="s">
        <v>1453</v>
      </c>
      <c r="E440" s="110" t="s">
        <v>343</v>
      </c>
      <c r="F440" s="81">
        <v>4</v>
      </c>
      <c r="G440" s="49">
        <v>102000</v>
      </c>
      <c r="H440" s="7">
        <f t="shared" si="15"/>
        <v>408000</v>
      </c>
      <c r="I440" s="67" t="s">
        <v>1726</v>
      </c>
      <c r="J440" s="59"/>
      <c r="K440" s="67"/>
      <c r="L440" s="59"/>
      <c r="M440"/>
    </row>
    <row r="441" spans="1:13" x14ac:dyDescent="0.4">
      <c r="A441" s="485">
        <v>46161</v>
      </c>
      <c r="B441" s="5" t="s">
        <v>140</v>
      </c>
      <c r="C441" s="6" t="s">
        <v>1761</v>
      </c>
      <c r="D441" s="1" t="s">
        <v>642</v>
      </c>
      <c r="E441" s="1" t="s">
        <v>13</v>
      </c>
      <c r="F441" s="36">
        <v>3</v>
      </c>
      <c r="G441" s="7">
        <v>630500</v>
      </c>
      <c r="H441" s="7">
        <f t="shared" si="15"/>
        <v>1891500</v>
      </c>
      <c r="I441" s="67" t="s">
        <v>1726</v>
      </c>
      <c r="J441" s="59"/>
      <c r="K441" s="67"/>
      <c r="L441" s="59"/>
      <c r="M441"/>
    </row>
    <row r="442" spans="1:13" x14ac:dyDescent="0.4">
      <c r="A442" s="485">
        <v>46164</v>
      </c>
      <c r="B442" s="5" t="s">
        <v>140</v>
      </c>
      <c r="C442" s="629" t="s">
        <v>1449</v>
      </c>
      <c r="D442" s="42" t="s">
        <v>1457</v>
      </c>
      <c r="E442" s="1" t="s">
        <v>13</v>
      </c>
      <c r="F442" s="36">
        <v>2</v>
      </c>
      <c r="G442" s="7">
        <v>227500</v>
      </c>
      <c r="H442" s="7">
        <f t="shared" si="15"/>
        <v>455000</v>
      </c>
      <c r="I442" s="67" t="s">
        <v>1726</v>
      </c>
      <c r="J442" s="59"/>
      <c r="K442" s="67"/>
      <c r="L442" s="59"/>
      <c r="M442"/>
    </row>
    <row r="443" spans="1:13" x14ac:dyDescent="0.4">
      <c r="A443" s="485">
        <v>46171</v>
      </c>
      <c r="B443" s="5" t="s">
        <v>140</v>
      </c>
      <c r="C443" s="630" t="s">
        <v>553</v>
      </c>
      <c r="D443" s="1" t="s">
        <v>1455</v>
      </c>
      <c r="E443" s="1" t="s">
        <v>13</v>
      </c>
      <c r="F443" s="36">
        <v>2</v>
      </c>
      <c r="G443" s="36">
        <v>973200</v>
      </c>
      <c r="H443" s="7">
        <f t="shared" si="15"/>
        <v>1946400</v>
      </c>
      <c r="I443" s="67" t="s">
        <v>1726</v>
      </c>
      <c r="J443" s="59"/>
      <c r="K443" s="67"/>
      <c r="L443" s="59"/>
      <c r="M443"/>
    </row>
    <row r="444" spans="1:13" s="50" customFormat="1" ht="18.75" customHeight="1" x14ac:dyDescent="0.4">
      <c r="A444" s="485">
        <v>46174</v>
      </c>
      <c r="B444" s="5" t="s">
        <v>140</v>
      </c>
      <c r="C444" s="525" t="s">
        <v>1575</v>
      </c>
      <c r="D444" s="59" t="s">
        <v>242</v>
      </c>
      <c r="E444" s="59" t="s">
        <v>13</v>
      </c>
      <c r="F444" s="525">
        <v>9</v>
      </c>
      <c r="G444" s="525">
        <v>175300</v>
      </c>
      <c r="H444" s="525">
        <f t="shared" si="15"/>
        <v>1577700</v>
      </c>
      <c r="I444" s="67" t="s">
        <v>1726</v>
      </c>
      <c r="J444" s="67"/>
      <c r="K444" s="67"/>
      <c r="L444" s="67"/>
    </row>
    <row r="445" spans="1:13" s="50" customFormat="1" ht="18" customHeight="1" x14ac:dyDescent="0.4">
      <c r="A445" s="485">
        <v>46174</v>
      </c>
      <c r="B445" s="5" t="s">
        <v>140</v>
      </c>
      <c r="C445" s="6" t="s">
        <v>1448</v>
      </c>
      <c r="D445" s="1" t="s">
        <v>243</v>
      </c>
      <c r="E445" s="1" t="s">
        <v>13</v>
      </c>
      <c r="F445" s="36">
        <v>14</v>
      </c>
      <c r="G445" s="8">
        <v>202000</v>
      </c>
      <c r="H445" s="525">
        <f t="shared" si="15"/>
        <v>2828000</v>
      </c>
      <c r="I445" s="67" t="s">
        <v>1726</v>
      </c>
      <c r="J445" s="67"/>
      <c r="K445" s="67"/>
      <c r="L445" s="67"/>
    </row>
    <row r="446" spans="1:13" s="50" customFormat="1" ht="18.75" customHeight="1" x14ac:dyDescent="0.4">
      <c r="A446" s="485">
        <v>46181</v>
      </c>
      <c r="B446" s="5" t="s">
        <v>140</v>
      </c>
      <c r="C446" s="6" t="s">
        <v>641</v>
      </c>
      <c r="D446" s="1" t="s">
        <v>244</v>
      </c>
      <c r="E446" s="1" t="s">
        <v>13</v>
      </c>
      <c r="F446" s="36">
        <v>1</v>
      </c>
      <c r="G446" s="36">
        <v>973200</v>
      </c>
      <c r="H446" s="525">
        <f t="shared" si="15"/>
        <v>973200</v>
      </c>
      <c r="I446" s="67" t="s">
        <v>1726</v>
      </c>
      <c r="J446" s="67"/>
      <c r="K446" s="67"/>
      <c r="L446" s="67"/>
    </row>
    <row r="447" spans="1:13" s="50" customFormat="1" ht="18.75" customHeight="1" x14ac:dyDescent="0.4">
      <c r="A447" s="485">
        <v>46181</v>
      </c>
      <c r="B447" s="5" t="s">
        <v>140</v>
      </c>
      <c r="C447" s="6" t="s">
        <v>1448</v>
      </c>
      <c r="D447" s="1" t="s">
        <v>243</v>
      </c>
      <c r="E447" s="1" t="s">
        <v>13</v>
      </c>
      <c r="F447" s="36">
        <v>14</v>
      </c>
      <c r="G447" s="8">
        <v>202000</v>
      </c>
      <c r="H447" s="525">
        <f t="shared" si="15"/>
        <v>2828000</v>
      </c>
      <c r="I447" s="67" t="s">
        <v>1726</v>
      </c>
      <c r="J447" s="67"/>
      <c r="K447" s="67"/>
      <c r="L447" s="67"/>
    </row>
    <row r="448" spans="1:13" s="50" customFormat="1" ht="18.75" customHeight="1" x14ac:dyDescent="0.4">
      <c r="A448" s="485">
        <v>46183</v>
      </c>
      <c r="B448" s="5" t="s">
        <v>140</v>
      </c>
      <c r="C448" s="395" t="s">
        <v>1577</v>
      </c>
      <c r="D448" s="46" t="s">
        <v>1578</v>
      </c>
      <c r="E448" s="46" t="s">
        <v>775</v>
      </c>
      <c r="F448" s="705">
        <v>1</v>
      </c>
      <c r="G448" s="705">
        <v>423620</v>
      </c>
      <c r="H448" s="525">
        <f t="shared" si="15"/>
        <v>423620</v>
      </c>
      <c r="I448" s="67" t="s">
        <v>1726</v>
      </c>
      <c r="J448" s="67"/>
      <c r="K448" s="67"/>
      <c r="L448" s="67"/>
    </row>
    <row r="449" spans="1:12" s="50" customFormat="1" ht="18.75" customHeight="1" x14ac:dyDescent="0.4">
      <c r="A449" s="485">
        <v>46183</v>
      </c>
      <c r="B449" s="7" t="s">
        <v>140</v>
      </c>
      <c r="C449" s="525" t="s">
        <v>1575</v>
      </c>
      <c r="D449" s="59" t="s">
        <v>242</v>
      </c>
      <c r="E449" s="59" t="s">
        <v>13</v>
      </c>
      <c r="F449" s="525">
        <v>1</v>
      </c>
      <c r="G449" s="525">
        <v>175300</v>
      </c>
      <c r="H449" s="525">
        <f t="shared" si="15"/>
        <v>175300</v>
      </c>
      <c r="I449" s="67" t="s">
        <v>1726</v>
      </c>
      <c r="J449" s="67"/>
      <c r="K449" s="67"/>
      <c r="L449" s="67"/>
    </row>
    <row r="450" spans="1:12" s="50" customFormat="1" ht="18.75" customHeight="1" x14ac:dyDescent="0.4">
      <c r="A450" s="485">
        <v>46183</v>
      </c>
      <c r="B450" s="110" t="s">
        <v>140</v>
      </c>
      <c r="C450" s="395" t="s">
        <v>773</v>
      </c>
      <c r="D450" s="46" t="s">
        <v>774</v>
      </c>
      <c r="E450" s="46" t="s">
        <v>775</v>
      </c>
      <c r="F450" s="533">
        <v>13</v>
      </c>
      <c r="G450" s="533">
        <v>69700</v>
      </c>
      <c r="H450" s="525">
        <f t="shared" si="15"/>
        <v>906100</v>
      </c>
      <c r="I450" s="67" t="s">
        <v>1726</v>
      </c>
      <c r="J450" s="67"/>
      <c r="K450" s="67"/>
      <c r="L450" s="67"/>
    </row>
    <row r="451" spans="1:12" s="50" customFormat="1" ht="18.75" customHeight="1" x14ac:dyDescent="0.4">
      <c r="A451" s="485">
        <v>46183</v>
      </c>
      <c r="B451" s="5" t="s">
        <v>140</v>
      </c>
      <c r="C451" s="6" t="s">
        <v>641</v>
      </c>
      <c r="D451" s="1" t="s">
        <v>244</v>
      </c>
      <c r="E451" s="1" t="s">
        <v>13</v>
      </c>
      <c r="F451" s="36">
        <v>1</v>
      </c>
      <c r="G451" s="36">
        <v>973200</v>
      </c>
      <c r="H451" s="525">
        <f t="shared" si="15"/>
        <v>973200</v>
      </c>
      <c r="I451" s="67" t="s">
        <v>1726</v>
      </c>
      <c r="J451" s="67"/>
      <c r="K451" s="67"/>
      <c r="L451" s="67"/>
    </row>
    <row r="452" spans="1:12" s="50" customFormat="1" ht="18.75" customHeight="1" x14ac:dyDescent="0.4">
      <c r="A452" s="485">
        <v>46185</v>
      </c>
      <c r="B452" s="5" t="s">
        <v>140</v>
      </c>
      <c r="C452" s="6" t="s">
        <v>1449</v>
      </c>
      <c r="D452" s="1" t="s">
        <v>244</v>
      </c>
      <c r="E452" s="1" t="s">
        <v>13</v>
      </c>
      <c r="F452" s="36">
        <v>1</v>
      </c>
      <c r="G452" s="36">
        <v>227500</v>
      </c>
      <c r="H452" s="525">
        <f t="shared" si="15"/>
        <v>227500</v>
      </c>
      <c r="I452" s="67" t="s">
        <v>1726</v>
      </c>
      <c r="J452" s="67"/>
      <c r="K452" s="67"/>
      <c r="L452" s="67"/>
    </row>
    <row r="453" spans="1:12" s="50" customFormat="1" ht="18.75" customHeight="1" x14ac:dyDescent="0.4">
      <c r="A453" s="485">
        <v>46189</v>
      </c>
      <c r="B453" s="7" t="s">
        <v>140</v>
      </c>
      <c r="C453" s="525" t="s">
        <v>1575</v>
      </c>
      <c r="D453" s="59" t="s">
        <v>242</v>
      </c>
      <c r="E453" s="59" t="s">
        <v>13</v>
      </c>
      <c r="F453" s="525">
        <v>6</v>
      </c>
      <c r="G453" s="525">
        <v>175300</v>
      </c>
      <c r="H453" s="525">
        <f t="shared" si="15"/>
        <v>1051800</v>
      </c>
      <c r="I453" s="67" t="s">
        <v>1726</v>
      </c>
      <c r="J453" s="67"/>
      <c r="K453" s="67"/>
      <c r="L453" s="67"/>
    </row>
    <row r="454" spans="1:12" s="50" customFormat="1" ht="18.75" customHeight="1" x14ac:dyDescent="0.4">
      <c r="A454" s="485">
        <v>46189</v>
      </c>
      <c r="B454" s="110" t="s">
        <v>140</v>
      </c>
      <c r="C454" s="395" t="s">
        <v>773</v>
      </c>
      <c r="D454" s="46" t="s">
        <v>774</v>
      </c>
      <c r="E454" s="46" t="s">
        <v>775</v>
      </c>
      <c r="F454" s="533">
        <v>13</v>
      </c>
      <c r="G454" s="533">
        <v>69700</v>
      </c>
      <c r="H454" s="525">
        <f t="shared" si="15"/>
        <v>906100</v>
      </c>
      <c r="I454" s="67" t="s">
        <v>1726</v>
      </c>
      <c r="J454" s="67"/>
      <c r="K454" s="67"/>
      <c r="L454" s="67"/>
    </row>
    <row r="455" spans="1:12" s="50" customFormat="1" ht="18.75" customHeight="1" x14ac:dyDescent="0.4">
      <c r="A455" s="485">
        <v>46189</v>
      </c>
      <c r="B455" s="5" t="s">
        <v>140</v>
      </c>
      <c r="C455" s="67" t="s">
        <v>1579</v>
      </c>
      <c r="D455" s="1" t="s">
        <v>245</v>
      </c>
      <c r="E455" s="1" t="s">
        <v>13</v>
      </c>
      <c r="F455" s="36">
        <v>7</v>
      </c>
      <c r="G455" s="7">
        <v>630500</v>
      </c>
      <c r="H455" s="525">
        <f t="shared" si="15"/>
        <v>4413500</v>
      </c>
      <c r="I455" s="67" t="s">
        <v>1726</v>
      </c>
      <c r="J455" s="67"/>
      <c r="K455" s="67"/>
      <c r="L455" s="67"/>
    </row>
    <row r="456" spans="1:12" s="50" customFormat="1" ht="18.75" customHeight="1" x14ac:dyDescent="0.4">
      <c r="A456" s="485">
        <v>46190</v>
      </c>
      <c r="B456" s="7" t="s">
        <v>140</v>
      </c>
      <c r="C456" s="49" t="s">
        <v>1575</v>
      </c>
      <c r="D456" s="59" t="s">
        <v>242</v>
      </c>
      <c r="E456" s="59" t="s">
        <v>13</v>
      </c>
      <c r="F456" s="49">
        <v>2</v>
      </c>
      <c r="G456" s="49">
        <v>175300</v>
      </c>
      <c r="H456" s="525">
        <f t="shared" si="15"/>
        <v>350600</v>
      </c>
      <c r="I456" s="67" t="s">
        <v>1726</v>
      </c>
      <c r="J456" s="67"/>
      <c r="K456" s="67"/>
      <c r="L456" s="67"/>
    </row>
    <row r="457" spans="1:12" s="50" customFormat="1" ht="18.75" customHeight="1" x14ac:dyDescent="0.4">
      <c r="A457" s="485">
        <v>46190</v>
      </c>
      <c r="B457" s="5" t="s">
        <v>140</v>
      </c>
      <c r="C457" s="630" t="s">
        <v>641</v>
      </c>
      <c r="D457" s="1" t="s">
        <v>244</v>
      </c>
      <c r="E457" s="1" t="s">
        <v>13</v>
      </c>
      <c r="F457" s="36">
        <v>1</v>
      </c>
      <c r="G457" s="36">
        <v>973200</v>
      </c>
      <c r="H457" s="525">
        <f t="shared" si="15"/>
        <v>973200</v>
      </c>
      <c r="I457" s="67" t="s">
        <v>1726</v>
      </c>
      <c r="J457" s="67"/>
      <c r="K457" s="67"/>
      <c r="L457" s="67"/>
    </row>
    <row r="458" spans="1:12" s="50" customFormat="1" ht="18.75" customHeight="1" x14ac:dyDescent="0.4">
      <c r="A458" s="485">
        <v>46195</v>
      </c>
      <c r="B458" s="5" t="s">
        <v>140</v>
      </c>
      <c r="C458" s="67" t="s">
        <v>554</v>
      </c>
      <c r="D458" s="1" t="s">
        <v>245</v>
      </c>
      <c r="E458" s="1" t="s">
        <v>13</v>
      </c>
      <c r="F458" s="36">
        <v>1</v>
      </c>
      <c r="G458" s="7">
        <v>630500</v>
      </c>
      <c r="H458" s="525">
        <f t="shared" si="15"/>
        <v>630500</v>
      </c>
      <c r="I458" s="67" t="s">
        <v>1726</v>
      </c>
      <c r="J458" s="67"/>
      <c r="K458" s="67"/>
      <c r="L458" s="67"/>
    </row>
    <row r="459" spans="1:12" s="50" customFormat="1" ht="18.75" customHeight="1" x14ac:dyDescent="0.4">
      <c r="A459" s="485">
        <v>46195</v>
      </c>
      <c r="B459" s="7" t="s">
        <v>140</v>
      </c>
      <c r="C459" s="49" t="s">
        <v>580</v>
      </c>
      <c r="D459" s="59" t="s">
        <v>581</v>
      </c>
      <c r="E459" s="59" t="s">
        <v>13</v>
      </c>
      <c r="F459" s="49">
        <v>3</v>
      </c>
      <c r="G459" s="49">
        <v>984000</v>
      </c>
      <c r="H459" s="525">
        <f t="shared" si="15"/>
        <v>2952000</v>
      </c>
      <c r="I459" s="67" t="s">
        <v>1726</v>
      </c>
      <c r="J459" s="67"/>
      <c r="K459" s="67"/>
      <c r="L459" s="67"/>
    </row>
    <row r="460" spans="1:12" s="50" customFormat="1" ht="18.75" customHeight="1" x14ac:dyDescent="0.4">
      <c r="A460" s="485">
        <v>46199</v>
      </c>
      <c r="B460" s="5" t="s">
        <v>140</v>
      </c>
      <c r="C460" s="67" t="s">
        <v>554</v>
      </c>
      <c r="D460" s="1" t="s">
        <v>245</v>
      </c>
      <c r="E460" s="1" t="s">
        <v>13</v>
      </c>
      <c r="F460" s="36">
        <v>3</v>
      </c>
      <c r="G460" s="7">
        <v>630500</v>
      </c>
      <c r="H460" s="525">
        <f t="shared" si="15"/>
        <v>1891500</v>
      </c>
      <c r="I460" s="67" t="s">
        <v>1726</v>
      </c>
      <c r="J460" s="67"/>
      <c r="K460" s="144"/>
      <c r="L460" s="67"/>
    </row>
    <row r="461" spans="1:12" s="50" customFormat="1" ht="18.75" customHeight="1" x14ac:dyDescent="0.4">
      <c r="A461" s="485">
        <v>46199</v>
      </c>
      <c r="B461" s="5" t="s">
        <v>140</v>
      </c>
      <c r="C461" s="49" t="s">
        <v>580</v>
      </c>
      <c r="D461" s="59" t="s">
        <v>581</v>
      </c>
      <c r="E461" s="59" t="s">
        <v>13</v>
      </c>
      <c r="F461" s="49">
        <v>3</v>
      </c>
      <c r="G461" s="49">
        <v>984000</v>
      </c>
      <c r="H461" s="525">
        <f t="shared" si="15"/>
        <v>2952000</v>
      </c>
      <c r="I461" s="67" t="s">
        <v>1726</v>
      </c>
      <c r="J461" s="67"/>
      <c r="K461" s="67"/>
      <c r="L461" s="67"/>
    </row>
    <row r="462" spans="1:12" s="50" customFormat="1" ht="18.75" customHeight="1" x14ac:dyDescent="0.4">
      <c r="A462" s="485">
        <v>46202</v>
      </c>
      <c r="B462" s="5" t="s">
        <v>140</v>
      </c>
      <c r="C462" s="49" t="s">
        <v>1580</v>
      </c>
      <c r="D462" s="59" t="s">
        <v>1581</v>
      </c>
      <c r="E462" s="59" t="s">
        <v>13</v>
      </c>
      <c r="F462" s="49">
        <v>15</v>
      </c>
      <c r="G462" s="49">
        <v>69700</v>
      </c>
      <c r="H462" s="525">
        <f t="shared" si="15"/>
        <v>1045500</v>
      </c>
      <c r="I462" s="67" t="s">
        <v>1726</v>
      </c>
      <c r="J462" s="67"/>
      <c r="K462" s="67"/>
      <c r="L462" s="67"/>
    </row>
    <row r="463" spans="1:12" s="50" customFormat="1" ht="18.75" customHeight="1" x14ac:dyDescent="0.4">
      <c r="A463" s="485">
        <v>46202</v>
      </c>
      <c r="B463" s="5" t="s">
        <v>140</v>
      </c>
      <c r="C463" s="49" t="s">
        <v>1579</v>
      </c>
      <c r="D463" s="1" t="s">
        <v>245</v>
      </c>
      <c r="E463" s="59" t="s">
        <v>13</v>
      </c>
      <c r="F463" s="49">
        <v>8</v>
      </c>
      <c r="G463" s="49">
        <v>630500</v>
      </c>
      <c r="H463" s="525">
        <f t="shared" si="15"/>
        <v>5044000</v>
      </c>
      <c r="I463" s="67" t="s">
        <v>1726</v>
      </c>
      <c r="J463" s="67"/>
      <c r="K463" s="67"/>
      <c r="L463" s="67"/>
    </row>
    <row r="464" spans="1:12" s="50" customFormat="1" ht="18.75" customHeight="1" x14ac:dyDescent="0.4">
      <c r="A464" s="485">
        <v>46203</v>
      </c>
      <c r="B464" s="5" t="s">
        <v>140</v>
      </c>
      <c r="C464" s="67" t="s">
        <v>1579</v>
      </c>
      <c r="D464" s="1" t="s">
        <v>245</v>
      </c>
      <c r="E464" s="1" t="s">
        <v>13</v>
      </c>
      <c r="F464" s="36">
        <v>11</v>
      </c>
      <c r="G464" s="7">
        <v>630500</v>
      </c>
      <c r="H464" s="525">
        <f t="shared" si="15"/>
        <v>6935500</v>
      </c>
      <c r="I464" s="67" t="s">
        <v>1726</v>
      </c>
      <c r="J464" s="67"/>
      <c r="K464" s="144"/>
      <c r="L464" s="67"/>
    </row>
    <row r="465" spans="1:13" x14ac:dyDescent="0.4">
      <c r="A465" s="484">
        <v>46206</v>
      </c>
      <c r="B465" s="5" t="s">
        <v>140</v>
      </c>
      <c r="C465" s="527" t="s">
        <v>554</v>
      </c>
      <c r="D465" s="1" t="s">
        <v>245</v>
      </c>
      <c r="E465" s="1" t="s">
        <v>13</v>
      </c>
      <c r="F465" s="36">
        <v>6</v>
      </c>
      <c r="G465" s="7">
        <v>630500</v>
      </c>
      <c r="H465" s="7">
        <f t="shared" si="15"/>
        <v>3783000</v>
      </c>
      <c r="I465" s="67" t="s">
        <v>1726</v>
      </c>
      <c r="J465" s="67"/>
      <c r="K465" s="67"/>
      <c r="L465" s="67"/>
      <c r="M465"/>
    </row>
    <row r="466" spans="1:13" x14ac:dyDescent="0.4">
      <c r="A466" s="484">
        <v>46209</v>
      </c>
      <c r="B466" s="5" t="s">
        <v>140</v>
      </c>
      <c r="C466" s="6" t="s">
        <v>1449</v>
      </c>
      <c r="D466" s="1" t="s">
        <v>244</v>
      </c>
      <c r="E466" s="1" t="s">
        <v>13</v>
      </c>
      <c r="F466" s="36">
        <v>8</v>
      </c>
      <c r="G466" s="36">
        <v>227500</v>
      </c>
      <c r="H466" s="7">
        <f t="shared" si="15"/>
        <v>1820000</v>
      </c>
      <c r="I466" s="67" t="s">
        <v>1726</v>
      </c>
      <c r="J466" s="67"/>
      <c r="K466" s="67"/>
      <c r="L466" s="67"/>
      <c r="M466"/>
    </row>
    <row r="467" spans="1:13" x14ac:dyDescent="0.4">
      <c r="A467" s="484">
        <v>46212</v>
      </c>
      <c r="B467" s="5" t="s">
        <v>140</v>
      </c>
      <c r="C467" s="527" t="s">
        <v>554</v>
      </c>
      <c r="D467" s="1" t="s">
        <v>245</v>
      </c>
      <c r="E467" s="1" t="s">
        <v>13</v>
      </c>
      <c r="F467" s="36">
        <v>7</v>
      </c>
      <c r="G467" s="7">
        <v>630500</v>
      </c>
      <c r="H467" s="7">
        <f t="shared" si="15"/>
        <v>4413500</v>
      </c>
      <c r="I467" s="67" t="s">
        <v>1726</v>
      </c>
      <c r="J467" s="67"/>
      <c r="K467" s="67"/>
      <c r="L467" s="67"/>
      <c r="M467"/>
    </row>
    <row r="468" spans="1:13" x14ac:dyDescent="0.4">
      <c r="A468" s="484">
        <v>46216</v>
      </c>
      <c r="B468" s="7" t="s">
        <v>140</v>
      </c>
      <c r="C468" s="525" t="s">
        <v>1456</v>
      </c>
      <c r="D468" s="59" t="s">
        <v>581</v>
      </c>
      <c r="E468" s="59" t="s">
        <v>13</v>
      </c>
      <c r="F468" s="49">
        <v>4</v>
      </c>
      <c r="G468" s="49">
        <v>984000</v>
      </c>
      <c r="H468" s="7">
        <f t="shared" si="15"/>
        <v>3936000</v>
      </c>
      <c r="I468" s="67" t="s">
        <v>1726</v>
      </c>
      <c r="J468" s="67"/>
      <c r="K468" s="67"/>
      <c r="L468" s="67"/>
      <c r="M468"/>
    </row>
    <row r="469" spans="1:13" x14ac:dyDescent="0.4">
      <c r="A469" s="484">
        <v>46217</v>
      </c>
      <c r="B469" s="5" t="s">
        <v>140</v>
      </c>
      <c r="C469" s="527" t="s">
        <v>1579</v>
      </c>
      <c r="D469" s="1" t="s">
        <v>245</v>
      </c>
      <c r="E469" s="1" t="s">
        <v>13</v>
      </c>
      <c r="F469" s="36">
        <v>7</v>
      </c>
      <c r="G469" s="7">
        <v>630500</v>
      </c>
      <c r="H469" s="7">
        <f t="shared" si="15"/>
        <v>4413500</v>
      </c>
      <c r="I469" s="67" t="s">
        <v>1726</v>
      </c>
      <c r="J469" s="67"/>
      <c r="K469" s="67"/>
      <c r="L469" s="67"/>
      <c r="M469"/>
    </row>
    <row r="470" spans="1:13" x14ac:dyDescent="0.4">
      <c r="A470" s="484">
        <v>46217</v>
      </c>
      <c r="B470" s="5" t="s">
        <v>140</v>
      </c>
      <c r="C470" s="527" t="s">
        <v>554</v>
      </c>
      <c r="D470" s="1" t="s">
        <v>245</v>
      </c>
      <c r="E470" s="1" t="s">
        <v>13</v>
      </c>
      <c r="F470" s="36">
        <v>4</v>
      </c>
      <c r="G470" s="7">
        <v>630500</v>
      </c>
      <c r="H470" s="7">
        <f t="shared" si="15"/>
        <v>2522000</v>
      </c>
      <c r="I470" s="67" t="s">
        <v>1726</v>
      </c>
      <c r="J470" s="67"/>
      <c r="K470" s="67"/>
      <c r="L470" s="67"/>
      <c r="M470"/>
    </row>
    <row r="471" spans="1:13" x14ac:dyDescent="0.4">
      <c r="A471" s="484">
        <v>46218</v>
      </c>
      <c r="B471" s="5" t="s">
        <v>140</v>
      </c>
      <c r="C471" s="527" t="s">
        <v>1579</v>
      </c>
      <c r="D471" s="1" t="s">
        <v>642</v>
      </c>
      <c r="E471" s="1" t="s">
        <v>13</v>
      </c>
      <c r="F471" s="36">
        <v>7</v>
      </c>
      <c r="G471" s="7">
        <v>630500</v>
      </c>
      <c r="H471" s="7">
        <f t="shared" si="15"/>
        <v>4413500</v>
      </c>
      <c r="I471" s="67" t="s">
        <v>1726</v>
      </c>
      <c r="J471" s="67"/>
      <c r="K471" s="67"/>
      <c r="L471" s="67"/>
      <c r="M471"/>
    </row>
    <row r="472" spans="1:13" x14ac:dyDescent="0.4">
      <c r="A472" s="484">
        <v>46218</v>
      </c>
      <c r="B472" s="110" t="s">
        <v>140</v>
      </c>
      <c r="C472" s="29" t="s">
        <v>1576</v>
      </c>
      <c r="D472" s="110" t="s">
        <v>772</v>
      </c>
      <c r="E472" s="110" t="s">
        <v>13</v>
      </c>
      <c r="F472" s="81">
        <v>6</v>
      </c>
      <c r="G472" s="49">
        <v>633000</v>
      </c>
      <c r="H472" s="7">
        <f t="shared" si="15"/>
        <v>3798000</v>
      </c>
      <c r="I472" s="67" t="s">
        <v>1726</v>
      </c>
      <c r="J472" s="67"/>
      <c r="K472" s="67"/>
      <c r="L472" s="67"/>
      <c r="M472"/>
    </row>
    <row r="473" spans="1:13" x14ac:dyDescent="0.4">
      <c r="A473" s="484">
        <v>46219</v>
      </c>
      <c r="B473" s="110" t="s">
        <v>140</v>
      </c>
      <c r="C473" s="29" t="s">
        <v>771</v>
      </c>
      <c r="D473" s="110" t="s">
        <v>772</v>
      </c>
      <c r="E473" s="110" t="s">
        <v>13</v>
      </c>
      <c r="F473" s="81">
        <v>4</v>
      </c>
      <c r="G473" s="49">
        <v>633000</v>
      </c>
      <c r="H473" s="7">
        <f t="shared" si="15"/>
        <v>2532000</v>
      </c>
      <c r="I473" s="67" t="s">
        <v>1726</v>
      </c>
      <c r="J473" s="67"/>
      <c r="K473" s="67"/>
      <c r="L473" s="67"/>
      <c r="M473"/>
    </row>
    <row r="474" spans="1:13" s="50" customFormat="1" ht="18.75" customHeight="1" x14ac:dyDescent="0.4">
      <c r="A474" s="484">
        <v>46219</v>
      </c>
      <c r="B474" s="5" t="s">
        <v>140</v>
      </c>
      <c r="C474" s="527" t="s">
        <v>554</v>
      </c>
      <c r="D474" s="1" t="s">
        <v>245</v>
      </c>
      <c r="E474" s="1" t="s">
        <v>13</v>
      </c>
      <c r="F474" s="36">
        <v>2</v>
      </c>
      <c r="G474" s="7">
        <v>630500</v>
      </c>
      <c r="H474" s="7">
        <f t="shared" si="15"/>
        <v>1261000</v>
      </c>
      <c r="I474" s="67" t="s">
        <v>1726</v>
      </c>
      <c r="J474" s="67"/>
      <c r="K474" s="67"/>
      <c r="L474" s="67"/>
    </row>
    <row r="475" spans="1:13" s="50" customFormat="1" ht="18.75" customHeight="1" x14ac:dyDescent="0.4">
      <c r="A475" s="484">
        <v>46219</v>
      </c>
      <c r="B475" s="7" t="s">
        <v>140</v>
      </c>
      <c r="C475" s="525" t="s">
        <v>1456</v>
      </c>
      <c r="D475" s="59" t="s">
        <v>581</v>
      </c>
      <c r="E475" s="59" t="s">
        <v>13</v>
      </c>
      <c r="F475" s="49">
        <v>3</v>
      </c>
      <c r="G475" s="49">
        <v>984000</v>
      </c>
      <c r="H475" s="7">
        <f t="shared" si="15"/>
        <v>2952000</v>
      </c>
      <c r="I475" s="67" t="s">
        <v>1726</v>
      </c>
      <c r="J475" s="67"/>
      <c r="K475" s="67"/>
      <c r="L475" s="67"/>
    </row>
    <row r="476" spans="1:13" s="50" customFormat="1" ht="18.75" customHeight="1" x14ac:dyDescent="0.4">
      <c r="A476" s="484">
        <v>46223</v>
      </c>
      <c r="B476" s="7" t="s">
        <v>140</v>
      </c>
      <c r="C476" s="525" t="s">
        <v>1694</v>
      </c>
      <c r="D476" s="59" t="s">
        <v>246</v>
      </c>
      <c r="E476" s="59" t="s">
        <v>13</v>
      </c>
      <c r="F476" s="49">
        <v>6</v>
      </c>
      <c r="G476" s="49">
        <v>393500</v>
      </c>
      <c r="H476" s="7">
        <f t="shared" si="15"/>
        <v>2361000</v>
      </c>
      <c r="I476" s="67" t="s">
        <v>1726</v>
      </c>
      <c r="J476" s="67"/>
      <c r="K476" s="67"/>
      <c r="L476" s="67"/>
    </row>
    <row r="477" spans="1:13" s="50" customFormat="1" ht="18.75" customHeight="1" x14ac:dyDescent="0.4">
      <c r="A477" s="484">
        <v>46223</v>
      </c>
      <c r="B477" s="7" t="s">
        <v>140</v>
      </c>
      <c r="C477" s="525" t="s">
        <v>1456</v>
      </c>
      <c r="D477" s="59" t="s">
        <v>581</v>
      </c>
      <c r="E477" s="59" t="s">
        <v>13</v>
      </c>
      <c r="F477" s="49">
        <v>2</v>
      </c>
      <c r="G477" s="49">
        <v>984000</v>
      </c>
      <c r="H477" s="7">
        <f t="shared" si="15"/>
        <v>1968000</v>
      </c>
      <c r="I477" s="67" t="s">
        <v>1726</v>
      </c>
      <c r="J477" s="67"/>
      <c r="K477" s="67"/>
      <c r="L477" s="67"/>
    </row>
    <row r="478" spans="1:13" s="50" customFormat="1" ht="18.75" customHeight="1" x14ac:dyDescent="0.4">
      <c r="A478" s="484">
        <v>46225</v>
      </c>
      <c r="B478" s="7" t="s">
        <v>140</v>
      </c>
      <c r="C478" s="525" t="s">
        <v>473</v>
      </c>
      <c r="D478" s="59" t="s">
        <v>246</v>
      </c>
      <c r="E478" s="59" t="s">
        <v>13</v>
      </c>
      <c r="F478" s="49">
        <v>3</v>
      </c>
      <c r="G478" s="49">
        <v>393500</v>
      </c>
      <c r="H478" s="7">
        <f t="shared" si="15"/>
        <v>1180500</v>
      </c>
      <c r="I478" s="67" t="s">
        <v>1726</v>
      </c>
      <c r="J478" s="67"/>
      <c r="K478" s="67"/>
      <c r="L478" s="67"/>
    </row>
    <row r="479" spans="1:13" s="50" customFormat="1" ht="18.75" customHeight="1" x14ac:dyDescent="0.4">
      <c r="A479" s="484">
        <v>46225</v>
      </c>
      <c r="B479" s="7" t="s">
        <v>140</v>
      </c>
      <c r="C479" s="525" t="s">
        <v>580</v>
      </c>
      <c r="D479" s="59" t="s">
        <v>581</v>
      </c>
      <c r="E479" s="59" t="s">
        <v>13</v>
      </c>
      <c r="F479" s="49">
        <v>2</v>
      </c>
      <c r="G479" s="49">
        <v>984000</v>
      </c>
      <c r="H479" s="7">
        <f t="shared" si="15"/>
        <v>1968000</v>
      </c>
      <c r="I479" s="67" t="s">
        <v>1726</v>
      </c>
      <c r="J479" s="67"/>
      <c r="K479" s="67"/>
      <c r="L479" s="67"/>
    </row>
    <row r="480" spans="1:13" s="50" customFormat="1" ht="18.75" customHeight="1" x14ac:dyDescent="0.4">
      <c r="A480" s="484">
        <v>46234</v>
      </c>
      <c r="B480" s="5" t="s">
        <v>140</v>
      </c>
      <c r="C480" s="527" t="s">
        <v>1579</v>
      </c>
      <c r="D480" s="1" t="s">
        <v>642</v>
      </c>
      <c r="E480" s="1" t="s">
        <v>13</v>
      </c>
      <c r="F480" s="64">
        <v>17</v>
      </c>
      <c r="G480" s="7">
        <v>630500</v>
      </c>
      <c r="H480" s="7">
        <f t="shared" si="15"/>
        <v>10718500</v>
      </c>
      <c r="I480" s="67" t="s">
        <v>1726</v>
      </c>
      <c r="J480" s="67"/>
      <c r="K480" s="67"/>
      <c r="L480" s="67"/>
    </row>
    <row r="481" spans="1:13" s="50" customFormat="1" ht="18.75" customHeight="1" x14ac:dyDescent="0.4">
      <c r="A481" s="484">
        <v>46234</v>
      </c>
      <c r="B481" s="5" t="s">
        <v>140</v>
      </c>
      <c r="C481" s="29" t="s">
        <v>771</v>
      </c>
      <c r="D481" s="110" t="s">
        <v>772</v>
      </c>
      <c r="E481" s="110" t="s">
        <v>13</v>
      </c>
      <c r="F481" s="697">
        <v>2</v>
      </c>
      <c r="G481" s="49">
        <v>633000</v>
      </c>
      <c r="H481" s="7">
        <f>F481*G481</f>
        <v>1266000</v>
      </c>
      <c r="I481" s="67" t="s">
        <v>1726</v>
      </c>
      <c r="J481" s="67"/>
      <c r="K481" s="67"/>
      <c r="L481" s="67"/>
    </row>
    <row r="482" spans="1:13" s="50" customFormat="1" ht="18.75" customHeight="1" x14ac:dyDescent="0.4">
      <c r="A482" s="484">
        <v>46234</v>
      </c>
      <c r="B482" s="5" t="s">
        <v>140</v>
      </c>
      <c r="C482" s="525" t="s">
        <v>1456</v>
      </c>
      <c r="D482" s="59" t="s">
        <v>581</v>
      </c>
      <c r="E482" s="59" t="s">
        <v>13</v>
      </c>
      <c r="F482" s="699">
        <v>3</v>
      </c>
      <c r="G482" s="49">
        <v>984000</v>
      </c>
      <c r="H482" s="7">
        <f>F482*G482</f>
        <v>2952000</v>
      </c>
      <c r="I482" s="67" t="s">
        <v>1726</v>
      </c>
      <c r="J482" s="67"/>
      <c r="K482" s="67"/>
      <c r="L482" s="67"/>
    </row>
    <row r="483" spans="1:13" s="50" customFormat="1" ht="18.75" customHeight="1" x14ac:dyDescent="0.4">
      <c r="A483" s="484">
        <v>46234</v>
      </c>
      <c r="B483" s="5" t="s">
        <v>140</v>
      </c>
      <c r="C483" s="525" t="s">
        <v>539</v>
      </c>
      <c r="D483" s="59" t="s">
        <v>242</v>
      </c>
      <c r="E483" s="59" t="s">
        <v>1745</v>
      </c>
      <c r="F483" s="699">
        <v>8</v>
      </c>
      <c r="G483" s="49">
        <v>175300</v>
      </c>
      <c r="H483" s="7">
        <f>F483*G483</f>
        <v>1402400</v>
      </c>
      <c r="I483" s="67" t="s">
        <v>1726</v>
      </c>
      <c r="J483" s="67"/>
      <c r="K483" s="67"/>
      <c r="L483" s="67"/>
    </row>
    <row r="484" spans="1:13" s="50" customFormat="1" ht="18.75" customHeight="1" x14ac:dyDescent="0.4">
      <c r="A484" s="492"/>
      <c r="B484" s="97"/>
      <c r="C484" s="138"/>
      <c r="D484" s="97"/>
      <c r="E484" s="123"/>
      <c r="F484" s="138"/>
      <c r="G484" s="138"/>
      <c r="H484" s="138">
        <f>SUM(H390:H416)</f>
        <v>57292393</v>
      </c>
      <c r="I484" s="145">
        <f>60214100-H484</f>
        <v>2921707</v>
      </c>
      <c r="J484" s="123"/>
      <c r="K484" s="123"/>
      <c r="L484" s="704"/>
    </row>
    <row r="485" spans="1:13" s="50" customFormat="1" ht="18.75" customHeight="1" x14ac:dyDescent="0.4">
      <c r="A485" s="484">
        <v>46217</v>
      </c>
      <c r="B485" s="59" t="s">
        <v>141</v>
      </c>
      <c r="C485" s="49" t="s">
        <v>1695</v>
      </c>
      <c r="D485" s="59">
        <v>40220976</v>
      </c>
      <c r="E485" s="59" t="s">
        <v>17</v>
      </c>
      <c r="F485" s="7">
        <v>28</v>
      </c>
      <c r="G485" s="49">
        <v>176943</v>
      </c>
      <c r="H485" s="36">
        <f>F485*G485</f>
        <v>4954404</v>
      </c>
      <c r="I485" s="67"/>
      <c r="J485" s="67"/>
      <c r="K485" s="67"/>
      <c r="L485" s="409">
        <v>0</v>
      </c>
    </row>
    <row r="486" spans="1:13" s="50" customFormat="1" ht="18.75" customHeight="1" x14ac:dyDescent="0.4">
      <c r="A486" s="484">
        <v>46217</v>
      </c>
      <c r="B486" s="59" t="s">
        <v>141</v>
      </c>
      <c r="C486" s="49" t="s">
        <v>1695</v>
      </c>
      <c r="D486" s="59">
        <v>40220976</v>
      </c>
      <c r="E486" s="59" t="s">
        <v>17</v>
      </c>
      <c r="F486" s="7">
        <v>38</v>
      </c>
      <c r="G486" s="49">
        <v>176943</v>
      </c>
      <c r="H486" s="36" t="s">
        <v>1240</v>
      </c>
      <c r="I486" s="67"/>
      <c r="J486" s="67"/>
      <c r="K486" s="67"/>
      <c r="L486" s="409">
        <v>0</v>
      </c>
    </row>
    <row r="487" spans="1:13" s="50" customFormat="1" ht="18.75" customHeight="1" x14ac:dyDescent="0.4">
      <c r="A487" s="492"/>
      <c r="B487" s="97"/>
      <c r="C487" s="138"/>
      <c r="D487" s="97"/>
      <c r="E487" s="123"/>
      <c r="F487" s="138"/>
      <c r="G487" s="138"/>
      <c r="H487" s="138">
        <f>SUM(H485:H486)</f>
        <v>4954404</v>
      </c>
      <c r="I487" s="123"/>
      <c r="J487" s="123"/>
      <c r="K487" s="123"/>
      <c r="L487" s="704"/>
    </row>
    <row r="488" spans="1:13" s="50" customFormat="1" ht="18.75" customHeight="1" x14ac:dyDescent="0.4">
      <c r="A488" s="484">
        <v>46206</v>
      </c>
      <c r="B488" s="59" t="s">
        <v>1138</v>
      </c>
      <c r="C488" s="49" t="s">
        <v>1521</v>
      </c>
      <c r="D488" s="59" t="s">
        <v>1696</v>
      </c>
      <c r="E488" s="59" t="s">
        <v>17</v>
      </c>
      <c r="F488" s="7">
        <v>25</v>
      </c>
      <c r="G488" s="49">
        <v>1317000</v>
      </c>
      <c r="H488" s="36">
        <f>F488*G488</f>
        <v>32925000</v>
      </c>
      <c r="I488" s="67"/>
      <c r="J488" s="67"/>
      <c r="K488" s="67"/>
      <c r="L488" s="409"/>
    </row>
    <row r="489" spans="1:13" s="50" customFormat="1" ht="18.75" customHeight="1" x14ac:dyDescent="0.4">
      <c r="A489" s="484">
        <v>46218</v>
      </c>
      <c r="B489" s="59" t="s">
        <v>1138</v>
      </c>
      <c r="C489" s="49" t="s">
        <v>1521</v>
      </c>
      <c r="D489" s="59" t="s">
        <v>1696</v>
      </c>
      <c r="E489" s="59" t="s">
        <v>17</v>
      </c>
      <c r="F489" s="7">
        <v>25</v>
      </c>
      <c r="G489" s="49">
        <v>1317000</v>
      </c>
      <c r="H489" s="36">
        <f>F489*G489</f>
        <v>32925000</v>
      </c>
      <c r="I489" s="67"/>
      <c r="J489" s="67"/>
      <c r="K489" s="67"/>
      <c r="L489" s="409"/>
    </row>
    <row r="490" spans="1:13" s="50" customFormat="1" ht="18.75" customHeight="1" x14ac:dyDescent="0.4">
      <c r="A490" s="484">
        <v>46232</v>
      </c>
      <c r="B490" s="59" t="s">
        <v>1138</v>
      </c>
      <c r="C490" s="49" t="s">
        <v>1521</v>
      </c>
      <c r="D490" s="59" t="s">
        <v>1696</v>
      </c>
      <c r="E490" s="59" t="s">
        <v>17</v>
      </c>
      <c r="F490" s="7">
        <v>39</v>
      </c>
      <c r="G490" s="49">
        <v>1317000</v>
      </c>
      <c r="H490" s="36">
        <f>F490*G490</f>
        <v>51363000</v>
      </c>
      <c r="I490" s="67"/>
      <c r="J490" s="67"/>
      <c r="K490" s="67"/>
      <c r="L490" s="409"/>
    </row>
    <row r="491" spans="1:13" s="50" customFormat="1" ht="18.75" customHeight="1" x14ac:dyDescent="0.4">
      <c r="A491" s="484">
        <v>46232</v>
      </c>
      <c r="B491" s="59" t="s">
        <v>1138</v>
      </c>
      <c r="C491" s="49" t="s">
        <v>1521</v>
      </c>
      <c r="D491" s="59" t="s">
        <v>1696</v>
      </c>
      <c r="E491" s="59" t="s">
        <v>17</v>
      </c>
      <c r="F491" s="7">
        <v>6</v>
      </c>
      <c r="G491" s="49">
        <v>1317000</v>
      </c>
      <c r="H491" s="36" t="s">
        <v>1240</v>
      </c>
      <c r="I491" s="67"/>
      <c r="J491" s="67"/>
      <c r="K491" s="67"/>
      <c r="L491" s="409"/>
    </row>
    <row r="492" spans="1:13" s="50" customFormat="1" ht="18.75" customHeight="1" x14ac:dyDescent="0.4">
      <c r="A492" s="483"/>
      <c r="B492" s="194"/>
      <c r="C492" s="40"/>
      <c r="D492" s="194"/>
      <c r="E492" s="194"/>
      <c r="F492" s="528"/>
      <c r="G492" s="529"/>
      <c r="H492" s="529">
        <f>SUM(H488:H491)</f>
        <v>117213000</v>
      </c>
      <c r="I492" s="529"/>
      <c r="J492" s="530"/>
      <c r="K492" s="145"/>
      <c r="L492" s="621"/>
    </row>
    <row r="493" spans="1:13" s="3" customFormat="1" ht="18.75" customHeight="1" x14ac:dyDescent="0.4">
      <c r="A493" s="482">
        <v>46203</v>
      </c>
      <c r="B493" s="110" t="s">
        <v>782</v>
      </c>
      <c r="C493" s="29" t="s">
        <v>160</v>
      </c>
      <c r="D493" s="110" t="s">
        <v>255</v>
      </c>
      <c r="E493" s="110"/>
      <c r="F493" s="533">
        <v>10</v>
      </c>
      <c r="G493" s="525">
        <f t="shared" ref="G493:G556" si="16">J493*L493</f>
        <v>396012.11200000002</v>
      </c>
      <c r="H493" s="525">
        <f t="shared" ref="H493:H556" si="17">F493*G493</f>
        <v>3960121.12</v>
      </c>
      <c r="I493" s="525" t="s">
        <v>1193</v>
      </c>
      <c r="J493" s="534">
        <v>41410</v>
      </c>
      <c r="K493" s="144" t="s">
        <v>1603</v>
      </c>
      <c r="L493" s="409">
        <v>9.5632000000000001</v>
      </c>
      <c r="M493" s="89"/>
    </row>
    <row r="494" spans="1:13" s="3" customFormat="1" ht="18.75" customHeight="1" x14ac:dyDescent="0.4">
      <c r="A494" s="482">
        <v>46203</v>
      </c>
      <c r="B494" s="110" t="s">
        <v>782</v>
      </c>
      <c r="C494" s="29" t="s">
        <v>152</v>
      </c>
      <c r="D494" s="110" t="s">
        <v>263</v>
      </c>
      <c r="E494" s="110"/>
      <c r="F494" s="533">
        <v>4</v>
      </c>
      <c r="G494" s="525">
        <f t="shared" si="16"/>
        <v>965213.77600000007</v>
      </c>
      <c r="H494" s="525">
        <f t="shared" si="17"/>
        <v>3860855.1040000003</v>
      </c>
      <c r="I494" s="525" t="s">
        <v>1184</v>
      </c>
      <c r="J494" s="534">
        <v>100930</v>
      </c>
      <c r="K494" s="144" t="s">
        <v>1603</v>
      </c>
      <c r="L494" s="409">
        <v>9.5632000000000001</v>
      </c>
      <c r="M494" s="89"/>
    </row>
    <row r="495" spans="1:13" s="3" customFormat="1" ht="18.75" customHeight="1" x14ac:dyDescent="0.4">
      <c r="A495" s="482">
        <v>46203</v>
      </c>
      <c r="B495" s="110" t="s">
        <v>782</v>
      </c>
      <c r="C495" s="29" t="s">
        <v>152</v>
      </c>
      <c r="D495" s="110" t="s">
        <v>159</v>
      </c>
      <c r="E495" s="110"/>
      <c r="F495" s="533">
        <v>4</v>
      </c>
      <c r="G495" s="525">
        <f t="shared" si="16"/>
        <v>965213.77600000007</v>
      </c>
      <c r="H495" s="525">
        <f t="shared" si="17"/>
        <v>3860855.1040000003</v>
      </c>
      <c r="I495" s="525" t="s">
        <v>1185</v>
      </c>
      <c r="J495" s="534">
        <v>100930</v>
      </c>
      <c r="K495" s="144" t="s">
        <v>1603</v>
      </c>
      <c r="L495" s="409">
        <v>9.5632000000000001</v>
      </c>
      <c r="M495" s="89"/>
    </row>
    <row r="496" spans="1:13" s="3" customFormat="1" ht="18.75" customHeight="1" x14ac:dyDescent="0.4">
      <c r="A496" s="482">
        <v>46203</v>
      </c>
      <c r="B496" s="110" t="s">
        <v>782</v>
      </c>
      <c r="C496" s="29" t="s">
        <v>160</v>
      </c>
      <c r="D496" s="110" t="s">
        <v>274</v>
      </c>
      <c r="E496" s="110"/>
      <c r="F496" s="533">
        <v>8</v>
      </c>
      <c r="G496" s="525">
        <f t="shared" si="16"/>
        <v>520907.50400000002</v>
      </c>
      <c r="H496" s="525">
        <f t="shared" si="17"/>
        <v>4167260.0320000001</v>
      </c>
      <c r="I496" s="525" t="s">
        <v>1356</v>
      </c>
      <c r="J496" s="534">
        <v>54470</v>
      </c>
      <c r="K496" s="144" t="s">
        <v>1603</v>
      </c>
      <c r="L496" s="409">
        <v>9.5632000000000001</v>
      </c>
      <c r="M496" s="89"/>
    </row>
    <row r="497" spans="1:13" s="3" customFormat="1" ht="18.75" customHeight="1" x14ac:dyDescent="0.4">
      <c r="A497" s="482">
        <v>46203</v>
      </c>
      <c r="B497" s="110" t="s">
        <v>782</v>
      </c>
      <c r="C497" s="29" t="s">
        <v>154</v>
      </c>
      <c r="D497" s="110" t="s">
        <v>266</v>
      </c>
      <c r="E497" s="110"/>
      <c r="F497" s="533">
        <v>8</v>
      </c>
      <c r="G497" s="525">
        <f t="shared" si="16"/>
        <v>4009945.392</v>
      </c>
      <c r="H497" s="525">
        <f t="shared" si="17"/>
        <v>32079563.136</v>
      </c>
      <c r="I497" s="525" t="s">
        <v>1356</v>
      </c>
      <c r="J497" s="534">
        <v>419310</v>
      </c>
      <c r="K497" s="144" t="s">
        <v>1603</v>
      </c>
      <c r="L497" s="409">
        <v>9.5632000000000001</v>
      </c>
      <c r="M497" s="89"/>
    </row>
    <row r="498" spans="1:13" s="3" customFormat="1" ht="18.75" customHeight="1" x14ac:dyDescent="0.4">
      <c r="A498" s="482">
        <v>46203</v>
      </c>
      <c r="B498" s="110" t="s">
        <v>782</v>
      </c>
      <c r="C498" s="29" t="s">
        <v>152</v>
      </c>
      <c r="D498" s="110" t="s">
        <v>159</v>
      </c>
      <c r="E498" s="110"/>
      <c r="F498" s="533">
        <v>4</v>
      </c>
      <c r="G498" s="525">
        <f t="shared" si="16"/>
        <v>965213.77600000007</v>
      </c>
      <c r="H498" s="525">
        <f t="shared" si="17"/>
        <v>3860855.1040000003</v>
      </c>
      <c r="I498" s="525" t="s">
        <v>1360</v>
      </c>
      <c r="J498" s="534">
        <v>100930</v>
      </c>
      <c r="K498" s="144" t="s">
        <v>1603</v>
      </c>
      <c r="L498" s="409">
        <v>9.5632000000000001</v>
      </c>
      <c r="M498" s="89"/>
    </row>
    <row r="499" spans="1:13" s="3" customFormat="1" ht="18.75" customHeight="1" x14ac:dyDescent="0.4">
      <c r="A499" s="482">
        <v>46203</v>
      </c>
      <c r="B499" s="110" t="s">
        <v>782</v>
      </c>
      <c r="C499" s="29" t="s">
        <v>150</v>
      </c>
      <c r="D499" s="110" t="s">
        <v>257</v>
      </c>
      <c r="E499" s="110"/>
      <c r="F499" s="533">
        <v>8</v>
      </c>
      <c r="G499" s="525">
        <f t="shared" si="16"/>
        <v>1203815.6159999999</v>
      </c>
      <c r="H499" s="525">
        <f t="shared" si="17"/>
        <v>9630524.9279999994</v>
      </c>
      <c r="I499" s="525" t="s">
        <v>1210</v>
      </c>
      <c r="J499" s="534">
        <v>125880</v>
      </c>
      <c r="K499" s="144" t="s">
        <v>1603</v>
      </c>
      <c r="L499" s="409">
        <v>9.5632000000000001</v>
      </c>
      <c r="M499" s="89"/>
    </row>
    <row r="500" spans="1:13" s="3" customFormat="1" ht="18.75" customHeight="1" x14ac:dyDescent="0.4">
      <c r="A500" s="482">
        <v>46203</v>
      </c>
      <c r="B500" s="110" t="s">
        <v>782</v>
      </c>
      <c r="C500" s="29" t="s">
        <v>154</v>
      </c>
      <c r="D500" s="110" t="s">
        <v>336</v>
      </c>
      <c r="E500" s="110"/>
      <c r="F500" s="533">
        <v>1</v>
      </c>
      <c r="G500" s="525">
        <f t="shared" si="16"/>
        <v>4009945.392</v>
      </c>
      <c r="H500" s="525">
        <f t="shared" si="17"/>
        <v>4009945.392</v>
      </c>
      <c r="I500" s="525" t="s">
        <v>1340</v>
      </c>
      <c r="J500" s="534">
        <v>419310</v>
      </c>
      <c r="K500" s="144" t="s">
        <v>1603</v>
      </c>
      <c r="L500" s="409">
        <v>9.5632000000000001</v>
      </c>
      <c r="M500" s="89"/>
    </row>
    <row r="501" spans="1:13" s="3" customFormat="1" ht="18.75" customHeight="1" x14ac:dyDescent="0.4">
      <c r="A501" s="482">
        <v>46203</v>
      </c>
      <c r="B501" s="110" t="s">
        <v>782</v>
      </c>
      <c r="C501" s="29" t="s">
        <v>155</v>
      </c>
      <c r="D501" s="110" t="s">
        <v>253</v>
      </c>
      <c r="E501" s="110"/>
      <c r="F501" s="533">
        <v>1</v>
      </c>
      <c r="G501" s="525">
        <f t="shared" si="16"/>
        <v>3745522.912</v>
      </c>
      <c r="H501" s="525">
        <f t="shared" si="17"/>
        <v>3745522.912</v>
      </c>
      <c r="I501" s="525" t="s">
        <v>1333</v>
      </c>
      <c r="J501" s="534">
        <v>391660</v>
      </c>
      <c r="K501" s="144" t="s">
        <v>1603</v>
      </c>
      <c r="L501" s="409">
        <v>9.5632000000000001</v>
      </c>
      <c r="M501" s="89"/>
    </row>
    <row r="502" spans="1:13" s="3" customFormat="1" ht="18.75" customHeight="1" x14ac:dyDescent="0.4">
      <c r="A502" s="482">
        <v>46203</v>
      </c>
      <c r="B502" s="110" t="s">
        <v>782</v>
      </c>
      <c r="C502" s="29" t="s">
        <v>155</v>
      </c>
      <c r="D502" s="110" t="s">
        <v>254</v>
      </c>
      <c r="E502" s="110"/>
      <c r="F502" s="533">
        <v>2</v>
      </c>
      <c r="G502" s="525">
        <f t="shared" si="16"/>
        <v>3745522.912</v>
      </c>
      <c r="H502" s="525">
        <f t="shared" si="17"/>
        <v>7491045.824</v>
      </c>
      <c r="I502" s="525" t="s">
        <v>1350</v>
      </c>
      <c r="J502" s="534">
        <v>391660</v>
      </c>
      <c r="K502" s="144" t="s">
        <v>1603</v>
      </c>
      <c r="L502" s="409">
        <v>9.5632000000000001</v>
      </c>
      <c r="M502" s="89"/>
    </row>
    <row r="503" spans="1:13" s="3" customFormat="1" ht="18.75" customHeight="1" x14ac:dyDescent="0.4">
      <c r="A503" s="482">
        <v>46203</v>
      </c>
      <c r="B503" s="110" t="s">
        <v>782</v>
      </c>
      <c r="C503" s="29" t="s">
        <v>157</v>
      </c>
      <c r="D503" s="110" t="s">
        <v>259</v>
      </c>
      <c r="E503" s="110"/>
      <c r="F503" s="533">
        <v>1</v>
      </c>
      <c r="G503" s="525">
        <f t="shared" si="16"/>
        <v>3506251.648</v>
      </c>
      <c r="H503" s="525">
        <f t="shared" si="17"/>
        <v>3506251.648</v>
      </c>
      <c r="I503" s="525" t="s">
        <v>1350</v>
      </c>
      <c r="J503" s="534">
        <v>366640</v>
      </c>
      <c r="K503" s="144" t="s">
        <v>1603</v>
      </c>
      <c r="L503" s="409">
        <v>9.5632000000000001</v>
      </c>
      <c r="M503" s="89"/>
    </row>
    <row r="504" spans="1:13" s="3" customFormat="1" ht="18.75" customHeight="1" x14ac:dyDescent="0.4">
      <c r="A504" s="482">
        <v>46203</v>
      </c>
      <c r="B504" s="110" t="s">
        <v>782</v>
      </c>
      <c r="C504" s="29" t="s">
        <v>157</v>
      </c>
      <c r="D504" s="110" t="s">
        <v>270</v>
      </c>
      <c r="E504" s="110"/>
      <c r="F504" s="533">
        <v>5</v>
      </c>
      <c r="G504" s="525">
        <f t="shared" si="16"/>
        <v>3608960.4160000002</v>
      </c>
      <c r="H504" s="525">
        <f t="shared" si="17"/>
        <v>18044802.080000002</v>
      </c>
      <c r="I504" s="525" t="s">
        <v>1593</v>
      </c>
      <c r="J504" s="534">
        <v>377380</v>
      </c>
      <c r="K504" s="144" t="s">
        <v>1603</v>
      </c>
      <c r="L504" s="409">
        <v>9.5632000000000001</v>
      </c>
      <c r="M504" s="89"/>
    </row>
    <row r="505" spans="1:13" s="3" customFormat="1" ht="18.75" customHeight="1" x14ac:dyDescent="0.4">
      <c r="A505" s="482">
        <v>46203</v>
      </c>
      <c r="B505" s="110" t="s">
        <v>782</v>
      </c>
      <c r="C505" s="29" t="s">
        <v>158</v>
      </c>
      <c r="D505" s="110" t="s">
        <v>252</v>
      </c>
      <c r="E505" s="110"/>
      <c r="F505" s="533">
        <v>1</v>
      </c>
      <c r="G505" s="525">
        <f t="shared" si="16"/>
        <v>3721997.44</v>
      </c>
      <c r="H505" s="525">
        <f t="shared" si="17"/>
        <v>3721997.44</v>
      </c>
      <c r="I505" s="525" t="s">
        <v>1599</v>
      </c>
      <c r="J505" s="534">
        <v>389200</v>
      </c>
      <c r="K505" s="144" t="s">
        <v>1603</v>
      </c>
      <c r="L505" s="409">
        <v>9.5632000000000001</v>
      </c>
      <c r="M505" s="89"/>
    </row>
    <row r="506" spans="1:13" s="3" customFormat="1" ht="18.75" customHeight="1" x14ac:dyDescent="0.4">
      <c r="A506" s="482">
        <v>46203</v>
      </c>
      <c r="B506" s="110" t="s">
        <v>782</v>
      </c>
      <c r="C506" s="29" t="s">
        <v>153</v>
      </c>
      <c r="D506" s="110" t="s">
        <v>392</v>
      </c>
      <c r="E506" s="110"/>
      <c r="F506" s="533">
        <v>1</v>
      </c>
      <c r="G506" s="525">
        <f t="shared" si="16"/>
        <v>3005426.8640000001</v>
      </c>
      <c r="H506" s="525">
        <f t="shared" si="17"/>
        <v>3005426.8640000001</v>
      </c>
      <c r="I506" s="525" t="s">
        <v>1595</v>
      </c>
      <c r="J506" s="534">
        <v>314270</v>
      </c>
      <c r="K506" s="144" t="s">
        <v>1603</v>
      </c>
      <c r="L506" s="409">
        <v>9.5632000000000001</v>
      </c>
      <c r="M506" s="89"/>
    </row>
    <row r="507" spans="1:13" s="3" customFormat="1" ht="18.75" customHeight="1" x14ac:dyDescent="0.4">
      <c r="A507" s="482">
        <v>46203</v>
      </c>
      <c r="B507" s="110" t="s">
        <v>782</v>
      </c>
      <c r="C507" s="29" t="s">
        <v>150</v>
      </c>
      <c r="D507" s="110" t="s">
        <v>275</v>
      </c>
      <c r="E507" s="110"/>
      <c r="F507" s="533">
        <v>1</v>
      </c>
      <c r="G507" s="525">
        <f t="shared" si="16"/>
        <v>567193.39199999999</v>
      </c>
      <c r="H507" s="525">
        <f t="shared" si="17"/>
        <v>567193.39199999999</v>
      </c>
      <c r="I507" s="525" t="s">
        <v>1608</v>
      </c>
      <c r="J507" s="534">
        <v>59310</v>
      </c>
      <c r="K507" s="144" t="s">
        <v>1603</v>
      </c>
      <c r="L507" s="409">
        <v>9.5632000000000001</v>
      </c>
      <c r="M507" s="89"/>
    </row>
    <row r="508" spans="1:13" s="3" customFormat="1" ht="18.75" customHeight="1" x14ac:dyDescent="0.4">
      <c r="A508" s="482">
        <v>46203</v>
      </c>
      <c r="B508" s="110" t="s">
        <v>782</v>
      </c>
      <c r="C508" s="29" t="s">
        <v>150</v>
      </c>
      <c r="D508" s="110" t="s">
        <v>258</v>
      </c>
      <c r="E508" s="110"/>
      <c r="F508" s="533">
        <v>1</v>
      </c>
      <c r="G508" s="525">
        <f t="shared" si="16"/>
        <v>139431.45600000001</v>
      </c>
      <c r="H508" s="525">
        <f t="shared" si="17"/>
        <v>139431.45600000001</v>
      </c>
      <c r="I508" s="525" t="s">
        <v>1464</v>
      </c>
      <c r="J508" s="534">
        <v>14580</v>
      </c>
      <c r="K508" s="144" t="s">
        <v>1603</v>
      </c>
      <c r="L508" s="409">
        <v>9.5632000000000001</v>
      </c>
      <c r="M508" s="89"/>
    </row>
    <row r="509" spans="1:13" s="3" customFormat="1" ht="18.75" customHeight="1" x14ac:dyDescent="0.4">
      <c r="A509" s="482">
        <v>46203</v>
      </c>
      <c r="B509" s="110" t="s">
        <v>782</v>
      </c>
      <c r="C509" s="29" t="s">
        <v>150</v>
      </c>
      <c r="D509" s="110" t="s">
        <v>258</v>
      </c>
      <c r="E509" s="110"/>
      <c r="F509" s="533">
        <v>1</v>
      </c>
      <c r="G509" s="525">
        <f t="shared" si="16"/>
        <v>139431.45600000001</v>
      </c>
      <c r="H509" s="525">
        <f t="shared" si="17"/>
        <v>139431.45600000001</v>
      </c>
      <c r="I509" s="525" t="s">
        <v>1604</v>
      </c>
      <c r="J509" s="534">
        <v>14580</v>
      </c>
      <c r="K509" s="144" t="s">
        <v>1603</v>
      </c>
      <c r="L509" s="409">
        <v>9.5632000000000001</v>
      </c>
      <c r="M509" s="89"/>
    </row>
    <row r="510" spans="1:13" s="3" customFormat="1" ht="18.75" customHeight="1" x14ac:dyDescent="0.4">
      <c r="A510" s="482">
        <v>46203</v>
      </c>
      <c r="B510" s="110" t="s">
        <v>782</v>
      </c>
      <c r="C510" s="29" t="s">
        <v>150</v>
      </c>
      <c r="D510" s="110" t="s">
        <v>258</v>
      </c>
      <c r="E510" s="110"/>
      <c r="F510" s="533">
        <v>1</v>
      </c>
      <c r="G510" s="525">
        <f t="shared" si="16"/>
        <v>139431.45600000001</v>
      </c>
      <c r="H510" s="525">
        <f t="shared" si="17"/>
        <v>139431.45600000001</v>
      </c>
      <c r="I510" s="525" t="s">
        <v>1605</v>
      </c>
      <c r="J510" s="534">
        <v>14580</v>
      </c>
      <c r="K510" s="144" t="s">
        <v>1603</v>
      </c>
      <c r="L510" s="409">
        <v>9.5632000000000001</v>
      </c>
      <c r="M510" s="89"/>
    </row>
    <row r="511" spans="1:13" s="3" customFormat="1" ht="18.75" customHeight="1" x14ac:dyDescent="0.4">
      <c r="A511" s="482">
        <v>46203</v>
      </c>
      <c r="B511" s="110" t="s">
        <v>782</v>
      </c>
      <c r="C511" s="29" t="s">
        <v>150</v>
      </c>
      <c r="D511" s="110" t="s">
        <v>258</v>
      </c>
      <c r="E511" s="110"/>
      <c r="F511" s="533">
        <v>1</v>
      </c>
      <c r="G511" s="525">
        <f t="shared" si="16"/>
        <v>139431.45600000001</v>
      </c>
      <c r="H511" s="525">
        <f t="shared" si="17"/>
        <v>139431.45600000001</v>
      </c>
      <c r="I511" s="525" t="s">
        <v>1606</v>
      </c>
      <c r="J511" s="534">
        <v>14580</v>
      </c>
      <c r="K511" s="144" t="s">
        <v>1603</v>
      </c>
      <c r="L511" s="409">
        <v>9.5632000000000001</v>
      </c>
      <c r="M511" s="89"/>
    </row>
    <row r="512" spans="1:13" s="3" customFormat="1" ht="18.75" customHeight="1" x14ac:dyDescent="0.4">
      <c r="A512" s="482">
        <v>46203</v>
      </c>
      <c r="B512" s="110" t="s">
        <v>782</v>
      </c>
      <c r="C512" s="29" t="s">
        <v>150</v>
      </c>
      <c r="D512" s="110" t="s">
        <v>258</v>
      </c>
      <c r="E512" s="110"/>
      <c r="F512" s="533">
        <v>1</v>
      </c>
      <c r="G512" s="525">
        <f t="shared" si="16"/>
        <v>139431.45600000001</v>
      </c>
      <c r="H512" s="525">
        <f t="shared" si="17"/>
        <v>139431.45600000001</v>
      </c>
      <c r="I512" s="525" t="s">
        <v>1607</v>
      </c>
      <c r="J512" s="534">
        <v>14580</v>
      </c>
      <c r="K512" s="144" t="s">
        <v>1603</v>
      </c>
      <c r="L512" s="409">
        <v>9.5632000000000001</v>
      </c>
      <c r="M512" s="89"/>
    </row>
    <row r="513" spans="1:12" s="50" customFormat="1" ht="18.75" customHeight="1" x14ac:dyDescent="0.4">
      <c r="A513" s="482">
        <v>46212</v>
      </c>
      <c r="B513" s="110" t="s">
        <v>782</v>
      </c>
      <c r="C513" s="29" t="s">
        <v>160</v>
      </c>
      <c r="D513" s="110" t="s">
        <v>255</v>
      </c>
      <c r="E513" s="110"/>
      <c r="F513" s="533">
        <v>8</v>
      </c>
      <c r="G513" s="525">
        <f t="shared" si="16"/>
        <v>387099.29600000003</v>
      </c>
      <c r="H513" s="525">
        <f t="shared" si="17"/>
        <v>3096794.3680000002</v>
      </c>
      <c r="I513" s="525" t="s">
        <v>1197</v>
      </c>
      <c r="J513" s="534">
        <v>41620</v>
      </c>
      <c r="K513" s="144" t="s">
        <v>1697</v>
      </c>
      <c r="L513" s="409">
        <v>9.3008000000000006</v>
      </c>
    </row>
    <row r="514" spans="1:12" s="50" customFormat="1" ht="18.75" customHeight="1" x14ac:dyDescent="0.4">
      <c r="A514" s="482">
        <v>46212</v>
      </c>
      <c r="B514" s="110" t="s">
        <v>782</v>
      </c>
      <c r="C514" s="29" t="s">
        <v>160</v>
      </c>
      <c r="D514" s="110" t="s">
        <v>274</v>
      </c>
      <c r="E514" s="110"/>
      <c r="F514" s="533">
        <v>8</v>
      </c>
      <c r="G514" s="525">
        <f t="shared" si="16"/>
        <v>506614.57600000006</v>
      </c>
      <c r="H514" s="525">
        <f t="shared" si="17"/>
        <v>4052916.6080000005</v>
      </c>
      <c r="I514" s="525" t="s">
        <v>1198</v>
      </c>
      <c r="J514" s="534">
        <v>54470</v>
      </c>
      <c r="K514" s="144" t="s">
        <v>1697</v>
      </c>
      <c r="L514" s="409">
        <v>9.3008000000000006</v>
      </c>
    </row>
    <row r="515" spans="1:12" s="50" customFormat="1" ht="18.75" customHeight="1" x14ac:dyDescent="0.4">
      <c r="A515" s="482">
        <v>46212</v>
      </c>
      <c r="B515" s="110" t="s">
        <v>782</v>
      </c>
      <c r="C515" s="29" t="s">
        <v>152</v>
      </c>
      <c r="D515" s="110" t="s">
        <v>263</v>
      </c>
      <c r="E515" s="110"/>
      <c r="F515" s="533">
        <v>4</v>
      </c>
      <c r="G515" s="525">
        <f t="shared" si="16"/>
        <v>938729.74400000006</v>
      </c>
      <c r="H515" s="525">
        <f t="shared" si="17"/>
        <v>3754918.9760000003</v>
      </c>
      <c r="I515" s="525" t="s">
        <v>1359</v>
      </c>
      <c r="J515" s="534">
        <v>100930</v>
      </c>
      <c r="K515" s="144" t="s">
        <v>1697</v>
      </c>
      <c r="L515" s="409">
        <v>9.3008000000000006</v>
      </c>
    </row>
    <row r="516" spans="1:12" s="50" customFormat="1" ht="18.75" customHeight="1" x14ac:dyDescent="0.4">
      <c r="A516" s="482">
        <v>46212</v>
      </c>
      <c r="B516" s="110" t="s">
        <v>782</v>
      </c>
      <c r="C516" s="29" t="s">
        <v>152</v>
      </c>
      <c r="D516" s="110" t="s">
        <v>159</v>
      </c>
      <c r="E516" s="110"/>
      <c r="F516" s="533">
        <v>4</v>
      </c>
      <c r="G516" s="525">
        <f t="shared" si="16"/>
        <v>938729.74400000006</v>
      </c>
      <c r="H516" s="525">
        <f t="shared" si="17"/>
        <v>3754918.9760000003</v>
      </c>
      <c r="I516" s="525" t="s">
        <v>1200</v>
      </c>
      <c r="J516" s="534">
        <v>100930</v>
      </c>
      <c r="K516" s="144" t="s">
        <v>1697</v>
      </c>
      <c r="L516" s="409">
        <v>9.3008000000000006</v>
      </c>
    </row>
    <row r="517" spans="1:12" s="50" customFormat="1" ht="18.75" customHeight="1" x14ac:dyDescent="0.4">
      <c r="A517" s="482">
        <v>46212</v>
      </c>
      <c r="B517" s="110" t="s">
        <v>782</v>
      </c>
      <c r="C517" s="29" t="s">
        <v>150</v>
      </c>
      <c r="D517" s="110" t="s">
        <v>334</v>
      </c>
      <c r="E517" s="110"/>
      <c r="F517" s="533">
        <v>8</v>
      </c>
      <c r="G517" s="525">
        <f t="shared" si="16"/>
        <v>312692.89600000001</v>
      </c>
      <c r="H517" s="525">
        <f t="shared" si="17"/>
        <v>2501543.1680000001</v>
      </c>
      <c r="I517" s="525" t="s">
        <v>1698</v>
      </c>
      <c r="J517" s="534">
        <v>33620</v>
      </c>
      <c r="K517" s="144" t="s">
        <v>1697</v>
      </c>
      <c r="L517" s="409">
        <v>9.3008000000000006</v>
      </c>
    </row>
    <row r="518" spans="1:12" s="50" customFormat="1" ht="18.75" customHeight="1" x14ac:dyDescent="0.4">
      <c r="A518" s="482">
        <v>46212</v>
      </c>
      <c r="B518" s="110" t="s">
        <v>782</v>
      </c>
      <c r="C518" s="29" t="s">
        <v>154</v>
      </c>
      <c r="D518" s="110" t="s">
        <v>267</v>
      </c>
      <c r="E518" s="110"/>
      <c r="F518" s="533">
        <v>3</v>
      </c>
      <c r="G518" s="525">
        <f t="shared" si="16"/>
        <v>3880293.7600000002</v>
      </c>
      <c r="H518" s="525">
        <f t="shared" si="17"/>
        <v>11640881.280000001</v>
      </c>
      <c r="I518" s="525" t="s">
        <v>1211</v>
      </c>
      <c r="J518" s="534">
        <v>417200</v>
      </c>
      <c r="K518" s="144" t="s">
        <v>1697</v>
      </c>
      <c r="L518" s="409">
        <v>9.3008000000000006</v>
      </c>
    </row>
    <row r="519" spans="1:12" s="50" customFormat="1" ht="18.75" customHeight="1" x14ac:dyDescent="0.4">
      <c r="A519" s="482">
        <v>46212</v>
      </c>
      <c r="B519" s="110" t="s">
        <v>782</v>
      </c>
      <c r="C519" s="29" t="s">
        <v>154</v>
      </c>
      <c r="D519" s="110" t="s">
        <v>266</v>
      </c>
      <c r="E519" s="110"/>
      <c r="F519" s="533">
        <v>1</v>
      </c>
      <c r="G519" s="525">
        <f t="shared" si="16"/>
        <v>3899918.4480000003</v>
      </c>
      <c r="H519" s="525">
        <f t="shared" si="17"/>
        <v>3899918.4480000003</v>
      </c>
      <c r="I519" s="525" t="s">
        <v>1333</v>
      </c>
      <c r="J519" s="534">
        <v>419310</v>
      </c>
      <c r="K519" s="144" t="s">
        <v>1697</v>
      </c>
      <c r="L519" s="409">
        <v>9.3008000000000006</v>
      </c>
    </row>
    <row r="520" spans="1:12" s="50" customFormat="1" ht="18.75" customHeight="1" x14ac:dyDescent="0.4">
      <c r="A520" s="482">
        <v>46212</v>
      </c>
      <c r="B520" s="110" t="s">
        <v>782</v>
      </c>
      <c r="C520" s="29" t="s">
        <v>153</v>
      </c>
      <c r="D520" s="110" t="s">
        <v>337</v>
      </c>
      <c r="E520" s="110"/>
      <c r="F520" s="533">
        <v>4</v>
      </c>
      <c r="G520" s="525">
        <f t="shared" si="16"/>
        <v>2057802.0000000002</v>
      </c>
      <c r="H520" s="525">
        <f t="shared" si="17"/>
        <v>8231208.0000000009</v>
      </c>
      <c r="I520" s="525" t="s">
        <v>1333</v>
      </c>
      <c r="J520" s="534">
        <v>221250</v>
      </c>
      <c r="K520" s="144" t="s">
        <v>1697</v>
      </c>
      <c r="L520" s="409">
        <v>9.3008000000000006</v>
      </c>
    </row>
    <row r="521" spans="1:12" x14ac:dyDescent="0.4">
      <c r="A521" s="482">
        <v>46212</v>
      </c>
      <c r="B521" s="110" t="s">
        <v>782</v>
      </c>
      <c r="C521" s="29" t="s">
        <v>156</v>
      </c>
      <c r="D521" s="110" t="s">
        <v>271</v>
      </c>
      <c r="E521" s="110"/>
      <c r="F521" s="533">
        <v>4</v>
      </c>
      <c r="G521" s="525">
        <f t="shared" si="16"/>
        <v>1084659.2960000001</v>
      </c>
      <c r="H521" s="525">
        <f t="shared" si="17"/>
        <v>4338637.1840000004</v>
      </c>
      <c r="I521" s="525" t="s">
        <v>1342</v>
      </c>
      <c r="J521" s="534">
        <v>116620</v>
      </c>
      <c r="K521" s="144" t="s">
        <v>1697</v>
      </c>
      <c r="L521" s="409">
        <v>9.3008000000000006</v>
      </c>
    </row>
    <row r="522" spans="1:12" x14ac:dyDescent="0.4">
      <c r="A522" s="482">
        <v>46212</v>
      </c>
      <c r="B522" s="110" t="s">
        <v>782</v>
      </c>
      <c r="C522" s="29" t="s">
        <v>157</v>
      </c>
      <c r="D522" s="110" t="s">
        <v>273</v>
      </c>
      <c r="E522" s="110"/>
      <c r="F522" s="533">
        <v>4</v>
      </c>
      <c r="G522" s="525">
        <f t="shared" si="16"/>
        <v>322086.70400000003</v>
      </c>
      <c r="H522" s="525">
        <f t="shared" si="17"/>
        <v>1288346.8160000001</v>
      </c>
      <c r="I522" s="525" t="s">
        <v>1342</v>
      </c>
      <c r="J522" s="534">
        <v>34630</v>
      </c>
      <c r="K522" s="144" t="s">
        <v>1697</v>
      </c>
      <c r="L522" s="409">
        <v>9.3008000000000006</v>
      </c>
    </row>
    <row r="523" spans="1:12" x14ac:dyDescent="0.4">
      <c r="A523" s="482">
        <v>46212</v>
      </c>
      <c r="B523" s="110" t="s">
        <v>782</v>
      </c>
      <c r="C523" s="29" t="s">
        <v>155</v>
      </c>
      <c r="D523" s="110" t="s">
        <v>253</v>
      </c>
      <c r="E523" s="110"/>
      <c r="F523" s="533">
        <v>6</v>
      </c>
      <c r="G523" s="525">
        <f t="shared" si="16"/>
        <v>3642751.3280000002</v>
      </c>
      <c r="H523" s="525">
        <f t="shared" si="17"/>
        <v>21856507.968000002</v>
      </c>
      <c r="I523" s="525" t="s">
        <v>1350</v>
      </c>
      <c r="J523" s="534">
        <v>391660</v>
      </c>
      <c r="K523" s="144" t="s">
        <v>1697</v>
      </c>
      <c r="L523" s="409">
        <v>9.3008000000000006</v>
      </c>
    </row>
    <row r="524" spans="1:12" x14ac:dyDescent="0.4">
      <c r="A524" s="482">
        <v>46212</v>
      </c>
      <c r="B524" s="110" t="s">
        <v>782</v>
      </c>
      <c r="C524" s="29" t="s">
        <v>156</v>
      </c>
      <c r="D524" s="110" t="s">
        <v>272</v>
      </c>
      <c r="E524" s="110"/>
      <c r="F524" s="533">
        <v>4</v>
      </c>
      <c r="G524" s="525">
        <f t="shared" si="16"/>
        <v>1084659.2960000001</v>
      </c>
      <c r="H524" s="525">
        <f t="shared" si="17"/>
        <v>4338637.1840000004</v>
      </c>
      <c r="I524" s="525" t="s">
        <v>1460</v>
      </c>
      <c r="J524" s="534">
        <v>116620</v>
      </c>
      <c r="K524" s="144" t="s">
        <v>1697</v>
      </c>
      <c r="L524" s="409">
        <v>9.3008000000000006</v>
      </c>
    </row>
    <row r="525" spans="1:12" x14ac:dyDescent="0.4">
      <c r="A525" s="482">
        <v>46212</v>
      </c>
      <c r="B525" s="110" t="s">
        <v>782</v>
      </c>
      <c r="C525" s="29" t="s">
        <v>157</v>
      </c>
      <c r="D525" s="110" t="s">
        <v>259</v>
      </c>
      <c r="E525" s="110"/>
      <c r="F525" s="533">
        <v>3</v>
      </c>
      <c r="G525" s="525">
        <f t="shared" si="16"/>
        <v>3509935.9040000001</v>
      </c>
      <c r="H525" s="525">
        <f t="shared" si="17"/>
        <v>10529807.712000001</v>
      </c>
      <c r="I525" s="525" t="s">
        <v>1593</v>
      </c>
      <c r="J525" s="534">
        <v>377380</v>
      </c>
      <c r="K525" s="144" t="s">
        <v>1697</v>
      </c>
      <c r="L525" s="409">
        <v>9.3008000000000006</v>
      </c>
    </row>
    <row r="526" spans="1:12" x14ac:dyDescent="0.4">
      <c r="A526" s="482">
        <v>46212</v>
      </c>
      <c r="B526" s="110" t="s">
        <v>782</v>
      </c>
      <c r="C526" s="29" t="s">
        <v>154</v>
      </c>
      <c r="D526" s="110" t="s">
        <v>250</v>
      </c>
      <c r="E526" s="110"/>
      <c r="F526" s="533">
        <v>4</v>
      </c>
      <c r="G526" s="525">
        <f t="shared" si="16"/>
        <v>742854.89600000007</v>
      </c>
      <c r="H526" s="525">
        <f t="shared" si="17"/>
        <v>2971419.5840000003</v>
      </c>
      <c r="I526" s="525" t="s">
        <v>1598</v>
      </c>
      <c r="J526" s="534">
        <v>79870</v>
      </c>
      <c r="K526" s="144" t="s">
        <v>1697</v>
      </c>
      <c r="L526" s="409">
        <v>9.3008000000000006</v>
      </c>
    </row>
    <row r="527" spans="1:12" x14ac:dyDescent="0.4">
      <c r="A527" s="482">
        <v>46212</v>
      </c>
      <c r="B527" s="110" t="s">
        <v>782</v>
      </c>
      <c r="C527" s="29" t="s">
        <v>157</v>
      </c>
      <c r="D527" s="110" t="s">
        <v>270</v>
      </c>
      <c r="E527" s="110"/>
      <c r="F527" s="533">
        <v>8</v>
      </c>
      <c r="G527" s="525">
        <f t="shared" si="16"/>
        <v>3509935.9040000001</v>
      </c>
      <c r="H527" s="525">
        <f t="shared" si="17"/>
        <v>28079487.232000001</v>
      </c>
      <c r="I527" s="525" t="s">
        <v>1474</v>
      </c>
      <c r="J527" s="534">
        <v>377380</v>
      </c>
      <c r="K527" s="144" t="s">
        <v>1697</v>
      </c>
      <c r="L527" s="409">
        <v>9.3008000000000006</v>
      </c>
    </row>
    <row r="528" spans="1:12" x14ac:dyDescent="0.4">
      <c r="A528" s="482">
        <v>46212</v>
      </c>
      <c r="B528" s="110" t="s">
        <v>782</v>
      </c>
      <c r="C528" s="29" t="s">
        <v>150</v>
      </c>
      <c r="D528" s="110" t="s">
        <v>335</v>
      </c>
      <c r="E528" s="110"/>
      <c r="F528" s="533">
        <v>4</v>
      </c>
      <c r="G528" s="525">
        <f t="shared" si="16"/>
        <v>312692.89600000001</v>
      </c>
      <c r="H528" s="525">
        <f t="shared" si="17"/>
        <v>1250771.584</v>
      </c>
      <c r="I528" s="525" t="s">
        <v>1699</v>
      </c>
      <c r="J528" s="534">
        <v>33620</v>
      </c>
      <c r="K528" s="144" t="s">
        <v>1697</v>
      </c>
      <c r="L528" s="409">
        <v>9.3008000000000006</v>
      </c>
    </row>
    <row r="529" spans="1:12" x14ac:dyDescent="0.4">
      <c r="A529" s="482">
        <v>46212</v>
      </c>
      <c r="B529" s="110" t="s">
        <v>782</v>
      </c>
      <c r="C529" s="29" t="s">
        <v>154</v>
      </c>
      <c r="D529" s="110" t="s">
        <v>251</v>
      </c>
      <c r="E529" s="110"/>
      <c r="F529" s="533">
        <v>4</v>
      </c>
      <c r="G529" s="525">
        <f t="shared" si="16"/>
        <v>742854.89600000007</v>
      </c>
      <c r="H529" s="525">
        <f t="shared" si="17"/>
        <v>2971419.5840000003</v>
      </c>
      <c r="I529" s="525" t="s">
        <v>1699</v>
      </c>
      <c r="J529" s="534">
        <v>79870</v>
      </c>
      <c r="K529" s="144" t="s">
        <v>1697</v>
      </c>
      <c r="L529" s="409">
        <v>9.3008000000000006</v>
      </c>
    </row>
    <row r="530" spans="1:12" x14ac:dyDescent="0.4">
      <c r="A530" s="482">
        <v>46212</v>
      </c>
      <c r="B530" s="110" t="s">
        <v>782</v>
      </c>
      <c r="C530" s="29" t="s">
        <v>158</v>
      </c>
      <c r="D530" s="110" t="s">
        <v>252</v>
      </c>
      <c r="E530" s="110"/>
      <c r="F530" s="533">
        <v>1</v>
      </c>
      <c r="G530" s="525">
        <f t="shared" si="16"/>
        <v>3619871.3600000003</v>
      </c>
      <c r="H530" s="525">
        <f t="shared" si="17"/>
        <v>3619871.3600000003</v>
      </c>
      <c r="I530" s="525" t="s">
        <v>1599</v>
      </c>
      <c r="J530" s="534">
        <v>389200</v>
      </c>
      <c r="K530" s="144" t="s">
        <v>1697</v>
      </c>
      <c r="L530" s="409">
        <v>9.3008000000000006</v>
      </c>
    </row>
    <row r="531" spans="1:12" x14ac:dyDescent="0.4">
      <c r="A531" s="482">
        <v>46212</v>
      </c>
      <c r="B531" s="110" t="s">
        <v>782</v>
      </c>
      <c r="C531" s="29" t="s">
        <v>153</v>
      </c>
      <c r="D531" s="110" t="s">
        <v>392</v>
      </c>
      <c r="E531" s="110"/>
      <c r="F531" s="533">
        <v>2</v>
      </c>
      <c r="G531" s="525">
        <f t="shared" si="16"/>
        <v>2922962.4160000002</v>
      </c>
      <c r="H531" s="525">
        <f t="shared" si="17"/>
        <v>5845924.8320000004</v>
      </c>
      <c r="I531" s="525" t="s">
        <v>1595</v>
      </c>
      <c r="J531" s="534">
        <v>314270</v>
      </c>
      <c r="K531" s="144" t="s">
        <v>1697</v>
      </c>
      <c r="L531" s="409">
        <v>9.3008000000000006</v>
      </c>
    </row>
    <row r="532" spans="1:12" x14ac:dyDescent="0.4">
      <c r="A532" s="482">
        <v>46212</v>
      </c>
      <c r="B532" s="110" t="s">
        <v>782</v>
      </c>
      <c r="C532" s="29" t="s">
        <v>158</v>
      </c>
      <c r="D532" s="110" t="s">
        <v>339</v>
      </c>
      <c r="E532" s="110"/>
      <c r="F532" s="533">
        <v>8</v>
      </c>
      <c r="G532" s="525">
        <f t="shared" si="16"/>
        <v>3619871.3600000003</v>
      </c>
      <c r="H532" s="525">
        <f t="shared" si="17"/>
        <v>28958970.880000003</v>
      </c>
      <c r="I532" s="525" t="s">
        <v>1595</v>
      </c>
      <c r="J532" s="534">
        <v>389200</v>
      </c>
      <c r="K532" s="144" t="s">
        <v>1697</v>
      </c>
      <c r="L532" s="409">
        <v>9.3008000000000006</v>
      </c>
    </row>
    <row r="533" spans="1:12" x14ac:dyDescent="0.4">
      <c r="A533" s="482">
        <v>46212</v>
      </c>
      <c r="B533" s="110" t="s">
        <v>782</v>
      </c>
      <c r="C533" s="29" t="s">
        <v>157</v>
      </c>
      <c r="D533" s="110" t="s">
        <v>259</v>
      </c>
      <c r="E533" s="110"/>
      <c r="F533" s="533">
        <v>6</v>
      </c>
      <c r="G533" s="525">
        <f t="shared" si="16"/>
        <v>3509935.9040000001</v>
      </c>
      <c r="H533" s="525">
        <f t="shared" si="17"/>
        <v>21059615.424000002</v>
      </c>
      <c r="I533" s="525" t="s">
        <v>1595</v>
      </c>
      <c r="J533" s="534">
        <v>377380</v>
      </c>
      <c r="K533" s="144" t="s">
        <v>1697</v>
      </c>
      <c r="L533" s="409">
        <v>9.3008000000000006</v>
      </c>
    </row>
    <row r="534" spans="1:12" x14ac:dyDescent="0.4">
      <c r="A534" s="482">
        <v>46212</v>
      </c>
      <c r="B534" s="110" t="s">
        <v>782</v>
      </c>
      <c r="C534" s="29" t="s">
        <v>156</v>
      </c>
      <c r="D534" s="110" t="s">
        <v>272</v>
      </c>
      <c r="E534" s="110"/>
      <c r="F534" s="533">
        <v>2</v>
      </c>
      <c r="G534" s="525">
        <f t="shared" si="16"/>
        <v>1110329.5040000002</v>
      </c>
      <c r="H534" s="525">
        <f t="shared" si="17"/>
        <v>2220659.0080000004</v>
      </c>
      <c r="I534" s="525" t="s">
        <v>1700</v>
      </c>
      <c r="J534" s="534">
        <v>119380</v>
      </c>
      <c r="K534" s="144" t="s">
        <v>1697</v>
      </c>
      <c r="L534" s="409">
        <v>9.3008000000000006</v>
      </c>
    </row>
    <row r="535" spans="1:12" x14ac:dyDescent="0.4">
      <c r="A535" s="482">
        <v>46212</v>
      </c>
      <c r="B535" s="110" t="s">
        <v>782</v>
      </c>
      <c r="C535" s="29" t="s">
        <v>150</v>
      </c>
      <c r="D535" s="110" t="s">
        <v>335</v>
      </c>
      <c r="E535" s="110"/>
      <c r="F535" s="533">
        <v>2</v>
      </c>
      <c r="G535" s="525">
        <f t="shared" si="16"/>
        <v>312692.89600000001</v>
      </c>
      <c r="H535" s="525">
        <f t="shared" si="17"/>
        <v>625385.79200000002</v>
      </c>
      <c r="I535" s="525" t="s">
        <v>1700</v>
      </c>
      <c r="J535" s="534">
        <v>33620</v>
      </c>
      <c r="K535" s="144" t="s">
        <v>1697</v>
      </c>
      <c r="L535" s="409">
        <v>9.3008000000000006</v>
      </c>
    </row>
    <row r="536" spans="1:12" x14ac:dyDescent="0.4">
      <c r="A536" s="482">
        <v>46212</v>
      </c>
      <c r="B536" s="110" t="s">
        <v>782</v>
      </c>
      <c r="C536" s="29" t="s">
        <v>154</v>
      </c>
      <c r="D536" s="110" t="s">
        <v>251</v>
      </c>
      <c r="E536" s="110"/>
      <c r="F536" s="533">
        <v>2</v>
      </c>
      <c r="G536" s="525">
        <f t="shared" si="16"/>
        <v>742854.89600000007</v>
      </c>
      <c r="H536" s="525">
        <f t="shared" si="17"/>
        <v>1485709.7920000001</v>
      </c>
      <c r="I536" s="525" t="s">
        <v>1700</v>
      </c>
      <c r="J536" s="534">
        <v>79870</v>
      </c>
      <c r="K536" s="144" t="s">
        <v>1697</v>
      </c>
      <c r="L536" s="409">
        <v>9.3008000000000006</v>
      </c>
    </row>
    <row r="537" spans="1:12" x14ac:dyDescent="0.4">
      <c r="A537" s="482">
        <v>46219</v>
      </c>
      <c r="B537" s="110" t="s">
        <v>782</v>
      </c>
      <c r="C537" s="29" t="s">
        <v>160</v>
      </c>
      <c r="D537" s="110" t="s">
        <v>274</v>
      </c>
      <c r="E537" s="110"/>
      <c r="F537" s="533">
        <v>8</v>
      </c>
      <c r="G537" s="525">
        <f t="shared" si="16"/>
        <v>500230.69200000004</v>
      </c>
      <c r="H537" s="525">
        <f t="shared" si="17"/>
        <v>4001845.5360000003</v>
      </c>
      <c r="I537" s="525" t="s">
        <v>1209</v>
      </c>
      <c r="J537" s="534">
        <v>54470</v>
      </c>
      <c r="K537" s="144" t="s">
        <v>1701</v>
      </c>
      <c r="L537" s="409">
        <v>9.1836000000000002</v>
      </c>
    </row>
    <row r="538" spans="1:12" x14ac:dyDescent="0.4">
      <c r="A538" s="482">
        <v>46219</v>
      </c>
      <c r="B538" s="110" t="s">
        <v>782</v>
      </c>
      <c r="C538" s="29" t="s">
        <v>160</v>
      </c>
      <c r="D538" s="110" t="s">
        <v>341</v>
      </c>
      <c r="E538" s="110"/>
      <c r="F538" s="533">
        <v>8</v>
      </c>
      <c r="G538" s="525">
        <f t="shared" si="16"/>
        <v>500230.69200000004</v>
      </c>
      <c r="H538" s="525">
        <f t="shared" si="17"/>
        <v>4001845.5360000003</v>
      </c>
      <c r="I538" s="525" t="s">
        <v>1349</v>
      </c>
      <c r="J538" s="534">
        <v>54470</v>
      </c>
      <c r="K538" s="144" t="s">
        <v>1701</v>
      </c>
      <c r="L538" s="409">
        <v>9.1836000000000002</v>
      </c>
    </row>
    <row r="539" spans="1:12" x14ac:dyDescent="0.4">
      <c r="A539" s="482">
        <v>46219</v>
      </c>
      <c r="B539" s="110" t="s">
        <v>782</v>
      </c>
      <c r="C539" s="29" t="s">
        <v>160</v>
      </c>
      <c r="D539" s="110" t="s">
        <v>255</v>
      </c>
      <c r="E539" s="110"/>
      <c r="F539" s="533">
        <v>8</v>
      </c>
      <c r="G539" s="525">
        <f t="shared" si="16"/>
        <v>387915.26400000002</v>
      </c>
      <c r="H539" s="525">
        <f t="shared" si="17"/>
        <v>3103322.1120000002</v>
      </c>
      <c r="I539" s="525" t="s">
        <v>1358</v>
      </c>
      <c r="J539" s="534">
        <v>42240</v>
      </c>
      <c r="K539" s="144" t="s">
        <v>1701</v>
      </c>
      <c r="L539" s="409">
        <v>9.1836000000000002</v>
      </c>
    </row>
    <row r="540" spans="1:12" x14ac:dyDescent="0.4">
      <c r="A540" s="482">
        <v>46219</v>
      </c>
      <c r="B540" s="110" t="s">
        <v>782</v>
      </c>
      <c r="C540" s="29" t="s">
        <v>154</v>
      </c>
      <c r="D540" s="110" t="s">
        <v>267</v>
      </c>
      <c r="E540" s="110"/>
      <c r="F540" s="533">
        <v>8</v>
      </c>
      <c r="G540" s="525">
        <f t="shared" si="16"/>
        <v>3831397.92</v>
      </c>
      <c r="H540" s="525">
        <f t="shared" si="17"/>
        <v>30651183.359999999</v>
      </c>
      <c r="I540" s="525" t="s">
        <v>1358</v>
      </c>
      <c r="J540" s="534">
        <v>417200</v>
      </c>
      <c r="K540" s="144" t="s">
        <v>1701</v>
      </c>
      <c r="L540" s="409">
        <v>9.1836000000000002</v>
      </c>
    </row>
    <row r="541" spans="1:12" x14ac:dyDescent="0.4">
      <c r="A541" s="482">
        <v>46219</v>
      </c>
      <c r="B541" s="110" t="s">
        <v>782</v>
      </c>
      <c r="C541" s="29" t="s">
        <v>152</v>
      </c>
      <c r="D541" s="110" t="s">
        <v>263</v>
      </c>
      <c r="E541" s="110"/>
      <c r="F541" s="533">
        <v>4</v>
      </c>
      <c r="G541" s="525">
        <f t="shared" si="16"/>
        <v>926900.74800000002</v>
      </c>
      <c r="H541" s="525">
        <f t="shared" si="17"/>
        <v>3707602.9920000001</v>
      </c>
      <c r="I541" s="525" t="s">
        <v>1361</v>
      </c>
      <c r="J541" s="534">
        <v>100930</v>
      </c>
      <c r="K541" s="144" t="s">
        <v>1701</v>
      </c>
      <c r="L541" s="409">
        <v>9.1836000000000002</v>
      </c>
    </row>
    <row r="542" spans="1:12" x14ac:dyDescent="0.4">
      <c r="A542" s="482">
        <v>46219</v>
      </c>
      <c r="B542" s="110" t="s">
        <v>782</v>
      </c>
      <c r="C542" s="29" t="s">
        <v>150</v>
      </c>
      <c r="D542" s="110" t="s">
        <v>256</v>
      </c>
      <c r="E542" s="110"/>
      <c r="F542" s="533">
        <v>8</v>
      </c>
      <c r="G542" s="525">
        <f t="shared" si="16"/>
        <v>1156031.568</v>
      </c>
      <c r="H542" s="525">
        <f t="shared" si="17"/>
        <v>9248252.5439999998</v>
      </c>
      <c r="I542" s="525" t="s">
        <v>1479</v>
      </c>
      <c r="J542" s="534">
        <v>125880</v>
      </c>
      <c r="K542" s="144" t="s">
        <v>1701</v>
      </c>
      <c r="L542" s="409">
        <v>9.1836000000000002</v>
      </c>
    </row>
    <row r="543" spans="1:12" x14ac:dyDescent="0.4">
      <c r="A543" s="482">
        <v>46219</v>
      </c>
      <c r="B543" s="110" t="s">
        <v>782</v>
      </c>
      <c r="C543" s="29" t="s">
        <v>154</v>
      </c>
      <c r="D543" s="110" t="s">
        <v>1328</v>
      </c>
      <c r="E543" s="110"/>
      <c r="F543" s="533">
        <v>4</v>
      </c>
      <c r="G543" s="525">
        <f t="shared" si="16"/>
        <v>716871.81599999999</v>
      </c>
      <c r="H543" s="525">
        <f t="shared" si="17"/>
        <v>2867487.264</v>
      </c>
      <c r="I543" s="525" t="s">
        <v>1480</v>
      </c>
      <c r="J543" s="534">
        <v>78060</v>
      </c>
      <c r="K543" s="144" t="s">
        <v>1701</v>
      </c>
      <c r="L543" s="409">
        <v>9.1836000000000002</v>
      </c>
    </row>
    <row r="544" spans="1:12" x14ac:dyDescent="0.4">
      <c r="A544" s="482">
        <v>46219</v>
      </c>
      <c r="B544" s="110" t="s">
        <v>782</v>
      </c>
      <c r="C544" s="29" t="s">
        <v>152</v>
      </c>
      <c r="D544" s="110" t="s">
        <v>159</v>
      </c>
      <c r="E544" s="110"/>
      <c r="F544" s="533">
        <v>4</v>
      </c>
      <c r="G544" s="525">
        <f t="shared" si="16"/>
        <v>926900.74800000002</v>
      </c>
      <c r="H544" s="525">
        <f t="shared" si="17"/>
        <v>3707602.9920000001</v>
      </c>
      <c r="I544" s="525" t="s">
        <v>1481</v>
      </c>
      <c r="J544" s="534">
        <v>100930</v>
      </c>
      <c r="K544" s="144" t="s">
        <v>1701</v>
      </c>
      <c r="L544" s="409">
        <v>9.1836000000000002</v>
      </c>
    </row>
    <row r="545" spans="1:13" x14ac:dyDescent="0.4">
      <c r="A545" s="482">
        <v>46219</v>
      </c>
      <c r="B545" s="110" t="s">
        <v>782</v>
      </c>
      <c r="C545" s="29" t="s">
        <v>152</v>
      </c>
      <c r="D545" s="110" t="s">
        <v>159</v>
      </c>
      <c r="E545" s="110"/>
      <c r="F545" s="533">
        <v>4</v>
      </c>
      <c r="G545" s="525">
        <f t="shared" si="16"/>
        <v>926900.74800000002</v>
      </c>
      <c r="H545" s="525">
        <f t="shared" si="17"/>
        <v>3707602.9920000001</v>
      </c>
      <c r="I545" s="525" t="s">
        <v>1202</v>
      </c>
      <c r="J545" s="534">
        <v>100930</v>
      </c>
      <c r="K545" s="144" t="s">
        <v>1701</v>
      </c>
      <c r="L545" s="409">
        <v>9.1836000000000002</v>
      </c>
    </row>
    <row r="546" spans="1:13" x14ac:dyDescent="0.4">
      <c r="A546" s="482">
        <v>46219</v>
      </c>
      <c r="B546" s="110" t="s">
        <v>782</v>
      </c>
      <c r="C546" s="29" t="s">
        <v>150</v>
      </c>
      <c r="D546" s="110" t="s">
        <v>257</v>
      </c>
      <c r="E546" s="110"/>
      <c r="F546" s="533">
        <v>8</v>
      </c>
      <c r="G546" s="525">
        <f t="shared" si="16"/>
        <v>1156031.568</v>
      </c>
      <c r="H546" s="525">
        <f t="shared" si="17"/>
        <v>9248252.5439999998</v>
      </c>
      <c r="I546" s="525" t="s">
        <v>1333</v>
      </c>
      <c r="J546" s="534">
        <v>125880</v>
      </c>
      <c r="K546" s="144" t="s">
        <v>1701</v>
      </c>
      <c r="L546" s="409">
        <v>9.1836000000000002</v>
      </c>
      <c r="M546" s="89"/>
    </row>
    <row r="547" spans="1:13" x14ac:dyDescent="0.4">
      <c r="A547" s="482">
        <v>46219</v>
      </c>
      <c r="B547" s="110" t="s">
        <v>782</v>
      </c>
      <c r="C547" s="29" t="s">
        <v>157</v>
      </c>
      <c r="D547" s="110" t="s">
        <v>273</v>
      </c>
      <c r="E547" s="110"/>
      <c r="F547" s="533">
        <v>4</v>
      </c>
      <c r="G547" s="525">
        <f t="shared" si="16"/>
        <v>318028.06800000003</v>
      </c>
      <c r="H547" s="525">
        <f t="shared" si="17"/>
        <v>1272112.2720000001</v>
      </c>
      <c r="I547" s="525" t="s">
        <v>1460</v>
      </c>
      <c r="J547" s="534">
        <v>34630</v>
      </c>
      <c r="K547" s="144" t="s">
        <v>1701</v>
      </c>
      <c r="L547" s="409">
        <v>9.1836000000000002</v>
      </c>
      <c r="M547" s="89"/>
    </row>
    <row r="548" spans="1:13" x14ac:dyDescent="0.4">
      <c r="A548" s="482">
        <v>46219</v>
      </c>
      <c r="B548" s="110" t="s">
        <v>782</v>
      </c>
      <c r="C548" s="29" t="s">
        <v>155</v>
      </c>
      <c r="D548" s="110" t="s">
        <v>253</v>
      </c>
      <c r="E548" s="110"/>
      <c r="F548" s="533">
        <v>6</v>
      </c>
      <c r="G548" s="525">
        <f t="shared" si="16"/>
        <v>3719174.3280000002</v>
      </c>
      <c r="H548" s="525">
        <f t="shared" si="17"/>
        <v>22315045.968000002</v>
      </c>
      <c r="I548" s="525" t="s">
        <v>1593</v>
      </c>
      <c r="J548" s="534">
        <v>404980</v>
      </c>
      <c r="K548" s="144" t="s">
        <v>1701</v>
      </c>
      <c r="L548" s="409">
        <v>9.1836000000000002</v>
      </c>
      <c r="M548" s="89"/>
    </row>
    <row r="549" spans="1:13" x14ac:dyDescent="0.4">
      <c r="A549" s="482">
        <v>46219</v>
      </c>
      <c r="B549" s="110" t="s">
        <v>782</v>
      </c>
      <c r="C549" s="29" t="s">
        <v>157</v>
      </c>
      <c r="D549" s="110" t="s">
        <v>338</v>
      </c>
      <c r="E549" s="110"/>
      <c r="F549" s="533">
        <v>4</v>
      </c>
      <c r="G549" s="525">
        <f t="shared" si="16"/>
        <v>325374.94800000003</v>
      </c>
      <c r="H549" s="525">
        <f t="shared" si="17"/>
        <v>1301499.7920000001</v>
      </c>
      <c r="I549" s="525" t="s">
        <v>1598</v>
      </c>
      <c r="J549" s="534">
        <v>35430</v>
      </c>
      <c r="K549" s="144" t="s">
        <v>1701</v>
      </c>
      <c r="L549" s="409">
        <v>9.1836000000000002</v>
      </c>
      <c r="M549" s="89"/>
    </row>
    <row r="550" spans="1:13" x14ac:dyDescent="0.4">
      <c r="A550" s="482">
        <v>46219</v>
      </c>
      <c r="B550" s="110" t="s">
        <v>782</v>
      </c>
      <c r="C550" s="29" t="s">
        <v>150</v>
      </c>
      <c r="D550" s="110" t="s">
        <v>391</v>
      </c>
      <c r="E550" s="110"/>
      <c r="F550" s="533">
        <v>8</v>
      </c>
      <c r="G550" s="525">
        <f t="shared" si="16"/>
        <v>1185786.432</v>
      </c>
      <c r="H550" s="525">
        <f t="shared" si="17"/>
        <v>9486291.4560000002</v>
      </c>
      <c r="I550" s="525" t="s">
        <v>1474</v>
      </c>
      <c r="J550" s="534">
        <v>129120</v>
      </c>
      <c r="K550" s="144" t="s">
        <v>1701</v>
      </c>
      <c r="L550" s="409">
        <v>9.1836000000000002</v>
      </c>
      <c r="M550" s="89"/>
    </row>
    <row r="551" spans="1:13" x14ac:dyDescent="0.4">
      <c r="A551" s="482">
        <v>46219</v>
      </c>
      <c r="B551" s="110" t="s">
        <v>782</v>
      </c>
      <c r="C551" s="29" t="s">
        <v>150</v>
      </c>
      <c r="D551" s="110" t="s">
        <v>391</v>
      </c>
      <c r="E551" s="110"/>
      <c r="F551" s="533">
        <v>8</v>
      </c>
      <c r="G551" s="525">
        <f t="shared" si="16"/>
        <v>1185786.432</v>
      </c>
      <c r="H551" s="525">
        <f t="shared" si="17"/>
        <v>9486291.4560000002</v>
      </c>
      <c r="I551" s="525" t="s">
        <v>1595</v>
      </c>
      <c r="J551" s="534">
        <v>129120</v>
      </c>
      <c r="K551" s="144" t="s">
        <v>1701</v>
      </c>
      <c r="L551" s="409">
        <v>9.1836000000000002</v>
      </c>
      <c r="M551" s="89"/>
    </row>
    <row r="552" spans="1:13" x14ac:dyDescent="0.4">
      <c r="A552" s="482">
        <v>46219</v>
      </c>
      <c r="B552" s="110" t="s">
        <v>782</v>
      </c>
      <c r="C552" s="29" t="s">
        <v>157</v>
      </c>
      <c r="D552" s="110" t="s">
        <v>259</v>
      </c>
      <c r="E552" s="110"/>
      <c r="F552" s="533">
        <v>2</v>
      </c>
      <c r="G552" s="525">
        <f t="shared" si="16"/>
        <v>3465706.9679999999</v>
      </c>
      <c r="H552" s="525">
        <f t="shared" si="17"/>
        <v>6931413.9359999998</v>
      </c>
      <c r="I552" s="525" t="s">
        <v>1595</v>
      </c>
      <c r="J552" s="534">
        <v>377380</v>
      </c>
      <c r="K552" s="144" t="s">
        <v>1701</v>
      </c>
      <c r="L552" s="409">
        <v>9.1836000000000002</v>
      </c>
      <c r="M552" s="89"/>
    </row>
    <row r="553" spans="1:13" x14ac:dyDescent="0.4">
      <c r="A553" s="482">
        <v>46219</v>
      </c>
      <c r="B553" s="110" t="s">
        <v>782</v>
      </c>
      <c r="C553" s="29" t="s">
        <v>153</v>
      </c>
      <c r="D553" s="110" t="s">
        <v>269</v>
      </c>
      <c r="E553" s="110"/>
      <c r="F553" s="533">
        <v>10</v>
      </c>
      <c r="G553" s="525">
        <f t="shared" si="16"/>
        <v>2074116.06</v>
      </c>
      <c r="H553" s="525">
        <f t="shared" si="17"/>
        <v>20741160.600000001</v>
      </c>
      <c r="I553" s="525" t="s">
        <v>1702</v>
      </c>
      <c r="J553" s="534">
        <v>225850</v>
      </c>
      <c r="K553" s="144" t="s">
        <v>1701</v>
      </c>
      <c r="L553" s="409">
        <v>9.1836000000000002</v>
      </c>
      <c r="M553" s="89"/>
    </row>
    <row r="554" spans="1:13" x14ac:dyDescent="0.4">
      <c r="A554" s="482">
        <v>46219</v>
      </c>
      <c r="B554" s="110" t="s">
        <v>782</v>
      </c>
      <c r="C554" s="29" t="s">
        <v>150</v>
      </c>
      <c r="D554" s="110" t="s">
        <v>334</v>
      </c>
      <c r="E554" s="110"/>
      <c r="F554" s="533">
        <v>2</v>
      </c>
      <c r="G554" s="525">
        <f t="shared" si="16"/>
        <v>21572.276399999999</v>
      </c>
      <c r="H554" s="525">
        <f t="shared" si="17"/>
        <v>43144.552799999998</v>
      </c>
      <c r="I554" s="525" t="s">
        <v>1703</v>
      </c>
      <c r="J554" s="534">
        <v>2349</v>
      </c>
      <c r="K554" s="144" t="s">
        <v>1701</v>
      </c>
      <c r="L554" s="409">
        <v>9.1836000000000002</v>
      </c>
      <c r="M554" s="89"/>
    </row>
    <row r="555" spans="1:13" x14ac:dyDescent="0.4">
      <c r="A555" s="482">
        <v>46219</v>
      </c>
      <c r="B555" s="110" t="s">
        <v>782</v>
      </c>
      <c r="C555" s="29" t="s">
        <v>150</v>
      </c>
      <c r="D555" s="110" t="s">
        <v>335</v>
      </c>
      <c r="E555" s="110"/>
      <c r="F555" s="533">
        <v>1</v>
      </c>
      <c r="G555" s="525">
        <f t="shared" si="16"/>
        <v>21572.276399999999</v>
      </c>
      <c r="H555" s="525">
        <f t="shared" si="17"/>
        <v>21572.276399999999</v>
      </c>
      <c r="I555" s="525" t="s">
        <v>1704</v>
      </c>
      <c r="J555" s="534">
        <v>2349</v>
      </c>
      <c r="K555" s="144" t="s">
        <v>1701</v>
      </c>
      <c r="L555" s="409">
        <v>9.1836000000000002</v>
      </c>
      <c r="M555" s="89"/>
    </row>
    <row r="556" spans="1:13" x14ac:dyDescent="0.4">
      <c r="A556" s="482">
        <v>46219</v>
      </c>
      <c r="B556" s="110" t="s">
        <v>782</v>
      </c>
      <c r="C556" s="29" t="s">
        <v>150</v>
      </c>
      <c r="D556" s="110" t="s">
        <v>335</v>
      </c>
      <c r="E556" s="110"/>
      <c r="F556" s="533">
        <v>1</v>
      </c>
      <c r="G556" s="525">
        <f t="shared" si="16"/>
        <v>21572.276399999999</v>
      </c>
      <c r="H556" s="525">
        <f t="shared" si="17"/>
        <v>21572.276399999999</v>
      </c>
      <c r="I556" s="525" t="s">
        <v>1705</v>
      </c>
      <c r="J556" s="534">
        <v>2349</v>
      </c>
      <c r="K556" s="144" t="s">
        <v>1701</v>
      </c>
      <c r="L556" s="409">
        <v>9.1836000000000002</v>
      </c>
      <c r="M556" s="89"/>
    </row>
    <row r="557" spans="1:13" x14ac:dyDescent="0.4">
      <c r="A557" s="482">
        <v>46219</v>
      </c>
      <c r="B557" s="110" t="s">
        <v>782</v>
      </c>
      <c r="C557" s="29" t="s">
        <v>150</v>
      </c>
      <c r="D557" s="110" t="s">
        <v>335</v>
      </c>
      <c r="E557" s="110"/>
      <c r="F557" s="533">
        <v>1</v>
      </c>
      <c r="G557" s="525">
        <f t="shared" ref="G557:G592" si="18">J557*L557</f>
        <v>21682.479599999999</v>
      </c>
      <c r="H557" s="525">
        <f t="shared" ref="H557:H592" si="19">F557*G557</f>
        <v>21682.479599999999</v>
      </c>
      <c r="I557" s="525" t="s">
        <v>1706</v>
      </c>
      <c r="J557" s="534">
        <v>2361</v>
      </c>
      <c r="K557" s="144" t="s">
        <v>1701</v>
      </c>
      <c r="L557" s="409">
        <v>9.1836000000000002</v>
      </c>
      <c r="M557" s="89"/>
    </row>
    <row r="558" spans="1:13" x14ac:dyDescent="0.4">
      <c r="A558" s="482">
        <v>46227</v>
      </c>
      <c r="B558" s="110" t="s">
        <v>782</v>
      </c>
      <c r="C558" s="29" t="s">
        <v>160</v>
      </c>
      <c r="D558" s="110" t="s">
        <v>274</v>
      </c>
      <c r="E558" s="110"/>
      <c r="F558" s="533">
        <v>8</v>
      </c>
      <c r="G558" s="525">
        <f t="shared" si="18"/>
        <v>487947.70699999999</v>
      </c>
      <c r="H558" s="525">
        <f t="shared" si="19"/>
        <v>3903581.656</v>
      </c>
      <c r="I558" s="525" t="s">
        <v>1707</v>
      </c>
      <c r="J558" s="534">
        <v>54470</v>
      </c>
      <c r="K558" s="144" t="s">
        <v>1708</v>
      </c>
      <c r="L558" s="409">
        <v>8.9581</v>
      </c>
      <c r="M558" s="89"/>
    </row>
    <row r="559" spans="1:13" x14ac:dyDescent="0.4">
      <c r="A559" s="482">
        <v>46227</v>
      </c>
      <c r="B559" s="110" t="s">
        <v>782</v>
      </c>
      <c r="C559" s="29" t="s">
        <v>160</v>
      </c>
      <c r="D559" s="110" t="s">
        <v>255</v>
      </c>
      <c r="E559" s="110"/>
      <c r="F559" s="533">
        <v>8</v>
      </c>
      <c r="G559" s="525">
        <f t="shared" si="18"/>
        <v>378390.14399999997</v>
      </c>
      <c r="H559" s="525">
        <f t="shared" si="19"/>
        <v>3027121.1519999998</v>
      </c>
      <c r="I559" s="525" t="s">
        <v>1479</v>
      </c>
      <c r="J559" s="534">
        <v>42240</v>
      </c>
      <c r="K559" s="144" t="s">
        <v>1708</v>
      </c>
      <c r="L559" s="409">
        <v>8.9581</v>
      </c>
      <c r="M559" s="89"/>
    </row>
    <row r="560" spans="1:13" x14ac:dyDescent="0.4">
      <c r="A560" s="482">
        <v>46227</v>
      </c>
      <c r="B560" s="110" t="s">
        <v>782</v>
      </c>
      <c r="C560" s="29" t="s">
        <v>161</v>
      </c>
      <c r="D560" s="110" t="s">
        <v>1005</v>
      </c>
      <c r="E560" s="110"/>
      <c r="F560" s="533">
        <v>4</v>
      </c>
      <c r="G560" s="525">
        <f t="shared" si="18"/>
        <v>244466.549</v>
      </c>
      <c r="H560" s="525">
        <f t="shared" si="19"/>
        <v>977866.196</v>
      </c>
      <c r="I560" s="525" t="s">
        <v>1480</v>
      </c>
      <c r="J560" s="534">
        <v>27290</v>
      </c>
      <c r="K560" s="144" t="s">
        <v>1708</v>
      </c>
      <c r="L560" s="409">
        <v>8.9581</v>
      </c>
      <c r="M560" s="89"/>
    </row>
    <row r="561" spans="1:13" x14ac:dyDescent="0.4">
      <c r="A561" s="482">
        <v>46227</v>
      </c>
      <c r="B561" s="110" t="s">
        <v>782</v>
      </c>
      <c r="C561" s="29" t="s">
        <v>154</v>
      </c>
      <c r="D561" s="110" t="s">
        <v>267</v>
      </c>
      <c r="E561" s="110"/>
      <c r="F561" s="533">
        <v>5</v>
      </c>
      <c r="G561" s="525">
        <f t="shared" si="18"/>
        <v>3737319.32</v>
      </c>
      <c r="H561" s="525">
        <f t="shared" si="19"/>
        <v>18686596.599999998</v>
      </c>
      <c r="I561" s="525" t="s">
        <v>1211</v>
      </c>
      <c r="J561" s="534">
        <v>417200</v>
      </c>
      <c r="K561" s="144" t="s">
        <v>1708</v>
      </c>
      <c r="L561" s="409">
        <v>8.9581</v>
      </c>
      <c r="M561" s="89"/>
    </row>
    <row r="562" spans="1:13" x14ac:dyDescent="0.4">
      <c r="A562" s="482">
        <v>46227</v>
      </c>
      <c r="B562" s="110" t="s">
        <v>782</v>
      </c>
      <c r="C562" s="29" t="s">
        <v>152</v>
      </c>
      <c r="D562" s="110" t="s">
        <v>263</v>
      </c>
      <c r="E562" s="110"/>
      <c r="F562" s="533">
        <v>4</v>
      </c>
      <c r="G562" s="525">
        <f t="shared" si="18"/>
        <v>904141.03299999994</v>
      </c>
      <c r="H562" s="525">
        <f t="shared" si="19"/>
        <v>3616564.1319999998</v>
      </c>
      <c r="I562" s="525" t="s">
        <v>1213</v>
      </c>
      <c r="J562" s="534">
        <v>100930</v>
      </c>
      <c r="K562" s="144" t="s">
        <v>1708</v>
      </c>
      <c r="L562" s="409">
        <v>8.9581</v>
      </c>
      <c r="M562" s="89"/>
    </row>
    <row r="563" spans="1:13" x14ac:dyDescent="0.4">
      <c r="A563" s="482">
        <v>46227</v>
      </c>
      <c r="B563" s="110" t="s">
        <v>782</v>
      </c>
      <c r="C563" s="29" t="s">
        <v>154</v>
      </c>
      <c r="D563" s="110" t="s">
        <v>268</v>
      </c>
      <c r="E563" s="110"/>
      <c r="F563" s="533">
        <v>2</v>
      </c>
      <c r="G563" s="525">
        <f t="shared" si="18"/>
        <v>3737319.32</v>
      </c>
      <c r="H563" s="525">
        <f t="shared" si="19"/>
        <v>7474638.6399999997</v>
      </c>
      <c r="I563" s="525" t="s">
        <v>1214</v>
      </c>
      <c r="J563" s="534">
        <v>417200</v>
      </c>
      <c r="K563" s="144" t="s">
        <v>1708</v>
      </c>
      <c r="L563" s="409">
        <v>8.9581</v>
      </c>
      <c r="M563" s="89"/>
    </row>
    <row r="564" spans="1:13" x14ac:dyDescent="0.4">
      <c r="A564" s="482">
        <v>46227</v>
      </c>
      <c r="B564" s="110" t="s">
        <v>782</v>
      </c>
      <c r="C564" s="29" t="s">
        <v>153</v>
      </c>
      <c r="D564" s="110" t="s">
        <v>337</v>
      </c>
      <c r="E564" s="110"/>
      <c r="F564" s="533">
        <v>1</v>
      </c>
      <c r="G564" s="525">
        <f t="shared" si="18"/>
        <v>1981979.625</v>
      </c>
      <c r="H564" s="525">
        <f t="shared" si="19"/>
        <v>1981979.625</v>
      </c>
      <c r="I564" s="525" t="s">
        <v>1333</v>
      </c>
      <c r="J564" s="534">
        <v>221250</v>
      </c>
      <c r="K564" s="144" t="s">
        <v>1708</v>
      </c>
      <c r="L564" s="409">
        <v>8.9581</v>
      </c>
      <c r="M564" s="89"/>
    </row>
    <row r="565" spans="1:13" x14ac:dyDescent="0.4">
      <c r="A565" s="482">
        <v>46227</v>
      </c>
      <c r="B565" s="110" t="s">
        <v>782</v>
      </c>
      <c r="C565" s="29" t="s">
        <v>155</v>
      </c>
      <c r="D565" s="110" t="s">
        <v>253</v>
      </c>
      <c r="E565" s="110"/>
      <c r="F565" s="533">
        <v>2</v>
      </c>
      <c r="G565" s="525">
        <f t="shared" si="18"/>
        <v>3627851.338</v>
      </c>
      <c r="H565" s="525">
        <f t="shared" si="19"/>
        <v>7255702.676</v>
      </c>
      <c r="I565" s="525" t="s">
        <v>1593</v>
      </c>
      <c r="J565" s="534">
        <v>404980</v>
      </c>
      <c r="K565" s="144" t="s">
        <v>1708</v>
      </c>
      <c r="L565" s="409">
        <v>8.9581</v>
      </c>
      <c r="M565" s="89"/>
    </row>
    <row r="566" spans="1:13" x14ac:dyDescent="0.4">
      <c r="A566" s="482">
        <v>46227</v>
      </c>
      <c r="B566" s="110" t="s">
        <v>782</v>
      </c>
      <c r="C566" s="29" t="s">
        <v>153</v>
      </c>
      <c r="D566" s="110" t="s">
        <v>337</v>
      </c>
      <c r="E566" s="110"/>
      <c r="F566" s="533">
        <v>3</v>
      </c>
      <c r="G566" s="525">
        <f t="shared" si="18"/>
        <v>2046477.9450000001</v>
      </c>
      <c r="H566" s="525">
        <f t="shared" si="19"/>
        <v>6139433.835</v>
      </c>
      <c r="I566" s="525" t="s">
        <v>1593</v>
      </c>
      <c r="J566" s="534">
        <v>228450</v>
      </c>
      <c r="K566" s="144" t="s">
        <v>1708</v>
      </c>
      <c r="L566" s="409">
        <v>8.9581</v>
      </c>
      <c r="M566" s="89"/>
    </row>
    <row r="567" spans="1:13" x14ac:dyDescent="0.4">
      <c r="A567" s="482">
        <v>46227</v>
      </c>
      <c r="B567" s="110" t="s">
        <v>782</v>
      </c>
      <c r="C567" s="29" t="s">
        <v>155</v>
      </c>
      <c r="D567" s="110" t="s">
        <v>254</v>
      </c>
      <c r="E567" s="110"/>
      <c r="F567" s="533">
        <v>8</v>
      </c>
      <c r="G567" s="525">
        <f t="shared" si="18"/>
        <v>3627851.338</v>
      </c>
      <c r="H567" s="525">
        <f t="shared" si="19"/>
        <v>29022810.704</v>
      </c>
      <c r="I567" s="525" t="s">
        <v>1474</v>
      </c>
      <c r="J567" s="534">
        <v>404980</v>
      </c>
      <c r="K567" s="144" t="s">
        <v>1708</v>
      </c>
      <c r="L567" s="409">
        <v>8.9581</v>
      </c>
      <c r="M567" s="89"/>
    </row>
    <row r="568" spans="1:13" x14ac:dyDescent="0.4">
      <c r="A568" s="482">
        <v>46227</v>
      </c>
      <c r="B568" s="110" t="s">
        <v>782</v>
      </c>
      <c r="C568" s="29" t="s">
        <v>155</v>
      </c>
      <c r="D568" s="110" t="s">
        <v>254</v>
      </c>
      <c r="E568" s="110"/>
      <c r="F568" s="533">
        <v>2</v>
      </c>
      <c r="G568" s="525">
        <f t="shared" si="18"/>
        <v>3627851.338</v>
      </c>
      <c r="H568" s="525">
        <f t="shared" si="19"/>
        <v>7255702.676</v>
      </c>
      <c r="I568" s="525" t="s">
        <v>1595</v>
      </c>
      <c r="J568" s="534">
        <v>404980</v>
      </c>
      <c r="K568" s="144" t="s">
        <v>1708</v>
      </c>
      <c r="L568" s="409">
        <v>8.9581</v>
      </c>
      <c r="M568" s="89"/>
    </row>
    <row r="569" spans="1:13" x14ac:dyDescent="0.4">
      <c r="A569" s="482">
        <v>46227</v>
      </c>
      <c r="B569" s="110" t="s">
        <v>782</v>
      </c>
      <c r="C569" s="29" t="s">
        <v>157</v>
      </c>
      <c r="D569" s="110" t="s">
        <v>259</v>
      </c>
      <c r="E569" s="110"/>
      <c r="F569" s="533">
        <v>8</v>
      </c>
      <c r="G569" s="525">
        <f t="shared" si="18"/>
        <v>3739738.0069999998</v>
      </c>
      <c r="H569" s="525">
        <f t="shared" si="19"/>
        <v>29917904.055999998</v>
      </c>
      <c r="I569" s="525" t="s">
        <v>1709</v>
      </c>
      <c r="J569" s="534">
        <v>417470</v>
      </c>
      <c r="K569" s="144" t="s">
        <v>1708</v>
      </c>
      <c r="L569" s="409">
        <v>8.9581</v>
      </c>
      <c r="M569" s="89"/>
    </row>
    <row r="570" spans="1:13" x14ac:dyDescent="0.4">
      <c r="A570" s="482">
        <v>46227</v>
      </c>
      <c r="B570" s="110" t="s">
        <v>782</v>
      </c>
      <c r="C570" s="29" t="s">
        <v>150</v>
      </c>
      <c r="D570" s="110" t="s">
        <v>334</v>
      </c>
      <c r="E570" s="110"/>
      <c r="F570" s="533">
        <v>4</v>
      </c>
      <c r="G570" s="525">
        <f t="shared" si="18"/>
        <v>301171.32199999999</v>
      </c>
      <c r="H570" s="525">
        <f t="shared" si="19"/>
        <v>1204685.2879999999</v>
      </c>
      <c r="I570" s="525" t="s">
        <v>1710</v>
      </c>
      <c r="J570" s="534">
        <v>33620</v>
      </c>
      <c r="K570" s="144" t="s">
        <v>1708</v>
      </c>
      <c r="L570" s="409">
        <v>8.9581</v>
      </c>
      <c r="M570" s="89"/>
    </row>
    <row r="571" spans="1:13" x14ac:dyDescent="0.4">
      <c r="A571" s="482">
        <v>46227</v>
      </c>
      <c r="B571" s="110" t="s">
        <v>782</v>
      </c>
      <c r="C571" s="29" t="s">
        <v>154</v>
      </c>
      <c r="D571" s="110" t="s">
        <v>1328</v>
      </c>
      <c r="E571" s="110"/>
      <c r="F571" s="533">
        <v>4</v>
      </c>
      <c r="G571" s="525">
        <f t="shared" si="18"/>
        <v>818501.59699999995</v>
      </c>
      <c r="H571" s="525">
        <f t="shared" si="19"/>
        <v>3274006.3879999998</v>
      </c>
      <c r="I571" s="525" t="s">
        <v>1710</v>
      </c>
      <c r="J571" s="534">
        <v>91370</v>
      </c>
      <c r="K571" s="144" t="s">
        <v>1708</v>
      </c>
      <c r="L571" s="409">
        <v>8.9581</v>
      </c>
      <c r="M571" s="89"/>
    </row>
    <row r="572" spans="1:13" x14ac:dyDescent="0.4">
      <c r="A572" s="482">
        <v>46227</v>
      </c>
      <c r="B572" s="110" t="s">
        <v>782</v>
      </c>
      <c r="C572" s="29" t="s">
        <v>153</v>
      </c>
      <c r="D572" s="110" t="s">
        <v>269</v>
      </c>
      <c r="E572" s="110"/>
      <c r="F572" s="533">
        <v>4</v>
      </c>
      <c r="G572" s="525">
        <f t="shared" si="18"/>
        <v>2023186.885</v>
      </c>
      <c r="H572" s="525">
        <f t="shared" si="19"/>
        <v>8092747.54</v>
      </c>
      <c r="I572" s="525" t="s">
        <v>1711</v>
      </c>
      <c r="J572" s="534">
        <v>225850</v>
      </c>
      <c r="K572" s="144" t="s">
        <v>1708</v>
      </c>
      <c r="L572" s="409">
        <v>8.9581</v>
      </c>
      <c r="M572" s="89"/>
    </row>
    <row r="573" spans="1:13" x14ac:dyDescent="0.4">
      <c r="A573" s="482">
        <v>46227</v>
      </c>
      <c r="B573" s="110" t="s">
        <v>782</v>
      </c>
      <c r="C573" s="29" t="s">
        <v>150</v>
      </c>
      <c r="D573" s="110" t="s">
        <v>335</v>
      </c>
      <c r="E573" s="110"/>
      <c r="F573" s="533">
        <v>2</v>
      </c>
      <c r="G573" s="525">
        <f t="shared" si="18"/>
        <v>23568.7611</v>
      </c>
      <c r="H573" s="525">
        <f t="shared" si="19"/>
        <v>47137.522199999999</v>
      </c>
      <c r="I573" s="525" t="s">
        <v>1712</v>
      </c>
      <c r="J573" s="534">
        <v>2631</v>
      </c>
      <c r="K573" s="144" t="s">
        <v>1708</v>
      </c>
      <c r="L573" s="409">
        <v>8.9581</v>
      </c>
      <c r="M573" s="89"/>
    </row>
    <row r="574" spans="1:13" x14ac:dyDescent="0.4">
      <c r="A574" s="482">
        <v>46227</v>
      </c>
      <c r="B574" s="110" t="s">
        <v>782</v>
      </c>
      <c r="C574" s="29" t="s">
        <v>150</v>
      </c>
      <c r="D574" s="110" t="s">
        <v>335</v>
      </c>
      <c r="E574" s="110"/>
      <c r="F574" s="533">
        <v>2</v>
      </c>
      <c r="G574" s="525">
        <f t="shared" si="18"/>
        <v>23568.7611</v>
      </c>
      <c r="H574" s="525">
        <f t="shared" si="19"/>
        <v>47137.522199999999</v>
      </c>
      <c r="I574" s="525" t="s">
        <v>1713</v>
      </c>
      <c r="J574" s="534">
        <v>2631</v>
      </c>
      <c r="K574" s="144" t="s">
        <v>1708</v>
      </c>
      <c r="L574" s="409">
        <v>8.9581</v>
      </c>
      <c r="M574" s="89"/>
    </row>
    <row r="575" spans="1:13" x14ac:dyDescent="0.4">
      <c r="A575" s="482">
        <v>46227</v>
      </c>
      <c r="B575" s="110" t="s">
        <v>782</v>
      </c>
      <c r="C575" s="29" t="s">
        <v>150</v>
      </c>
      <c r="D575" s="110" t="s">
        <v>335</v>
      </c>
      <c r="E575" s="110"/>
      <c r="F575" s="533">
        <v>2</v>
      </c>
      <c r="G575" s="525">
        <f t="shared" si="18"/>
        <v>23568.7611</v>
      </c>
      <c r="H575" s="525">
        <f t="shared" si="19"/>
        <v>47137.522199999999</v>
      </c>
      <c r="I575" s="525" t="s">
        <v>1714</v>
      </c>
      <c r="J575" s="534">
        <v>2631</v>
      </c>
      <c r="K575" s="144" t="s">
        <v>1708</v>
      </c>
      <c r="L575" s="409">
        <v>8.9581</v>
      </c>
      <c r="M575" s="89"/>
    </row>
    <row r="576" spans="1:13" x14ac:dyDescent="0.4">
      <c r="A576" s="482">
        <v>46234</v>
      </c>
      <c r="B576" s="110" t="s">
        <v>782</v>
      </c>
      <c r="C576" s="29" t="s">
        <v>157</v>
      </c>
      <c r="D576" s="110" t="s">
        <v>273</v>
      </c>
      <c r="E576" s="110"/>
      <c r="F576" s="533">
        <v>4</v>
      </c>
      <c r="G576" s="525">
        <f t="shared" si="18"/>
        <v>322646.83799999999</v>
      </c>
      <c r="H576" s="525">
        <f t="shared" si="19"/>
        <v>1290587.352</v>
      </c>
      <c r="I576" s="525" t="s">
        <v>1699</v>
      </c>
      <c r="J576" s="534">
        <v>35430</v>
      </c>
      <c r="K576" s="144" t="s">
        <v>1746</v>
      </c>
      <c r="L576" s="409">
        <v>9.1066000000000003</v>
      </c>
      <c r="M576" s="89"/>
    </row>
    <row r="577" spans="1:13" x14ac:dyDescent="0.4">
      <c r="A577" s="482">
        <v>46234</v>
      </c>
      <c r="B577" s="110" t="s">
        <v>782</v>
      </c>
      <c r="C577" s="29" t="s">
        <v>157</v>
      </c>
      <c r="D577" s="110" t="s">
        <v>338</v>
      </c>
      <c r="E577" s="110"/>
      <c r="F577" s="533">
        <v>2</v>
      </c>
      <c r="G577" s="525">
        <f t="shared" si="18"/>
        <v>322646.83799999999</v>
      </c>
      <c r="H577" s="525">
        <f t="shared" si="19"/>
        <v>645293.67599999998</v>
      </c>
      <c r="I577" s="525" t="s">
        <v>1700</v>
      </c>
      <c r="J577" s="534">
        <v>35430</v>
      </c>
      <c r="K577" s="144" t="s">
        <v>1746</v>
      </c>
      <c r="L577" s="409">
        <v>9.1066000000000003</v>
      </c>
      <c r="M577" s="89"/>
    </row>
    <row r="578" spans="1:13" x14ac:dyDescent="0.4">
      <c r="A578" s="482">
        <v>46234</v>
      </c>
      <c r="B578" s="110" t="s">
        <v>782</v>
      </c>
      <c r="C578" s="29" t="s">
        <v>157</v>
      </c>
      <c r="D578" s="110" t="s">
        <v>338</v>
      </c>
      <c r="E578" s="110"/>
      <c r="F578" s="533">
        <v>4</v>
      </c>
      <c r="G578" s="525">
        <f t="shared" si="18"/>
        <v>356705.522</v>
      </c>
      <c r="H578" s="525">
        <f t="shared" si="19"/>
        <v>1426822.088</v>
      </c>
      <c r="I578" s="525" t="s">
        <v>1747</v>
      </c>
      <c r="J578" s="534">
        <v>39170</v>
      </c>
      <c r="K578" s="144" t="s">
        <v>1746</v>
      </c>
      <c r="L578" s="409">
        <v>9.1066000000000003</v>
      </c>
      <c r="M578" s="89"/>
    </row>
    <row r="579" spans="1:13" x14ac:dyDescent="0.4">
      <c r="A579" s="482">
        <v>46234</v>
      </c>
      <c r="B579" s="110" t="s">
        <v>782</v>
      </c>
      <c r="C579" s="29" t="s">
        <v>154</v>
      </c>
      <c r="D579" s="110" t="s">
        <v>267</v>
      </c>
      <c r="E579" s="110"/>
      <c r="F579" s="533">
        <v>6</v>
      </c>
      <c r="G579" s="525">
        <f t="shared" si="18"/>
        <v>3799273.52</v>
      </c>
      <c r="H579" s="525">
        <f t="shared" si="19"/>
        <v>22795641.120000001</v>
      </c>
      <c r="I579" s="525" t="s">
        <v>1214</v>
      </c>
      <c r="J579" s="534">
        <v>417200</v>
      </c>
      <c r="K579" s="144" t="s">
        <v>1746</v>
      </c>
      <c r="L579" s="409">
        <v>9.1066000000000003</v>
      </c>
      <c r="M579" s="89"/>
    </row>
    <row r="580" spans="1:13" x14ac:dyDescent="0.4">
      <c r="A580" s="482">
        <v>46234</v>
      </c>
      <c r="B580" s="110" t="s">
        <v>782</v>
      </c>
      <c r="C580" s="29" t="s">
        <v>154</v>
      </c>
      <c r="D580" s="110" t="s">
        <v>268</v>
      </c>
      <c r="E580" s="110"/>
      <c r="F580" s="533">
        <v>8</v>
      </c>
      <c r="G580" s="525">
        <f t="shared" si="18"/>
        <v>3799273.52</v>
      </c>
      <c r="H580" s="525">
        <f t="shared" si="19"/>
        <v>30394188.16</v>
      </c>
      <c r="I580" s="525" t="s">
        <v>1350</v>
      </c>
      <c r="J580" s="534">
        <v>417200</v>
      </c>
      <c r="K580" s="144" t="s">
        <v>1746</v>
      </c>
      <c r="L580" s="409">
        <v>9.1066000000000003</v>
      </c>
      <c r="M580" s="89"/>
    </row>
    <row r="581" spans="1:13" x14ac:dyDescent="0.4">
      <c r="A581" s="482">
        <v>46234</v>
      </c>
      <c r="B581" s="110" t="s">
        <v>782</v>
      </c>
      <c r="C581" s="29" t="s">
        <v>153</v>
      </c>
      <c r="D581" s="110" t="s">
        <v>337</v>
      </c>
      <c r="E581" s="110"/>
      <c r="F581" s="533">
        <v>4</v>
      </c>
      <c r="G581" s="525">
        <f t="shared" si="18"/>
        <v>2080402.77</v>
      </c>
      <c r="H581" s="525">
        <f t="shared" si="19"/>
        <v>8321611.0800000001</v>
      </c>
      <c r="I581" s="525" t="s">
        <v>1593</v>
      </c>
      <c r="J581" s="534">
        <v>228450</v>
      </c>
      <c r="K581" s="144" t="s">
        <v>1746</v>
      </c>
      <c r="L581" s="409">
        <v>9.1066000000000003</v>
      </c>
      <c r="M581" s="89"/>
    </row>
    <row r="582" spans="1:13" x14ac:dyDescent="0.4">
      <c r="A582" s="482">
        <v>46234</v>
      </c>
      <c r="B582" s="110" t="s">
        <v>782</v>
      </c>
      <c r="C582" s="29" t="s">
        <v>155</v>
      </c>
      <c r="D582" s="110" t="s">
        <v>253</v>
      </c>
      <c r="E582" s="110"/>
      <c r="F582" s="533">
        <v>6</v>
      </c>
      <c r="G582" s="525">
        <f t="shared" si="18"/>
        <v>3687990.8680000002</v>
      </c>
      <c r="H582" s="525">
        <f t="shared" si="19"/>
        <v>22127945.208000001</v>
      </c>
      <c r="I582" s="525" t="s">
        <v>1595</v>
      </c>
      <c r="J582" s="534">
        <v>404980</v>
      </c>
      <c r="K582" s="144" t="s">
        <v>1746</v>
      </c>
      <c r="L582" s="409">
        <v>9.1066000000000003</v>
      </c>
      <c r="M582" s="89"/>
    </row>
    <row r="583" spans="1:13" x14ac:dyDescent="0.4">
      <c r="A583" s="482">
        <v>46234</v>
      </c>
      <c r="B583" s="110" t="s">
        <v>782</v>
      </c>
      <c r="C583" s="29" t="s">
        <v>155</v>
      </c>
      <c r="D583" s="110" t="s">
        <v>254</v>
      </c>
      <c r="E583" s="110"/>
      <c r="F583" s="533">
        <v>6</v>
      </c>
      <c r="G583" s="525">
        <f t="shared" si="18"/>
        <v>4394663.0279999999</v>
      </c>
      <c r="H583" s="525">
        <f t="shared" si="19"/>
        <v>26367978.167999998</v>
      </c>
      <c r="I583" s="525" t="s">
        <v>1748</v>
      </c>
      <c r="J583" s="534">
        <v>482580</v>
      </c>
      <c r="K583" s="144" t="s">
        <v>1746</v>
      </c>
      <c r="L583" s="409">
        <v>9.1066000000000003</v>
      </c>
      <c r="M583" s="89"/>
    </row>
    <row r="584" spans="1:13" x14ac:dyDescent="0.4">
      <c r="A584" s="482">
        <v>46234</v>
      </c>
      <c r="B584" s="110" t="s">
        <v>782</v>
      </c>
      <c r="C584" s="29" t="s">
        <v>160</v>
      </c>
      <c r="D584" s="110" t="s">
        <v>255</v>
      </c>
      <c r="E584" s="110"/>
      <c r="F584" s="533">
        <v>8</v>
      </c>
      <c r="G584" s="525">
        <f t="shared" si="18"/>
        <v>384662.78399999999</v>
      </c>
      <c r="H584" s="525">
        <f t="shared" si="19"/>
        <v>3077302.2719999999</v>
      </c>
      <c r="I584" s="525" t="s">
        <v>1211</v>
      </c>
      <c r="J584" s="534">
        <v>42240</v>
      </c>
      <c r="K584" s="144" t="s">
        <v>1746</v>
      </c>
      <c r="L584" s="409">
        <v>9.1066000000000003</v>
      </c>
      <c r="M584" s="89"/>
    </row>
    <row r="585" spans="1:13" x14ac:dyDescent="0.4">
      <c r="A585" s="482">
        <v>46234</v>
      </c>
      <c r="B585" s="110" t="s">
        <v>782</v>
      </c>
      <c r="C585" s="29" t="s">
        <v>160</v>
      </c>
      <c r="D585" s="110" t="s">
        <v>340</v>
      </c>
      <c r="E585" s="110"/>
      <c r="F585" s="533">
        <v>8</v>
      </c>
      <c r="G585" s="525">
        <f t="shared" si="18"/>
        <v>396046.03399999999</v>
      </c>
      <c r="H585" s="525">
        <f t="shared" si="19"/>
        <v>3168368.2719999999</v>
      </c>
      <c r="I585" s="525" t="s">
        <v>1749</v>
      </c>
      <c r="J585" s="534">
        <v>43490</v>
      </c>
      <c r="K585" s="144" t="s">
        <v>1746</v>
      </c>
      <c r="L585" s="409">
        <v>9.1066000000000003</v>
      </c>
      <c r="M585" s="89"/>
    </row>
    <row r="586" spans="1:13" x14ac:dyDescent="0.4">
      <c r="A586" s="482">
        <v>46234</v>
      </c>
      <c r="B586" s="110" t="s">
        <v>782</v>
      </c>
      <c r="C586" s="29" t="s">
        <v>1750</v>
      </c>
      <c r="D586" s="110" t="s">
        <v>274</v>
      </c>
      <c r="E586" s="110"/>
      <c r="F586" s="533">
        <v>8</v>
      </c>
      <c r="G586" s="525">
        <f t="shared" si="18"/>
        <v>496036.50200000004</v>
      </c>
      <c r="H586" s="525">
        <f t="shared" si="19"/>
        <v>3968292.0160000003</v>
      </c>
      <c r="I586" s="525" t="s">
        <v>1210</v>
      </c>
      <c r="J586" s="534">
        <v>54470</v>
      </c>
      <c r="K586" s="144" t="s">
        <v>1746</v>
      </c>
      <c r="L586" s="409">
        <v>9.1066000000000003</v>
      </c>
      <c r="M586" s="89"/>
    </row>
    <row r="587" spans="1:13" x14ac:dyDescent="0.4">
      <c r="A587" s="482">
        <v>46234</v>
      </c>
      <c r="B587" s="110" t="s">
        <v>782</v>
      </c>
      <c r="C587" s="29" t="s">
        <v>1750</v>
      </c>
      <c r="D587" s="110" t="s">
        <v>341</v>
      </c>
      <c r="E587" s="110"/>
      <c r="F587" s="533">
        <v>8</v>
      </c>
      <c r="G587" s="525">
        <f t="shared" si="18"/>
        <v>496036.50200000004</v>
      </c>
      <c r="H587" s="525">
        <f t="shared" si="19"/>
        <v>3968292.0160000003</v>
      </c>
      <c r="I587" s="525" t="s">
        <v>1340</v>
      </c>
      <c r="J587" s="534">
        <v>54470</v>
      </c>
      <c r="K587" s="144" t="s">
        <v>1746</v>
      </c>
      <c r="L587" s="409">
        <v>9.1066000000000003</v>
      </c>
      <c r="M587" s="89"/>
    </row>
    <row r="588" spans="1:13" x14ac:dyDescent="0.4">
      <c r="A588" s="482">
        <v>46234</v>
      </c>
      <c r="B588" s="110" t="s">
        <v>782</v>
      </c>
      <c r="C588" s="29" t="s">
        <v>1750</v>
      </c>
      <c r="D588" s="110" t="s">
        <v>341</v>
      </c>
      <c r="E588" s="110"/>
      <c r="F588" s="533">
        <v>8</v>
      </c>
      <c r="G588" s="525">
        <f t="shared" si="18"/>
        <v>496036.50200000004</v>
      </c>
      <c r="H588" s="525">
        <f t="shared" si="19"/>
        <v>3968292.0160000003</v>
      </c>
      <c r="I588" s="525" t="s">
        <v>1333</v>
      </c>
      <c r="J588" s="534">
        <v>54470</v>
      </c>
      <c r="K588" s="144" t="s">
        <v>1746</v>
      </c>
      <c r="L588" s="409">
        <v>9.1066000000000003</v>
      </c>
      <c r="M588" s="89"/>
    </row>
    <row r="589" spans="1:13" x14ac:dyDescent="0.4">
      <c r="A589" s="482">
        <v>46234</v>
      </c>
      <c r="B589" s="110" t="s">
        <v>782</v>
      </c>
      <c r="C589" s="29" t="s">
        <v>157</v>
      </c>
      <c r="D589" s="110" t="s">
        <v>259</v>
      </c>
      <c r="E589" s="110"/>
      <c r="F589" s="533">
        <v>6</v>
      </c>
      <c r="G589" s="525">
        <f t="shared" si="18"/>
        <v>3801732.3020000001</v>
      </c>
      <c r="H589" s="525">
        <f t="shared" si="19"/>
        <v>22810393.811999999</v>
      </c>
      <c r="I589" s="525" t="s">
        <v>1702</v>
      </c>
      <c r="J589" s="534">
        <v>417470</v>
      </c>
      <c r="K589" s="144" t="s">
        <v>1746</v>
      </c>
      <c r="L589" s="409">
        <v>9.1066000000000003</v>
      </c>
      <c r="M589" s="89"/>
    </row>
    <row r="590" spans="1:13" x14ac:dyDescent="0.4">
      <c r="A590" s="482">
        <v>46234</v>
      </c>
      <c r="B590" s="110" t="s">
        <v>782</v>
      </c>
      <c r="C590" s="29" t="s">
        <v>152</v>
      </c>
      <c r="D590" s="110" t="s">
        <v>263</v>
      </c>
      <c r="E590" s="110"/>
      <c r="F590" s="533">
        <v>4</v>
      </c>
      <c r="G590" s="525">
        <f t="shared" si="18"/>
        <v>919129.13800000004</v>
      </c>
      <c r="H590" s="525">
        <f t="shared" si="19"/>
        <v>3676516.5520000001</v>
      </c>
      <c r="I590" s="525" t="s">
        <v>1215</v>
      </c>
      <c r="J590" s="534">
        <v>100930</v>
      </c>
      <c r="K590" s="144" t="s">
        <v>1746</v>
      </c>
      <c r="L590" s="409">
        <v>9.1066000000000003</v>
      </c>
      <c r="M590" s="89"/>
    </row>
    <row r="591" spans="1:13" x14ac:dyDescent="0.4">
      <c r="A591" s="482">
        <v>46234</v>
      </c>
      <c r="B591" s="110" t="s">
        <v>782</v>
      </c>
      <c r="C591" s="29" t="s">
        <v>152</v>
      </c>
      <c r="D591" s="110" t="s">
        <v>159</v>
      </c>
      <c r="E591" s="110"/>
      <c r="F591" s="533">
        <v>4</v>
      </c>
      <c r="G591" s="525">
        <f t="shared" si="18"/>
        <v>919129.13800000004</v>
      </c>
      <c r="H591" s="525">
        <f t="shared" si="19"/>
        <v>3676516.5520000001</v>
      </c>
      <c r="I591" s="525" t="s">
        <v>1343</v>
      </c>
      <c r="J591" s="534">
        <v>100930</v>
      </c>
      <c r="K591" s="144" t="s">
        <v>1746</v>
      </c>
      <c r="L591" s="409">
        <v>9.1066000000000003</v>
      </c>
      <c r="M591" s="89"/>
    </row>
    <row r="592" spans="1:13" x14ac:dyDescent="0.4">
      <c r="A592" s="482">
        <v>46234</v>
      </c>
      <c r="B592" s="110" t="s">
        <v>782</v>
      </c>
      <c r="C592" s="29" t="s">
        <v>152</v>
      </c>
      <c r="D592" s="110" t="s">
        <v>159</v>
      </c>
      <c r="E592" s="110"/>
      <c r="F592" s="533">
        <v>4</v>
      </c>
      <c r="G592" s="525">
        <f t="shared" si="18"/>
        <v>919129.13800000004</v>
      </c>
      <c r="H592" s="525">
        <f t="shared" si="19"/>
        <v>3676516.5520000001</v>
      </c>
      <c r="I592" s="525" t="s">
        <v>1351</v>
      </c>
      <c r="J592" s="534">
        <v>100930</v>
      </c>
      <c r="K592" s="144" t="s">
        <v>1746</v>
      </c>
      <c r="L592" s="409">
        <v>9.1066000000000003</v>
      </c>
      <c r="M592" s="89"/>
    </row>
    <row r="593" spans="1:13" x14ac:dyDescent="0.4">
      <c r="A593" s="483"/>
      <c r="B593" s="194" t="s">
        <v>987</v>
      </c>
      <c r="C593" s="40"/>
      <c r="D593" s="194"/>
      <c r="E593" s="194"/>
      <c r="F593" s="528"/>
      <c r="G593" s="529"/>
      <c r="H593" s="529">
        <f>SUM(H493:H575)-3</f>
        <v>566443184.78780007</v>
      </c>
      <c r="I593" s="529"/>
      <c r="J593" s="530"/>
      <c r="K593" s="145"/>
      <c r="L593" s="621"/>
      <c r="M593" s="89"/>
    </row>
    <row r="594" spans="1:13" s="3" customFormat="1" ht="18.75" customHeight="1" x14ac:dyDescent="0.4">
      <c r="A594" s="482">
        <v>46228</v>
      </c>
      <c r="B594" s="110" t="s">
        <v>861</v>
      </c>
      <c r="C594" s="29" t="s">
        <v>1651</v>
      </c>
      <c r="D594" s="110" t="s">
        <v>860</v>
      </c>
      <c r="E594" s="110"/>
      <c r="F594" s="533">
        <v>5015</v>
      </c>
      <c r="G594" s="525">
        <v>340</v>
      </c>
      <c r="H594" s="525">
        <f>F594*G594</f>
        <v>1705100</v>
      </c>
      <c r="I594" s="525"/>
      <c r="J594" s="534"/>
      <c r="K594" s="144"/>
      <c r="L594" s="755"/>
      <c r="M594" s="89"/>
    </row>
    <row r="595" spans="1:13" x14ac:dyDescent="0.4">
      <c r="A595" s="483"/>
      <c r="B595" s="194"/>
      <c r="C595" s="40"/>
      <c r="D595" s="194"/>
      <c r="E595" s="194"/>
      <c r="F595" s="91"/>
      <c r="G595" s="138"/>
      <c r="H595" s="138">
        <f>SUM(H594)</f>
        <v>1705100</v>
      </c>
      <c r="I595" s="138"/>
      <c r="J595" s="145"/>
      <c r="K595" s="145"/>
      <c r="L595" s="704"/>
      <c r="M595" s="89"/>
    </row>
    <row r="596" spans="1:13" x14ac:dyDescent="0.4">
      <c r="A596" s="482">
        <v>46234</v>
      </c>
      <c r="B596" s="110" t="s">
        <v>1765</v>
      </c>
      <c r="C596" s="103" t="s">
        <v>823</v>
      </c>
      <c r="D596" s="115" t="s">
        <v>602</v>
      </c>
      <c r="E596" s="110"/>
      <c r="F596" s="81">
        <v>426</v>
      </c>
      <c r="G596" s="49">
        <v>1034</v>
      </c>
      <c r="H596" s="525">
        <f>F596*G596</f>
        <v>440484</v>
      </c>
      <c r="I596" s="49" t="s">
        <v>1766</v>
      </c>
      <c r="J596" s="144"/>
      <c r="K596" s="144"/>
      <c r="L596" s="698"/>
      <c r="M596" s="89"/>
    </row>
    <row r="597" spans="1:13" x14ac:dyDescent="0.4">
      <c r="A597" s="483"/>
      <c r="B597" s="194"/>
      <c r="C597" s="40"/>
      <c r="D597" s="194"/>
      <c r="E597" s="194"/>
      <c r="F597" s="91"/>
      <c r="G597" s="138"/>
      <c r="H597" s="138">
        <f>SUM(H596)</f>
        <v>440484</v>
      </c>
      <c r="I597" s="138"/>
      <c r="J597" s="145"/>
      <c r="K597" s="145"/>
      <c r="L597" s="704"/>
      <c r="M597" s="89"/>
    </row>
    <row r="598" spans="1:13" x14ac:dyDescent="0.4">
      <c r="A598" s="797">
        <v>46197</v>
      </c>
      <c r="B598" s="147" t="s">
        <v>1718</v>
      </c>
      <c r="C598" s="197" t="s">
        <v>1720</v>
      </c>
      <c r="D598" s="798" t="s">
        <v>1367</v>
      </c>
      <c r="E598" s="798" t="s">
        <v>343</v>
      </c>
      <c r="F598" s="197">
        <v>2</v>
      </c>
      <c r="G598" s="197">
        <v>3764000</v>
      </c>
      <c r="H598" s="147">
        <f t="shared" ref="H598:H607" si="20">F598*G598</f>
        <v>7528000</v>
      </c>
      <c r="I598" s="799" t="s">
        <v>1764</v>
      </c>
      <c r="J598" s="67"/>
      <c r="K598" s="67"/>
      <c r="L598" s="409"/>
      <c r="M598" s="89"/>
    </row>
    <row r="599" spans="1:13" x14ac:dyDescent="0.4">
      <c r="A599" s="797">
        <v>46206</v>
      </c>
      <c r="B599" s="147" t="s">
        <v>1718</v>
      </c>
      <c r="C599" s="197" t="s">
        <v>1719</v>
      </c>
      <c r="D599" s="798" t="s">
        <v>1365</v>
      </c>
      <c r="E599" s="798" t="s">
        <v>343</v>
      </c>
      <c r="F599" s="197">
        <v>2</v>
      </c>
      <c r="G599" s="197">
        <v>7037000</v>
      </c>
      <c r="H599" s="147">
        <f t="shared" si="20"/>
        <v>14074000</v>
      </c>
      <c r="I599" s="799" t="s">
        <v>1764</v>
      </c>
      <c r="J599" s="67"/>
      <c r="K599" s="67"/>
      <c r="L599" s="409"/>
      <c r="M599" s="89"/>
    </row>
    <row r="600" spans="1:13" x14ac:dyDescent="0.4">
      <c r="A600" s="797">
        <v>46206</v>
      </c>
      <c r="B600" s="147" t="s">
        <v>1718</v>
      </c>
      <c r="C600" s="197" t="s">
        <v>1720</v>
      </c>
      <c r="D600" s="798" t="s">
        <v>1367</v>
      </c>
      <c r="E600" s="798" t="s">
        <v>343</v>
      </c>
      <c r="F600" s="197">
        <v>1</v>
      </c>
      <c r="G600" s="197">
        <v>3764000</v>
      </c>
      <c r="H600" s="147">
        <f t="shared" si="20"/>
        <v>3764000</v>
      </c>
      <c r="I600" s="799" t="s">
        <v>1764</v>
      </c>
      <c r="J600" s="67"/>
      <c r="K600" s="67"/>
      <c r="L600" s="409"/>
      <c r="M600" s="89"/>
    </row>
    <row r="601" spans="1:13" x14ac:dyDescent="0.4">
      <c r="A601" s="797">
        <v>46206</v>
      </c>
      <c r="B601" s="147" t="s">
        <v>1718</v>
      </c>
      <c r="C601" s="197" t="s">
        <v>489</v>
      </c>
      <c r="D601" s="798" t="s">
        <v>1034</v>
      </c>
      <c r="E601" s="798" t="s">
        <v>343</v>
      </c>
      <c r="F601" s="197">
        <v>1</v>
      </c>
      <c r="G601" s="197">
        <v>9379400</v>
      </c>
      <c r="H601" s="147">
        <f t="shared" si="20"/>
        <v>9379400</v>
      </c>
      <c r="I601" s="799" t="s">
        <v>1764</v>
      </c>
      <c r="J601" s="67"/>
      <c r="K601" s="67"/>
      <c r="L601" s="409"/>
      <c r="M601" s="89"/>
    </row>
    <row r="602" spans="1:13" s="50" customFormat="1" ht="18.75" customHeight="1" x14ac:dyDescent="0.4">
      <c r="A602" s="800">
        <v>46217</v>
      </c>
      <c r="B602" s="147" t="s">
        <v>1718</v>
      </c>
      <c r="C602" s="197" t="s">
        <v>1364</v>
      </c>
      <c r="D602" s="798" t="s">
        <v>1365</v>
      </c>
      <c r="E602" s="798" t="s">
        <v>13</v>
      </c>
      <c r="F602" s="197">
        <v>2</v>
      </c>
      <c r="G602" s="197">
        <v>7037000</v>
      </c>
      <c r="H602" s="147">
        <f t="shared" si="20"/>
        <v>14074000</v>
      </c>
      <c r="I602" s="799" t="s">
        <v>1764</v>
      </c>
      <c r="J602" s="757" t="s">
        <v>1068</v>
      </c>
      <c r="K602" s="67"/>
      <c r="L602" s="67"/>
    </row>
    <row r="603" spans="1:13" x14ac:dyDescent="0.4">
      <c r="A603" s="797">
        <v>46219</v>
      </c>
      <c r="B603" s="147" t="s">
        <v>483</v>
      </c>
      <c r="C603" s="801" t="s">
        <v>486</v>
      </c>
      <c r="D603" s="802" t="s">
        <v>513</v>
      </c>
      <c r="E603" s="362" t="s">
        <v>13</v>
      </c>
      <c r="F603" s="147">
        <v>1</v>
      </c>
      <c r="G603" s="803">
        <v>9741800</v>
      </c>
      <c r="H603" s="147">
        <f t="shared" si="20"/>
        <v>9741800</v>
      </c>
      <c r="I603" s="804">
        <v>40</v>
      </c>
      <c r="J603" s="757" t="s">
        <v>1068</v>
      </c>
      <c r="K603" s="67"/>
      <c r="L603" s="67"/>
    </row>
    <row r="604" spans="1:13" x14ac:dyDescent="0.4">
      <c r="A604" s="797">
        <v>46219</v>
      </c>
      <c r="B604" s="147" t="s">
        <v>1718</v>
      </c>
      <c r="C604" s="197" t="s">
        <v>489</v>
      </c>
      <c r="D604" s="798" t="s">
        <v>1034</v>
      </c>
      <c r="E604" s="798" t="s">
        <v>343</v>
      </c>
      <c r="F604" s="197">
        <v>2</v>
      </c>
      <c r="G604" s="197">
        <v>9379400</v>
      </c>
      <c r="H604" s="147">
        <f t="shared" si="20"/>
        <v>18758800</v>
      </c>
      <c r="I604" s="799" t="s">
        <v>1721</v>
      </c>
      <c r="J604" s="757" t="s">
        <v>1068</v>
      </c>
      <c r="K604" s="67"/>
      <c r="L604" s="67"/>
    </row>
    <row r="605" spans="1:13" x14ac:dyDescent="0.4">
      <c r="A605" s="797">
        <v>46219</v>
      </c>
      <c r="B605" s="147" t="s">
        <v>1718</v>
      </c>
      <c r="C605" s="197" t="s">
        <v>1719</v>
      </c>
      <c r="D605" s="798" t="s">
        <v>1490</v>
      </c>
      <c r="E605" s="798" t="s">
        <v>343</v>
      </c>
      <c r="F605" s="197">
        <v>2</v>
      </c>
      <c r="G605" s="197">
        <v>7037000</v>
      </c>
      <c r="H605" s="147">
        <f t="shared" si="20"/>
        <v>14074000</v>
      </c>
      <c r="I605" s="799" t="s">
        <v>1764</v>
      </c>
      <c r="J605" s="757" t="s">
        <v>1068</v>
      </c>
      <c r="K605" s="67"/>
      <c r="L605" s="67"/>
      <c r="M605" s="89"/>
    </row>
    <row r="606" spans="1:13" x14ac:dyDescent="0.4">
      <c r="A606" s="485">
        <v>46227</v>
      </c>
      <c r="B606" s="7" t="s">
        <v>483</v>
      </c>
      <c r="C606" s="60" t="s">
        <v>486</v>
      </c>
      <c r="D606" s="71" t="s">
        <v>513</v>
      </c>
      <c r="E606" s="8" t="s">
        <v>13</v>
      </c>
      <c r="F606" s="7">
        <v>1</v>
      </c>
      <c r="G606" s="17">
        <v>9741800</v>
      </c>
      <c r="H606" s="7">
        <f t="shared" si="20"/>
        <v>9741800</v>
      </c>
      <c r="I606" s="409" t="s">
        <v>1726</v>
      </c>
      <c r="J606" s="757" t="s">
        <v>1068</v>
      </c>
      <c r="K606" s="67"/>
      <c r="L606" s="67"/>
    </row>
    <row r="607" spans="1:13" x14ac:dyDescent="0.4">
      <c r="A607" s="485">
        <v>46227</v>
      </c>
      <c r="B607" s="7" t="s">
        <v>1718</v>
      </c>
      <c r="C607" s="49" t="s">
        <v>1364</v>
      </c>
      <c r="D607" s="59" t="s">
        <v>1490</v>
      </c>
      <c r="E607" s="59" t="s">
        <v>343</v>
      </c>
      <c r="F607" s="49">
        <v>1</v>
      </c>
      <c r="G607" s="49">
        <v>7037000</v>
      </c>
      <c r="H607" s="7">
        <f t="shared" si="20"/>
        <v>7037000</v>
      </c>
      <c r="I607" s="409" t="s">
        <v>1726</v>
      </c>
      <c r="J607" s="757" t="s">
        <v>1068</v>
      </c>
      <c r="K607" s="67"/>
      <c r="L607" s="67"/>
    </row>
    <row r="608" spans="1:13" s="19" customFormat="1" ht="18.75" customHeight="1" x14ac:dyDescent="0.4">
      <c r="A608" s="485"/>
      <c r="B608" s="5"/>
      <c r="C608" s="6"/>
      <c r="D608" s="1"/>
      <c r="E608" s="1"/>
      <c r="F608" s="36"/>
      <c r="G608" s="8"/>
      <c r="H608" s="7">
        <f>F608*G608</f>
        <v>0</v>
      </c>
      <c r="I608" s="67"/>
      <c r="J608" s="67"/>
      <c r="K608" s="67"/>
      <c r="L608" s="409"/>
    </row>
    <row r="609" spans="1:13" s="19" customFormat="1" ht="18.75" customHeight="1" x14ac:dyDescent="0.4">
      <c r="A609" s="483"/>
      <c r="B609" s="194"/>
      <c r="C609" s="40"/>
      <c r="D609" s="194"/>
      <c r="E609" s="194"/>
      <c r="F609" s="528"/>
      <c r="G609" s="529"/>
      <c r="H609" s="529">
        <f>SUM(H598:H605)</f>
        <v>91394000</v>
      </c>
      <c r="I609" s="138"/>
      <c r="J609" s="145"/>
      <c r="K609" s="145"/>
      <c r="L609" s="621"/>
    </row>
    <row r="610" spans="1:13" x14ac:dyDescent="0.4">
      <c r="A610" s="485">
        <v>46206</v>
      </c>
      <c r="B610" s="5" t="s">
        <v>342</v>
      </c>
      <c r="C610" s="6" t="s">
        <v>1715</v>
      </c>
      <c r="D610" s="1" t="s">
        <v>1716</v>
      </c>
      <c r="E610" s="59" t="s">
        <v>343</v>
      </c>
      <c r="F610" s="36">
        <v>3</v>
      </c>
      <c r="G610" s="36">
        <v>2200000</v>
      </c>
      <c r="H610" s="7">
        <f>F610*G610</f>
        <v>6600000</v>
      </c>
      <c r="I610" s="67"/>
      <c r="J610" s="67"/>
      <c r="K610" s="67"/>
      <c r="L610" s="409"/>
      <c r="M610" s="89"/>
    </row>
    <row r="611" spans="1:13" x14ac:dyDescent="0.4">
      <c r="A611" s="485">
        <v>46213</v>
      </c>
      <c r="B611" s="5" t="s">
        <v>342</v>
      </c>
      <c r="C611" s="6" t="s">
        <v>1715</v>
      </c>
      <c r="D611" s="1" t="s">
        <v>1717</v>
      </c>
      <c r="E611" s="59" t="s">
        <v>343</v>
      </c>
      <c r="F611" s="36">
        <v>2</v>
      </c>
      <c r="G611" s="36">
        <v>2200000</v>
      </c>
      <c r="H611" s="7">
        <f>F611*G611</f>
        <v>4400000</v>
      </c>
      <c r="I611" s="67"/>
      <c r="J611" s="67"/>
      <c r="K611" s="67"/>
      <c r="L611" s="67"/>
      <c r="M611" s="89"/>
    </row>
    <row r="612" spans="1:13" x14ac:dyDescent="0.4">
      <c r="A612" s="483"/>
      <c r="B612" s="194"/>
      <c r="C612" s="40"/>
      <c r="D612" s="194"/>
      <c r="E612" s="194"/>
      <c r="F612" s="91"/>
      <c r="G612" s="138"/>
      <c r="H612" s="138">
        <f>SUM(H610:H611)</f>
        <v>11000000</v>
      </c>
      <c r="I612" s="138"/>
      <c r="J612" s="145"/>
      <c r="K612" s="145"/>
      <c r="L612" s="704"/>
      <c r="M612" s="89"/>
    </row>
    <row r="613" spans="1:13" s="50" customFormat="1" ht="18.75" customHeight="1" x14ac:dyDescent="0.4">
      <c r="A613" s="485">
        <v>46199</v>
      </c>
      <c r="B613" s="8" t="s">
        <v>395</v>
      </c>
      <c r="C613" s="49" t="s">
        <v>1032</v>
      </c>
      <c r="D613" s="59" t="s">
        <v>1033</v>
      </c>
      <c r="E613" s="67"/>
      <c r="F613" s="81">
        <v>27</v>
      </c>
      <c r="G613" s="49">
        <f>J613*L613</f>
        <v>2372664.1900000004</v>
      </c>
      <c r="H613" s="36">
        <f>INT(F613*G613)</f>
        <v>64061933</v>
      </c>
      <c r="I613" s="67"/>
      <c r="J613" s="68">
        <v>249164</v>
      </c>
      <c r="K613" s="67" t="s">
        <v>1648</v>
      </c>
      <c r="L613" s="409">
        <v>9.5225000000000009</v>
      </c>
    </row>
    <row r="614" spans="1:13" x14ac:dyDescent="0.4">
      <c r="A614" s="485">
        <v>46216</v>
      </c>
      <c r="B614" s="8" t="s">
        <v>395</v>
      </c>
      <c r="C614" s="49" t="s">
        <v>1032</v>
      </c>
      <c r="D614" s="59" t="s">
        <v>1033</v>
      </c>
      <c r="E614" s="67"/>
      <c r="F614" s="81">
        <v>24</v>
      </c>
      <c r="G614" s="49">
        <f>J614*L614</f>
        <v>2291885.2212</v>
      </c>
      <c r="H614" s="36">
        <f>F614*G614</f>
        <v>55005245.308799997</v>
      </c>
      <c r="I614" s="67"/>
      <c r="J614" s="68">
        <v>249164</v>
      </c>
      <c r="K614" s="67" t="s">
        <v>1762</v>
      </c>
      <c r="L614" s="409">
        <v>9.1982999999999997</v>
      </c>
      <c r="M614" s="89"/>
    </row>
    <row r="615" spans="1:13" x14ac:dyDescent="0.4">
      <c r="A615" s="485">
        <v>46227</v>
      </c>
      <c r="B615" s="8" t="s">
        <v>395</v>
      </c>
      <c r="C615" s="49" t="s">
        <v>1032</v>
      </c>
      <c r="D615" s="59" t="s">
        <v>1033</v>
      </c>
      <c r="E615" s="67">
        <v>0</v>
      </c>
      <c r="F615" s="81">
        <v>30</v>
      </c>
      <c r="G615" s="49">
        <f>J615*L615</f>
        <v>2232036.0284000002</v>
      </c>
      <c r="H615" s="36">
        <f>F615*G615</f>
        <v>66961080.852000006</v>
      </c>
      <c r="I615" s="67"/>
      <c r="J615" s="68">
        <v>249164</v>
      </c>
      <c r="K615" s="67" t="s">
        <v>1763</v>
      </c>
      <c r="L615" s="409">
        <v>8.9581</v>
      </c>
      <c r="M615" s="89"/>
    </row>
    <row r="616" spans="1:13" x14ac:dyDescent="0.4">
      <c r="A616" s="483"/>
      <c r="B616" s="194"/>
      <c r="C616" s="40"/>
      <c r="D616" s="194"/>
      <c r="E616" s="194"/>
      <c r="F616" s="528"/>
      <c r="G616" s="529"/>
      <c r="H616" s="529">
        <f>SUM(H613:H615)-1</f>
        <v>186028258.16080001</v>
      </c>
      <c r="I616" s="529"/>
      <c r="J616" s="530"/>
      <c r="K616" s="145"/>
      <c r="L616" s="621"/>
      <c r="M616" s="89"/>
    </row>
    <row r="617" spans="1:13" s="19" customFormat="1" ht="18.75" customHeight="1" x14ac:dyDescent="0.4">
      <c r="A617" s="501">
        <v>46203</v>
      </c>
      <c r="B617" s="7" t="s">
        <v>164</v>
      </c>
      <c r="C617" s="60" t="s">
        <v>1611</v>
      </c>
      <c r="D617" s="71" t="s">
        <v>510</v>
      </c>
      <c r="E617" s="7" t="s">
        <v>13</v>
      </c>
      <c r="F617" s="7">
        <v>1</v>
      </c>
      <c r="G617" s="17">
        <v>3720000</v>
      </c>
      <c r="H617" s="36">
        <f t="shared" ref="H617:H628" si="21">F617*G617</f>
        <v>3720000</v>
      </c>
      <c r="I617" s="142"/>
      <c r="J617" s="43"/>
      <c r="K617" s="8"/>
      <c r="L617" s="405"/>
    </row>
    <row r="618" spans="1:13" s="19" customFormat="1" ht="18.75" customHeight="1" x14ac:dyDescent="0.4">
      <c r="A618" s="501">
        <v>46203</v>
      </c>
      <c r="B618" s="7" t="s">
        <v>164</v>
      </c>
      <c r="C618" s="6" t="s">
        <v>170</v>
      </c>
      <c r="D618" s="42" t="s">
        <v>511</v>
      </c>
      <c r="E618" s="1" t="s">
        <v>13</v>
      </c>
      <c r="F618" s="36">
        <v>1</v>
      </c>
      <c r="G618" s="8">
        <v>1300000</v>
      </c>
      <c r="H618" s="36">
        <f t="shared" si="21"/>
        <v>1300000</v>
      </c>
      <c r="I618" s="36"/>
      <c r="J618" s="43"/>
      <c r="K618" s="8"/>
      <c r="L618" s="405"/>
    </row>
    <row r="619" spans="1:13" s="19" customFormat="1" ht="18.75" customHeight="1" x14ac:dyDescent="0.4">
      <c r="A619" s="501">
        <v>46203</v>
      </c>
      <c r="B619" s="7" t="s">
        <v>164</v>
      </c>
      <c r="C619" s="6" t="s">
        <v>166</v>
      </c>
      <c r="D619" s="42" t="s">
        <v>167</v>
      </c>
      <c r="E619" s="1" t="s">
        <v>13</v>
      </c>
      <c r="F619" s="92">
        <v>4</v>
      </c>
      <c r="G619" s="8">
        <v>650000</v>
      </c>
      <c r="H619" s="36">
        <f t="shared" si="21"/>
        <v>2600000</v>
      </c>
      <c r="I619" s="142"/>
      <c r="J619" s="43"/>
      <c r="K619" s="8"/>
      <c r="L619" s="405"/>
    </row>
    <row r="620" spans="1:13" s="19" customFormat="1" ht="18.75" customHeight="1" x14ac:dyDescent="0.4">
      <c r="A620" s="501">
        <v>46203</v>
      </c>
      <c r="B620" s="7" t="s">
        <v>164</v>
      </c>
      <c r="C620" s="6" t="s">
        <v>512</v>
      </c>
      <c r="D620" s="42" t="s">
        <v>551</v>
      </c>
      <c r="E620" s="1" t="s">
        <v>13</v>
      </c>
      <c r="F620" s="92">
        <v>2</v>
      </c>
      <c r="G620" s="8">
        <v>1270000</v>
      </c>
      <c r="H620" s="8">
        <f t="shared" si="21"/>
        <v>2540000</v>
      </c>
      <c r="I620" s="142"/>
      <c r="J620" s="43"/>
      <c r="K620" s="8"/>
      <c r="L620" s="405"/>
    </row>
    <row r="621" spans="1:13" x14ac:dyDescent="0.4">
      <c r="A621" s="501">
        <v>46218</v>
      </c>
      <c r="B621" s="7" t="s">
        <v>164</v>
      </c>
      <c r="C621" s="60" t="s">
        <v>165</v>
      </c>
      <c r="D621" s="71" t="s">
        <v>510</v>
      </c>
      <c r="E621" s="7" t="s">
        <v>13</v>
      </c>
      <c r="F621" s="7">
        <v>1</v>
      </c>
      <c r="G621" s="17">
        <v>3720000</v>
      </c>
      <c r="H621" s="36">
        <f t="shared" si="21"/>
        <v>3720000</v>
      </c>
      <c r="I621" s="142"/>
      <c r="J621" s="43"/>
      <c r="K621" s="81"/>
      <c r="L621" s="405"/>
      <c r="M621" s="89"/>
    </row>
    <row r="622" spans="1:13" x14ac:dyDescent="0.4">
      <c r="A622" s="501">
        <v>46218</v>
      </c>
      <c r="B622" s="7" t="s">
        <v>164</v>
      </c>
      <c r="C622" s="6" t="s">
        <v>170</v>
      </c>
      <c r="D622" s="42" t="s">
        <v>511</v>
      </c>
      <c r="E622" s="1" t="s">
        <v>13</v>
      </c>
      <c r="F622" s="36">
        <v>2</v>
      </c>
      <c r="G622" s="8">
        <v>1300000</v>
      </c>
      <c r="H622" s="36">
        <f t="shared" si="21"/>
        <v>2600000</v>
      </c>
      <c r="I622" s="36"/>
      <c r="J622" s="43"/>
      <c r="K622" s="81"/>
      <c r="L622" s="405"/>
      <c r="M622" s="89"/>
    </row>
    <row r="623" spans="1:13" x14ac:dyDescent="0.4">
      <c r="A623" s="501">
        <v>46218</v>
      </c>
      <c r="B623" s="7" t="s">
        <v>164</v>
      </c>
      <c r="C623" s="6" t="s">
        <v>166</v>
      </c>
      <c r="D623" s="42" t="s">
        <v>167</v>
      </c>
      <c r="E623" s="1" t="s">
        <v>13</v>
      </c>
      <c r="F623" s="92">
        <v>4</v>
      </c>
      <c r="G623" s="8">
        <v>650000</v>
      </c>
      <c r="H623" s="36">
        <f t="shared" si="21"/>
        <v>2600000</v>
      </c>
      <c r="I623" s="142"/>
      <c r="J623" s="43"/>
      <c r="K623" s="81"/>
      <c r="L623" s="405"/>
      <c r="M623" s="89"/>
    </row>
    <row r="624" spans="1:13" x14ac:dyDescent="0.4">
      <c r="A624" s="501">
        <v>46224</v>
      </c>
      <c r="B624" s="7" t="s">
        <v>164</v>
      </c>
      <c r="C624" s="60" t="s">
        <v>165</v>
      </c>
      <c r="D624" s="71" t="s">
        <v>510</v>
      </c>
      <c r="E624" s="7" t="s">
        <v>13</v>
      </c>
      <c r="F624" s="7">
        <v>3</v>
      </c>
      <c r="G624" s="17">
        <v>3720000</v>
      </c>
      <c r="H624" s="36">
        <f t="shared" si="21"/>
        <v>11160000</v>
      </c>
      <c r="I624" s="142"/>
      <c r="J624" s="43"/>
      <c r="K624" s="81"/>
      <c r="L624" s="405"/>
      <c r="M624" s="89"/>
    </row>
    <row r="625" spans="1:13" x14ac:dyDescent="0.4">
      <c r="A625" s="501">
        <v>46224</v>
      </c>
      <c r="B625" s="7" t="s">
        <v>164</v>
      </c>
      <c r="C625" s="6" t="s">
        <v>170</v>
      </c>
      <c r="D625" s="42" t="s">
        <v>511</v>
      </c>
      <c r="E625" s="1" t="s">
        <v>13</v>
      </c>
      <c r="F625" s="36">
        <v>2</v>
      </c>
      <c r="G625" s="8">
        <v>1300000</v>
      </c>
      <c r="H625" s="36">
        <f t="shared" si="21"/>
        <v>2600000</v>
      </c>
      <c r="I625" s="36"/>
      <c r="J625" s="43"/>
      <c r="K625" s="81"/>
      <c r="L625" s="405"/>
      <c r="M625" s="89"/>
    </row>
    <row r="626" spans="1:13" x14ac:dyDescent="0.4">
      <c r="A626" s="501">
        <v>46224</v>
      </c>
      <c r="B626" s="7" t="s">
        <v>164</v>
      </c>
      <c r="C626" s="6" t="s">
        <v>166</v>
      </c>
      <c r="D626" s="42" t="s">
        <v>167</v>
      </c>
      <c r="E626" s="1" t="s">
        <v>13</v>
      </c>
      <c r="F626" s="92">
        <v>7</v>
      </c>
      <c r="G626" s="8">
        <v>650000</v>
      </c>
      <c r="H626" s="36">
        <f t="shared" si="21"/>
        <v>4550000</v>
      </c>
      <c r="I626" s="142"/>
      <c r="J626" s="43"/>
      <c r="K626" s="81"/>
      <c r="L626" s="405"/>
      <c r="M626" s="89"/>
    </row>
    <row r="627" spans="1:13" x14ac:dyDescent="0.4">
      <c r="A627" s="501">
        <v>46232</v>
      </c>
      <c r="B627" s="7" t="s">
        <v>164</v>
      </c>
      <c r="C627" s="60" t="s">
        <v>165</v>
      </c>
      <c r="D627" s="71" t="s">
        <v>510</v>
      </c>
      <c r="E627" s="7" t="s">
        <v>13</v>
      </c>
      <c r="F627" s="748">
        <v>4</v>
      </c>
      <c r="G627" s="17">
        <v>3720000</v>
      </c>
      <c r="H627" s="36">
        <f t="shared" si="21"/>
        <v>14880000</v>
      </c>
      <c r="I627" s="61" t="s">
        <v>1756</v>
      </c>
      <c r="J627" s="43"/>
      <c r="K627" s="81"/>
      <c r="L627" s="405"/>
      <c r="M627" s="89"/>
    </row>
    <row r="628" spans="1:13" x14ac:dyDescent="0.4">
      <c r="A628" s="501">
        <v>46232</v>
      </c>
      <c r="B628" s="7" t="s">
        <v>164</v>
      </c>
      <c r="C628" s="6" t="s">
        <v>170</v>
      </c>
      <c r="D628" s="42" t="s">
        <v>511</v>
      </c>
      <c r="E628" s="1" t="s">
        <v>13</v>
      </c>
      <c r="F628" s="64">
        <v>8</v>
      </c>
      <c r="G628" s="8">
        <v>1300000</v>
      </c>
      <c r="H628" s="36">
        <f t="shared" si="21"/>
        <v>10400000</v>
      </c>
      <c r="I628" s="29" t="s">
        <v>1756</v>
      </c>
      <c r="J628" s="43"/>
      <c r="K628" s="81"/>
      <c r="L628" s="405"/>
      <c r="M628" s="89"/>
    </row>
    <row r="629" spans="1:13" x14ac:dyDescent="0.4">
      <c r="A629" s="483"/>
      <c r="B629" s="194"/>
      <c r="C629" s="40"/>
      <c r="D629" s="194"/>
      <c r="E629" s="194"/>
      <c r="F629" s="91"/>
      <c r="G629" s="138"/>
      <c r="H629" s="138">
        <f>SUM(H617:H626)</f>
        <v>37390000</v>
      </c>
      <c r="I629" s="138"/>
      <c r="J629" s="145"/>
      <c r="K629" s="145"/>
      <c r="L629" s="704"/>
      <c r="M629" s="89"/>
    </row>
    <row r="630" spans="1:13" s="19" customFormat="1" ht="18.75" customHeight="1" x14ac:dyDescent="0.4">
      <c r="A630" s="711"/>
      <c r="B630" s="712"/>
      <c r="C630" s="713"/>
      <c r="D630" s="714"/>
      <c r="E630" s="714"/>
      <c r="F630" s="715"/>
      <c r="G630" s="716"/>
      <c r="H630" s="716">
        <f>SUM(H6,H21,H27,H75,H88,H94,H129,H133,H135,H304,H306,H311,H370,H389,H484,H487,H492,H593,H595,H597,H609,H612,H616,H629)</f>
        <v>2305412520.9486003</v>
      </c>
      <c r="I630" s="717"/>
      <c r="J630" s="717"/>
      <c r="K630" s="717"/>
      <c r="L630" s="717"/>
    </row>
    <row r="631" spans="1:13" s="19" customFormat="1" ht="18.75" customHeight="1" x14ac:dyDescent="0.4">
      <c r="A631" s="505"/>
      <c r="B631" s="440"/>
      <c r="C631" s="50"/>
      <c r="D631" s="440"/>
      <c r="E631" s="50"/>
      <c r="F631" s="439"/>
      <c r="G631" s="439"/>
      <c r="H631" s="439"/>
      <c r="I631" s="50"/>
      <c r="J631" s="505"/>
      <c r="K631" s="50"/>
      <c r="L631" s="755"/>
    </row>
    <row r="632" spans="1:13" x14ac:dyDescent="0.4">
      <c r="G632" s="787"/>
      <c r="H632" s="439"/>
      <c r="M632" s="19"/>
    </row>
    <row r="633" spans="1:13" x14ac:dyDescent="0.4">
      <c r="G633" s="787"/>
      <c r="H633" s="439"/>
      <c r="M633" s="19"/>
    </row>
    <row r="634" spans="1:13" x14ac:dyDescent="0.4">
      <c r="G634" s="787"/>
      <c r="H634" s="439"/>
      <c r="M634" s="19"/>
    </row>
    <row r="635" spans="1:13" x14ac:dyDescent="0.4">
      <c r="G635" s="787"/>
      <c r="H635" s="439"/>
      <c r="M635" s="19"/>
    </row>
    <row r="636" spans="1:13" x14ac:dyDescent="0.4">
      <c r="G636" s="787"/>
      <c r="H636" s="439"/>
      <c r="M636" s="19"/>
    </row>
    <row r="637" spans="1:13" x14ac:dyDescent="0.4">
      <c r="G637" s="787"/>
      <c r="H637" s="439"/>
      <c r="M637" s="19"/>
    </row>
    <row r="638" spans="1:13" x14ac:dyDescent="0.4">
      <c r="H638" s="439"/>
    </row>
    <row r="639" spans="1:13" x14ac:dyDescent="0.4">
      <c r="H639" s="439"/>
    </row>
    <row r="640" spans="1:13" x14ac:dyDescent="0.4">
      <c r="H640" s="439"/>
    </row>
    <row r="641" spans="1:13" x14ac:dyDescent="0.4">
      <c r="H641" s="439"/>
    </row>
    <row r="648" spans="1:13" x14ac:dyDescent="0.4">
      <c r="A648" s="758">
        <v>46203</v>
      </c>
      <c r="B648" s="759" t="s">
        <v>10</v>
      </c>
      <c r="C648" s="760" t="s">
        <v>14</v>
      </c>
      <c r="D648" s="761">
        <v>60817438</v>
      </c>
      <c r="E648" s="761" t="s">
        <v>13</v>
      </c>
      <c r="F648" s="762">
        <v>30</v>
      </c>
      <c r="G648" s="763">
        <v>620000</v>
      </c>
      <c r="H648" s="763">
        <v>18600000</v>
      </c>
      <c r="I648" s="764">
        <v>46205</v>
      </c>
      <c r="J648" s="72"/>
      <c r="K648" s="7"/>
      <c r="L648" s="695"/>
    </row>
    <row r="649" spans="1:13" x14ac:dyDescent="0.4">
      <c r="A649" s="758">
        <v>46203</v>
      </c>
      <c r="B649" s="759" t="s">
        <v>10</v>
      </c>
      <c r="C649" s="760" t="s">
        <v>15</v>
      </c>
      <c r="D649" s="761">
        <v>60817439</v>
      </c>
      <c r="E649" s="761" t="s">
        <v>13</v>
      </c>
      <c r="F649" s="762">
        <v>30</v>
      </c>
      <c r="G649" s="763">
        <v>500000</v>
      </c>
      <c r="H649" s="763">
        <v>15000000</v>
      </c>
      <c r="I649" s="764">
        <v>46205</v>
      </c>
      <c r="J649" s="72"/>
      <c r="K649" s="7"/>
      <c r="L649" s="695"/>
    </row>
    <row r="650" spans="1:13" x14ac:dyDescent="0.4">
      <c r="A650" s="482">
        <v>46203</v>
      </c>
      <c r="B650" s="59" t="s">
        <v>55</v>
      </c>
      <c r="C650" s="49" t="s">
        <v>56</v>
      </c>
      <c r="D650" s="59" t="s">
        <v>57</v>
      </c>
      <c r="E650" s="67"/>
      <c r="F650" s="49">
        <v>196</v>
      </c>
      <c r="G650" s="49">
        <v>304770</v>
      </c>
      <c r="H650" s="68">
        <v>59734920</v>
      </c>
      <c r="I650" s="68" t="s">
        <v>1722</v>
      </c>
      <c r="J650" s="67" t="s">
        <v>1723</v>
      </c>
      <c r="K650" s="67"/>
      <c r="L650" s="765"/>
    </row>
    <row r="651" spans="1:13" x14ac:dyDescent="0.4">
      <c r="A651" s="766">
        <v>46203</v>
      </c>
      <c r="B651" s="767" t="s">
        <v>55</v>
      </c>
      <c r="C651" s="768" t="s">
        <v>56</v>
      </c>
      <c r="D651" s="767" t="s">
        <v>281</v>
      </c>
      <c r="E651" s="769"/>
      <c r="F651" s="768">
        <v>91</v>
      </c>
      <c r="G651" s="768">
        <v>259178</v>
      </c>
      <c r="H651" s="768">
        <v>23585198</v>
      </c>
      <c r="I651" s="770" t="s">
        <v>1724</v>
      </c>
      <c r="J651" s="67"/>
      <c r="K651" s="67"/>
      <c r="L651" s="68">
        <v>417480</v>
      </c>
      <c r="M651" s="89"/>
    </row>
    <row r="652" spans="1:13" x14ac:dyDescent="0.4">
      <c r="A652" s="737">
        <v>46203</v>
      </c>
      <c r="B652" s="738" t="s">
        <v>356</v>
      </c>
      <c r="C652" s="739" t="s">
        <v>56</v>
      </c>
      <c r="D652" s="738" t="s">
        <v>1269</v>
      </c>
      <c r="E652" s="738" t="s">
        <v>13</v>
      </c>
      <c r="F652" s="739">
        <v>20</v>
      </c>
      <c r="G652" s="739">
        <v>536960</v>
      </c>
      <c r="H652" s="739">
        <v>10739200</v>
      </c>
      <c r="I652" s="740">
        <v>46209</v>
      </c>
      <c r="J652" s="59"/>
      <c r="K652" s="67"/>
      <c r="L652" s="409"/>
    </row>
    <row r="653" spans="1:13" x14ac:dyDescent="0.4">
      <c r="A653" s="721">
        <v>46203</v>
      </c>
      <c r="B653" s="722" t="s">
        <v>1101</v>
      </c>
      <c r="C653" s="723" t="s">
        <v>105</v>
      </c>
      <c r="D653" s="722" t="s">
        <v>126</v>
      </c>
      <c r="E653" s="722"/>
      <c r="F653" s="724">
        <v>100</v>
      </c>
      <c r="G653" s="725">
        <v>55800</v>
      </c>
      <c r="H653" s="771">
        <v>5580000</v>
      </c>
      <c r="I653" s="725"/>
      <c r="J653" s="144"/>
      <c r="K653" s="144"/>
      <c r="L653" s="409"/>
    </row>
    <row r="654" spans="1:13" x14ac:dyDescent="0.4">
      <c r="A654" s="744">
        <v>46052</v>
      </c>
      <c r="B654" s="745" t="s">
        <v>58</v>
      </c>
      <c r="C654" s="735" t="s">
        <v>445</v>
      </c>
      <c r="D654" s="735" t="s">
        <v>446</v>
      </c>
      <c r="E654" s="745"/>
      <c r="F654" s="772">
        <v>12</v>
      </c>
      <c r="G654" s="772">
        <v>1671500</v>
      </c>
      <c r="H654" s="746">
        <v>20058000</v>
      </c>
      <c r="I654" s="735" t="s">
        <v>1496</v>
      </c>
      <c r="J654" s="734"/>
      <c r="K654" s="735" t="s">
        <v>1497</v>
      </c>
      <c r="L654" s="736"/>
    </row>
    <row r="655" spans="1:13" x14ac:dyDescent="0.4">
      <c r="A655" s="744">
        <v>46066</v>
      </c>
      <c r="B655" s="745" t="s">
        <v>58</v>
      </c>
      <c r="C655" s="735" t="s">
        <v>445</v>
      </c>
      <c r="D655" s="735" t="s">
        <v>446</v>
      </c>
      <c r="E655" s="745" t="s">
        <v>11</v>
      </c>
      <c r="F655" s="746">
        <v>36</v>
      </c>
      <c r="G655" s="746">
        <v>1671500</v>
      </c>
      <c r="H655" s="746">
        <v>60174000</v>
      </c>
      <c r="I655" s="735" t="s">
        <v>1498</v>
      </c>
      <c r="J655" s="734"/>
      <c r="K655" s="735"/>
      <c r="L655" s="736"/>
    </row>
    <row r="656" spans="1:13" x14ac:dyDescent="0.4">
      <c r="A656" s="744">
        <v>46080</v>
      </c>
      <c r="B656" s="745" t="s">
        <v>58</v>
      </c>
      <c r="C656" s="735" t="s">
        <v>445</v>
      </c>
      <c r="D656" s="735" t="s">
        <v>446</v>
      </c>
      <c r="E656" s="745" t="s">
        <v>11</v>
      </c>
      <c r="F656" s="746">
        <v>24</v>
      </c>
      <c r="G656" s="746">
        <v>1671500</v>
      </c>
      <c r="H656" s="746">
        <v>40116000</v>
      </c>
      <c r="I656" s="735"/>
      <c r="J656" s="734"/>
      <c r="K656" s="735"/>
      <c r="L656" s="736"/>
    </row>
    <row r="657" spans="1:13" x14ac:dyDescent="0.4">
      <c r="A657" s="730">
        <v>46106</v>
      </c>
      <c r="B657" s="731" t="s">
        <v>134</v>
      </c>
      <c r="C657" s="773" t="s">
        <v>181</v>
      </c>
      <c r="D657" s="773" t="s">
        <v>749</v>
      </c>
      <c r="E657" s="731" t="s">
        <v>13</v>
      </c>
      <c r="F657" s="774">
        <v>3</v>
      </c>
      <c r="G657" s="774">
        <v>2163000</v>
      </c>
      <c r="H657" s="774">
        <v>6489000</v>
      </c>
      <c r="I657" s="775">
        <v>46218</v>
      </c>
      <c r="J657" s="734"/>
      <c r="K657" s="735"/>
      <c r="L657" s="736"/>
    </row>
    <row r="658" spans="1:13" x14ac:dyDescent="0.4">
      <c r="A658" s="730">
        <v>46106</v>
      </c>
      <c r="B658" s="731" t="s">
        <v>134</v>
      </c>
      <c r="C658" s="773" t="s">
        <v>182</v>
      </c>
      <c r="D658" s="773" t="s">
        <v>372</v>
      </c>
      <c r="E658" s="731" t="s">
        <v>13</v>
      </c>
      <c r="F658" s="774">
        <v>3</v>
      </c>
      <c r="G658" s="774">
        <v>2163000</v>
      </c>
      <c r="H658" s="774">
        <v>6489000</v>
      </c>
      <c r="I658" s="775">
        <v>46218</v>
      </c>
      <c r="J658" s="734"/>
      <c r="K658" s="735"/>
      <c r="L658" s="736"/>
    </row>
    <row r="659" spans="1:13" x14ac:dyDescent="0.4">
      <c r="A659" s="776">
        <v>46150</v>
      </c>
      <c r="B659" s="777" t="s">
        <v>134</v>
      </c>
      <c r="C659" s="778" t="s">
        <v>181</v>
      </c>
      <c r="D659" s="788" t="s">
        <v>371</v>
      </c>
      <c r="E659" s="738" t="s">
        <v>13</v>
      </c>
      <c r="F659" s="778">
        <v>4</v>
      </c>
      <c r="G659" s="778">
        <v>2163000</v>
      </c>
      <c r="H659" s="778">
        <f>F659*G659</f>
        <v>8652000</v>
      </c>
      <c r="I659" s="779" t="s">
        <v>1725</v>
      </c>
      <c r="J659" s="67"/>
      <c r="K659" s="67"/>
      <c r="L659" s="409"/>
    </row>
    <row r="660" spans="1:13" x14ac:dyDescent="0.4">
      <c r="A660" s="776">
        <v>46150</v>
      </c>
      <c r="B660" s="777" t="s">
        <v>134</v>
      </c>
      <c r="C660" s="778" t="s">
        <v>182</v>
      </c>
      <c r="D660" s="788" t="s">
        <v>372</v>
      </c>
      <c r="E660" s="738" t="s">
        <v>13</v>
      </c>
      <c r="F660" s="778">
        <v>4</v>
      </c>
      <c r="G660" s="778">
        <v>2163000</v>
      </c>
      <c r="H660" s="778">
        <f>F660*G660</f>
        <v>8652000</v>
      </c>
      <c r="I660" s="779" t="s">
        <v>1725</v>
      </c>
      <c r="J660" s="67"/>
      <c r="K660" s="67"/>
      <c r="L660" s="409"/>
    </row>
    <row r="661" spans="1:13" x14ac:dyDescent="0.4">
      <c r="F661" s="780"/>
      <c r="G661" s="780"/>
    </row>
    <row r="662" spans="1:13" x14ac:dyDescent="0.4">
      <c r="M662" s="50">
        <f>196-72</f>
        <v>124</v>
      </c>
    </row>
    <row r="663" spans="1:13" x14ac:dyDescent="0.4">
      <c r="M663" s="441">
        <f>L663*M662</f>
        <v>0</v>
      </c>
    </row>
    <row r="665" spans="1:13" x14ac:dyDescent="0.4">
      <c r="M665" s="89"/>
    </row>
    <row r="666" spans="1:13" x14ac:dyDescent="0.4">
      <c r="M666" s="646"/>
    </row>
    <row r="667" spans="1:13" x14ac:dyDescent="0.4">
      <c r="M667" s="646"/>
    </row>
    <row r="668" spans="1:13" x14ac:dyDescent="0.4">
      <c r="M668" s="646"/>
    </row>
    <row r="669" spans="1:13" x14ac:dyDescent="0.4">
      <c r="M669" s="646"/>
    </row>
    <row r="670" spans="1:13" x14ac:dyDescent="0.4">
      <c r="M670" s="646"/>
    </row>
  </sheetData>
  <autoFilter ref="A1:M670" xr:uid="{6DA1B970-53A7-482D-A47B-4D5F2DC1DA00}"/>
  <phoneticPr fontId="2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DF33-1F80-432B-BD38-4B519CFF554B}">
  <sheetPr filterMode="1"/>
  <dimension ref="A1:N68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715" sqref="E714:E715"/>
    </sheetView>
  </sheetViews>
  <sheetFormatPr defaultColWidth="9" defaultRowHeight="13.2" x14ac:dyDescent="0.4"/>
  <cols>
    <col min="1" max="1" width="9.69921875" style="505" bestFit="1" customWidth="1"/>
    <col min="2" max="2" width="22.19921875" style="440" customWidth="1"/>
    <col min="3" max="3" width="27.09765625" style="50" customWidth="1"/>
    <col min="4" max="4" width="21.59765625" style="440" bestFit="1" customWidth="1"/>
    <col min="5" max="5" width="6.69921875" style="50" customWidth="1"/>
    <col min="6" max="6" width="6.69921875" style="439" customWidth="1"/>
    <col min="7" max="7" width="12.19921875" style="439" customWidth="1"/>
    <col min="8" max="8" width="16.8984375" style="50" customWidth="1"/>
    <col min="9" max="9" width="27.69921875" style="50" customWidth="1"/>
    <col min="10" max="10" width="22.09765625" style="505" customWidth="1"/>
    <col min="11" max="11" width="14.09765625" style="50" customWidth="1"/>
    <col min="12" max="12" width="16.09765625" style="755" customWidth="1"/>
    <col min="13" max="14" width="10.5" style="50" bestFit="1" customWidth="1"/>
    <col min="15" max="16384" width="9" style="50"/>
  </cols>
  <sheetData>
    <row r="1" spans="1:13" ht="17.25" customHeight="1" x14ac:dyDescent="0.4">
      <c r="A1" s="481" t="s">
        <v>0</v>
      </c>
      <c r="B1" s="100" t="s">
        <v>1</v>
      </c>
      <c r="C1" s="101" t="s">
        <v>2</v>
      </c>
      <c r="D1" s="102" t="s">
        <v>3</v>
      </c>
      <c r="E1" s="102" t="s">
        <v>4</v>
      </c>
      <c r="F1" s="120" t="s">
        <v>5</v>
      </c>
      <c r="G1" s="87" t="s">
        <v>6</v>
      </c>
      <c r="H1" s="87" t="s">
        <v>7</v>
      </c>
      <c r="I1" s="136" t="s">
        <v>8</v>
      </c>
      <c r="J1" s="360"/>
      <c r="K1" s="87"/>
      <c r="L1" s="619" t="s">
        <v>9</v>
      </c>
    </row>
    <row r="2" spans="1:13" customFormat="1" ht="17.399999999999999" hidden="1" x14ac:dyDescent="0.4">
      <c r="A2" s="482">
        <v>46212</v>
      </c>
      <c r="B2" s="110" t="s">
        <v>16</v>
      </c>
      <c r="C2" s="29" t="s">
        <v>18</v>
      </c>
      <c r="D2" s="110" t="s">
        <v>836</v>
      </c>
      <c r="E2" s="110" t="s">
        <v>17</v>
      </c>
      <c r="F2" s="823">
        <v>135</v>
      </c>
      <c r="G2" s="49">
        <v>282911</v>
      </c>
      <c r="H2" s="8">
        <f>F2*G2</f>
        <v>38192985</v>
      </c>
      <c r="I2" s="49" t="s">
        <v>1726</v>
      </c>
      <c r="J2" s="109"/>
      <c r="K2" s="144"/>
      <c r="L2" s="140">
        <v>0</v>
      </c>
      <c r="M2" s="21"/>
    </row>
    <row r="3" spans="1:13" s="3" customFormat="1" ht="20.25" hidden="1" customHeight="1" x14ac:dyDescent="0.4">
      <c r="A3" s="482">
        <v>46234</v>
      </c>
      <c r="B3" s="110" t="s">
        <v>16</v>
      </c>
      <c r="C3" s="29" t="s">
        <v>18</v>
      </c>
      <c r="D3" s="110" t="s">
        <v>836</v>
      </c>
      <c r="E3" s="110" t="s">
        <v>17</v>
      </c>
      <c r="F3" s="823">
        <v>270</v>
      </c>
      <c r="G3" s="49">
        <v>282911</v>
      </c>
      <c r="H3" s="8">
        <f>F3*G3</f>
        <v>76385970</v>
      </c>
      <c r="I3" s="49" t="s">
        <v>1726</v>
      </c>
      <c r="J3" s="109"/>
      <c r="K3" s="144"/>
      <c r="L3" s="140"/>
      <c r="M3" s="89"/>
    </row>
    <row r="4" spans="1:13" s="3" customFormat="1" ht="17.25" hidden="1" customHeight="1" x14ac:dyDescent="0.4">
      <c r="A4" s="482">
        <v>46242</v>
      </c>
      <c r="B4" s="110" t="s">
        <v>16</v>
      </c>
      <c r="C4" s="29" t="s">
        <v>18</v>
      </c>
      <c r="D4" s="110" t="s">
        <v>836</v>
      </c>
      <c r="E4" s="110" t="s">
        <v>17</v>
      </c>
      <c r="F4" s="823">
        <v>108</v>
      </c>
      <c r="G4" s="49">
        <v>282911</v>
      </c>
      <c r="H4" s="8">
        <f>F4*G4</f>
        <v>30554388</v>
      </c>
      <c r="I4" s="49" t="s">
        <v>1767</v>
      </c>
      <c r="J4" s="109"/>
      <c r="K4" s="144"/>
      <c r="L4" s="140"/>
      <c r="M4" s="89"/>
    </row>
    <row r="5" spans="1:13" s="3" customFormat="1" ht="17.25" hidden="1" customHeight="1" x14ac:dyDescent="0.4">
      <c r="A5" s="482">
        <v>46265</v>
      </c>
      <c r="B5" s="110" t="s">
        <v>16</v>
      </c>
      <c r="C5" s="29" t="s">
        <v>1512</v>
      </c>
      <c r="D5" s="110" t="s">
        <v>1753</v>
      </c>
      <c r="E5" s="110"/>
      <c r="F5" s="81">
        <v>-2</v>
      </c>
      <c r="G5" s="49">
        <v>177769</v>
      </c>
      <c r="H5" s="8">
        <f t="shared" ref="H5:H10" si="0">F5*G5</f>
        <v>-355538</v>
      </c>
      <c r="I5" s="49"/>
      <c r="J5" s="109"/>
      <c r="K5" s="144"/>
      <c r="L5" s="140"/>
      <c r="M5" s="89"/>
    </row>
    <row r="6" spans="1:13" s="3" customFormat="1" ht="17.25" hidden="1" customHeight="1" x14ac:dyDescent="0.4">
      <c r="A6" s="482">
        <v>46265</v>
      </c>
      <c r="B6" s="110" t="s">
        <v>16</v>
      </c>
      <c r="C6" s="29" t="s">
        <v>20</v>
      </c>
      <c r="D6" s="110" t="s">
        <v>21</v>
      </c>
      <c r="E6" s="110"/>
      <c r="F6" s="81">
        <v>-3</v>
      </c>
      <c r="G6" s="824">
        <v>282911</v>
      </c>
      <c r="H6" s="8">
        <f t="shared" si="0"/>
        <v>-848733</v>
      </c>
      <c r="I6" s="49"/>
      <c r="J6" s="109"/>
      <c r="K6" s="144"/>
      <c r="L6" s="140"/>
      <c r="M6" s="89"/>
    </row>
    <row r="7" spans="1:13" s="3" customFormat="1" ht="17.25" hidden="1" customHeight="1" x14ac:dyDescent="0.4">
      <c r="A7" s="482">
        <v>46265</v>
      </c>
      <c r="B7" s="110" t="s">
        <v>16</v>
      </c>
      <c r="C7" s="29" t="s">
        <v>1512</v>
      </c>
      <c r="D7" s="110" t="s">
        <v>1511</v>
      </c>
      <c r="E7" s="110"/>
      <c r="F7" s="81">
        <v>58</v>
      </c>
      <c r="G7" s="49">
        <v>2911</v>
      </c>
      <c r="H7" s="8">
        <f t="shared" si="0"/>
        <v>168838</v>
      </c>
      <c r="I7" s="49"/>
      <c r="J7" s="109"/>
      <c r="K7" s="144"/>
      <c r="L7" s="140"/>
      <c r="M7" s="89"/>
    </row>
    <row r="8" spans="1:13" s="3" customFormat="1" ht="17.25" hidden="1" customHeight="1" x14ac:dyDescent="0.4">
      <c r="A8" s="482">
        <v>46265</v>
      </c>
      <c r="B8" s="110" t="s">
        <v>16</v>
      </c>
      <c r="C8" s="29" t="s">
        <v>1512</v>
      </c>
      <c r="D8" s="110" t="s">
        <v>1753</v>
      </c>
      <c r="E8" s="110"/>
      <c r="F8" s="81">
        <v>52</v>
      </c>
      <c r="G8" s="49">
        <v>3267</v>
      </c>
      <c r="H8" s="8">
        <f t="shared" si="0"/>
        <v>169884</v>
      </c>
      <c r="I8" s="49"/>
      <c r="J8" s="109"/>
      <c r="K8" s="144"/>
      <c r="L8" s="140"/>
      <c r="M8" s="89"/>
    </row>
    <row r="9" spans="1:13" s="3" customFormat="1" ht="17.25" hidden="1" customHeight="1" x14ac:dyDescent="0.4">
      <c r="A9" s="482">
        <v>46265</v>
      </c>
      <c r="B9" s="110" t="s">
        <v>16</v>
      </c>
      <c r="C9" s="29" t="s">
        <v>20</v>
      </c>
      <c r="D9" s="110" t="s">
        <v>21</v>
      </c>
      <c r="E9" s="110"/>
      <c r="F9" s="81">
        <v>1157</v>
      </c>
      <c r="G9" s="49">
        <v>4257</v>
      </c>
      <c r="H9" s="8">
        <f t="shared" si="0"/>
        <v>4925349</v>
      </c>
      <c r="I9" s="49"/>
      <c r="J9" s="109"/>
      <c r="K9" s="144"/>
      <c r="L9" s="140"/>
      <c r="M9" s="89"/>
    </row>
    <row r="10" spans="1:13" s="3" customFormat="1" ht="17.25" hidden="1" customHeight="1" x14ac:dyDescent="0.4">
      <c r="A10" s="482">
        <v>46265</v>
      </c>
      <c r="B10" s="110" t="s">
        <v>16</v>
      </c>
      <c r="C10" s="29" t="s">
        <v>22</v>
      </c>
      <c r="D10" s="110" t="s">
        <v>23</v>
      </c>
      <c r="E10" s="110"/>
      <c r="F10" s="81">
        <v>236</v>
      </c>
      <c r="G10" s="49">
        <v>6336</v>
      </c>
      <c r="H10" s="8">
        <f t="shared" si="0"/>
        <v>1495296</v>
      </c>
      <c r="I10" s="49"/>
      <c r="J10" s="109"/>
      <c r="K10" s="144"/>
      <c r="L10" s="140"/>
      <c r="M10" s="89"/>
    </row>
    <row r="11" spans="1:13" s="3" customFormat="1" ht="17.25" hidden="1" customHeight="1" x14ac:dyDescent="0.4">
      <c r="A11" s="482">
        <v>46265</v>
      </c>
      <c r="B11" s="110" t="s">
        <v>16</v>
      </c>
      <c r="C11" s="29" t="s">
        <v>1512</v>
      </c>
      <c r="D11" s="110" t="s">
        <v>1511</v>
      </c>
      <c r="E11" s="110"/>
      <c r="F11" s="81"/>
      <c r="G11" s="49"/>
      <c r="H11" s="8">
        <v>-29558</v>
      </c>
      <c r="I11" s="49" t="s">
        <v>1847</v>
      </c>
      <c r="J11" s="109"/>
      <c r="K11" s="144"/>
      <c r="L11" s="140"/>
      <c r="M11" s="89"/>
    </row>
    <row r="12" spans="1:13" s="3" customFormat="1" ht="20.25" hidden="1" customHeight="1" x14ac:dyDescent="0.4">
      <c r="A12" s="482">
        <v>46234</v>
      </c>
      <c r="B12" s="110" t="s">
        <v>16</v>
      </c>
      <c r="C12" s="29" t="s">
        <v>18</v>
      </c>
      <c r="D12" s="110" t="s">
        <v>19</v>
      </c>
      <c r="E12" s="110" t="s">
        <v>17</v>
      </c>
      <c r="F12" s="81">
        <v>80</v>
      </c>
      <c r="G12" s="49">
        <v>307237</v>
      </c>
      <c r="H12" s="8">
        <f>+G12*F12</f>
        <v>24578960</v>
      </c>
      <c r="I12" s="49" t="s">
        <v>1726</v>
      </c>
      <c r="J12" s="144"/>
      <c r="K12" s="144"/>
      <c r="L12" s="140"/>
      <c r="M12" s="89"/>
    </row>
    <row r="13" spans="1:13" s="3" customFormat="1" ht="20.25" hidden="1" customHeight="1" x14ac:dyDescent="0.4">
      <c r="A13" s="482">
        <v>46250</v>
      </c>
      <c r="B13" s="110" t="s">
        <v>16</v>
      </c>
      <c r="C13" s="29" t="s">
        <v>18</v>
      </c>
      <c r="D13" s="110" t="s">
        <v>19</v>
      </c>
      <c r="E13" s="110" t="s">
        <v>17</v>
      </c>
      <c r="F13" s="81">
        <f>117-80</f>
        <v>37</v>
      </c>
      <c r="G13" s="49">
        <v>266245</v>
      </c>
      <c r="H13" s="8">
        <f>+G13*F13</f>
        <v>9851065</v>
      </c>
      <c r="I13" s="49" t="s">
        <v>1848</v>
      </c>
      <c r="J13" s="144"/>
      <c r="K13" s="144"/>
      <c r="L13" s="140"/>
      <c r="M13" s="89"/>
    </row>
    <row r="14" spans="1:13" s="3" customFormat="1" ht="31.5" hidden="1" customHeight="1" x14ac:dyDescent="0.4">
      <c r="A14" s="482">
        <v>46265</v>
      </c>
      <c r="B14" s="110" t="s">
        <v>16</v>
      </c>
      <c r="C14" s="29" t="s">
        <v>18</v>
      </c>
      <c r="D14" s="110" t="s">
        <v>836</v>
      </c>
      <c r="E14" s="110" t="s">
        <v>17</v>
      </c>
      <c r="F14" s="81">
        <f>27*6</f>
        <v>162</v>
      </c>
      <c r="G14" s="49">
        <v>251112</v>
      </c>
      <c r="H14" s="8">
        <f>F14*G14</f>
        <v>40680144</v>
      </c>
      <c r="I14" s="49" t="s">
        <v>1726</v>
      </c>
      <c r="J14" s="140" t="s">
        <v>1768</v>
      </c>
      <c r="K14" s="144"/>
      <c r="L14" s="140" t="s">
        <v>495</v>
      </c>
      <c r="M14" s="89"/>
    </row>
    <row r="15" spans="1:13" s="19" customFormat="1" ht="17.25" hidden="1" customHeight="1" x14ac:dyDescent="0.4">
      <c r="A15" s="622"/>
      <c r="B15" s="39"/>
      <c r="C15" s="88"/>
      <c r="D15" s="434"/>
      <c r="E15" s="39"/>
      <c r="F15" s="39"/>
      <c r="G15" s="98"/>
      <c r="H15" s="138">
        <f>SUM(H2:H11)</f>
        <v>150658881</v>
      </c>
      <c r="I15" s="435"/>
      <c r="J15" s="39"/>
      <c r="K15" s="40"/>
      <c r="L15" s="696"/>
    </row>
    <row r="16" spans="1:13" s="19" customFormat="1" ht="17.25" hidden="1" customHeight="1" x14ac:dyDescent="0.4">
      <c r="A16" s="485">
        <v>46255</v>
      </c>
      <c r="B16" s="8" t="s">
        <v>24</v>
      </c>
      <c r="C16" s="6" t="s">
        <v>29</v>
      </c>
      <c r="D16" s="69" t="s">
        <v>30</v>
      </c>
      <c r="E16" s="8"/>
      <c r="F16" s="8">
        <v>118</v>
      </c>
      <c r="G16" s="36">
        <v>206710</v>
      </c>
      <c r="H16" s="8">
        <f>F16*G16</f>
        <v>24391780</v>
      </c>
      <c r="I16" s="150"/>
      <c r="J16" s="70"/>
      <c r="K16" s="29"/>
      <c r="L16" s="405"/>
    </row>
    <row r="17" spans="1:13" s="19" customFormat="1" ht="17.25" hidden="1" customHeight="1" x14ac:dyDescent="0.4">
      <c r="A17" s="485">
        <v>46265</v>
      </c>
      <c r="B17" s="8" t="s">
        <v>24</v>
      </c>
      <c r="C17" s="6" t="s">
        <v>29</v>
      </c>
      <c r="D17" s="69" t="s">
        <v>30</v>
      </c>
      <c r="E17" s="8"/>
      <c r="F17" s="8">
        <v>-4</v>
      </c>
      <c r="G17" s="36">
        <v>206710</v>
      </c>
      <c r="H17" s="8">
        <f>F17*G17</f>
        <v>-826840</v>
      </c>
      <c r="I17" s="150"/>
      <c r="J17" s="70"/>
      <c r="K17" s="29"/>
      <c r="L17" s="405"/>
    </row>
    <row r="18" spans="1:13" s="19" customFormat="1" ht="17.25" hidden="1" customHeight="1" x14ac:dyDescent="0.4">
      <c r="A18" s="622"/>
      <c r="B18" s="39"/>
      <c r="C18" s="88"/>
      <c r="D18" s="434"/>
      <c r="E18" s="39"/>
      <c r="F18" s="39"/>
      <c r="G18" s="98"/>
      <c r="H18" s="138">
        <f>SUM(H16:H17)</f>
        <v>23564940</v>
      </c>
      <c r="I18" s="435"/>
      <c r="J18" s="436"/>
      <c r="K18" s="40"/>
      <c r="L18" s="696"/>
    </row>
    <row r="19" spans="1:13" customFormat="1" ht="17.399999999999999" hidden="1" x14ac:dyDescent="0.4">
      <c r="A19" s="485">
        <v>46233</v>
      </c>
      <c r="B19" s="8" t="s">
        <v>556</v>
      </c>
      <c r="C19" s="6" t="s">
        <v>347</v>
      </c>
      <c r="D19" s="69" t="s">
        <v>348</v>
      </c>
      <c r="E19" s="8"/>
      <c r="F19" s="8">
        <v>3</v>
      </c>
      <c r="G19" s="36">
        <v>38000</v>
      </c>
      <c r="H19" s="8">
        <f t="shared" ref="H19:H32" si="1">F19*G19</f>
        <v>114000</v>
      </c>
      <c r="I19" s="49"/>
      <c r="J19" s="70"/>
      <c r="K19" s="29"/>
      <c r="L19" s="405"/>
      <c r="M19" s="19"/>
    </row>
    <row r="20" spans="1:13" customFormat="1" ht="17.399999999999999" hidden="1" x14ac:dyDescent="0.4">
      <c r="A20" s="485">
        <v>46233</v>
      </c>
      <c r="B20" s="8" t="s">
        <v>556</v>
      </c>
      <c r="C20" s="6" t="s">
        <v>347</v>
      </c>
      <c r="D20" s="69" t="s">
        <v>348</v>
      </c>
      <c r="E20" s="8"/>
      <c r="F20" s="8">
        <v>20</v>
      </c>
      <c r="G20" s="36">
        <v>38000</v>
      </c>
      <c r="H20" s="8">
        <f t="shared" si="1"/>
        <v>760000</v>
      </c>
      <c r="I20" s="49"/>
      <c r="J20" s="70"/>
      <c r="K20" s="29"/>
      <c r="L20" s="405"/>
      <c r="M20" s="19"/>
    </row>
    <row r="21" spans="1:13" customFormat="1" ht="17.399999999999999" hidden="1" x14ac:dyDescent="0.4">
      <c r="A21" s="485">
        <v>46233</v>
      </c>
      <c r="B21" s="8" t="s">
        <v>556</v>
      </c>
      <c r="C21" s="6" t="s">
        <v>347</v>
      </c>
      <c r="D21" s="69" t="s">
        <v>349</v>
      </c>
      <c r="E21" s="8"/>
      <c r="F21" s="8">
        <v>3</v>
      </c>
      <c r="G21" s="36">
        <v>43200</v>
      </c>
      <c r="H21" s="8">
        <f t="shared" si="1"/>
        <v>129600</v>
      </c>
      <c r="I21" s="49"/>
      <c r="J21" s="70"/>
      <c r="K21" s="29"/>
      <c r="L21" s="405"/>
      <c r="M21" s="19"/>
    </row>
    <row r="22" spans="1:13" customFormat="1" ht="17.399999999999999" hidden="1" x14ac:dyDescent="0.4">
      <c r="A22" s="485">
        <v>46233</v>
      </c>
      <c r="B22" s="8" t="s">
        <v>556</v>
      </c>
      <c r="C22" s="6" t="s">
        <v>347</v>
      </c>
      <c r="D22" s="69" t="s">
        <v>349</v>
      </c>
      <c r="E22" s="8"/>
      <c r="F22" s="8">
        <v>20</v>
      </c>
      <c r="G22" s="36">
        <v>43200</v>
      </c>
      <c r="H22" s="8">
        <f t="shared" si="1"/>
        <v>864000</v>
      </c>
      <c r="I22" s="49"/>
      <c r="J22" s="70"/>
      <c r="K22" s="29"/>
      <c r="L22" s="405"/>
      <c r="M22" s="19"/>
    </row>
    <row r="23" spans="1:13" customFormat="1" ht="17.399999999999999" hidden="1" x14ac:dyDescent="0.4">
      <c r="A23" s="485">
        <v>46233</v>
      </c>
      <c r="B23" s="8" t="s">
        <v>556</v>
      </c>
      <c r="C23" s="6" t="s">
        <v>347</v>
      </c>
      <c r="D23" s="69" t="s">
        <v>350</v>
      </c>
      <c r="E23" s="8"/>
      <c r="F23" s="8">
        <v>3</v>
      </c>
      <c r="G23" s="36">
        <v>38000</v>
      </c>
      <c r="H23" s="8">
        <f t="shared" si="1"/>
        <v>114000</v>
      </c>
      <c r="I23" s="49"/>
      <c r="J23" s="70"/>
      <c r="K23" s="29"/>
      <c r="L23" s="405"/>
      <c r="M23" s="19"/>
    </row>
    <row r="24" spans="1:13" customFormat="1" ht="17.399999999999999" hidden="1" x14ac:dyDescent="0.4">
      <c r="A24" s="485">
        <v>46233</v>
      </c>
      <c r="B24" s="8" t="s">
        <v>556</v>
      </c>
      <c r="C24" s="6" t="s">
        <v>347</v>
      </c>
      <c r="D24" s="69" t="s">
        <v>350</v>
      </c>
      <c r="E24" s="8"/>
      <c r="F24" s="8">
        <v>20</v>
      </c>
      <c r="G24" s="36">
        <v>38000</v>
      </c>
      <c r="H24" s="8">
        <f t="shared" si="1"/>
        <v>760000</v>
      </c>
      <c r="I24" s="49"/>
      <c r="J24" s="70"/>
      <c r="K24" s="29"/>
      <c r="L24" s="405"/>
      <c r="M24" s="19"/>
    </row>
    <row r="25" spans="1:13" customFormat="1" ht="17.399999999999999" hidden="1" x14ac:dyDescent="0.4">
      <c r="A25" s="485">
        <v>46233</v>
      </c>
      <c r="B25" s="8" t="s">
        <v>556</v>
      </c>
      <c r="C25" s="6" t="s">
        <v>347</v>
      </c>
      <c r="D25" s="69" t="s">
        <v>351</v>
      </c>
      <c r="E25" s="8"/>
      <c r="F25" s="8">
        <v>3</v>
      </c>
      <c r="G25" s="36">
        <v>39400</v>
      </c>
      <c r="H25" s="8">
        <f t="shared" si="1"/>
        <v>118200</v>
      </c>
      <c r="I25" s="49"/>
      <c r="J25" s="70"/>
      <c r="K25" s="29"/>
      <c r="L25" s="405"/>
      <c r="M25" s="19"/>
    </row>
    <row r="26" spans="1:13" customFormat="1" ht="17.399999999999999" hidden="1" x14ac:dyDescent="0.4">
      <c r="A26" s="485">
        <v>46233</v>
      </c>
      <c r="B26" s="8" t="s">
        <v>556</v>
      </c>
      <c r="C26" s="6" t="s">
        <v>347</v>
      </c>
      <c r="D26" s="69" t="s">
        <v>351</v>
      </c>
      <c r="E26" s="8"/>
      <c r="F26" s="8">
        <v>20</v>
      </c>
      <c r="G26" s="36">
        <v>39400</v>
      </c>
      <c r="H26" s="8">
        <f t="shared" si="1"/>
        <v>788000</v>
      </c>
      <c r="I26" s="49"/>
      <c r="J26" s="70"/>
      <c r="K26" s="29"/>
      <c r="L26" s="405"/>
      <c r="M26" s="19"/>
    </row>
    <row r="27" spans="1:13" customFormat="1" ht="17.399999999999999" hidden="1" x14ac:dyDescent="0.4">
      <c r="A27" s="485">
        <v>46233</v>
      </c>
      <c r="B27" s="8" t="s">
        <v>556</v>
      </c>
      <c r="C27" s="6" t="s">
        <v>347</v>
      </c>
      <c r="D27" s="69" t="s">
        <v>352</v>
      </c>
      <c r="E27" s="8"/>
      <c r="F27" s="8">
        <v>3</v>
      </c>
      <c r="G27" s="36">
        <v>35400</v>
      </c>
      <c r="H27" s="8">
        <f t="shared" si="1"/>
        <v>106200</v>
      </c>
      <c r="I27" s="49"/>
      <c r="J27" s="70"/>
      <c r="K27" s="29"/>
      <c r="L27" s="405"/>
      <c r="M27" s="19"/>
    </row>
    <row r="28" spans="1:13" customFormat="1" ht="17.399999999999999" hidden="1" x14ac:dyDescent="0.4">
      <c r="A28" s="485">
        <v>46233</v>
      </c>
      <c r="B28" s="8" t="s">
        <v>556</v>
      </c>
      <c r="C28" s="6" t="s">
        <v>347</v>
      </c>
      <c r="D28" s="69" t="s">
        <v>352</v>
      </c>
      <c r="E28" s="8"/>
      <c r="F28" s="8">
        <v>20</v>
      </c>
      <c r="G28" s="36">
        <v>35400</v>
      </c>
      <c r="H28" s="8">
        <f t="shared" si="1"/>
        <v>708000</v>
      </c>
      <c r="I28" s="49"/>
      <c r="J28" s="70"/>
      <c r="K28" s="29"/>
      <c r="L28" s="405"/>
      <c r="M28" s="19"/>
    </row>
    <row r="29" spans="1:13" customFormat="1" ht="17.399999999999999" hidden="1" x14ac:dyDescent="0.4">
      <c r="A29" s="485">
        <v>46233</v>
      </c>
      <c r="B29" s="8" t="s">
        <v>556</v>
      </c>
      <c r="C29" s="6" t="s">
        <v>347</v>
      </c>
      <c r="D29" s="69" t="s">
        <v>353</v>
      </c>
      <c r="E29" s="8"/>
      <c r="F29" s="8">
        <v>3</v>
      </c>
      <c r="G29" s="36">
        <v>40000</v>
      </c>
      <c r="H29" s="8">
        <f t="shared" si="1"/>
        <v>120000</v>
      </c>
      <c r="I29" s="49"/>
      <c r="J29" s="70"/>
      <c r="K29" s="29"/>
      <c r="L29" s="405"/>
      <c r="M29" s="19"/>
    </row>
    <row r="30" spans="1:13" customFormat="1" ht="17.399999999999999" hidden="1" x14ac:dyDescent="0.4">
      <c r="A30" s="485">
        <v>46233</v>
      </c>
      <c r="B30" s="8" t="s">
        <v>556</v>
      </c>
      <c r="C30" s="6" t="s">
        <v>347</v>
      </c>
      <c r="D30" s="69" t="s">
        <v>353</v>
      </c>
      <c r="E30" s="8"/>
      <c r="F30" s="8">
        <v>20</v>
      </c>
      <c r="G30" s="36">
        <v>40000</v>
      </c>
      <c r="H30" s="8">
        <f t="shared" si="1"/>
        <v>800000</v>
      </c>
      <c r="I30" s="49"/>
      <c r="J30" s="70"/>
      <c r="K30" s="29"/>
      <c r="L30" s="405"/>
      <c r="M30" s="19"/>
    </row>
    <row r="31" spans="1:13" customFormat="1" ht="17.399999999999999" hidden="1" x14ac:dyDescent="0.4">
      <c r="A31" s="485">
        <v>46233</v>
      </c>
      <c r="B31" s="8" t="s">
        <v>556</v>
      </c>
      <c r="C31" s="6" t="s">
        <v>354</v>
      </c>
      <c r="D31" s="69" t="s">
        <v>355</v>
      </c>
      <c r="E31" s="8"/>
      <c r="F31" s="8">
        <v>6</v>
      </c>
      <c r="G31" s="36">
        <v>1285900</v>
      </c>
      <c r="H31" s="8">
        <f t="shared" si="1"/>
        <v>7715400</v>
      </c>
      <c r="I31" s="49"/>
      <c r="J31" s="70"/>
      <c r="K31" s="29"/>
      <c r="L31" s="405"/>
      <c r="M31" s="19"/>
    </row>
    <row r="32" spans="1:13" customFormat="1" ht="17.399999999999999" hidden="1" x14ac:dyDescent="0.4">
      <c r="A32" s="485">
        <v>46233</v>
      </c>
      <c r="B32" s="8" t="s">
        <v>556</v>
      </c>
      <c r="C32" s="6" t="s">
        <v>354</v>
      </c>
      <c r="D32" s="69" t="s">
        <v>355</v>
      </c>
      <c r="E32" s="8"/>
      <c r="F32" s="8">
        <v>17</v>
      </c>
      <c r="G32" s="36">
        <v>1364980</v>
      </c>
      <c r="H32" s="8">
        <f t="shared" si="1"/>
        <v>23204660</v>
      </c>
      <c r="I32" s="49"/>
      <c r="J32" s="70"/>
      <c r="K32" s="29"/>
      <c r="L32" s="405"/>
      <c r="M32" s="19"/>
    </row>
    <row r="33" spans="1:12" s="19" customFormat="1" ht="17.25" hidden="1" customHeight="1" x14ac:dyDescent="0.4">
      <c r="A33" s="485">
        <v>46244</v>
      </c>
      <c r="B33" s="8" t="s">
        <v>556</v>
      </c>
      <c r="C33" s="6" t="s">
        <v>279</v>
      </c>
      <c r="D33" s="69" t="s">
        <v>280</v>
      </c>
      <c r="E33" s="8"/>
      <c r="F33" s="8">
        <v>9</v>
      </c>
      <c r="G33" s="36">
        <v>242500</v>
      </c>
      <c r="H33" s="8">
        <f t="shared" ref="H33:H82" si="2">F33*G33</f>
        <v>2182500</v>
      </c>
      <c r="I33" s="150"/>
      <c r="J33" s="70"/>
      <c r="K33" s="29"/>
      <c r="L33" s="405"/>
    </row>
    <row r="34" spans="1:12" s="19" customFormat="1" ht="17.25" hidden="1" customHeight="1" x14ac:dyDescent="0.4">
      <c r="A34" s="485">
        <v>46244</v>
      </c>
      <c r="B34" s="8" t="s">
        <v>556</v>
      </c>
      <c r="C34" s="6" t="s">
        <v>279</v>
      </c>
      <c r="D34" s="69" t="s">
        <v>280</v>
      </c>
      <c r="E34" s="8"/>
      <c r="F34" s="8">
        <v>9</v>
      </c>
      <c r="G34" s="36">
        <v>242500</v>
      </c>
      <c r="H34" s="8">
        <f t="shared" si="2"/>
        <v>2182500</v>
      </c>
      <c r="I34" s="150"/>
      <c r="J34" s="70"/>
      <c r="K34" s="29"/>
      <c r="L34" s="405"/>
    </row>
    <row r="35" spans="1:12" s="19" customFormat="1" ht="17.25" hidden="1" customHeight="1" x14ac:dyDescent="0.4">
      <c r="A35" s="485">
        <v>46244</v>
      </c>
      <c r="B35" s="8" t="s">
        <v>556</v>
      </c>
      <c r="C35" s="6" t="s">
        <v>35</v>
      </c>
      <c r="D35" s="69" t="s">
        <v>36</v>
      </c>
      <c r="E35" s="8"/>
      <c r="F35" s="8">
        <v>1</v>
      </c>
      <c r="G35" s="36">
        <v>1259290</v>
      </c>
      <c r="H35" s="8">
        <f t="shared" si="2"/>
        <v>1259290</v>
      </c>
      <c r="I35" s="29">
        <v>1259290</v>
      </c>
      <c r="J35" s="70"/>
      <c r="K35" s="29"/>
      <c r="L35" s="405"/>
    </row>
    <row r="36" spans="1:12" s="19" customFormat="1" ht="17.25" hidden="1" customHeight="1" x14ac:dyDescent="0.4">
      <c r="A36" s="485">
        <v>46244</v>
      </c>
      <c r="B36" s="8" t="s">
        <v>556</v>
      </c>
      <c r="C36" s="6" t="s">
        <v>35</v>
      </c>
      <c r="D36" s="69" t="s">
        <v>36</v>
      </c>
      <c r="E36" s="8"/>
      <c r="F36" s="8">
        <v>7</v>
      </c>
      <c r="G36" s="36">
        <v>1389100</v>
      </c>
      <c r="H36" s="8">
        <f t="shared" si="2"/>
        <v>9723700</v>
      </c>
      <c r="I36" s="29">
        <v>1389100</v>
      </c>
      <c r="J36" s="70"/>
      <c r="K36" s="29"/>
      <c r="L36" s="405"/>
    </row>
    <row r="37" spans="1:12" s="19" customFormat="1" ht="17.25" hidden="1" customHeight="1" x14ac:dyDescent="0.4">
      <c r="A37" s="485">
        <v>46244</v>
      </c>
      <c r="B37" s="8" t="s">
        <v>556</v>
      </c>
      <c r="C37" s="6" t="s">
        <v>39</v>
      </c>
      <c r="D37" s="69" t="s">
        <v>40</v>
      </c>
      <c r="E37" s="8"/>
      <c r="F37" s="8">
        <v>3</v>
      </c>
      <c r="G37" s="36">
        <v>1380450</v>
      </c>
      <c r="H37" s="8">
        <f t="shared" si="2"/>
        <v>4141350</v>
      </c>
      <c r="I37" s="29">
        <v>1380450</v>
      </c>
      <c r="J37" s="70"/>
      <c r="K37" s="29"/>
      <c r="L37" s="405"/>
    </row>
    <row r="38" spans="1:12" s="19" customFormat="1" ht="17.25" hidden="1" customHeight="1" x14ac:dyDescent="0.4">
      <c r="A38" s="485">
        <v>46244</v>
      </c>
      <c r="B38" s="8" t="s">
        <v>556</v>
      </c>
      <c r="C38" s="6" t="s">
        <v>1656</v>
      </c>
      <c r="D38" s="69" t="s">
        <v>1542</v>
      </c>
      <c r="E38" s="8"/>
      <c r="F38" s="8">
        <v>1</v>
      </c>
      <c r="G38" s="36">
        <v>1380450</v>
      </c>
      <c r="H38" s="8">
        <f t="shared" si="2"/>
        <v>1380450</v>
      </c>
      <c r="I38" s="29">
        <v>1380450</v>
      </c>
      <c r="J38" s="70"/>
      <c r="K38" s="29"/>
      <c r="L38" s="405"/>
    </row>
    <row r="39" spans="1:12" s="19" customFormat="1" ht="17.25" hidden="1" customHeight="1" x14ac:dyDescent="0.4">
      <c r="A39" s="485">
        <v>46244</v>
      </c>
      <c r="B39" s="8" t="s">
        <v>556</v>
      </c>
      <c r="C39" s="6" t="s">
        <v>467</v>
      </c>
      <c r="D39" s="69" t="s">
        <v>468</v>
      </c>
      <c r="E39" s="8"/>
      <c r="F39" s="8">
        <v>11</v>
      </c>
      <c r="G39" s="36">
        <v>130900</v>
      </c>
      <c r="H39" s="8">
        <f>F39*G39</f>
        <v>1439900</v>
      </c>
      <c r="I39" s="29"/>
      <c r="J39" s="70"/>
      <c r="K39" s="29"/>
      <c r="L39" s="405"/>
    </row>
    <row r="40" spans="1:12" s="19" customFormat="1" ht="17.25" hidden="1" customHeight="1" x14ac:dyDescent="0.4">
      <c r="A40" s="485">
        <v>46244</v>
      </c>
      <c r="B40" s="8" t="s">
        <v>556</v>
      </c>
      <c r="C40" s="6" t="s">
        <v>465</v>
      </c>
      <c r="D40" s="69" t="s">
        <v>466</v>
      </c>
      <c r="E40" s="8"/>
      <c r="F40" s="8">
        <v>11</v>
      </c>
      <c r="G40" s="36">
        <v>247600</v>
      </c>
      <c r="H40" s="8">
        <f t="shared" si="2"/>
        <v>2723600</v>
      </c>
      <c r="I40" s="29"/>
      <c r="J40" s="70"/>
      <c r="K40" s="29"/>
      <c r="L40" s="405"/>
    </row>
    <row r="41" spans="1:12" s="19" customFormat="1" ht="17.25" hidden="1" customHeight="1" x14ac:dyDescent="0.4">
      <c r="A41" s="485">
        <v>46244</v>
      </c>
      <c r="B41" s="8" t="s">
        <v>556</v>
      </c>
      <c r="C41" s="6" t="s">
        <v>1769</v>
      </c>
      <c r="D41" s="69" t="s">
        <v>1770</v>
      </c>
      <c r="E41" s="8"/>
      <c r="F41" s="8">
        <v>1</v>
      </c>
      <c r="G41" s="36">
        <v>96550</v>
      </c>
      <c r="H41" s="8">
        <f>F41*G41</f>
        <v>96550</v>
      </c>
      <c r="I41" s="29">
        <v>96550</v>
      </c>
      <c r="J41" s="70"/>
      <c r="K41" s="29"/>
      <c r="L41" s="405"/>
    </row>
    <row r="42" spans="1:12" s="19" customFormat="1" ht="17.25" hidden="1" customHeight="1" x14ac:dyDescent="0.4">
      <c r="A42" s="485">
        <v>46244</v>
      </c>
      <c r="B42" s="8" t="s">
        <v>556</v>
      </c>
      <c r="C42" s="6" t="s">
        <v>1769</v>
      </c>
      <c r="D42" s="69" t="s">
        <v>1770</v>
      </c>
      <c r="E42" s="8"/>
      <c r="F42" s="8">
        <v>37</v>
      </c>
      <c r="G42" s="36">
        <v>104100</v>
      </c>
      <c r="H42" s="8">
        <f>F42*G42</f>
        <v>3851700</v>
      </c>
      <c r="I42" s="29">
        <v>104100</v>
      </c>
      <c r="J42" s="70"/>
      <c r="K42" s="29"/>
      <c r="L42" s="405"/>
    </row>
    <row r="43" spans="1:12" s="19" customFormat="1" ht="17.25" hidden="1" customHeight="1" x14ac:dyDescent="0.4">
      <c r="A43" s="485">
        <v>46244</v>
      </c>
      <c r="B43" s="8" t="s">
        <v>556</v>
      </c>
      <c r="C43" s="6" t="s">
        <v>1769</v>
      </c>
      <c r="D43" s="69" t="s">
        <v>1770</v>
      </c>
      <c r="E43" s="8"/>
      <c r="F43" s="8">
        <v>1</v>
      </c>
      <c r="G43" s="36">
        <v>104100</v>
      </c>
      <c r="H43" s="8">
        <f>F43*G43</f>
        <v>104100</v>
      </c>
      <c r="I43" s="29">
        <v>104100</v>
      </c>
      <c r="J43" s="70"/>
      <c r="K43" s="29"/>
      <c r="L43" s="405"/>
    </row>
    <row r="44" spans="1:12" s="19" customFormat="1" ht="17.25" hidden="1" customHeight="1" x14ac:dyDescent="0.4">
      <c r="A44" s="485">
        <v>46244</v>
      </c>
      <c r="B44" s="8" t="s">
        <v>556</v>
      </c>
      <c r="C44" s="6" t="s">
        <v>1769</v>
      </c>
      <c r="D44" s="69" t="s">
        <v>1771</v>
      </c>
      <c r="E44" s="8"/>
      <c r="F44" s="8">
        <v>1</v>
      </c>
      <c r="G44" s="36">
        <v>387340</v>
      </c>
      <c r="H44" s="8">
        <f t="shared" si="2"/>
        <v>387340</v>
      </c>
      <c r="I44" s="29">
        <v>387340</v>
      </c>
      <c r="J44" s="70"/>
      <c r="K44" s="29"/>
      <c r="L44" s="405"/>
    </row>
    <row r="45" spans="1:12" s="19" customFormat="1" ht="17.25" hidden="1" customHeight="1" x14ac:dyDescent="0.4">
      <c r="A45" s="485">
        <v>46244</v>
      </c>
      <c r="B45" s="8" t="s">
        <v>556</v>
      </c>
      <c r="C45" s="6" t="s">
        <v>1769</v>
      </c>
      <c r="D45" s="69" t="s">
        <v>1771</v>
      </c>
      <c r="E45" s="8"/>
      <c r="F45" s="8">
        <v>1</v>
      </c>
      <c r="G45" s="36">
        <v>387340</v>
      </c>
      <c r="H45" s="8">
        <f t="shared" si="2"/>
        <v>387340</v>
      </c>
      <c r="I45" s="29">
        <v>387340</v>
      </c>
      <c r="J45" s="70"/>
      <c r="K45" s="29"/>
      <c r="L45" s="405"/>
    </row>
    <row r="46" spans="1:12" s="19" customFormat="1" ht="17.25" hidden="1" customHeight="1" x14ac:dyDescent="0.4">
      <c r="A46" s="485">
        <v>46244</v>
      </c>
      <c r="B46" s="8" t="s">
        <v>556</v>
      </c>
      <c r="C46" s="6" t="s">
        <v>1769</v>
      </c>
      <c r="D46" s="69" t="s">
        <v>1771</v>
      </c>
      <c r="E46" s="8"/>
      <c r="F46" s="8">
        <v>1</v>
      </c>
      <c r="G46" s="36">
        <v>387340</v>
      </c>
      <c r="H46" s="8">
        <f t="shared" si="2"/>
        <v>387340</v>
      </c>
      <c r="I46" s="29">
        <v>387340</v>
      </c>
      <c r="J46" s="70"/>
      <c r="K46" s="29"/>
      <c r="L46" s="405"/>
    </row>
    <row r="47" spans="1:12" s="19" customFormat="1" ht="17.25" hidden="1" customHeight="1" x14ac:dyDescent="0.4">
      <c r="A47" s="485">
        <v>46244</v>
      </c>
      <c r="B47" s="8" t="s">
        <v>556</v>
      </c>
      <c r="C47" s="6" t="s">
        <v>1769</v>
      </c>
      <c r="D47" s="69" t="s">
        <v>1771</v>
      </c>
      <c r="E47" s="8"/>
      <c r="F47" s="8">
        <v>1</v>
      </c>
      <c r="G47" s="36">
        <v>387340</v>
      </c>
      <c r="H47" s="8">
        <f t="shared" si="2"/>
        <v>387340</v>
      </c>
      <c r="I47" s="29">
        <v>387340</v>
      </c>
      <c r="J47" s="70"/>
      <c r="K47" s="29"/>
      <c r="L47" s="405"/>
    </row>
    <row r="48" spans="1:12" s="19" customFormat="1" ht="17.25" hidden="1" customHeight="1" x14ac:dyDescent="0.4">
      <c r="A48" s="485">
        <v>46244</v>
      </c>
      <c r="B48" s="8" t="s">
        <v>556</v>
      </c>
      <c r="C48" s="6" t="s">
        <v>1769</v>
      </c>
      <c r="D48" s="69" t="s">
        <v>1771</v>
      </c>
      <c r="E48" s="8"/>
      <c r="F48" s="8">
        <v>20</v>
      </c>
      <c r="G48" s="36">
        <v>387340</v>
      </c>
      <c r="H48" s="8">
        <f t="shared" si="2"/>
        <v>7746800</v>
      </c>
      <c r="I48" s="29">
        <v>387340</v>
      </c>
      <c r="J48" s="70"/>
      <c r="K48" s="29"/>
      <c r="L48" s="405"/>
    </row>
    <row r="49" spans="1:12" s="19" customFormat="1" ht="17.25" hidden="1" customHeight="1" x14ac:dyDescent="0.4">
      <c r="A49" s="485">
        <v>46244</v>
      </c>
      <c r="B49" s="8" t="s">
        <v>556</v>
      </c>
      <c r="C49" s="6" t="s">
        <v>1769</v>
      </c>
      <c r="D49" s="69" t="s">
        <v>1771</v>
      </c>
      <c r="E49" s="8"/>
      <c r="F49" s="8">
        <v>1</v>
      </c>
      <c r="G49" s="36">
        <v>387340</v>
      </c>
      <c r="H49" s="8">
        <f t="shared" si="2"/>
        <v>387340</v>
      </c>
      <c r="I49" s="29">
        <v>387340</v>
      </c>
      <c r="J49" s="70"/>
      <c r="K49" s="29"/>
      <c r="L49" s="405"/>
    </row>
    <row r="50" spans="1:12" s="19" customFormat="1" ht="17.25" hidden="1" customHeight="1" x14ac:dyDescent="0.4">
      <c r="A50" s="485">
        <v>46244</v>
      </c>
      <c r="B50" s="8" t="s">
        <v>556</v>
      </c>
      <c r="C50" s="6" t="s">
        <v>1769</v>
      </c>
      <c r="D50" s="69" t="s">
        <v>1771</v>
      </c>
      <c r="E50" s="8"/>
      <c r="F50" s="8">
        <v>14</v>
      </c>
      <c r="G50" s="36">
        <v>417700</v>
      </c>
      <c r="H50" s="8">
        <f t="shared" si="2"/>
        <v>5847800</v>
      </c>
      <c r="I50" s="29">
        <v>417700</v>
      </c>
      <c r="J50" s="70"/>
      <c r="K50" s="29"/>
      <c r="L50" s="405"/>
    </row>
    <row r="51" spans="1:12" s="19" customFormat="1" ht="17.25" hidden="1" customHeight="1" x14ac:dyDescent="0.4">
      <c r="A51" s="485">
        <v>46246</v>
      </c>
      <c r="B51" s="8" t="s">
        <v>556</v>
      </c>
      <c r="C51" s="6" t="s">
        <v>174</v>
      </c>
      <c r="D51" s="69" t="s">
        <v>175</v>
      </c>
      <c r="E51" s="8"/>
      <c r="F51" s="8">
        <v>24</v>
      </c>
      <c r="G51" s="36">
        <v>154300</v>
      </c>
      <c r="H51" s="8">
        <f t="shared" si="2"/>
        <v>3703200</v>
      </c>
      <c r="I51" s="29"/>
      <c r="J51" s="70"/>
      <c r="K51" s="29"/>
      <c r="L51" s="405"/>
    </row>
    <row r="52" spans="1:12" s="19" customFormat="1" ht="17.25" hidden="1" customHeight="1" x14ac:dyDescent="0.4">
      <c r="A52" s="485">
        <v>46246</v>
      </c>
      <c r="B52" s="8" t="s">
        <v>556</v>
      </c>
      <c r="C52" s="6" t="s">
        <v>174</v>
      </c>
      <c r="D52" s="69" t="s">
        <v>175</v>
      </c>
      <c r="E52" s="8"/>
      <c r="F52" s="8">
        <v>2</v>
      </c>
      <c r="G52" s="36">
        <v>154300</v>
      </c>
      <c r="H52" s="8">
        <f t="shared" si="2"/>
        <v>308600</v>
      </c>
      <c r="I52" s="29"/>
      <c r="J52" s="70"/>
      <c r="K52" s="29"/>
      <c r="L52" s="405"/>
    </row>
    <row r="53" spans="1:12" s="19" customFormat="1" ht="17.25" hidden="1" customHeight="1" x14ac:dyDescent="0.4">
      <c r="A53" s="485">
        <v>46246</v>
      </c>
      <c r="B53" s="8" t="s">
        <v>556</v>
      </c>
      <c r="C53" s="6" t="s">
        <v>174</v>
      </c>
      <c r="D53" s="69" t="s">
        <v>175</v>
      </c>
      <c r="E53" s="8"/>
      <c r="F53" s="8">
        <v>24</v>
      </c>
      <c r="G53" s="36">
        <v>154300</v>
      </c>
      <c r="H53" s="8">
        <f t="shared" si="2"/>
        <v>3703200</v>
      </c>
      <c r="I53" s="29"/>
      <c r="J53" s="70"/>
      <c r="K53" s="29"/>
      <c r="L53" s="405"/>
    </row>
    <row r="54" spans="1:12" s="19" customFormat="1" ht="17.25" hidden="1" customHeight="1" x14ac:dyDescent="0.4">
      <c r="A54" s="485">
        <v>46246</v>
      </c>
      <c r="B54" s="8" t="s">
        <v>556</v>
      </c>
      <c r="C54" s="6" t="s">
        <v>39</v>
      </c>
      <c r="D54" s="69" t="s">
        <v>40</v>
      </c>
      <c r="E54" s="8"/>
      <c r="F54" s="8">
        <v>11</v>
      </c>
      <c r="G54" s="36">
        <v>1380450</v>
      </c>
      <c r="H54" s="8">
        <f t="shared" si="2"/>
        <v>15184950</v>
      </c>
      <c r="I54" s="29">
        <v>1380450</v>
      </c>
      <c r="J54" s="70"/>
      <c r="K54" s="29"/>
      <c r="L54" s="405"/>
    </row>
    <row r="55" spans="1:12" s="19" customFormat="1" ht="17.25" hidden="1" customHeight="1" x14ac:dyDescent="0.4">
      <c r="A55" s="485">
        <v>46246</v>
      </c>
      <c r="B55" s="8" t="s">
        <v>556</v>
      </c>
      <c r="C55" s="6" t="s">
        <v>39</v>
      </c>
      <c r="D55" s="69" t="s">
        <v>40</v>
      </c>
      <c r="E55" s="8"/>
      <c r="F55" s="8">
        <v>6</v>
      </c>
      <c r="G55" s="36">
        <v>1529400</v>
      </c>
      <c r="H55" s="8">
        <f t="shared" si="2"/>
        <v>9176400</v>
      </c>
      <c r="I55" s="29"/>
      <c r="J55" s="70"/>
      <c r="K55" s="29"/>
      <c r="L55" s="405"/>
    </row>
    <row r="56" spans="1:12" s="19" customFormat="1" ht="17.25" hidden="1" customHeight="1" x14ac:dyDescent="0.4">
      <c r="A56" s="485">
        <v>46246</v>
      </c>
      <c r="B56" s="8" t="s">
        <v>556</v>
      </c>
      <c r="C56" s="6" t="s">
        <v>172</v>
      </c>
      <c r="D56" s="69" t="s">
        <v>173</v>
      </c>
      <c r="E56" s="8"/>
      <c r="F56" s="8">
        <v>27</v>
      </c>
      <c r="G56" s="36">
        <v>281900</v>
      </c>
      <c r="H56" s="8">
        <f t="shared" si="2"/>
        <v>7611300</v>
      </c>
      <c r="I56" s="29"/>
      <c r="J56" s="70"/>
      <c r="K56" s="29"/>
      <c r="L56" s="405"/>
    </row>
    <row r="57" spans="1:12" s="19" customFormat="1" ht="17.25" hidden="1" customHeight="1" x14ac:dyDescent="0.4">
      <c r="A57" s="485">
        <v>46253</v>
      </c>
      <c r="B57" s="8" t="s">
        <v>556</v>
      </c>
      <c r="C57" s="6" t="s">
        <v>35</v>
      </c>
      <c r="D57" s="69" t="s">
        <v>36</v>
      </c>
      <c r="E57" s="8"/>
      <c r="F57" s="8">
        <v>6</v>
      </c>
      <c r="G57" s="36">
        <v>1389100</v>
      </c>
      <c r="H57" s="8">
        <f t="shared" si="2"/>
        <v>8334600</v>
      </c>
      <c r="I57" s="29"/>
      <c r="J57" s="70"/>
      <c r="K57" s="29"/>
      <c r="L57" s="405"/>
    </row>
    <row r="58" spans="1:12" s="19" customFormat="1" ht="17.25" hidden="1" customHeight="1" x14ac:dyDescent="0.4">
      <c r="A58" s="485">
        <v>46253</v>
      </c>
      <c r="B58" s="8" t="s">
        <v>556</v>
      </c>
      <c r="C58" s="6" t="s">
        <v>37</v>
      </c>
      <c r="D58" s="69" t="s">
        <v>38</v>
      </c>
      <c r="E58" s="8"/>
      <c r="F58" s="8">
        <v>9</v>
      </c>
      <c r="G58" s="36">
        <v>1418400</v>
      </c>
      <c r="H58" s="8">
        <f t="shared" si="2"/>
        <v>12765600</v>
      </c>
      <c r="I58" s="29"/>
      <c r="J58" s="70"/>
      <c r="K58" s="29"/>
      <c r="L58" s="405"/>
    </row>
    <row r="59" spans="1:12" s="19" customFormat="1" ht="17.25" hidden="1" customHeight="1" x14ac:dyDescent="0.4">
      <c r="A59" s="485">
        <v>46253</v>
      </c>
      <c r="B59" s="8" t="s">
        <v>556</v>
      </c>
      <c r="C59" s="6" t="s">
        <v>39</v>
      </c>
      <c r="D59" s="69" t="s">
        <v>40</v>
      </c>
      <c r="E59" s="8"/>
      <c r="F59" s="8">
        <v>16</v>
      </c>
      <c r="G59" s="36">
        <v>1529400</v>
      </c>
      <c r="H59" s="8">
        <f t="shared" si="2"/>
        <v>24470400</v>
      </c>
      <c r="I59" s="29"/>
      <c r="J59" s="70"/>
      <c r="K59" s="29"/>
      <c r="L59" s="405"/>
    </row>
    <row r="60" spans="1:12" s="19" customFormat="1" ht="17.25" hidden="1" customHeight="1" x14ac:dyDescent="0.4">
      <c r="A60" s="485">
        <v>46253</v>
      </c>
      <c r="B60" s="8" t="s">
        <v>556</v>
      </c>
      <c r="C60" s="6" t="s">
        <v>47</v>
      </c>
      <c r="D60" s="69" t="s">
        <v>48</v>
      </c>
      <c r="E60" s="8"/>
      <c r="F60" s="8">
        <v>2</v>
      </c>
      <c r="G60" s="36">
        <v>231760</v>
      </c>
      <c r="H60" s="8">
        <f t="shared" si="2"/>
        <v>463520</v>
      </c>
      <c r="I60" s="29"/>
      <c r="J60" s="70"/>
      <c r="K60" s="29"/>
      <c r="L60" s="405"/>
    </row>
    <row r="61" spans="1:12" s="19" customFormat="1" ht="17.25" hidden="1" customHeight="1" x14ac:dyDescent="0.4">
      <c r="A61" s="485">
        <v>46253</v>
      </c>
      <c r="B61" s="8" t="s">
        <v>556</v>
      </c>
      <c r="C61" s="6" t="s">
        <v>47</v>
      </c>
      <c r="D61" s="69" t="s">
        <v>48</v>
      </c>
      <c r="E61" s="8"/>
      <c r="F61" s="8">
        <v>75</v>
      </c>
      <c r="G61" s="36">
        <v>231760</v>
      </c>
      <c r="H61" s="8">
        <f t="shared" si="2"/>
        <v>17382000</v>
      </c>
      <c r="I61" s="29"/>
      <c r="J61" s="70"/>
      <c r="K61" s="29"/>
      <c r="L61" s="405"/>
    </row>
    <row r="62" spans="1:12" s="19" customFormat="1" ht="17.25" hidden="1" customHeight="1" x14ac:dyDescent="0.4">
      <c r="A62" s="485">
        <v>46253</v>
      </c>
      <c r="B62" s="8" t="s">
        <v>556</v>
      </c>
      <c r="C62" s="6" t="s">
        <v>47</v>
      </c>
      <c r="D62" s="69" t="s">
        <v>48</v>
      </c>
      <c r="E62" s="8"/>
      <c r="F62" s="8">
        <v>2</v>
      </c>
      <c r="G62" s="36">
        <v>231760</v>
      </c>
      <c r="H62" s="8" t="s">
        <v>186</v>
      </c>
      <c r="I62" s="8"/>
      <c r="J62" s="70"/>
      <c r="K62" s="29"/>
      <c r="L62" s="405"/>
    </row>
    <row r="63" spans="1:12" s="19" customFormat="1" ht="17.25" hidden="1" customHeight="1" x14ac:dyDescent="0.4">
      <c r="A63" s="485">
        <v>46253</v>
      </c>
      <c r="B63" s="8" t="s">
        <v>556</v>
      </c>
      <c r="C63" s="6" t="s">
        <v>53</v>
      </c>
      <c r="D63" s="69" t="s">
        <v>54</v>
      </c>
      <c r="E63" s="8"/>
      <c r="F63" s="8">
        <v>13</v>
      </c>
      <c r="G63" s="36">
        <v>259000</v>
      </c>
      <c r="H63" s="8">
        <f t="shared" si="2"/>
        <v>3367000</v>
      </c>
      <c r="I63" s="29"/>
      <c r="J63" s="70"/>
      <c r="K63" s="29"/>
      <c r="L63" s="405"/>
    </row>
    <row r="64" spans="1:12" s="19" customFormat="1" ht="17.25" hidden="1" customHeight="1" x14ac:dyDescent="0.4">
      <c r="A64" s="485">
        <v>46253</v>
      </c>
      <c r="B64" s="8" t="s">
        <v>556</v>
      </c>
      <c r="C64" s="6" t="s">
        <v>53</v>
      </c>
      <c r="D64" s="69" t="s">
        <v>54</v>
      </c>
      <c r="E64" s="8"/>
      <c r="F64" s="8">
        <v>11</v>
      </c>
      <c r="G64" s="36">
        <v>259000</v>
      </c>
      <c r="H64" s="8">
        <f t="shared" si="2"/>
        <v>2849000</v>
      </c>
      <c r="I64" s="29"/>
      <c r="J64" s="70"/>
      <c r="K64" s="29"/>
      <c r="L64" s="405"/>
    </row>
    <row r="65" spans="1:13" s="19" customFormat="1" ht="17.25" hidden="1" customHeight="1" x14ac:dyDescent="0.4">
      <c r="A65" s="485">
        <v>46253</v>
      </c>
      <c r="B65" s="8" t="s">
        <v>556</v>
      </c>
      <c r="C65" s="6" t="s">
        <v>53</v>
      </c>
      <c r="D65" s="69" t="s">
        <v>54</v>
      </c>
      <c r="E65" s="8"/>
      <c r="F65" s="8">
        <v>11</v>
      </c>
      <c r="G65" s="36">
        <v>259000</v>
      </c>
      <c r="H65" s="8">
        <f t="shared" si="2"/>
        <v>2849000</v>
      </c>
      <c r="I65" s="29"/>
      <c r="J65" s="70"/>
      <c r="K65" s="29"/>
      <c r="L65" s="405"/>
    </row>
    <row r="66" spans="1:13" s="19" customFormat="1" ht="17.25" hidden="1" customHeight="1" x14ac:dyDescent="0.4">
      <c r="A66" s="485">
        <v>46247</v>
      </c>
      <c r="B66" s="8" t="s">
        <v>556</v>
      </c>
      <c r="C66" s="6" t="s">
        <v>32</v>
      </c>
      <c r="D66" s="69" t="s">
        <v>1851</v>
      </c>
      <c r="E66" s="8"/>
      <c r="F66" s="8">
        <v>1</v>
      </c>
      <c r="G66" s="36">
        <v>4400000</v>
      </c>
      <c r="H66" s="8">
        <f t="shared" si="2"/>
        <v>4400000</v>
      </c>
      <c r="I66" s="29" t="s">
        <v>1854</v>
      </c>
      <c r="J66" s="70"/>
      <c r="K66" s="29"/>
      <c r="L66" s="405"/>
    </row>
    <row r="67" spans="1:13" s="19" customFormat="1" ht="17.25" hidden="1" customHeight="1" x14ac:dyDescent="0.4">
      <c r="A67" s="485">
        <v>46247</v>
      </c>
      <c r="B67" s="8" t="s">
        <v>556</v>
      </c>
      <c r="C67" s="6" t="s">
        <v>1852</v>
      </c>
      <c r="D67" s="69" t="s">
        <v>1853</v>
      </c>
      <c r="E67" s="8"/>
      <c r="F67" s="8">
        <v>1</v>
      </c>
      <c r="G67" s="36">
        <v>10700000</v>
      </c>
      <c r="H67" s="8">
        <f t="shared" si="2"/>
        <v>10700000</v>
      </c>
      <c r="I67" s="29" t="s">
        <v>1854</v>
      </c>
      <c r="J67" s="70"/>
      <c r="K67" s="29"/>
      <c r="L67" s="405"/>
    </row>
    <row r="68" spans="1:13" s="19" customFormat="1" ht="17.25" hidden="1" customHeight="1" x14ac:dyDescent="0.4">
      <c r="A68" s="485">
        <v>46261</v>
      </c>
      <c r="B68" s="8" t="s">
        <v>556</v>
      </c>
      <c r="C68" s="6" t="s">
        <v>1772</v>
      </c>
      <c r="D68" s="69" t="s">
        <v>1773</v>
      </c>
      <c r="E68" s="8"/>
      <c r="F68" s="8">
        <v>4</v>
      </c>
      <c r="G68" s="36">
        <v>92270</v>
      </c>
      <c r="H68" s="8" t="s">
        <v>186</v>
      </c>
      <c r="I68" s="49"/>
      <c r="J68" s="8"/>
      <c r="K68" s="29"/>
      <c r="L68" s="405"/>
    </row>
    <row r="69" spans="1:13" customFormat="1" ht="19.5" hidden="1" customHeight="1" x14ac:dyDescent="0.4">
      <c r="A69" s="482">
        <v>46171</v>
      </c>
      <c r="B69" s="110" t="s">
        <v>556</v>
      </c>
      <c r="C69" s="29" t="s">
        <v>1408</v>
      </c>
      <c r="D69" s="110" t="s">
        <v>1409</v>
      </c>
      <c r="E69" s="110"/>
      <c r="F69" s="81">
        <v>31</v>
      </c>
      <c r="G69" s="49">
        <v>607000</v>
      </c>
      <c r="H69" s="8">
        <f>+G69*F69</f>
        <v>18817000</v>
      </c>
      <c r="I69" s="49" t="s">
        <v>1849</v>
      </c>
      <c r="J69" s="144"/>
      <c r="K69" s="144"/>
      <c r="L69" s="144"/>
    </row>
    <row r="70" spans="1:13" customFormat="1" ht="17.399999999999999" hidden="1" x14ac:dyDescent="0.4">
      <c r="A70" s="485">
        <v>46234</v>
      </c>
      <c r="B70" s="8" t="s">
        <v>556</v>
      </c>
      <c r="C70" s="6" t="s">
        <v>401</v>
      </c>
      <c r="D70" s="69" t="s">
        <v>402</v>
      </c>
      <c r="E70" s="8"/>
      <c r="F70" s="8">
        <v>5</v>
      </c>
      <c r="G70" s="36">
        <v>6099100</v>
      </c>
      <c r="H70" s="8">
        <f>F70*G70</f>
        <v>30495500</v>
      </c>
      <c r="I70" s="49" t="s">
        <v>1849</v>
      </c>
      <c r="J70" s="70"/>
      <c r="K70" s="29"/>
      <c r="L70" s="405"/>
      <c r="M70" s="19"/>
    </row>
    <row r="71" spans="1:13" s="19" customFormat="1" ht="17.25" hidden="1" customHeight="1" x14ac:dyDescent="0.4">
      <c r="A71" s="485">
        <v>46260</v>
      </c>
      <c r="B71" s="8" t="s">
        <v>556</v>
      </c>
      <c r="C71" s="6" t="s">
        <v>401</v>
      </c>
      <c r="D71" s="69" t="s">
        <v>402</v>
      </c>
      <c r="E71" s="8"/>
      <c r="F71" s="8">
        <v>6</v>
      </c>
      <c r="G71" s="36">
        <v>6099100</v>
      </c>
      <c r="H71" s="8">
        <f t="shared" si="2"/>
        <v>36594600</v>
      </c>
      <c r="I71" s="49" t="s">
        <v>1849</v>
      </c>
      <c r="J71" s="70"/>
      <c r="K71" s="29"/>
      <c r="L71" s="405"/>
    </row>
    <row r="72" spans="1:13" s="19" customFormat="1" ht="17.25" hidden="1" customHeight="1" x14ac:dyDescent="0.4">
      <c r="A72" s="485">
        <v>46261</v>
      </c>
      <c r="B72" s="8" t="s">
        <v>556</v>
      </c>
      <c r="C72" s="6" t="s">
        <v>1772</v>
      </c>
      <c r="D72" s="69" t="s">
        <v>1773</v>
      </c>
      <c r="E72" s="8"/>
      <c r="F72" s="8">
        <v>35</v>
      </c>
      <c r="G72" s="36">
        <v>92270</v>
      </c>
      <c r="H72" s="8">
        <f t="shared" si="2"/>
        <v>3229450</v>
      </c>
      <c r="I72" s="49" t="s">
        <v>1849</v>
      </c>
      <c r="J72" s="70"/>
      <c r="K72" s="29"/>
      <c r="L72" s="405"/>
    </row>
    <row r="73" spans="1:13" s="19" customFormat="1" ht="17.25" hidden="1" customHeight="1" x14ac:dyDescent="0.4">
      <c r="A73" s="485">
        <v>46261</v>
      </c>
      <c r="B73" s="8" t="s">
        <v>556</v>
      </c>
      <c r="C73" s="6" t="s">
        <v>1772</v>
      </c>
      <c r="D73" s="69" t="s">
        <v>1773</v>
      </c>
      <c r="E73" s="8"/>
      <c r="F73" s="8">
        <v>38</v>
      </c>
      <c r="G73" s="36">
        <v>92270</v>
      </c>
      <c r="H73" s="8">
        <f t="shared" si="2"/>
        <v>3506260</v>
      </c>
      <c r="I73" s="49" t="s">
        <v>1849</v>
      </c>
      <c r="J73" s="70"/>
      <c r="K73" s="29"/>
      <c r="L73" s="405"/>
    </row>
    <row r="74" spans="1:13" s="19" customFormat="1" ht="17.25" hidden="1" customHeight="1" x14ac:dyDescent="0.4">
      <c r="A74" s="485">
        <v>46261</v>
      </c>
      <c r="B74" s="8" t="s">
        <v>556</v>
      </c>
      <c r="C74" s="6" t="s">
        <v>1772</v>
      </c>
      <c r="D74" s="69" t="s">
        <v>1773</v>
      </c>
      <c r="E74" s="8"/>
      <c r="F74" s="8">
        <v>14</v>
      </c>
      <c r="G74" s="36">
        <v>92270</v>
      </c>
      <c r="H74" s="8">
        <f t="shared" si="2"/>
        <v>1291780</v>
      </c>
      <c r="I74" s="49" t="s">
        <v>1849</v>
      </c>
      <c r="J74" s="70"/>
      <c r="K74" s="29"/>
      <c r="L74" s="405"/>
    </row>
    <row r="75" spans="1:13" s="19" customFormat="1" ht="17.25" hidden="1" customHeight="1" x14ac:dyDescent="0.4">
      <c r="A75" s="485">
        <v>46261</v>
      </c>
      <c r="B75" s="8" t="s">
        <v>556</v>
      </c>
      <c r="C75" s="6" t="s">
        <v>1772</v>
      </c>
      <c r="D75" s="69" t="s">
        <v>1773</v>
      </c>
      <c r="E75" s="8"/>
      <c r="F75" s="8">
        <v>9</v>
      </c>
      <c r="G75" s="36">
        <v>92270</v>
      </c>
      <c r="H75" s="8">
        <f t="shared" si="2"/>
        <v>830430</v>
      </c>
      <c r="I75" s="49" t="s">
        <v>1849</v>
      </c>
      <c r="J75" s="70"/>
      <c r="K75" s="29"/>
      <c r="L75" s="405"/>
    </row>
    <row r="76" spans="1:13" s="19" customFormat="1" ht="17.25" hidden="1" customHeight="1" x14ac:dyDescent="0.4">
      <c r="A76" s="485">
        <v>46261</v>
      </c>
      <c r="B76" s="8" t="s">
        <v>556</v>
      </c>
      <c r="C76" s="6" t="s">
        <v>37</v>
      </c>
      <c r="D76" s="69" t="s">
        <v>38</v>
      </c>
      <c r="E76" s="8"/>
      <c r="F76" s="8">
        <v>10</v>
      </c>
      <c r="G76" s="36">
        <v>1418400</v>
      </c>
      <c r="H76" s="8">
        <f t="shared" si="2"/>
        <v>14184000</v>
      </c>
      <c r="I76" s="49" t="s">
        <v>1849</v>
      </c>
      <c r="J76" s="70"/>
      <c r="K76" s="29"/>
      <c r="L76" s="405"/>
    </row>
    <row r="77" spans="1:13" s="19" customFormat="1" ht="17.25" hidden="1" customHeight="1" x14ac:dyDescent="0.4">
      <c r="A77" s="485">
        <v>46261</v>
      </c>
      <c r="B77" s="8" t="s">
        <v>556</v>
      </c>
      <c r="C77" s="6" t="s">
        <v>39</v>
      </c>
      <c r="D77" s="69" t="s">
        <v>40</v>
      </c>
      <c r="E77" s="8"/>
      <c r="F77" s="8">
        <v>24</v>
      </c>
      <c r="G77" s="36">
        <v>1529400</v>
      </c>
      <c r="H77" s="8">
        <f t="shared" si="2"/>
        <v>36705600</v>
      </c>
      <c r="I77" s="49" t="s">
        <v>1849</v>
      </c>
      <c r="J77" s="70"/>
      <c r="K77" s="29"/>
      <c r="L77" s="405"/>
    </row>
    <row r="78" spans="1:13" s="19" customFormat="1" ht="17.25" hidden="1" customHeight="1" x14ac:dyDescent="0.4">
      <c r="A78" s="485">
        <v>46262</v>
      </c>
      <c r="B78" s="8" t="s">
        <v>556</v>
      </c>
      <c r="C78" s="6" t="s">
        <v>41</v>
      </c>
      <c r="D78" s="69" t="s">
        <v>42</v>
      </c>
      <c r="E78" s="8"/>
      <c r="F78" s="8">
        <v>42</v>
      </c>
      <c r="G78" s="36">
        <v>265600</v>
      </c>
      <c r="H78" s="8">
        <f t="shared" si="2"/>
        <v>11155200</v>
      </c>
      <c r="I78" s="49" t="s">
        <v>1849</v>
      </c>
      <c r="J78" s="29">
        <v>205300</v>
      </c>
      <c r="K78" s="29"/>
      <c r="L78" s="405"/>
      <c r="M78" s="19" t="s">
        <v>1774</v>
      </c>
    </row>
    <row r="79" spans="1:13" s="19" customFormat="1" ht="17.25" hidden="1" customHeight="1" x14ac:dyDescent="0.4">
      <c r="A79" s="485">
        <v>46262</v>
      </c>
      <c r="B79" s="8" t="s">
        <v>556</v>
      </c>
      <c r="C79" s="6" t="s">
        <v>41</v>
      </c>
      <c r="D79" s="69" t="s">
        <v>42</v>
      </c>
      <c r="E79" s="8"/>
      <c r="F79" s="8">
        <v>76</v>
      </c>
      <c r="G79" s="36">
        <v>265600</v>
      </c>
      <c r="H79" s="8">
        <f t="shared" si="2"/>
        <v>20185600</v>
      </c>
      <c r="I79" s="49" t="s">
        <v>1849</v>
      </c>
      <c r="J79" s="70"/>
      <c r="K79" s="29"/>
      <c r="L79" s="405"/>
    </row>
    <row r="80" spans="1:13" s="19" customFormat="1" ht="17.25" hidden="1" customHeight="1" x14ac:dyDescent="0.4">
      <c r="A80" s="485">
        <v>46262</v>
      </c>
      <c r="B80" s="8" t="s">
        <v>556</v>
      </c>
      <c r="C80" s="6" t="s">
        <v>45</v>
      </c>
      <c r="D80" s="69" t="s">
        <v>46</v>
      </c>
      <c r="E80" s="8"/>
      <c r="F80" s="8">
        <v>31</v>
      </c>
      <c r="G80" s="36">
        <v>148400</v>
      </c>
      <c r="H80" s="8">
        <f t="shared" si="2"/>
        <v>4600400</v>
      </c>
      <c r="I80" s="49" t="s">
        <v>1849</v>
      </c>
      <c r="J80" s="70"/>
      <c r="K80" s="29"/>
      <c r="L80" s="405"/>
    </row>
    <row r="81" spans="1:14" s="19" customFormat="1" ht="17.25" hidden="1" customHeight="1" x14ac:dyDescent="0.4">
      <c r="A81" s="485">
        <v>46262</v>
      </c>
      <c r="B81" s="8" t="s">
        <v>556</v>
      </c>
      <c r="C81" s="6" t="s">
        <v>45</v>
      </c>
      <c r="D81" s="69" t="s">
        <v>46</v>
      </c>
      <c r="E81" s="8"/>
      <c r="F81" s="8">
        <v>129</v>
      </c>
      <c r="G81" s="36">
        <v>148400</v>
      </c>
      <c r="H81" s="8">
        <f t="shared" si="2"/>
        <v>19143600</v>
      </c>
      <c r="I81" s="49" t="s">
        <v>1849</v>
      </c>
      <c r="J81" s="70"/>
      <c r="K81" s="29"/>
      <c r="L81" s="405"/>
    </row>
    <row r="82" spans="1:14" s="19" customFormat="1" ht="17.25" hidden="1" customHeight="1" x14ac:dyDescent="0.4">
      <c r="A82" s="485">
        <v>46265</v>
      </c>
      <c r="B82" s="8" t="s">
        <v>556</v>
      </c>
      <c r="C82" s="6" t="s">
        <v>39</v>
      </c>
      <c r="D82" s="69" t="s">
        <v>40</v>
      </c>
      <c r="E82" s="8"/>
      <c r="F82" s="362">
        <v>15</v>
      </c>
      <c r="G82" s="36">
        <v>1529400</v>
      </c>
      <c r="H82" s="8">
        <f t="shared" si="2"/>
        <v>22941000</v>
      </c>
      <c r="I82" s="49" t="s">
        <v>1849</v>
      </c>
      <c r="J82" s="70"/>
      <c r="K82" s="29"/>
      <c r="L82" s="405"/>
    </row>
    <row r="83" spans="1:14" s="19" customFormat="1" ht="17.25" hidden="1" customHeight="1" x14ac:dyDescent="0.4">
      <c r="A83" s="622"/>
      <c r="B83" s="39"/>
      <c r="C83" s="88"/>
      <c r="D83" s="434"/>
      <c r="E83" s="39"/>
      <c r="F83" s="39">
        <f>SUM(F33:F65)</f>
        <v>369</v>
      </c>
      <c r="G83" s="98"/>
      <c r="H83" s="138">
        <f>SUM(H19:H67)</f>
        <v>208187770</v>
      </c>
      <c r="I83" s="435"/>
      <c r="J83" s="436"/>
      <c r="K83" s="40"/>
      <c r="L83" s="696"/>
    </row>
    <row r="84" spans="1:14" ht="20.25" hidden="1" customHeight="1" x14ac:dyDescent="0.4">
      <c r="A84" s="482">
        <v>46203</v>
      </c>
      <c r="B84" s="59" t="s">
        <v>55</v>
      </c>
      <c r="C84" s="68" t="s">
        <v>1844</v>
      </c>
      <c r="D84" s="59" t="s">
        <v>1845</v>
      </c>
      <c r="E84" s="67"/>
      <c r="F84" s="822">
        <v>124</v>
      </c>
      <c r="G84" s="68">
        <v>304770</v>
      </c>
      <c r="H84" s="68">
        <f>F84*G84</f>
        <v>37791480</v>
      </c>
      <c r="I84" s="68" t="s">
        <v>1726</v>
      </c>
      <c r="J84" s="67"/>
      <c r="K84" s="67"/>
      <c r="L84" s="140"/>
    </row>
    <row r="85" spans="1:14" ht="20.25" hidden="1" customHeight="1" x14ac:dyDescent="0.4">
      <c r="A85" s="482">
        <v>46265</v>
      </c>
      <c r="B85" s="59" t="s">
        <v>55</v>
      </c>
      <c r="C85" s="68" t="s">
        <v>56</v>
      </c>
      <c r="D85" s="59" t="s">
        <v>57</v>
      </c>
      <c r="E85" s="67"/>
      <c r="F85" s="822">
        <v>-1</v>
      </c>
      <c r="G85" s="68">
        <v>304770</v>
      </c>
      <c r="H85" s="68">
        <f>F85*G85</f>
        <v>-304770</v>
      </c>
      <c r="I85" s="68"/>
      <c r="J85" s="67"/>
      <c r="K85" s="67"/>
      <c r="L85" s="140"/>
    </row>
    <row r="86" spans="1:14" ht="20.25" hidden="1" customHeight="1" x14ac:dyDescent="0.4">
      <c r="A86" s="482">
        <v>46265</v>
      </c>
      <c r="B86" s="59" t="s">
        <v>55</v>
      </c>
      <c r="C86" s="68" t="s">
        <v>345</v>
      </c>
      <c r="D86" s="59" t="s">
        <v>678</v>
      </c>
      <c r="E86" s="67"/>
      <c r="F86" s="49">
        <v>-2</v>
      </c>
      <c r="G86" s="68">
        <v>273208</v>
      </c>
      <c r="H86" s="8">
        <f>+G86*F86</f>
        <v>-546416</v>
      </c>
      <c r="I86" s="68"/>
      <c r="J86" s="67"/>
      <c r="K86" s="67"/>
      <c r="L86" s="140"/>
    </row>
    <row r="87" spans="1:14" ht="20.25" hidden="1" customHeight="1" x14ac:dyDescent="0.4">
      <c r="A87" s="482">
        <v>46265</v>
      </c>
      <c r="B87" s="59" t="s">
        <v>55</v>
      </c>
      <c r="C87" s="68" t="s">
        <v>56</v>
      </c>
      <c r="D87" s="59" t="s">
        <v>1846</v>
      </c>
      <c r="E87" s="67"/>
      <c r="F87" s="49">
        <v>-1</v>
      </c>
      <c r="G87" s="68">
        <v>294453</v>
      </c>
      <c r="H87" s="8">
        <f>+G87*F87</f>
        <v>-294453</v>
      </c>
      <c r="I87" s="68"/>
      <c r="J87" s="67"/>
      <c r="K87" s="67"/>
      <c r="L87" s="140"/>
    </row>
    <row r="88" spans="1:14" ht="20.25" hidden="1" customHeight="1" x14ac:dyDescent="0.4">
      <c r="A88" s="482">
        <v>46240</v>
      </c>
      <c r="B88" s="59" t="s">
        <v>55</v>
      </c>
      <c r="C88" s="49" t="s">
        <v>56</v>
      </c>
      <c r="D88" s="59" t="s">
        <v>57</v>
      </c>
      <c r="E88" s="67"/>
      <c r="F88" s="197">
        <v>144</v>
      </c>
      <c r="G88" s="49">
        <v>304770</v>
      </c>
      <c r="H88" s="68">
        <f>F88*G88</f>
        <v>43886880</v>
      </c>
      <c r="I88" s="68" t="s">
        <v>1775</v>
      </c>
      <c r="J88" s="67"/>
      <c r="K88" s="67"/>
      <c r="L88" s="765"/>
      <c r="N88" s="441"/>
    </row>
    <row r="89" spans="1:14" s="19" customFormat="1" ht="18.75" hidden="1" customHeight="1" x14ac:dyDescent="0.4">
      <c r="A89" s="622"/>
      <c r="B89" s="39"/>
      <c r="C89" s="88"/>
      <c r="D89" s="434"/>
      <c r="E89" s="39"/>
      <c r="F89" s="39"/>
      <c r="G89" s="98"/>
      <c r="H89" s="138">
        <f>SUM(H84:H87)</f>
        <v>36645841</v>
      </c>
      <c r="I89" s="435"/>
      <c r="J89" s="436"/>
      <c r="K89" s="40"/>
      <c r="L89" s="696"/>
    </row>
    <row r="90" spans="1:14" customFormat="1" ht="17.399999999999999" hidden="1" x14ac:dyDescent="0.4">
      <c r="A90" s="484">
        <v>46234</v>
      </c>
      <c r="B90" s="46" t="s">
        <v>869</v>
      </c>
      <c r="C90" s="6" t="s">
        <v>181</v>
      </c>
      <c r="D90" s="42">
        <v>61541861</v>
      </c>
      <c r="E90" s="1" t="s">
        <v>13</v>
      </c>
      <c r="F90" s="36">
        <v>10</v>
      </c>
      <c r="G90" s="7">
        <v>2275670</v>
      </c>
      <c r="H90" s="36">
        <f>F90*G90</f>
        <v>22756700</v>
      </c>
      <c r="I90" s="68"/>
      <c r="J90" s="67"/>
      <c r="K90" s="29"/>
      <c r="L90" s="49"/>
      <c r="M90" s="50"/>
    </row>
    <row r="91" spans="1:14" customFormat="1" ht="17.399999999999999" hidden="1" x14ac:dyDescent="0.4">
      <c r="A91" s="484">
        <v>46234</v>
      </c>
      <c r="B91" s="46" t="s">
        <v>869</v>
      </c>
      <c r="C91" s="6" t="s">
        <v>182</v>
      </c>
      <c r="D91" s="42">
        <v>61541862</v>
      </c>
      <c r="E91" s="1" t="s">
        <v>13</v>
      </c>
      <c r="F91" s="36">
        <v>10</v>
      </c>
      <c r="G91" s="7">
        <v>2275670</v>
      </c>
      <c r="H91" s="36">
        <f>F91*G91</f>
        <v>22756700</v>
      </c>
      <c r="I91" s="68"/>
      <c r="J91" s="67"/>
      <c r="K91" s="29"/>
      <c r="L91" s="49"/>
      <c r="M91" s="19"/>
    </row>
    <row r="92" spans="1:14" s="3" customFormat="1" ht="19.5" hidden="1" customHeight="1" x14ac:dyDescent="0.4">
      <c r="A92" s="484">
        <v>46234</v>
      </c>
      <c r="B92" s="46" t="s">
        <v>869</v>
      </c>
      <c r="C92" s="67" t="s">
        <v>183</v>
      </c>
      <c r="D92" s="42">
        <v>61541863</v>
      </c>
      <c r="E92" s="1" t="s">
        <v>184</v>
      </c>
      <c r="F92" s="36">
        <v>10</v>
      </c>
      <c r="G92" s="7">
        <v>44000</v>
      </c>
      <c r="H92" s="36">
        <f>F92*G92</f>
        <v>440000</v>
      </c>
      <c r="I92" s="68"/>
      <c r="J92" s="67"/>
      <c r="K92" s="29"/>
      <c r="L92" s="49"/>
      <c r="M92" s="89"/>
    </row>
    <row r="93" spans="1:14" s="3" customFormat="1" ht="19.5" hidden="1" customHeight="1" x14ac:dyDescent="0.4">
      <c r="A93" s="484">
        <v>46234</v>
      </c>
      <c r="B93" s="46" t="s">
        <v>869</v>
      </c>
      <c r="C93" s="67" t="s">
        <v>183</v>
      </c>
      <c r="D93" s="42">
        <v>61541864</v>
      </c>
      <c r="E93" s="1" t="s">
        <v>184</v>
      </c>
      <c r="F93" s="36">
        <v>10</v>
      </c>
      <c r="G93" s="7">
        <v>44000</v>
      </c>
      <c r="H93" s="36">
        <f>F93*G93</f>
        <v>440000</v>
      </c>
      <c r="I93" s="68"/>
      <c r="J93" s="67"/>
      <c r="K93" s="29"/>
      <c r="L93" s="49"/>
      <c r="M93" s="89"/>
    </row>
    <row r="94" spans="1:14" s="3" customFormat="1" ht="19.5" hidden="1" customHeight="1" x14ac:dyDescent="0.4">
      <c r="A94" s="484">
        <v>46234</v>
      </c>
      <c r="B94" s="46" t="s">
        <v>869</v>
      </c>
      <c r="C94" s="67" t="s">
        <v>185</v>
      </c>
      <c r="D94" s="42">
        <v>61541865</v>
      </c>
      <c r="E94" s="1" t="s">
        <v>184</v>
      </c>
      <c r="F94" s="36">
        <v>20</v>
      </c>
      <c r="G94" s="7">
        <v>14700</v>
      </c>
      <c r="H94" s="36">
        <f>F94*G94</f>
        <v>294000</v>
      </c>
      <c r="I94" s="68"/>
      <c r="J94" s="67"/>
      <c r="K94" s="29"/>
      <c r="L94" s="49"/>
      <c r="M94" s="89"/>
    </row>
    <row r="95" spans="1:14" s="3" customFormat="1" ht="19.5" hidden="1" customHeight="1" x14ac:dyDescent="0.4">
      <c r="A95" s="484">
        <v>46254</v>
      </c>
      <c r="B95" s="46" t="s">
        <v>869</v>
      </c>
      <c r="C95" s="67" t="s">
        <v>1850</v>
      </c>
      <c r="D95" s="42"/>
      <c r="E95" s="1"/>
      <c r="F95" s="36"/>
      <c r="G95" s="7"/>
      <c r="H95" s="36">
        <v>-18502775</v>
      </c>
      <c r="I95" s="68"/>
      <c r="J95" s="67"/>
      <c r="K95" s="29"/>
      <c r="L95" s="49"/>
      <c r="M95" s="89"/>
    </row>
    <row r="96" spans="1:14" s="3" customFormat="1" ht="19.5" hidden="1" customHeight="1" x14ac:dyDescent="0.4">
      <c r="A96" s="492"/>
      <c r="B96" s="781"/>
      <c r="C96" s="123"/>
      <c r="D96" s="782"/>
      <c r="E96" s="38"/>
      <c r="F96" s="98"/>
      <c r="G96" s="496"/>
      <c r="H96" s="98">
        <f>SUM(H90:H95)</f>
        <v>28184625</v>
      </c>
      <c r="I96" s="435"/>
      <c r="J96" s="123"/>
      <c r="K96" s="40"/>
      <c r="L96" s="138"/>
      <c r="M96" s="89"/>
    </row>
    <row r="97" spans="1:13" s="113" customFormat="1" ht="18.75" hidden="1" customHeight="1" x14ac:dyDescent="0.4">
      <c r="A97" s="482">
        <v>46066</v>
      </c>
      <c r="B97" s="110" t="s">
        <v>58</v>
      </c>
      <c r="C97" s="29" t="s">
        <v>60</v>
      </c>
      <c r="D97" s="110" t="s">
        <v>285</v>
      </c>
      <c r="E97" s="110" t="s">
        <v>11</v>
      </c>
      <c r="F97" s="8">
        <v>8</v>
      </c>
      <c r="G97" s="414">
        <v>188000</v>
      </c>
      <c r="H97" s="8">
        <f t="shared" ref="H97:H111" si="3">F97*G97</f>
        <v>1504000</v>
      </c>
      <c r="I97" s="111" t="s">
        <v>870</v>
      </c>
      <c r="J97" s="111"/>
      <c r="K97" s="70"/>
      <c r="L97" s="116"/>
    </row>
    <row r="98" spans="1:13" s="113" customFormat="1" ht="18.75" hidden="1" customHeight="1" x14ac:dyDescent="0.4">
      <c r="A98" s="482">
        <v>46201</v>
      </c>
      <c r="B98" s="110" t="s">
        <v>58</v>
      </c>
      <c r="C98" s="29" t="s">
        <v>1547</v>
      </c>
      <c r="D98" s="110" t="s">
        <v>1548</v>
      </c>
      <c r="E98" s="110" t="s">
        <v>11</v>
      </c>
      <c r="F98" s="8">
        <v>100</v>
      </c>
      <c r="G98" s="81">
        <v>246000</v>
      </c>
      <c r="H98" s="8">
        <f t="shared" si="3"/>
        <v>24600000</v>
      </c>
      <c r="I98" s="111" t="s">
        <v>1262</v>
      </c>
      <c r="J98" s="116"/>
      <c r="K98" s="70"/>
      <c r="L98" s="116"/>
    </row>
    <row r="99" spans="1:13" s="3" customFormat="1" ht="19.5" hidden="1" customHeight="1" x14ac:dyDescent="0.4">
      <c r="A99" s="488">
        <v>46203</v>
      </c>
      <c r="B99" s="110" t="s">
        <v>58</v>
      </c>
      <c r="C99" s="29" t="s">
        <v>60</v>
      </c>
      <c r="D99" s="110" t="s">
        <v>498</v>
      </c>
      <c r="E99" s="110" t="s">
        <v>13</v>
      </c>
      <c r="F99" s="8">
        <v>26</v>
      </c>
      <c r="G99" s="81">
        <v>673000</v>
      </c>
      <c r="H99" s="8">
        <f t="shared" si="3"/>
        <v>17498000</v>
      </c>
      <c r="I99" s="137"/>
      <c r="J99" s="116"/>
      <c r="K99" s="70"/>
      <c r="L99" s="116"/>
      <c r="M99" s="89"/>
    </row>
    <row r="100" spans="1:13" s="3" customFormat="1" ht="19.5" hidden="1" customHeight="1" x14ac:dyDescent="0.4">
      <c r="A100" s="488">
        <v>46192</v>
      </c>
      <c r="B100" s="110" t="s">
        <v>58</v>
      </c>
      <c r="C100" s="29" t="s">
        <v>720</v>
      </c>
      <c r="D100" s="110" t="s">
        <v>558</v>
      </c>
      <c r="E100" s="110" t="s">
        <v>11</v>
      </c>
      <c r="F100" s="8">
        <v>4</v>
      </c>
      <c r="G100" s="81">
        <v>700000</v>
      </c>
      <c r="H100" s="8">
        <f t="shared" si="3"/>
        <v>2800000</v>
      </c>
      <c r="I100" s="137"/>
      <c r="J100" s="116"/>
      <c r="K100" s="70"/>
      <c r="L100" s="116"/>
      <c r="M100" s="89"/>
    </row>
    <row r="101" spans="1:13" s="3" customFormat="1" ht="19.5" hidden="1" customHeight="1" x14ac:dyDescent="0.4">
      <c r="A101" s="488">
        <v>46192</v>
      </c>
      <c r="B101" s="110" t="s">
        <v>58</v>
      </c>
      <c r="C101" s="29" t="s">
        <v>720</v>
      </c>
      <c r="D101" s="110" t="s">
        <v>559</v>
      </c>
      <c r="E101" s="110" t="s">
        <v>11</v>
      </c>
      <c r="F101" s="8">
        <v>4</v>
      </c>
      <c r="G101" s="81">
        <v>700000</v>
      </c>
      <c r="H101" s="8">
        <f t="shared" si="3"/>
        <v>2800000</v>
      </c>
      <c r="I101" s="137"/>
      <c r="J101" s="116"/>
      <c r="K101" s="70"/>
      <c r="L101" s="116"/>
      <c r="M101" s="89"/>
    </row>
    <row r="102" spans="1:13" s="3" customFormat="1" ht="19.5" hidden="1" customHeight="1" x14ac:dyDescent="0.4">
      <c r="A102" s="488">
        <v>46203</v>
      </c>
      <c r="B102" s="110" t="s">
        <v>58</v>
      </c>
      <c r="C102" s="29" t="s">
        <v>720</v>
      </c>
      <c r="D102" s="110" t="s">
        <v>558</v>
      </c>
      <c r="E102" s="110" t="s">
        <v>11</v>
      </c>
      <c r="F102" s="8">
        <v>8</v>
      </c>
      <c r="G102" s="81">
        <v>700000</v>
      </c>
      <c r="H102" s="8">
        <f t="shared" si="3"/>
        <v>5600000</v>
      </c>
      <c r="I102" s="137"/>
      <c r="J102" s="116"/>
      <c r="K102" s="70"/>
      <c r="L102" s="116"/>
      <c r="M102" s="89"/>
    </row>
    <row r="103" spans="1:13" s="3" customFormat="1" ht="19.5" hidden="1" customHeight="1" x14ac:dyDescent="0.4">
      <c r="A103" s="488">
        <v>46203</v>
      </c>
      <c r="B103" s="110" t="s">
        <v>58</v>
      </c>
      <c r="C103" s="29" t="s">
        <v>720</v>
      </c>
      <c r="D103" s="110" t="s">
        <v>559</v>
      </c>
      <c r="E103" s="110" t="s">
        <v>11</v>
      </c>
      <c r="F103" s="8">
        <v>8</v>
      </c>
      <c r="G103" s="81">
        <v>700000</v>
      </c>
      <c r="H103" s="8">
        <f t="shared" si="3"/>
        <v>5600000</v>
      </c>
      <c r="I103" s="137"/>
      <c r="J103" s="116"/>
      <c r="K103" s="70"/>
      <c r="L103" s="116"/>
      <c r="M103" s="89"/>
    </row>
    <row r="104" spans="1:13" s="28" customFormat="1" ht="19.5" hidden="1" customHeight="1" x14ac:dyDescent="0.4">
      <c r="A104" s="488">
        <v>46210</v>
      </c>
      <c r="B104" s="110" t="s">
        <v>58</v>
      </c>
      <c r="C104" s="29" t="s">
        <v>60</v>
      </c>
      <c r="D104" s="110" t="s">
        <v>498</v>
      </c>
      <c r="E104" s="110" t="s">
        <v>13</v>
      </c>
      <c r="F104" s="8">
        <v>7</v>
      </c>
      <c r="G104" s="81">
        <v>673000</v>
      </c>
      <c r="H104" s="8">
        <f t="shared" si="3"/>
        <v>4711000</v>
      </c>
      <c r="I104" s="137"/>
      <c r="J104" s="70"/>
      <c r="K104" s="70"/>
      <c r="L104" s="706"/>
      <c r="M104" s="366"/>
    </row>
    <row r="105" spans="1:13" s="3" customFormat="1" ht="19.5" hidden="1" customHeight="1" x14ac:dyDescent="0.4">
      <c r="A105" s="488">
        <v>46227</v>
      </c>
      <c r="B105" s="110" t="s">
        <v>58</v>
      </c>
      <c r="C105" s="29" t="s">
        <v>720</v>
      </c>
      <c r="D105" s="110" t="s">
        <v>558</v>
      </c>
      <c r="E105" s="110" t="s">
        <v>11</v>
      </c>
      <c r="F105" s="8">
        <v>4</v>
      </c>
      <c r="G105" s="81">
        <v>700000</v>
      </c>
      <c r="H105" s="8">
        <f t="shared" si="3"/>
        <v>2800000</v>
      </c>
      <c r="I105" s="137"/>
      <c r="J105" s="70"/>
      <c r="K105" s="70"/>
      <c r="L105" s="116"/>
      <c r="M105" s="89"/>
    </row>
    <row r="106" spans="1:13" s="3" customFormat="1" ht="19.5" hidden="1" customHeight="1" x14ac:dyDescent="0.4">
      <c r="A106" s="488">
        <v>46227</v>
      </c>
      <c r="B106" s="110" t="s">
        <v>58</v>
      </c>
      <c r="C106" s="29" t="s">
        <v>720</v>
      </c>
      <c r="D106" s="110" t="s">
        <v>559</v>
      </c>
      <c r="E106" s="110" t="s">
        <v>11</v>
      </c>
      <c r="F106" s="8">
        <v>4</v>
      </c>
      <c r="G106" s="81">
        <v>700000</v>
      </c>
      <c r="H106" s="8">
        <f t="shared" si="3"/>
        <v>2800000</v>
      </c>
      <c r="I106" s="137"/>
      <c r="J106" s="70"/>
      <c r="K106" s="70"/>
      <c r="L106" s="116"/>
      <c r="M106" s="89"/>
    </row>
    <row r="107" spans="1:13" s="3" customFormat="1" ht="19.5" hidden="1" customHeight="1" x14ac:dyDescent="0.4">
      <c r="A107" s="482">
        <v>46232</v>
      </c>
      <c r="B107" s="110" t="s">
        <v>58</v>
      </c>
      <c r="C107" s="29" t="s">
        <v>1658</v>
      </c>
      <c r="D107" s="110" t="s">
        <v>729</v>
      </c>
      <c r="E107" s="110" t="s">
        <v>11</v>
      </c>
      <c r="F107" s="8">
        <v>18</v>
      </c>
      <c r="G107" s="81">
        <v>489000</v>
      </c>
      <c r="H107" s="8">
        <f t="shared" si="3"/>
        <v>8802000</v>
      </c>
      <c r="I107" s="111"/>
      <c r="J107" s="111"/>
      <c r="L107" s="116"/>
      <c r="M107" s="89"/>
    </row>
    <row r="108" spans="1:13" s="3" customFormat="1" ht="19.5" hidden="1" customHeight="1" x14ac:dyDescent="0.4">
      <c r="A108" s="482">
        <v>46233</v>
      </c>
      <c r="B108" s="110" t="s">
        <v>58</v>
      </c>
      <c r="C108" s="29" t="s">
        <v>1547</v>
      </c>
      <c r="D108" s="110" t="s">
        <v>1548</v>
      </c>
      <c r="E108" s="110" t="s">
        <v>11</v>
      </c>
      <c r="F108" s="8">
        <v>28</v>
      </c>
      <c r="G108" s="81">
        <v>246000</v>
      </c>
      <c r="H108" s="8">
        <f t="shared" si="3"/>
        <v>6888000</v>
      </c>
      <c r="I108" s="111" t="s">
        <v>1262</v>
      </c>
      <c r="J108" s="111"/>
      <c r="K108" s="70"/>
      <c r="L108" s="116"/>
      <c r="M108" s="89"/>
    </row>
    <row r="109" spans="1:13" s="3" customFormat="1" ht="19.5" hidden="1" customHeight="1" x14ac:dyDescent="0.4">
      <c r="A109" s="482">
        <v>46233</v>
      </c>
      <c r="B109" s="110" t="s">
        <v>58</v>
      </c>
      <c r="C109" s="29" t="s">
        <v>1549</v>
      </c>
      <c r="D109" s="110" t="s">
        <v>285</v>
      </c>
      <c r="E109" s="110" t="s">
        <v>11</v>
      </c>
      <c r="F109" s="8">
        <v>30</v>
      </c>
      <c r="G109" s="81">
        <v>188000</v>
      </c>
      <c r="H109" s="8">
        <f t="shared" si="3"/>
        <v>5640000</v>
      </c>
      <c r="I109" s="111" t="s">
        <v>1262</v>
      </c>
      <c r="J109" s="111"/>
      <c r="K109" s="70"/>
      <c r="L109" s="116"/>
      <c r="M109" s="89"/>
    </row>
    <row r="110" spans="1:13" s="3" customFormat="1" ht="19.5" hidden="1" customHeight="1" x14ac:dyDescent="0.4">
      <c r="A110" s="488">
        <v>46234</v>
      </c>
      <c r="B110" s="110" t="s">
        <v>58</v>
      </c>
      <c r="C110" s="29" t="s">
        <v>720</v>
      </c>
      <c r="D110" s="110" t="s">
        <v>558</v>
      </c>
      <c r="E110" s="110" t="s">
        <v>11</v>
      </c>
      <c r="F110" s="8">
        <v>12</v>
      </c>
      <c r="G110" s="81">
        <v>700000</v>
      </c>
      <c r="H110" s="8">
        <f t="shared" si="3"/>
        <v>8400000</v>
      </c>
      <c r="I110" s="137"/>
      <c r="J110" s="70"/>
      <c r="K110" s="70"/>
      <c r="L110" s="116"/>
      <c r="M110" s="89"/>
    </row>
    <row r="111" spans="1:13" s="3" customFormat="1" ht="19.5" hidden="1" customHeight="1" x14ac:dyDescent="0.4">
      <c r="A111" s="488">
        <v>46234</v>
      </c>
      <c r="B111" s="110" t="s">
        <v>58</v>
      </c>
      <c r="C111" s="29" t="s">
        <v>720</v>
      </c>
      <c r="D111" s="110" t="s">
        <v>559</v>
      </c>
      <c r="E111" s="110" t="s">
        <v>11</v>
      </c>
      <c r="F111" s="8">
        <v>12</v>
      </c>
      <c r="G111" s="81">
        <v>700000</v>
      </c>
      <c r="H111" s="8">
        <f t="shared" si="3"/>
        <v>8400000</v>
      </c>
      <c r="I111" s="137"/>
      <c r="J111" s="70"/>
      <c r="K111" s="70"/>
      <c r="L111" s="116"/>
      <c r="M111" s="89"/>
    </row>
    <row r="112" spans="1:13" s="3" customFormat="1" ht="19.5" hidden="1" customHeight="1" x14ac:dyDescent="0.4">
      <c r="A112" s="488">
        <v>46248</v>
      </c>
      <c r="B112" s="110" t="s">
        <v>58</v>
      </c>
      <c r="C112" s="29" t="s">
        <v>720</v>
      </c>
      <c r="D112" s="110" t="s">
        <v>558</v>
      </c>
      <c r="E112" s="110" t="s">
        <v>11</v>
      </c>
      <c r="F112" s="8">
        <v>4</v>
      </c>
      <c r="G112" s="81">
        <v>700000</v>
      </c>
      <c r="H112" s="518">
        <f t="shared" ref="H112:H135" si="4">F112*G112</f>
        <v>2800000</v>
      </c>
      <c r="I112" s="137"/>
      <c r="J112" s="70"/>
      <c r="K112" s="8"/>
      <c r="L112" s="116"/>
      <c r="M112" s="89"/>
    </row>
    <row r="113" spans="1:14" s="3" customFormat="1" ht="19.5" hidden="1" customHeight="1" x14ac:dyDescent="0.4">
      <c r="A113" s="488">
        <v>46248</v>
      </c>
      <c r="B113" s="110" t="s">
        <v>58</v>
      </c>
      <c r="C113" s="29" t="s">
        <v>720</v>
      </c>
      <c r="D113" s="110" t="s">
        <v>559</v>
      </c>
      <c r="E113" s="110" t="s">
        <v>11</v>
      </c>
      <c r="F113" s="8">
        <v>4</v>
      </c>
      <c r="G113" s="81">
        <v>700000</v>
      </c>
      <c r="H113" s="518">
        <f t="shared" si="4"/>
        <v>2800000</v>
      </c>
      <c r="I113" s="137"/>
      <c r="J113" s="70"/>
      <c r="K113" s="8"/>
      <c r="L113" s="116"/>
      <c r="M113" s="89"/>
    </row>
    <row r="114" spans="1:14" s="3" customFormat="1" ht="19.5" hidden="1" customHeight="1" x14ac:dyDescent="0.4">
      <c r="A114" s="488">
        <v>46255</v>
      </c>
      <c r="B114" s="110" t="s">
        <v>58</v>
      </c>
      <c r="C114" s="29" t="s">
        <v>720</v>
      </c>
      <c r="D114" s="110" t="s">
        <v>558</v>
      </c>
      <c r="E114" s="110" t="s">
        <v>11</v>
      </c>
      <c r="F114" s="8">
        <v>8</v>
      </c>
      <c r="G114" s="81">
        <v>700000</v>
      </c>
      <c r="H114" s="518">
        <f t="shared" si="4"/>
        <v>5600000</v>
      </c>
      <c r="I114" s="137"/>
      <c r="J114" s="70"/>
      <c r="K114" s="8"/>
      <c r="L114" s="116"/>
      <c r="M114" s="89"/>
    </row>
    <row r="115" spans="1:14" s="3" customFormat="1" ht="19.5" hidden="1" customHeight="1" x14ac:dyDescent="0.4">
      <c r="A115" s="488">
        <v>46255</v>
      </c>
      <c r="B115" s="110" t="s">
        <v>58</v>
      </c>
      <c r="C115" s="29" t="s">
        <v>720</v>
      </c>
      <c r="D115" s="110" t="s">
        <v>559</v>
      </c>
      <c r="E115" s="110" t="s">
        <v>11</v>
      </c>
      <c r="F115" s="8">
        <v>8</v>
      </c>
      <c r="G115" s="81">
        <v>700000</v>
      </c>
      <c r="H115" s="518">
        <f t="shared" si="4"/>
        <v>5600000</v>
      </c>
      <c r="I115" s="137"/>
      <c r="J115" s="70"/>
      <c r="K115" s="8"/>
      <c r="L115" s="116"/>
      <c r="M115" s="89"/>
    </row>
    <row r="116" spans="1:14" s="3" customFormat="1" ht="19.5" hidden="1" customHeight="1" x14ac:dyDescent="0.4">
      <c r="A116" s="488">
        <v>46260</v>
      </c>
      <c r="B116" s="110" t="s">
        <v>58</v>
      </c>
      <c r="C116" s="29" t="s">
        <v>720</v>
      </c>
      <c r="D116" s="110" t="s">
        <v>558</v>
      </c>
      <c r="E116" s="110" t="s">
        <v>11</v>
      </c>
      <c r="F116" s="8">
        <v>4</v>
      </c>
      <c r="G116" s="81">
        <v>700000</v>
      </c>
      <c r="H116" s="518">
        <f t="shared" si="4"/>
        <v>2800000</v>
      </c>
      <c r="I116" s="137"/>
      <c r="J116" s="70"/>
      <c r="K116" s="8"/>
      <c r="L116" s="116"/>
      <c r="M116" s="89"/>
    </row>
    <row r="117" spans="1:14" s="3" customFormat="1" ht="19.5" hidden="1" customHeight="1" x14ac:dyDescent="0.4">
      <c r="A117" s="488">
        <v>46260</v>
      </c>
      <c r="B117" s="110" t="s">
        <v>58</v>
      </c>
      <c r="C117" s="29" t="s">
        <v>720</v>
      </c>
      <c r="D117" s="110" t="s">
        <v>559</v>
      </c>
      <c r="E117" s="110" t="s">
        <v>11</v>
      </c>
      <c r="F117" s="8">
        <v>4</v>
      </c>
      <c r="G117" s="81">
        <v>700000</v>
      </c>
      <c r="H117" s="518">
        <f t="shared" si="4"/>
        <v>2800000</v>
      </c>
      <c r="I117" s="137"/>
      <c r="J117" s="70"/>
      <c r="K117" s="8"/>
      <c r="L117" s="116"/>
      <c r="M117" s="89"/>
    </row>
    <row r="118" spans="1:14" s="113" customFormat="1" ht="18.75" hidden="1" customHeight="1" x14ac:dyDescent="0.4">
      <c r="A118" s="482">
        <v>46260</v>
      </c>
      <c r="B118" s="110" t="s">
        <v>58</v>
      </c>
      <c r="C118" s="29" t="s">
        <v>1549</v>
      </c>
      <c r="D118" s="110" t="s">
        <v>285</v>
      </c>
      <c r="E118" s="110" t="s">
        <v>11</v>
      </c>
      <c r="F118" s="8">
        <v>12</v>
      </c>
      <c r="G118" s="81">
        <v>188000</v>
      </c>
      <c r="H118" s="518">
        <f t="shared" si="4"/>
        <v>2256000</v>
      </c>
      <c r="I118" s="111" t="s">
        <v>1262</v>
      </c>
      <c r="J118" s="111"/>
      <c r="K118" s="111"/>
      <c r="L118" s="116"/>
      <c r="N118" s="113">
        <v>36</v>
      </c>
    </row>
    <row r="119" spans="1:14" s="3" customFormat="1" ht="19.5" hidden="1" customHeight="1" x14ac:dyDescent="0.4">
      <c r="A119" s="488">
        <v>46262</v>
      </c>
      <c r="B119" s="110" t="s">
        <v>58</v>
      </c>
      <c r="C119" s="29" t="s">
        <v>720</v>
      </c>
      <c r="D119" s="110" t="s">
        <v>558</v>
      </c>
      <c r="E119" s="110" t="s">
        <v>11</v>
      </c>
      <c r="F119" s="8">
        <v>12</v>
      </c>
      <c r="G119" s="81">
        <v>700000</v>
      </c>
      <c r="H119" s="518">
        <f t="shared" si="4"/>
        <v>8400000</v>
      </c>
      <c r="I119" s="137"/>
      <c r="J119" s="70"/>
      <c r="K119" s="8"/>
      <c r="L119" s="116"/>
      <c r="M119" s="89"/>
    </row>
    <row r="120" spans="1:14" s="3" customFormat="1" ht="19.5" hidden="1" customHeight="1" x14ac:dyDescent="0.4">
      <c r="A120" s="488">
        <v>46262</v>
      </c>
      <c r="B120" s="110" t="s">
        <v>58</v>
      </c>
      <c r="C120" s="29" t="s">
        <v>720</v>
      </c>
      <c r="D120" s="110" t="s">
        <v>559</v>
      </c>
      <c r="E120" s="110" t="s">
        <v>11</v>
      </c>
      <c r="F120" s="8">
        <v>12</v>
      </c>
      <c r="G120" s="81">
        <v>700000</v>
      </c>
      <c r="H120" s="518">
        <f t="shared" si="4"/>
        <v>8400000</v>
      </c>
      <c r="I120" s="137"/>
      <c r="J120" s="70"/>
      <c r="K120" s="8"/>
      <c r="L120" s="116"/>
      <c r="M120" s="89"/>
    </row>
    <row r="121" spans="1:14" s="113" customFormat="1" ht="18.75" hidden="1" customHeight="1" x14ac:dyDescent="0.4">
      <c r="A121" s="488">
        <v>46262</v>
      </c>
      <c r="B121" s="110" t="s">
        <v>58</v>
      </c>
      <c r="C121" s="29" t="s">
        <v>1658</v>
      </c>
      <c r="D121" s="110" t="s">
        <v>729</v>
      </c>
      <c r="E121" s="110" t="s">
        <v>11</v>
      </c>
      <c r="F121" s="8">
        <v>6</v>
      </c>
      <c r="G121" s="81">
        <v>489000</v>
      </c>
      <c r="H121" s="518">
        <f t="shared" si="4"/>
        <v>2934000</v>
      </c>
      <c r="I121" s="137"/>
      <c r="J121" s="111"/>
      <c r="K121" s="111"/>
      <c r="L121" s="116"/>
    </row>
    <row r="122" spans="1:14" s="113" customFormat="1" ht="18.75" hidden="1" customHeight="1" x14ac:dyDescent="0.4">
      <c r="A122" s="488"/>
      <c r="B122" s="110" t="s">
        <v>58</v>
      </c>
      <c r="C122" s="29" t="s">
        <v>720</v>
      </c>
      <c r="D122" s="110" t="s">
        <v>1855</v>
      </c>
      <c r="E122" s="110"/>
      <c r="F122" s="8">
        <v>1</v>
      </c>
      <c r="G122" s="81">
        <v>149250000</v>
      </c>
      <c r="H122" s="8">
        <f t="shared" si="4"/>
        <v>149250000</v>
      </c>
      <c r="I122" s="137"/>
      <c r="J122" s="111"/>
      <c r="K122" s="111"/>
      <c r="L122" s="116"/>
    </row>
    <row r="123" spans="1:14" s="113" customFormat="1" ht="18.75" hidden="1" customHeight="1" x14ac:dyDescent="0.4">
      <c r="A123" s="488"/>
      <c r="B123" s="110" t="s">
        <v>58</v>
      </c>
      <c r="C123" s="825" t="s">
        <v>875</v>
      </c>
      <c r="D123" s="110" t="s">
        <v>1855</v>
      </c>
      <c r="E123" s="110"/>
      <c r="F123" s="8">
        <v>1</v>
      </c>
      <c r="G123" s="81">
        <v>89250000</v>
      </c>
      <c r="H123" s="8">
        <f t="shared" si="4"/>
        <v>89250000</v>
      </c>
      <c r="I123" s="137"/>
      <c r="J123" s="111"/>
      <c r="K123" s="111"/>
      <c r="L123" s="116"/>
    </row>
    <row r="124" spans="1:14" s="3" customFormat="1" ht="19.5" hidden="1" customHeight="1" x14ac:dyDescent="0.4">
      <c r="A124" s="582">
        <v>46034</v>
      </c>
      <c r="B124" s="583" t="s">
        <v>58</v>
      </c>
      <c r="C124" s="584" t="s">
        <v>60</v>
      </c>
      <c r="D124" s="583" t="s">
        <v>722</v>
      </c>
      <c r="E124" s="583" t="s">
        <v>13</v>
      </c>
      <c r="F124" s="463">
        <v>1</v>
      </c>
      <c r="G124" s="578">
        <v>673000</v>
      </c>
      <c r="H124" s="463">
        <f t="shared" si="4"/>
        <v>673000</v>
      </c>
      <c r="I124" s="464"/>
      <c r="J124" s="585"/>
      <c r="K124" s="585" t="s">
        <v>1849</v>
      </c>
      <c r="L124" s="586"/>
      <c r="M124" s="89"/>
    </row>
    <row r="125" spans="1:14" s="3" customFormat="1" ht="19.5" hidden="1" customHeight="1" x14ac:dyDescent="0.4">
      <c r="A125" s="582">
        <v>46034</v>
      </c>
      <c r="B125" s="583" t="s">
        <v>58</v>
      </c>
      <c r="C125" s="584" t="s">
        <v>60</v>
      </c>
      <c r="D125" s="583" t="s">
        <v>723</v>
      </c>
      <c r="E125" s="583" t="s">
        <v>13</v>
      </c>
      <c r="F125" s="463">
        <v>1</v>
      </c>
      <c r="G125" s="578">
        <v>673000</v>
      </c>
      <c r="H125" s="463">
        <f t="shared" si="4"/>
        <v>673000</v>
      </c>
      <c r="I125" s="464"/>
      <c r="J125" s="585"/>
      <c r="K125" s="585" t="s">
        <v>1849</v>
      </c>
      <c r="L125" s="586"/>
      <c r="M125" s="89"/>
    </row>
    <row r="126" spans="1:14" s="3" customFormat="1" ht="19.5" hidden="1" customHeight="1" x14ac:dyDescent="0.4">
      <c r="A126" s="582">
        <v>46034</v>
      </c>
      <c r="B126" s="583" t="s">
        <v>58</v>
      </c>
      <c r="C126" s="584" t="s">
        <v>60</v>
      </c>
      <c r="D126" s="583" t="s">
        <v>724</v>
      </c>
      <c r="E126" s="583" t="s">
        <v>13</v>
      </c>
      <c r="F126" s="463">
        <v>9</v>
      </c>
      <c r="G126" s="578">
        <v>188000</v>
      </c>
      <c r="H126" s="463">
        <f t="shared" si="4"/>
        <v>1692000</v>
      </c>
      <c r="I126" s="464"/>
      <c r="J126" s="585"/>
      <c r="K126" s="585" t="s">
        <v>1849</v>
      </c>
      <c r="L126" s="586"/>
      <c r="M126" s="89"/>
    </row>
    <row r="127" spans="1:14" s="3" customFormat="1" ht="19.5" hidden="1" customHeight="1" x14ac:dyDescent="0.4">
      <c r="A127" s="582">
        <v>46034</v>
      </c>
      <c r="B127" s="583" t="s">
        <v>725</v>
      </c>
      <c r="C127" s="584" t="s">
        <v>60</v>
      </c>
      <c r="D127" s="583" t="s">
        <v>726</v>
      </c>
      <c r="E127" s="583" t="s">
        <v>11</v>
      </c>
      <c r="F127" s="463">
        <v>6</v>
      </c>
      <c r="G127" s="578">
        <v>188000</v>
      </c>
      <c r="H127" s="463">
        <f t="shared" si="4"/>
        <v>1128000</v>
      </c>
      <c r="I127" s="464"/>
      <c r="J127" s="585"/>
      <c r="K127" s="585" t="s">
        <v>1849</v>
      </c>
      <c r="L127" s="586"/>
      <c r="M127" s="89"/>
    </row>
    <row r="128" spans="1:14" s="28" customFormat="1" ht="19.5" hidden="1" customHeight="1" x14ac:dyDescent="0.4">
      <c r="A128" s="587">
        <v>46052</v>
      </c>
      <c r="B128" s="588" t="s">
        <v>58</v>
      </c>
      <c r="C128" s="589" t="s">
        <v>445</v>
      </c>
      <c r="D128" s="590" t="s">
        <v>497</v>
      </c>
      <c r="E128" s="590"/>
      <c r="F128" s="591">
        <v>12</v>
      </c>
      <c r="G128" s="591">
        <v>1671500</v>
      </c>
      <c r="H128" s="463">
        <f t="shared" si="4"/>
        <v>20058000</v>
      </c>
      <c r="I128" s="464"/>
      <c r="J128" s="592"/>
      <c r="K128" s="585" t="s">
        <v>1849</v>
      </c>
      <c r="L128" s="593"/>
      <c r="M128" s="366"/>
    </row>
    <row r="129" spans="1:13" s="19" customFormat="1" ht="18.75" hidden="1" customHeight="1" x14ac:dyDescent="0.4">
      <c r="A129" s="587">
        <v>46066</v>
      </c>
      <c r="B129" s="588" t="s">
        <v>58</v>
      </c>
      <c r="C129" s="596" t="s">
        <v>445</v>
      </c>
      <c r="D129" s="574" t="s">
        <v>497</v>
      </c>
      <c r="E129" s="583" t="s">
        <v>11</v>
      </c>
      <c r="F129" s="463">
        <v>36</v>
      </c>
      <c r="G129" s="463">
        <v>1671500</v>
      </c>
      <c r="H129" s="463">
        <f t="shared" si="4"/>
        <v>60174000</v>
      </c>
      <c r="I129" s="594" t="s">
        <v>872</v>
      </c>
      <c r="J129" s="597"/>
      <c r="K129" s="585" t="s">
        <v>1849</v>
      </c>
      <c r="L129" s="593"/>
      <c r="M129" s="416"/>
    </row>
    <row r="130" spans="1:13" s="19" customFormat="1" ht="18.75" hidden="1" customHeight="1" x14ac:dyDescent="0.4">
      <c r="A130" s="582">
        <v>46080</v>
      </c>
      <c r="B130" s="588" t="s">
        <v>58</v>
      </c>
      <c r="C130" s="596" t="s">
        <v>445</v>
      </c>
      <c r="D130" s="574" t="s">
        <v>497</v>
      </c>
      <c r="E130" s="583" t="s">
        <v>11</v>
      </c>
      <c r="F130" s="463">
        <v>24</v>
      </c>
      <c r="G130" s="463">
        <v>1671500</v>
      </c>
      <c r="H130" s="463">
        <f t="shared" si="4"/>
        <v>40116000</v>
      </c>
      <c r="I130" s="594" t="s">
        <v>877</v>
      </c>
      <c r="J130" s="597"/>
      <c r="K130" s="585" t="s">
        <v>1849</v>
      </c>
      <c r="L130" s="593"/>
      <c r="M130" s="416"/>
    </row>
    <row r="131" spans="1:13" s="28" customFormat="1" ht="19.5" hidden="1" customHeight="1" x14ac:dyDescent="0.4">
      <c r="A131" s="598">
        <v>46210</v>
      </c>
      <c r="B131" s="583" t="s">
        <v>58</v>
      </c>
      <c r="C131" s="584" t="s">
        <v>60</v>
      </c>
      <c r="D131" s="583" t="s">
        <v>498</v>
      </c>
      <c r="E131" s="583" t="s">
        <v>13</v>
      </c>
      <c r="F131" s="463">
        <v>31</v>
      </c>
      <c r="G131" s="578">
        <v>673000</v>
      </c>
      <c r="H131" s="463">
        <f t="shared" si="4"/>
        <v>20863000</v>
      </c>
      <c r="I131" s="689"/>
      <c r="J131" s="585"/>
      <c r="K131" s="585" t="s">
        <v>1849</v>
      </c>
      <c r="L131" s="826"/>
      <c r="M131" s="366"/>
    </row>
    <row r="132" spans="1:13" s="19" customFormat="1" ht="18.75" hidden="1" customHeight="1" x14ac:dyDescent="0.4">
      <c r="A132" s="598">
        <v>46221</v>
      </c>
      <c r="B132" s="583" t="s">
        <v>58</v>
      </c>
      <c r="C132" s="584" t="s">
        <v>60</v>
      </c>
      <c r="D132" s="583" t="s">
        <v>498</v>
      </c>
      <c r="E132" s="583" t="s">
        <v>343</v>
      </c>
      <c r="F132" s="463">
        <v>19</v>
      </c>
      <c r="G132" s="578">
        <v>673000</v>
      </c>
      <c r="H132" s="463">
        <f t="shared" si="4"/>
        <v>12787000</v>
      </c>
      <c r="I132" s="689" t="s">
        <v>1659</v>
      </c>
      <c r="J132" s="585"/>
      <c r="K132" s="585" t="s">
        <v>1849</v>
      </c>
      <c r="L132" s="586"/>
      <c r="M132" s="416"/>
    </row>
    <row r="133" spans="1:13" s="3" customFormat="1" ht="19.5" hidden="1" customHeight="1" x14ac:dyDescent="0.4">
      <c r="A133" s="598">
        <v>46224</v>
      </c>
      <c r="B133" s="583" t="s">
        <v>58</v>
      </c>
      <c r="C133" s="584" t="s">
        <v>60</v>
      </c>
      <c r="D133" s="583" t="s">
        <v>498</v>
      </c>
      <c r="E133" s="583" t="s">
        <v>343</v>
      </c>
      <c r="F133" s="463">
        <v>20</v>
      </c>
      <c r="G133" s="578">
        <v>673000</v>
      </c>
      <c r="H133" s="463">
        <f t="shared" si="4"/>
        <v>13460000</v>
      </c>
      <c r="I133" s="689" t="s">
        <v>1727</v>
      </c>
      <c r="J133" s="585"/>
      <c r="K133" s="585" t="s">
        <v>1849</v>
      </c>
      <c r="L133" s="586"/>
      <c r="M133" s="89"/>
    </row>
    <row r="134" spans="1:13" s="3" customFormat="1" ht="19.5" hidden="1" customHeight="1" x14ac:dyDescent="0.4">
      <c r="A134" s="598">
        <v>46245</v>
      </c>
      <c r="B134" s="583" t="s">
        <v>58</v>
      </c>
      <c r="C134" s="584" t="s">
        <v>60</v>
      </c>
      <c r="D134" s="583" t="s">
        <v>498</v>
      </c>
      <c r="E134" s="583" t="s">
        <v>13</v>
      </c>
      <c r="F134" s="463">
        <v>1</v>
      </c>
      <c r="G134" s="578">
        <v>673000</v>
      </c>
      <c r="H134" s="828">
        <f>F134*G134</f>
        <v>673000</v>
      </c>
      <c r="I134" s="689"/>
      <c r="J134" s="585"/>
      <c r="K134" s="585" t="s">
        <v>1849</v>
      </c>
      <c r="L134" s="826"/>
      <c r="M134" s="89"/>
    </row>
    <row r="135" spans="1:13" s="113" customFormat="1" ht="18.75" hidden="1" customHeight="1" x14ac:dyDescent="0.4">
      <c r="A135" s="598">
        <v>46262</v>
      </c>
      <c r="B135" s="583" t="s">
        <v>58</v>
      </c>
      <c r="C135" s="584" t="s">
        <v>1658</v>
      </c>
      <c r="D135" s="583" t="s">
        <v>729</v>
      </c>
      <c r="E135" s="583" t="s">
        <v>11</v>
      </c>
      <c r="F135" s="463">
        <v>7</v>
      </c>
      <c r="G135" s="578">
        <v>489000</v>
      </c>
      <c r="H135" s="828">
        <f t="shared" si="4"/>
        <v>3423000</v>
      </c>
      <c r="I135" s="689"/>
      <c r="J135" s="594"/>
      <c r="K135" s="585" t="s">
        <v>1849</v>
      </c>
      <c r="L135" s="586"/>
    </row>
    <row r="136" spans="1:13" s="19" customFormat="1" ht="18.75" hidden="1" customHeight="1" x14ac:dyDescent="0.4">
      <c r="A136" s="622"/>
      <c r="B136" s="39"/>
      <c r="C136" s="88"/>
      <c r="D136" s="434"/>
      <c r="E136" s="39"/>
      <c r="F136" s="39"/>
      <c r="G136" s="98"/>
      <c r="H136" s="138">
        <f>SUM(H97:H123)</f>
        <v>391733000</v>
      </c>
      <c r="I136" s="435"/>
      <c r="J136" s="436"/>
      <c r="K136" s="40"/>
      <c r="L136" s="696"/>
    </row>
    <row r="137" spans="1:13" ht="18.75" hidden="1" customHeight="1" x14ac:dyDescent="0.4">
      <c r="A137" s="485">
        <v>46265</v>
      </c>
      <c r="B137" s="5" t="s">
        <v>1776</v>
      </c>
      <c r="C137" s="6" t="s">
        <v>1777</v>
      </c>
      <c r="D137" s="1">
        <v>272.98148400000002</v>
      </c>
      <c r="E137" s="59" t="s">
        <v>127</v>
      </c>
      <c r="F137" s="36">
        <v>37</v>
      </c>
      <c r="G137" s="36">
        <v>63200</v>
      </c>
      <c r="H137" s="7">
        <f>F137*G137</f>
        <v>2338400</v>
      </c>
      <c r="I137" s="67"/>
      <c r="J137" s="67"/>
      <c r="K137" s="67"/>
      <c r="L137" s="67"/>
    </row>
    <row r="138" spans="1:13" ht="18.75" hidden="1" customHeight="1" x14ac:dyDescent="0.4">
      <c r="A138" s="485">
        <v>46265</v>
      </c>
      <c r="B138" s="5" t="s">
        <v>1776</v>
      </c>
      <c r="C138" s="6" t="s">
        <v>1778</v>
      </c>
      <c r="D138" s="1">
        <v>272.98107399999998</v>
      </c>
      <c r="E138" s="59" t="s">
        <v>13</v>
      </c>
      <c r="F138" s="36">
        <v>11</v>
      </c>
      <c r="G138" s="36">
        <v>134000</v>
      </c>
      <c r="H138" s="7">
        <f>F138*G138</f>
        <v>1474000</v>
      </c>
      <c r="I138" s="67"/>
      <c r="J138" s="67"/>
      <c r="K138" s="67"/>
      <c r="L138" s="67"/>
    </row>
    <row r="139" spans="1:13" s="19" customFormat="1" ht="18.75" hidden="1" customHeight="1" x14ac:dyDescent="0.4">
      <c r="A139" s="622"/>
      <c r="B139" s="39"/>
      <c r="C139" s="88"/>
      <c r="D139" s="434"/>
      <c r="E139" s="39"/>
      <c r="F139" s="39"/>
      <c r="G139" s="98"/>
      <c r="H139" s="138">
        <f>SUM(H137:H138)</f>
        <v>3812400</v>
      </c>
      <c r="I139" s="435"/>
      <c r="J139" s="436"/>
      <c r="K139" s="40"/>
      <c r="L139" s="696"/>
    </row>
    <row r="140" spans="1:13" customFormat="1" ht="17.399999999999999" hidden="1" x14ac:dyDescent="0.4">
      <c r="A140" s="484">
        <v>46244</v>
      </c>
      <c r="B140" s="59" t="s">
        <v>1670</v>
      </c>
      <c r="C140" s="67" t="s">
        <v>81</v>
      </c>
      <c r="D140" s="59" t="s">
        <v>196</v>
      </c>
      <c r="E140" s="67"/>
      <c r="F140" s="49">
        <v>12</v>
      </c>
      <c r="G140" s="49">
        <v>78850</v>
      </c>
      <c r="H140" s="8">
        <v>946200</v>
      </c>
      <c r="I140" s="67" t="s">
        <v>1562</v>
      </c>
      <c r="J140" s="109"/>
      <c r="K140" s="409"/>
      <c r="L140" s="409"/>
      <c r="M140" s="50"/>
    </row>
    <row r="141" spans="1:13" customFormat="1" ht="17.399999999999999" hidden="1" x14ac:dyDescent="0.4">
      <c r="A141" s="484">
        <v>46244</v>
      </c>
      <c r="B141" s="59" t="s">
        <v>1670</v>
      </c>
      <c r="C141" s="67" t="s">
        <v>67</v>
      </c>
      <c r="D141" s="59" t="s">
        <v>197</v>
      </c>
      <c r="E141" s="67"/>
      <c r="F141" s="49">
        <v>5</v>
      </c>
      <c r="G141" s="49">
        <v>364800</v>
      </c>
      <c r="H141" s="8">
        <v>1824000</v>
      </c>
      <c r="I141" s="67" t="s">
        <v>1551</v>
      </c>
      <c r="J141" s="109"/>
      <c r="K141" s="409"/>
      <c r="L141" s="409"/>
      <c r="M141" s="50"/>
    </row>
    <row r="142" spans="1:13" customFormat="1" ht="17.399999999999999" hidden="1" x14ac:dyDescent="0.4">
      <c r="A142" s="484">
        <v>46244</v>
      </c>
      <c r="B142" s="59" t="s">
        <v>1670</v>
      </c>
      <c r="C142" s="67" t="s">
        <v>67</v>
      </c>
      <c r="D142" s="59" t="s">
        <v>197</v>
      </c>
      <c r="E142" s="67"/>
      <c r="F142" s="49">
        <v>8</v>
      </c>
      <c r="G142" s="49">
        <v>364800</v>
      </c>
      <c r="H142" s="8">
        <v>2918400</v>
      </c>
      <c r="I142" s="67" t="s">
        <v>1562</v>
      </c>
      <c r="J142" s="109"/>
      <c r="K142" s="409"/>
      <c r="L142" s="409"/>
      <c r="M142" s="50"/>
    </row>
    <row r="143" spans="1:13" customFormat="1" ht="17.399999999999999" hidden="1" x14ac:dyDescent="0.4">
      <c r="A143" s="484">
        <v>46244</v>
      </c>
      <c r="B143" s="59" t="s">
        <v>1670</v>
      </c>
      <c r="C143" s="67" t="s">
        <v>73</v>
      </c>
      <c r="D143" s="59" t="s">
        <v>288</v>
      </c>
      <c r="E143" s="67"/>
      <c r="F143" s="49">
        <v>5</v>
      </c>
      <c r="G143" s="49">
        <v>390000</v>
      </c>
      <c r="H143" s="8">
        <v>1950000</v>
      </c>
      <c r="I143" s="67" t="s">
        <v>1562</v>
      </c>
      <c r="J143" s="109"/>
      <c r="K143" s="409"/>
      <c r="L143" s="409"/>
      <c r="M143" s="50"/>
    </row>
    <row r="144" spans="1:13" customFormat="1" ht="17.399999999999999" hidden="1" x14ac:dyDescent="0.4">
      <c r="A144" s="484">
        <v>46244</v>
      </c>
      <c r="B144" s="59" t="s">
        <v>1670</v>
      </c>
      <c r="C144" s="67" t="s">
        <v>81</v>
      </c>
      <c r="D144" s="59" t="s">
        <v>82</v>
      </c>
      <c r="E144" s="67"/>
      <c r="F144" s="49">
        <v>11</v>
      </c>
      <c r="G144" s="49">
        <v>86300</v>
      </c>
      <c r="H144" s="8">
        <v>949300</v>
      </c>
      <c r="I144" s="67" t="s">
        <v>1684</v>
      </c>
      <c r="J144" s="109"/>
      <c r="K144" s="409"/>
      <c r="L144" s="409"/>
      <c r="M144" s="50"/>
    </row>
    <row r="145" spans="1:13" customFormat="1" ht="17.399999999999999" hidden="1" x14ac:dyDescent="0.4">
      <c r="A145" s="484">
        <v>46244</v>
      </c>
      <c r="B145" s="59" t="s">
        <v>1670</v>
      </c>
      <c r="C145" s="67" t="s">
        <v>71</v>
      </c>
      <c r="D145" s="59" t="s">
        <v>72</v>
      </c>
      <c r="E145" s="67"/>
      <c r="F145" s="49">
        <v>10</v>
      </c>
      <c r="G145" s="49">
        <v>548000</v>
      </c>
      <c r="H145" s="8">
        <v>5480000</v>
      </c>
      <c r="I145" s="67" t="s">
        <v>1561</v>
      </c>
      <c r="J145" s="109"/>
      <c r="K145" s="409"/>
      <c r="L145" s="409"/>
      <c r="M145" s="50"/>
    </row>
    <row r="146" spans="1:13" customFormat="1" ht="17.399999999999999" hidden="1" x14ac:dyDescent="0.4">
      <c r="A146" s="484">
        <v>46244</v>
      </c>
      <c r="B146" s="59" t="s">
        <v>1670</v>
      </c>
      <c r="C146" s="67" t="s">
        <v>67</v>
      </c>
      <c r="D146" s="59" t="s">
        <v>80</v>
      </c>
      <c r="E146" s="67"/>
      <c r="F146" s="49">
        <v>10</v>
      </c>
      <c r="G146" s="49">
        <v>384000</v>
      </c>
      <c r="H146" s="8">
        <v>3840000</v>
      </c>
      <c r="I146" s="67" t="s">
        <v>1561</v>
      </c>
      <c r="J146" s="109"/>
      <c r="K146" s="409"/>
      <c r="L146" s="409"/>
      <c r="M146" s="50"/>
    </row>
    <row r="147" spans="1:13" customFormat="1" ht="17.399999999999999" hidden="1" x14ac:dyDescent="0.4">
      <c r="A147" s="484">
        <v>46244</v>
      </c>
      <c r="B147" s="59" t="s">
        <v>1670</v>
      </c>
      <c r="C147" s="67" t="s">
        <v>71</v>
      </c>
      <c r="D147" s="59" t="s">
        <v>72</v>
      </c>
      <c r="E147" s="67"/>
      <c r="F147" s="49">
        <v>3</v>
      </c>
      <c r="G147" s="49">
        <v>548000</v>
      </c>
      <c r="H147" s="8">
        <v>1644000</v>
      </c>
      <c r="I147" s="67" t="s">
        <v>1681</v>
      </c>
      <c r="J147" s="109"/>
      <c r="K147" s="409"/>
      <c r="L147" s="409"/>
      <c r="M147" s="50"/>
    </row>
    <row r="148" spans="1:13" customFormat="1" ht="17.399999999999999" hidden="1" x14ac:dyDescent="0.4">
      <c r="A148" s="484">
        <v>46244</v>
      </c>
      <c r="B148" s="59" t="s">
        <v>1670</v>
      </c>
      <c r="C148" s="67" t="s">
        <v>71</v>
      </c>
      <c r="D148" s="59" t="s">
        <v>72</v>
      </c>
      <c r="E148" s="67"/>
      <c r="F148" s="49">
        <v>4</v>
      </c>
      <c r="G148" s="49">
        <v>548000</v>
      </c>
      <c r="H148" s="8">
        <v>2192000</v>
      </c>
      <c r="I148" s="67" t="s">
        <v>1682</v>
      </c>
      <c r="J148" s="109"/>
      <c r="K148" s="409"/>
      <c r="L148" s="409"/>
      <c r="M148" s="50"/>
    </row>
    <row r="149" spans="1:13" customFormat="1" ht="17.399999999999999" hidden="1" x14ac:dyDescent="0.4">
      <c r="A149" s="484">
        <v>46244</v>
      </c>
      <c r="B149" s="59" t="s">
        <v>1670</v>
      </c>
      <c r="C149" s="67" t="s">
        <v>67</v>
      </c>
      <c r="D149" s="59" t="s">
        <v>80</v>
      </c>
      <c r="E149" s="67"/>
      <c r="F149" s="49">
        <v>3</v>
      </c>
      <c r="G149" s="49">
        <v>384000</v>
      </c>
      <c r="H149" s="8">
        <v>1152000</v>
      </c>
      <c r="I149" s="67" t="s">
        <v>1559</v>
      </c>
      <c r="J149" s="109"/>
      <c r="K149" s="409"/>
      <c r="L149" s="409"/>
      <c r="M149" s="50"/>
    </row>
    <row r="150" spans="1:13" customFormat="1" ht="17.399999999999999" hidden="1" x14ac:dyDescent="0.4">
      <c r="A150" s="484">
        <v>46244</v>
      </c>
      <c r="B150" s="59" t="s">
        <v>1670</v>
      </c>
      <c r="C150" s="67" t="s">
        <v>67</v>
      </c>
      <c r="D150" s="59" t="s">
        <v>80</v>
      </c>
      <c r="E150" s="67"/>
      <c r="F150" s="49">
        <v>3</v>
      </c>
      <c r="G150" s="49">
        <v>384000</v>
      </c>
      <c r="H150" s="8">
        <v>1152000</v>
      </c>
      <c r="I150" s="67" t="s">
        <v>1560</v>
      </c>
      <c r="J150" s="109"/>
      <c r="K150" s="409"/>
      <c r="L150" s="409"/>
      <c r="M150" s="50"/>
    </row>
    <row r="151" spans="1:13" customFormat="1" ht="17.399999999999999" hidden="1" x14ac:dyDescent="0.4">
      <c r="A151" s="484">
        <v>46244</v>
      </c>
      <c r="B151" s="59" t="s">
        <v>1670</v>
      </c>
      <c r="C151" s="67" t="s">
        <v>67</v>
      </c>
      <c r="D151" s="59" t="s">
        <v>80</v>
      </c>
      <c r="E151" s="67"/>
      <c r="F151" s="49">
        <v>3</v>
      </c>
      <c r="G151" s="49">
        <v>384000</v>
      </c>
      <c r="H151" s="8">
        <v>1152000</v>
      </c>
      <c r="I151" s="67" t="s">
        <v>1681</v>
      </c>
      <c r="J151" s="109"/>
      <c r="K151" s="409"/>
      <c r="L151" s="409"/>
      <c r="M151" s="50"/>
    </row>
    <row r="152" spans="1:13" customFormat="1" ht="17.399999999999999" hidden="1" x14ac:dyDescent="0.4">
      <c r="A152" s="484">
        <v>46244</v>
      </c>
      <c r="B152" s="59" t="s">
        <v>1670</v>
      </c>
      <c r="C152" s="67" t="s">
        <v>67</v>
      </c>
      <c r="D152" s="59" t="s">
        <v>80</v>
      </c>
      <c r="E152" s="67"/>
      <c r="F152" s="49">
        <v>4</v>
      </c>
      <c r="G152" s="49">
        <v>384000</v>
      </c>
      <c r="H152" s="8">
        <v>1536000</v>
      </c>
      <c r="I152" s="67" t="s">
        <v>1682</v>
      </c>
      <c r="J152" s="109"/>
      <c r="K152" s="409"/>
      <c r="L152" s="409"/>
      <c r="M152" s="50"/>
    </row>
    <row r="153" spans="1:13" customFormat="1" ht="17.399999999999999" hidden="1" x14ac:dyDescent="0.4">
      <c r="A153" s="484">
        <v>46244</v>
      </c>
      <c r="B153" s="59" t="s">
        <v>1670</v>
      </c>
      <c r="C153" s="67" t="s">
        <v>67</v>
      </c>
      <c r="D153" s="59" t="s">
        <v>80</v>
      </c>
      <c r="E153" s="67"/>
      <c r="F153" s="49">
        <v>3</v>
      </c>
      <c r="G153" s="49">
        <v>384000</v>
      </c>
      <c r="H153" s="8">
        <v>1152000</v>
      </c>
      <c r="I153" s="67" t="s">
        <v>1683</v>
      </c>
      <c r="J153" s="109"/>
      <c r="K153" s="409"/>
      <c r="L153" s="409"/>
      <c r="M153" s="50"/>
    </row>
    <row r="154" spans="1:13" customFormat="1" ht="17.399999999999999" hidden="1" x14ac:dyDescent="0.4">
      <c r="A154" s="484">
        <v>46244</v>
      </c>
      <c r="B154" s="59" t="s">
        <v>1670</v>
      </c>
      <c r="C154" s="67" t="s">
        <v>202</v>
      </c>
      <c r="D154" s="59" t="s">
        <v>203</v>
      </c>
      <c r="E154" s="67"/>
      <c r="F154" s="49">
        <v>3</v>
      </c>
      <c r="G154" s="49">
        <v>384000</v>
      </c>
      <c r="H154" s="8">
        <v>1152000</v>
      </c>
      <c r="I154" s="67" t="s">
        <v>1681</v>
      </c>
      <c r="J154" s="109"/>
      <c r="K154" s="409"/>
      <c r="L154" s="409"/>
      <c r="M154" s="50"/>
    </row>
    <row r="155" spans="1:13" customFormat="1" ht="17.399999999999999" hidden="1" x14ac:dyDescent="0.4">
      <c r="A155" s="484">
        <v>46244</v>
      </c>
      <c r="B155" s="59" t="s">
        <v>1670</v>
      </c>
      <c r="C155" s="67" t="s">
        <v>81</v>
      </c>
      <c r="D155" s="59" t="s">
        <v>82</v>
      </c>
      <c r="E155" s="67"/>
      <c r="F155" s="49">
        <v>3</v>
      </c>
      <c r="G155" s="49">
        <v>86300</v>
      </c>
      <c r="H155" s="8">
        <v>258900</v>
      </c>
      <c r="I155" s="67" t="s">
        <v>1681</v>
      </c>
      <c r="J155" s="109"/>
      <c r="K155" s="409"/>
      <c r="L155" s="409"/>
      <c r="M155" s="50"/>
    </row>
    <row r="156" spans="1:13" customFormat="1" ht="17.399999999999999" hidden="1" x14ac:dyDescent="0.4">
      <c r="A156" s="484">
        <v>46244</v>
      </c>
      <c r="B156" s="59" t="s">
        <v>1670</v>
      </c>
      <c r="C156" s="67" t="s">
        <v>81</v>
      </c>
      <c r="D156" s="59" t="s">
        <v>82</v>
      </c>
      <c r="E156" s="67"/>
      <c r="F156" s="49">
        <v>4</v>
      </c>
      <c r="G156" s="49">
        <v>86300</v>
      </c>
      <c r="H156" s="8">
        <v>345200</v>
      </c>
      <c r="I156" s="67" t="s">
        <v>1682</v>
      </c>
      <c r="J156" s="109"/>
      <c r="K156" s="409"/>
      <c r="L156" s="409"/>
      <c r="M156" s="50"/>
    </row>
    <row r="157" spans="1:13" customFormat="1" ht="17.399999999999999" hidden="1" x14ac:dyDescent="0.4">
      <c r="A157" s="484">
        <v>46244</v>
      </c>
      <c r="B157" s="59" t="s">
        <v>1670</v>
      </c>
      <c r="C157" s="67" t="s">
        <v>81</v>
      </c>
      <c r="D157" s="59" t="s">
        <v>82</v>
      </c>
      <c r="E157" s="67"/>
      <c r="F157" s="49">
        <v>3</v>
      </c>
      <c r="G157" s="49">
        <v>86300</v>
      </c>
      <c r="H157" s="8">
        <v>258900</v>
      </c>
      <c r="I157" s="67" t="s">
        <v>1683</v>
      </c>
      <c r="J157" s="109"/>
      <c r="K157" s="409"/>
      <c r="L157" s="409"/>
      <c r="M157" s="50"/>
    </row>
    <row r="158" spans="1:13" customFormat="1" ht="17.399999999999999" x14ac:dyDescent="0.4">
      <c r="A158" s="484">
        <v>46244</v>
      </c>
      <c r="B158" s="59" t="s">
        <v>1670</v>
      </c>
      <c r="C158" s="67" t="s">
        <v>118</v>
      </c>
      <c r="D158" s="59" t="s">
        <v>119</v>
      </c>
      <c r="E158" s="67"/>
      <c r="F158" s="49">
        <v>10</v>
      </c>
      <c r="G158" s="49">
        <v>7790000</v>
      </c>
      <c r="H158" s="8">
        <v>77900000</v>
      </c>
      <c r="I158" s="67" t="s">
        <v>120</v>
      </c>
      <c r="J158" s="109"/>
      <c r="K158" s="409"/>
      <c r="L158" s="409"/>
      <c r="M158" s="50"/>
    </row>
    <row r="159" spans="1:13" customFormat="1" ht="17.399999999999999" x14ac:dyDescent="0.4">
      <c r="A159" s="484">
        <v>46244</v>
      </c>
      <c r="B159" s="59" t="s">
        <v>1670</v>
      </c>
      <c r="C159" s="67" t="s">
        <v>118</v>
      </c>
      <c r="D159" s="59" t="s">
        <v>119</v>
      </c>
      <c r="E159" s="67"/>
      <c r="F159" s="49">
        <v>8</v>
      </c>
      <c r="G159" s="49">
        <v>7790000</v>
      </c>
      <c r="H159" s="8">
        <v>62320000</v>
      </c>
      <c r="I159" s="67" t="s">
        <v>120</v>
      </c>
      <c r="J159" s="109"/>
      <c r="K159" s="409"/>
      <c r="L159" s="409"/>
      <c r="M159" s="50"/>
    </row>
    <row r="160" spans="1:13" s="3" customFormat="1" ht="18.75" hidden="1" customHeight="1" x14ac:dyDescent="0.4">
      <c r="A160" s="484">
        <v>46244</v>
      </c>
      <c r="B160" s="59" t="s">
        <v>1670</v>
      </c>
      <c r="C160" s="67" t="s">
        <v>71</v>
      </c>
      <c r="D160" s="59" t="s">
        <v>72</v>
      </c>
      <c r="E160" s="67"/>
      <c r="F160" s="49">
        <v>12</v>
      </c>
      <c r="G160" s="49">
        <v>548000</v>
      </c>
      <c r="H160" s="8">
        <v>6576000</v>
      </c>
      <c r="I160" s="67" t="s">
        <v>1680</v>
      </c>
      <c r="J160" s="109"/>
      <c r="K160" s="409"/>
      <c r="L160" s="409"/>
      <c r="M160" s="89"/>
    </row>
    <row r="161" spans="1:13" s="3" customFormat="1" ht="18.75" hidden="1" customHeight="1" x14ac:dyDescent="0.4">
      <c r="A161" s="484">
        <v>46244</v>
      </c>
      <c r="B161" s="59" t="s">
        <v>1670</v>
      </c>
      <c r="C161" s="67" t="s">
        <v>81</v>
      </c>
      <c r="D161" s="59" t="s">
        <v>82</v>
      </c>
      <c r="E161" s="67"/>
      <c r="F161" s="49">
        <v>14</v>
      </c>
      <c r="G161" s="49">
        <v>86300</v>
      </c>
      <c r="H161" s="8">
        <v>1208200</v>
      </c>
      <c r="I161" s="67" t="s">
        <v>1680</v>
      </c>
      <c r="J161" s="109"/>
      <c r="K161" s="409"/>
      <c r="L161" s="409"/>
      <c r="M161" s="89"/>
    </row>
    <row r="162" spans="1:13" ht="18.75" hidden="1" customHeight="1" x14ac:dyDescent="0.4">
      <c r="A162" s="484">
        <v>46244</v>
      </c>
      <c r="B162" s="59" t="s">
        <v>1670</v>
      </c>
      <c r="C162" s="67" t="s">
        <v>66</v>
      </c>
      <c r="D162" s="59" t="s">
        <v>195</v>
      </c>
      <c r="E162" s="67"/>
      <c r="F162" s="49">
        <v>6</v>
      </c>
      <c r="G162" s="49">
        <v>1917500</v>
      </c>
      <c r="H162" s="8">
        <v>11505000</v>
      </c>
      <c r="I162" s="67" t="s">
        <v>1561</v>
      </c>
      <c r="J162" s="109"/>
      <c r="K162" s="409"/>
      <c r="L162" s="409"/>
    </row>
    <row r="163" spans="1:13" ht="18.75" hidden="1" customHeight="1" x14ac:dyDescent="0.4">
      <c r="A163" s="484">
        <v>46244</v>
      </c>
      <c r="B163" s="59" t="s">
        <v>1670</v>
      </c>
      <c r="C163" s="67" t="s">
        <v>64</v>
      </c>
      <c r="D163" s="59" t="s">
        <v>65</v>
      </c>
      <c r="E163" s="67"/>
      <c r="F163" s="49">
        <v>10</v>
      </c>
      <c r="G163" s="49">
        <v>1568700</v>
      </c>
      <c r="H163" s="8">
        <v>15687000</v>
      </c>
      <c r="I163" s="67" t="s">
        <v>1561</v>
      </c>
      <c r="J163" s="109"/>
      <c r="K163" s="409"/>
      <c r="L163" s="409"/>
    </row>
    <row r="164" spans="1:13" ht="18.75" hidden="1" customHeight="1" x14ac:dyDescent="0.4">
      <c r="A164" s="484">
        <v>46244</v>
      </c>
      <c r="B164" s="59" t="s">
        <v>1670</v>
      </c>
      <c r="C164" s="67" t="s">
        <v>66</v>
      </c>
      <c r="D164" s="59" t="s">
        <v>195</v>
      </c>
      <c r="E164" s="67"/>
      <c r="F164" s="49">
        <v>3</v>
      </c>
      <c r="G164" s="49">
        <v>1917500</v>
      </c>
      <c r="H164" s="8">
        <v>5752500</v>
      </c>
      <c r="I164" s="67" t="s">
        <v>1560</v>
      </c>
      <c r="J164" s="109"/>
      <c r="K164" s="409"/>
      <c r="L164" s="409"/>
    </row>
    <row r="165" spans="1:13" customFormat="1" ht="17.399999999999999" hidden="1" x14ac:dyDescent="0.4">
      <c r="A165" s="484">
        <v>46244</v>
      </c>
      <c r="B165" s="59" t="s">
        <v>1670</v>
      </c>
      <c r="C165" s="67" t="s">
        <v>66</v>
      </c>
      <c r="D165" s="59" t="s">
        <v>195</v>
      </c>
      <c r="E165" s="67"/>
      <c r="F165" s="49">
        <v>3</v>
      </c>
      <c r="G165" s="49">
        <v>1917500</v>
      </c>
      <c r="H165" s="8">
        <v>5752500</v>
      </c>
      <c r="I165" s="67" t="s">
        <v>1681</v>
      </c>
      <c r="J165" s="109"/>
      <c r="K165" s="409"/>
      <c r="L165" s="409"/>
    </row>
    <row r="166" spans="1:13" customFormat="1" ht="17.399999999999999" hidden="1" x14ac:dyDescent="0.4">
      <c r="A166" s="484">
        <v>46244</v>
      </c>
      <c r="B166" s="59" t="s">
        <v>1670</v>
      </c>
      <c r="C166" s="67" t="s">
        <v>68</v>
      </c>
      <c r="D166" s="59" t="s">
        <v>69</v>
      </c>
      <c r="E166" s="67"/>
      <c r="F166" s="49">
        <v>6</v>
      </c>
      <c r="G166" s="49">
        <v>359000</v>
      </c>
      <c r="H166" s="8">
        <v>2154000</v>
      </c>
      <c r="I166" s="67" t="s">
        <v>70</v>
      </c>
      <c r="J166" s="109"/>
      <c r="K166" s="409"/>
      <c r="L166" s="409"/>
    </row>
    <row r="167" spans="1:13" s="19" customFormat="1" ht="19.2" hidden="1" customHeight="1" x14ac:dyDescent="0.4">
      <c r="A167" s="484">
        <v>46244</v>
      </c>
      <c r="B167" s="59" t="s">
        <v>1670</v>
      </c>
      <c r="C167" s="67" t="s">
        <v>103</v>
      </c>
      <c r="D167" s="59" t="s">
        <v>104</v>
      </c>
      <c r="E167" s="67"/>
      <c r="F167" s="49">
        <v>2</v>
      </c>
      <c r="G167" s="49">
        <v>220000</v>
      </c>
      <c r="H167" s="8">
        <v>440000</v>
      </c>
      <c r="I167" s="67" t="s">
        <v>213</v>
      </c>
      <c r="J167" s="109"/>
      <c r="K167" s="409"/>
      <c r="L167" s="409"/>
      <c r="M167" s="200"/>
    </row>
    <row r="168" spans="1:13" ht="18.75" hidden="1" customHeight="1" x14ac:dyDescent="0.4">
      <c r="A168" s="484">
        <v>46244</v>
      </c>
      <c r="B168" s="59" t="s">
        <v>1670</v>
      </c>
      <c r="C168" s="67" t="s">
        <v>898</v>
      </c>
      <c r="D168" s="59" t="s">
        <v>899</v>
      </c>
      <c r="E168" s="67"/>
      <c r="F168" s="49">
        <v>4</v>
      </c>
      <c r="G168" s="49">
        <v>350000</v>
      </c>
      <c r="H168" s="8">
        <v>1400000</v>
      </c>
      <c r="I168" s="67" t="s">
        <v>213</v>
      </c>
      <c r="J168" s="109"/>
      <c r="K168" s="409"/>
      <c r="L168" s="409"/>
    </row>
    <row r="169" spans="1:13" ht="18.75" hidden="1" customHeight="1" x14ac:dyDescent="0.4">
      <c r="A169" s="484">
        <v>46244</v>
      </c>
      <c r="B169" s="59" t="s">
        <v>1670</v>
      </c>
      <c r="C169" s="67" t="s">
        <v>190</v>
      </c>
      <c r="D169" s="59" t="s">
        <v>214</v>
      </c>
      <c r="E169" s="67"/>
      <c r="F169" s="49">
        <v>2</v>
      </c>
      <c r="G169" s="49">
        <v>181000</v>
      </c>
      <c r="H169" s="8">
        <v>362000</v>
      </c>
      <c r="I169" s="67" t="s">
        <v>213</v>
      </c>
      <c r="J169" s="109"/>
      <c r="K169" s="409"/>
      <c r="L169" s="409"/>
    </row>
    <row r="170" spans="1:13" ht="18.75" hidden="1" customHeight="1" x14ac:dyDescent="0.4">
      <c r="A170" s="484">
        <v>46244</v>
      </c>
      <c r="B170" s="59" t="s">
        <v>1670</v>
      </c>
      <c r="C170" s="67" t="s">
        <v>103</v>
      </c>
      <c r="D170" s="59" t="s">
        <v>414</v>
      </c>
      <c r="E170" s="67"/>
      <c r="F170" s="49">
        <v>1</v>
      </c>
      <c r="G170" s="49">
        <v>235000</v>
      </c>
      <c r="H170" s="8">
        <v>235000</v>
      </c>
      <c r="I170" s="67" t="s">
        <v>213</v>
      </c>
      <c r="J170" s="109"/>
      <c r="K170" s="409"/>
      <c r="L170" s="409"/>
    </row>
    <row r="171" spans="1:13" ht="18.75" hidden="1" customHeight="1" x14ac:dyDescent="0.4">
      <c r="A171" s="484">
        <v>46244</v>
      </c>
      <c r="B171" s="59" t="s">
        <v>1670</v>
      </c>
      <c r="C171" s="67" t="s">
        <v>103</v>
      </c>
      <c r="D171" s="59" t="s">
        <v>415</v>
      </c>
      <c r="E171" s="67"/>
      <c r="F171" s="49">
        <v>1</v>
      </c>
      <c r="G171" s="49">
        <v>225000</v>
      </c>
      <c r="H171" s="8">
        <v>225000</v>
      </c>
      <c r="I171" s="67" t="s">
        <v>213</v>
      </c>
      <c r="J171" s="109"/>
      <c r="K171" s="409"/>
      <c r="L171" s="409"/>
    </row>
    <row r="172" spans="1:13" ht="18.75" hidden="1" customHeight="1" x14ac:dyDescent="0.4">
      <c r="A172" s="484">
        <v>46244</v>
      </c>
      <c r="B172" s="59" t="s">
        <v>1670</v>
      </c>
      <c r="C172" s="67" t="s">
        <v>106</v>
      </c>
      <c r="D172" s="59" t="s">
        <v>107</v>
      </c>
      <c r="E172" s="67"/>
      <c r="F172" s="49">
        <v>2</v>
      </c>
      <c r="G172" s="49">
        <v>333000</v>
      </c>
      <c r="H172" s="8">
        <v>666000</v>
      </c>
      <c r="I172" s="67" t="s">
        <v>213</v>
      </c>
      <c r="J172" s="109"/>
      <c r="K172" s="409"/>
      <c r="L172" s="409"/>
    </row>
    <row r="173" spans="1:13" ht="18.75" hidden="1" customHeight="1" x14ac:dyDescent="0.4">
      <c r="A173" s="484">
        <v>46244</v>
      </c>
      <c r="B173" s="59" t="s">
        <v>1670</v>
      </c>
      <c r="C173" s="67" t="s">
        <v>103</v>
      </c>
      <c r="D173" s="59" t="s">
        <v>915</v>
      </c>
      <c r="E173" s="67"/>
      <c r="F173" s="49">
        <v>1</v>
      </c>
      <c r="G173" s="49">
        <v>170000</v>
      </c>
      <c r="H173" s="8">
        <v>170000</v>
      </c>
      <c r="I173" s="67" t="s">
        <v>213</v>
      </c>
      <c r="J173" s="109"/>
      <c r="K173" s="409"/>
      <c r="L173" s="409"/>
    </row>
    <row r="174" spans="1:13" ht="18.75" hidden="1" customHeight="1" x14ac:dyDescent="0.4">
      <c r="A174" s="484">
        <v>46244</v>
      </c>
      <c r="B174" s="59" t="s">
        <v>1670</v>
      </c>
      <c r="C174" s="67" t="s">
        <v>110</v>
      </c>
      <c r="D174" s="59" t="s">
        <v>111</v>
      </c>
      <c r="E174" s="67"/>
      <c r="F174" s="49">
        <v>1</v>
      </c>
      <c r="G174" s="49">
        <v>102070</v>
      </c>
      <c r="H174" s="8">
        <v>102070</v>
      </c>
      <c r="I174" s="67" t="s">
        <v>213</v>
      </c>
      <c r="J174" s="109"/>
      <c r="K174" s="409"/>
      <c r="L174" s="409"/>
    </row>
    <row r="175" spans="1:13" ht="18.75" hidden="1" customHeight="1" x14ac:dyDescent="0.4">
      <c r="A175" s="484">
        <v>46244</v>
      </c>
      <c r="B175" s="59" t="s">
        <v>1670</v>
      </c>
      <c r="C175" s="67" t="s">
        <v>358</v>
      </c>
      <c r="D175" s="59" t="s">
        <v>359</v>
      </c>
      <c r="E175" s="67"/>
      <c r="F175" s="49">
        <v>3</v>
      </c>
      <c r="G175" s="49">
        <v>318000</v>
      </c>
      <c r="H175" s="8">
        <v>954000</v>
      </c>
      <c r="I175" s="67" t="s">
        <v>70</v>
      </c>
      <c r="J175" s="109"/>
      <c r="K175" s="409"/>
      <c r="L175" s="409"/>
    </row>
    <row r="176" spans="1:13" ht="18.75" hidden="1" customHeight="1" x14ac:dyDescent="0.4">
      <c r="A176" s="484">
        <v>46244</v>
      </c>
      <c r="B176" s="59" t="s">
        <v>1670</v>
      </c>
      <c r="C176" s="67" t="s">
        <v>562</v>
      </c>
      <c r="D176" s="59" t="s">
        <v>1729</v>
      </c>
      <c r="E176" s="67"/>
      <c r="F176" s="49">
        <v>1</v>
      </c>
      <c r="G176" s="49">
        <v>1000000</v>
      </c>
      <c r="H176" s="8">
        <v>1000000</v>
      </c>
      <c r="I176" s="67" t="s">
        <v>70</v>
      </c>
      <c r="J176" s="109"/>
      <c r="K176" s="409"/>
      <c r="L176" s="409"/>
    </row>
    <row r="177" spans="1:12" ht="18.75" hidden="1" customHeight="1" x14ac:dyDescent="0.4">
      <c r="A177" s="482">
        <v>46244</v>
      </c>
      <c r="B177" s="110" t="s">
        <v>1670</v>
      </c>
      <c r="C177" s="111" t="s">
        <v>358</v>
      </c>
      <c r="D177" s="110" t="s">
        <v>359</v>
      </c>
      <c r="E177" s="111"/>
      <c r="F177" s="81">
        <v>2</v>
      </c>
      <c r="G177" s="81">
        <v>318000</v>
      </c>
      <c r="H177" s="8">
        <v>636000</v>
      </c>
      <c r="I177" s="111" t="s">
        <v>70</v>
      </c>
      <c r="J177" s="112"/>
      <c r="K177" s="409"/>
      <c r="L177" s="627"/>
    </row>
    <row r="178" spans="1:12" ht="18.75" hidden="1" customHeight="1" x14ac:dyDescent="0.4">
      <c r="A178" s="482">
        <v>46244</v>
      </c>
      <c r="B178" s="110" t="s">
        <v>1670</v>
      </c>
      <c r="C178" s="111" t="s">
        <v>358</v>
      </c>
      <c r="D178" s="110" t="s">
        <v>359</v>
      </c>
      <c r="E178" s="111"/>
      <c r="F178" s="81">
        <v>4</v>
      </c>
      <c r="G178" s="81">
        <v>318000</v>
      </c>
      <c r="H178" s="8">
        <v>1272000</v>
      </c>
      <c r="I178" s="111" t="s">
        <v>70</v>
      </c>
      <c r="J178" s="112"/>
      <c r="K178" s="409"/>
      <c r="L178" s="627"/>
    </row>
    <row r="179" spans="1:12" s="19" customFormat="1" ht="18.75" hidden="1" customHeight="1" x14ac:dyDescent="0.4">
      <c r="A179" s="484">
        <v>46244</v>
      </c>
      <c r="B179" s="59" t="s">
        <v>1670</v>
      </c>
      <c r="C179" s="6" t="s">
        <v>358</v>
      </c>
      <c r="D179" s="69" t="s">
        <v>359</v>
      </c>
      <c r="E179" s="8"/>
      <c r="F179" s="8">
        <v>4</v>
      </c>
      <c r="G179" s="36">
        <v>318000</v>
      </c>
      <c r="H179" s="49">
        <v>1272000</v>
      </c>
      <c r="I179" s="150" t="s">
        <v>70</v>
      </c>
      <c r="J179" s="70"/>
      <c r="K179" s="29"/>
      <c r="L179" s="405"/>
    </row>
    <row r="180" spans="1:12" s="19" customFormat="1" ht="18.75" hidden="1" customHeight="1" x14ac:dyDescent="0.4">
      <c r="A180" s="484">
        <v>46244</v>
      </c>
      <c r="B180" s="59" t="s">
        <v>1670</v>
      </c>
      <c r="C180" s="6" t="s">
        <v>290</v>
      </c>
      <c r="D180" s="69" t="s">
        <v>291</v>
      </c>
      <c r="E180" s="8"/>
      <c r="F180" s="8">
        <v>1</v>
      </c>
      <c r="G180" s="36">
        <v>129000</v>
      </c>
      <c r="H180" s="49">
        <v>129000</v>
      </c>
      <c r="I180" s="150" t="s">
        <v>215</v>
      </c>
      <c r="J180" s="70"/>
      <c r="K180" s="29"/>
      <c r="L180" s="405"/>
    </row>
    <row r="181" spans="1:12" s="19" customFormat="1" ht="18.75" hidden="1" customHeight="1" x14ac:dyDescent="0.4">
      <c r="A181" s="484">
        <v>46244</v>
      </c>
      <c r="B181" s="59" t="s">
        <v>1670</v>
      </c>
      <c r="C181" s="6" t="s">
        <v>562</v>
      </c>
      <c r="D181" s="69" t="s">
        <v>1729</v>
      </c>
      <c r="E181" s="8"/>
      <c r="F181" s="8">
        <v>1</v>
      </c>
      <c r="G181" s="36">
        <v>1000000</v>
      </c>
      <c r="H181" s="49">
        <v>1000000</v>
      </c>
      <c r="I181" s="150" t="s">
        <v>70</v>
      </c>
      <c r="J181" s="70"/>
      <c r="K181" s="29"/>
      <c r="L181" s="405"/>
    </row>
    <row r="182" spans="1:12" s="19" customFormat="1" ht="18.75" hidden="1" customHeight="1" x14ac:dyDescent="0.4">
      <c r="A182" s="484">
        <v>46244</v>
      </c>
      <c r="B182" s="59" t="s">
        <v>1670</v>
      </c>
      <c r="C182" s="6" t="s">
        <v>192</v>
      </c>
      <c r="D182" s="69" t="s">
        <v>193</v>
      </c>
      <c r="E182" s="8"/>
      <c r="F182" s="8">
        <v>4</v>
      </c>
      <c r="G182" s="36">
        <v>218000</v>
      </c>
      <c r="H182" s="49">
        <v>872000</v>
      </c>
      <c r="I182" s="150" t="s">
        <v>70</v>
      </c>
      <c r="J182" s="70"/>
      <c r="K182" s="29"/>
      <c r="L182" s="405"/>
    </row>
    <row r="183" spans="1:12" s="19" customFormat="1" ht="18.75" hidden="1" customHeight="1" x14ac:dyDescent="0.4">
      <c r="A183" s="484">
        <v>46244</v>
      </c>
      <c r="B183" s="59" t="s">
        <v>1670</v>
      </c>
      <c r="C183" s="6" t="s">
        <v>448</v>
      </c>
      <c r="D183" s="69" t="s">
        <v>1049</v>
      </c>
      <c r="E183" s="8"/>
      <c r="F183" s="8">
        <v>1</v>
      </c>
      <c r="G183" s="36">
        <v>46000</v>
      </c>
      <c r="H183" s="49">
        <v>46000</v>
      </c>
      <c r="I183" s="150" t="s">
        <v>70</v>
      </c>
      <c r="J183" s="70"/>
      <c r="K183" s="29"/>
      <c r="L183" s="405"/>
    </row>
    <row r="184" spans="1:12" s="19" customFormat="1" ht="18.75" hidden="1" customHeight="1" x14ac:dyDescent="0.4">
      <c r="A184" s="484">
        <v>46244</v>
      </c>
      <c r="B184" s="59" t="s">
        <v>1670</v>
      </c>
      <c r="C184" s="6" t="s">
        <v>202</v>
      </c>
      <c r="D184" s="69" t="s">
        <v>928</v>
      </c>
      <c r="E184" s="8"/>
      <c r="F184" s="8">
        <v>1</v>
      </c>
      <c r="G184" s="36">
        <v>384000</v>
      </c>
      <c r="H184" s="49">
        <v>384000</v>
      </c>
      <c r="I184" s="150" t="s">
        <v>929</v>
      </c>
      <c r="J184" s="70"/>
      <c r="K184" s="29"/>
      <c r="L184" s="405"/>
    </row>
    <row r="185" spans="1:12" s="19" customFormat="1" ht="18.75" hidden="1" customHeight="1" x14ac:dyDescent="0.4">
      <c r="A185" s="484">
        <v>46244</v>
      </c>
      <c r="B185" s="59" t="s">
        <v>1670</v>
      </c>
      <c r="C185" s="6" t="s">
        <v>290</v>
      </c>
      <c r="D185" s="69" t="s">
        <v>291</v>
      </c>
      <c r="E185" s="8"/>
      <c r="F185" s="8">
        <v>1</v>
      </c>
      <c r="G185" s="36">
        <v>129000</v>
      </c>
      <c r="H185" s="49">
        <v>129000</v>
      </c>
      <c r="I185" s="150" t="s">
        <v>215</v>
      </c>
      <c r="J185" s="70"/>
      <c r="K185" s="29"/>
      <c r="L185" s="405"/>
    </row>
    <row r="186" spans="1:12" s="19" customFormat="1" ht="18.75" hidden="1" customHeight="1" x14ac:dyDescent="0.4">
      <c r="A186" s="484">
        <v>46244</v>
      </c>
      <c r="B186" s="59" t="s">
        <v>1670</v>
      </c>
      <c r="C186" s="6" t="s">
        <v>192</v>
      </c>
      <c r="D186" s="69" t="s">
        <v>193</v>
      </c>
      <c r="E186" s="8"/>
      <c r="F186" s="8">
        <v>2</v>
      </c>
      <c r="G186" s="36">
        <v>218000</v>
      </c>
      <c r="H186" s="49">
        <v>436000</v>
      </c>
      <c r="I186" s="150" t="s">
        <v>70</v>
      </c>
      <c r="J186" s="70"/>
      <c r="K186" s="29"/>
      <c r="L186" s="405"/>
    </row>
    <row r="187" spans="1:12" s="19" customFormat="1" ht="18.75" hidden="1" customHeight="1" x14ac:dyDescent="0.4">
      <c r="A187" s="484">
        <v>46244</v>
      </c>
      <c r="B187" s="59" t="s">
        <v>1670</v>
      </c>
      <c r="C187" s="6" t="s">
        <v>448</v>
      </c>
      <c r="D187" s="69" t="s">
        <v>1049</v>
      </c>
      <c r="E187" s="8"/>
      <c r="F187" s="8">
        <v>2</v>
      </c>
      <c r="G187" s="36">
        <v>46000</v>
      </c>
      <c r="H187" s="49">
        <v>92000</v>
      </c>
      <c r="I187" s="150" t="s">
        <v>70</v>
      </c>
      <c r="J187" s="70"/>
      <c r="K187" s="29"/>
      <c r="L187" s="405"/>
    </row>
    <row r="188" spans="1:12" s="19" customFormat="1" ht="18.75" hidden="1" customHeight="1" x14ac:dyDescent="0.4">
      <c r="A188" s="484">
        <v>46244</v>
      </c>
      <c r="B188" s="59" t="s">
        <v>1670</v>
      </c>
      <c r="C188" s="6" t="s">
        <v>290</v>
      </c>
      <c r="D188" s="69" t="s">
        <v>291</v>
      </c>
      <c r="E188" s="8"/>
      <c r="F188" s="8">
        <v>2</v>
      </c>
      <c r="G188" s="36">
        <v>129000</v>
      </c>
      <c r="H188" s="49">
        <v>258000</v>
      </c>
      <c r="I188" s="150" t="s">
        <v>70</v>
      </c>
      <c r="J188" s="70"/>
      <c r="K188" s="29"/>
      <c r="L188" s="405"/>
    </row>
    <row r="189" spans="1:12" s="19" customFormat="1" ht="18.75" hidden="1" customHeight="1" x14ac:dyDescent="0.4">
      <c r="A189" s="484">
        <v>46244</v>
      </c>
      <c r="B189" s="59" t="s">
        <v>1670</v>
      </c>
      <c r="C189" s="6" t="s">
        <v>290</v>
      </c>
      <c r="D189" s="69" t="s">
        <v>291</v>
      </c>
      <c r="E189" s="8"/>
      <c r="F189" s="8">
        <v>2</v>
      </c>
      <c r="G189" s="36">
        <v>129000</v>
      </c>
      <c r="H189" s="49">
        <v>258000</v>
      </c>
      <c r="I189" s="150" t="s">
        <v>70</v>
      </c>
      <c r="J189" s="70"/>
      <c r="K189" s="29"/>
      <c r="L189" s="405"/>
    </row>
    <row r="190" spans="1:12" s="19" customFormat="1" ht="18.75" hidden="1" customHeight="1" x14ac:dyDescent="0.4">
      <c r="A190" s="484">
        <v>46244</v>
      </c>
      <c r="B190" s="59" t="s">
        <v>1670</v>
      </c>
      <c r="C190" s="6" t="s">
        <v>290</v>
      </c>
      <c r="D190" s="69" t="s">
        <v>291</v>
      </c>
      <c r="E190" s="8"/>
      <c r="F190" s="8">
        <v>2</v>
      </c>
      <c r="G190" s="36">
        <v>129000</v>
      </c>
      <c r="H190" s="49">
        <v>258000</v>
      </c>
      <c r="I190" s="150" t="s">
        <v>70</v>
      </c>
      <c r="J190" s="70"/>
      <c r="K190" s="29"/>
      <c r="L190" s="405"/>
    </row>
    <row r="191" spans="1:12" s="19" customFormat="1" ht="18.75" hidden="1" customHeight="1" x14ac:dyDescent="0.4">
      <c r="A191" s="484">
        <v>46244</v>
      </c>
      <c r="B191" s="59" t="s">
        <v>1670</v>
      </c>
      <c r="C191" s="6" t="s">
        <v>290</v>
      </c>
      <c r="D191" s="69" t="s">
        <v>291</v>
      </c>
      <c r="E191" s="8"/>
      <c r="F191" s="8">
        <v>2</v>
      </c>
      <c r="G191" s="36">
        <v>129000</v>
      </c>
      <c r="H191" s="49">
        <v>258000</v>
      </c>
      <c r="I191" s="150" t="s">
        <v>70</v>
      </c>
      <c r="J191" s="70"/>
      <c r="K191" s="29"/>
      <c r="L191" s="405"/>
    </row>
    <row r="192" spans="1:12" s="19" customFormat="1" ht="18.75" hidden="1" customHeight="1" x14ac:dyDescent="0.4">
      <c r="A192" s="484">
        <v>46244</v>
      </c>
      <c r="B192" s="59" t="s">
        <v>1670</v>
      </c>
      <c r="C192" s="6" t="s">
        <v>898</v>
      </c>
      <c r="D192" s="69" t="s">
        <v>899</v>
      </c>
      <c r="E192" s="8"/>
      <c r="F192" s="8">
        <v>2</v>
      </c>
      <c r="G192" s="36">
        <v>350000</v>
      </c>
      <c r="H192" s="49">
        <v>700000</v>
      </c>
      <c r="I192" s="150" t="s">
        <v>213</v>
      </c>
      <c r="J192" s="70"/>
      <c r="K192" s="29"/>
      <c r="L192" s="405"/>
    </row>
    <row r="193" spans="1:12" s="19" customFormat="1" ht="18.75" hidden="1" customHeight="1" x14ac:dyDescent="0.4">
      <c r="A193" s="484">
        <v>46246</v>
      </c>
      <c r="B193" s="59" t="s">
        <v>1670</v>
      </c>
      <c r="C193" s="6" t="s">
        <v>66</v>
      </c>
      <c r="D193" s="69" t="s">
        <v>1080</v>
      </c>
      <c r="E193" s="8"/>
      <c r="F193" s="8">
        <v>1</v>
      </c>
      <c r="G193" s="36">
        <v>1766050</v>
      </c>
      <c r="H193" s="49">
        <v>1766050</v>
      </c>
      <c r="I193" s="150" t="s">
        <v>1562</v>
      </c>
      <c r="J193" s="70"/>
      <c r="K193" s="29"/>
      <c r="L193" s="405"/>
    </row>
    <row r="194" spans="1:12" s="19" customFormat="1" ht="18.75" hidden="1" customHeight="1" x14ac:dyDescent="0.4">
      <c r="A194" s="484">
        <v>46246</v>
      </c>
      <c r="B194" s="59" t="s">
        <v>1670</v>
      </c>
      <c r="C194" s="6" t="s">
        <v>64</v>
      </c>
      <c r="D194" s="69" t="s">
        <v>98</v>
      </c>
      <c r="E194" s="8"/>
      <c r="F194" s="8">
        <v>2</v>
      </c>
      <c r="G194" s="36">
        <v>1431650</v>
      </c>
      <c r="H194" s="49">
        <v>2863300</v>
      </c>
      <c r="I194" s="150" t="s">
        <v>1562</v>
      </c>
      <c r="J194" s="70"/>
      <c r="K194" s="29"/>
      <c r="L194" s="405"/>
    </row>
    <row r="195" spans="1:12" s="19" customFormat="1" ht="18.75" hidden="1" customHeight="1" x14ac:dyDescent="0.4">
      <c r="A195" s="484">
        <v>46246</v>
      </c>
      <c r="B195" s="59" t="s">
        <v>1670</v>
      </c>
      <c r="C195" s="6" t="s">
        <v>202</v>
      </c>
      <c r="D195" s="69" t="s">
        <v>921</v>
      </c>
      <c r="E195" s="8"/>
      <c r="F195" s="8">
        <v>12</v>
      </c>
      <c r="G195" s="36">
        <v>351500</v>
      </c>
      <c r="H195" s="49">
        <v>4218000</v>
      </c>
      <c r="I195" s="150" t="s">
        <v>1562</v>
      </c>
      <c r="J195" s="70"/>
      <c r="K195" s="29"/>
      <c r="L195" s="405"/>
    </row>
    <row r="196" spans="1:12" s="19" customFormat="1" ht="18.75" hidden="1" customHeight="1" x14ac:dyDescent="0.4">
      <c r="A196" s="484">
        <v>46246</v>
      </c>
      <c r="B196" s="59" t="s">
        <v>1670</v>
      </c>
      <c r="C196" s="6" t="s">
        <v>67</v>
      </c>
      <c r="D196" s="69" t="s">
        <v>197</v>
      </c>
      <c r="E196" s="8"/>
      <c r="F196" s="8">
        <v>4</v>
      </c>
      <c r="G196" s="36">
        <v>364800</v>
      </c>
      <c r="H196" s="49">
        <v>1459200</v>
      </c>
      <c r="I196" s="150" t="s">
        <v>1562</v>
      </c>
      <c r="J196" s="70"/>
      <c r="K196" s="29"/>
      <c r="L196" s="405"/>
    </row>
    <row r="197" spans="1:12" s="19" customFormat="1" ht="18.75" hidden="1" customHeight="1" x14ac:dyDescent="0.4">
      <c r="A197" s="484">
        <v>46246</v>
      </c>
      <c r="B197" s="59" t="s">
        <v>1670</v>
      </c>
      <c r="C197" s="6" t="s">
        <v>73</v>
      </c>
      <c r="D197" s="69" t="s">
        <v>288</v>
      </c>
      <c r="E197" s="8"/>
      <c r="F197" s="8">
        <v>3</v>
      </c>
      <c r="G197" s="36">
        <v>390000</v>
      </c>
      <c r="H197" s="49">
        <v>1170000</v>
      </c>
      <c r="I197" s="150" t="s">
        <v>1562</v>
      </c>
      <c r="J197" s="70"/>
      <c r="K197" s="29"/>
      <c r="L197" s="405"/>
    </row>
    <row r="198" spans="1:12" s="19" customFormat="1" ht="18.75" hidden="1" customHeight="1" x14ac:dyDescent="0.4">
      <c r="A198" s="484">
        <v>46246</v>
      </c>
      <c r="B198" s="59" t="s">
        <v>1670</v>
      </c>
      <c r="C198" s="6" t="s">
        <v>428</v>
      </c>
      <c r="D198" s="69" t="s">
        <v>289</v>
      </c>
      <c r="E198" s="8"/>
      <c r="F198" s="8">
        <v>2</v>
      </c>
      <c r="G198" s="36">
        <v>390000</v>
      </c>
      <c r="H198" s="49">
        <v>780000</v>
      </c>
      <c r="I198" s="150" t="s">
        <v>1562</v>
      </c>
      <c r="J198" s="70"/>
      <c r="K198" s="29"/>
      <c r="L198" s="405"/>
    </row>
    <row r="199" spans="1:12" s="19" customFormat="1" ht="18.75" hidden="1" customHeight="1" x14ac:dyDescent="0.4">
      <c r="A199" s="484">
        <v>46246</v>
      </c>
      <c r="B199" s="59" t="s">
        <v>1670</v>
      </c>
      <c r="C199" s="6" t="s">
        <v>66</v>
      </c>
      <c r="D199" s="69" t="s">
        <v>195</v>
      </c>
      <c r="E199" s="8"/>
      <c r="F199" s="8">
        <v>14</v>
      </c>
      <c r="G199" s="36">
        <v>1917500</v>
      </c>
      <c r="H199" s="49">
        <v>26845000</v>
      </c>
      <c r="I199" s="150" t="s">
        <v>1680</v>
      </c>
      <c r="J199" s="70"/>
      <c r="K199" s="29"/>
      <c r="L199" s="405"/>
    </row>
    <row r="200" spans="1:12" s="19" customFormat="1" ht="18.75" hidden="1" customHeight="1" x14ac:dyDescent="0.4">
      <c r="A200" s="484">
        <v>46246</v>
      </c>
      <c r="B200" s="59" t="s">
        <v>1670</v>
      </c>
      <c r="C200" s="6" t="s">
        <v>64</v>
      </c>
      <c r="D200" s="69" t="s">
        <v>65</v>
      </c>
      <c r="E200" s="8"/>
      <c r="F200" s="8">
        <v>11</v>
      </c>
      <c r="G200" s="36">
        <v>1568700</v>
      </c>
      <c r="H200" s="49">
        <v>17255700</v>
      </c>
      <c r="I200" s="150" t="s">
        <v>1680</v>
      </c>
      <c r="J200" s="70"/>
      <c r="K200" s="29"/>
      <c r="L200" s="405"/>
    </row>
    <row r="201" spans="1:12" s="19" customFormat="1" ht="18.75" hidden="1" customHeight="1" x14ac:dyDescent="0.4">
      <c r="A201" s="484">
        <v>46246</v>
      </c>
      <c r="B201" s="59" t="s">
        <v>1670</v>
      </c>
      <c r="C201" s="6" t="s">
        <v>76</v>
      </c>
      <c r="D201" s="69" t="s">
        <v>77</v>
      </c>
      <c r="E201" s="8"/>
      <c r="F201" s="8">
        <v>4</v>
      </c>
      <c r="G201" s="36">
        <v>900000</v>
      </c>
      <c r="H201" s="49">
        <v>3600000</v>
      </c>
      <c r="I201" s="150" t="s">
        <v>70</v>
      </c>
      <c r="J201" s="70"/>
      <c r="K201" s="29"/>
      <c r="L201" s="405"/>
    </row>
    <row r="202" spans="1:12" s="19" customFormat="1" ht="18.75" hidden="1" customHeight="1" x14ac:dyDescent="0.4">
      <c r="A202" s="484">
        <v>46246</v>
      </c>
      <c r="B202" s="59" t="s">
        <v>1670</v>
      </c>
      <c r="C202" s="6" t="s">
        <v>115</v>
      </c>
      <c r="D202" s="69" t="s">
        <v>742</v>
      </c>
      <c r="E202" s="8"/>
      <c r="F202" s="8">
        <v>2</v>
      </c>
      <c r="G202" s="36">
        <v>186000</v>
      </c>
      <c r="H202" s="49">
        <v>372000</v>
      </c>
      <c r="I202" s="150" t="s">
        <v>70</v>
      </c>
      <c r="J202" s="70"/>
      <c r="K202" s="29"/>
      <c r="L202" s="405"/>
    </row>
    <row r="203" spans="1:12" s="19" customFormat="1" ht="18.75" hidden="1" customHeight="1" x14ac:dyDescent="0.4">
      <c r="A203" s="484">
        <v>46246</v>
      </c>
      <c r="B203" s="59" t="s">
        <v>1670</v>
      </c>
      <c r="C203" s="6" t="s">
        <v>115</v>
      </c>
      <c r="D203" s="69" t="s">
        <v>742</v>
      </c>
      <c r="E203" s="8"/>
      <c r="F203" s="8">
        <v>2</v>
      </c>
      <c r="G203" s="36">
        <v>186000</v>
      </c>
      <c r="H203" s="49">
        <v>372000</v>
      </c>
      <c r="I203" s="150" t="s">
        <v>70</v>
      </c>
      <c r="J203" s="70"/>
      <c r="K203" s="29"/>
      <c r="L203" s="405"/>
    </row>
    <row r="204" spans="1:12" s="19" customFormat="1" ht="18.75" hidden="1" customHeight="1" x14ac:dyDescent="0.4">
      <c r="A204" s="484">
        <v>46246</v>
      </c>
      <c r="B204" s="59" t="s">
        <v>1670</v>
      </c>
      <c r="C204" s="6" t="s">
        <v>115</v>
      </c>
      <c r="D204" s="69" t="s">
        <v>742</v>
      </c>
      <c r="E204" s="8"/>
      <c r="F204" s="8">
        <v>1</v>
      </c>
      <c r="G204" s="36">
        <v>186000</v>
      </c>
      <c r="H204" s="49">
        <v>186000</v>
      </c>
      <c r="I204" s="150" t="s">
        <v>70</v>
      </c>
      <c r="J204" s="70"/>
      <c r="K204" s="29"/>
      <c r="L204" s="405"/>
    </row>
    <row r="205" spans="1:12" s="19" customFormat="1" ht="18.75" hidden="1" customHeight="1" x14ac:dyDescent="0.4">
      <c r="A205" s="484">
        <v>46246</v>
      </c>
      <c r="B205" s="59" t="s">
        <v>1670</v>
      </c>
      <c r="C205" s="6" t="s">
        <v>115</v>
      </c>
      <c r="D205" s="69" t="s">
        <v>742</v>
      </c>
      <c r="E205" s="8"/>
      <c r="F205" s="8">
        <v>2</v>
      </c>
      <c r="G205" s="36">
        <v>186000</v>
      </c>
      <c r="H205" s="49">
        <v>372000</v>
      </c>
      <c r="I205" s="150" t="s">
        <v>70</v>
      </c>
      <c r="J205" s="70"/>
      <c r="K205" s="29"/>
      <c r="L205" s="405"/>
    </row>
    <row r="206" spans="1:12" s="19" customFormat="1" ht="18.75" hidden="1" customHeight="1" x14ac:dyDescent="0.4">
      <c r="A206" s="484">
        <v>46247</v>
      </c>
      <c r="B206" s="59" t="s">
        <v>1670</v>
      </c>
      <c r="C206" s="6" t="s">
        <v>115</v>
      </c>
      <c r="D206" s="69" t="s">
        <v>742</v>
      </c>
      <c r="E206" s="8"/>
      <c r="F206" s="8">
        <v>2</v>
      </c>
      <c r="G206" s="36">
        <v>186000</v>
      </c>
      <c r="H206" s="49">
        <v>372000</v>
      </c>
      <c r="I206" s="150" t="s">
        <v>70</v>
      </c>
      <c r="J206" s="70"/>
      <c r="K206" s="29"/>
      <c r="L206" s="405"/>
    </row>
    <row r="207" spans="1:12" s="19" customFormat="1" ht="18.75" hidden="1" customHeight="1" x14ac:dyDescent="0.4">
      <c r="A207" s="484">
        <v>46247</v>
      </c>
      <c r="B207" s="59" t="s">
        <v>1670</v>
      </c>
      <c r="C207" s="6" t="s">
        <v>290</v>
      </c>
      <c r="D207" s="69" t="s">
        <v>291</v>
      </c>
      <c r="E207" s="8"/>
      <c r="F207" s="8">
        <v>2</v>
      </c>
      <c r="G207" s="36">
        <v>129000</v>
      </c>
      <c r="H207" s="49">
        <v>258000</v>
      </c>
      <c r="I207" s="150" t="s">
        <v>70</v>
      </c>
      <c r="J207" s="70"/>
      <c r="K207" s="29"/>
      <c r="L207" s="405"/>
    </row>
    <row r="208" spans="1:12" s="19" customFormat="1" ht="18.75" hidden="1" customHeight="1" x14ac:dyDescent="0.4">
      <c r="A208" s="484">
        <v>46247</v>
      </c>
      <c r="B208" s="59" t="s">
        <v>1670</v>
      </c>
      <c r="C208" s="6" t="s">
        <v>290</v>
      </c>
      <c r="D208" s="69" t="s">
        <v>291</v>
      </c>
      <c r="E208" s="8"/>
      <c r="F208" s="8">
        <v>2</v>
      </c>
      <c r="G208" s="36">
        <v>129000</v>
      </c>
      <c r="H208" s="49">
        <v>258000</v>
      </c>
      <c r="I208" s="150" t="s">
        <v>70</v>
      </c>
      <c r="J208" s="70"/>
      <c r="K208" s="29"/>
      <c r="L208" s="405"/>
    </row>
    <row r="209" spans="1:12" s="19" customFormat="1" ht="18.75" hidden="1" customHeight="1" x14ac:dyDescent="0.4">
      <c r="A209" s="484">
        <v>46248</v>
      </c>
      <c r="B209" s="59" t="s">
        <v>1670</v>
      </c>
      <c r="C209" s="6" t="s">
        <v>67</v>
      </c>
      <c r="D209" s="69" t="s">
        <v>80</v>
      </c>
      <c r="E209" s="8"/>
      <c r="F209" s="8">
        <v>9</v>
      </c>
      <c r="G209" s="36">
        <v>384000</v>
      </c>
      <c r="H209" s="49">
        <v>3456000</v>
      </c>
      <c r="I209" s="150" t="s">
        <v>1684</v>
      </c>
      <c r="J209" s="70"/>
      <c r="K209" s="29"/>
      <c r="L209" s="405"/>
    </row>
    <row r="210" spans="1:12" s="19" customFormat="1" ht="18.75" hidden="1" customHeight="1" x14ac:dyDescent="0.4">
      <c r="A210" s="484">
        <v>46248</v>
      </c>
      <c r="B210" s="59" t="s">
        <v>1670</v>
      </c>
      <c r="C210" s="6" t="s">
        <v>62</v>
      </c>
      <c r="D210" s="69" t="s">
        <v>75</v>
      </c>
      <c r="E210" s="8"/>
      <c r="F210" s="8">
        <v>8</v>
      </c>
      <c r="G210" s="36">
        <v>442000</v>
      </c>
      <c r="H210" s="49">
        <v>3536000</v>
      </c>
      <c r="I210" s="150" t="s">
        <v>1684</v>
      </c>
      <c r="J210" s="70"/>
      <c r="K210" s="29"/>
      <c r="L210" s="405"/>
    </row>
    <row r="211" spans="1:12" s="19" customFormat="1" ht="18.75" hidden="1" customHeight="1" x14ac:dyDescent="0.4">
      <c r="A211" s="484">
        <v>46248</v>
      </c>
      <c r="B211" s="59" t="s">
        <v>1670</v>
      </c>
      <c r="C211" s="6" t="s">
        <v>62</v>
      </c>
      <c r="D211" s="69" t="s">
        <v>75</v>
      </c>
      <c r="E211" s="8"/>
      <c r="F211" s="8">
        <v>4</v>
      </c>
      <c r="G211" s="36">
        <v>442000</v>
      </c>
      <c r="H211" s="49">
        <v>1768000</v>
      </c>
      <c r="I211" s="150" t="s">
        <v>1561</v>
      </c>
      <c r="J211" s="70"/>
      <c r="K211" s="29"/>
      <c r="L211" s="405"/>
    </row>
    <row r="212" spans="1:12" s="19" customFormat="1" ht="18.75" hidden="1" customHeight="1" x14ac:dyDescent="0.4">
      <c r="A212" s="484">
        <v>46248</v>
      </c>
      <c r="B212" s="59" t="s">
        <v>1670</v>
      </c>
      <c r="C212" s="6" t="s">
        <v>67</v>
      </c>
      <c r="D212" s="69" t="s">
        <v>80</v>
      </c>
      <c r="E212" s="8"/>
      <c r="F212" s="8">
        <v>5</v>
      </c>
      <c r="G212" s="36">
        <v>384000</v>
      </c>
      <c r="H212" s="49">
        <v>1920000</v>
      </c>
      <c r="I212" s="150" t="s">
        <v>1680</v>
      </c>
      <c r="J212" s="70"/>
      <c r="K212" s="29"/>
      <c r="L212" s="405"/>
    </row>
    <row r="213" spans="1:12" s="19" customFormat="1" ht="18.75" hidden="1" customHeight="1" x14ac:dyDescent="0.4">
      <c r="A213" s="484">
        <v>46248</v>
      </c>
      <c r="B213" s="59" t="s">
        <v>1670</v>
      </c>
      <c r="C213" s="6" t="s">
        <v>62</v>
      </c>
      <c r="D213" s="69" t="s">
        <v>75</v>
      </c>
      <c r="E213" s="8"/>
      <c r="F213" s="8">
        <v>14</v>
      </c>
      <c r="G213" s="36">
        <v>442000</v>
      </c>
      <c r="H213" s="49">
        <v>6188000</v>
      </c>
      <c r="I213" s="150" t="s">
        <v>1680</v>
      </c>
      <c r="J213" s="70"/>
      <c r="K213" s="29"/>
      <c r="L213" s="405"/>
    </row>
    <row r="214" spans="1:12" s="19" customFormat="1" ht="18.75" hidden="1" customHeight="1" x14ac:dyDescent="0.4">
      <c r="A214" s="484">
        <v>46248</v>
      </c>
      <c r="B214" s="59" t="s">
        <v>1670</v>
      </c>
      <c r="C214" s="6" t="s">
        <v>202</v>
      </c>
      <c r="D214" s="69" t="s">
        <v>203</v>
      </c>
      <c r="E214" s="8"/>
      <c r="F214" s="8">
        <v>5</v>
      </c>
      <c r="G214" s="36">
        <v>384000</v>
      </c>
      <c r="H214" s="49">
        <v>1920000</v>
      </c>
      <c r="I214" s="150" t="s">
        <v>1680</v>
      </c>
      <c r="J214" s="70"/>
      <c r="K214" s="29"/>
      <c r="L214" s="405"/>
    </row>
    <row r="215" spans="1:12" s="19" customFormat="1" ht="18.75" hidden="1" customHeight="1" x14ac:dyDescent="0.4">
      <c r="A215" s="484">
        <v>46248</v>
      </c>
      <c r="B215" s="59" t="s">
        <v>1670</v>
      </c>
      <c r="C215" s="6" t="s">
        <v>78</v>
      </c>
      <c r="D215" s="69" t="s">
        <v>79</v>
      </c>
      <c r="E215" s="8"/>
      <c r="F215" s="8">
        <v>8</v>
      </c>
      <c r="G215" s="36">
        <v>90500</v>
      </c>
      <c r="H215" s="49">
        <v>724000</v>
      </c>
      <c r="I215" s="150" t="s">
        <v>1779</v>
      </c>
      <c r="J215" s="70"/>
      <c r="K215" s="29"/>
      <c r="L215" s="405"/>
    </row>
    <row r="216" spans="1:12" s="19" customFormat="1" ht="18.75" hidden="1" customHeight="1" x14ac:dyDescent="0.4">
      <c r="A216" s="484">
        <v>46253</v>
      </c>
      <c r="B216" s="59" t="s">
        <v>1670</v>
      </c>
      <c r="C216" s="6" t="s">
        <v>73</v>
      </c>
      <c r="D216" s="69" t="s">
        <v>288</v>
      </c>
      <c r="E216" s="8"/>
      <c r="F216" s="8">
        <v>1</v>
      </c>
      <c r="G216" s="36">
        <v>390000</v>
      </c>
      <c r="H216" s="49">
        <v>390000</v>
      </c>
      <c r="I216" s="150" t="s">
        <v>1562</v>
      </c>
      <c r="J216" s="70"/>
      <c r="K216" s="29"/>
      <c r="L216" s="405"/>
    </row>
    <row r="217" spans="1:12" s="19" customFormat="1" ht="18.75" hidden="1" customHeight="1" x14ac:dyDescent="0.4">
      <c r="A217" s="484">
        <v>46253</v>
      </c>
      <c r="B217" s="59" t="s">
        <v>1670</v>
      </c>
      <c r="C217" s="6" t="s">
        <v>428</v>
      </c>
      <c r="D217" s="69" t="s">
        <v>289</v>
      </c>
      <c r="E217" s="8"/>
      <c r="F217" s="8">
        <v>6</v>
      </c>
      <c r="G217" s="36">
        <v>390000</v>
      </c>
      <c r="H217" s="49">
        <v>2340000</v>
      </c>
      <c r="I217" s="150" t="s">
        <v>1562</v>
      </c>
      <c r="J217" s="70"/>
      <c r="K217" s="29"/>
      <c r="L217" s="405"/>
    </row>
    <row r="218" spans="1:12" s="19" customFormat="1" ht="18.75" hidden="1" customHeight="1" x14ac:dyDescent="0.4">
      <c r="A218" s="484">
        <v>46253</v>
      </c>
      <c r="B218" s="59" t="s">
        <v>1670</v>
      </c>
      <c r="C218" s="6" t="s">
        <v>71</v>
      </c>
      <c r="D218" s="69" t="s">
        <v>72</v>
      </c>
      <c r="E218" s="8"/>
      <c r="F218" s="8">
        <v>11</v>
      </c>
      <c r="G218" s="36">
        <v>548000</v>
      </c>
      <c r="H218" s="49">
        <v>6028000</v>
      </c>
      <c r="I218" s="150" t="s">
        <v>1684</v>
      </c>
      <c r="J218" s="70"/>
      <c r="K218" s="29"/>
      <c r="L218" s="405"/>
    </row>
    <row r="219" spans="1:12" s="19" customFormat="1" ht="18.75" hidden="1" customHeight="1" x14ac:dyDescent="0.4">
      <c r="A219" s="484">
        <v>46253</v>
      </c>
      <c r="B219" s="59" t="s">
        <v>1670</v>
      </c>
      <c r="C219" s="6" t="s">
        <v>73</v>
      </c>
      <c r="D219" s="69" t="s">
        <v>74</v>
      </c>
      <c r="E219" s="8"/>
      <c r="F219" s="8">
        <v>2</v>
      </c>
      <c r="G219" s="36">
        <v>442000</v>
      </c>
      <c r="H219" s="49">
        <v>884000</v>
      </c>
      <c r="I219" s="150" t="s">
        <v>1684</v>
      </c>
      <c r="J219" s="70"/>
      <c r="K219" s="29"/>
      <c r="L219" s="405"/>
    </row>
    <row r="220" spans="1:12" s="19" customFormat="1" ht="18.75" hidden="1" customHeight="1" x14ac:dyDescent="0.4">
      <c r="A220" s="484">
        <v>46253</v>
      </c>
      <c r="B220" s="59" t="s">
        <v>1670</v>
      </c>
      <c r="C220" s="6" t="s">
        <v>202</v>
      </c>
      <c r="D220" s="69" t="s">
        <v>203</v>
      </c>
      <c r="E220" s="8"/>
      <c r="F220" s="8">
        <v>11</v>
      </c>
      <c r="G220" s="36">
        <v>384000</v>
      </c>
      <c r="H220" s="49">
        <v>4224000</v>
      </c>
      <c r="I220" s="150" t="s">
        <v>1684</v>
      </c>
      <c r="J220" s="70"/>
      <c r="K220" s="29"/>
      <c r="L220" s="405"/>
    </row>
    <row r="221" spans="1:12" s="19" customFormat="1" ht="18.75" hidden="1" customHeight="1" x14ac:dyDescent="0.4">
      <c r="A221" s="484">
        <v>46253</v>
      </c>
      <c r="B221" s="59" t="s">
        <v>1670</v>
      </c>
      <c r="C221" s="6" t="s">
        <v>73</v>
      </c>
      <c r="D221" s="69" t="s">
        <v>74</v>
      </c>
      <c r="E221" s="8"/>
      <c r="F221" s="8">
        <v>9</v>
      </c>
      <c r="G221" s="36">
        <v>442000</v>
      </c>
      <c r="H221" s="49">
        <v>3978000</v>
      </c>
      <c r="I221" s="150" t="s">
        <v>1561</v>
      </c>
      <c r="J221" s="70"/>
      <c r="K221" s="29"/>
      <c r="L221" s="405"/>
    </row>
    <row r="222" spans="1:12" s="19" customFormat="1" ht="18.75" hidden="1" customHeight="1" x14ac:dyDescent="0.4">
      <c r="A222" s="484">
        <v>46253</v>
      </c>
      <c r="B222" s="59" t="s">
        <v>1670</v>
      </c>
      <c r="C222" s="6" t="s">
        <v>73</v>
      </c>
      <c r="D222" s="69" t="s">
        <v>74</v>
      </c>
      <c r="E222" s="8"/>
      <c r="F222" s="8">
        <v>3</v>
      </c>
      <c r="G222" s="36">
        <v>442000</v>
      </c>
      <c r="H222" s="49">
        <v>1326000</v>
      </c>
      <c r="I222" s="150" t="s">
        <v>1560</v>
      </c>
      <c r="J222" s="70"/>
      <c r="K222" s="29"/>
      <c r="L222" s="405"/>
    </row>
    <row r="223" spans="1:12" s="19" customFormat="1" ht="18.75" hidden="1" customHeight="1" x14ac:dyDescent="0.4">
      <c r="A223" s="484">
        <v>46253</v>
      </c>
      <c r="B223" s="59" t="s">
        <v>1670</v>
      </c>
      <c r="C223" s="6" t="s">
        <v>202</v>
      </c>
      <c r="D223" s="69" t="s">
        <v>203</v>
      </c>
      <c r="E223" s="8"/>
      <c r="F223" s="8">
        <v>4</v>
      </c>
      <c r="G223" s="36">
        <v>384000</v>
      </c>
      <c r="H223" s="49">
        <v>1536000</v>
      </c>
      <c r="I223" s="150" t="s">
        <v>1682</v>
      </c>
      <c r="J223" s="70"/>
      <c r="K223" s="29"/>
      <c r="L223" s="405"/>
    </row>
    <row r="224" spans="1:12" s="19" customFormat="1" ht="18.75" hidden="1" customHeight="1" x14ac:dyDescent="0.4">
      <c r="A224" s="484">
        <v>46253</v>
      </c>
      <c r="B224" s="59" t="s">
        <v>1670</v>
      </c>
      <c r="C224" s="6" t="s">
        <v>202</v>
      </c>
      <c r="D224" s="69" t="s">
        <v>203</v>
      </c>
      <c r="E224" s="8"/>
      <c r="F224" s="8">
        <v>3</v>
      </c>
      <c r="G224" s="36">
        <v>384000</v>
      </c>
      <c r="H224" s="49">
        <v>1152000</v>
      </c>
      <c r="I224" s="150" t="s">
        <v>1683</v>
      </c>
      <c r="J224" s="70"/>
      <c r="K224" s="29"/>
      <c r="L224" s="405"/>
    </row>
    <row r="225" spans="1:12" s="19" customFormat="1" ht="18.75" hidden="1" customHeight="1" x14ac:dyDescent="0.4">
      <c r="A225" s="484">
        <v>46253</v>
      </c>
      <c r="B225" s="59" t="s">
        <v>1670</v>
      </c>
      <c r="C225" s="6" t="s">
        <v>71</v>
      </c>
      <c r="D225" s="69" t="s">
        <v>72</v>
      </c>
      <c r="E225" s="8"/>
      <c r="F225" s="8">
        <v>2</v>
      </c>
      <c r="G225" s="36">
        <v>548000</v>
      </c>
      <c r="H225" s="49">
        <v>1096000</v>
      </c>
      <c r="I225" s="150" t="s">
        <v>1680</v>
      </c>
      <c r="J225" s="70"/>
      <c r="K225" s="29"/>
      <c r="L225" s="405"/>
    </row>
    <row r="226" spans="1:12" s="19" customFormat="1" ht="18.75" hidden="1" customHeight="1" x14ac:dyDescent="0.4">
      <c r="A226" s="484">
        <v>46253</v>
      </c>
      <c r="B226" s="59" t="s">
        <v>1670</v>
      </c>
      <c r="C226" s="6" t="s">
        <v>73</v>
      </c>
      <c r="D226" s="69" t="s">
        <v>74</v>
      </c>
      <c r="E226" s="8"/>
      <c r="F226" s="8">
        <v>14</v>
      </c>
      <c r="G226" s="36">
        <v>442000</v>
      </c>
      <c r="H226" s="49">
        <v>6188000</v>
      </c>
      <c r="I226" s="150" t="s">
        <v>1680</v>
      </c>
      <c r="J226" s="70"/>
      <c r="K226" s="29"/>
      <c r="L226" s="405"/>
    </row>
    <row r="227" spans="1:12" s="19" customFormat="1" ht="18.75" hidden="1" customHeight="1" x14ac:dyDescent="0.4">
      <c r="A227" s="484">
        <v>46253</v>
      </c>
      <c r="B227" s="59" t="s">
        <v>1670</v>
      </c>
      <c r="C227" s="6" t="s">
        <v>202</v>
      </c>
      <c r="D227" s="69" t="s">
        <v>203</v>
      </c>
      <c r="E227" s="8"/>
      <c r="F227" s="8">
        <v>9</v>
      </c>
      <c r="G227" s="36">
        <v>384000</v>
      </c>
      <c r="H227" s="49">
        <v>3456000</v>
      </c>
      <c r="I227" s="150" t="s">
        <v>1680</v>
      </c>
      <c r="J227" s="70"/>
      <c r="K227" s="29"/>
      <c r="L227" s="405"/>
    </row>
    <row r="228" spans="1:12" s="19" customFormat="1" ht="18.75" hidden="1" customHeight="1" x14ac:dyDescent="0.4">
      <c r="A228" s="484">
        <v>46253</v>
      </c>
      <c r="B228" s="59" t="s">
        <v>1670</v>
      </c>
      <c r="C228" s="6" t="s">
        <v>71</v>
      </c>
      <c r="D228" s="69" t="s">
        <v>72</v>
      </c>
      <c r="E228" s="8"/>
      <c r="F228" s="8">
        <v>11</v>
      </c>
      <c r="G228" s="36">
        <v>548000</v>
      </c>
      <c r="H228" s="49">
        <v>6028000</v>
      </c>
      <c r="I228" s="150" t="s">
        <v>1779</v>
      </c>
      <c r="J228" s="70"/>
      <c r="K228" s="29"/>
      <c r="L228" s="405"/>
    </row>
    <row r="229" spans="1:12" s="19" customFormat="1" ht="18.75" hidden="1" customHeight="1" x14ac:dyDescent="0.4">
      <c r="A229" s="484">
        <v>46253</v>
      </c>
      <c r="B229" s="59" t="s">
        <v>1670</v>
      </c>
      <c r="C229" s="6" t="s">
        <v>202</v>
      </c>
      <c r="D229" s="69" t="s">
        <v>203</v>
      </c>
      <c r="E229" s="8"/>
      <c r="F229" s="8">
        <v>11</v>
      </c>
      <c r="G229" s="36">
        <v>384000</v>
      </c>
      <c r="H229" s="49">
        <v>4224000</v>
      </c>
      <c r="I229" s="150" t="s">
        <v>1779</v>
      </c>
      <c r="J229" s="70"/>
      <c r="K229" s="29"/>
      <c r="L229" s="405"/>
    </row>
    <row r="230" spans="1:12" s="19" customFormat="1" ht="18.75" hidden="1" customHeight="1" x14ac:dyDescent="0.4">
      <c r="A230" s="484">
        <v>46253</v>
      </c>
      <c r="B230" s="59" t="s">
        <v>1670</v>
      </c>
      <c r="C230" s="6" t="s">
        <v>81</v>
      </c>
      <c r="D230" s="69" t="s">
        <v>82</v>
      </c>
      <c r="E230" s="8"/>
      <c r="F230" s="8">
        <v>6</v>
      </c>
      <c r="G230" s="36">
        <v>86300</v>
      </c>
      <c r="H230" s="49">
        <v>517800</v>
      </c>
      <c r="I230" s="150" t="s">
        <v>1779</v>
      </c>
      <c r="J230" s="70"/>
      <c r="K230" s="29"/>
      <c r="L230" s="405"/>
    </row>
    <row r="231" spans="1:12" s="19" customFormat="1" ht="18.75" hidden="1" customHeight="1" x14ac:dyDescent="0.4">
      <c r="A231" s="484">
        <v>46253</v>
      </c>
      <c r="B231" s="59" t="s">
        <v>1670</v>
      </c>
      <c r="C231" s="6" t="s">
        <v>204</v>
      </c>
      <c r="D231" s="69" t="s">
        <v>205</v>
      </c>
      <c r="E231" s="8"/>
      <c r="F231" s="8">
        <v>14</v>
      </c>
      <c r="G231" s="36">
        <v>1295000</v>
      </c>
      <c r="H231" s="49">
        <v>18130000</v>
      </c>
      <c r="I231" s="150" t="s">
        <v>1680</v>
      </c>
      <c r="J231" s="70"/>
      <c r="K231" s="29"/>
      <c r="L231" s="405"/>
    </row>
    <row r="232" spans="1:12" s="19" customFormat="1" ht="18.75" hidden="1" customHeight="1" x14ac:dyDescent="0.4">
      <c r="A232" s="484">
        <v>46253</v>
      </c>
      <c r="B232" s="59" t="s">
        <v>1670</v>
      </c>
      <c r="C232" s="6" t="s">
        <v>66</v>
      </c>
      <c r="D232" s="69" t="s">
        <v>195</v>
      </c>
      <c r="E232" s="8"/>
      <c r="F232" s="8">
        <v>6</v>
      </c>
      <c r="G232" s="36">
        <v>1917500</v>
      </c>
      <c r="H232" s="49">
        <v>11505000</v>
      </c>
      <c r="I232" s="150" t="s">
        <v>1684</v>
      </c>
      <c r="J232" s="70"/>
      <c r="K232" s="29"/>
      <c r="L232" s="405"/>
    </row>
    <row r="233" spans="1:12" s="19" customFormat="1" ht="18.75" hidden="1" customHeight="1" x14ac:dyDescent="0.4">
      <c r="A233" s="484">
        <v>46253</v>
      </c>
      <c r="B233" s="59" t="s">
        <v>1670</v>
      </c>
      <c r="C233" s="6" t="s">
        <v>204</v>
      </c>
      <c r="D233" s="69" t="s">
        <v>205</v>
      </c>
      <c r="E233" s="8"/>
      <c r="F233" s="8">
        <v>2</v>
      </c>
      <c r="G233" s="36">
        <v>1295000</v>
      </c>
      <c r="H233" s="49">
        <v>2590000</v>
      </c>
      <c r="I233" s="150" t="s">
        <v>1684</v>
      </c>
      <c r="J233" s="70"/>
      <c r="K233" s="29"/>
      <c r="L233" s="405"/>
    </row>
    <row r="234" spans="1:12" s="19" customFormat="1" ht="18.75" hidden="1" customHeight="1" x14ac:dyDescent="0.4">
      <c r="A234" s="484">
        <v>46253</v>
      </c>
      <c r="B234" s="59" t="s">
        <v>1670</v>
      </c>
      <c r="C234" s="6" t="s">
        <v>204</v>
      </c>
      <c r="D234" s="69" t="s">
        <v>205</v>
      </c>
      <c r="E234" s="8"/>
      <c r="F234" s="8">
        <v>3</v>
      </c>
      <c r="G234" s="36">
        <v>1295000</v>
      </c>
      <c r="H234" s="49">
        <v>3885000</v>
      </c>
      <c r="I234" s="150" t="s">
        <v>1681</v>
      </c>
      <c r="J234" s="70"/>
      <c r="K234" s="29"/>
      <c r="L234" s="405"/>
    </row>
    <row r="235" spans="1:12" s="19" customFormat="1" ht="18.75" hidden="1" customHeight="1" x14ac:dyDescent="0.4">
      <c r="A235" s="484">
        <v>46253</v>
      </c>
      <c r="B235" s="59" t="s">
        <v>1670</v>
      </c>
      <c r="C235" s="6" t="s">
        <v>204</v>
      </c>
      <c r="D235" s="69" t="s">
        <v>205</v>
      </c>
      <c r="E235" s="8"/>
      <c r="F235" s="8">
        <v>4</v>
      </c>
      <c r="G235" s="36">
        <v>1295000</v>
      </c>
      <c r="H235" s="49">
        <v>5180000</v>
      </c>
      <c r="I235" s="150" t="s">
        <v>1682</v>
      </c>
      <c r="J235" s="70"/>
      <c r="K235" s="29"/>
      <c r="L235" s="405"/>
    </row>
    <row r="236" spans="1:12" s="19" customFormat="1" ht="18.75" hidden="1" customHeight="1" x14ac:dyDescent="0.4">
      <c r="A236" s="484">
        <v>46253</v>
      </c>
      <c r="B236" s="59" t="s">
        <v>1670</v>
      </c>
      <c r="C236" s="6" t="s">
        <v>290</v>
      </c>
      <c r="D236" s="69" t="s">
        <v>291</v>
      </c>
      <c r="E236" s="8"/>
      <c r="F236" s="8">
        <v>2</v>
      </c>
      <c r="G236" s="36">
        <v>129000</v>
      </c>
      <c r="H236" s="49">
        <v>258000</v>
      </c>
      <c r="I236" s="150" t="s">
        <v>70</v>
      </c>
      <c r="J236" s="70"/>
      <c r="K236" s="29"/>
      <c r="L236" s="405"/>
    </row>
    <row r="237" spans="1:12" s="19" customFormat="1" ht="18.75" hidden="1" customHeight="1" x14ac:dyDescent="0.4">
      <c r="A237" s="484">
        <v>46253</v>
      </c>
      <c r="B237" s="59" t="s">
        <v>1670</v>
      </c>
      <c r="C237" s="6" t="s">
        <v>290</v>
      </c>
      <c r="D237" s="69" t="s">
        <v>291</v>
      </c>
      <c r="E237" s="8"/>
      <c r="F237" s="8">
        <v>2</v>
      </c>
      <c r="G237" s="36">
        <v>129000</v>
      </c>
      <c r="H237" s="49">
        <v>258000</v>
      </c>
      <c r="I237" s="150" t="s">
        <v>70</v>
      </c>
      <c r="J237" s="70"/>
      <c r="K237" s="29"/>
      <c r="L237" s="405"/>
    </row>
    <row r="238" spans="1:12" s="19" customFormat="1" ht="18.75" hidden="1" customHeight="1" x14ac:dyDescent="0.4">
      <c r="A238" s="484">
        <v>46254</v>
      </c>
      <c r="B238" s="59" t="s">
        <v>1670</v>
      </c>
      <c r="C238" s="6" t="s">
        <v>66</v>
      </c>
      <c r="D238" s="69" t="s">
        <v>1080</v>
      </c>
      <c r="E238" s="8"/>
      <c r="F238" s="8">
        <v>7</v>
      </c>
      <c r="G238" s="36">
        <v>1766050</v>
      </c>
      <c r="H238" s="49">
        <v>12362350</v>
      </c>
      <c r="I238" s="150" t="s">
        <v>1562</v>
      </c>
      <c r="J238" s="70"/>
      <c r="K238" s="29"/>
      <c r="L238" s="405"/>
    </row>
    <row r="239" spans="1:12" s="19" customFormat="1" ht="18.75" hidden="1" customHeight="1" x14ac:dyDescent="0.4">
      <c r="A239" s="484">
        <v>46258</v>
      </c>
      <c r="B239" s="59" t="s">
        <v>1670</v>
      </c>
      <c r="C239" s="6" t="s">
        <v>64</v>
      </c>
      <c r="D239" s="69" t="s">
        <v>98</v>
      </c>
      <c r="E239" s="8"/>
      <c r="F239" s="8">
        <v>2</v>
      </c>
      <c r="G239" s="36">
        <v>1431650</v>
      </c>
      <c r="H239" s="49">
        <v>2863300</v>
      </c>
      <c r="I239" s="150" t="s">
        <v>1562</v>
      </c>
      <c r="J239" s="70"/>
      <c r="K239" s="29"/>
      <c r="L239" s="405"/>
    </row>
    <row r="240" spans="1:12" s="19" customFormat="1" ht="18.75" hidden="1" customHeight="1" x14ac:dyDescent="0.4">
      <c r="A240" s="484">
        <v>46258</v>
      </c>
      <c r="B240" s="59" t="s">
        <v>1670</v>
      </c>
      <c r="C240" s="6" t="s">
        <v>62</v>
      </c>
      <c r="D240" s="69" t="s">
        <v>75</v>
      </c>
      <c r="E240" s="8"/>
      <c r="F240" s="8">
        <v>3</v>
      </c>
      <c r="G240" s="36">
        <v>442000</v>
      </c>
      <c r="H240" s="49">
        <v>1326000</v>
      </c>
      <c r="I240" s="150" t="s">
        <v>1684</v>
      </c>
      <c r="J240" s="70"/>
      <c r="K240" s="29"/>
      <c r="L240" s="405"/>
    </row>
    <row r="241" spans="1:12" s="19" customFormat="1" ht="18.75" hidden="1" customHeight="1" x14ac:dyDescent="0.4">
      <c r="A241" s="484">
        <v>46258</v>
      </c>
      <c r="B241" s="59" t="s">
        <v>1670</v>
      </c>
      <c r="C241" s="6" t="s">
        <v>202</v>
      </c>
      <c r="D241" s="69" t="s">
        <v>203</v>
      </c>
      <c r="E241" s="8"/>
      <c r="F241" s="518">
        <v>8</v>
      </c>
      <c r="G241" s="36">
        <v>384000</v>
      </c>
      <c r="H241" s="49">
        <v>3072000</v>
      </c>
      <c r="I241" s="150" t="s">
        <v>1780</v>
      </c>
      <c r="J241" s="70"/>
      <c r="K241" s="29"/>
      <c r="L241" s="405"/>
    </row>
    <row r="242" spans="1:12" s="19" customFormat="1" ht="18.75" hidden="1" customHeight="1" x14ac:dyDescent="0.4">
      <c r="A242" s="484">
        <v>46258</v>
      </c>
      <c r="B242" s="59" t="s">
        <v>1670</v>
      </c>
      <c r="C242" s="6" t="s">
        <v>62</v>
      </c>
      <c r="D242" s="69" t="s">
        <v>75</v>
      </c>
      <c r="E242" s="8"/>
      <c r="F242" s="518">
        <v>3</v>
      </c>
      <c r="G242" s="36">
        <v>442000</v>
      </c>
      <c r="H242" s="49">
        <v>1326000</v>
      </c>
      <c r="I242" s="150" t="s">
        <v>1681</v>
      </c>
      <c r="J242" s="70"/>
      <c r="K242" s="29"/>
      <c r="L242" s="405"/>
    </row>
    <row r="243" spans="1:12" s="19" customFormat="1" ht="18.75" hidden="1" customHeight="1" x14ac:dyDescent="0.4">
      <c r="A243" s="484">
        <v>46258</v>
      </c>
      <c r="B243" s="59" t="s">
        <v>1670</v>
      </c>
      <c r="C243" s="6" t="s">
        <v>62</v>
      </c>
      <c r="D243" s="69" t="s">
        <v>75</v>
      </c>
      <c r="E243" s="8"/>
      <c r="F243" s="518">
        <v>4</v>
      </c>
      <c r="G243" s="36">
        <v>442000</v>
      </c>
      <c r="H243" s="49">
        <v>1768000</v>
      </c>
      <c r="I243" s="150" t="s">
        <v>1682</v>
      </c>
      <c r="J243" s="70"/>
      <c r="K243" s="29"/>
      <c r="L243" s="405"/>
    </row>
    <row r="244" spans="1:12" s="19" customFormat="1" ht="18.75" hidden="1" customHeight="1" x14ac:dyDescent="0.4">
      <c r="A244" s="484">
        <v>46258</v>
      </c>
      <c r="B244" s="59" t="s">
        <v>1670</v>
      </c>
      <c r="C244" s="6" t="s">
        <v>62</v>
      </c>
      <c r="D244" s="69" t="s">
        <v>75</v>
      </c>
      <c r="E244" s="8"/>
      <c r="F244" s="518">
        <v>3</v>
      </c>
      <c r="G244" s="36">
        <v>442000</v>
      </c>
      <c r="H244" s="49">
        <v>1326000</v>
      </c>
      <c r="I244" s="150" t="s">
        <v>1683</v>
      </c>
      <c r="J244" s="70"/>
      <c r="K244" s="29"/>
      <c r="L244" s="405"/>
    </row>
    <row r="245" spans="1:12" s="19" customFormat="1" ht="18.75" hidden="1" customHeight="1" x14ac:dyDescent="0.4">
      <c r="A245" s="484">
        <v>46258</v>
      </c>
      <c r="B245" s="59" t="s">
        <v>1670</v>
      </c>
      <c r="C245" s="6" t="s">
        <v>202</v>
      </c>
      <c r="D245" s="69" t="s">
        <v>203</v>
      </c>
      <c r="E245" s="8"/>
      <c r="F245" s="518">
        <v>4</v>
      </c>
      <c r="G245" s="36">
        <v>384000</v>
      </c>
      <c r="H245" s="49">
        <v>1536000</v>
      </c>
      <c r="I245" s="150" t="s">
        <v>1781</v>
      </c>
      <c r="J245" s="70"/>
      <c r="K245" s="29"/>
      <c r="L245" s="405"/>
    </row>
    <row r="246" spans="1:12" s="19" customFormat="1" ht="18.75" hidden="1" customHeight="1" x14ac:dyDescent="0.4">
      <c r="A246" s="484">
        <v>46258</v>
      </c>
      <c r="B246" s="59" t="s">
        <v>1670</v>
      </c>
      <c r="C246" s="6" t="s">
        <v>67</v>
      </c>
      <c r="D246" s="69" t="s">
        <v>80</v>
      </c>
      <c r="E246" s="8"/>
      <c r="F246" s="8">
        <v>5</v>
      </c>
      <c r="G246" s="36">
        <v>384000</v>
      </c>
      <c r="H246" s="49">
        <v>1920000</v>
      </c>
      <c r="I246" s="150" t="s">
        <v>1680</v>
      </c>
      <c r="J246" s="70"/>
      <c r="K246" s="29"/>
      <c r="L246" s="405"/>
    </row>
    <row r="247" spans="1:12" s="19" customFormat="1" ht="18.75" hidden="1" customHeight="1" x14ac:dyDescent="0.4">
      <c r="A247" s="484">
        <v>46258</v>
      </c>
      <c r="B247" s="59" t="s">
        <v>1670</v>
      </c>
      <c r="C247" s="6" t="s">
        <v>99</v>
      </c>
      <c r="D247" s="69" t="s">
        <v>100</v>
      </c>
      <c r="E247" s="8"/>
      <c r="F247" s="8">
        <v>1</v>
      </c>
      <c r="G247" s="36">
        <v>543000</v>
      </c>
      <c r="H247" s="49">
        <v>543000</v>
      </c>
      <c r="I247" s="150" t="s">
        <v>70</v>
      </c>
      <c r="J247" s="70"/>
      <c r="K247" s="29"/>
      <c r="L247" s="405"/>
    </row>
    <row r="248" spans="1:12" s="19" customFormat="1" ht="18.75" hidden="1" customHeight="1" x14ac:dyDescent="0.4">
      <c r="A248" s="484">
        <v>46258</v>
      </c>
      <c r="B248" s="59" t="s">
        <v>1670</v>
      </c>
      <c r="C248" s="6" t="s">
        <v>99</v>
      </c>
      <c r="D248" s="69" t="s">
        <v>100</v>
      </c>
      <c r="E248" s="8"/>
      <c r="F248" s="8">
        <v>6</v>
      </c>
      <c r="G248" s="36">
        <v>543000</v>
      </c>
      <c r="H248" s="49">
        <v>3258000</v>
      </c>
      <c r="I248" s="150" t="s">
        <v>70</v>
      </c>
      <c r="J248" s="70"/>
      <c r="K248" s="29"/>
      <c r="L248" s="405"/>
    </row>
    <row r="249" spans="1:12" s="19" customFormat="1" ht="18.75" hidden="1" customHeight="1" x14ac:dyDescent="0.4">
      <c r="A249" s="484">
        <v>46258</v>
      </c>
      <c r="B249" s="59" t="s">
        <v>1670</v>
      </c>
      <c r="C249" s="6" t="s">
        <v>99</v>
      </c>
      <c r="D249" s="69" t="s">
        <v>100</v>
      </c>
      <c r="E249" s="8"/>
      <c r="F249" s="8">
        <v>6</v>
      </c>
      <c r="G249" s="36">
        <v>543000</v>
      </c>
      <c r="H249" s="49">
        <v>3258000</v>
      </c>
      <c r="I249" s="150" t="s">
        <v>70</v>
      </c>
      <c r="J249" s="70"/>
      <c r="K249" s="29"/>
      <c r="L249" s="405"/>
    </row>
    <row r="250" spans="1:12" s="19" customFormat="1" ht="18.75" hidden="1" customHeight="1" x14ac:dyDescent="0.4">
      <c r="A250" s="484">
        <v>46258</v>
      </c>
      <c r="B250" s="59" t="s">
        <v>1670</v>
      </c>
      <c r="C250" s="6" t="s">
        <v>93</v>
      </c>
      <c r="D250" s="69" t="s">
        <v>94</v>
      </c>
      <c r="E250" s="8"/>
      <c r="F250" s="8">
        <v>5</v>
      </c>
      <c r="G250" s="36">
        <v>235000</v>
      </c>
      <c r="H250" s="49">
        <v>1175000</v>
      </c>
      <c r="I250" s="150" t="s">
        <v>70</v>
      </c>
      <c r="J250" s="70"/>
      <c r="K250" s="29"/>
      <c r="L250" s="405"/>
    </row>
    <row r="251" spans="1:12" s="19" customFormat="1" ht="18.75" hidden="1" customHeight="1" x14ac:dyDescent="0.4">
      <c r="A251" s="484">
        <v>46258</v>
      </c>
      <c r="B251" s="59" t="s">
        <v>1670</v>
      </c>
      <c r="C251" s="6" t="s">
        <v>83</v>
      </c>
      <c r="D251" s="69" t="s">
        <v>84</v>
      </c>
      <c r="E251" s="8"/>
      <c r="F251" s="8">
        <v>2</v>
      </c>
      <c r="G251" s="36">
        <v>76500</v>
      </c>
      <c r="H251" s="49">
        <v>153000</v>
      </c>
      <c r="I251" s="150" t="s">
        <v>70</v>
      </c>
      <c r="J251" s="70"/>
      <c r="K251" s="29"/>
      <c r="L251" s="405"/>
    </row>
    <row r="252" spans="1:12" s="19" customFormat="1" ht="18.75" hidden="1" customHeight="1" x14ac:dyDescent="0.4">
      <c r="A252" s="484">
        <v>46258</v>
      </c>
      <c r="B252" s="59" t="s">
        <v>1670</v>
      </c>
      <c r="C252" s="6" t="s">
        <v>83</v>
      </c>
      <c r="D252" s="69" t="s">
        <v>84</v>
      </c>
      <c r="E252" s="8"/>
      <c r="F252" s="8">
        <v>2</v>
      </c>
      <c r="G252" s="36">
        <v>76500</v>
      </c>
      <c r="H252" s="49">
        <v>153000</v>
      </c>
      <c r="I252" s="150" t="s">
        <v>70</v>
      </c>
      <c r="J252" s="70"/>
      <c r="K252" s="29"/>
      <c r="L252" s="405"/>
    </row>
    <row r="253" spans="1:12" s="19" customFormat="1" ht="18.75" hidden="1" customHeight="1" x14ac:dyDescent="0.4">
      <c r="A253" s="484">
        <v>46258</v>
      </c>
      <c r="B253" s="59" t="s">
        <v>1670</v>
      </c>
      <c r="C253" s="6" t="s">
        <v>83</v>
      </c>
      <c r="D253" s="69" t="s">
        <v>87</v>
      </c>
      <c r="E253" s="8"/>
      <c r="F253" s="8">
        <v>2</v>
      </c>
      <c r="G253" s="36">
        <v>75300</v>
      </c>
      <c r="H253" s="49">
        <v>150600</v>
      </c>
      <c r="I253" s="150" t="s">
        <v>70</v>
      </c>
      <c r="J253" s="70"/>
      <c r="K253" s="29"/>
      <c r="L253" s="405"/>
    </row>
    <row r="254" spans="1:12" s="19" customFormat="1" ht="18.75" hidden="1" customHeight="1" x14ac:dyDescent="0.4">
      <c r="A254" s="484">
        <v>46258</v>
      </c>
      <c r="B254" s="59" t="s">
        <v>1670</v>
      </c>
      <c r="C254" s="6" t="s">
        <v>83</v>
      </c>
      <c r="D254" s="69" t="s">
        <v>87</v>
      </c>
      <c r="E254" s="8"/>
      <c r="F254" s="8">
        <v>2</v>
      </c>
      <c r="G254" s="36">
        <v>75300</v>
      </c>
      <c r="H254" s="49">
        <v>150600</v>
      </c>
      <c r="I254" s="150" t="s">
        <v>70</v>
      </c>
      <c r="J254" s="70"/>
      <c r="K254" s="29"/>
      <c r="L254" s="405"/>
    </row>
    <row r="255" spans="1:12" s="19" customFormat="1" ht="18.75" hidden="1" customHeight="1" x14ac:dyDescent="0.4">
      <c r="A255" s="484">
        <v>46258</v>
      </c>
      <c r="B255" s="59" t="s">
        <v>1670</v>
      </c>
      <c r="C255" s="6" t="s">
        <v>88</v>
      </c>
      <c r="D255" s="69" t="s">
        <v>89</v>
      </c>
      <c r="E255" s="8"/>
      <c r="F255" s="8">
        <v>4</v>
      </c>
      <c r="G255" s="36">
        <v>64000</v>
      </c>
      <c r="H255" s="49">
        <v>256000</v>
      </c>
      <c r="I255" s="150" t="s">
        <v>70</v>
      </c>
      <c r="J255" s="70"/>
      <c r="K255" s="29"/>
      <c r="L255" s="405"/>
    </row>
    <row r="256" spans="1:12" s="19" customFormat="1" ht="18.75" hidden="1" customHeight="1" x14ac:dyDescent="0.4">
      <c r="A256" s="484">
        <v>46258</v>
      </c>
      <c r="B256" s="59" t="s">
        <v>1670</v>
      </c>
      <c r="C256" s="6" t="s">
        <v>88</v>
      </c>
      <c r="D256" s="69" t="s">
        <v>89</v>
      </c>
      <c r="E256" s="8"/>
      <c r="F256" s="8">
        <v>4</v>
      </c>
      <c r="G256" s="36">
        <v>64000</v>
      </c>
      <c r="H256" s="49">
        <v>256000</v>
      </c>
      <c r="I256" s="150" t="s">
        <v>70</v>
      </c>
      <c r="J256" s="70"/>
      <c r="K256" s="29"/>
      <c r="L256" s="405"/>
    </row>
    <row r="257" spans="1:12" s="19" customFormat="1" ht="18.75" hidden="1" customHeight="1" x14ac:dyDescent="0.4">
      <c r="A257" s="484">
        <v>46258</v>
      </c>
      <c r="B257" s="59" t="s">
        <v>1670</v>
      </c>
      <c r="C257" s="6" t="s">
        <v>297</v>
      </c>
      <c r="D257" s="69" t="s">
        <v>298</v>
      </c>
      <c r="E257" s="8"/>
      <c r="F257" s="8">
        <v>1</v>
      </c>
      <c r="G257" s="36">
        <v>222000</v>
      </c>
      <c r="H257" s="49">
        <v>222000</v>
      </c>
      <c r="I257" s="150" t="s">
        <v>70</v>
      </c>
      <c r="J257" s="70"/>
      <c r="K257" s="29"/>
      <c r="L257" s="405"/>
    </row>
    <row r="258" spans="1:12" s="19" customFormat="1" ht="18.75" hidden="1" customHeight="1" x14ac:dyDescent="0.4">
      <c r="A258" s="484">
        <v>46258</v>
      </c>
      <c r="B258" s="59" t="s">
        <v>1670</v>
      </c>
      <c r="C258" s="6" t="s">
        <v>297</v>
      </c>
      <c r="D258" s="69" t="s">
        <v>298</v>
      </c>
      <c r="E258" s="8"/>
      <c r="F258" s="8">
        <v>1</v>
      </c>
      <c r="G258" s="36">
        <v>222000</v>
      </c>
      <c r="H258" s="49">
        <v>222000</v>
      </c>
      <c r="I258" s="150" t="s">
        <v>70</v>
      </c>
      <c r="J258" s="70"/>
      <c r="K258" s="29"/>
      <c r="L258" s="405"/>
    </row>
    <row r="259" spans="1:12" s="19" customFormat="1" ht="18.75" hidden="1" customHeight="1" x14ac:dyDescent="0.4">
      <c r="A259" s="484">
        <v>46258</v>
      </c>
      <c r="B259" s="59" t="s">
        <v>1670</v>
      </c>
      <c r="C259" s="6" t="s">
        <v>115</v>
      </c>
      <c r="D259" s="69" t="s">
        <v>116</v>
      </c>
      <c r="E259" s="8"/>
      <c r="F259" s="8">
        <v>1</v>
      </c>
      <c r="G259" s="36">
        <v>187000</v>
      </c>
      <c r="H259" s="49">
        <v>187000</v>
      </c>
      <c r="I259" s="150" t="s">
        <v>70</v>
      </c>
      <c r="J259" s="70"/>
      <c r="K259" s="29"/>
      <c r="L259" s="405"/>
    </row>
    <row r="260" spans="1:12" s="19" customFormat="1" ht="18.75" hidden="1" customHeight="1" x14ac:dyDescent="0.4">
      <c r="A260" s="484">
        <v>46258</v>
      </c>
      <c r="B260" s="59" t="s">
        <v>1670</v>
      </c>
      <c r="C260" s="6" t="s">
        <v>115</v>
      </c>
      <c r="D260" s="69" t="s">
        <v>116</v>
      </c>
      <c r="E260" s="8"/>
      <c r="F260" s="8">
        <v>1</v>
      </c>
      <c r="G260" s="36">
        <v>187000</v>
      </c>
      <c r="H260" s="49">
        <v>187000</v>
      </c>
      <c r="I260" s="150" t="s">
        <v>70</v>
      </c>
      <c r="J260" s="70"/>
      <c r="K260" s="29"/>
      <c r="L260" s="405"/>
    </row>
    <row r="261" spans="1:12" s="19" customFormat="1" ht="18.75" hidden="1" customHeight="1" x14ac:dyDescent="0.4">
      <c r="A261" s="484">
        <v>46258</v>
      </c>
      <c r="B261" s="59" t="s">
        <v>1670</v>
      </c>
      <c r="C261" s="6" t="s">
        <v>95</v>
      </c>
      <c r="D261" s="69" t="s">
        <v>96</v>
      </c>
      <c r="E261" s="8"/>
      <c r="F261" s="8">
        <v>12</v>
      </c>
      <c r="G261" s="36">
        <v>12000</v>
      </c>
      <c r="H261" s="49">
        <v>144000</v>
      </c>
      <c r="I261" s="150" t="s">
        <v>70</v>
      </c>
      <c r="J261" s="70"/>
      <c r="K261" s="29"/>
      <c r="L261" s="405"/>
    </row>
    <row r="262" spans="1:12" s="19" customFormat="1" ht="18.75" hidden="1" customHeight="1" x14ac:dyDescent="0.4">
      <c r="A262" s="484">
        <v>46258</v>
      </c>
      <c r="B262" s="59" t="s">
        <v>1670</v>
      </c>
      <c r="C262" s="6" t="s">
        <v>95</v>
      </c>
      <c r="D262" s="69" t="s">
        <v>96</v>
      </c>
      <c r="E262" s="8"/>
      <c r="F262" s="8">
        <v>12</v>
      </c>
      <c r="G262" s="36">
        <v>12000</v>
      </c>
      <c r="H262" s="49">
        <v>144000</v>
      </c>
      <c r="I262" s="150" t="s">
        <v>70</v>
      </c>
      <c r="J262" s="70"/>
      <c r="K262" s="29"/>
      <c r="L262" s="405"/>
    </row>
    <row r="263" spans="1:12" s="19" customFormat="1" ht="18.75" hidden="1" customHeight="1" x14ac:dyDescent="0.4">
      <c r="A263" s="484">
        <v>46258</v>
      </c>
      <c r="B263" s="59" t="s">
        <v>1670</v>
      </c>
      <c r="C263" s="6" t="s">
        <v>380</v>
      </c>
      <c r="D263" s="69" t="s">
        <v>504</v>
      </c>
      <c r="E263" s="8"/>
      <c r="F263" s="8">
        <v>19</v>
      </c>
      <c r="G263" s="36">
        <v>37700</v>
      </c>
      <c r="H263" s="49">
        <v>716300</v>
      </c>
      <c r="I263" s="150" t="s">
        <v>70</v>
      </c>
      <c r="J263" s="70"/>
      <c r="K263" s="29"/>
      <c r="L263" s="405"/>
    </row>
    <row r="264" spans="1:12" s="19" customFormat="1" ht="18.75" hidden="1" customHeight="1" x14ac:dyDescent="0.4">
      <c r="A264" s="484">
        <v>46258</v>
      </c>
      <c r="B264" s="59" t="s">
        <v>1670</v>
      </c>
      <c r="C264" s="6" t="s">
        <v>115</v>
      </c>
      <c r="D264" s="69" t="s">
        <v>194</v>
      </c>
      <c r="E264" s="8"/>
      <c r="F264" s="8">
        <v>3</v>
      </c>
      <c r="G264" s="36">
        <v>158000</v>
      </c>
      <c r="H264" s="49">
        <v>474000</v>
      </c>
      <c r="I264" s="150" t="s">
        <v>70</v>
      </c>
      <c r="J264" s="70"/>
      <c r="K264" s="29"/>
      <c r="L264" s="405"/>
    </row>
    <row r="265" spans="1:12" s="19" customFormat="1" ht="18.75" hidden="1" customHeight="1" x14ac:dyDescent="0.4">
      <c r="A265" s="484">
        <v>46258</v>
      </c>
      <c r="B265" s="59" t="s">
        <v>1670</v>
      </c>
      <c r="C265" s="6" t="s">
        <v>83</v>
      </c>
      <c r="D265" s="69" t="s">
        <v>84</v>
      </c>
      <c r="E265" s="8"/>
      <c r="F265" s="8">
        <v>2</v>
      </c>
      <c r="G265" s="36">
        <v>76500</v>
      </c>
      <c r="H265" s="49">
        <v>153000</v>
      </c>
      <c r="I265" s="150" t="s">
        <v>70</v>
      </c>
      <c r="J265" s="70"/>
      <c r="K265" s="29"/>
      <c r="L265" s="405"/>
    </row>
    <row r="266" spans="1:12" s="19" customFormat="1" ht="18.75" hidden="1" customHeight="1" x14ac:dyDescent="0.4">
      <c r="A266" s="484">
        <v>46258</v>
      </c>
      <c r="B266" s="59" t="s">
        <v>1670</v>
      </c>
      <c r="C266" s="6" t="s">
        <v>83</v>
      </c>
      <c r="D266" s="69" t="s">
        <v>84</v>
      </c>
      <c r="E266" s="8"/>
      <c r="F266" s="8">
        <v>2</v>
      </c>
      <c r="G266" s="36">
        <v>76500</v>
      </c>
      <c r="H266" s="49">
        <v>153000</v>
      </c>
      <c r="I266" s="150" t="s">
        <v>70</v>
      </c>
      <c r="J266" s="70"/>
      <c r="K266" s="29"/>
      <c r="L266" s="405"/>
    </row>
    <row r="267" spans="1:12" s="19" customFormat="1" ht="18.75" hidden="1" customHeight="1" x14ac:dyDescent="0.4">
      <c r="A267" s="484">
        <v>46258</v>
      </c>
      <c r="B267" s="59" t="s">
        <v>1670</v>
      </c>
      <c r="C267" s="6" t="s">
        <v>85</v>
      </c>
      <c r="D267" s="69" t="s">
        <v>86</v>
      </c>
      <c r="E267" s="8"/>
      <c r="F267" s="8">
        <v>2</v>
      </c>
      <c r="G267" s="36">
        <v>37700</v>
      </c>
      <c r="H267" s="49">
        <v>75400</v>
      </c>
      <c r="I267" s="150" t="s">
        <v>70</v>
      </c>
      <c r="J267" s="70"/>
      <c r="K267" s="29"/>
      <c r="L267" s="405"/>
    </row>
    <row r="268" spans="1:12" s="19" customFormat="1" ht="18.75" hidden="1" customHeight="1" x14ac:dyDescent="0.4">
      <c r="A268" s="484">
        <v>46258</v>
      </c>
      <c r="B268" s="59" t="s">
        <v>1670</v>
      </c>
      <c r="C268" s="6" t="s">
        <v>85</v>
      </c>
      <c r="D268" s="69" t="s">
        <v>86</v>
      </c>
      <c r="E268" s="8"/>
      <c r="F268" s="8">
        <v>2</v>
      </c>
      <c r="G268" s="36">
        <v>37700</v>
      </c>
      <c r="H268" s="49">
        <v>75400</v>
      </c>
      <c r="I268" s="150" t="s">
        <v>70</v>
      </c>
      <c r="J268" s="70"/>
      <c r="K268" s="29"/>
      <c r="L268" s="405"/>
    </row>
    <row r="269" spans="1:12" s="19" customFormat="1" ht="18.75" hidden="1" customHeight="1" x14ac:dyDescent="0.4">
      <c r="A269" s="484">
        <v>46258</v>
      </c>
      <c r="B269" s="59" t="s">
        <v>1670</v>
      </c>
      <c r="C269" s="6" t="s">
        <v>83</v>
      </c>
      <c r="D269" s="69" t="s">
        <v>87</v>
      </c>
      <c r="E269" s="8"/>
      <c r="F269" s="8">
        <v>2</v>
      </c>
      <c r="G269" s="36">
        <v>75300</v>
      </c>
      <c r="H269" s="49">
        <v>150600</v>
      </c>
      <c r="I269" s="150" t="s">
        <v>70</v>
      </c>
      <c r="J269" s="70"/>
      <c r="K269" s="29"/>
      <c r="L269" s="405"/>
    </row>
    <row r="270" spans="1:12" s="19" customFormat="1" ht="18.75" hidden="1" customHeight="1" x14ac:dyDescent="0.4">
      <c r="A270" s="484">
        <v>46258</v>
      </c>
      <c r="B270" s="59" t="s">
        <v>1670</v>
      </c>
      <c r="C270" s="6" t="s">
        <v>83</v>
      </c>
      <c r="D270" s="69" t="s">
        <v>87</v>
      </c>
      <c r="E270" s="8"/>
      <c r="F270" s="8">
        <v>2</v>
      </c>
      <c r="G270" s="36">
        <v>75300</v>
      </c>
      <c r="H270" s="49">
        <v>150600</v>
      </c>
      <c r="I270" s="150" t="s">
        <v>70</v>
      </c>
      <c r="J270" s="70"/>
      <c r="K270" s="29"/>
      <c r="L270" s="405"/>
    </row>
    <row r="271" spans="1:12" s="19" customFormat="1" ht="18.75" hidden="1" customHeight="1" x14ac:dyDescent="0.4">
      <c r="A271" s="484">
        <v>46258</v>
      </c>
      <c r="B271" s="59" t="s">
        <v>1670</v>
      </c>
      <c r="C271" s="6" t="s">
        <v>88</v>
      </c>
      <c r="D271" s="69" t="s">
        <v>89</v>
      </c>
      <c r="E271" s="8"/>
      <c r="F271" s="8">
        <v>4</v>
      </c>
      <c r="G271" s="36">
        <v>64000</v>
      </c>
      <c r="H271" s="49">
        <v>256000</v>
      </c>
      <c r="I271" s="150" t="s">
        <v>70</v>
      </c>
      <c r="J271" s="70"/>
      <c r="K271" s="29"/>
      <c r="L271" s="405"/>
    </row>
    <row r="272" spans="1:12" s="19" customFormat="1" ht="18.75" hidden="1" customHeight="1" x14ac:dyDescent="0.4">
      <c r="A272" s="484">
        <v>46258</v>
      </c>
      <c r="B272" s="59" t="s">
        <v>1670</v>
      </c>
      <c r="C272" s="6" t="s">
        <v>88</v>
      </c>
      <c r="D272" s="69" t="s">
        <v>89</v>
      </c>
      <c r="E272" s="8"/>
      <c r="F272" s="8">
        <v>4</v>
      </c>
      <c r="G272" s="36">
        <v>64000</v>
      </c>
      <c r="H272" s="49">
        <v>256000</v>
      </c>
      <c r="I272" s="150" t="s">
        <v>70</v>
      </c>
      <c r="J272" s="70"/>
      <c r="K272" s="29"/>
      <c r="L272" s="405"/>
    </row>
    <row r="273" spans="1:12" s="19" customFormat="1" ht="18.75" hidden="1" customHeight="1" x14ac:dyDescent="0.4">
      <c r="A273" s="484">
        <v>46258</v>
      </c>
      <c r="B273" s="59" t="s">
        <v>1670</v>
      </c>
      <c r="C273" s="6" t="s">
        <v>95</v>
      </c>
      <c r="D273" s="69" t="s">
        <v>96</v>
      </c>
      <c r="E273" s="8"/>
      <c r="F273" s="8">
        <v>12</v>
      </c>
      <c r="G273" s="36">
        <v>12000</v>
      </c>
      <c r="H273" s="49">
        <v>144000</v>
      </c>
      <c r="I273" s="150" t="s">
        <v>70</v>
      </c>
      <c r="J273" s="70"/>
      <c r="K273" s="29"/>
      <c r="L273" s="405"/>
    </row>
    <row r="274" spans="1:12" s="19" customFormat="1" ht="18.75" hidden="1" customHeight="1" x14ac:dyDescent="0.4">
      <c r="A274" s="484">
        <v>46258</v>
      </c>
      <c r="B274" s="59" t="s">
        <v>1670</v>
      </c>
      <c r="C274" s="6" t="s">
        <v>95</v>
      </c>
      <c r="D274" s="69" t="s">
        <v>96</v>
      </c>
      <c r="E274" s="8"/>
      <c r="F274" s="8">
        <v>12</v>
      </c>
      <c r="G274" s="36">
        <v>12000</v>
      </c>
      <c r="H274" s="49">
        <v>144000</v>
      </c>
      <c r="I274" s="150" t="s">
        <v>70</v>
      </c>
      <c r="J274" s="70"/>
      <c r="K274" s="29"/>
      <c r="L274" s="405"/>
    </row>
    <row r="275" spans="1:12" s="19" customFormat="1" ht="18.75" hidden="1" customHeight="1" x14ac:dyDescent="0.4">
      <c r="A275" s="484">
        <v>46258</v>
      </c>
      <c r="B275" s="59" t="s">
        <v>1670</v>
      </c>
      <c r="C275" s="6" t="s">
        <v>95</v>
      </c>
      <c r="D275" s="69" t="s">
        <v>96</v>
      </c>
      <c r="E275" s="8"/>
      <c r="F275" s="8">
        <v>12</v>
      </c>
      <c r="G275" s="36">
        <v>12000</v>
      </c>
      <c r="H275" s="49">
        <v>144000</v>
      </c>
      <c r="I275" s="150" t="s">
        <v>70</v>
      </c>
      <c r="J275" s="70"/>
      <c r="K275" s="29"/>
      <c r="L275" s="405"/>
    </row>
    <row r="276" spans="1:12" s="19" customFormat="1" ht="18.75" hidden="1" customHeight="1" x14ac:dyDescent="0.4">
      <c r="A276" s="484">
        <v>46258</v>
      </c>
      <c r="B276" s="59" t="s">
        <v>1670</v>
      </c>
      <c r="C276" s="6" t="s">
        <v>95</v>
      </c>
      <c r="D276" s="69" t="s">
        <v>96</v>
      </c>
      <c r="E276" s="8"/>
      <c r="F276" s="8">
        <v>12</v>
      </c>
      <c r="G276" s="36">
        <v>12000</v>
      </c>
      <c r="H276" s="49">
        <v>144000</v>
      </c>
      <c r="I276" s="150" t="s">
        <v>70</v>
      </c>
      <c r="J276" s="70"/>
      <c r="K276" s="29"/>
      <c r="L276" s="405"/>
    </row>
    <row r="277" spans="1:12" s="19" customFormat="1" ht="18.75" hidden="1" customHeight="1" x14ac:dyDescent="0.4">
      <c r="A277" s="484">
        <v>46258</v>
      </c>
      <c r="B277" s="59" t="s">
        <v>1670</v>
      </c>
      <c r="C277" s="6" t="s">
        <v>95</v>
      </c>
      <c r="D277" s="69" t="s">
        <v>96</v>
      </c>
      <c r="E277" s="8"/>
      <c r="F277" s="8">
        <v>12</v>
      </c>
      <c r="G277" s="36">
        <v>12000</v>
      </c>
      <c r="H277" s="49">
        <v>144000</v>
      </c>
      <c r="I277" s="150" t="s">
        <v>70</v>
      </c>
      <c r="J277" s="70"/>
      <c r="K277" s="29"/>
      <c r="L277" s="405"/>
    </row>
    <row r="278" spans="1:12" s="19" customFormat="1" ht="18.75" hidden="1" customHeight="1" x14ac:dyDescent="0.4">
      <c r="A278" s="484">
        <v>46260</v>
      </c>
      <c r="B278" s="59" t="s">
        <v>1670</v>
      </c>
      <c r="C278" s="6" t="s">
        <v>428</v>
      </c>
      <c r="D278" s="69" t="s">
        <v>289</v>
      </c>
      <c r="E278" s="8"/>
      <c r="F278" s="8">
        <v>4</v>
      </c>
      <c r="G278" s="36">
        <v>390000</v>
      </c>
      <c r="H278" s="49">
        <v>1560000</v>
      </c>
      <c r="I278" s="150" t="s">
        <v>1562</v>
      </c>
      <c r="J278" s="70"/>
      <c r="K278" s="29"/>
      <c r="L278" s="405"/>
    </row>
    <row r="279" spans="1:12" s="19" customFormat="1" ht="18.75" hidden="1" customHeight="1" x14ac:dyDescent="0.4">
      <c r="A279" s="484">
        <v>46260</v>
      </c>
      <c r="B279" s="59" t="s">
        <v>1670</v>
      </c>
      <c r="C279" s="6" t="s">
        <v>63</v>
      </c>
      <c r="D279" s="69" t="s">
        <v>97</v>
      </c>
      <c r="E279" s="8"/>
      <c r="F279" s="8">
        <v>8</v>
      </c>
      <c r="G279" s="36">
        <v>137000</v>
      </c>
      <c r="H279" s="49">
        <v>1096000</v>
      </c>
      <c r="I279" s="150" t="s">
        <v>1780</v>
      </c>
      <c r="J279" s="70"/>
      <c r="K279" s="29"/>
      <c r="L279" s="405"/>
    </row>
    <row r="280" spans="1:12" s="19" customFormat="1" ht="18.75" hidden="1" customHeight="1" x14ac:dyDescent="0.4">
      <c r="A280" s="484">
        <v>46260</v>
      </c>
      <c r="B280" s="59" t="s">
        <v>1670</v>
      </c>
      <c r="C280" s="6" t="s">
        <v>63</v>
      </c>
      <c r="D280" s="69" t="s">
        <v>97</v>
      </c>
      <c r="E280" s="8"/>
      <c r="F280" s="8">
        <v>11</v>
      </c>
      <c r="G280" s="36">
        <v>137000</v>
      </c>
      <c r="H280" s="49">
        <v>1507000</v>
      </c>
      <c r="I280" s="150" t="s">
        <v>1684</v>
      </c>
      <c r="J280" s="70"/>
      <c r="K280" s="29"/>
      <c r="L280" s="405"/>
    </row>
    <row r="281" spans="1:12" s="19" customFormat="1" ht="18.75" hidden="1" customHeight="1" x14ac:dyDescent="0.4">
      <c r="A281" s="484">
        <v>46260</v>
      </c>
      <c r="B281" s="59" t="s">
        <v>1670</v>
      </c>
      <c r="C281" s="6" t="s">
        <v>63</v>
      </c>
      <c r="D281" s="69" t="s">
        <v>97</v>
      </c>
      <c r="E281" s="8"/>
      <c r="F281" s="8">
        <v>3</v>
      </c>
      <c r="G281" s="36">
        <v>137000</v>
      </c>
      <c r="H281" s="49">
        <v>411000</v>
      </c>
      <c r="I281" s="150" t="s">
        <v>1681</v>
      </c>
      <c r="J281" s="70"/>
      <c r="K281" s="29"/>
      <c r="L281" s="405"/>
    </row>
    <row r="282" spans="1:12" s="19" customFormat="1" ht="18.75" hidden="1" customHeight="1" x14ac:dyDescent="0.4">
      <c r="A282" s="484">
        <v>46260</v>
      </c>
      <c r="B282" s="59" t="s">
        <v>1670</v>
      </c>
      <c r="C282" s="6" t="s">
        <v>63</v>
      </c>
      <c r="D282" s="69" t="s">
        <v>97</v>
      </c>
      <c r="E282" s="8"/>
      <c r="F282" s="8">
        <v>4</v>
      </c>
      <c r="G282" s="36">
        <v>137000</v>
      </c>
      <c r="H282" s="49">
        <v>548000</v>
      </c>
      <c r="I282" s="150" t="s">
        <v>1682</v>
      </c>
      <c r="J282" s="70"/>
      <c r="K282" s="29"/>
      <c r="L282" s="405"/>
    </row>
    <row r="283" spans="1:12" s="19" customFormat="1" ht="18.75" hidden="1" customHeight="1" x14ac:dyDescent="0.4">
      <c r="A283" s="484">
        <v>46260</v>
      </c>
      <c r="B283" s="59" t="s">
        <v>1670</v>
      </c>
      <c r="C283" s="6" t="s">
        <v>63</v>
      </c>
      <c r="D283" s="69" t="s">
        <v>97</v>
      </c>
      <c r="E283" s="8"/>
      <c r="F283" s="8">
        <v>3</v>
      </c>
      <c r="G283" s="36">
        <v>137000</v>
      </c>
      <c r="H283" s="49">
        <v>411000</v>
      </c>
      <c r="I283" s="150" t="s">
        <v>1683</v>
      </c>
      <c r="J283" s="70"/>
      <c r="K283" s="29"/>
      <c r="L283" s="405"/>
    </row>
    <row r="284" spans="1:12" s="19" customFormat="1" ht="18.75" hidden="1" customHeight="1" x14ac:dyDescent="0.4">
      <c r="A284" s="484">
        <v>46260</v>
      </c>
      <c r="B284" s="59" t="s">
        <v>1670</v>
      </c>
      <c r="C284" s="6" t="s">
        <v>63</v>
      </c>
      <c r="D284" s="69" t="s">
        <v>97</v>
      </c>
      <c r="E284" s="8"/>
      <c r="F284" s="8">
        <v>4</v>
      </c>
      <c r="G284" s="36">
        <v>137000</v>
      </c>
      <c r="H284" s="49">
        <v>548000</v>
      </c>
      <c r="I284" s="150" t="s">
        <v>1781</v>
      </c>
      <c r="J284" s="70"/>
      <c r="K284" s="29"/>
      <c r="L284" s="405"/>
    </row>
    <row r="285" spans="1:12" s="19" customFormat="1" ht="18.75" customHeight="1" x14ac:dyDescent="0.4">
      <c r="A285" s="484">
        <v>46260</v>
      </c>
      <c r="B285" s="59" t="s">
        <v>1670</v>
      </c>
      <c r="C285" s="6" t="s">
        <v>118</v>
      </c>
      <c r="D285" s="69" t="s">
        <v>119</v>
      </c>
      <c r="E285" s="8"/>
      <c r="F285" s="8">
        <v>8</v>
      </c>
      <c r="G285" s="36">
        <v>7790000</v>
      </c>
      <c r="H285" s="49">
        <v>62320000</v>
      </c>
      <c r="I285" s="150" t="s">
        <v>120</v>
      </c>
      <c r="J285" s="70"/>
      <c r="K285" s="29"/>
      <c r="L285" s="405"/>
    </row>
    <row r="286" spans="1:12" s="19" customFormat="1" ht="18.75" customHeight="1" x14ac:dyDescent="0.4">
      <c r="A286" s="484">
        <v>46260</v>
      </c>
      <c r="B286" s="59" t="s">
        <v>1670</v>
      </c>
      <c r="C286" s="6" t="s">
        <v>118</v>
      </c>
      <c r="D286" s="69" t="s">
        <v>119</v>
      </c>
      <c r="E286" s="8"/>
      <c r="F286" s="8">
        <v>2</v>
      </c>
      <c r="G286" s="36">
        <v>7790000</v>
      </c>
      <c r="H286" s="49">
        <v>15580000</v>
      </c>
      <c r="I286" s="150" t="s">
        <v>120</v>
      </c>
      <c r="J286" s="70"/>
      <c r="K286" s="29"/>
      <c r="L286" s="405"/>
    </row>
    <row r="287" spans="1:12" s="19" customFormat="1" ht="18.75" hidden="1" customHeight="1" x14ac:dyDescent="0.4">
      <c r="A287" s="484">
        <v>46260</v>
      </c>
      <c r="B287" s="59" t="s">
        <v>1670</v>
      </c>
      <c r="C287" s="6" t="s">
        <v>63</v>
      </c>
      <c r="D287" s="69" t="s">
        <v>97</v>
      </c>
      <c r="E287" s="8"/>
      <c r="F287" s="8">
        <v>14</v>
      </c>
      <c r="G287" s="36">
        <v>137000</v>
      </c>
      <c r="H287" s="49">
        <v>1918000</v>
      </c>
      <c r="I287" s="150" t="s">
        <v>1680</v>
      </c>
      <c r="J287" s="70"/>
      <c r="K287" s="29"/>
      <c r="L287" s="405"/>
    </row>
    <row r="288" spans="1:12" s="19" customFormat="1" ht="18.75" hidden="1" customHeight="1" x14ac:dyDescent="0.4">
      <c r="A288" s="484">
        <v>46260</v>
      </c>
      <c r="B288" s="59" t="s">
        <v>1670</v>
      </c>
      <c r="C288" s="6" t="s">
        <v>63</v>
      </c>
      <c r="D288" s="69" t="s">
        <v>97</v>
      </c>
      <c r="E288" s="8"/>
      <c r="F288" s="8">
        <v>11</v>
      </c>
      <c r="G288" s="36">
        <v>137000</v>
      </c>
      <c r="H288" s="49">
        <v>1507000</v>
      </c>
      <c r="I288" s="150" t="s">
        <v>1779</v>
      </c>
      <c r="J288" s="70"/>
      <c r="K288" s="29"/>
      <c r="L288" s="405"/>
    </row>
    <row r="289" spans="1:12" s="19" customFormat="1" ht="18.75" hidden="1" customHeight="1" x14ac:dyDescent="0.4">
      <c r="A289" s="484">
        <v>46260</v>
      </c>
      <c r="B289" s="59" t="s">
        <v>1670</v>
      </c>
      <c r="C289" s="6" t="s">
        <v>448</v>
      </c>
      <c r="D289" s="69" t="s">
        <v>563</v>
      </c>
      <c r="E289" s="8"/>
      <c r="F289" s="8">
        <v>1</v>
      </c>
      <c r="G289" s="36">
        <v>110500</v>
      </c>
      <c r="H289" s="49">
        <v>110500</v>
      </c>
      <c r="I289" s="150" t="s">
        <v>70</v>
      </c>
      <c r="J289" s="70"/>
      <c r="K289" s="29"/>
      <c r="L289" s="405"/>
    </row>
    <row r="290" spans="1:12" s="14" customFormat="1" ht="18.75" hidden="1" customHeight="1" x14ac:dyDescent="0.4">
      <c r="A290" s="484">
        <v>46260</v>
      </c>
      <c r="B290" s="59" t="s">
        <v>1670</v>
      </c>
      <c r="C290" s="60" t="s">
        <v>1096</v>
      </c>
      <c r="D290" s="71" t="s">
        <v>1097</v>
      </c>
      <c r="E290" s="7"/>
      <c r="F290" s="7">
        <v>3</v>
      </c>
      <c r="G290" s="17">
        <v>92500</v>
      </c>
      <c r="H290" s="49">
        <v>277500</v>
      </c>
      <c r="I290" s="503" t="s">
        <v>70</v>
      </c>
      <c r="J290" s="72"/>
      <c r="K290" s="61"/>
      <c r="L290" s="701"/>
    </row>
    <row r="291" spans="1:12" ht="17.25" hidden="1" customHeight="1" x14ac:dyDescent="0.4">
      <c r="A291" s="484">
        <v>46260</v>
      </c>
      <c r="B291" s="59" t="s">
        <v>1550</v>
      </c>
      <c r="C291" s="67" t="s">
        <v>614</v>
      </c>
      <c r="D291" s="59" t="s">
        <v>615</v>
      </c>
      <c r="E291" s="67"/>
      <c r="F291" s="49">
        <v>4</v>
      </c>
      <c r="G291" s="49">
        <v>95000</v>
      </c>
      <c r="H291" s="7">
        <v>380000</v>
      </c>
      <c r="I291" s="67" t="s">
        <v>70</v>
      </c>
      <c r="J291" s="484"/>
      <c r="K291" s="67"/>
      <c r="L291" s="409"/>
    </row>
    <row r="292" spans="1:12" ht="17.25" hidden="1" customHeight="1" x14ac:dyDescent="0.4">
      <c r="A292" s="484">
        <v>46260</v>
      </c>
      <c r="B292" s="59" t="s">
        <v>1550</v>
      </c>
      <c r="C292" s="67" t="s">
        <v>448</v>
      </c>
      <c r="D292" s="59" t="s">
        <v>563</v>
      </c>
      <c r="E292" s="67"/>
      <c r="F292" s="49">
        <v>1</v>
      </c>
      <c r="G292" s="49">
        <v>110500</v>
      </c>
      <c r="H292" s="49">
        <v>110500</v>
      </c>
      <c r="I292" s="67" t="s">
        <v>70</v>
      </c>
      <c r="J292" s="484"/>
      <c r="K292" s="67"/>
      <c r="L292" s="409"/>
    </row>
    <row r="293" spans="1:12" ht="17.25" hidden="1" customHeight="1" x14ac:dyDescent="0.4">
      <c r="A293" s="484">
        <v>46260</v>
      </c>
      <c r="B293" s="59" t="s">
        <v>1550</v>
      </c>
      <c r="C293" s="67" t="s">
        <v>1096</v>
      </c>
      <c r="D293" s="59" t="s">
        <v>1097</v>
      </c>
      <c r="E293" s="67"/>
      <c r="F293" s="49">
        <v>2</v>
      </c>
      <c r="G293" s="49">
        <v>92500</v>
      </c>
      <c r="H293" s="49">
        <v>185000</v>
      </c>
      <c r="I293" s="67" t="s">
        <v>70</v>
      </c>
      <c r="J293" s="484"/>
      <c r="K293" s="67"/>
      <c r="L293" s="409"/>
    </row>
    <row r="294" spans="1:12" ht="17.25" hidden="1" customHeight="1" x14ac:dyDescent="0.4">
      <c r="A294" s="484">
        <v>46261</v>
      </c>
      <c r="B294" s="59" t="s">
        <v>1550</v>
      </c>
      <c r="C294" s="67" t="s">
        <v>83</v>
      </c>
      <c r="D294" s="59" t="s">
        <v>84</v>
      </c>
      <c r="E294" s="67"/>
      <c r="F294" s="49">
        <v>5</v>
      </c>
      <c r="G294" s="49">
        <v>76500</v>
      </c>
      <c r="H294" s="49">
        <v>382500</v>
      </c>
      <c r="I294" s="67" t="s">
        <v>70</v>
      </c>
      <c r="J294" s="484"/>
      <c r="K294" s="67"/>
      <c r="L294" s="409"/>
    </row>
    <row r="295" spans="1:12" ht="17.25" hidden="1" customHeight="1" x14ac:dyDescent="0.4">
      <c r="A295" s="484">
        <v>46265</v>
      </c>
      <c r="B295" s="59" t="s">
        <v>1550</v>
      </c>
      <c r="C295" s="67" t="s">
        <v>64</v>
      </c>
      <c r="D295" s="59" t="s">
        <v>98</v>
      </c>
      <c r="E295" s="67"/>
      <c r="F295" s="49">
        <v>3</v>
      </c>
      <c r="G295" s="49">
        <v>1431650</v>
      </c>
      <c r="H295" s="49">
        <v>4294950</v>
      </c>
      <c r="I295" s="67" t="s">
        <v>1562</v>
      </c>
      <c r="J295" s="484"/>
      <c r="K295" s="67"/>
      <c r="L295" s="409"/>
    </row>
    <row r="296" spans="1:12" ht="17.25" hidden="1" customHeight="1" x14ac:dyDescent="0.4">
      <c r="A296" s="484">
        <v>46265</v>
      </c>
      <c r="B296" s="59" t="s">
        <v>1550</v>
      </c>
      <c r="C296" s="67" t="s">
        <v>67</v>
      </c>
      <c r="D296" s="59" t="s">
        <v>80</v>
      </c>
      <c r="E296" s="67"/>
      <c r="F296" s="49">
        <v>2</v>
      </c>
      <c r="G296" s="49">
        <v>384000</v>
      </c>
      <c r="H296" s="49">
        <v>768000</v>
      </c>
      <c r="I296" s="67" t="s">
        <v>1684</v>
      </c>
      <c r="J296" s="484"/>
      <c r="K296" s="67"/>
      <c r="L296" s="409"/>
    </row>
    <row r="297" spans="1:12" ht="17.25" hidden="1" customHeight="1" x14ac:dyDescent="0.4">
      <c r="A297" s="484">
        <v>46265</v>
      </c>
      <c r="B297" s="59" t="s">
        <v>1550</v>
      </c>
      <c r="C297" s="67" t="s">
        <v>63</v>
      </c>
      <c r="D297" s="59" t="s">
        <v>97</v>
      </c>
      <c r="E297" s="67"/>
      <c r="F297" s="49">
        <v>5</v>
      </c>
      <c r="G297" s="49">
        <v>137000</v>
      </c>
      <c r="H297" s="49">
        <v>685000</v>
      </c>
      <c r="I297" s="67" t="s">
        <v>1782</v>
      </c>
      <c r="J297" s="484"/>
      <c r="K297" s="67"/>
      <c r="L297" s="409"/>
    </row>
    <row r="298" spans="1:12" ht="17.25" hidden="1" customHeight="1" x14ac:dyDescent="0.4">
      <c r="A298" s="484">
        <v>46265</v>
      </c>
      <c r="B298" s="59" t="s">
        <v>1550</v>
      </c>
      <c r="C298" s="67" t="s">
        <v>63</v>
      </c>
      <c r="D298" s="59" t="s">
        <v>97</v>
      </c>
      <c r="E298" s="67"/>
      <c r="F298" s="49">
        <v>9</v>
      </c>
      <c r="G298" s="49">
        <v>137000</v>
      </c>
      <c r="H298" s="49">
        <v>1233000</v>
      </c>
      <c r="I298" s="67" t="s">
        <v>1783</v>
      </c>
      <c r="J298" s="484"/>
      <c r="K298" s="67"/>
      <c r="L298" s="409"/>
    </row>
    <row r="299" spans="1:12" ht="17.25" hidden="1" customHeight="1" x14ac:dyDescent="0.4">
      <c r="A299" s="484">
        <v>46265</v>
      </c>
      <c r="B299" s="59" t="s">
        <v>1550</v>
      </c>
      <c r="C299" s="67" t="s">
        <v>202</v>
      </c>
      <c r="D299" s="59" t="s">
        <v>203</v>
      </c>
      <c r="E299" s="67"/>
      <c r="F299" s="49">
        <v>5</v>
      </c>
      <c r="G299" s="49">
        <v>384000</v>
      </c>
      <c r="H299" s="49">
        <v>1920000</v>
      </c>
      <c r="I299" s="67" t="s">
        <v>1782</v>
      </c>
      <c r="J299" s="484"/>
      <c r="K299" s="67"/>
      <c r="L299" s="409"/>
    </row>
    <row r="300" spans="1:12" ht="17.25" hidden="1" customHeight="1" x14ac:dyDescent="0.4">
      <c r="A300" s="484">
        <v>46265</v>
      </c>
      <c r="B300" s="59" t="s">
        <v>1550</v>
      </c>
      <c r="C300" s="67" t="s">
        <v>202</v>
      </c>
      <c r="D300" s="59" t="s">
        <v>203</v>
      </c>
      <c r="E300" s="67"/>
      <c r="F300" s="49">
        <v>9</v>
      </c>
      <c r="G300" s="49">
        <v>384000</v>
      </c>
      <c r="H300" s="49">
        <v>3456000</v>
      </c>
      <c r="I300" s="67" t="s">
        <v>1783</v>
      </c>
      <c r="J300" s="484"/>
      <c r="K300" s="67"/>
      <c r="L300" s="409"/>
    </row>
    <row r="301" spans="1:12" ht="17.25" hidden="1" customHeight="1" x14ac:dyDescent="0.4">
      <c r="A301" s="484">
        <v>46265</v>
      </c>
      <c r="B301" s="59" t="s">
        <v>1550</v>
      </c>
      <c r="C301" s="67" t="s">
        <v>105</v>
      </c>
      <c r="D301" s="59" t="s">
        <v>117</v>
      </c>
      <c r="E301" s="67"/>
      <c r="F301" s="49">
        <v>3</v>
      </c>
      <c r="G301" s="49">
        <v>248000</v>
      </c>
      <c r="H301" s="49">
        <v>744000</v>
      </c>
      <c r="I301" s="67" t="s">
        <v>1684</v>
      </c>
      <c r="J301" s="484"/>
      <c r="K301" s="67"/>
      <c r="L301" s="409"/>
    </row>
    <row r="302" spans="1:12" ht="17.25" hidden="1" customHeight="1" x14ac:dyDescent="0.4">
      <c r="A302" s="484">
        <v>46265</v>
      </c>
      <c r="B302" s="59" t="s">
        <v>1550</v>
      </c>
      <c r="C302" s="67" t="s">
        <v>81</v>
      </c>
      <c r="D302" s="59" t="s">
        <v>82</v>
      </c>
      <c r="E302" s="67"/>
      <c r="F302" s="49">
        <v>4</v>
      </c>
      <c r="G302" s="49">
        <v>86300</v>
      </c>
      <c r="H302" s="49">
        <v>345200</v>
      </c>
      <c r="I302" s="67" t="s">
        <v>1781</v>
      </c>
      <c r="J302" s="484"/>
      <c r="K302" s="67"/>
      <c r="L302" s="409"/>
    </row>
    <row r="303" spans="1:12" ht="17.25" customHeight="1" x14ac:dyDescent="0.4">
      <c r="A303" s="484">
        <v>46265</v>
      </c>
      <c r="B303" s="59" t="s">
        <v>1550</v>
      </c>
      <c r="C303" s="67" t="s">
        <v>118</v>
      </c>
      <c r="D303" s="59" t="s">
        <v>119</v>
      </c>
      <c r="E303" s="67"/>
      <c r="F303" s="49">
        <v>10</v>
      </c>
      <c r="G303" s="49">
        <v>7790000</v>
      </c>
      <c r="H303" s="49">
        <v>77900000</v>
      </c>
      <c r="I303" s="67" t="s">
        <v>120</v>
      </c>
      <c r="J303" s="484"/>
      <c r="K303" s="67"/>
      <c r="L303" s="409"/>
    </row>
    <row r="304" spans="1:12" ht="17.25" hidden="1" customHeight="1" x14ac:dyDescent="0.4">
      <c r="A304" s="484">
        <v>46265</v>
      </c>
      <c r="B304" s="59" t="s">
        <v>1550</v>
      </c>
      <c r="C304" s="67" t="s">
        <v>67</v>
      </c>
      <c r="D304" s="59" t="s">
        <v>80</v>
      </c>
      <c r="E304" s="67"/>
      <c r="F304" s="49">
        <v>4</v>
      </c>
      <c r="G304" s="49">
        <v>384000</v>
      </c>
      <c r="H304" s="49">
        <v>1536000</v>
      </c>
      <c r="I304" s="67" t="s">
        <v>1680</v>
      </c>
      <c r="J304" s="484"/>
      <c r="K304" s="67"/>
      <c r="L304" s="409"/>
    </row>
    <row r="305" spans="1:12" ht="17.25" hidden="1" customHeight="1" x14ac:dyDescent="0.4">
      <c r="A305" s="484">
        <v>46265</v>
      </c>
      <c r="B305" s="59" t="s">
        <v>1550</v>
      </c>
      <c r="C305" s="67" t="s">
        <v>67</v>
      </c>
      <c r="D305" s="59" t="s">
        <v>80</v>
      </c>
      <c r="E305" s="67"/>
      <c r="F305" s="49">
        <v>6</v>
      </c>
      <c r="G305" s="49">
        <v>384000</v>
      </c>
      <c r="H305" s="49">
        <v>2304000</v>
      </c>
      <c r="I305" s="67" t="s">
        <v>1779</v>
      </c>
      <c r="J305" s="484"/>
      <c r="K305" s="67"/>
      <c r="L305" s="409"/>
    </row>
    <row r="306" spans="1:12" s="19" customFormat="1" ht="18.75" hidden="1" customHeight="1" x14ac:dyDescent="0.4">
      <c r="A306" s="484">
        <v>46265</v>
      </c>
      <c r="B306" s="59" t="s">
        <v>1670</v>
      </c>
      <c r="C306" s="6" t="s">
        <v>81</v>
      </c>
      <c r="D306" s="69" t="s">
        <v>82</v>
      </c>
      <c r="E306" s="8"/>
      <c r="F306" s="8">
        <v>5</v>
      </c>
      <c r="G306" s="36">
        <v>86300</v>
      </c>
      <c r="H306" s="49">
        <v>431500</v>
      </c>
      <c r="I306" s="150" t="s">
        <v>1779</v>
      </c>
      <c r="J306" s="70"/>
      <c r="K306" s="29"/>
      <c r="L306" s="405"/>
    </row>
    <row r="307" spans="1:12" s="19" customFormat="1" ht="18.75" hidden="1" customHeight="1" x14ac:dyDescent="0.4">
      <c r="A307" s="482">
        <v>46265</v>
      </c>
      <c r="B307" s="110" t="s">
        <v>1670</v>
      </c>
      <c r="C307" s="6" t="s">
        <v>85</v>
      </c>
      <c r="D307" s="69" t="s">
        <v>86</v>
      </c>
      <c r="E307" s="8"/>
      <c r="F307" s="813">
        <v>2</v>
      </c>
      <c r="G307" s="36">
        <v>37700</v>
      </c>
      <c r="H307" s="81">
        <v>75400</v>
      </c>
      <c r="I307" s="150" t="s">
        <v>70</v>
      </c>
      <c r="J307" s="70"/>
      <c r="K307" s="29"/>
      <c r="L307" s="405"/>
    </row>
    <row r="308" spans="1:12" s="19" customFormat="1" ht="18.75" hidden="1" customHeight="1" x14ac:dyDescent="0.4">
      <c r="A308" s="482">
        <v>46265</v>
      </c>
      <c r="B308" s="110" t="s">
        <v>1670</v>
      </c>
      <c r="C308" s="6" t="s">
        <v>85</v>
      </c>
      <c r="D308" s="69" t="s">
        <v>86</v>
      </c>
      <c r="E308" s="8"/>
      <c r="F308" s="813">
        <v>2</v>
      </c>
      <c r="G308" s="36">
        <v>37700</v>
      </c>
      <c r="H308" s="81">
        <v>75400</v>
      </c>
      <c r="I308" s="150" t="s">
        <v>70</v>
      </c>
      <c r="J308" s="70"/>
      <c r="K308" s="29"/>
      <c r="L308" s="405"/>
    </row>
    <row r="309" spans="1:12" s="19" customFormat="1" ht="18.75" hidden="1" customHeight="1" x14ac:dyDescent="0.4">
      <c r="A309" s="482">
        <v>46265</v>
      </c>
      <c r="B309" s="110" t="s">
        <v>1670</v>
      </c>
      <c r="C309" s="6" t="s">
        <v>83</v>
      </c>
      <c r="D309" s="69" t="s">
        <v>87</v>
      </c>
      <c r="E309" s="8"/>
      <c r="F309" s="813">
        <v>2</v>
      </c>
      <c r="G309" s="36">
        <v>75300</v>
      </c>
      <c r="H309" s="81">
        <v>150600</v>
      </c>
      <c r="I309" s="150" t="s">
        <v>70</v>
      </c>
      <c r="J309" s="70"/>
      <c r="K309" s="29"/>
      <c r="L309" s="405"/>
    </row>
    <row r="310" spans="1:12" s="19" customFormat="1" ht="18.75" hidden="1" customHeight="1" x14ac:dyDescent="0.4">
      <c r="A310" s="482">
        <v>46265</v>
      </c>
      <c r="B310" s="110" t="s">
        <v>1670</v>
      </c>
      <c r="C310" s="6" t="s">
        <v>83</v>
      </c>
      <c r="D310" s="69" t="s">
        <v>87</v>
      </c>
      <c r="E310" s="8"/>
      <c r="F310" s="813">
        <v>2</v>
      </c>
      <c r="G310" s="36">
        <v>75300</v>
      </c>
      <c r="H310" s="81">
        <v>150600</v>
      </c>
      <c r="I310" s="150" t="s">
        <v>70</v>
      </c>
      <c r="J310" s="70"/>
      <c r="K310" s="29"/>
      <c r="L310" s="405"/>
    </row>
    <row r="311" spans="1:12" s="19" customFormat="1" ht="18.75" hidden="1" customHeight="1" x14ac:dyDescent="0.4">
      <c r="A311" s="482">
        <v>46265</v>
      </c>
      <c r="B311" s="110" t="s">
        <v>1670</v>
      </c>
      <c r="C311" s="6" t="s">
        <v>88</v>
      </c>
      <c r="D311" s="69" t="s">
        <v>89</v>
      </c>
      <c r="E311" s="8"/>
      <c r="F311" s="813">
        <v>4</v>
      </c>
      <c r="G311" s="36">
        <v>64000</v>
      </c>
      <c r="H311" s="81">
        <v>256000</v>
      </c>
      <c r="I311" s="150" t="s">
        <v>70</v>
      </c>
      <c r="J311" s="70"/>
      <c r="K311" s="29"/>
      <c r="L311" s="405"/>
    </row>
    <row r="312" spans="1:12" s="19" customFormat="1" ht="18.75" hidden="1" customHeight="1" x14ac:dyDescent="0.4">
      <c r="A312" s="482">
        <v>46265</v>
      </c>
      <c r="B312" s="110" t="s">
        <v>1670</v>
      </c>
      <c r="C312" s="6" t="s">
        <v>88</v>
      </c>
      <c r="D312" s="69" t="s">
        <v>89</v>
      </c>
      <c r="E312" s="8"/>
      <c r="F312" s="813">
        <v>4</v>
      </c>
      <c r="G312" s="36">
        <v>64000</v>
      </c>
      <c r="H312" s="81">
        <v>256000</v>
      </c>
      <c r="I312" s="150" t="s">
        <v>70</v>
      </c>
      <c r="J312" s="70"/>
      <c r="K312" s="29"/>
      <c r="L312" s="405"/>
    </row>
    <row r="313" spans="1:12" s="19" customFormat="1" ht="18.75" hidden="1" customHeight="1" x14ac:dyDescent="0.4">
      <c r="A313" s="482">
        <v>46265</v>
      </c>
      <c r="B313" s="110" t="s">
        <v>1670</v>
      </c>
      <c r="C313" s="6" t="s">
        <v>290</v>
      </c>
      <c r="D313" s="69" t="s">
        <v>291</v>
      </c>
      <c r="E313" s="8"/>
      <c r="F313" s="813">
        <v>2</v>
      </c>
      <c r="G313" s="36">
        <v>129000</v>
      </c>
      <c r="H313" s="81">
        <v>258000</v>
      </c>
      <c r="I313" s="150" t="s">
        <v>70</v>
      </c>
      <c r="J313" s="70"/>
      <c r="K313" s="29"/>
      <c r="L313" s="405"/>
    </row>
    <row r="314" spans="1:12" s="19" customFormat="1" ht="18.75" hidden="1" customHeight="1" x14ac:dyDescent="0.4">
      <c r="A314" s="482">
        <v>46265</v>
      </c>
      <c r="B314" s="110" t="s">
        <v>1670</v>
      </c>
      <c r="C314" s="6" t="s">
        <v>290</v>
      </c>
      <c r="D314" s="69" t="s">
        <v>291</v>
      </c>
      <c r="E314" s="8"/>
      <c r="F314" s="813">
        <v>2</v>
      </c>
      <c r="G314" s="36">
        <v>129000</v>
      </c>
      <c r="H314" s="81">
        <v>258000</v>
      </c>
      <c r="I314" s="150" t="s">
        <v>70</v>
      </c>
      <c r="J314" s="70"/>
      <c r="K314" s="29"/>
      <c r="L314" s="405"/>
    </row>
    <row r="315" spans="1:12" s="19" customFormat="1" ht="18.75" hidden="1" customHeight="1" x14ac:dyDescent="0.4">
      <c r="A315" s="482">
        <v>46265</v>
      </c>
      <c r="B315" s="110" t="s">
        <v>1670</v>
      </c>
      <c r="C315" s="6" t="s">
        <v>95</v>
      </c>
      <c r="D315" s="69" t="s">
        <v>96</v>
      </c>
      <c r="E315" s="8"/>
      <c r="F315" s="813">
        <v>12</v>
      </c>
      <c r="G315" s="36">
        <v>12000</v>
      </c>
      <c r="H315" s="81">
        <v>144000</v>
      </c>
      <c r="I315" s="150" t="s">
        <v>70</v>
      </c>
      <c r="J315" s="70"/>
      <c r="K315" s="29"/>
      <c r="L315" s="405"/>
    </row>
    <row r="316" spans="1:12" s="19" customFormat="1" ht="18.75" hidden="1" customHeight="1" x14ac:dyDescent="0.4">
      <c r="A316" s="482">
        <v>46265</v>
      </c>
      <c r="B316" s="110" t="s">
        <v>1670</v>
      </c>
      <c r="C316" s="6" t="s">
        <v>95</v>
      </c>
      <c r="D316" s="69" t="s">
        <v>96</v>
      </c>
      <c r="E316" s="8"/>
      <c r="F316" s="813">
        <v>12</v>
      </c>
      <c r="G316" s="36">
        <v>12000</v>
      </c>
      <c r="H316" s="81">
        <v>144000</v>
      </c>
      <c r="I316" s="150" t="s">
        <v>70</v>
      </c>
      <c r="J316" s="70"/>
      <c r="K316" s="29"/>
      <c r="L316" s="405"/>
    </row>
    <row r="317" spans="1:12" s="19" customFormat="1" ht="18.75" hidden="1" customHeight="1" x14ac:dyDescent="0.4">
      <c r="A317" s="482"/>
      <c r="B317" s="110"/>
      <c r="C317" s="6"/>
      <c r="D317" s="69"/>
      <c r="E317" s="8"/>
      <c r="F317" s="813"/>
      <c r="G317" s="36"/>
      <c r="H317" s="81"/>
      <c r="I317" s="150"/>
      <c r="J317" s="70"/>
      <c r="K317" s="29"/>
      <c r="L317" s="405"/>
    </row>
    <row r="318" spans="1:12" s="19" customFormat="1" ht="18.75" hidden="1" customHeight="1" x14ac:dyDescent="0.4">
      <c r="A318" s="482"/>
      <c r="B318" s="110"/>
      <c r="C318" s="6"/>
      <c r="D318" s="69"/>
      <c r="E318" s="8"/>
      <c r="F318" s="813"/>
      <c r="G318" s="36"/>
      <c r="H318" s="81"/>
      <c r="I318" s="150"/>
      <c r="J318" s="70"/>
      <c r="K318" s="29"/>
      <c r="L318" s="405"/>
    </row>
    <row r="319" spans="1:12" s="19" customFormat="1" ht="18.75" hidden="1" customHeight="1" x14ac:dyDescent="0.4">
      <c r="A319" s="482"/>
      <c r="B319" s="110"/>
      <c r="C319" s="6"/>
      <c r="D319" s="69"/>
      <c r="E319" s="8"/>
      <c r="F319" s="813"/>
      <c r="G319" s="36"/>
      <c r="H319" s="81"/>
      <c r="I319" s="150"/>
      <c r="J319" s="70"/>
      <c r="K319" s="29"/>
      <c r="L319" s="405"/>
    </row>
    <row r="320" spans="1:12" s="19" customFormat="1" ht="18.75" hidden="1" customHeight="1" x14ac:dyDescent="0.4">
      <c r="A320" s="484">
        <v>46265</v>
      </c>
      <c r="B320" s="59" t="s">
        <v>1670</v>
      </c>
      <c r="C320" s="6" t="s">
        <v>290</v>
      </c>
      <c r="D320" s="69" t="s">
        <v>291</v>
      </c>
      <c r="E320" s="8"/>
      <c r="F320" s="813">
        <v>2</v>
      </c>
      <c r="G320" s="36">
        <v>129000</v>
      </c>
      <c r="H320" s="49">
        <f t="shared" ref="H320:H332" si="5">F320*G320</f>
        <v>258000</v>
      </c>
      <c r="I320" s="150" t="s">
        <v>70</v>
      </c>
      <c r="J320" s="70">
        <v>46280</v>
      </c>
      <c r="K320" s="29" t="s">
        <v>1784</v>
      </c>
      <c r="L320" s="405"/>
    </row>
    <row r="321" spans="1:13" s="19" customFormat="1" ht="18.75" hidden="1" customHeight="1" x14ac:dyDescent="0.4">
      <c r="A321" s="484">
        <v>46265</v>
      </c>
      <c r="B321" s="59" t="s">
        <v>1670</v>
      </c>
      <c r="C321" s="6" t="s">
        <v>290</v>
      </c>
      <c r="D321" s="69" t="s">
        <v>291</v>
      </c>
      <c r="E321" s="8"/>
      <c r="F321" s="813">
        <v>2</v>
      </c>
      <c r="G321" s="36">
        <v>129000</v>
      </c>
      <c r="H321" s="49">
        <f t="shared" si="5"/>
        <v>258000</v>
      </c>
      <c r="I321" s="150" t="s">
        <v>70</v>
      </c>
      <c r="J321" s="70">
        <v>46280</v>
      </c>
      <c r="K321" s="29" t="s">
        <v>1784</v>
      </c>
      <c r="L321" s="405"/>
    </row>
    <row r="322" spans="1:13" s="19" customFormat="1" ht="18.75" hidden="1" customHeight="1" x14ac:dyDescent="0.4">
      <c r="A322" s="484">
        <v>46265</v>
      </c>
      <c r="B322" s="59" t="s">
        <v>1670</v>
      </c>
      <c r="C322" s="6" t="s">
        <v>63</v>
      </c>
      <c r="D322" s="69" t="s">
        <v>97</v>
      </c>
      <c r="E322" s="8"/>
      <c r="F322" s="813">
        <v>3</v>
      </c>
      <c r="G322" s="36">
        <v>137000</v>
      </c>
      <c r="H322" s="49">
        <f t="shared" si="5"/>
        <v>411000</v>
      </c>
      <c r="I322" s="150" t="s">
        <v>1785</v>
      </c>
      <c r="J322" s="70">
        <v>46274</v>
      </c>
      <c r="K322" s="29" t="s">
        <v>1784</v>
      </c>
      <c r="L322" s="405"/>
    </row>
    <row r="323" spans="1:13" s="19" customFormat="1" ht="18.75" hidden="1" customHeight="1" x14ac:dyDescent="0.4">
      <c r="A323" s="484">
        <v>46265</v>
      </c>
      <c r="B323" s="59" t="s">
        <v>1670</v>
      </c>
      <c r="C323" s="6" t="s">
        <v>63</v>
      </c>
      <c r="D323" s="69" t="s">
        <v>97</v>
      </c>
      <c r="E323" s="8"/>
      <c r="F323" s="813">
        <v>3</v>
      </c>
      <c r="G323" s="36">
        <v>137000</v>
      </c>
      <c r="H323" s="49">
        <f t="shared" si="5"/>
        <v>411000</v>
      </c>
      <c r="I323" s="150" t="s">
        <v>1786</v>
      </c>
      <c r="J323" s="70">
        <v>46282</v>
      </c>
      <c r="K323" s="29" t="s">
        <v>1784</v>
      </c>
      <c r="L323" s="405"/>
    </row>
    <row r="324" spans="1:13" s="19" customFormat="1" ht="18.75" hidden="1" customHeight="1" x14ac:dyDescent="0.4">
      <c r="A324" s="484">
        <v>46265</v>
      </c>
      <c r="B324" s="59" t="s">
        <v>1670</v>
      </c>
      <c r="C324" s="6" t="s">
        <v>202</v>
      </c>
      <c r="D324" s="69" t="s">
        <v>203</v>
      </c>
      <c r="E324" s="8"/>
      <c r="F324" s="813">
        <v>3</v>
      </c>
      <c r="G324" s="36">
        <v>384000</v>
      </c>
      <c r="H324" s="49">
        <f t="shared" si="5"/>
        <v>1152000</v>
      </c>
      <c r="I324" s="150" t="s">
        <v>1785</v>
      </c>
      <c r="J324" s="70">
        <v>46274</v>
      </c>
      <c r="K324" s="29" t="s">
        <v>1784</v>
      </c>
      <c r="L324" s="405"/>
    </row>
    <row r="325" spans="1:13" s="19" customFormat="1" ht="18.75" hidden="1" customHeight="1" x14ac:dyDescent="0.4">
      <c r="A325" s="484">
        <v>46265</v>
      </c>
      <c r="B325" s="59" t="s">
        <v>1670</v>
      </c>
      <c r="C325" s="6" t="s">
        <v>202</v>
      </c>
      <c r="D325" s="69" t="s">
        <v>203</v>
      </c>
      <c r="E325" s="8"/>
      <c r="F325" s="813">
        <v>3</v>
      </c>
      <c r="G325" s="36">
        <v>384000</v>
      </c>
      <c r="H325" s="49">
        <f t="shared" si="5"/>
        <v>1152000</v>
      </c>
      <c r="I325" s="150" t="s">
        <v>1786</v>
      </c>
      <c r="J325" s="70">
        <v>46282</v>
      </c>
      <c r="K325" s="29" t="s">
        <v>1784</v>
      </c>
      <c r="L325" s="405"/>
    </row>
    <row r="326" spans="1:13" s="19" customFormat="1" ht="18.75" hidden="1" customHeight="1" x14ac:dyDescent="0.4">
      <c r="A326" s="484">
        <v>46265</v>
      </c>
      <c r="B326" s="59" t="s">
        <v>1670</v>
      </c>
      <c r="C326" s="6" t="s">
        <v>66</v>
      </c>
      <c r="D326" s="69" t="s">
        <v>357</v>
      </c>
      <c r="E326" s="8"/>
      <c r="F326" s="813">
        <v>12</v>
      </c>
      <c r="G326" s="36">
        <v>1766050</v>
      </c>
      <c r="H326" s="49">
        <f t="shared" si="5"/>
        <v>21192600</v>
      </c>
      <c r="I326" s="150" t="s">
        <v>1787</v>
      </c>
      <c r="J326" s="70">
        <v>46281</v>
      </c>
      <c r="K326" s="29" t="s">
        <v>1784</v>
      </c>
      <c r="L326" s="405"/>
    </row>
    <row r="327" spans="1:13" s="19" customFormat="1" ht="18.75" hidden="1" customHeight="1" x14ac:dyDescent="0.4">
      <c r="A327" s="484">
        <v>46265</v>
      </c>
      <c r="B327" s="59" t="s">
        <v>1670</v>
      </c>
      <c r="C327" s="6" t="s">
        <v>66</v>
      </c>
      <c r="D327" s="69" t="s">
        <v>1080</v>
      </c>
      <c r="E327" s="8"/>
      <c r="F327" s="813">
        <v>3</v>
      </c>
      <c r="G327" s="36">
        <v>1766050</v>
      </c>
      <c r="H327" s="49">
        <f t="shared" si="5"/>
        <v>5298150</v>
      </c>
      <c r="I327" s="150" t="s">
        <v>1788</v>
      </c>
      <c r="J327" s="70">
        <v>46295</v>
      </c>
      <c r="K327" s="29" t="s">
        <v>1784</v>
      </c>
      <c r="L327" s="405"/>
    </row>
    <row r="328" spans="1:13" s="19" customFormat="1" ht="18.75" hidden="1" customHeight="1" x14ac:dyDescent="0.4">
      <c r="A328" s="484">
        <v>46265</v>
      </c>
      <c r="B328" s="59" t="s">
        <v>1670</v>
      </c>
      <c r="C328" s="6" t="s">
        <v>64</v>
      </c>
      <c r="D328" s="69" t="s">
        <v>360</v>
      </c>
      <c r="E328" s="8"/>
      <c r="F328" s="813">
        <v>12</v>
      </c>
      <c r="G328" s="36">
        <v>1431650</v>
      </c>
      <c r="H328" s="49">
        <f t="shared" si="5"/>
        <v>17179800</v>
      </c>
      <c r="I328" s="150" t="s">
        <v>1787</v>
      </c>
      <c r="J328" s="70">
        <v>46281</v>
      </c>
      <c r="K328" s="29" t="s">
        <v>1784</v>
      </c>
      <c r="L328" s="405"/>
    </row>
    <row r="329" spans="1:13" s="19" customFormat="1" ht="18.75" hidden="1" customHeight="1" x14ac:dyDescent="0.4">
      <c r="A329" s="484">
        <v>46265</v>
      </c>
      <c r="B329" s="59" t="s">
        <v>1670</v>
      </c>
      <c r="C329" s="6" t="s">
        <v>64</v>
      </c>
      <c r="D329" s="69" t="s">
        <v>98</v>
      </c>
      <c r="E329" s="8"/>
      <c r="F329" s="813">
        <v>3</v>
      </c>
      <c r="G329" s="36">
        <v>1431650</v>
      </c>
      <c r="H329" s="49">
        <f t="shared" si="5"/>
        <v>4294950</v>
      </c>
      <c r="I329" s="150" t="s">
        <v>1788</v>
      </c>
      <c r="J329" s="70">
        <v>46295</v>
      </c>
      <c r="K329" s="29" t="s">
        <v>1784</v>
      </c>
      <c r="L329" s="405"/>
    </row>
    <row r="330" spans="1:13" s="19" customFormat="1" ht="18.75" hidden="1" customHeight="1" x14ac:dyDescent="0.4">
      <c r="A330" s="484">
        <v>46265</v>
      </c>
      <c r="B330" s="59" t="s">
        <v>1670</v>
      </c>
      <c r="C330" s="6" t="s">
        <v>71</v>
      </c>
      <c r="D330" s="69" t="s">
        <v>207</v>
      </c>
      <c r="E330" s="8"/>
      <c r="F330" s="814">
        <v>12</v>
      </c>
      <c r="G330" s="36">
        <v>520600</v>
      </c>
      <c r="H330" s="49">
        <f t="shared" si="5"/>
        <v>6247200</v>
      </c>
      <c r="I330" s="150" t="s">
        <v>1787</v>
      </c>
      <c r="J330" s="70">
        <v>46281</v>
      </c>
      <c r="K330" s="29" t="s">
        <v>1784</v>
      </c>
      <c r="L330" s="405"/>
    </row>
    <row r="331" spans="1:13" s="19" customFormat="1" ht="18.75" hidden="1" customHeight="1" x14ac:dyDescent="0.4">
      <c r="A331" s="484">
        <v>46265</v>
      </c>
      <c r="B331" s="59" t="s">
        <v>1670</v>
      </c>
      <c r="C331" s="6" t="s">
        <v>71</v>
      </c>
      <c r="D331" s="69" t="s">
        <v>287</v>
      </c>
      <c r="E331" s="8"/>
      <c r="F331" s="518">
        <v>11</v>
      </c>
      <c r="G331" s="36">
        <v>520600</v>
      </c>
      <c r="H331" s="49">
        <f t="shared" si="5"/>
        <v>5726600</v>
      </c>
      <c r="I331" s="150" t="s">
        <v>1788</v>
      </c>
      <c r="J331" s="70">
        <v>46295</v>
      </c>
      <c r="K331" s="29" t="s">
        <v>1784</v>
      </c>
      <c r="L331" s="405"/>
    </row>
    <row r="332" spans="1:13" s="19" customFormat="1" ht="18.75" hidden="1" customHeight="1" x14ac:dyDescent="0.4">
      <c r="A332" s="484">
        <v>46265</v>
      </c>
      <c r="B332" s="59" t="s">
        <v>1670</v>
      </c>
      <c r="C332" s="6" t="s">
        <v>1789</v>
      </c>
      <c r="D332" s="69" t="s">
        <v>209</v>
      </c>
      <c r="E332" s="8"/>
      <c r="F332" s="518">
        <v>10</v>
      </c>
      <c r="G332" s="36">
        <v>390000</v>
      </c>
      <c r="H332" s="49">
        <f t="shared" si="5"/>
        <v>3900000</v>
      </c>
      <c r="I332" s="150" t="s">
        <v>1790</v>
      </c>
      <c r="J332" s="70">
        <v>46281</v>
      </c>
      <c r="K332" s="29" t="s">
        <v>1784</v>
      </c>
      <c r="L332" s="405"/>
    </row>
    <row r="333" spans="1:13" s="19" customFormat="1" ht="18.75" hidden="1" customHeight="1" x14ac:dyDescent="0.4">
      <c r="A333" s="622"/>
      <c r="B333" s="39"/>
      <c r="C333" s="88"/>
      <c r="D333" s="434"/>
      <c r="E333" s="39"/>
      <c r="F333" s="39"/>
      <c r="G333" s="98"/>
      <c r="H333" s="138">
        <f>SUM(H140:H316)</f>
        <v>626522020</v>
      </c>
      <c r="I333" s="40"/>
      <c r="J333" s="39"/>
      <c r="K333" s="40"/>
      <c r="L333" s="696"/>
    </row>
    <row r="334" spans="1:13" customFormat="1" ht="17.399999999999999" hidden="1" x14ac:dyDescent="0.4">
      <c r="A334" s="109">
        <v>46225</v>
      </c>
      <c r="B334" s="59" t="s">
        <v>1686</v>
      </c>
      <c r="C334" s="67" t="s">
        <v>1296</v>
      </c>
      <c r="D334" s="59" t="s">
        <v>1297</v>
      </c>
      <c r="E334" s="67"/>
      <c r="F334" s="49">
        <v>2</v>
      </c>
      <c r="G334" s="49">
        <v>417300</v>
      </c>
      <c r="H334" s="144">
        <f>F334*G334</f>
        <v>834600</v>
      </c>
      <c r="I334" s="67" t="s">
        <v>1726</v>
      </c>
      <c r="J334" s="109">
        <v>46246</v>
      </c>
      <c r="K334" s="67"/>
      <c r="L334" s="409"/>
      <c r="M334" s="50"/>
    </row>
    <row r="335" spans="1:13" customFormat="1" ht="17.399999999999999" hidden="1" x14ac:dyDescent="0.4">
      <c r="A335" s="109">
        <v>46225</v>
      </c>
      <c r="B335" s="59" t="s">
        <v>1686</v>
      </c>
      <c r="C335" s="67" t="s">
        <v>123</v>
      </c>
      <c r="D335" s="59" t="s">
        <v>124</v>
      </c>
      <c r="E335" s="67"/>
      <c r="F335" s="49">
        <v>2</v>
      </c>
      <c r="G335" s="49">
        <v>155840</v>
      </c>
      <c r="H335" s="144">
        <f>F335*G335</f>
        <v>311680</v>
      </c>
      <c r="I335" s="67" t="s">
        <v>1726</v>
      </c>
      <c r="J335" s="109">
        <v>46246</v>
      </c>
      <c r="K335" s="67"/>
      <c r="L335" s="409"/>
      <c r="M335" s="50"/>
    </row>
    <row r="336" spans="1:13" s="19" customFormat="1" ht="18.75" hidden="1" customHeight="1" x14ac:dyDescent="0.4">
      <c r="A336" s="485">
        <v>46258</v>
      </c>
      <c r="B336" s="59" t="s">
        <v>1686</v>
      </c>
      <c r="C336" s="6" t="s">
        <v>1791</v>
      </c>
      <c r="D336" s="69" t="s">
        <v>1792</v>
      </c>
      <c r="E336" s="8"/>
      <c r="F336" s="8">
        <v>1</v>
      </c>
      <c r="G336" s="36">
        <v>174000</v>
      </c>
      <c r="H336" s="49">
        <f>F336*G336</f>
        <v>174000</v>
      </c>
      <c r="I336" s="150" t="s">
        <v>365</v>
      </c>
      <c r="J336" s="70">
        <v>46264</v>
      </c>
      <c r="K336" s="29"/>
      <c r="L336" s="405"/>
    </row>
    <row r="337" spans="1:14" s="19" customFormat="1" ht="18.75" hidden="1" customHeight="1" x14ac:dyDescent="0.4">
      <c r="A337" s="622"/>
      <c r="B337" s="39"/>
      <c r="C337" s="88"/>
      <c r="D337" s="434"/>
      <c r="E337" s="39"/>
      <c r="F337" s="39"/>
      <c r="G337" s="98"/>
      <c r="H337" s="138">
        <f>SUM(H334:H336)</f>
        <v>1320280</v>
      </c>
      <c r="I337" s="435"/>
      <c r="J337" s="436"/>
      <c r="K337" s="40"/>
      <c r="L337" s="696"/>
    </row>
    <row r="338" spans="1:14" customFormat="1" ht="17.399999999999999" hidden="1" x14ac:dyDescent="0.4">
      <c r="A338" s="485">
        <v>46198</v>
      </c>
      <c r="B338" s="5" t="s">
        <v>1568</v>
      </c>
      <c r="C338" s="6" t="s">
        <v>132</v>
      </c>
      <c r="D338" s="405" t="s">
        <v>1120</v>
      </c>
      <c r="E338" s="1" t="s">
        <v>13</v>
      </c>
      <c r="F338" s="36">
        <v>6</v>
      </c>
      <c r="G338" s="36">
        <v>3225880</v>
      </c>
      <c r="H338" s="7">
        <f t="shared" ref="H338:H361" si="6">G338*F338</f>
        <v>19355280</v>
      </c>
      <c r="I338" s="67" t="s">
        <v>1758</v>
      </c>
      <c r="J338" s="67"/>
      <c r="K338" s="67"/>
      <c r="L338" s="67"/>
      <c r="M338" s="50"/>
      <c r="N338" s="50"/>
    </row>
    <row r="339" spans="1:14" customFormat="1" ht="17.399999999999999" hidden="1" x14ac:dyDescent="0.4">
      <c r="A339" s="485">
        <v>46202</v>
      </c>
      <c r="B339" s="5" t="s">
        <v>134</v>
      </c>
      <c r="C339" s="6" t="s">
        <v>132</v>
      </c>
      <c r="D339" s="405" t="s">
        <v>1120</v>
      </c>
      <c r="E339" s="405" t="s">
        <v>343</v>
      </c>
      <c r="F339" s="29">
        <v>6</v>
      </c>
      <c r="G339" s="7">
        <v>3225880</v>
      </c>
      <c r="H339" s="518">
        <f t="shared" si="6"/>
        <v>19355280</v>
      </c>
      <c r="I339" s="67" t="s">
        <v>1758</v>
      </c>
      <c r="J339" s="67"/>
      <c r="K339" s="67"/>
      <c r="L339" s="67"/>
      <c r="M339" s="50"/>
      <c r="N339" s="50"/>
    </row>
    <row r="340" spans="1:14" ht="19.5" hidden="1" customHeight="1" x14ac:dyDescent="0.4">
      <c r="A340" s="484">
        <v>46222</v>
      </c>
      <c r="B340" s="5" t="s">
        <v>134</v>
      </c>
      <c r="C340" s="6" t="s">
        <v>129</v>
      </c>
      <c r="D340" s="405" t="s">
        <v>1429</v>
      </c>
      <c r="E340" s="1" t="s">
        <v>1430</v>
      </c>
      <c r="F340" s="29">
        <v>34</v>
      </c>
      <c r="G340" s="7">
        <v>52326</v>
      </c>
      <c r="H340" s="7">
        <f t="shared" si="6"/>
        <v>1779084</v>
      </c>
      <c r="I340" s="67" t="s">
        <v>1758</v>
      </c>
      <c r="J340" s="67"/>
      <c r="K340" s="67"/>
      <c r="L340" s="49"/>
      <c r="N340"/>
    </row>
    <row r="341" spans="1:14" customFormat="1" ht="17.399999999999999" hidden="1" x14ac:dyDescent="0.4">
      <c r="A341" s="109">
        <v>46227</v>
      </c>
      <c r="B341" s="59" t="s">
        <v>134</v>
      </c>
      <c r="C341" s="67" t="s">
        <v>132</v>
      </c>
      <c r="D341" s="409" t="s">
        <v>1120</v>
      </c>
      <c r="E341" s="67" t="s">
        <v>13</v>
      </c>
      <c r="F341" s="49">
        <v>11</v>
      </c>
      <c r="G341" s="49">
        <v>3225880</v>
      </c>
      <c r="H341" s="7">
        <f t="shared" si="6"/>
        <v>35484680</v>
      </c>
      <c r="I341" s="67" t="s">
        <v>1758</v>
      </c>
      <c r="J341" s="109"/>
      <c r="K341" s="67"/>
      <c r="L341" s="409"/>
      <c r="M341" s="50"/>
    </row>
    <row r="342" spans="1:14" customFormat="1" ht="17.399999999999999" hidden="1" x14ac:dyDescent="0.4">
      <c r="A342" s="484">
        <v>46227</v>
      </c>
      <c r="B342" s="5" t="s">
        <v>134</v>
      </c>
      <c r="C342" s="409" t="s">
        <v>136</v>
      </c>
      <c r="D342" s="140" t="s">
        <v>947</v>
      </c>
      <c r="E342" s="1" t="s">
        <v>13</v>
      </c>
      <c r="F342" s="29">
        <v>14</v>
      </c>
      <c r="G342" s="61">
        <v>597880</v>
      </c>
      <c r="H342" s="7">
        <f t="shared" si="6"/>
        <v>8370320</v>
      </c>
      <c r="I342" s="67" t="s">
        <v>1758</v>
      </c>
      <c r="J342" s="67"/>
      <c r="K342" s="67"/>
      <c r="L342" s="49"/>
      <c r="M342" s="50"/>
    </row>
    <row r="343" spans="1:14" customFormat="1" ht="26.4" hidden="1" x14ac:dyDescent="0.4">
      <c r="A343" s="484">
        <v>46233</v>
      </c>
      <c r="B343" s="5" t="s">
        <v>134</v>
      </c>
      <c r="C343" s="409" t="s">
        <v>1563</v>
      </c>
      <c r="D343" s="140" t="s">
        <v>1730</v>
      </c>
      <c r="E343" s="1" t="s">
        <v>127</v>
      </c>
      <c r="F343" s="29">
        <v>16</v>
      </c>
      <c r="G343" s="61">
        <v>47400</v>
      </c>
      <c r="H343" s="7">
        <f t="shared" si="6"/>
        <v>758400</v>
      </c>
      <c r="I343" s="67" t="s">
        <v>1758</v>
      </c>
      <c r="J343" s="67"/>
      <c r="K343" s="67"/>
      <c r="L343" s="49"/>
      <c r="M343" s="50"/>
    </row>
    <row r="344" spans="1:14" customFormat="1" ht="26.4" hidden="1" x14ac:dyDescent="0.4">
      <c r="A344" s="484">
        <v>46233</v>
      </c>
      <c r="B344" s="5" t="s">
        <v>134</v>
      </c>
      <c r="C344" s="409" t="s">
        <v>965</v>
      </c>
      <c r="D344" s="140" t="s">
        <v>1732</v>
      </c>
      <c r="E344" s="1" t="s">
        <v>17</v>
      </c>
      <c r="F344" s="29">
        <v>56</v>
      </c>
      <c r="G344" s="61">
        <v>124180</v>
      </c>
      <c r="H344" s="7">
        <f t="shared" si="6"/>
        <v>6954080</v>
      </c>
      <c r="I344" s="67" t="s">
        <v>1758</v>
      </c>
      <c r="J344" s="67"/>
      <c r="K344" s="67"/>
      <c r="L344" s="49"/>
      <c r="M344" s="50"/>
    </row>
    <row r="345" spans="1:14" ht="19.5" hidden="1" customHeight="1" x14ac:dyDescent="0.4">
      <c r="A345" s="484">
        <v>46233</v>
      </c>
      <c r="B345" s="5" t="s">
        <v>134</v>
      </c>
      <c r="C345" s="409" t="s">
        <v>367</v>
      </c>
      <c r="D345" s="140" t="s">
        <v>368</v>
      </c>
      <c r="E345" s="1" t="s">
        <v>17</v>
      </c>
      <c r="F345" s="29">
        <v>43</v>
      </c>
      <c r="G345" s="61">
        <v>96490</v>
      </c>
      <c r="H345" s="7">
        <f t="shared" si="6"/>
        <v>4149070</v>
      </c>
      <c r="I345" s="67" t="s">
        <v>1758</v>
      </c>
      <c r="J345" s="67"/>
      <c r="K345" s="67"/>
      <c r="L345" s="49"/>
      <c r="N345"/>
    </row>
    <row r="346" spans="1:14" customFormat="1" ht="17.399999999999999" hidden="1" x14ac:dyDescent="0.4">
      <c r="A346" s="484">
        <v>46233</v>
      </c>
      <c r="B346" s="5" t="s">
        <v>134</v>
      </c>
      <c r="C346" s="6" t="s">
        <v>1741</v>
      </c>
      <c r="D346" s="786" t="s">
        <v>1742</v>
      </c>
      <c r="E346" s="8" t="s">
        <v>17</v>
      </c>
      <c r="F346" s="8">
        <v>63</v>
      </c>
      <c r="G346" s="36">
        <v>215340</v>
      </c>
      <c r="H346" s="7">
        <f t="shared" si="6"/>
        <v>13566420</v>
      </c>
      <c r="I346" s="67" t="s">
        <v>1758</v>
      </c>
      <c r="J346" s="67"/>
      <c r="K346" s="67"/>
      <c r="L346" s="49"/>
      <c r="M346" s="50"/>
    </row>
    <row r="347" spans="1:14" ht="18.75" hidden="1" customHeight="1" x14ac:dyDescent="0.4">
      <c r="A347" s="484">
        <v>46233</v>
      </c>
      <c r="B347" s="5" t="s">
        <v>134</v>
      </c>
      <c r="C347" s="409" t="s">
        <v>949</v>
      </c>
      <c r="D347" s="140" t="s">
        <v>1731</v>
      </c>
      <c r="E347" s="1" t="s">
        <v>127</v>
      </c>
      <c r="F347" s="29">
        <v>69</v>
      </c>
      <c r="G347" s="29">
        <v>80570</v>
      </c>
      <c r="H347" s="8">
        <f t="shared" si="6"/>
        <v>5559330</v>
      </c>
      <c r="I347" s="67" t="s">
        <v>1758</v>
      </c>
      <c r="J347" s="67"/>
      <c r="K347" s="67"/>
      <c r="L347" s="49"/>
      <c r="N347"/>
    </row>
    <row r="348" spans="1:14" ht="18.75" hidden="1" customHeight="1" x14ac:dyDescent="0.4">
      <c r="A348" s="484">
        <v>46233</v>
      </c>
      <c r="B348" s="5" t="s">
        <v>134</v>
      </c>
      <c r="C348" s="6" t="s">
        <v>369</v>
      </c>
      <c r="D348" s="786" t="s">
        <v>1303</v>
      </c>
      <c r="E348" s="8" t="s">
        <v>17</v>
      </c>
      <c r="F348" s="8">
        <v>58</v>
      </c>
      <c r="G348" s="36">
        <v>99220</v>
      </c>
      <c r="H348" s="7">
        <f t="shared" si="6"/>
        <v>5754760</v>
      </c>
      <c r="I348" s="67" t="s">
        <v>1758</v>
      </c>
      <c r="J348" s="67"/>
      <c r="K348" s="67"/>
      <c r="L348" s="49"/>
      <c r="N348"/>
    </row>
    <row r="349" spans="1:14" customFormat="1" ht="26.4" hidden="1" x14ac:dyDescent="0.4">
      <c r="A349" s="484">
        <v>46233</v>
      </c>
      <c r="B349" s="5" t="s">
        <v>134</v>
      </c>
      <c r="C349" s="409" t="s">
        <v>132</v>
      </c>
      <c r="D349" s="140" t="s">
        <v>1120</v>
      </c>
      <c r="E349" s="1" t="s">
        <v>13</v>
      </c>
      <c r="F349" s="29">
        <v>12</v>
      </c>
      <c r="G349" s="61">
        <v>3225880</v>
      </c>
      <c r="H349" s="7">
        <f t="shared" si="6"/>
        <v>38710560</v>
      </c>
      <c r="I349" s="67" t="s">
        <v>1758</v>
      </c>
      <c r="J349" s="67"/>
      <c r="K349" s="67"/>
      <c r="L349" s="49"/>
      <c r="M349" s="50"/>
    </row>
    <row r="350" spans="1:14" customFormat="1" ht="26.4" hidden="1" x14ac:dyDescent="0.4">
      <c r="A350" s="484">
        <v>46233</v>
      </c>
      <c r="B350" s="5" t="s">
        <v>134</v>
      </c>
      <c r="C350" s="409" t="s">
        <v>132</v>
      </c>
      <c r="D350" s="140" t="s">
        <v>1120</v>
      </c>
      <c r="E350" s="1" t="s">
        <v>13</v>
      </c>
      <c r="F350" s="29">
        <v>4</v>
      </c>
      <c r="G350" s="61">
        <v>3225880</v>
      </c>
      <c r="H350" s="7">
        <f t="shared" si="6"/>
        <v>12903520</v>
      </c>
      <c r="I350" s="67" t="s">
        <v>1758</v>
      </c>
      <c r="J350" s="67"/>
      <c r="K350" s="67"/>
      <c r="L350" s="49"/>
      <c r="M350" s="50"/>
    </row>
    <row r="351" spans="1:14" customFormat="1" ht="17.399999999999999" hidden="1" x14ac:dyDescent="0.4">
      <c r="A351" s="484">
        <v>46233</v>
      </c>
      <c r="B351" s="5" t="s">
        <v>134</v>
      </c>
      <c r="C351" s="409" t="s">
        <v>941</v>
      </c>
      <c r="D351" s="140" t="s">
        <v>1311</v>
      </c>
      <c r="E351" s="1" t="s">
        <v>13</v>
      </c>
      <c r="F351" s="29">
        <v>22</v>
      </c>
      <c r="G351" s="61">
        <v>290000</v>
      </c>
      <c r="H351" s="7">
        <f t="shared" si="6"/>
        <v>6380000</v>
      </c>
      <c r="I351" s="67" t="s">
        <v>1758</v>
      </c>
      <c r="J351" s="67"/>
      <c r="K351" s="67"/>
      <c r="L351" s="49"/>
      <c r="M351" s="50"/>
    </row>
    <row r="352" spans="1:14" ht="19.5" hidden="1" customHeight="1" x14ac:dyDescent="0.4">
      <c r="A352" s="484">
        <v>46233</v>
      </c>
      <c r="B352" s="5" t="s">
        <v>134</v>
      </c>
      <c r="C352" s="409" t="s">
        <v>945</v>
      </c>
      <c r="D352" s="140" t="s">
        <v>1312</v>
      </c>
      <c r="E352" s="1" t="s">
        <v>13</v>
      </c>
      <c r="F352" s="29">
        <v>17</v>
      </c>
      <c r="G352" s="61">
        <v>225000</v>
      </c>
      <c r="H352" s="7">
        <f t="shared" si="6"/>
        <v>3825000</v>
      </c>
      <c r="I352" s="67" t="s">
        <v>1758</v>
      </c>
      <c r="J352" s="67"/>
      <c r="K352" s="67"/>
      <c r="L352" s="49"/>
      <c r="N352"/>
    </row>
    <row r="353" spans="1:14" customFormat="1" ht="26.4" hidden="1" x14ac:dyDescent="0.4">
      <c r="A353" s="484">
        <v>46233</v>
      </c>
      <c r="B353" s="5" t="s">
        <v>134</v>
      </c>
      <c r="C353" s="409" t="s">
        <v>1733</v>
      </c>
      <c r="D353" s="140" t="s">
        <v>1856</v>
      </c>
      <c r="E353" s="1" t="s">
        <v>127</v>
      </c>
      <c r="F353" s="29">
        <v>10</v>
      </c>
      <c r="G353" s="61">
        <v>23900</v>
      </c>
      <c r="H353" s="7">
        <f t="shared" si="6"/>
        <v>239000</v>
      </c>
      <c r="I353" s="67" t="s">
        <v>1758</v>
      </c>
      <c r="J353" s="67"/>
      <c r="K353" s="67"/>
      <c r="L353" s="49"/>
      <c r="M353" s="50"/>
    </row>
    <row r="354" spans="1:14" ht="19.5" hidden="1" customHeight="1" x14ac:dyDescent="0.4">
      <c r="A354" s="484">
        <v>46233</v>
      </c>
      <c r="B354" s="5" t="s">
        <v>134</v>
      </c>
      <c r="C354" s="409" t="s">
        <v>1737</v>
      </c>
      <c r="D354" s="140" t="s">
        <v>1738</v>
      </c>
      <c r="E354" s="1" t="s">
        <v>127</v>
      </c>
      <c r="F354" s="29">
        <v>19</v>
      </c>
      <c r="G354" s="61">
        <v>23900</v>
      </c>
      <c r="H354" s="7">
        <f t="shared" si="6"/>
        <v>454100</v>
      </c>
      <c r="I354" s="67" t="s">
        <v>1758</v>
      </c>
      <c r="J354" s="67"/>
      <c r="K354" s="67"/>
      <c r="L354" s="49"/>
      <c r="N354"/>
    </row>
    <row r="355" spans="1:14" ht="19.5" hidden="1" customHeight="1" x14ac:dyDescent="0.4">
      <c r="A355" s="484">
        <v>46233</v>
      </c>
      <c r="B355" s="5" t="s">
        <v>134</v>
      </c>
      <c r="C355" s="409" t="s">
        <v>1735</v>
      </c>
      <c r="D355" s="140" t="s">
        <v>1736</v>
      </c>
      <c r="E355" s="1" t="s">
        <v>127</v>
      </c>
      <c r="F355" s="29">
        <v>15</v>
      </c>
      <c r="G355" s="61">
        <v>34300</v>
      </c>
      <c r="H355" s="7">
        <f t="shared" si="6"/>
        <v>514500</v>
      </c>
      <c r="I355" s="67" t="s">
        <v>1758</v>
      </c>
      <c r="J355" s="67"/>
      <c r="K355" s="67"/>
      <c r="L355" s="49"/>
      <c r="N355"/>
    </row>
    <row r="356" spans="1:14" customFormat="1" ht="26.4" hidden="1" x14ac:dyDescent="0.4">
      <c r="A356" s="484">
        <v>46233</v>
      </c>
      <c r="B356" s="5" t="s">
        <v>134</v>
      </c>
      <c r="C356" s="409" t="s">
        <v>1739</v>
      </c>
      <c r="D356" s="140" t="s">
        <v>1740</v>
      </c>
      <c r="E356" s="1" t="s">
        <v>127</v>
      </c>
      <c r="F356" s="29">
        <v>14</v>
      </c>
      <c r="G356" s="61">
        <v>34300</v>
      </c>
      <c r="H356" s="7">
        <f t="shared" si="6"/>
        <v>480200</v>
      </c>
      <c r="I356" s="67" t="s">
        <v>1758</v>
      </c>
      <c r="J356" s="67"/>
      <c r="K356" s="67"/>
      <c r="L356" s="49"/>
      <c r="M356" s="50"/>
    </row>
    <row r="357" spans="1:14" customFormat="1" ht="17.399999999999999" hidden="1" x14ac:dyDescent="0.4">
      <c r="A357" s="484">
        <v>46233</v>
      </c>
      <c r="B357" s="5" t="s">
        <v>134</v>
      </c>
      <c r="C357" s="409" t="s">
        <v>319</v>
      </c>
      <c r="D357" s="140" t="s">
        <v>960</v>
      </c>
      <c r="E357" s="1" t="s">
        <v>13</v>
      </c>
      <c r="F357" s="29">
        <v>14</v>
      </c>
      <c r="G357" s="61">
        <v>142700</v>
      </c>
      <c r="H357" s="7">
        <f t="shared" si="6"/>
        <v>1997800</v>
      </c>
      <c r="I357" s="67" t="s">
        <v>1758</v>
      </c>
      <c r="J357" s="67"/>
      <c r="K357" s="67"/>
      <c r="L357" s="49"/>
      <c r="M357" s="50"/>
    </row>
    <row r="358" spans="1:14" customFormat="1" ht="17.399999999999999" hidden="1" x14ac:dyDescent="0.4">
      <c r="A358" s="484">
        <v>46233</v>
      </c>
      <c r="B358" s="5" t="s">
        <v>134</v>
      </c>
      <c r="C358" s="409" t="s">
        <v>312</v>
      </c>
      <c r="D358" s="140" t="s">
        <v>316</v>
      </c>
      <c r="E358" s="1" t="s">
        <v>13</v>
      </c>
      <c r="F358" s="29">
        <v>23</v>
      </c>
      <c r="G358" s="61">
        <v>96000</v>
      </c>
      <c r="H358" s="7">
        <f t="shared" si="6"/>
        <v>2208000</v>
      </c>
      <c r="I358" s="67" t="s">
        <v>1758</v>
      </c>
      <c r="J358" s="67"/>
      <c r="K358" s="67"/>
      <c r="L358" s="49"/>
      <c r="M358" s="50"/>
    </row>
    <row r="359" spans="1:14" customFormat="1" ht="17.399999999999999" hidden="1" x14ac:dyDescent="0.4">
      <c r="A359" s="484">
        <v>46233</v>
      </c>
      <c r="B359" s="5" t="s">
        <v>134</v>
      </c>
      <c r="C359" s="409" t="s">
        <v>319</v>
      </c>
      <c r="D359" s="140" t="s">
        <v>1307</v>
      </c>
      <c r="E359" s="1" t="s">
        <v>13</v>
      </c>
      <c r="F359" s="29">
        <v>11</v>
      </c>
      <c r="G359" s="61">
        <v>94000</v>
      </c>
      <c r="H359" s="7">
        <f t="shared" si="6"/>
        <v>1034000</v>
      </c>
      <c r="I359" s="67" t="s">
        <v>1758</v>
      </c>
      <c r="J359" s="67"/>
      <c r="K359" s="67"/>
      <c r="L359" s="49"/>
      <c r="M359" s="50"/>
    </row>
    <row r="360" spans="1:14" customFormat="1" ht="17.399999999999999" hidden="1" x14ac:dyDescent="0.4">
      <c r="A360" s="484">
        <v>46233</v>
      </c>
      <c r="B360" s="5" t="s">
        <v>134</v>
      </c>
      <c r="C360" s="409" t="s">
        <v>507</v>
      </c>
      <c r="D360" s="140" t="s">
        <v>328</v>
      </c>
      <c r="E360" s="1" t="s">
        <v>13</v>
      </c>
      <c r="F360" s="29">
        <v>6</v>
      </c>
      <c r="G360" s="61">
        <v>1364000</v>
      </c>
      <c r="H360" s="7">
        <f t="shared" si="6"/>
        <v>8184000</v>
      </c>
      <c r="I360" s="67" t="s">
        <v>1758</v>
      </c>
      <c r="J360" s="67"/>
      <c r="K360" s="67"/>
      <c r="L360" s="49"/>
      <c r="M360" s="113"/>
      <c r="N360" s="113"/>
    </row>
    <row r="361" spans="1:14" customFormat="1" ht="17.399999999999999" hidden="1" x14ac:dyDescent="0.4">
      <c r="A361" s="484">
        <v>46233</v>
      </c>
      <c r="B361" s="5" t="s">
        <v>134</v>
      </c>
      <c r="C361" s="409" t="s">
        <v>508</v>
      </c>
      <c r="D361" s="140" t="s">
        <v>329</v>
      </c>
      <c r="E361" s="1" t="s">
        <v>13</v>
      </c>
      <c r="F361" s="29">
        <v>11</v>
      </c>
      <c r="G361" s="61">
        <v>1364000</v>
      </c>
      <c r="H361" s="7">
        <f t="shared" si="6"/>
        <v>15004000</v>
      </c>
      <c r="I361" s="67" t="s">
        <v>1758</v>
      </c>
      <c r="J361" s="67"/>
      <c r="K361" s="67"/>
      <c r="L361" s="49"/>
      <c r="M361" s="50"/>
    </row>
    <row r="362" spans="1:14" customFormat="1" ht="17.399999999999999" hidden="1" x14ac:dyDescent="0.4">
      <c r="A362" s="484">
        <v>46248</v>
      </c>
      <c r="B362" s="7" t="s">
        <v>134</v>
      </c>
      <c r="C362" s="60" t="s">
        <v>132</v>
      </c>
      <c r="D362" s="61" t="s">
        <v>1120</v>
      </c>
      <c r="E362" s="7" t="s">
        <v>13</v>
      </c>
      <c r="F362" s="49">
        <v>6</v>
      </c>
      <c r="G362" s="7">
        <v>3225880</v>
      </c>
      <c r="H362" s="7">
        <f>F362*G362</f>
        <v>19355280</v>
      </c>
      <c r="I362" s="67"/>
      <c r="J362" s="67"/>
      <c r="K362" s="67"/>
      <c r="L362" s="49"/>
      <c r="M362" s="50"/>
      <c r="N362" s="50"/>
    </row>
    <row r="363" spans="1:14" customFormat="1" ht="26.4" hidden="1" x14ac:dyDescent="0.4">
      <c r="A363" s="484">
        <v>46248</v>
      </c>
      <c r="B363" s="8" t="s">
        <v>134</v>
      </c>
      <c r="C363" s="6" t="s">
        <v>136</v>
      </c>
      <c r="D363" s="116" t="s">
        <v>422</v>
      </c>
      <c r="E363" s="8" t="s">
        <v>13</v>
      </c>
      <c r="F363" s="49">
        <v>40</v>
      </c>
      <c r="G363" s="36">
        <v>597880</v>
      </c>
      <c r="H363" s="7">
        <f>F363*G363</f>
        <v>23915200</v>
      </c>
      <c r="I363" s="67"/>
      <c r="J363" s="67"/>
      <c r="K363" s="67"/>
      <c r="L363" s="49"/>
      <c r="M363" s="50"/>
      <c r="N363" s="50"/>
    </row>
    <row r="364" spans="1:14" customFormat="1" ht="17.399999999999999" hidden="1" x14ac:dyDescent="0.4">
      <c r="A364" s="484">
        <v>46248</v>
      </c>
      <c r="B364" s="5" t="s">
        <v>134</v>
      </c>
      <c r="C364" s="6" t="s">
        <v>370</v>
      </c>
      <c r="D364" s="29" t="s">
        <v>1793</v>
      </c>
      <c r="E364" s="1" t="s">
        <v>17</v>
      </c>
      <c r="F364" s="49">
        <v>32</v>
      </c>
      <c r="G364" s="29">
        <v>208360</v>
      </c>
      <c r="H364" s="7">
        <f>F364*G364</f>
        <v>6667520</v>
      </c>
      <c r="I364" s="67"/>
      <c r="J364" s="67"/>
      <c r="K364" s="67"/>
      <c r="L364" s="49"/>
      <c r="M364" s="50"/>
      <c r="N364" s="50"/>
    </row>
    <row r="365" spans="1:14" s="113" customFormat="1" ht="20.25" hidden="1" customHeight="1" x14ac:dyDescent="0.4">
      <c r="A365" s="484">
        <v>46258</v>
      </c>
      <c r="B365" s="5" t="s">
        <v>134</v>
      </c>
      <c r="C365" s="6" t="s">
        <v>965</v>
      </c>
      <c r="D365" s="405" t="s">
        <v>1732</v>
      </c>
      <c r="E365" s="1" t="s">
        <v>17</v>
      </c>
      <c r="F365" s="29">
        <v>98</v>
      </c>
      <c r="G365" s="7">
        <v>124180</v>
      </c>
      <c r="H365" s="7">
        <f>F365*G365</f>
        <v>12169640</v>
      </c>
      <c r="I365" s="67"/>
      <c r="J365" s="67"/>
      <c r="K365" s="67"/>
      <c r="L365" s="49"/>
      <c r="M365" s="50"/>
      <c r="N365" s="50"/>
    </row>
    <row r="366" spans="1:14" customFormat="1" ht="17.399999999999999" hidden="1" x14ac:dyDescent="0.4">
      <c r="A366" s="484">
        <v>46258</v>
      </c>
      <c r="B366" s="5" t="s">
        <v>134</v>
      </c>
      <c r="C366" s="6" t="s">
        <v>369</v>
      </c>
      <c r="D366" s="405" t="s">
        <v>1303</v>
      </c>
      <c r="E366" s="1" t="s">
        <v>17</v>
      </c>
      <c r="F366" s="29">
        <v>60</v>
      </c>
      <c r="G366" s="7">
        <v>99220</v>
      </c>
      <c r="H366" s="7">
        <f>F366*G366</f>
        <v>5953200</v>
      </c>
      <c r="I366" s="67"/>
      <c r="J366" s="67"/>
      <c r="K366" s="67"/>
      <c r="L366" s="49"/>
      <c r="M366" s="50"/>
      <c r="N366" s="50"/>
    </row>
    <row r="367" spans="1:14" customFormat="1" ht="17.399999999999999" hidden="1" x14ac:dyDescent="0.4">
      <c r="A367" s="484">
        <v>46222</v>
      </c>
      <c r="B367" s="5" t="s">
        <v>134</v>
      </c>
      <c r="C367" s="6" t="s">
        <v>320</v>
      </c>
      <c r="D367" s="405" t="s">
        <v>324</v>
      </c>
      <c r="E367" s="1" t="s">
        <v>127</v>
      </c>
      <c r="F367" s="29">
        <v>3</v>
      </c>
      <c r="G367" s="7">
        <v>20000</v>
      </c>
      <c r="H367" s="7">
        <f>G367*F367</f>
        <v>60000</v>
      </c>
      <c r="I367" s="67" t="s">
        <v>1857</v>
      </c>
      <c r="J367" s="67"/>
      <c r="K367" s="67"/>
      <c r="L367" s="49"/>
      <c r="M367" s="50"/>
    </row>
    <row r="368" spans="1:14" customFormat="1" ht="16.95" hidden="1" customHeight="1" x14ac:dyDescent="0.4">
      <c r="A368" s="484">
        <v>46222</v>
      </c>
      <c r="B368" s="5" t="s">
        <v>134</v>
      </c>
      <c r="C368" s="6" t="s">
        <v>314</v>
      </c>
      <c r="D368" s="405" t="s">
        <v>956</v>
      </c>
      <c r="E368" s="1" t="s">
        <v>13</v>
      </c>
      <c r="F368" s="29">
        <v>3</v>
      </c>
      <c r="G368" s="7">
        <v>79000</v>
      </c>
      <c r="H368" s="7">
        <f>G368*F368</f>
        <v>237000</v>
      </c>
      <c r="I368" s="67" t="s">
        <v>1857</v>
      </c>
      <c r="J368" s="67"/>
      <c r="K368" s="67"/>
      <c r="L368" s="49"/>
      <c r="M368" s="50"/>
    </row>
    <row r="369" spans="1:12" ht="19.5" hidden="1" customHeight="1" x14ac:dyDescent="0.4">
      <c r="A369" s="484">
        <v>46248</v>
      </c>
      <c r="B369" s="8" t="s">
        <v>134</v>
      </c>
      <c r="C369" s="6" t="s">
        <v>317</v>
      </c>
      <c r="D369" s="80" t="s">
        <v>850</v>
      </c>
      <c r="E369" s="8" t="s">
        <v>127</v>
      </c>
      <c r="F369" s="49">
        <v>3</v>
      </c>
      <c r="G369" s="49">
        <v>35000</v>
      </c>
      <c r="H369" s="7">
        <f t="shared" ref="H369:H380" si="7">F369*G369</f>
        <v>105000</v>
      </c>
      <c r="I369" s="67" t="s">
        <v>1857</v>
      </c>
      <c r="J369" s="67"/>
      <c r="K369" s="67"/>
      <c r="L369" s="49"/>
    </row>
    <row r="370" spans="1:12" ht="19.5" hidden="1" customHeight="1" x14ac:dyDescent="0.4">
      <c r="A370" s="484">
        <v>46248</v>
      </c>
      <c r="B370" s="7" t="s">
        <v>134</v>
      </c>
      <c r="C370" s="60" t="s">
        <v>311</v>
      </c>
      <c r="D370" s="61" t="s">
        <v>431</v>
      </c>
      <c r="E370" s="7" t="s">
        <v>127</v>
      </c>
      <c r="F370" s="7">
        <v>3</v>
      </c>
      <c r="G370" s="17">
        <v>27000</v>
      </c>
      <c r="H370" s="7">
        <f t="shared" si="7"/>
        <v>81000</v>
      </c>
      <c r="I370" s="67" t="s">
        <v>1857</v>
      </c>
      <c r="J370" s="67"/>
      <c r="K370" s="67"/>
      <c r="L370" s="49"/>
    </row>
    <row r="371" spans="1:12" ht="19.5" hidden="1" customHeight="1" x14ac:dyDescent="0.4">
      <c r="A371" s="484">
        <v>46248</v>
      </c>
      <c r="B371" s="8" t="s">
        <v>134</v>
      </c>
      <c r="C371" s="49" t="s">
        <v>311</v>
      </c>
      <c r="D371" s="80" t="s">
        <v>323</v>
      </c>
      <c r="E371" s="8" t="s">
        <v>127</v>
      </c>
      <c r="F371" s="49">
        <v>3</v>
      </c>
      <c r="G371" s="49">
        <v>18470</v>
      </c>
      <c r="H371" s="7">
        <f t="shared" si="7"/>
        <v>55410</v>
      </c>
      <c r="I371" s="67" t="s">
        <v>1857</v>
      </c>
      <c r="J371" s="67"/>
      <c r="K371" s="67"/>
      <c r="L371" s="49"/>
    </row>
    <row r="372" spans="1:12" ht="19.2" hidden="1" customHeight="1" x14ac:dyDescent="0.4">
      <c r="A372" s="484">
        <v>46248</v>
      </c>
      <c r="B372" s="5" t="s">
        <v>134</v>
      </c>
      <c r="C372" s="80" t="s">
        <v>317</v>
      </c>
      <c r="D372" s="189" t="s">
        <v>318</v>
      </c>
      <c r="E372" s="1" t="s">
        <v>13</v>
      </c>
      <c r="F372" s="29">
        <v>3</v>
      </c>
      <c r="G372" s="61">
        <v>236000</v>
      </c>
      <c r="H372" s="7">
        <f t="shared" si="7"/>
        <v>708000</v>
      </c>
      <c r="I372" s="67" t="s">
        <v>1857</v>
      </c>
      <c r="J372" s="67"/>
      <c r="K372" s="67"/>
      <c r="L372" s="49"/>
    </row>
    <row r="373" spans="1:12" ht="19.5" hidden="1" customHeight="1" x14ac:dyDescent="0.4">
      <c r="A373" s="484">
        <v>46258</v>
      </c>
      <c r="B373" s="5" t="s">
        <v>134</v>
      </c>
      <c r="C373" s="6" t="s">
        <v>132</v>
      </c>
      <c r="D373" s="405" t="s">
        <v>1120</v>
      </c>
      <c r="E373" s="1" t="s">
        <v>13</v>
      </c>
      <c r="F373" s="29">
        <v>12</v>
      </c>
      <c r="G373" s="7">
        <v>3225880</v>
      </c>
      <c r="H373" s="7">
        <f t="shared" si="7"/>
        <v>38710560</v>
      </c>
      <c r="I373" s="67" t="s">
        <v>1849</v>
      </c>
      <c r="J373" s="67"/>
      <c r="K373" s="67"/>
      <c r="L373" s="49"/>
    </row>
    <row r="374" spans="1:12" ht="19.5" hidden="1" customHeight="1" x14ac:dyDescent="0.4">
      <c r="A374" s="484">
        <v>46262</v>
      </c>
      <c r="B374" s="5" t="s">
        <v>134</v>
      </c>
      <c r="C374" s="6" t="s">
        <v>132</v>
      </c>
      <c r="D374" s="405" t="s">
        <v>1120</v>
      </c>
      <c r="E374" s="1" t="s">
        <v>13</v>
      </c>
      <c r="F374" s="29">
        <v>11</v>
      </c>
      <c r="G374" s="7">
        <v>3225880</v>
      </c>
      <c r="H374" s="7">
        <f t="shared" si="7"/>
        <v>35484680</v>
      </c>
      <c r="I374" s="67" t="s">
        <v>1849</v>
      </c>
      <c r="J374" s="67"/>
      <c r="K374" s="67"/>
      <c r="L374" s="49"/>
    </row>
    <row r="375" spans="1:12" ht="19.5" hidden="1" customHeight="1" x14ac:dyDescent="0.4">
      <c r="A375" s="484">
        <v>46262</v>
      </c>
      <c r="B375" s="5" t="s">
        <v>134</v>
      </c>
      <c r="C375" s="6" t="s">
        <v>312</v>
      </c>
      <c r="D375" s="405" t="s">
        <v>316</v>
      </c>
      <c r="E375" s="1" t="s">
        <v>13</v>
      </c>
      <c r="F375" s="29">
        <v>8</v>
      </c>
      <c r="G375" s="7">
        <v>96000</v>
      </c>
      <c r="H375" s="7">
        <f t="shared" si="7"/>
        <v>768000</v>
      </c>
      <c r="I375" s="67" t="s">
        <v>1849</v>
      </c>
      <c r="J375" s="67"/>
      <c r="K375" s="67"/>
      <c r="L375" s="49"/>
    </row>
    <row r="376" spans="1:12" ht="19.2" hidden="1" customHeight="1" x14ac:dyDescent="0.4">
      <c r="A376" s="484">
        <v>46262</v>
      </c>
      <c r="B376" s="5" t="s">
        <v>134</v>
      </c>
      <c r="C376" s="6" t="s">
        <v>507</v>
      </c>
      <c r="D376" s="405" t="s">
        <v>328</v>
      </c>
      <c r="E376" s="1" t="s">
        <v>13</v>
      </c>
      <c r="F376" s="29">
        <v>12</v>
      </c>
      <c r="G376" s="7">
        <v>1364000</v>
      </c>
      <c r="H376" s="7">
        <f t="shared" si="7"/>
        <v>16368000</v>
      </c>
      <c r="I376" s="67" t="s">
        <v>1849</v>
      </c>
      <c r="J376" s="67"/>
      <c r="K376" s="67"/>
      <c r="L376" s="49"/>
    </row>
    <row r="377" spans="1:12" ht="19.2" hidden="1" customHeight="1" x14ac:dyDescent="0.4">
      <c r="A377" s="484">
        <v>46262</v>
      </c>
      <c r="B377" s="5" t="s">
        <v>134</v>
      </c>
      <c r="C377" s="6" t="s">
        <v>508</v>
      </c>
      <c r="D377" s="405" t="s">
        <v>329</v>
      </c>
      <c r="E377" s="1" t="s">
        <v>13</v>
      </c>
      <c r="F377" s="29">
        <v>8</v>
      </c>
      <c r="G377" s="7">
        <v>1364000</v>
      </c>
      <c r="H377" s="7">
        <f t="shared" si="7"/>
        <v>10912000</v>
      </c>
      <c r="I377" s="67" t="s">
        <v>1849</v>
      </c>
      <c r="J377" s="67"/>
      <c r="K377" s="67"/>
      <c r="L377" s="49"/>
    </row>
    <row r="378" spans="1:12" ht="19.2" hidden="1" customHeight="1" x14ac:dyDescent="0.4">
      <c r="A378" s="484">
        <v>46262</v>
      </c>
      <c r="B378" s="5" t="s">
        <v>134</v>
      </c>
      <c r="C378" s="6" t="s">
        <v>941</v>
      </c>
      <c r="D378" s="405" t="s">
        <v>1311</v>
      </c>
      <c r="E378" s="1" t="s">
        <v>13</v>
      </c>
      <c r="F378" s="29">
        <v>6</v>
      </c>
      <c r="G378" s="7">
        <v>290000</v>
      </c>
      <c r="H378" s="7">
        <f t="shared" si="7"/>
        <v>1740000</v>
      </c>
      <c r="I378" s="67" t="s">
        <v>1849</v>
      </c>
      <c r="J378" s="67"/>
      <c r="K378" s="67"/>
      <c r="L378" s="49"/>
    </row>
    <row r="379" spans="1:12" ht="19.2" hidden="1" customHeight="1" x14ac:dyDescent="0.4">
      <c r="A379" s="484">
        <v>46262</v>
      </c>
      <c r="B379" s="5" t="s">
        <v>134</v>
      </c>
      <c r="C379" s="6" t="s">
        <v>945</v>
      </c>
      <c r="D379" s="405" t="s">
        <v>1312</v>
      </c>
      <c r="E379" s="1" t="s">
        <v>13</v>
      </c>
      <c r="F379" s="29">
        <v>7</v>
      </c>
      <c r="G379" s="7">
        <v>225000</v>
      </c>
      <c r="H379" s="7">
        <f t="shared" si="7"/>
        <v>1575000</v>
      </c>
      <c r="I379" s="67" t="s">
        <v>1849</v>
      </c>
      <c r="J379" s="67"/>
      <c r="K379" s="67"/>
      <c r="L379" s="49"/>
    </row>
    <row r="380" spans="1:12" ht="19.2" hidden="1" customHeight="1" x14ac:dyDescent="0.4">
      <c r="A380" s="484">
        <v>46262</v>
      </c>
      <c r="B380" s="5" t="s">
        <v>134</v>
      </c>
      <c r="C380" s="409" t="s">
        <v>310</v>
      </c>
      <c r="D380" s="140" t="s">
        <v>1302</v>
      </c>
      <c r="E380" s="1" t="s">
        <v>13</v>
      </c>
      <c r="F380" s="29">
        <v>13</v>
      </c>
      <c r="G380" s="61">
        <v>92000</v>
      </c>
      <c r="H380" s="7">
        <f t="shared" si="7"/>
        <v>1196000</v>
      </c>
      <c r="I380" s="67" t="s">
        <v>1849</v>
      </c>
      <c r="J380" s="67"/>
      <c r="K380" s="67"/>
      <c r="L380" s="49"/>
    </row>
    <row r="381" spans="1:12" ht="19.2" hidden="1" customHeight="1" x14ac:dyDescent="0.4">
      <c r="A381" s="484">
        <v>46262</v>
      </c>
      <c r="B381" s="5" t="s">
        <v>134</v>
      </c>
      <c r="C381" s="409" t="s">
        <v>963</v>
      </c>
      <c r="D381" s="140" t="s">
        <v>964</v>
      </c>
      <c r="E381" s="1" t="s">
        <v>127</v>
      </c>
      <c r="F381" s="29">
        <v>14</v>
      </c>
      <c r="G381" s="61">
        <v>16100</v>
      </c>
      <c r="H381" s="7"/>
      <c r="I381" s="67" t="s">
        <v>1794</v>
      </c>
      <c r="J381" s="67"/>
      <c r="K381" s="67"/>
      <c r="L381" s="49"/>
    </row>
    <row r="382" spans="1:12" ht="18.75" hidden="1" customHeight="1" x14ac:dyDescent="0.4">
      <c r="A382" s="484">
        <v>46262</v>
      </c>
      <c r="B382" s="5" t="s">
        <v>134</v>
      </c>
      <c r="C382" s="67" t="s">
        <v>181</v>
      </c>
      <c r="D382" s="468" t="s">
        <v>749</v>
      </c>
      <c r="E382" s="67" t="s">
        <v>13</v>
      </c>
      <c r="F382" s="67">
        <v>15</v>
      </c>
      <c r="G382" s="7">
        <v>2163000</v>
      </c>
      <c r="H382" s="7">
        <f>F382*G382</f>
        <v>32445000</v>
      </c>
      <c r="I382" s="67" t="s">
        <v>1849</v>
      </c>
      <c r="J382" s="67"/>
      <c r="K382" s="67"/>
      <c r="L382" s="67"/>
    </row>
    <row r="383" spans="1:12" ht="18.75" hidden="1" customHeight="1" x14ac:dyDescent="0.4">
      <c r="A383" s="484">
        <v>46262</v>
      </c>
      <c r="B383" s="5" t="s">
        <v>134</v>
      </c>
      <c r="C383" s="67" t="s">
        <v>182</v>
      </c>
      <c r="D383" s="468" t="s">
        <v>372</v>
      </c>
      <c r="E383" s="67" t="s">
        <v>13</v>
      </c>
      <c r="F383" s="67">
        <v>15</v>
      </c>
      <c r="G383" s="7">
        <v>2163000</v>
      </c>
      <c r="H383" s="7">
        <f>F383*G383</f>
        <v>32445000</v>
      </c>
      <c r="I383" s="67" t="s">
        <v>1849</v>
      </c>
      <c r="J383" s="67"/>
      <c r="K383" s="67"/>
      <c r="L383" s="67"/>
    </row>
    <row r="384" spans="1:12" s="19" customFormat="1" ht="18.75" hidden="1" customHeight="1" x14ac:dyDescent="0.4">
      <c r="A384" s="622"/>
      <c r="B384" s="39"/>
      <c r="C384" s="88"/>
      <c r="D384" s="434"/>
      <c r="E384" s="39"/>
      <c r="F384" s="39"/>
      <c r="G384" s="98"/>
      <c r="H384" s="138">
        <f>SUM(H338:H366)</f>
        <v>281082224</v>
      </c>
      <c r="I384" s="435"/>
      <c r="J384" s="436"/>
      <c r="K384" s="40"/>
      <c r="L384" s="696"/>
    </row>
    <row r="385" spans="1:12" s="19" customFormat="1" ht="18.75" hidden="1" customHeight="1" x14ac:dyDescent="0.4">
      <c r="A385" s="485">
        <v>46247</v>
      </c>
      <c r="B385" s="8" t="s">
        <v>137</v>
      </c>
      <c r="C385" s="6" t="s">
        <v>241</v>
      </c>
      <c r="D385" s="69" t="s">
        <v>231</v>
      </c>
      <c r="E385" s="8"/>
      <c r="F385" s="8">
        <v>28</v>
      </c>
      <c r="G385" s="36">
        <v>199600</v>
      </c>
      <c r="H385" s="49">
        <f t="shared" ref="H385:H406" si="8">F385*G385</f>
        <v>5588800</v>
      </c>
      <c r="I385" s="150" t="s">
        <v>1689</v>
      </c>
      <c r="J385" s="70"/>
      <c r="K385" s="29"/>
      <c r="L385" s="405"/>
    </row>
    <row r="386" spans="1:12" s="19" customFormat="1" ht="18.75" hidden="1" customHeight="1" x14ac:dyDescent="0.4">
      <c r="A386" s="485">
        <v>46247</v>
      </c>
      <c r="B386" s="8" t="s">
        <v>137</v>
      </c>
      <c r="C386" s="6" t="s">
        <v>241</v>
      </c>
      <c r="D386" s="69" t="s">
        <v>373</v>
      </c>
      <c r="E386" s="8"/>
      <c r="F386" s="8">
        <v>32</v>
      </c>
      <c r="G386" s="36">
        <v>199600</v>
      </c>
      <c r="H386" s="49">
        <f t="shared" si="8"/>
        <v>6387200</v>
      </c>
      <c r="I386" s="150" t="s">
        <v>1689</v>
      </c>
      <c r="J386" s="70"/>
      <c r="K386" s="29"/>
      <c r="L386" s="405"/>
    </row>
    <row r="387" spans="1:12" s="19" customFormat="1" ht="18.75" hidden="1" customHeight="1" x14ac:dyDescent="0.4">
      <c r="A387" s="485">
        <v>46247</v>
      </c>
      <c r="B387" s="8" t="s">
        <v>137</v>
      </c>
      <c r="C387" s="6" t="s">
        <v>234</v>
      </c>
      <c r="D387" s="69" t="s">
        <v>235</v>
      </c>
      <c r="E387" s="8"/>
      <c r="F387" s="8">
        <v>115</v>
      </c>
      <c r="G387" s="36">
        <v>69400</v>
      </c>
      <c r="H387" s="49">
        <f t="shared" si="8"/>
        <v>7981000</v>
      </c>
      <c r="I387" s="150" t="s">
        <v>1572</v>
      </c>
      <c r="J387" s="70"/>
      <c r="K387" s="29"/>
      <c r="L387" s="405"/>
    </row>
    <row r="388" spans="1:12" s="19" customFormat="1" ht="18.75" hidden="1" customHeight="1" x14ac:dyDescent="0.4">
      <c r="A388" s="485">
        <v>46247</v>
      </c>
      <c r="B388" s="8" t="s">
        <v>137</v>
      </c>
      <c r="C388" s="6" t="s">
        <v>234</v>
      </c>
      <c r="D388" s="69" t="s">
        <v>333</v>
      </c>
      <c r="E388" s="8"/>
      <c r="F388" s="8">
        <v>110</v>
      </c>
      <c r="G388" s="36">
        <v>69400</v>
      </c>
      <c r="H388" s="49">
        <f t="shared" si="8"/>
        <v>7634000</v>
      </c>
      <c r="I388" s="150" t="s">
        <v>1572</v>
      </c>
      <c r="J388" s="70"/>
      <c r="K388" s="29"/>
      <c r="L388" s="405"/>
    </row>
    <row r="389" spans="1:12" s="19" customFormat="1" ht="18.75" hidden="1" customHeight="1" x14ac:dyDescent="0.4">
      <c r="A389" s="485">
        <v>46247</v>
      </c>
      <c r="B389" s="8" t="s">
        <v>137</v>
      </c>
      <c r="C389" s="6" t="s">
        <v>332</v>
      </c>
      <c r="D389" s="69" t="s">
        <v>238</v>
      </c>
      <c r="E389" s="8"/>
      <c r="F389" s="8">
        <v>60</v>
      </c>
      <c r="G389" s="36">
        <v>141100</v>
      </c>
      <c r="H389" s="49">
        <f t="shared" si="8"/>
        <v>8466000</v>
      </c>
      <c r="I389" s="150" t="s">
        <v>1692</v>
      </c>
      <c r="J389" s="70"/>
      <c r="K389" s="29"/>
      <c r="L389" s="405"/>
    </row>
    <row r="390" spans="1:12" s="19" customFormat="1" ht="18.75" hidden="1" customHeight="1" x14ac:dyDescent="0.4">
      <c r="A390" s="485">
        <v>46247</v>
      </c>
      <c r="B390" s="8" t="s">
        <v>137</v>
      </c>
      <c r="C390" s="6" t="s">
        <v>241</v>
      </c>
      <c r="D390" s="69" t="s">
        <v>240</v>
      </c>
      <c r="E390" s="8"/>
      <c r="F390" s="8">
        <v>16</v>
      </c>
      <c r="G390" s="36">
        <v>261900</v>
      </c>
      <c r="H390" s="49">
        <f t="shared" si="8"/>
        <v>4190400</v>
      </c>
      <c r="I390" s="150" t="s">
        <v>1689</v>
      </c>
      <c r="J390" s="70"/>
      <c r="K390" s="29"/>
      <c r="L390" s="405"/>
    </row>
    <row r="391" spans="1:12" s="19" customFormat="1" ht="18.75" hidden="1" customHeight="1" x14ac:dyDescent="0.4">
      <c r="A391" s="485">
        <v>46247</v>
      </c>
      <c r="B391" s="8" t="s">
        <v>137</v>
      </c>
      <c r="C391" s="6" t="s">
        <v>241</v>
      </c>
      <c r="D391" s="69" t="s">
        <v>471</v>
      </c>
      <c r="E391" s="8"/>
      <c r="F391" s="8">
        <v>24</v>
      </c>
      <c r="G391" s="36">
        <v>261900</v>
      </c>
      <c r="H391" s="49">
        <f t="shared" si="8"/>
        <v>6285600</v>
      </c>
      <c r="I391" s="150" t="s">
        <v>1689</v>
      </c>
      <c r="J391" s="70"/>
      <c r="K391" s="29"/>
      <c r="L391" s="405"/>
    </row>
    <row r="392" spans="1:12" s="19" customFormat="1" ht="18.75" hidden="1" customHeight="1" x14ac:dyDescent="0.4">
      <c r="A392" s="485">
        <v>46254</v>
      </c>
      <c r="B392" s="8" t="s">
        <v>137</v>
      </c>
      <c r="C392" s="6" t="s">
        <v>241</v>
      </c>
      <c r="D392" s="69" t="s">
        <v>373</v>
      </c>
      <c r="E392" s="8"/>
      <c r="F392" s="8">
        <v>22</v>
      </c>
      <c r="G392" s="36">
        <v>199600</v>
      </c>
      <c r="H392" s="49">
        <f t="shared" si="8"/>
        <v>4391200</v>
      </c>
      <c r="I392" s="150" t="s">
        <v>1689</v>
      </c>
      <c r="J392" s="70"/>
      <c r="K392" s="29"/>
      <c r="L392" s="405"/>
    </row>
    <row r="393" spans="1:12" s="19" customFormat="1" ht="18.75" hidden="1" customHeight="1" x14ac:dyDescent="0.4">
      <c r="A393" s="485">
        <v>46254</v>
      </c>
      <c r="B393" s="8" t="s">
        <v>137</v>
      </c>
      <c r="C393" s="6" t="s">
        <v>241</v>
      </c>
      <c r="D393" s="69" t="s">
        <v>373</v>
      </c>
      <c r="E393" s="8"/>
      <c r="F393" s="8">
        <v>32</v>
      </c>
      <c r="G393" s="36">
        <v>199600</v>
      </c>
      <c r="H393" s="49">
        <f t="shared" si="8"/>
        <v>6387200</v>
      </c>
      <c r="I393" s="150" t="s">
        <v>1689</v>
      </c>
      <c r="J393" s="70"/>
      <c r="K393" s="29"/>
      <c r="L393" s="405"/>
    </row>
    <row r="394" spans="1:12" s="19" customFormat="1" ht="18.75" hidden="1" customHeight="1" x14ac:dyDescent="0.4">
      <c r="A394" s="485">
        <v>46254</v>
      </c>
      <c r="B394" s="8" t="s">
        <v>137</v>
      </c>
      <c r="C394" s="6" t="s">
        <v>138</v>
      </c>
      <c r="D394" s="69" t="s">
        <v>139</v>
      </c>
      <c r="E394" s="8"/>
      <c r="F394" s="8">
        <v>29</v>
      </c>
      <c r="G394" s="36">
        <v>180900</v>
      </c>
      <c r="H394" s="49">
        <f t="shared" si="8"/>
        <v>5246100</v>
      </c>
      <c r="I394" s="150" t="s">
        <v>1572</v>
      </c>
      <c r="J394" s="70"/>
      <c r="K394" s="29"/>
      <c r="L394" s="405"/>
    </row>
    <row r="395" spans="1:12" s="19" customFormat="1" ht="18.75" hidden="1" customHeight="1" x14ac:dyDescent="0.4">
      <c r="A395" s="485">
        <v>46254</v>
      </c>
      <c r="B395" s="8" t="s">
        <v>137</v>
      </c>
      <c r="C395" s="6" t="s">
        <v>138</v>
      </c>
      <c r="D395" s="69" t="s">
        <v>139</v>
      </c>
      <c r="E395" s="8"/>
      <c r="F395" s="8">
        <v>4</v>
      </c>
      <c r="G395" s="36">
        <v>180900</v>
      </c>
      <c r="H395" s="49">
        <f t="shared" si="8"/>
        <v>723600</v>
      </c>
      <c r="I395" s="150" t="s">
        <v>1795</v>
      </c>
      <c r="J395" s="70"/>
      <c r="K395" s="29"/>
      <c r="L395" s="405"/>
    </row>
    <row r="396" spans="1:12" s="19" customFormat="1" ht="18.75" hidden="1" customHeight="1" x14ac:dyDescent="0.4">
      <c r="A396" s="485">
        <v>46254</v>
      </c>
      <c r="B396" s="8" t="s">
        <v>137</v>
      </c>
      <c r="C396" s="6" t="s">
        <v>138</v>
      </c>
      <c r="D396" s="69" t="s">
        <v>139</v>
      </c>
      <c r="E396" s="8"/>
      <c r="F396" s="8">
        <v>60</v>
      </c>
      <c r="G396" s="36">
        <v>180900</v>
      </c>
      <c r="H396" s="49">
        <f t="shared" si="8"/>
        <v>10854000</v>
      </c>
      <c r="I396" s="150" t="s">
        <v>1795</v>
      </c>
      <c r="J396" s="70"/>
      <c r="K396" s="29"/>
      <c r="L396" s="405"/>
    </row>
    <row r="397" spans="1:12" s="19" customFormat="1" ht="18.75" hidden="1" customHeight="1" x14ac:dyDescent="0.4">
      <c r="A397" s="485">
        <v>46254</v>
      </c>
      <c r="B397" s="8" t="s">
        <v>137</v>
      </c>
      <c r="C397" s="6" t="s">
        <v>332</v>
      </c>
      <c r="D397" s="69" t="s">
        <v>238</v>
      </c>
      <c r="E397" s="8"/>
      <c r="F397" s="8">
        <v>56</v>
      </c>
      <c r="G397" s="36">
        <v>137000</v>
      </c>
      <c r="H397" s="49">
        <f t="shared" si="8"/>
        <v>7672000</v>
      </c>
      <c r="I397" s="150" t="s">
        <v>1796</v>
      </c>
      <c r="J397" s="8">
        <v>137000</v>
      </c>
      <c r="K397" s="29"/>
      <c r="L397" s="405"/>
    </row>
    <row r="398" spans="1:12" s="19" customFormat="1" ht="18.75" hidden="1" customHeight="1" x14ac:dyDescent="0.4">
      <c r="A398" s="485">
        <v>46254</v>
      </c>
      <c r="B398" s="8" t="s">
        <v>137</v>
      </c>
      <c r="C398" s="6" t="s">
        <v>241</v>
      </c>
      <c r="D398" s="69" t="s">
        <v>240</v>
      </c>
      <c r="E398" s="8"/>
      <c r="F398" s="8">
        <v>21</v>
      </c>
      <c r="G398" s="36">
        <v>261900</v>
      </c>
      <c r="H398" s="49">
        <f t="shared" si="8"/>
        <v>5499900</v>
      </c>
      <c r="I398" s="150" t="s">
        <v>1689</v>
      </c>
      <c r="J398" s="70"/>
      <c r="K398" s="29"/>
      <c r="L398" s="405"/>
    </row>
    <row r="399" spans="1:12" s="19" customFormat="1" ht="18.75" hidden="1" customHeight="1" x14ac:dyDescent="0.4">
      <c r="A399" s="485">
        <v>46254</v>
      </c>
      <c r="B399" s="8" t="s">
        <v>137</v>
      </c>
      <c r="C399" s="6" t="s">
        <v>138</v>
      </c>
      <c r="D399" s="69" t="s">
        <v>1743</v>
      </c>
      <c r="E399" s="8"/>
      <c r="F399" s="8">
        <v>45</v>
      </c>
      <c r="G399" s="36">
        <v>184100</v>
      </c>
      <c r="H399" s="49">
        <f t="shared" si="8"/>
        <v>8284500</v>
      </c>
      <c r="I399" s="150" t="s">
        <v>1744</v>
      </c>
      <c r="J399" s="70"/>
      <c r="K399" s="29"/>
      <c r="L399" s="405"/>
    </row>
    <row r="400" spans="1:12" s="19" customFormat="1" ht="18.75" hidden="1" customHeight="1" x14ac:dyDescent="0.4">
      <c r="A400" s="485">
        <v>46254</v>
      </c>
      <c r="B400" s="8" t="s">
        <v>137</v>
      </c>
      <c r="C400" s="6" t="s">
        <v>138</v>
      </c>
      <c r="D400" s="69" t="s">
        <v>639</v>
      </c>
      <c r="E400" s="8"/>
      <c r="F400" s="8">
        <v>10</v>
      </c>
      <c r="G400" s="36">
        <v>184100</v>
      </c>
      <c r="H400" s="49">
        <f t="shared" si="8"/>
        <v>1841000</v>
      </c>
      <c r="I400" s="150" t="s">
        <v>1744</v>
      </c>
      <c r="J400" s="70"/>
      <c r="K400" s="29"/>
      <c r="L400" s="405"/>
    </row>
    <row r="401" spans="1:12" s="19" customFormat="1" ht="18.75" hidden="1" customHeight="1" x14ac:dyDescent="0.4">
      <c r="A401" s="485">
        <v>46261</v>
      </c>
      <c r="B401" s="8" t="s">
        <v>137</v>
      </c>
      <c r="C401" s="6" t="s">
        <v>241</v>
      </c>
      <c r="D401" s="69" t="s">
        <v>231</v>
      </c>
      <c r="E401" s="8"/>
      <c r="F401" s="8">
        <v>31</v>
      </c>
      <c r="G401" s="36">
        <v>199600</v>
      </c>
      <c r="H401" s="49">
        <f t="shared" si="8"/>
        <v>6187600</v>
      </c>
      <c r="I401" s="150" t="s">
        <v>1689</v>
      </c>
      <c r="J401" s="70"/>
      <c r="K401" s="29"/>
      <c r="L401" s="405"/>
    </row>
    <row r="402" spans="1:12" s="19" customFormat="1" ht="18.75" hidden="1" customHeight="1" x14ac:dyDescent="0.4">
      <c r="A402" s="485">
        <v>46261</v>
      </c>
      <c r="B402" s="8" t="s">
        <v>137</v>
      </c>
      <c r="C402" s="6" t="s">
        <v>1797</v>
      </c>
      <c r="D402" s="69" t="s">
        <v>977</v>
      </c>
      <c r="E402" s="8"/>
      <c r="F402" s="8">
        <v>50</v>
      </c>
      <c r="G402" s="36">
        <v>133300</v>
      </c>
      <c r="H402" s="49">
        <f t="shared" si="8"/>
        <v>6665000</v>
      </c>
      <c r="I402" s="150" t="s">
        <v>1439</v>
      </c>
      <c r="J402" s="70"/>
      <c r="K402" s="29"/>
      <c r="L402" s="405"/>
    </row>
    <row r="403" spans="1:12" s="19" customFormat="1" ht="18.75" hidden="1" customHeight="1" x14ac:dyDescent="0.4">
      <c r="A403" s="485">
        <v>46261</v>
      </c>
      <c r="B403" s="8" t="s">
        <v>137</v>
      </c>
      <c r="C403" s="6" t="s">
        <v>1797</v>
      </c>
      <c r="D403" s="69" t="s">
        <v>472</v>
      </c>
      <c r="E403" s="8"/>
      <c r="F403" s="8">
        <v>70</v>
      </c>
      <c r="G403" s="36">
        <v>133300</v>
      </c>
      <c r="H403" s="49">
        <f t="shared" si="8"/>
        <v>9331000</v>
      </c>
      <c r="I403" s="150" t="s">
        <v>1798</v>
      </c>
      <c r="J403" s="70"/>
      <c r="K403" s="29"/>
      <c r="L403" s="405"/>
    </row>
    <row r="404" spans="1:12" s="19" customFormat="1" ht="18.75" hidden="1" customHeight="1" x14ac:dyDescent="0.4">
      <c r="A404" s="485">
        <v>46261</v>
      </c>
      <c r="B404" s="8" t="s">
        <v>137</v>
      </c>
      <c r="C404" s="6" t="s">
        <v>1799</v>
      </c>
      <c r="D404" s="69" t="s">
        <v>236</v>
      </c>
      <c r="E404" s="8"/>
      <c r="F404" s="8">
        <v>36</v>
      </c>
      <c r="G404" s="36">
        <v>180900</v>
      </c>
      <c r="H404" s="49">
        <f t="shared" si="8"/>
        <v>6512400</v>
      </c>
      <c r="I404" s="150" t="s">
        <v>1795</v>
      </c>
      <c r="J404" s="8">
        <v>184600</v>
      </c>
      <c r="K404" s="29"/>
      <c r="L404" s="405"/>
    </row>
    <row r="405" spans="1:12" s="19" customFormat="1" ht="18.75" hidden="1" customHeight="1" x14ac:dyDescent="0.4">
      <c r="A405" s="485">
        <v>46261</v>
      </c>
      <c r="B405" s="8" t="s">
        <v>137</v>
      </c>
      <c r="C405" s="6" t="s">
        <v>1799</v>
      </c>
      <c r="D405" s="69" t="s">
        <v>236</v>
      </c>
      <c r="E405" s="8"/>
      <c r="F405" s="8">
        <v>14</v>
      </c>
      <c r="G405" s="36">
        <v>184600</v>
      </c>
      <c r="H405" s="49">
        <f t="shared" si="8"/>
        <v>2584400</v>
      </c>
      <c r="I405" s="150" t="s">
        <v>1800</v>
      </c>
      <c r="J405" s="8">
        <v>184600</v>
      </c>
      <c r="K405" s="29"/>
      <c r="L405" s="405"/>
    </row>
    <row r="406" spans="1:12" s="19" customFormat="1" ht="18.75" hidden="1" customHeight="1" x14ac:dyDescent="0.4">
      <c r="A406" s="485">
        <v>46261</v>
      </c>
      <c r="B406" s="8" t="s">
        <v>137</v>
      </c>
      <c r="C406" s="6" t="s">
        <v>1801</v>
      </c>
      <c r="D406" s="69" t="s">
        <v>235</v>
      </c>
      <c r="E406" s="8"/>
      <c r="F406" s="8">
        <v>135</v>
      </c>
      <c r="G406" s="36">
        <v>69400</v>
      </c>
      <c r="H406" s="49">
        <f t="shared" si="8"/>
        <v>9369000</v>
      </c>
      <c r="I406" s="150" t="s">
        <v>1572</v>
      </c>
      <c r="J406" s="70"/>
      <c r="K406" s="29"/>
      <c r="L406" s="405"/>
    </row>
    <row r="407" spans="1:12" s="19" customFormat="1" ht="18.75" hidden="1" customHeight="1" x14ac:dyDescent="0.4">
      <c r="A407" s="622"/>
      <c r="B407" s="39"/>
      <c r="C407" s="88"/>
      <c r="D407" s="434"/>
      <c r="E407" s="39"/>
      <c r="F407" s="39"/>
      <c r="G407" s="98"/>
      <c r="H407" s="138">
        <f>SUM(H385:H406)</f>
        <v>138081900</v>
      </c>
      <c r="I407" s="435"/>
      <c r="J407" s="436"/>
      <c r="K407" s="40"/>
      <c r="L407" s="696"/>
    </row>
    <row r="408" spans="1:12" customFormat="1" ht="17.399999999999999" hidden="1" x14ac:dyDescent="0.4">
      <c r="A408" s="485">
        <v>46149</v>
      </c>
      <c r="B408" s="5" t="s">
        <v>140</v>
      </c>
      <c r="C408" s="6" t="s">
        <v>473</v>
      </c>
      <c r="D408" s="1" t="s">
        <v>246</v>
      </c>
      <c r="E408" s="1" t="s">
        <v>13</v>
      </c>
      <c r="F408" s="36">
        <v>2</v>
      </c>
      <c r="G408" s="7">
        <v>437172</v>
      </c>
      <c r="H408" s="7">
        <f>F408*G408</f>
        <v>874344</v>
      </c>
      <c r="I408" s="67" t="s">
        <v>1858</v>
      </c>
      <c r="J408" s="67"/>
      <c r="K408" s="67"/>
      <c r="L408" s="67"/>
    </row>
    <row r="409" spans="1:12" ht="18.75" hidden="1" customHeight="1" x14ac:dyDescent="0.4">
      <c r="A409" s="482">
        <v>46115</v>
      </c>
      <c r="B409" s="5" t="s">
        <v>140</v>
      </c>
      <c r="C409" s="6" t="s">
        <v>553</v>
      </c>
      <c r="D409" s="1" t="s">
        <v>244</v>
      </c>
      <c r="E409" s="1" t="s">
        <v>13</v>
      </c>
      <c r="F409" s="36">
        <v>3</v>
      </c>
      <c r="G409" s="36">
        <v>973200</v>
      </c>
      <c r="H409" s="7">
        <f>F409*G409</f>
        <v>2919600</v>
      </c>
      <c r="I409" s="67" t="s">
        <v>1858</v>
      </c>
      <c r="J409" s="67"/>
      <c r="K409" s="67"/>
      <c r="L409" s="67"/>
    </row>
    <row r="410" spans="1:12" ht="18.75" hidden="1" customHeight="1" x14ac:dyDescent="0.4">
      <c r="A410" s="485">
        <v>46195</v>
      </c>
      <c r="B410" s="7" t="s">
        <v>140</v>
      </c>
      <c r="C410" s="49" t="s">
        <v>580</v>
      </c>
      <c r="D410" s="59" t="s">
        <v>581</v>
      </c>
      <c r="E410" s="59" t="s">
        <v>13</v>
      </c>
      <c r="F410" s="49">
        <v>1</v>
      </c>
      <c r="G410" s="49">
        <v>1095240</v>
      </c>
      <c r="H410" s="525">
        <f t="shared" ref="H410:H473" si="9">F410*G410</f>
        <v>1095240</v>
      </c>
      <c r="I410" s="67" t="s">
        <v>1858</v>
      </c>
      <c r="J410" s="67"/>
      <c r="K410" s="67"/>
      <c r="L410" s="67"/>
    </row>
    <row r="411" spans="1:12" customFormat="1" ht="17.399999999999999" hidden="1" x14ac:dyDescent="0.4">
      <c r="A411" s="485">
        <v>46161</v>
      </c>
      <c r="B411" s="5" t="s">
        <v>140</v>
      </c>
      <c r="C411" s="6" t="s">
        <v>1761</v>
      </c>
      <c r="D411" s="1" t="s">
        <v>642</v>
      </c>
      <c r="E411" s="1" t="s">
        <v>13</v>
      </c>
      <c r="F411" s="36">
        <v>3</v>
      </c>
      <c r="G411" s="7">
        <v>630500</v>
      </c>
      <c r="H411" s="7">
        <f t="shared" si="9"/>
        <v>1891500</v>
      </c>
      <c r="I411" s="67" t="s">
        <v>1858</v>
      </c>
      <c r="J411" s="59"/>
      <c r="K411" s="67"/>
      <c r="L411" s="59"/>
    </row>
    <row r="412" spans="1:12" ht="18.75" hidden="1" customHeight="1" x14ac:dyDescent="0.4">
      <c r="A412" s="485">
        <v>46189</v>
      </c>
      <c r="B412" s="5" t="s">
        <v>140</v>
      </c>
      <c r="C412" s="67" t="s">
        <v>1579</v>
      </c>
      <c r="D412" s="1" t="s">
        <v>245</v>
      </c>
      <c r="E412" s="1" t="s">
        <v>13</v>
      </c>
      <c r="F412" s="36">
        <v>7</v>
      </c>
      <c r="G412" s="7">
        <v>630500</v>
      </c>
      <c r="H412" s="525">
        <f t="shared" si="9"/>
        <v>4413500</v>
      </c>
      <c r="I412" s="67" t="s">
        <v>1858</v>
      </c>
      <c r="J412" s="67"/>
      <c r="K412" s="67"/>
      <c r="L412" s="67"/>
    </row>
    <row r="413" spans="1:12" ht="18.75" hidden="1" customHeight="1" x14ac:dyDescent="0.4">
      <c r="A413" s="485">
        <v>46195</v>
      </c>
      <c r="B413" s="5" t="s">
        <v>140</v>
      </c>
      <c r="C413" s="67" t="s">
        <v>554</v>
      </c>
      <c r="D413" s="1" t="s">
        <v>245</v>
      </c>
      <c r="E413" s="1" t="s">
        <v>13</v>
      </c>
      <c r="F413" s="36">
        <v>1</v>
      </c>
      <c r="G413" s="7">
        <v>630500</v>
      </c>
      <c r="H413" s="525">
        <f t="shared" si="9"/>
        <v>630500</v>
      </c>
      <c r="I413" s="67" t="s">
        <v>1858</v>
      </c>
      <c r="J413" s="67"/>
      <c r="K413" s="67"/>
      <c r="L413" s="67"/>
    </row>
    <row r="414" spans="1:12" ht="18.75" hidden="1" customHeight="1" x14ac:dyDescent="0.4">
      <c r="A414" s="485">
        <v>46199</v>
      </c>
      <c r="B414" s="5" t="s">
        <v>140</v>
      </c>
      <c r="C414" s="67" t="s">
        <v>554</v>
      </c>
      <c r="D414" s="1" t="s">
        <v>245</v>
      </c>
      <c r="E414" s="1" t="s">
        <v>13</v>
      </c>
      <c r="F414" s="36">
        <v>1</v>
      </c>
      <c r="G414" s="7">
        <v>630500</v>
      </c>
      <c r="H414" s="525">
        <f t="shared" si="9"/>
        <v>630500</v>
      </c>
      <c r="I414" s="67" t="s">
        <v>1858</v>
      </c>
      <c r="J414" s="67"/>
      <c r="K414" s="144"/>
      <c r="L414" s="67"/>
    </row>
    <row r="415" spans="1:12" ht="18.75" hidden="1" customHeight="1" x14ac:dyDescent="0.4">
      <c r="A415" s="485">
        <v>46199</v>
      </c>
      <c r="B415" s="5" t="s">
        <v>140</v>
      </c>
      <c r="C415" s="67" t="s">
        <v>554</v>
      </c>
      <c r="D415" s="1" t="s">
        <v>245</v>
      </c>
      <c r="E415" s="1" t="s">
        <v>13</v>
      </c>
      <c r="F415" s="36">
        <v>2</v>
      </c>
      <c r="G415" s="7">
        <v>630500</v>
      </c>
      <c r="H415" s="525">
        <f t="shared" si="9"/>
        <v>1261000</v>
      </c>
      <c r="I415" s="67" t="s">
        <v>1858</v>
      </c>
      <c r="J415" s="67"/>
      <c r="K415" s="144"/>
      <c r="L415" s="67"/>
    </row>
    <row r="416" spans="1:12" ht="18.75" hidden="1" customHeight="1" x14ac:dyDescent="0.4">
      <c r="A416" s="485">
        <v>46202</v>
      </c>
      <c r="B416" s="5" t="s">
        <v>140</v>
      </c>
      <c r="C416" s="49" t="s">
        <v>1579</v>
      </c>
      <c r="D416" s="1" t="s">
        <v>245</v>
      </c>
      <c r="E416" s="59" t="s">
        <v>13</v>
      </c>
      <c r="F416" s="49">
        <v>8</v>
      </c>
      <c r="G416" s="49">
        <v>630500</v>
      </c>
      <c r="H416" s="525">
        <f t="shared" si="9"/>
        <v>5044000</v>
      </c>
      <c r="I416" s="67" t="s">
        <v>1858</v>
      </c>
      <c r="J416" s="67"/>
      <c r="K416" s="67"/>
      <c r="L416" s="67"/>
    </row>
    <row r="417" spans="1:13" ht="18.75" hidden="1" customHeight="1" x14ac:dyDescent="0.4">
      <c r="A417" s="485">
        <v>46203</v>
      </c>
      <c r="B417" s="5" t="s">
        <v>140</v>
      </c>
      <c r="C417" s="67" t="s">
        <v>1579</v>
      </c>
      <c r="D417" s="1" t="s">
        <v>245</v>
      </c>
      <c r="E417" s="1" t="s">
        <v>13</v>
      </c>
      <c r="F417" s="36">
        <v>5</v>
      </c>
      <c r="G417" s="7">
        <v>630500</v>
      </c>
      <c r="H417" s="525">
        <f t="shared" si="9"/>
        <v>3152500</v>
      </c>
      <c r="I417" s="67" t="s">
        <v>1858</v>
      </c>
      <c r="J417" s="67"/>
      <c r="K417" s="144"/>
      <c r="L417" s="67"/>
    </row>
    <row r="418" spans="1:13" ht="18.75" hidden="1" customHeight="1" x14ac:dyDescent="0.4">
      <c r="A418" s="485">
        <v>46203</v>
      </c>
      <c r="B418" s="5" t="s">
        <v>140</v>
      </c>
      <c r="C418" s="67" t="s">
        <v>1579</v>
      </c>
      <c r="D418" s="1" t="s">
        <v>245</v>
      </c>
      <c r="E418" s="1" t="s">
        <v>13</v>
      </c>
      <c r="F418" s="36">
        <v>6</v>
      </c>
      <c r="G418" s="7">
        <v>691970</v>
      </c>
      <c r="H418" s="525">
        <f t="shared" si="9"/>
        <v>4151820</v>
      </c>
      <c r="I418" s="67" t="s">
        <v>1858</v>
      </c>
      <c r="J418" s="67"/>
      <c r="K418" s="144"/>
      <c r="L418" s="67"/>
    </row>
    <row r="419" spans="1:13" customFormat="1" ht="17.399999999999999" hidden="1" x14ac:dyDescent="0.4">
      <c r="A419" s="484">
        <v>46206</v>
      </c>
      <c r="B419" s="5" t="s">
        <v>140</v>
      </c>
      <c r="C419" s="525" t="s">
        <v>554</v>
      </c>
      <c r="D419" s="1" t="s">
        <v>245</v>
      </c>
      <c r="E419" s="1" t="s">
        <v>13</v>
      </c>
      <c r="F419" s="36">
        <v>6</v>
      </c>
      <c r="G419" s="7">
        <v>691970</v>
      </c>
      <c r="H419" s="7">
        <f t="shared" si="9"/>
        <v>4151820</v>
      </c>
      <c r="I419" s="67" t="s">
        <v>1858</v>
      </c>
      <c r="J419" s="67"/>
      <c r="K419" s="67"/>
      <c r="L419" s="67"/>
    </row>
    <row r="420" spans="1:13" ht="18.75" hidden="1" customHeight="1" x14ac:dyDescent="0.4">
      <c r="A420" s="484">
        <v>46212</v>
      </c>
      <c r="B420" s="5" t="s">
        <v>140</v>
      </c>
      <c r="C420" s="525" t="s">
        <v>554</v>
      </c>
      <c r="D420" s="1" t="s">
        <v>245</v>
      </c>
      <c r="E420" s="1" t="s">
        <v>13</v>
      </c>
      <c r="F420" s="36">
        <v>3</v>
      </c>
      <c r="G420" s="7">
        <v>691970</v>
      </c>
      <c r="H420" s="7">
        <f t="shared" si="9"/>
        <v>2075910</v>
      </c>
      <c r="I420" s="67" t="s">
        <v>1858</v>
      </c>
      <c r="J420" s="67" t="s">
        <v>1247</v>
      </c>
      <c r="K420" s="67"/>
      <c r="L420" s="67"/>
    </row>
    <row r="421" spans="1:13" customFormat="1" ht="17.399999999999999" hidden="1" x14ac:dyDescent="0.4">
      <c r="A421" s="484">
        <v>46218</v>
      </c>
      <c r="B421" s="110" t="s">
        <v>140</v>
      </c>
      <c r="C421" s="29" t="s">
        <v>1576</v>
      </c>
      <c r="D421" s="110" t="s">
        <v>772</v>
      </c>
      <c r="E421" s="110" t="s">
        <v>13</v>
      </c>
      <c r="F421" s="81">
        <v>2</v>
      </c>
      <c r="G421" s="49">
        <v>703040</v>
      </c>
      <c r="H421" s="7">
        <f t="shared" si="9"/>
        <v>1406080</v>
      </c>
      <c r="I421" s="67" t="s">
        <v>1858</v>
      </c>
      <c r="J421" s="67"/>
      <c r="K421" s="67"/>
      <c r="L421" s="67"/>
    </row>
    <row r="422" spans="1:13" s="113" customFormat="1" ht="20.25" hidden="1" customHeight="1" x14ac:dyDescent="0.4">
      <c r="A422" s="501"/>
      <c r="B422" s="7" t="s">
        <v>140</v>
      </c>
      <c r="C422" s="29" t="s">
        <v>474</v>
      </c>
      <c r="D422" s="110" t="s">
        <v>475</v>
      </c>
      <c r="E422" s="110" t="s">
        <v>11</v>
      </c>
      <c r="F422" s="81">
        <v>10</v>
      </c>
      <c r="G422" s="81">
        <v>652000</v>
      </c>
      <c r="H422" s="49">
        <f t="shared" si="9"/>
        <v>6520000</v>
      </c>
      <c r="I422" s="67" t="s">
        <v>1849</v>
      </c>
      <c r="J422" s="111"/>
      <c r="K422" s="111"/>
      <c r="L422" s="25"/>
    </row>
    <row r="423" spans="1:13" s="113" customFormat="1" ht="20.25" hidden="1" customHeight="1" x14ac:dyDescent="0.4">
      <c r="A423" s="501"/>
      <c r="B423" s="7" t="s">
        <v>140</v>
      </c>
      <c r="C423" s="29" t="s">
        <v>540</v>
      </c>
      <c r="D423" s="110" t="s">
        <v>541</v>
      </c>
      <c r="E423" s="110" t="s">
        <v>13</v>
      </c>
      <c r="F423" s="81">
        <v>3</v>
      </c>
      <c r="G423" s="81">
        <v>102000</v>
      </c>
      <c r="H423" s="49">
        <f t="shared" si="9"/>
        <v>306000</v>
      </c>
      <c r="I423" s="67" t="s">
        <v>1849</v>
      </c>
      <c r="J423" s="111"/>
      <c r="K423" s="111"/>
      <c r="L423" s="25"/>
    </row>
    <row r="424" spans="1:13" s="113" customFormat="1" ht="20.25" hidden="1" customHeight="1" x14ac:dyDescent="0.4">
      <c r="A424" s="501"/>
      <c r="B424" s="7" t="s">
        <v>140</v>
      </c>
      <c r="C424" s="29" t="s">
        <v>540</v>
      </c>
      <c r="D424" s="110" t="s">
        <v>541</v>
      </c>
      <c r="E424" s="110" t="s">
        <v>13</v>
      </c>
      <c r="F424" s="81">
        <v>7</v>
      </c>
      <c r="G424" s="81">
        <v>102000</v>
      </c>
      <c r="H424" s="49">
        <f t="shared" si="9"/>
        <v>714000</v>
      </c>
      <c r="I424" s="67" t="s">
        <v>1849</v>
      </c>
      <c r="J424" s="111"/>
      <c r="K424" s="111"/>
      <c r="L424" s="25"/>
    </row>
    <row r="425" spans="1:13" s="261" customFormat="1" ht="18.600000000000001" hidden="1" customHeight="1" x14ac:dyDescent="0.4">
      <c r="A425" s="501">
        <v>45993</v>
      </c>
      <c r="B425" s="275" t="s">
        <v>140</v>
      </c>
      <c r="C425" s="259" t="s">
        <v>1239</v>
      </c>
      <c r="D425" s="257" t="s">
        <v>475</v>
      </c>
      <c r="E425" s="257" t="s">
        <v>11</v>
      </c>
      <c r="F425" s="259">
        <v>3</v>
      </c>
      <c r="G425" s="259">
        <v>652000</v>
      </c>
      <c r="H425" s="259">
        <f t="shared" si="9"/>
        <v>1956000</v>
      </c>
      <c r="I425" s="67" t="s">
        <v>1849</v>
      </c>
      <c r="J425" s="258"/>
      <c r="K425" s="258"/>
      <c r="L425" s="258"/>
    </row>
    <row r="426" spans="1:13" ht="18.75" hidden="1" customHeight="1" x14ac:dyDescent="0.4">
      <c r="A426" s="485">
        <v>46076</v>
      </c>
      <c r="B426" s="110" t="s">
        <v>140</v>
      </c>
      <c r="C426" s="29" t="s">
        <v>540</v>
      </c>
      <c r="D426" s="110" t="s">
        <v>541</v>
      </c>
      <c r="E426" s="110" t="s">
        <v>343</v>
      </c>
      <c r="F426" s="81">
        <v>4</v>
      </c>
      <c r="G426" s="49">
        <v>102000</v>
      </c>
      <c r="H426" s="7">
        <f t="shared" si="9"/>
        <v>408000</v>
      </c>
      <c r="I426" s="67" t="s">
        <v>1849</v>
      </c>
      <c r="J426" s="67"/>
      <c r="K426" s="67"/>
      <c r="L426" s="67"/>
    </row>
    <row r="427" spans="1:13" ht="18.75" hidden="1" customHeight="1" x14ac:dyDescent="0.4">
      <c r="A427" s="485">
        <v>46076</v>
      </c>
      <c r="B427" s="110" t="s">
        <v>140</v>
      </c>
      <c r="C427" s="29" t="s">
        <v>474</v>
      </c>
      <c r="D427" s="110" t="s">
        <v>475</v>
      </c>
      <c r="E427" s="110" t="s">
        <v>11</v>
      </c>
      <c r="F427" s="81">
        <v>6</v>
      </c>
      <c r="G427" s="49">
        <v>652000</v>
      </c>
      <c r="H427" s="7">
        <f t="shared" si="9"/>
        <v>3912000</v>
      </c>
      <c r="I427" s="67" t="s">
        <v>1849</v>
      </c>
      <c r="J427" s="67"/>
      <c r="K427" s="67"/>
      <c r="L427" s="67"/>
    </row>
    <row r="428" spans="1:13" ht="18.75" hidden="1" customHeight="1" x14ac:dyDescent="0.4">
      <c r="A428" s="485">
        <v>46100</v>
      </c>
      <c r="B428" s="5" t="s">
        <v>140</v>
      </c>
      <c r="C428" s="6" t="s">
        <v>476</v>
      </c>
      <c r="D428" s="1" t="s">
        <v>477</v>
      </c>
      <c r="E428" s="1" t="s">
        <v>11</v>
      </c>
      <c r="F428" s="36">
        <v>2</v>
      </c>
      <c r="G428" s="36">
        <v>271000</v>
      </c>
      <c r="H428" s="7">
        <f t="shared" si="9"/>
        <v>542000</v>
      </c>
      <c r="I428" s="67" t="s">
        <v>1849</v>
      </c>
      <c r="J428" s="67"/>
      <c r="K428" s="67"/>
      <c r="L428" s="67"/>
    </row>
    <row r="429" spans="1:13" ht="18.75" hidden="1" customHeight="1" x14ac:dyDescent="0.4">
      <c r="A429" s="485">
        <v>46111</v>
      </c>
      <c r="B429" s="110" t="s">
        <v>140</v>
      </c>
      <c r="C429" s="29" t="s">
        <v>474</v>
      </c>
      <c r="D429" s="110" t="s">
        <v>475</v>
      </c>
      <c r="E429" s="110" t="s">
        <v>11</v>
      </c>
      <c r="F429" s="81">
        <v>3</v>
      </c>
      <c r="G429" s="49">
        <v>652000</v>
      </c>
      <c r="H429" s="7">
        <f t="shared" si="9"/>
        <v>1956000</v>
      </c>
      <c r="I429" s="67" t="s">
        <v>1849</v>
      </c>
      <c r="J429" s="67"/>
      <c r="K429" s="67"/>
      <c r="L429" s="67"/>
    </row>
    <row r="430" spans="1:13" s="3" customFormat="1" ht="18.75" hidden="1" customHeight="1" x14ac:dyDescent="0.4">
      <c r="A430" s="482">
        <v>46115</v>
      </c>
      <c r="B430" s="110" t="s">
        <v>140</v>
      </c>
      <c r="C430" s="29" t="s">
        <v>1135</v>
      </c>
      <c r="D430" s="110" t="s">
        <v>1136</v>
      </c>
      <c r="E430" s="110" t="s">
        <v>13</v>
      </c>
      <c r="F430" s="533">
        <v>6</v>
      </c>
      <c r="G430" s="525">
        <v>193500</v>
      </c>
      <c r="H430" s="7">
        <f t="shared" si="9"/>
        <v>1161000</v>
      </c>
      <c r="I430" s="67" t="s">
        <v>1849</v>
      </c>
      <c r="J430" s="144"/>
      <c r="K430" s="144"/>
      <c r="L430" s="144"/>
      <c r="M430" s="89"/>
    </row>
    <row r="431" spans="1:13" ht="18.75" hidden="1" customHeight="1" x14ac:dyDescent="0.4">
      <c r="A431" s="482">
        <v>46115</v>
      </c>
      <c r="B431" s="5" t="s">
        <v>140</v>
      </c>
      <c r="C431" s="6" t="s">
        <v>553</v>
      </c>
      <c r="D431" s="1" t="s">
        <v>244</v>
      </c>
      <c r="E431" s="1" t="s">
        <v>13</v>
      </c>
      <c r="F431" s="36">
        <v>1</v>
      </c>
      <c r="G431" s="36">
        <v>973200</v>
      </c>
      <c r="H431" s="7">
        <f t="shared" si="9"/>
        <v>973200</v>
      </c>
      <c r="I431" s="67" t="s">
        <v>1849</v>
      </c>
      <c r="J431" s="67"/>
      <c r="K431" s="67"/>
      <c r="L431" s="67"/>
    </row>
    <row r="432" spans="1:13" ht="18.75" hidden="1" customHeight="1" x14ac:dyDescent="0.4">
      <c r="A432" s="482">
        <v>46115</v>
      </c>
      <c r="B432" s="5" t="s">
        <v>140</v>
      </c>
      <c r="C432" s="6" t="s">
        <v>1135</v>
      </c>
      <c r="D432" s="1" t="s">
        <v>1136</v>
      </c>
      <c r="E432" s="1" t="s">
        <v>13</v>
      </c>
      <c r="F432" s="36">
        <v>5</v>
      </c>
      <c r="G432" s="7">
        <v>193500</v>
      </c>
      <c r="H432" s="7">
        <f t="shared" si="9"/>
        <v>967500</v>
      </c>
      <c r="I432" s="67" t="s">
        <v>1849</v>
      </c>
      <c r="J432" s="67"/>
      <c r="K432" s="67"/>
      <c r="L432" s="67"/>
    </row>
    <row r="433" spans="1:12" ht="24" hidden="1" customHeight="1" x14ac:dyDescent="0.4">
      <c r="A433" s="485">
        <v>46125</v>
      </c>
      <c r="B433" s="5" t="s">
        <v>140</v>
      </c>
      <c r="C433" s="6" t="s">
        <v>553</v>
      </c>
      <c r="D433" s="1" t="s">
        <v>244</v>
      </c>
      <c r="E433" s="1" t="s">
        <v>13</v>
      </c>
      <c r="F433" s="36">
        <v>14</v>
      </c>
      <c r="G433" s="36">
        <v>973200</v>
      </c>
      <c r="H433" s="7">
        <f t="shared" si="9"/>
        <v>13624800</v>
      </c>
      <c r="I433" s="67" t="s">
        <v>1849</v>
      </c>
      <c r="J433" s="67"/>
      <c r="K433" s="67"/>
      <c r="L433" s="67"/>
    </row>
    <row r="434" spans="1:12" ht="18.75" hidden="1" customHeight="1" x14ac:dyDescent="0.4">
      <c r="A434" s="485">
        <v>46135</v>
      </c>
      <c r="B434" s="110" t="s">
        <v>140</v>
      </c>
      <c r="C434" s="29" t="s">
        <v>473</v>
      </c>
      <c r="D434" s="110" t="s">
        <v>777</v>
      </c>
      <c r="E434" s="110" t="s">
        <v>13</v>
      </c>
      <c r="F434" s="81">
        <v>3</v>
      </c>
      <c r="G434" s="49">
        <v>393500</v>
      </c>
      <c r="H434" s="7">
        <f t="shared" si="9"/>
        <v>1180500</v>
      </c>
      <c r="I434" s="67" t="s">
        <v>1849</v>
      </c>
      <c r="J434" s="67"/>
      <c r="K434" s="67"/>
      <c r="L434" s="67"/>
    </row>
    <row r="435" spans="1:12" ht="18.75" hidden="1" customHeight="1" x14ac:dyDescent="0.4">
      <c r="A435" s="485">
        <v>46135</v>
      </c>
      <c r="B435" s="5" t="s">
        <v>140</v>
      </c>
      <c r="C435" s="6" t="s">
        <v>1135</v>
      </c>
      <c r="D435" s="1" t="s">
        <v>1136</v>
      </c>
      <c r="E435" s="1" t="s">
        <v>13</v>
      </c>
      <c r="F435" s="36">
        <v>3</v>
      </c>
      <c r="G435" s="7">
        <v>193500</v>
      </c>
      <c r="H435" s="7">
        <f t="shared" si="9"/>
        <v>580500</v>
      </c>
      <c r="I435" s="67" t="s">
        <v>1849</v>
      </c>
      <c r="J435" s="67"/>
      <c r="K435" s="67"/>
      <c r="L435" s="67"/>
    </row>
    <row r="436" spans="1:12" ht="18.75" hidden="1" customHeight="1" x14ac:dyDescent="0.4">
      <c r="A436" s="485">
        <v>46139</v>
      </c>
      <c r="B436" s="110" t="s">
        <v>140</v>
      </c>
      <c r="C436" s="29" t="s">
        <v>473</v>
      </c>
      <c r="D436" s="110" t="s">
        <v>777</v>
      </c>
      <c r="E436" s="110" t="s">
        <v>13</v>
      </c>
      <c r="F436" s="81">
        <v>6</v>
      </c>
      <c r="G436" s="49">
        <v>393500</v>
      </c>
      <c r="H436" s="7">
        <f t="shared" si="9"/>
        <v>2361000</v>
      </c>
      <c r="I436" s="67" t="s">
        <v>1849</v>
      </c>
      <c r="J436" s="67"/>
      <c r="K436" s="67"/>
      <c r="L436" s="67"/>
    </row>
    <row r="437" spans="1:12" ht="18.75" hidden="1" customHeight="1" x14ac:dyDescent="0.4">
      <c r="A437" s="485">
        <v>46139</v>
      </c>
      <c r="B437" s="5" t="s">
        <v>140</v>
      </c>
      <c r="C437" s="6" t="s">
        <v>553</v>
      </c>
      <c r="D437" s="1" t="s">
        <v>244</v>
      </c>
      <c r="E437" s="1" t="s">
        <v>13</v>
      </c>
      <c r="F437" s="36">
        <v>5</v>
      </c>
      <c r="G437" s="36">
        <v>973200</v>
      </c>
      <c r="H437" s="7">
        <f>F437*G437</f>
        <v>4866000</v>
      </c>
      <c r="I437" s="67" t="s">
        <v>1849</v>
      </c>
      <c r="J437" s="67"/>
      <c r="K437" s="67"/>
      <c r="L437" s="67"/>
    </row>
    <row r="438" spans="1:12" customFormat="1" ht="17.399999999999999" hidden="1" x14ac:dyDescent="0.4">
      <c r="A438" s="485">
        <v>46149</v>
      </c>
      <c r="B438" s="5" t="s">
        <v>140</v>
      </c>
      <c r="C438" s="80" t="s">
        <v>1449</v>
      </c>
      <c r="D438" s="42" t="s">
        <v>248</v>
      </c>
      <c r="E438" s="1" t="s">
        <v>13</v>
      </c>
      <c r="F438" s="36">
        <v>1</v>
      </c>
      <c r="G438" s="7">
        <v>227500</v>
      </c>
      <c r="H438" s="7">
        <f>F438*G438</f>
        <v>227500</v>
      </c>
      <c r="I438" s="67" t="s">
        <v>1849</v>
      </c>
      <c r="J438" s="67"/>
      <c r="K438" s="67"/>
      <c r="L438" s="409"/>
    </row>
    <row r="439" spans="1:12" customFormat="1" ht="17.399999999999999" hidden="1" x14ac:dyDescent="0.4">
      <c r="A439" s="485">
        <v>46149</v>
      </c>
      <c r="B439" s="5" t="s">
        <v>140</v>
      </c>
      <c r="C439" s="6" t="s">
        <v>641</v>
      </c>
      <c r="D439" s="1" t="s">
        <v>244</v>
      </c>
      <c r="E439" s="1" t="s">
        <v>13</v>
      </c>
      <c r="F439" s="36">
        <v>6</v>
      </c>
      <c r="G439" s="36">
        <v>973200</v>
      </c>
      <c r="H439" s="7">
        <f>F439*G439</f>
        <v>5839200</v>
      </c>
      <c r="I439" s="67" t="s">
        <v>1849</v>
      </c>
      <c r="J439" s="67"/>
      <c r="K439" s="67"/>
      <c r="L439" s="67"/>
    </row>
    <row r="440" spans="1:12" customFormat="1" ht="17.399999999999999" hidden="1" x14ac:dyDescent="0.4">
      <c r="A440" s="485">
        <v>46149</v>
      </c>
      <c r="B440" s="5" t="s">
        <v>140</v>
      </c>
      <c r="C440" s="80" t="s">
        <v>1449</v>
      </c>
      <c r="D440" s="42" t="s">
        <v>248</v>
      </c>
      <c r="E440" s="1" t="s">
        <v>13</v>
      </c>
      <c r="F440" s="36">
        <v>6</v>
      </c>
      <c r="G440" s="7">
        <v>227500</v>
      </c>
      <c r="H440" s="7">
        <f t="shared" si="9"/>
        <v>1365000</v>
      </c>
      <c r="I440" s="67" t="s">
        <v>1849</v>
      </c>
      <c r="J440" s="67"/>
      <c r="K440" s="67"/>
      <c r="L440" s="67"/>
    </row>
    <row r="441" spans="1:12" customFormat="1" ht="17.399999999999999" hidden="1" x14ac:dyDescent="0.4">
      <c r="A441" s="485">
        <v>46154</v>
      </c>
      <c r="B441" s="5" t="s">
        <v>140</v>
      </c>
      <c r="C441" s="527" t="s">
        <v>595</v>
      </c>
      <c r="D441" s="42" t="s">
        <v>247</v>
      </c>
      <c r="E441" s="1" t="s">
        <v>13</v>
      </c>
      <c r="F441" s="36">
        <v>5</v>
      </c>
      <c r="G441" s="7">
        <v>56100</v>
      </c>
      <c r="H441" s="7">
        <f t="shared" si="9"/>
        <v>280500</v>
      </c>
      <c r="I441" s="67" t="s">
        <v>1849</v>
      </c>
      <c r="J441" s="67"/>
      <c r="K441" s="67"/>
      <c r="L441" s="67"/>
    </row>
    <row r="442" spans="1:12" customFormat="1" ht="17.399999999999999" hidden="1" x14ac:dyDescent="0.4">
      <c r="A442" s="485">
        <v>46154</v>
      </c>
      <c r="B442" s="5" t="s">
        <v>140</v>
      </c>
      <c r="C442" s="6" t="s">
        <v>1448</v>
      </c>
      <c r="D442" s="1" t="s">
        <v>243</v>
      </c>
      <c r="E442" s="1" t="s">
        <v>13</v>
      </c>
      <c r="F442" s="36">
        <v>1</v>
      </c>
      <c r="G442" s="8">
        <v>202000</v>
      </c>
      <c r="H442" s="7">
        <f>F442*G442</f>
        <v>202000</v>
      </c>
      <c r="I442" s="67" t="s">
        <v>1849</v>
      </c>
      <c r="J442" s="67"/>
      <c r="K442" s="67"/>
      <c r="L442" s="67"/>
    </row>
    <row r="443" spans="1:12" customFormat="1" ht="17.399999999999999" hidden="1" x14ac:dyDescent="0.4">
      <c r="A443" s="485">
        <v>46154</v>
      </c>
      <c r="B443" s="5" t="s">
        <v>140</v>
      </c>
      <c r="C443" s="29" t="s">
        <v>540</v>
      </c>
      <c r="D443" s="110" t="s">
        <v>541</v>
      </c>
      <c r="E443" s="110" t="s">
        <v>343</v>
      </c>
      <c r="F443" s="81">
        <v>1</v>
      </c>
      <c r="G443" s="49">
        <v>102000</v>
      </c>
      <c r="H443" s="7">
        <f t="shared" si="9"/>
        <v>102000</v>
      </c>
      <c r="I443" s="67" t="s">
        <v>1849</v>
      </c>
      <c r="J443" s="67"/>
      <c r="K443" s="67"/>
      <c r="L443" s="67"/>
    </row>
    <row r="444" spans="1:12" customFormat="1" ht="17.399999999999999" hidden="1" x14ac:dyDescent="0.4">
      <c r="A444" s="485">
        <v>46161</v>
      </c>
      <c r="B444" s="5" t="s">
        <v>140</v>
      </c>
      <c r="C444" s="29" t="s">
        <v>540</v>
      </c>
      <c r="D444" s="110" t="s">
        <v>1453</v>
      </c>
      <c r="E444" s="110" t="s">
        <v>343</v>
      </c>
      <c r="F444" s="81">
        <v>4</v>
      </c>
      <c r="G444" s="49">
        <v>102000</v>
      </c>
      <c r="H444" s="7">
        <f t="shared" si="9"/>
        <v>408000</v>
      </c>
      <c r="I444" s="67" t="s">
        <v>1849</v>
      </c>
      <c r="J444" s="59"/>
      <c r="K444" s="67"/>
      <c r="L444" s="59"/>
    </row>
    <row r="445" spans="1:12" customFormat="1" ht="17.399999999999999" hidden="1" x14ac:dyDescent="0.4">
      <c r="A445" s="485">
        <v>46164</v>
      </c>
      <c r="B445" s="5" t="s">
        <v>140</v>
      </c>
      <c r="C445" s="629" t="s">
        <v>1449</v>
      </c>
      <c r="D445" s="42" t="s">
        <v>1457</v>
      </c>
      <c r="E445" s="1" t="s">
        <v>13</v>
      </c>
      <c r="F445" s="36">
        <v>2</v>
      </c>
      <c r="G445" s="7">
        <v>227500</v>
      </c>
      <c r="H445" s="7">
        <f t="shared" si="9"/>
        <v>455000</v>
      </c>
      <c r="I445" s="67" t="s">
        <v>1849</v>
      </c>
      <c r="J445" s="59"/>
      <c r="K445" s="67"/>
      <c r="L445" s="59"/>
    </row>
    <row r="446" spans="1:12" customFormat="1" ht="17.399999999999999" hidden="1" x14ac:dyDescent="0.4">
      <c r="A446" s="485">
        <v>46171</v>
      </c>
      <c r="B446" s="5" t="s">
        <v>140</v>
      </c>
      <c r="C446" s="630" t="s">
        <v>553</v>
      </c>
      <c r="D446" s="1" t="s">
        <v>1455</v>
      </c>
      <c r="E446" s="1" t="s">
        <v>13</v>
      </c>
      <c r="F446" s="36">
        <v>2</v>
      </c>
      <c r="G446" s="36">
        <v>973200</v>
      </c>
      <c r="H446" s="7">
        <f>F446*G446</f>
        <v>1946400</v>
      </c>
      <c r="I446" s="67" t="s">
        <v>1849</v>
      </c>
      <c r="J446" s="59"/>
      <c r="K446" s="67"/>
      <c r="L446" s="59"/>
    </row>
    <row r="447" spans="1:12" ht="18.75" hidden="1" customHeight="1" x14ac:dyDescent="0.4">
      <c r="A447" s="485">
        <v>46174</v>
      </c>
      <c r="B447" s="5" t="s">
        <v>140</v>
      </c>
      <c r="C447" s="525" t="s">
        <v>1575</v>
      </c>
      <c r="D447" s="59" t="s">
        <v>242</v>
      </c>
      <c r="E447" s="59" t="s">
        <v>13</v>
      </c>
      <c r="F447" s="525">
        <v>9</v>
      </c>
      <c r="G447" s="525">
        <v>175300</v>
      </c>
      <c r="H447" s="525">
        <f t="shared" si="9"/>
        <v>1577700</v>
      </c>
      <c r="I447" s="67" t="s">
        <v>1849</v>
      </c>
      <c r="J447" s="67"/>
      <c r="K447" s="67"/>
      <c r="L447" s="67"/>
    </row>
    <row r="448" spans="1:12" ht="18" hidden="1" customHeight="1" x14ac:dyDescent="0.4">
      <c r="A448" s="485">
        <v>46174</v>
      </c>
      <c r="B448" s="5" t="s">
        <v>140</v>
      </c>
      <c r="C448" s="6" t="s">
        <v>1448</v>
      </c>
      <c r="D448" s="1" t="s">
        <v>243</v>
      </c>
      <c r="E448" s="1" t="s">
        <v>13</v>
      </c>
      <c r="F448" s="36">
        <v>14</v>
      </c>
      <c r="G448" s="8">
        <v>202000</v>
      </c>
      <c r="H448" s="525">
        <f>F448*G448</f>
        <v>2828000</v>
      </c>
      <c r="I448" s="67" t="s">
        <v>1849</v>
      </c>
      <c r="J448" s="67"/>
      <c r="K448" s="67"/>
      <c r="L448" s="67"/>
    </row>
    <row r="449" spans="1:12" ht="18.75" hidden="1" customHeight="1" x14ac:dyDescent="0.4">
      <c r="A449" s="485">
        <v>46181</v>
      </c>
      <c r="B449" s="5" t="s">
        <v>140</v>
      </c>
      <c r="C449" s="6" t="s">
        <v>641</v>
      </c>
      <c r="D449" s="1" t="s">
        <v>244</v>
      </c>
      <c r="E449" s="1" t="s">
        <v>13</v>
      </c>
      <c r="F449" s="36">
        <v>1</v>
      </c>
      <c r="G449" s="36">
        <v>973200</v>
      </c>
      <c r="H449" s="525">
        <f>F449*G449</f>
        <v>973200</v>
      </c>
      <c r="I449" s="67" t="s">
        <v>1849</v>
      </c>
      <c r="J449" s="67"/>
      <c r="K449" s="67"/>
      <c r="L449" s="67"/>
    </row>
    <row r="450" spans="1:12" ht="18.75" hidden="1" customHeight="1" x14ac:dyDescent="0.4">
      <c r="A450" s="485">
        <v>46181</v>
      </c>
      <c r="B450" s="5" t="s">
        <v>140</v>
      </c>
      <c r="C450" s="6" t="s">
        <v>1448</v>
      </c>
      <c r="D450" s="1" t="s">
        <v>243</v>
      </c>
      <c r="E450" s="1" t="s">
        <v>13</v>
      </c>
      <c r="F450" s="36">
        <v>14</v>
      </c>
      <c r="G450" s="8">
        <v>202000</v>
      </c>
      <c r="H450" s="525">
        <f t="shared" si="9"/>
        <v>2828000</v>
      </c>
      <c r="I450" s="67" t="s">
        <v>1849</v>
      </c>
      <c r="J450" s="67"/>
      <c r="K450" s="67"/>
      <c r="L450" s="67"/>
    </row>
    <row r="451" spans="1:12" ht="18.75" hidden="1" customHeight="1" x14ac:dyDescent="0.4">
      <c r="A451" s="485">
        <v>46183</v>
      </c>
      <c r="B451" s="5" t="s">
        <v>140</v>
      </c>
      <c r="C451" s="395" t="s">
        <v>1577</v>
      </c>
      <c r="D451" s="46" t="s">
        <v>1578</v>
      </c>
      <c r="E451" s="46" t="s">
        <v>775</v>
      </c>
      <c r="F451" s="705">
        <v>1</v>
      </c>
      <c r="G451" s="705">
        <v>423620</v>
      </c>
      <c r="H451" s="525">
        <f t="shared" si="9"/>
        <v>423620</v>
      </c>
      <c r="I451" s="67" t="s">
        <v>1849</v>
      </c>
      <c r="J451" s="67"/>
      <c r="K451" s="67"/>
      <c r="L451" s="67"/>
    </row>
    <row r="452" spans="1:12" ht="18.75" hidden="1" customHeight="1" x14ac:dyDescent="0.4">
      <c r="A452" s="485">
        <v>46183</v>
      </c>
      <c r="B452" s="7" t="s">
        <v>140</v>
      </c>
      <c r="C452" s="525" t="s">
        <v>1575</v>
      </c>
      <c r="D452" s="59" t="s">
        <v>242</v>
      </c>
      <c r="E452" s="59" t="s">
        <v>13</v>
      </c>
      <c r="F452" s="525">
        <v>1</v>
      </c>
      <c r="G452" s="525">
        <v>175300</v>
      </c>
      <c r="H452" s="525">
        <f t="shared" si="9"/>
        <v>175300</v>
      </c>
      <c r="I452" s="67" t="s">
        <v>1849</v>
      </c>
      <c r="J452" s="67"/>
      <c r="K452" s="67"/>
      <c r="L452" s="67"/>
    </row>
    <row r="453" spans="1:12" ht="18.75" hidden="1" customHeight="1" x14ac:dyDescent="0.4">
      <c r="A453" s="485">
        <v>46183</v>
      </c>
      <c r="B453" s="110" t="s">
        <v>140</v>
      </c>
      <c r="C453" s="395" t="s">
        <v>773</v>
      </c>
      <c r="D453" s="46" t="s">
        <v>774</v>
      </c>
      <c r="E453" s="46" t="s">
        <v>775</v>
      </c>
      <c r="F453" s="533">
        <v>13</v>
      </c>
      <c r="G453" s="533">
        <v>69700</v>
      </c>
      <c r="H453" s="525">
        <f t="shared" si="9"/>
        <v>906100</v>
      </c>
      <c r="I453" s="67" t="s">
        <v>1849</v>
      </c>
      <c r="J453" s="67"/>
      <c r="K453" s="67"/>
      <c r="L453" s="67"/>
    </row>
    <row r="454" spans="1:12" ht="18.75" hidden="1" customHeight="1" x14ac:dyDescent="0.4">
      <c r="A454" s="485">
        <v>46183</v>
      </c>
      <c r="B454" s="5" t="s">
        <v>140</v>
      </c>
      <c r="C454" s="6" t="s">
        <v>641</v>
      </c>
      <c r="D454" s="1" t="s">
        <v>244</v>
      </c>
      <c r="E454" s="1" t="s">
        <v>13</v>
      </c>
      <c r="F454" s="36">
        <v>1</v>
      </c>
      <c r="G454" s="36">
        <v>973200</v>
      </c>
      <c r="H454" s="525">
        <f>F454*G454</f>
        <v>973200</v>
      </c>
      <c r="I454" s="67" t="s">
        <v>1849</v>
      </c>
      <c r="J454" s="67"/>
      <c r="K454" s="67"/>
      <c r="L454" s="67"/>
    </row>
    <row r="455" spans="1:12" ht="18.75" hidden="1" customHeight="1" x14ac:dyDescent="0.4">
      <c r="A455" s="485">
        <v>46185</v>
      </c>
      <c r="B455" s="5" t="s">
        <v>140</v>
      </c>
      <c r="C455" s="6" t="s">
        <v>1449</v>
      </c>
      <c r="D455" s="1" t="s">
        <v>244</v>
      </c>
      <c r="E455" s="1" t="s">
        <v>13</v>
      </c>
      <c r="F455" s="36">
        <v>1</v>
      </c>
      <c r="G455" s="36">
        <v>227500</v>
      </c>
      <c r="H455" s="525">
        <f t="shared" si="9"/>
        <v>227500</v>
      </c>
      <c r="I455" s="67" t="s">
        <v>1849</v>
      </c>
      <c r="J455" s="67"/>
      <c r="K455" s="67"/>
      <c r="L455" s="67"/>
    </row>
    <row r="456" spans="1:12" ht="18.75" hidden="1" customHeight="1" x14ac:dyDescent="0.4">
      <c r="A456" s="485">
        <v>46189</v>
      </c>
      <c r="B456" s="7" t="s">
        <v>140</v>
      </c>
      <c r="C456" s="525" t="s">
        <v>1575</v>
      </c>
      <c r="D456" s="59" t="s">
        <v>242</v>
      </c>
      <c r="E456" s="59" t="s">
        <v>13</v>
      </c>
      <c r="F456" s="525">
        <v>6</v>
      </c>
      <c r="G456" s="525">
        <v>175300</v>
      </c>
      <c r="H456" s="525">
        <f t="shared" si="9"/>
        <v>1051800</v>
      </c>
      <c r="I456" s="67" t="s">
        <v>1849</v>
      </c>
      <c r="J456" s="67"/>
      <c r="K456" s="67"/>
      <c r="L456" s="67"/>
    </row>
    <row r="457" spans="1:12" ht="18.75" hidden="1" customHeight="1" x14ac:dyDescent="0.4">
      <c r="A457" s="485">
        <v>46189</v>
      </c>
      <c r="B457" s="110" t="s">
        <v>140</v>
      </c>
      <c r="C457" s="395" t="s">
        <v>773</v>
      </c>
      <c r="D457" s="46" t="s">
        <v>774</v>
      </c>
      <c r="E457" s="46" t="s">
        <v>775</v>
      </c>
      <c r="F457" s="533">
        <v>13</v>
      </c>
      <c r="G457" s="533">
        <v>69700</v>
      </c>
      <c r="H457" s="525">
        <f t="shared" si="9"/>
        <v>906100</v>
      </c>
      <c r="I457" s="67" t="s">
        <v>1849</v>
      </c>
      <c r="J457" s="67"/>
      <c r="K457" s="67"/>
      <c r="L457" s="67"/>
    </row>
    <row r="458" spans="1:12" ht="18.75" hidden="1" customHeight="1" x14ac:dyDescent="0.4">
      <c r="A458" s="485">
        <v>46190</v>
      </c>
      <c r="B458" s="7" t="s">
        <v>140</v>
      </c>
      <c r="C458" s="49" t="s">
        <v>1575</v>
      </c>
      <c r="D458" s="59" t="s">
        <v>242</v>
      </c>
      <c r="E458" s="59" t="s">
        <v>13</v>
      </c>
      <c r="F458" s="49">
        <v>2</v>
      </c>
      <c r="G458" s="49">
        <v>175300</v>
      </c>
      <c r="H458" s="525">
        <f t="shared" si="9"/>
        <v>350600</v>
      </c>
      <c r="I458" s="67" t="s">
        <v>1849</v>
      </c>
      <c r="J458" s="67"/>
      <c r="K458" s="67"/>
      <c r="L458" s="67"/>
    </row>
    <row r="459" spans="1:12" ht="18.75" hidden="1" customHeight="1" x14ac:dyDescent="0.4">
      <c r="A459" s="485">
        <v>46190</v>
      </c>
      <c r="B459" s="5" t="s">
        <v>140</v>
      </c>
      <c r="C459" s="630" t="s">
        <v>641</v>
      </c>
      <c r="D459" s="1" t="s">
        <v>244</v>
      </c>
      <c r="E459" s="1" t="s">
        <v>13</v>
      </c>
      <c r="F459" s="36">
        <v>1</v>
      </c>
      <c r="G459" s="36">
        <v>973200</v>
      </c>
      <c r="H459" s="525">
        <f>F459*G459</f>
        <v>973200</v>
      </c>
      <c r="I459" s="67" t="s">
        <v>1849</v>
      </c>
      <c r="J459" s="67"/>
      <c r="K459" s="67"/>
      <c r="L459" s="67"/>
    </row>
    <row r="460" spans="1:12" ht="18.75" hidden="1" customHeight="1" x14ac:dyDescent="0.4">
      <c r="A460" s="485">
        <v>46195</v>
      </c>
      <c r="B460" s="7" t="s">
        <v>140</v>
      </c>
      <c r="C460" s="49" t="s">
        <v>580</v>
      </c>
      <c r="D460" s="59" t="s">
        <v>581</v>
      </c>
      <c r="E460" s="59" t="s">
        <v>13</v>
      </c>
      <c r="F460" s="49">
        <v>2</v>
      </c>
      <c r="G460" s="49">
        <v>984000</v>
      </c>
      <c r="H460" s="525">
        <f t="shared" si="9"/>
        <v>1968000</v>
      </c>
      <c r="I460" s="67" t="s">
        <v>1849</v>
      </c>
      <c r="J460" s="67"/>
      <c r="K460" s="67"/>
      <c r="L460" s="67"/>
    </row>
    <row r="461" spans="1:12" ht="18.75" hidden="1" customHeight="1" x14ac:dyDescent="0.4">
      <c r="A461" s="485">
        <v>46199</v>
      </c>
      <c r="B461" s="5" t="s">
        <v>140</v>
      </c>
      <c r="C461" s="49" t="s">
        <v>580</v>
      </c>
      <c r="D461" s="59" t="s">
        <v>581</v>
      </c>
      <c r="E461" s="59" t="s">
        <v>13</v>
      </c>
      <c r="F461" s="49">
        <v>3</v>
      </c>
      <c r="G461" s="49">
        <v>984000</v>
      </c>
      <c r="H461" s="525">
        <f t="shared" si="9"/>
        <v>2952000</v>
      </c>
      <c r="I461" s="67" t="s">
        <v>1849</v>
      </c>
      <c r="J461" s="67"/>
      <c r="K461" s="67"/>
      <c r="L461" s="67"/>
    </row>
    <row r="462" spans="1:12" ht="18.600000000000001" hidden="1" customHeight="1" x14ac:dyDescent="0.4">
      <c r="A462" s="485">
        <v>46202</v>
      </c>
      <c r="B462" s="5" t="s">
        <v>140</v>
      </c>
      <c r="C462" s="49" t="s">
        <v>1580</v>
      </c>
      <c r="D462" s="59" t="s">
        <v>1581</v>
      </c>
      <c r="E462" s="59" t="s">
        <v>13</v>
      </c>
      <c r="F462" s="49">
        <v>15</v>
      </c>
      <c r="G462" s="49">
        <v>69700</v>
      </c>
      <c r="H462" s="525">
        <f t="shared" si="9"/>
        <v>1045500</v>
      </c>
      <c r="I462" s="67" t="s">
        <v>1849</v>
      </c>
      <c r="J462" s="67"/>
      <c r="K462" s="67"/>
      <c r="L462" s="67"/>
    </row>
    <row r="463" spans="1:12" customFormat="1" ht="17.399999999999999" hidden="1" x14ac:dyDescent="0.4">
      <c r="A463" s="484">
        <v>46209</v>
      </c>
      <c r="B463" s="5" t="s">
        <v>140</v>
      </c>
      <c r="C463" s="6" t="s">
        <v>1449</v>
      </c>
      <c r="D463" s="1" t="s">
        <v>244</v>
      </c>
      <c r="E463" s="1" t="s">
        <v>13</v>
      </c>
      <c r="F463" s="36">
        <v>8</v>
      </c>
      <c r="G463" s="36">
        <v>227500</v>
      </c>
      <c r="H463" s="7">
        <f t="shared" si="9"/>
        <v>1820000</v>
      </c>
      <c r="I463" s="67" t="s">
        <v>1849</v>
      </c>
      <c r="J463" s="67"/>
      <c r="K463" s="67"/>
      <c r="L463" s="67"/>
    </row>
    <row r="464" spans="1:12" customFormat="1" ht="17.399999999999999" hidden="1" x14ac:dyDescent="0.4">
      <c r="A464" s="484">
        <v>46212</v>
      </c>
      <c r="B464" s="5" t="s">
        <v>140</v>
      </c>
      <c r="C464" s="527" t="s">
        <v>554</v>
      </c>
      <c r="D464" s="1" t="s">
        <v>245</v>
      </c>
      <c r="E464" s="1" t="s">
        <v>13</v>
      </c>
      <c r="F464" s="36">
        <v>4</v>
      </c>
      <c r="G464" s="7">
        <v>630500</v>
      </c>
      <c r="H464" s="7">
        <f>F464*G464</f>
        <v>2522000</v>
      </c>
      <c r="I464" s="67" t="s">
        <v>1849</v>
      </c>
      <c r="J464" s="67"/>
      <c r="K464" s="67"/>
      <c r="L464" s="67"/>
    </row>
    <row r="465" spans="1:12" customFormat="1" ht="17.399999999999999" hidden="1" x14ac:dyDescent="0.4">
      <c r="A465" s="484">
        <v>46216</v>
      </c>
      <c r="B465" s="7" t="s">
        <v>140</v>
      </c>
      <c r="C465" s="525" t="s">
        <v>1456</v>
      </c>
      <c r="D465" s="59" t="s">
        <v>581</v>
      </c>
      <c r="E465" s="59" t="s">
        <v>13</v>
      </c>
      <c r="F465" s="49">
        <v>4</v>
      </c>
      <c r="G465" s="49">
        <v>984000</v>
      </c>
      <c r="H465" s="7">
        <f t="shared" si="9"/>
        <v>3936000</v>
      </c>
      <c r="I465" s="67" t="s">
        <v>1849</v>
      </c>
      <c r="J465" s="67"/>
      <c r="K465" s="67"/>
      <c r="L465" s="67"/>
    </row>
    <row r="466" spans="1:12" customFormat="1" ht="17.399999999999999" hidden="1" x14ac:dyDescent="0.4">
      <c r="A466" s="484">
        <v>46217</v>
      </c>
      <c r="B466" s="5" t="s">
        <v>140</v>
      </c>
      <c r="C466" s="527" t="s">
        <v>1579</v>
      </c>
      <c r="D466" s="1" t="s">
        <v>245</v>
      </c>
      <c r="E466" s="1" t="s">
        <v>13</v>
      </c>
      <c r="F466" s="36">
        <v>7</v>
      </c>
      <c r="G466" s="7">
        <v>630500</v>
      </c>
      <c r="H466" s="7">
        <f>F466*G466</f>
        <v>4413500</v>
      </c>
      <c r="I466" s="67" t="s">
        <v>1849</v>
      </c>
      <c r="J466" s="67"/>
      <c r="K466" s="67"/>
      <c r="L466" s="67"/>
    </row>
    <row r="467" spans="1:12" customFormat="1" ht="17.399999999999999" hidden="1" x14ac:dyDescent="0.4">
      <c r="A467" s="484">
        <v>46217</v>
      </c>
      <c r="B467" s="5" t="s">
        <v>140</v>
      </c>
      <c r="C467" s="527" t="s">
        <v>554</v>
      </c>
      <c r="D467" s="1" t="s">
        <v>245</v>
      </c>
      <c r="E467" s="1" t="s">
        <v>13</v>
      </c>
      <c r="F467" s="36">
        <v>4</v>
      </c>
      <c r="G467" s="7">
        <v>630500</v>
      </c>
      <c r="H467" s="7">
        <f>F467*G467</f>
        <v>2522000</v>
      </c>
      <c r="I467" s="67" t="s">
        <v>1849</v>
      </c>
      <c r="J467" s="67"/>
      <c r="K467" s="67"/>
      <c r="L467" s="67"/>
    </row>
    <row r="468" spans="1:12" customFormat="1" ht="17.399999999999999" hidden="1" x14ac:dyDescent="0.4">
      <c r="A468" s="484">
        <v>46218</v>
      </c>
      <c r="B468" s="5" t="s">
        <v>140</v>
      </c>
      <c r="C468" s="527" t="s">
        <v>1579</v>
      </c>
      <c r="D468" s="1" t="s">
        <v>642</v>
      </c>
      <c r="E468" s="1" t="s">
        <v>13</v>
      </c>
      <c r="F468" s="36">
        <v>7</v>
      </c>
      <c r="G468" s="7">
        <v>630500</v>
      </c>
      <c r="H468" s="7">
        <f t="shared" si="9"/>
        <v>4413500</v>
      </c>
      <c r="I468" s="67" t="s">
        <v>1849</v>
      </c>
      <c r="J468" s="67"/>
      <c r="K468" s="67"/>
      <c r="L468" s="67"/>
    </row>
    <row r="469" spans="1:12" customFormat="1" ht="17.399999999999999" hidden="1" x14ac:dyDescent="0.4">
      <c r="A469" s="484">
        <v>46218</v>
      </c>
      <c r="B469" s="110" t="s">
        <v>140</v>
      </c>
      <c r="C469" s="29" t="s">
        <v>1576</v>
      </c>
      <c r="D469" s="110" t="s">
        <v>772</v>
      </c>
      <c r="E469" s="110" t="s">
        <v>13</v>
      </c>
      <c r="F469" s="81">
        <v>4</v>
      </c>
      <c r="G469" s="49">
        <v>633000</v>
      </c>
      <c r="H469" s="7">
        <f t="shared" si="9"/>
        <v>2532000</v>
      </c>
      <c r="I469" s="67" t="s">
        <v>1849</v>
      </c>
      <c r="J469" s="67"/>
      <c r="K469" s="67"/>
      <c r="L469" s="67"/>
    </row>
    <row r="470" spans="1:12" customFormat="1" ht="17.399999999999999" hidden="1" x14ac:dyDescent="0.4">
      <c r="A470" s="484">
        <v>46219</v>
      </c>
      <c r="B470" s="110" t="s">
        <v>140</v>
      </c>
      <c r="C470" s="29" t="s">
        <v>771</v>
      </c>
      <c r="D470" s="110" t="s">
        <v>772</v>
      </c>
      <c r="E470" s="110" t="s">
        <v>13</v>
      </c>
      <c r="F470" s="81">
        <v>4</v>
      </c>
      <c r="G470" s="49">
        <v>633000</v>
      </c>
      <c r="H470" s="7">
        <f t="shared" si="9"/>
        <v>2532000</v>
      </c>
      <c r="I470" s="67" t="s">
        <v>1849</v>
      </c>
      <c r="J470" s="67"/>
      <c r="K470" s="67"/>
      <c r="L470" s="67"/>
    </row>
    <row r="471" spans="1:12" customFormat="1" ht="17.399999999999999" hidden="1" x14ac:dyDescent="0.4">
      <c r="A471" s="484">
        <v>46219</v>
      </c>
      <c r="B471" s="5" t="s">
        <v>140</v>
      </c>
      <c r="C471" s="527" t="s">
        <v>554</v>
      </c>
      <c r="D471" s="1" t="s">
        <v>245</v>
      </c>
      <c r="E471" s="1" t="s">
        <v>13</v>
      </c>
      <c r="F471" s="36">
        <v>2</v>
      </c>
      <c r="G471" s="7">
        <v>630500</v>
      </c>
      <c r="H471" s="7">
        <f t="shared" si="9"/>
        <v>1261000</v>
      </c>
      <c r="I471" s="67" t="s">
        <v>1849</v>
      </c>
      <c r="J471" s="67"/>
      <c r="K471" s="67"/>
      <c r="L471" s="67"/>
    </row>
    <row r="472" spans="1:12" ht="18.75" hidden="1" customHeight="1" x14ac:dyDescent="0.4">
      <c r="A472" s="484">
        <v>46219</v>
      </c>
      <c r="B472" s="7" t="s">
        <v>140</v>
      </c>
      <c r="C472" s="525" t="s">
        <v>1456</v>
      </c>
      <c r="D472" s="59" t="s">
        <v>581</v>
      </c>
      <c r="E472" s="59" t="s">
        <v>13</v>
      </c>
      <c r="F472" s="49">
        <v>3</v>
      </c>
      <c r="G472" s="49">
        <v>984000</v>
      </c>
      <c r="H472" s="7">
        <f t="shared" si="9"/>
        <v>2952000</v>
      </c>
      <c r="I472" s="67" t="s">
        <v>1849</v>
      </c>
      <c r="J472" s="67"/>
      <c r="K472" s="67"/>
      <c r="L472" s="67"/>
    </row>
    <row r="473" spans="1:12" ht="18.75" hidden="1" customHeight="1" x14ac:dyDescent="0.4">
      <c r="A473" s="484">
        <v>46223</v>
      </c>
      <c r="B473" s="7" t="s">
        <v>140</v>
      </c>
      <c r="C473" s="525" t="s">
        <v>1694</v>
      </c>
      <c r="D473" s="59" t="s">
        <v>246</v>
      </c>
      <c r="E473" s="59" t="s">
        <v>13</v>
      </c>
      <c r="F473" s="49">
        <v>6</v>
      </c>
      <c r="G473" s="49">
        <v>393500</v>
      </c>
      <c r="H473" s="7">
        <f t="shared" si="9"/>
        <v>2361000</v>
      </c>
      <c r="I473" s="67" t="s">
        <v>1849</v>
      </c>
      <c r="J473" s="67"/>
      <c r="K473" s="67"/>
      <c r="L473" s="67"/>
    </row>
    <row r="474" spans="1:12" ht="18.75" hidden="1" customHeight="1" x14ac:dyDescent="0.4">
      <c r="A474" s="484">
        <v>46223</v>
      </c>
      <c r="B474" s="7" t="s">
        <v>140</v>
      </c>
      <c r="C474" s="525" t="s">
        <v>1456</v>
      </c>
      <c r="D474" s="59" t="s">
        <v>581</v>
      </c>
      <c r="E474" s="59" t="s">
        <v>13</v>
      </c>
      <c r="F474" s="49">
        <v>2</v>
      </c>
      <c r="G474" s="49">
        <v>984000</v>
      </c>
      <c r="H474" s="7">
        <f t="shared" ref="H474:H504" si="10">F474*G474</f>
        <v>1968000</v>
      </c>
      <c r="I474" s="67" t="s">
        <v>1849</v>
      </c>
      <c r="J474" s="67"/>
      <c r="K474" s="67"/>
      <c r="L474" s="67"/>
    </row>
    <row r="475" spans="1:12" ht="18.75" hidden="1" customHeight="1" x14ac:dyDescent="0.4">
      <c r="A475" s="484">
        <v>46225</v>
      </c>
      <c r="B475" s="7" t="s">
        <v>140</v>
      </c>
      <c r="C475" s="525" t="s">
        <v>473</v>
      </c>
      <c r="D475" s="59" t="s">
        <v>246</v>
      </c>
      <c r="E475" s="59" t="s">
        <v>13</v>
      </c>
      <c r="F475" s="49">
        <v>3</v>
      </c>
      <c r="G475" s="49">
        <v>393500</v>
      </c>
      <c r="H475" s="7">
        <f t="shared" si="10"/>
        <v>1180500</v>
      </c>
      <c r="I475" s="67" t="s">
        <v>1849</v>
      </c>
      <c r="J475" s="67"/>
      <c r="K475" s="67"/>
      <c r="L475" s="67"/>
    </row>
    <row r="476" spans="1:12" ht="18.75" hidden="1" customHeight="1" x14ac:dyDescent="0.4">
      <c r="A476" s="484">
        <v>46225</v>
      </c>
      <c r="B476" s="7" t="s">
        <v>140</v>
      </c>
      <c r="C476" s="525" t="s">
        <v>580</v>
      </c>
      <c r="D476" s="59" t="s">
        <v>581</v>
      </c>
      <c r="E476" s="59" t="s">
        <v>13</v>
      </c>
      <c r="F476" s="49">
        <v>2</v>
      </c>
      <c r="G476" s="49">
        <v>984000</v>
      </c>
      <c r="H476" s="7">
        <f t="shared" si="10"/>
        <v>1968000</v>
      </c>
      <c r="I476" s="67" t="s">
        <v>1849</v>
      </c>
      <c r="J476" s="67"/>
      <c r="K476" s="67"/>
      <c r="L476" s="67"/>
    </row>
    <row r="477" spans="1:12" ht="18.75" hidden="1" customHeight="1" x14ac:dyDescent="0.4">
      <c r="A477" s="484">
        <v>46234</v>
      </c>
      <c r="B477" s="5" t="s">
        <v>140</v>
      </c>
      <c r="C477" s="527" t="s">
        <v>1579</v>
      </c>
      <c r="D477" s="1" t="s">
        <v>642</v>
      </c>
      <c r="E477" s="1" t="s">
        <v>13</v>
      </c>
      <c r="F477" s="64">
        <v>17</v>
      </c>
      <c r="G477" s="7">
        <v>630500</v>
      </c>
      <c r="H477" s="7">
        <f t="shared" si="10"/>
        <v>10718500</v>
      </c>
      <c r="I477" s="67" t="s">
        <v>1849</v>
      </c>
      <c r="J477" s="67"/>
      <c r="K477" s="67"/>
      <c r="L477" s="67"/>
    </row>
    <row r="478" spans="1:12" ht="18.75" hidden="1" customHeight="1" x14ac:dyDescent="0.4">
      <c r="A478" s="484">
        <v>46234</v>
      </c>
      <c r="B478" s="5" t="s">
        <v>140</v>
      </c>
      <c r="C478" s="29" t="s">
        <v>771</v>
      </c>
      <c r="D478" s="110" t="s">
        <v>772</v>
      </c>
      <c r="E478" s="110" t="s">
        <v>13</v>
      </c>
      <c r="F478" s="697">
        <v>2</v>
      </c>
      <c r="G478" s="49">
        <v>633000</v>
      </c>
      <c r="H478" s="7">
        <f t="shared" si="10"/>
        <v>1266000</v>
      </c>
      <c r="I478" s="67" t="s">
        <v>1849</v>
      </c>
      <c r="J478" s="67"/>
      <c r="K478" s="67"/>
      <c r="L478" s="67"/>
    </row>
    <row r="479" spans="1:12" ht="18.75" hidden="1" customHeight="1" x14ac:dyDescent="0.4">
      <c r="A479" s="484">
        <v>46234</v>
      </c>
      <c r="B479" s="5" t="s">
        <v>140</v>
      </c>
      <c r="C479" s="525" t="s">
        <v>1456</v>
      </c>
      <c r="D479" s="59" t="s">
        <v>581</v>
      </c>
      <c r="E479" s="59" t="s">
        <v>13</v>
      </c>
      <c r="F479" s="699">
        <v>3</v>
      </c>
      <c r="G479" s="49">
        <v>984000</v>
      </c>
      <c r="H479" s="7">
        <f t="shared" si="10"/>
        <v>2952000</v>
      </c>
      <c r="I479" s="67" t="s">
        <v>1849</v>
      </c>
      <c r="J479" s="67"/>
      <c r="K479" s="67"/>
      <c r="L479" s="67"/>
    </row>
    <row r="480" spans="1:12" ht="18.75" hidden="1" customHeight="1" x14ac:dyDescent="0.4">
      <c r="A480" s="484">
        <v>46234</v>
      </c>
      <c r="B480" s="5" t="s">
        <v>140</v>
      </c>
      <c r="C480" s="525" t="s">
        <v>539</v>
      </c>
      <c r="D480" s="59" t="s">
        <v>242</v>
      </c>
      <c r="E480" s="59" t="s">
        <v>1745</v>
      </c>
      <c r="F480" s="699">
        <v>8</v>
      </c>
      <c r="G480" s="49">
        <v>175300</v>
      </c>
      <c r="H480" s="7">
        <f t="shared" si="10"/>
        <v>1402400</v>
      </c>
      <c r="I480" s="67" t="s">
        <v>1849</v>
      </c>
      <c r="J480" s="67"/>
      <c r="K480" s="67"/>
      <c r="L480" s="67"/>
    </row>
    <row r="481" spans="1:12" ht="18.75" hidden="1" customHeight="1" x14ac:dyDescent="0.4">
      <c r="A481" s="484">
        <v>46246</v>
      </c>
      <c r="B481" s="5" t="s">
        <v>140</v>
      </c>
      <c r="C481" s="527" t="s">
        <v>1579</v>
      </c>
      <c r="D481" s="1" t="s">
        <v>642</v>
      </c>
      <c r="E481" s="1" t="s">
        <v>13</v>
      </c>
      <c r="F481" s="36">
        <v>8</v>
      </c>
      <c r="G481" s="7">
        <v>630500</v>
      </c>
      <c r="H481" s="7">
        <f t="shared" si="10"/>
        <v>5044000</v>
      </c>
      <c r="I481" s="67" t="s">
        <v>1849</v>
      </c>
      <c r="J481" s="67"/>
      <c r="K481" s="67"/>
      <c r="L481" s="67"/>
    </row>
    <row r="482" spans="1:12" ht="18" hidden="1" customHeight="1" x14ac:dyDescent="0.4">
      <c r="A482" s="484">
        <v>46246</v>
      </c>
      <c r="B482" s="5" t="s">
        <v>140</v>
      </c>
      <c r="C482" s="6" t="s">
        <v>641</v>
      </c>
      <c r="D482" s="1" t="s">
        <v>244</v>
      </c>
      <c r="E482" s="1" t="s">
        <v>13</v>
      </c>
      <c r="F482" s="36">
        <v>5</v>
      </c>
      <c r="G482" s="36">
        <v>973200</v>
      </c>
      <c r="H482" s="7">
        <f t="shared" si="10"/>
        <v>4866000</v>
      </c>
      <c r="I482" s="67" t="s">
        <v>1849</v>
      </c>
      <c r="J482" s="67"/>
      <c r="K482" s="67"/>
      <c r="L482" s="67"/>
    </row>
    <row r="483" spans="1:12" ht="18" hidden="1" customHeight="1" x14ac:dyDescent="0.4">
      <c r="A483" s="484">
        <v>46246</v>
      </c>
      <c r="B483" s="5" t="s">
        <v>140</v>
      </c>
      <c r="C483" s="6" t="s">
        <v>1456</v>
      </c>
      <c r="D483" s="1" t="s">
        <v>581</v>
      </c>
      <c r="E483" s="1" t="s">
        <v>13</v>
      </c>
      <c r="F483" s="36">
        <v>3</v>
      </c>
      <c r="G483" s="7">
        <v>984000</v>
      </c>
      <c r="H483" s="7">
        <f t="shared" si="10"/>
        <v>2952000</v>
      </c>
      <c r="I483" s="67" t="s">
        <v>1849</v>
      </c>
      <c r="J483" s="67"/>
      <c r="K483" s="67"/>
      <c r="L483" s="67"/>
    </row>
    <row r="484" spans="1:12" ht="18.75" hidden="1" customHeight="1" x14ac:dyDescent="0.4">
      <c r="A484" s="484">
        <v>46252</v>
      </c>
      <c r="B484" s="110" t="s">
        <v>140</v>
      </c>
      <c r="C484" s="29" t="s">
        <v>641</v>
      </c>
      <c r="D484" s="110" t="s">
        <v>244</v>
      </c>
      <c r="E484" s="110" t="s">
        <v>13</v>
      </c>
      <c r="F484" s="81">
        <v>8</v>
      </c>
      <c r="G484" s="49">
        <v>973200</v>
      </c>
      <c r="H484" s="7">
        <f t="shared" si="10"/>
        <v>7785600</v>
      </c>
      <c r="I484" s="67" t="s">
        <v>1849</v>
      </c>
      <c r="J484" s="67"/>
      <c r="K484" s="67"/>
      <c r="L484" s="67"/>
    </row>
    <row r="485" spans="1:12" ht="18.75" hidden="1" customHeight="1" x14ac:dyDescent="0.4">
      <c r="A485" s="484">
        <v>46252</v>
      </c>
      <c r="B485" s="7" t="s">
        <v>140</v>
      </c>
      <c r="C485" s="49" t="s">
        <v>1579</v>
      </c>
      <c r="D485" s="59" t="s">
        <v>245</v>
      </c>
      <c r="E485" s="59" t="s">
        <v>13</v>
      </c>
      <c r="F485" s="49">
        <v>3</v>
      </c>
      <c r="G485" s="49">
        <v>630500</v>
      </c>
      <c r="H485" s="7">
        <f t="shared" si="10"/>
        <v>1891500</v>
      </c>
      <c r="I485" s="67" t="s">
        <v>1849</v>
      </c>
      <c r="J485" s="67"/>
      <c r="K485" s="67"/>
      <c r="L485" s="67"/>
    </row>
    <row r="486" spans="1:12" ht="18.75" hidden="1" customHeight="1" x14ac:dyDescent="0.4">
      <c r="A486" s="484">
        <v>46252</v>
      </c>
      <c r="B486" s="5" t="s">
        <v>140</v>
      </c>
      <c r="C486" s="68" t="s">
        <v>1448</v>
      </c>
      <c r="D486" s="1" t="s">
        <v>243</v>
      </c>
      <c r="E486" s="1" t="s">
        <v>13</v>
      </c>
      <c r="F486" s="36">
        <v>7</v>
      </c>
      <c r="G486" s="7">
        <v>202000</v>
      </c>
      <c r="H486" s="7">
        <f t="shared" si="10"/>
        <v>1414000</v>
      </c>
      <c r="I486" s="67" t="s">
        <v>1849</v>
      </c>
      <c r="J486" s="67"/>
      <c r="K486" s="67"/>
      <c r="L486" s="67"/>
    </row>
    <row r="487" spans="1:12" ht="18.75" hidden="1" customHeight="1" x14ac:dyDescent="0.4">
      <c r="A487" s="484">
        <v>46252</v>
      </c>
      <c r="B487" s="5" t="s">
        <v>140</v>
      </c>
      <c r="C487" s="68" t="s">
        <v>1456</v>
      </c>
      <c r="D487" s="1" t="s">
        <v>581</v>
      </c>
      <c r="E487" s="1" t="s">
        <v>13</v>
      </c>
      <c r="F487" s="36">
        <v>3</v>
      </c>
      <c r="G487" s="7">
        <v>984000</v>
      </c>
      <c r="H487" s="7">
        <f t="shared" si="10"/>
        <v>2952000</v>
      </c>
      <c r="I487" s="67" t="s">
        <v>1849</v>
      </c>
      <c r="J487" s="67"/>
      <c r="K487" s="67"/>
      <c r="L487" s="67"/>
    </row>
    <row r="488" spans="1:12" ht="18.75" hidden="1" customHeight="1" x14ac:dyDescent="0.4">
      <c r="A488" s="484">
        <v>46252</v>
      </c>
      <c r="B488" s="110" t="s">
        <v>140</v>
      </c>
      <c r="C488" s="29" t="s">
        <v>1575</v>
      </c>
      <c r="D488" s="110" t="s">
        <v>242</v>
      </c>
      <c r="E488" s="110" t="s">
        <v>13</v>
      </c>
      <c r="F488" s="81">
        <v>4</v>
      </c>
      <c r="G488" s="49">
        <v>175300</v>
      </c>
      <c r="H488" s="7">
        <f t="shared" si="10"/>
        <v>701200</v>
      </c>
      <c r="I488" s="67" t="s">
        <v>1849</v>
      </c>
      <c r="J488" s="67"/>
      <c r="K488" s="67"/>
      <c r="L488" s="67"/>
    </row>
    <row r="489" spans="1:12" ht="18.75" hidden="1" customHeight="1" x14ac:dyDescent="0.4">
      <c r="A489" s="484">
        <v>46252</v>
      </c>
      <c r="B489" s="5" t="s">
        <v>140</v>
      </c>
      <c r="C489" s="68" t="s">
        <v>1802</v>
      </c>
      <c r="D489" s="1" t="s">
        <v>247</v>
      </c>
      <c r="E489" s="1" t="s">
        <v>13</v>
      </c>
      <c r="F489" s="36">
        <v>5</v>
      </c>
      <c r="G489" s="7">
        <v>56100</v>
      </c>
      <c r="H489" s="7">
        <f t="shared" si="10"/>
        <v>280500</v>
      </c>
      <c r="I489" s="67" t="s">
        <v>1849</v>
      </c>
      <c r="J489" s="67"/>
      <c r="K489" s="67"/>
      <c r="L489" s="67"/>
    </row>
    <row r="490" spans="1:12" ht="18.75" hidden="1" customHeight="1" x14ac:dyDescent="0.4">
      <c r="A490" s="484">
        <v>46258</v>
      </c>
      <c r="B490" s="5" t="s">
        <v>140</v>
      </c>
      <c r="C490" s="527" t="s">
        <v>1579</v>
      </c>
      <c r="D490" s="1" t="s">
        <v>642</v>
      </c>
      <c r="E490" s="1" t="s">
        <v>13</v>
      </c>
      <c r="F490" s="36">
        <v>5</v>
      </c>
      <c r="G490" s="7">
        <v>630500</v>
      </c>
      <c r="H490" s="7">
        <f t="shared" si="10"/>
        <v>3152500</v>
      </c>
      <c r="I490" s="67" t="s">
        <v>1849</v>
      </c>
      <c r="J490" s="67"/>
      <c r="K490" s="67"/>
      <c r="L490" s="67"/>
    </row>
    <row r="491" spans="1:12" ht="18" hidden="1" customHeight="1" x14ac:dyDescent="0.4">
      <c r="A491" s="484">
        <v>46258</v>
      </c>
      <c r="B491" s="5" t="s">
        <v>140</v>
      </c>
      <c r="C491" s="6" t="s">
        <v>641</v>
      </c>
      <c r="D491" s="1" t="s">
        <v>244</v>
      </c>
      <c r="E491" s="1" t="s">
        <v>13</v>
      </c>
      <c r="F491" s="36">
        <v>7</v>
      </c>
      <c r="G491" s="36">
        <v>973200</v>
      </c>
      <c r="H491" s="7">
        <f t="shared" si="10"/>
        <v>6812400</v>
      </c>
      <c r="I491" s="67" t="s">
        <v>1849</v>
      </c>
      <c r="J491" s="67"/>
      <c r="K491" s="67"/>
      <c r="L491" s="67"/>
    </row>
    <row r="492" spans="1:12" ht="18" hidden="1" customHeight="1" x14ac:dyDescent="0.4">
      <c r="A492" s="484">
        <v>46259</v>
      </c>
      <c r="B492" s="5" t="s">
        <v>140</v>
      </c>
      <c r="C492" s="6" t="s">
        <v>1456</v>
      </c>
      <c r="D492" s="1" t="s">
        <v>581</v>
      </c>
      <c r="E492" s="1" t="s">
        <v>13</v>
      </c>
      <c r="F492" s="36">
        <v>4</v>
      </c>
      <c r="G492" s="7">
        <v>984000</v>
      </c>
      <c r="H492" s="7">
        <f t="shared" si="10"/>
        <v>3936000</v>
      </c>
      <c r="I492" s="67" t="s">
        <v>1849</v>
      </c>
      <c r="J492" s="67"/>
      <c r="K492" s="67"/>
      <c r="L492" s="67"/>
    </row>
    <row r="493" spans="1:12" ht="18.75" hidden="1" customHeight="1" x14ac:dyDescent="0.4">
      <c r="A493" s="484">
        <v>46259</v>
      </c>
      <c r="B493" s="5" t="s">
        <v>140</v>
      </c>
      <c r="C493" s="6" t="s">
        <v>641</v>
      </c>
      <c r="D493" s="1" t="s">
        <v>244</v>
      </c>
      <c r="E493" s="1" t="s">
        <v>13</v>
      </c>
      <c r="F493" s="36">
        <v>1</v>
      </c>
      <c r="G493" s="36">
        <v>973200</v>
      </c>
      <c r="H493" s="7">
        <f t="shared" si="10"/>
        <v>973200</v>
      </c>
      <c r="I493" s="67" t="s">
        <v>1849</v>
      </c>
      <c r="J493" s="67"/>
      <c r="K493" s="67"/>
      <c r="L493" s="67"/>
    </row>
    <row r="494" spans="1:12" ht="18" hidden="1" customHeight="1" x14ac:dyDescent="0.4">
      <c r="A494" s="484">
        <v>46260</v>
      </c>
      <c r="B494" s="110" t="s">
        <v>140</v>
      </c>
      <c r="C494" s="29" t="s">
        <v>641</v>
      </c>
      <c r="D494" s="110" t="s">
        <v>244</v>
      </c>
      <c r="E494" s="110" t="s">
        <v>13</v>
      </c>
      <c r="F494" s="81">
        <v>6</v>
      </c>
      <c r="G494" s="49">
        <v>973200</v>
      </c>
      <c r="H494" s="7">
        <f t="shared" si="10"/>
        <v>5839200</v>
      </c>
      <c r="I494" s="67" t="s">
        <v>1849</v>
      </c>
      <c r="J494" s="67"/>
      <c r="K494" s="67"/>
      <c r="L494" s="67"/>
    </row>
    <row r="495" spans="1:12" ht="18.75" hidden="1" customHeight="1" x14ac:dyDescent="0.4">
      <c r="A495" s="484">
        <v>46260</v>
      </c>
      <c r="B495" s="5" t="s">
        <v>140</v>
      </c>
      <c r="C495" s="67" t="s">
        <v>1448</v>
      </c>
      <c r="D495" s="1" t="s">
        <v>243</v>
      </c>
      <c r="E495" s="1" t="s">
        <v>13</v>
      </c>
      <c r="F495" s="36">
        <v>16</v>
      </c>
      <c r="G495" s="7">
        <v>202000</v>
      </c>
      <c r="H495" s="7">
        <f t="shared" si="10"/>
        <v>3232000</v>
      </c>
      <c r="I495" s="67" t="s">
        <v>1849</v>
      </c>
      <c r="J495" s="757"/>
      <c r="K495" s="67"/>
      <c r="L495" s="67"/>
    </row>
    <row r="496" spans="1:12" ht="18.75" hidden="1" customHeight="1" x14ac:dyDescent="0.4">
      <c r="A496" s="484">
        <v>46260</v>
      </c>
      <c r="B496" s="5" t="s">
        <v>140</v>
      </c>
      <c r="C496" s="67" t="s">
        <v>1802</v>
      </c>
      <c r="D496" s="1" t="s">
        <v>247</v>
      </c>
      <c r="E496" s="1" t="s">
        <v>13</v>
      </c>
      <c r="F496" s="36">
        <v>3</v>
      </c>
      <c r="G496" s="7">
        <v>56100</v>
      </c>
      <c r="H496" s="7">
        <f t="shared" si="10"/>
        <v>168300</v>
      </c>
      <c r="I496" s="67" t="s">
        <v>1849</v>
      </c>
      <c r="J496" s="757"/>
      <c r="K496" s="67"/>
      <c r="L496" s="67"/>
    </row>
    <row r="497" spans="1:13" ht="18.75" hidden="1" customHeight="1" x14ac:dyDescent="0.4">
      <c r="A497" s="484">
        <v>46261</v>
      </c>
      <c r="B497" s="5" t="s">
        <v>140</v>
      </c>
      <c r="C497" s="67" t="s">
        <v>1448</v>
      </c>
      <c r="D497" s="1" t="s">
        <v>243</v>
      </c>
      <c r="E497" s="1" t="s">
        <v>13</v>
      </c>
      <c r="F497" s="36">
        <v>13</v>
      </c>
      <c r="G497" s="7">
        <v>202000</v>
      </c>
      <c r="H497" s="7">
        <f t="shared" si="10"/>
        <v>2626000</v>
      </c>
      <c r="I497" s="67" t="s">
        <v>1849</v>
      </c>
      <c r="J497" s="757"/>
      <c r="K497" s="67"/>
      <c r="L497" s="67"/>
    </row>
    <row r="498" spans="1:13" ht="18.75" hidden="1" customHeight="1" x14ac:dyDescent="0.4">
      <c r="A498" s="484">
        <v>46247</v>
      </c>
      <c r="B498" s="5" t="s">
        <v>140</v>
      </c>
      <c r="C498" s="630" t="s">
        <v>641</v>
      </c>
      <c r="D498" s="1" t="s">
        <v>244</v>
      </c>
      <c r="E498" s="1" t="s">
        <v>13</v>
      </c>
      <c r="F498" s="36">
        <v>6</v>
      </c>
      <c r="G498" s="36">
        <v>973200</v>
      </c>
      <c r="H498" s="7">
        <f t="shared" si="10"/>
        <v>5839200</v>
      </c>
      <c r="I498" s="67" t="s">
        <v>1849</v>
      </c>
      <c r="J498" s="757"/>
      <c r="K498" s="67"/>
      <c r="L498" s="67"/>
    </row>
    <row r="499" spans="1:13" ht="18.75" hidden="1" customHeight="1" x14ac:dyDescent="0.4">
      <c r="A499" s="484">
        <v>46247</v>
      </c>
      <c r="B499" s="7" t="s">
        <v>140</v>
      </c>
      <c r="C499" s="49" t="s">
        <v>1579</v>
      </c>
      <c r="D499" s="59" t="s">
        <v>245</v>
      </c>
      <c r="E499" s="59" t="s">
        <v>13</v>
      </c>
      <c r="F499" s="49">
        <v>3</v>
      </c>
      <c r="G499" s="49">
        <v>630500</v>
      </c>
      <c r="H499" s="7">
        <f t="shared" si="10"/>
        <v>1891500</v>
      </c>
      <c r="I499" s="67" t="s">
        <v>1849</v>
      </c>
      <c r="J499" s="757"/>
      <c r="K499" s="67"/>
      <c r="L499" s="67"/>
    </row>
    <row r="500" spans="1:13" ht="18.75" hidden="1" customHeight="1" x14ac:dyDescent="0.4">
      <c r="A500" s="484">
        <v>46265</v>
      </c>
      <c r="B500" s="7" t="s">
        <v>140</v>
      </c>
      <c r="C500" s="49" t="s">
        <v>1576</v>
      </c>
      <c r="D500" s="59" t="s">
        <v>772</v>
      </c>
      <c r="E500" s="59" t="s">
        <v>13</v>
      </c>
      <c r="F500" s="49">
        <v>8</v>
      </c>
      <c r="G500" s="49">
        <v>633000</v>
      </c>
      <c r="H500" s="7">
        <f t="shared" si="10"/>
        <v>5064000</v>
      </c>
      <c r="I500" s="67" t="s">
        <v>1849</v>
      </c>
      <c r="J500" s="757"/>
      <c r="K500" s="67"/>
      <c r="L500" s="67"/>
    </row>
    <row r="501" spans="1:13" ht="18.75" hidden="1" customHeight="1" x14ac:dyDescent="0.4">
      <c r="A501" s="484">
        <v>46265</v>
      </c>
      <c r="B501" s="7" t="s">
        <v>140</v>
      </c>
      <c r="C501" s="49" t="s">
        <v>1803</v>
      </c>
      <c r="D501" s="59" t="s">
        <v>597</v>
      </c>
      <c r="E501" s="59" t="s">
        <v>13</v>
      </c>
      <c r="F501" s="49">
        <v>4</v>
      </c>
      <c r="G501" s="49">
        <v>423620</v>
      </c>
      <c r="H501" s="7">
        <f t="shared" si="10"/>
        <v>1694480</v>
      </c>
      <c r="I501" s="67" t="s">
        <v>1849</v>
      </c>
      <c r="J501" s="757"/>
      <c r="K501" s="67"/>
      <c r="L501" s="67"/>
    </row>
    <row r="502" spans="1:13" ht="18.75" hidden="1" customHeight="1" x14ac:dyDescent="0.4">
      <c r="A502" s="484">
        <v>46265</v>
      </c>
      <c r="B502" s="7" t="s">
        <v>140</v>
      </c>
      <c r="C502" s="49" t="s">
        <v>1694</v>
      </c>
      <c r="D502" s="59" t="s">
        <v>246</v>
      </c>
      <c r="E502" s="59" t="s">
        <v>13</v>
      </c>
      <c r="F502" s="49">
        <v>11</v>
      </c>
      <c r="G502" s="49">
        <v>393500</v>
      </c>
      <c r="H502" s="7">
        <f t="shared" si="10"/>
        <v>4328500</v>
      </c>
      <c r="I502" s="67" t="s">
        <v>1849</v>
      </c>
      <c r="J502" s="757"/>
      <c r="K502" s="67"/>
      <c r="L502" s="67"/>
    </row>
    <row r="503" spans="1:13" ht="18.75" hidden="1" customHeight="1" x14ac:dyDescent="0.4">
      <c r="A503" s="484">
        <v>46265</v>
      </c>
      <c r="B503" s="7" t="s">
        <v>140</v>
      </c>
      <c r="C503" s="49" t="s">
        <v>553</v>
      </c>
      <c r="D503" s="59" t="s">
        <v>244</v>
      </c>
      <c r="E503" s="59" t="s">
        <v>13</v>
      </c>
      <c r="F503" s="49">
        <v>10</v>
      </c>
      <c r="G503" s="49">
        <v>973200</v>
      </c>
      <c r="H503" s="7">
        <f t="shared" si="10"/>
        <v>9732000</v>
      </c>
      <c r="I503" s="67" t="s">
        <v>1849</v>
      </c>
      <c r="J503" s="757"/>
      <c r="K503" s="67"/>
      <c r="L503" s="67"/>
    </row>
    <row r="504" spans="1:13" ht="18.75" hidden="1" customHeight="1" x14ac:dyDescent="0.4">
      <c r="A504" s="484">
        <v>46265</v>
      </c>
      <c r="B504" s="7" t="s">
        <v>140</v>
      </c>
      <c r="C504" s="49" t="s">
        <v>1456</v>
      </c>
      <c r="D504" s="59" t="s">
        <v>581</v>
      </c>
      <c r="E504" s="59" t="s">
        <v>13</v>
      </c>
      <c r="F504" s="49">
        <v>1</v>
      </c>
      <c r="G504" s="49">
        <v>984000</v>
      </c>
      <c r="H504" s="7">
        <f t="shared" si="10"/>
        <v>984000</v>
      </c>
      <c r="I504" s="67" t="s">
        <v>1849</v>
      </c>
      <c r="J504" s="757"/>
      <c r="K504" s="67"/>
      <c r="L504" s="67"/>
    </row>
    <row r="505" spans="1:13" s="19" customFormat="1" ht="18.75" hidden="1" customHeight="1" x14ac:dyDescent="0.4">
      <c r="A505" s="622"/>
      <c r="B505" s="39"/>
      <c r="C505" s="88"/>
      <c r="D505" s="434"/>
      <c r="E505" s="39"/>
      <c r="F505" s="39"/>
      <c r="G505" s="98"/>
      <c r="H505" s="138">
        <f>SUM(H408:H421)</f>
        <v>33698314</v>
      </c>
      <c r="I505" s="435"/>
      <c r="J505" s="436"/>
      <c r="K505" s="40"/>
      <c r="L505" s="696"/>
    </row>
    <row r="506" spans="1:13" s="3" customFormat="1" ht="18.75" hidden="1" customHeight="1" x14ac:dyDescent="0.4">
      <c r="A506" s="482">
        <v>46258</v>
      </c>
      <c r="B506" s="110" t="s">
        <v>141</v>
      </c>
      <c r="C506" s="29" t="s">
        <v>984</v>
      </c>
      <c r="D506" s="110">
        <v>40220977</v>
      </c>
      <c r="E506" s="110" t="s">
        <v>17</v>
      </c>
      <c r="F506" s="533">
        <v>77</v>
      </c>
      <c r="G506" s="525">
        <v>56745</v>
      </c>
      <c r="H506" s="7">
        <f>F506*G506</f>
        <v>4369365</v>
      </c>
      <c r="I506" s="525" t="s">
        <v>1804</v>
      </c>
      <c r="J506" s="815"/>
      <c r="K506" s="144"/>
      <c r="L506" s="140"/>
      <c r="M506" s="89"/>
    </row>
    <row r="507" spans="1:13" s="3" customFormat="1" ht="18.75" hidden="1" customHeight="1" x14ac:dyDescent="0.4">
      <c r="A507" s="482">
        <v>46258</v>
      </c>
      <c r="B507" s="110" t="s">
        <v>141</v>
      </c>
      <c r="C507" s="29" t="s">
        <v>984</v>
      </c>
      <c r="D507" s="110">
        <v>40220977</v>
      </c>
      <c r="E507" s="110" t="s">
        <v>17</v>
      </c>
      <c r="F507" s="533">
        <v>102</v>
      </c>
      <c r="G507" s="525">
        <v>56745</v>
      </c>
      <c r="H507" s="7">
        <f>F507*G507</f>
        <v>5787990</v>
      </c>
      <c r="I507" s="525" t="s">
        <v>1805</v>
      </c>
      <c r="J507" s="815"/>
      <c r="K507" s="144"/>
      <c r="L507" s="140"/>
      <c r="M507" s="89"/>
    </row>
    <row r="508" spans="1:13" s="3" customFormat="1" ht="18.75" hidden="1" customHeight="1" x14ac:dyDescent="0.4">
      <c r="A508" s="482"/>
      <c r="B508" s="110" t="s">
        <v>141</v>
      </c>
      <c r="C508" s="29" t="s">
        <v>1864</v>
      </c>
      <c r="D508" s="110">
        <v>40220976</v>
      </c>
      <c r="E508" s="110" t="s">
        <v>17</v>
      </c>
      <c r="F508" s="533">
        <v>172</v>
      </c>
      <c r="G508" s="525">
        <f>217347-176943</f>
        <v>40404</v>
      </c>
      <c r="H508" s="7">
        <f>F508*G508</f>
        <v>6949488</v>
      </c>
      <c r="I508" s="525"/>
      <c r="J508" s="815"/>
      <c r="K508" s="144"/>
      <c r="L508" s="140"/>
      <c r="M508" s="89"/>
    </row>
    <row r="509" spans="1:13" ht="18.75" hidden="1" customHeight="1" x14ac:dyDescent="0.4">
      <c r="A509" s="482">
        <v>46265</v>
      </c>
      <c r="B509" s="59" t="s">
        <v>141</v>
      </c>
      <c r="C509" s="49" t="s">
        <v>142</v>
      </c>
      <c r="D509" s="59">
        <v>40220976</v>
      </c>
      <c r="E509" s="59" t="s">
        <v>17</v>
      </c>
      <c r="F509" s="7">
        <f>36*2+21</f>
        <v>93</v>
      </c>
      <c r="G509" s="49">
        <v>217347</v>
      </c>
      <c r="H509" s="7">
        <f>F509*G509</f>
        <v>20213271</v>
      </c>
      <c r="I509" s="67" t="s">
        <v>1865</v>
      </c>
      <c r="J509" s="67"/>
      <c r="K509" s="67"/>
      <c r="L509" s="409" t="s">
        <v>495</v>
      </c>
    </row>
    <row r="510" spans="1:13" s="3" customFormat="1" ht="18.75" hidden="1" customHeight="1" x14ac:dyDescent="0.4">
      <c r="A510" s="483"/>
      <c r="B510" s="194"/>
      <c r="C510" s="40"/>
      <c r="D510" s="194"/>
      <c r="E510" s="194"/>
      <c r="F510" s="528">
        <f>SUM(F506:F509)</f>
        <v>444</v>
      </c>
      <c r="G510" s="529"/>
      <c r="H510" s="529">
        <f>SUM(H506:H508)</f>
        <v>17106843</v>
      </c>
      <c r="I510" s="529"/>
      <c r="J510" s="530"/>
      <c r="K510" s="145"/>
      <c r="L510" s="621"/>
      <c r="M510" s="89"/>
    </row>
    <row r="511" spans="1:13" customFormat="1" ht="18.75" hidden="1" customHeight="1" x14ac:dyDescent="0.4">
      <c r="A511" s="482">
        <v>46234</v>
      </c>
      <c r="B511" s="110" t="s">
        <v>782</v>
      </c>
      <c r="C511" s="29" t="s">
        <v>157</v>
      </c>
      <c r="D511" s="110" t="s">
        <v>273</v>
      </c>
      <c r="E511" s="110"/>
      <c r="F511" s="533">
        <v>4</v>
      </c>
      <c r="G511" s="525">
        <f>J511*L511</f>
        <v>322646.83799999999</v>
      </c>
      <c r="H511" s="525">
        <f>F511*G511</f>
        <v>1290587.352</v>
      </c>
      <c r="I511" s="525" t="s">
        <v>1699</v>
      </c>
      <c r="J511" s="534">
        <v>35430</v>
      </c>
      <c r="K511" s="144" t="s">
        <v>1746</v>
      </c>
      <c r="L511" s="409">
        <v>9.1066000000000003</v>
      </c>
      <c r="M511" s="89"/>
    </row>
    <row r="512" spans="1:13" customFormat="1" ht="17.399999999999999" hidden="1" x14ac:dyDescent="0.4">
      <c r="A512" s="482">
        <v>46234</v>
      </c>
      <c r="B512" s="110" t="s">
        <v>782</v>
      </c>
      <c r="C512" s="29" t="s">
        <v>157</v>
      </c>
      <c r="D512" s="110" t="s">
        <v>338</v>
      </c>
      <c r="E512" s="110"/>
      <c r="F512" s="533">
        <v>2</v>
      </c>
      <c r="G512" s="525">
        <f t="shared" ref="G512:G575" si="11">J512*L512</f>
        <v>322646.83799999999</v>
      </c>
      <c r="H512" s="525">
        <f t="shared" ref="H512:H575" si="12">F512*G512</f>
        <v>645293.67599999998</v>
      </c>
      <c r="I512" s="525" t="s">
        <v>1700</v>
      </c>
      <c r="J512" s="534">
        <v>35430</v>
      </c>
      <c r="K512" s="144" t="s">
        <v>1746</v>
      </c>
      <c r="L512" s="409">
        <v>9.1066000000000003</v>
      </c>
      <c r="M512" s="89"/>
    </row>
    <row r="513" spans="1:13" customFormat="1" ht="17.399999999999999" hidden="1" x14ac:dyDescent="0.4">
      <c r="A513" s="482">
        <v>46234</v>
      </c>
      <c r="B513" s="110" t="s">
        <v>782</v>
      </c>
      <c r="C513" s="29" t="s">
        <v>157</v>
      </c>
      <c r="D513" s="110" t="s">
        <v>338</v>
      </c>
      <c r="E513" s="110"/>
      <c r="F513" s="533">
        <v>4</v>
      </c>
      <c r="G513" s="525">
        <f t="shared" si="11"/>
        <v>356705.522</v>
      </c>
      <c r="H513" s="525">
        <f t="shared" si="12"/>
        <v>1426822.088</v>
      </c>
      <c r="I513" s="525" t="s">
        <v>1747</v>
      </c>
      <c r="J513" s="534">
        <v>39170</v>
      </c>
      <c r="K513" s="144" t="s">
        <v>1746</v>
      </c>
      <c r="L513" s="409">
        <v>9.1066000000000003</v>
      </c>
      <c r="M513" s="89"/>
    </row>
    <row r="514" spans="1:13" customFormat="1" ht="17.399999999999999" hidden="1" x14ac:dyDescent="0.4">
      <c r="A514" s="482">
        <v>46234</v>
      </c>
      <c r="B514" s="110" t="s">
        <v>782</v>
      </c>
      <c r="C514" s="29" t="s">
        <v>154</v>
      </c>
      <c r="D514" s="110" t="s">
        <v>267</v>
      </c>
      <c r="E514" s="110"/>
      <c r="F514" s="533">
        <v>6</v>
      </c>
      <c r="G514" s="525">
        <f t="shared" si="11"/>
        <v>3799273.52</v>
      </c>
      <c r="H514" s="525">
        <f t="shared" si="12"/>
        <v>22795641.120000001</v>
      </c>
      <c r="I514" s="525" t="s">
        <v>1214</v>
      </c>
      <c r="J514" s="534">
        <v>417200</v>
      </c>
      <c r="K514" s="144" t="s">
        <v>1746</v>
      </c>
      <c r="L514" s="409">
        <v>9.1066000000000003</v>
      </c>
      <c r="M514" s="89"/>
    </row>
    <row r="515" spans="1:13" customFormat="1" ht="17.399999999999999" hidden="1" x14ac:dyDescent="0.4">
      <c r="A515" s="482">
        <v>46234</v>
      </c>
      <c r="B515" s="110" t="s">
        <v>782</v>
      </c>
      <c r="C515" s="29" t="s">
        <v>154</v>
      </c>
      <c r="D515" s="110" t="s">
        <v>268</v>
      </c>
      <c r="E515" s="110"/>
      <c r="F515" s="533">
        <v>8</v>
      </c>
      <c r="G515" s="525">
        <f t="shared" si="11"/>
        <v>3799273.52</v>
      </c>
      <c r="H515" s="525">
        <f t="shared" si="12"/>
        <v>30394188.16</v>
      </c>
      <c r="I515" s="525" t="s">
        <v>1350</v>
      </c>
      <c r="J515" s="534">
        <v>417200</v>
      </c>
      <c r="K515" s="144" t="s">
        <v>1746</v>
      </c>
      <c r="L515" s="409">
        <v>9.1066000000000003</v>
      </c>
      <c r="M515" s="89"/>
    </row>
    <row r="516" spans="1:13" customFormat="1" ht="17.399999999999999" hidden="1" x14ac:dyDescent="0.4">
      <c r="A516" s="482">
        <v>46234</v>
      </c>
      <c r="B516" s="110" t="s">
        <v>782</v>
      </c>
      <c r="C516" s="29" t="s">
        <v>153</v>
      </c>
      <c r="D516" s="110" t="s">
        <v>337</v>
      </c>
      <c r="E516" s="110"/>
      <c r="F516" s="533">
        <v>4</v>
      </c>
      <c r="G516" s="525">
        <f t="shared" si="11"/>
        <v>2080402.77</v>
      </c>
      <c r="H516" s="525">
        <f t="shared" si="12"/>
        <v>8321611.0800000001</v>
      </c>
      <c r="I516" s="525" t="s">
        <v>1593</v>
      </c>
      <c r="J516" s="534">
        <v>228450</v>
      </c>
      <c r="K516" s="144" t="s">
        <v>1746</v>
      </c>
      <c r="L516" s="409">
        <v>9.1066000000000003</v>
      </c>
      <c r="M516" s="89"/>
    </row>
    <row r="517" spans="1:13" customFormat="1" ht="17.399999999999999" hidden="1" x14ac:dyDescent="0.4">
      <c r="A517" s="482">
        <v>46234</v>
      </c>
      <c r="B517" s="110" t="s">
        <v>782</v>
      </c>
      <c r="C517" s="29" t="s">
        <v>155</v>
      </c>
      <c r="D517" s="110" t="s">
        <v>253</v>
      </c>
      <c r="E517" s="110"/>
      <c r="F517" s="533">
        <v>6</v>
      </c>
      <c r="G517" s="525">
        <f t="shared" si="11"/>
        <v>3687990.8680000002</v>
      </c>
      <c r="H517" s="525">
        <f t="shared" si="12"/>
        <v>22127945.208000001</v>
      </c>
      <c r="I517" s="525" t="s">
        <v>1595</v>
      </c>
      <c r="J517" s="534">
        <v>404980</v>
      </c>
      <c r="K517" s="144" t="s">
        <v>1746</v>
      </c>
      <c r="L517" s="409">
        <v>9.1066000000000003</v>
      </c>
      <c r="M517" s="89"/>
    </row>
    <row r="518" spans="1:13" customFormat="1" ht="17.399999999999999" hidden="1" x14ac:dyDescent="0.4">
      <c r="A518" s="482">
        <v>46234</v>
      </c>
      <c r="B518" s="110" t="s">
        <v>782</v>
      </c>
      <c r="C518" s="29" t="s">
        <v>155</v>
      </c>
      <c r="D518" s="110" t="s">
        <v>254</v>
      </c>
      <c r="E518" s="110"/>
      <c r="F518" s="533">
        <v>6</v>
      </c>
      <c r="G518" s="525">
        <f t="shared" si="11"/>
        <v>4394663.0279999999</v>
      </c>
      <c r="H518" s="525">
        <f t="shared" si="12"/>
        <v>26367978.167999998</v>
      </c>
      <c r="I518" s="525" t="s">
        <v>1748</v>
      </c>
      <c r="J518" s="534">
        <v>482580</v>
      </c>
      <c r="K518" s="144" t="s">
        <v>1746</v>
      </c>
      <c r="L518" s="409">
        <v>9.1066000000000003</v>
      </c>
      <c r="M518" s="89"/>
    </row>
    <row r="519" spans="1:13" customFormat="1" ht="17.399999999999999" hidden="1" x14ac:dyDescent="0.4">
      <c r="A519" s="482">
        <v>46234</v>
      </c>
      <c r="B519" s="110" t="s">
        <v>782</v>
      </c>
      <c r="C519" s="29" t="s">
        <v>160</v>
      </c>
      <c r="D519" s="110" t="s">
        <v>255</v>
      </c>
      <c r="E519" s="110"/>
      <c r="F519" s="533">
        <v>8</v>
      </c>
      <c r="G519" s="525">
        <f t="shared" si="11"/>
        <v>384662.78399999999</v>
      </c>
      <c r="H519" s="525">
        <f t="shared" si="12"/>
        <v>3077302.2719999999</v>
      </c>
      <c r="I519" s="525" t="s">
        <v>1211</v>
      </c>
      <c r="J519" s="534">
        <v>42240</v>
      </c>
      <c r="K519" s="144" t="s">
        <v>1746</v>
      </c>
      <c r="L519" s="409">
        <v>9.1066000000000003</v>
      </c>
      <c r="M519" s="89"/>
    </row>
    <row r="520" spans="1:13" customFormat="1" ht="17.399999999999999" hidden="1" x14ac:dyDescent="0.4">
      <c r="A520" s="482">
        <v>46234</v>
      </c>
      <c r="B520" s="110" t="s">
        <v>782</v>
      </c>
      <c r="C520" s="29" t="s">
        <v>160</v>
      </c>
      <c r="D520" s="110" t="s">
        <v>340</v>
      </c>
      <c r="E520" s="110"/>
      <c r="F520" s="533">
        <v>8</v>
      </c>
      <c r="G520" s="525">
        <f t="shared" si="11"/>
        <v>396046.03399999999</v>
      </c>
      <c r="H520" s="525">
        <f t="shared" si="12"/>
        <v>3168368.2719999999</v>
      </c>
      <c r="I520" s="525" t="s">
        <v>1749</v>
      </c>
      <c r="J520" s="534">
        <v>43490</v>
      </c>
      <c r="K520" s="144" t="s">
        <v>1746</v>
      </c>
      <c r="L520" s="409">
        <v>9.1066000000000003</v>
      </c>
      <c r="M520" s="89"/>
    </row>
    <row r="521" spans="1:13" customFormat="1" ht="17.399999999999999" hidden="1" x14ac:dyDescent="0.4">
      <c r="A521" s="482">
        <v>46234</v>
      </c>
      <c r="B521" s="110" t="s">
        <v>782</v>
      </c>
      <c r="C521" s="29" t="s">
        <v>1750</v>
      </c>
      <c r="D521" s="110" t="s">
        <v>274</v>
      </c>
      <c r="E521" s="110"/>
      <c r="F521" s="533">
        <v>8</v>
      </c>
      <c r="G521" s="525">
        <f t="shared" si="11"/>
        <v>496036.50200000004</v>
      </c>
      <c r="H521" s="525">
        <f t="shared" si="12"/>
        <v>3968292.0160000003</v>
      </c>
      <c r="I521" s="525" t="s">
        <v>1210</v>
      </c>
      <c r="J521" s="534">
        <v>54470</v>
      </c>
      <c r="K521" s="144" t="s">
        <v>1746</v>
      </c>
      <c r="L521" s="409">
        <v>9.1066000000000003</v>
      </c>
      <c r="M521" s="89"/>
    </row>
    <row r="522" spans="1:13" customFormat="1" ht="17.399999999999999" hidden="1" x14ac:dyDescent="0.4">
      <c r="A522" s="482">
        <v>46234</v>
      </c>
      <c r="B522" s="110" t="s">
        <v>782</v>
      </c>
      <c r="C522" s="29" t="s">
        <v>1750</v>
      </c>
      <c r="D522" s="110" t="s">
        <v>341</v>
      </c>
      <c r="E522" s="110"/>
      <c r="F522" s="533">
        <v>8</v>
      </c>
      <c r="G522" s="525">
        <f t="shared" si="11"/>
        <v>496036.50200000004</v>
      </c>
      <c r="H522" s="525">
        <f t="shared" si="12"/>
        <v>3968292.0160000003</v>
      </c>
      <c r="I522" s="525" t="s">
        <v>1340</v>
      </c>
      <c r="J522" s="534">
        <v>54470</v>
      </c>
      <c r="K522" s="144" t="s">
        <v>1746</v>
      </c>
      <c r="L522" s="409">
        <v>9.1066000000000003</v>
      </c>
      <c r="M522" s="89"/>
    </row>
    <row r="523" spans="1:13" customFormat="1" ht="17.399999999999999" hidden="1" x14ac:dyDescent="0.4">
      <c r="A523" s="482">
        <v>46234</v>
      </c>
      <c r="B523" s="110" t="s">
        <v>782</v>
      </c>
      <c r="C523" s="29" t="s">
        <v>1750</v>
      </c>
      <c r="D523" s="110" t="s">
        <v>341</v>
      </c>
      <c r="E523" s="110"/>
      <c r="F523" s="533">
        <v>8</v>
      </c>
      <c r="G523" s="525">
        <f t="shared" si="11"/>
        <v>496036.50200000004</v>
      </c>
      <c r="H523" s="525">
        <f t="shared" si="12"/>
        <v>3968292.0160000003</v>
      </c>
      <c r="I523" s="525" t="s">
        <v>1333</v>
      </c>
      <c r="J523" s="534">
        <v>54470</v>
      </c>
      <c r="K523" s="144" t="s">
        <v>1746</v>
      </c>
      <c r="L523" s="409">
        <v>9.1066000000000003</v>
      </c>
      <c r="M523" s="89"/>
    </row>
    <row r="524" spans="1:13" customFormat="1" ht="17.399999999999999" hidden="1" x14ac:dyDescent="0.4">
      <c r="A524" s="482">
        <v>46234</v>
      </c>
      <c r="B524" s="110" t="s">
        <v>782</v>
      </c>
      <c r="C524" s="29" t="s">
        <v>157</v>
      </c>
      <c r="D524" s="110" t="s">
        <v>259</v>
      </c>
      <c r="E524" s="110"/>
      <c r="F524" s="533">
        <v>6</v>
      </c>
      <c r="G524" s="525">
        <f t="shared" si="11"/>
        <v>3801732.3020000001</v>
      </c>
      <c r="H524" s="525">
        <f t="shared" si="12"/>
        <v>22810393.811999999</v>
      </c>
      <c r="I524" s="525" t="s">
        <v>1702</v>
      </c>
      <c r="J524" s="534">
        <v>417470</v>
      </c>
      <c r="K524" s="144" t="s">
        <v>1746</v>
      </c>
      <c r="L524" s="409">
        <v>9.1066000000000003</v>
      </c>
      <c r="M524" s="89"/>
    </row>
    <row r="525" spans="1:13" customFormat="1" ht="17.399999999999999" hidden="1" x14ac:dyDescent="0.4">
      <c r="A525" s="482">
        <v>46234</v>
      </c>
      <c r="B525" s="110" t="s">
        <v>782</v>
      </c>
      <c r="C525" s="29" t="s">
        <v>152</v>
      </c>
      <c r="D525" s="110" t="s">
        <v>263</v>
      </c>
      <c r="E525" s="110"/>
      <c r="F525" s="533">
        <v>4</v>
      </c>
      <c r="G525" s="525">
        <f t="shared" si="11"/>
        <v>919129.13800000004</v>
      </c>
      <c r="H525" s="525">
        <f t="shared" si="12"/>
        <v>3676516.5520000001</v>
      </c>
      <c r="I525" s="525" t="s">
        <v>1215</v>
      </c>
      <c r="J525" s="534">
        <v>100930</v>
      </c>
      <c r="K525" s="144" t="s">
        <v>1746</v>
      </c>
      <c r="L525" s="409">
        <v>9.1066000000000003</v>
      </c>
      <c r="M525" s="89"/>
    </row>
    <row r="526" spans="1:13" customFormat="1" ht="17.399999999999999" hidden="1" x14ac:dyDescent="0.4">
      <c r="A526" s="482">
        <v>46234</v>
      </c>
      <c r="B526" s="110" t="s">
        <v>782</v>
      </c>
      <c r="C526" s="29" t="s">
        <v>152</v>
      </c>
      <c r="D526" s="110" t="s">
        <v>159</v>
      </c>
      <c r="E526" s="110"/>
      <c r="F526" s="533">
        <v>4</v>
      </c>
      <c r="G526" s="525">
        <f t="shared" si="11"/>
        <v>919129.13800000004</v>
      </c>
      <c r="H526" s="525">
        <f t="shared" si="12"/>
        <v>3676516.5520000001</v>
      </c>
      <c r="I526" s="525" t="s">
        <v>1343</v>
      </c>
      <c r="J526" s="534">
        <v>100930</v>
      </c>
      <c r="K526" s="144" t="s">
        <v>1746</v>
      </c>
      <c r="L526" s="409">
        <v>9.1066000000000003</v>
      </c>
      <c r="M526" s="89"/>
    </row>
    <row r="527" spans="1:13" customFormat="1" ht="17.399999999999999" hidden="1" x14ac:dyDescent="0.4">
      <c r="A527" s="482">
        <v>46234</v>
      </c>
      <c r="B527" s="110" t="s">
        <v>782</v>
      </c>
      <c r="C527" s="29" t="s">
        <v>152</v>
      </c>
      <c r="D527" s="110" t="s">
        <v>159</v>
      </c>
      <c r="E527" s="110"/>
      <c r="F527" s="533">
        <v>4</v>
      </c>
      <c r="G527" s="525">
        <f t="shared" si="11"/>
        <v>919129.13800000004</v>
      </c>
      <c r="H527" s="525">
        <f t="shared" si="12"/>
        <v>3676516.5520000001</v>
      </c>
      <c r="I527" s="525" t="s">
        <v>1351</v>
      </c>
      <c r="J527" s="534">
        <v>100930</v>
      </c>
      <c r="K527" s="144" t="s">
        <v>1746</v>
      </c>
      <c r="L527" s="409">
        <v>9.1066000000000003</v>
      </c>
      <c r="M527" s="89"/>
    </row>
    <row r="528" spans="1:13" s="19" customFormat="1" ht="18.75" hidden="1" customHeight="1" x14ac:dyDescent="0.4">
      <c r="A528" s="485">
        <v>46248</v>
      </c>
      <c r="B528" s="8" t="s">
        <v>987</v>
      </c>
      <c r="C528" s="6" t="s">
        <v>154</v>
      </c>
      <c r="D528" s="69" t="s">
        <v>267</v>
      </c>
      <c r="E528" s="8"/>
      <c r="F528" s="8">
        <v>8</v>
      </c>
      <c r="G528" s="525">
        <f t="shared" si="11"/>
        <v>3701940.7600000002</v>
      </c>
      <c r="H528" s="525">
        <f t="shared" si="12"/>
        <v>29615526.080000002</v>
      </c>
      <c r="I528" s="150" t="s">
        <v>1479</v>
      </c>
      <c r="J528" s="36">
        <v>417200</v>
      </c>
      <c r="K528" s="29" t="s">
        <v>1806</v>
      </c>
      <c r="L528" s="405">
        <v>8.8733000000000004</v>
      </c>
    </row>
    <row r="529" spans="1:12" s="19" customFormat="1" ht="18.75" hidden="1" customHeight="1" x14ac:dyDescent="0.4">
      <c r="A529" s="485">
        <v>46248</v>
      </c>
      <c r="B529" s="8" t="s">
        <v>987</v>
      </c>
      <c r="C529" s="6" t="s">
        <v>153</v>
      </c>
      <c r="D529" s="69" t="s">
        <v>392</v>
      </c>
      <c r="E529" s="8"/>
      <c r="F529" s="8">
        <v>8</v>
      </c>
      <c r="G529" s="525">
        <f t="shared" si="11"/>
        <v>2702895.9130000002</v>
      </c>
      <c r="H529" s="525">
        <f t="shared" si="12"/>
        <v>21623167.304000001</v>
      </c>
      <c r="I529" s="150" t="s">
        <v>1479</v>
      </c>
      <c r="J529" s="36">
        <v>304610</v>
      </c>
      <c r="K529" s="29" t="s">
        <v>1806</v>
      </c>
      <c r="L529" s="405">
        <v>8.8733000000000004</v>
      </c>
    </row>
    <row r="530" spans="1:12" s="19" customFormat="1" ht="18.75" hidden="1" customHeight="1" x14ac:dyDescent="0.4">
      <c r="A530" s="485">
        <v>46248</v>
      </c>
      <c r="B530" s="8" t="s">
        <v>987</v>
      </c>
      <c r="C530" s="6" t="s">
        <v>156</v>
      </c>
      <c r="D530" s="69" t="s">
        <v>271</v>
      </c>
      <c r="E530" s="8"/>
      <c r="F530" s="8">
        <v>4</v>
      </c>
      <c r="G530" s="525">
        <f t="shared" si="11"/>
        <v>1034804.246</v>
      </c>
      <c r="H530" s="525">
        <f t="shared" si="12"/>
        <v>4139216.9840000002</v>
      </c>
      <c r="I530" s="150" t="s">
        <v>1480</v>
      </c>
      <c r="J530" s="36">
        <v>116620</v>
      </c>
      <c r="K530" s="29" t="s">
        <v>1806</v>
      </c>
      <c r="L530" s="405">
        <v>8.8733000000000004</v>
      </c>
    </row>
    <row r="531" spans="1:12" s="19" customFormat="1" ht="18.75" hidden="1" customHeight="1" x14ac:dyDescent="0.4">
      <c r="A531" s="485">
        <v>46248</v>
      </c>
      <c r="B531" s="8" t="s">
        <v>987</v>
      </c>
      <c r="C531" s="6" t="s">
        <v>155</v>
      </c>
      <c r="D531" s="69" t="s">
        <v>253</v>
      </c>
      <c r="E531" s="8"/>
      <c r="F531" s="8">
        <v>2</v>
      </c>
      <c r="G531" s="525">
        <f t="shared" si="11"/>
        <v>4282077.1140000001</v>
      </c>
      <c r="H531" s="525">
        <f t="shared" si="12"/>
        <v>8564154.2280000001</v>
      </c>
      <c r="I531" s="150" t="s">
        <v>1709</v>
      </c>
      <c r="J531" s="36">
        <v>482580</v>
      </c>
      <c r="K531" s="29" t="s">
        <v>1806</v>
      </c>
      <c r="L531" s="405">
        <v>8.8733000000000004</v>
      </c>
    </row>
    <row r="532" spans="1:12" s="19" customFormat="1" ht="18.75" hidden="1" customHeight="1" x14ac:dyDescent="0.4">
      <c r="A532" s="485">
        <v>46248</v>
      </c>
      <c r="B532" s="8" t="s">
        <v>987</v>
      </c>
      <c r="C532" s="6" t="s">
        <v>155</v>
      </c>
      <c r="D532" s="69" t="s">
        <v>253</v>
      </c>
      <c r="E532" s="8"/>
      <c r="F532" s="8">
        <v>6</v>
      </c>
      <c r="G532" s="525">
        <f t="shared" si="11"/>
        <v>4282077.1140000001</v>
      </c>
      <c r="H532" s="525">
        <f t="shared" si="12"/>
        <v>25692462.684</v>
      </c>
      <c r="I532" s="150" t="s">
        <v>1702</v>
      </c>
      <c r="J532" s="36">
        <v>482580</v>
      </c>
      <c r="K532" s="29" t="s">
        <v>1806</v>
      </c>
      <c r="L532" s="405">
        <v>8.8733000000000004</v>
      </c>
    </row>
    <row r="533" spans="1:12" s="19" customFormat="1" ht="18.75" hidden="1" customHeight="1" x14ac:dyDescent="0.4">
      <c r="A533" s="485">
        <v>46248</v>
      </c>
      <c r="B533" s="8" t="s">
        <v>987</v>
      </c>
      <c r="C533" s="6" t="s">
        <v>157</v>
      </c>
      <c r="D533" s="69" t="s">
        <v>259</v>
      </c>
      <c r="E533" s="8"/>
      <c r="F533" s="8">
        <v>2</v>
      </c>
      <c r="G533" s="525">
        <f t="shared" si="11"/>
        <v>3704336.551</v>
      </c>
      <c r="H533" s="525">
        <f t="shared" si="12"/>
        <v>7408673.102</v>
      </c>
      <c r="I533" s="150" t="s">
        <v>1702</v>
      </c>
      <c r="J533" s="36">
        <v>417470</v>
      </c>
      <c r="K533" s="29" t="s">
        <v>1806</v>
      </c>
      <c r="L533" s="405">
        <v>8.8733000000000004</v>
      </c>
    </row>
    <row r="534" spans="1:12" s="19" customFormat="1" ht="18.75" hidden="1" customHeight="1" x14ac:dyDescent="0.4">
      <c r="A534" s="485">
        <v>46248</v>
      </c>
      <c r="B534" s="8" t="s">
        <v>987</v>
      </c>
      <c r="C534" s="6" t="s">
        <v>153</v>
      </c>
      <c r="D534" s="69" t="s">
        <v>337</v>
      </c>
      <c r="E534" s="8"/>
      <c r="F534" s="8">
        <v>1</v>
      </c>
      <c r="G534" s="525">
        <f t="shared" si="11"/>
        <v>2027105.385</v>
      </c>
      <c r="H534" s="525">
        <f t="shared" si="12"/>
        <v>2027105.385</v>
      </c>
      <c r="I534" s="150" t="s">
        <v>1593</v>
      </c>
      <c r="J534" s="36">
        <v>228450</v>
      </c>
      <c r="K534" s="29" t="s">
        <v>1806</v>
      </c>
      <c r="L534" s="405">
        <v>8.8733000000000004</v>
      </c>
    </row>
    <row r="535" spans="1:12" s="19" customFormat="1" ht="18.75" hidden="1" customHeight="1" x14ac:dyDescent="0.4">
      <c r="A535" s="485">
        <v>46248</v>
      </c>
      <c r="B535" s="8" t="s">
        <v>987</v>
      </c>
      <c r="C535" s="6" t="s">
        <v>154</v>
      </c>
      <c r="D535" s="69" t="s">
        <v>652</v>
      </c>
      <c r="E535" s="8"/>
      <c r="F535" s="8">
        <v>1</v>
      </c>
      <c r="G535" s="525">
        <f t="shared" si="11"/>
        <v>1425584.378</v>
      </c>
      <c r="H535" s="525">
        <f t="shared" si="12"/>
        <v>1425584.378</v>
      </c>
      <c r="I535" s="150" t="s">
        <v>1213</v>
      </c>
      <c r="J535" s="36">
        <v>160660</v>
      </c>
      <c r="K535" s="29" t="s">
        <v>1806</v>
      </c>
      <c r="L535" s="405">
        <v>8.8733000000000004</v>
      </c>
    </row>
    <row r="536" spans="1:12" s="19" customFormat="1" ht="18.75" hidden="1" customHeight="1" x14ac:dyDescent="0.4">
      <c r="A536" s="485">
        <v>46248</v>
      </c>
      <c r="B536" s="8" t="s">
        <v>987</v>
      </c>
      <c r="C536" s="6" t="s">
        <v>154</v>
      </c>
      <c r="D536" s="69" t="s">
        <v>653</v>
      </c>
      <c r="E536" s="8"/>
      <c r="F536" s="8">
        <v>1</v>
      </c>
      <c r="G536" s="525">
        <f t="shared" si="11"/>
        <v>1425584.378</v>
      </c>
      <c r="H536" s="525">
        <f t="shared" si="12"/>
        <v>1425584.378</v>
      </c>
      <c r="I536" s="150" t="s">
        <v>1215</v>
      </c>
      <c r="J536" s="36">
        <v>160660</v>
      </c>
      <c r="K536" s="29" t="s">
        <v>1806</v>
      </c>
      <c r="L536" s="405">
        <v>8.8733000000000004</v>
      </c>
    </row>
    <row r="537" spans="1:12" s="19" customFormat="1" ht="18.75" hidden="1" customHeight="1" x14ac:dyDescent="0.4">
      <c r="A537" s="485">
        <v>46248</v>
      </c>
      <c r="B537" s="8" t="s">
        <v>987</v>
      </c>
      <c r="C537" s="6" t="s">
        <v>154</v>
      </c>
      <c r="D537" s="69" t="s">
        <v>653</v>
      </c>
      <c r="E537" s="8"/>
      <c r="F537" s="8">
        <v>1</v>
      </c>
      <c r="G537" s="525">
        <f t="shared" si="11"/>
        <v>1425584.378</v>
      </c>
      <c r="H537" s="525">
        <f t="shared" si="12"/>
        <v>1425584.378</v>
      </c>
      <c r="I537" s="150" t="s">
        <v>1343</v>
      </c>
      <c r="J537" s="36">
        <v>160660</v>
      </c>
      <c r="K537" s="29" t="s">
        <v>1806</v>
      </c>
      <c r="L537" s="405">
        <v>8.8733000000000004</v>
      </c>
    </row>
    <row r="538" spans="1:12" s="19" customFormat="1" ht="18.75" hidden="1" customHeight="1" x14ac:dyDescent="0.4">
      <c r="A538" s="485">
        <v>46248</v>
      </c>
      <c r="B538" s="8" t="s">
        <v>987</v>
      </c>
      <c r="C538" s="6" t="s">
        <v>154</v>
      </c>
      <c r="D538" s="69" t="s">
        <v>267</v>
      </c>
      <c r="E538" s="8"/>
      <c r="F538" s="8">
        <v>2</v>
      </c>
      <c r="G538" s="525">
        <f t="shared" si="11"/>
        <v>3813211.9420000003</v>
      </c>
      <c r="H538" s="525">
        <f t="shared" si="12"/>
        <v>7626423.8840000005</v>
      </c>
      <c r="I538" s="150" t="s">
        <v>1474</v>
      </c>
      <c r="J538" s="36">
        <v>429740</v>
      </c>
      <c r="K538" s="29" t="s">
        <v>1806</v>
      </c>
      <c r="L538" s="405">
        <v>8.8733000000000004</v>
      </c>
    </row>
    <row r="539" spans="1:12" s="19" customFormat="1" ht="18.75" hidden="1" customHeight="1" x14ac:dyDescent="0.4">
      <c r="A539" s="485">
        <v>46248</v>
      </c>
      <c r="B539" s="8" t="s">
        <v>987</v>
      </c>
      <c r="C539" s="6" t="s">
        <v>160</v>
      </c>
      <c r="D539" s="69" t="s">
        <v>274</v>
      </c>
      <c r="E539" s="8"/>
      <c r="F539" s="8">
        <v>1</v>
      </c>
      <c r="G539" s="525">
        <f t="shared" si="11"/>
        <v>48643.4306</v>
      </c>
      <c r="H539" s="525">
        <f t="shared" si="12"/>
        <v>48643.4306</v>
      </c>
      <c r="I539" s="150" t="s">
        <v>1807</v>
      </c>
      <c r="J539" s="36">
        <v>5482</v>
      </c>
      <c r="K539" s="29" t="s">
        <v>1806</v>
      </c>
      <c r="L539" s="405">
        <v>8.8733000000000004</v>
      </c>
    </row>
    <row r="540" spans="1:12" s="19" customFormat="1" ht="18.75" hidden="1" customHeight="1" x14ac:dyDescent="0.4">
      <c r="A540" s="485">
        <v>46248</v>
      </c>
      <c r="B540" s="8" t="s">
        <v>987</v>
      </c>
      <c r="C540" s="6" t="s">
        <v>160</v>
      </c>
      <c r="D540" s="69" t="s">
        <v>341</v>
      </c>
      <c r="E540" s="8"/>
      <c r="F540" s="8">
        <v>1</v>
      </c>
      <c r="G540" s="525">
        <f t="shared" si="11"/>
        <v>48643.4306</v>
      </c>
      <c r="H540" s="525">
        <f t="shared" si="12"/>
        <v>48643.4306</v>
      </c>
      <c r="I540" s="150" t="s">
        <v>1808</v>
      </c>
      <c r="J540" s="36">
        <v>5482</v>
      </c>
      <c r="K540" s="29" t="s">
        <v>1806</v>
      </c>
      <c r="L540" s="405">
        <v>8.8733000000000004</v>
      </c>
    </row>
    <row r="541" spans="1:12" s="19" customFormat="1" ht="18.75" hidden="1" customHeight="1" x14ac:dyDescent="0.4">
      <c r="A541" s="485">
        <v>46248</v>
      </c>
      <c r="B541" s="8" t="s">
        <v>987</v>
      </c>
      <c r="C541" s="6" t="s">
        <v>160</v>
      </c>
      <c r="D541" s="69" t="s">
        <v>341</v>
      </c>
      <c r="E541" s="8"/>
      <c r="F541" s="8">
        <v>3</v>
      </c>
      <c r="G541" s="525">
        <f t="shared" si="11"/>
        <v>48643.4306</v>
      </c>
      <c r="H541" s="525">
        <f t="shared" si="12"/>
        <v>145930.29180000001</v>
      </c>
      <c r="I541" s="150" t="s">
        <v>1809</v>
      </c>
      <c r="J541" s="36">
        <v>5482</v>
      </c>
      <c r="K541" s="29" t="s">
        <v>1806</v>
      </c>
      <c r="L541" s="405">
        <v>8.8733000000000004</v>
      </c>
    </row>
    <row r="542" spans="1:12" s="19" customFormat="1" ht="18.75" hidden="1" customHeight="1" x14ac:dyDescent="0.4">
      <c r="A542" s="485">
        <v>46248</v>
      </c>
      <c r="B542" s="8" t="s">
        <v>987</v>
      </c>
      <c r="C542" s="6" t="s">
        <v>154</v>
      </c>
      <c r="D542" s="69" t="s">
        <v>268</v>
      </c>
      <c r="E542" s="8"/>
      <c r="F542" s="8">
        <v>1</v>
      </c>
      <c r="G542" s="525">
        <f t="shared" si="11"/>
        <v>500720.31900000002</v>
      </c>
      <c r="H542" s="525">
        <f t="shared" si="12"/>
        <v>500720.31900000002</v>
      </c>
      <c r="I542" s="150" t="s">
        <v>1810</v>
      </c>
      <c r="J542" s="36">
        <v>56430</v>
      </c>
      <c r="K542" s="29" t="s">
        <v>1806</v>
      </c>
      <c r="L542" s="405">
        <v>8.8733000000000004</v>
      </c>
    </row>
    <row r="543" spans="1:12" s="19" customFormat="1" ht="18.75" hidden="1" customHeight="1" x14ac:dyDescent="0.4">
      <c r="A543" s="485">
        <v>46255</v>
      </c>
      <c r="B543" s="8" t="s">
        <v>987</v>
      </c>
      <c r="C543" s="6" t="s">
        <v>158</v>
      </c>
      <c r="D543" s="69" t="s">
        <v>252</v>
      </c>
      <c r="E543" s="8"/>
      <c r="F543" s="8">
        <v>8</v>
      </c>
      <c r="G543" s="525">
        <f t="shared" si="11"/>
        <v>3283299.6799999997</v>
      </c>
      <c r="H543" s="525">
        <f t="shared" si="12"/>
        <v>26266397.439999998</v>
      </c>
      <c r="I543" s="150" t="s">
        <v>1811</v>
      </c>
      <c r="J543" s="36">
        <v>377200</v>
      </c>
      <c r="K543" s="29" t="s">
        <v>1812</v>
      </c>
      <c r="L543" s="405">
        <v>8.7043999999999997</v>
      </c>
    </row>
    <row r="544" spans="1:12" s="19" customFormat="1" ht="18.75" hidden="1" customHeight="1" x14ac:dyDescent="0.4">
      <c r="A544" s="485">
        <v>46255</v>
      </c>
      <c r="B544" s="8" t="s">
        <v>987</v>
      </c>
      <c r="C544" s="6" t="s">
        <v>155</v>
      </c>
      <c r="D544" s="69" t="s">
        <v>253</v>
      </c>
      <c r="E544" s="8"/>
      <c r="F544" s="8">
        <v>4</v>
      </c>
      <c r="G544" s="525">
        <f t="shared" si="11"/>
        <v>4200569.352</v>
      </c>
      <c r="H544" s="525">
        <f t="shared" si="12"/>
        <v>16802277.408</v>
      </c>
      <c r="I544" s="150" t="s">
        <v>1702</v>
      </c>
      <c r="J544" s="36">
        <v>482580</v>
      </c>
      <c r="K544" s="29" t="s">
        <v>1812</v>
      </c>
      <c r="L544" s="405">
        <v>8.7043999999999997</v>
      </c>
    </row>
    <row r="545" spans="1:12" s="19" customFormat="1" ht="18.75" hidden="1" customHeight="1" x14ac:dyDescent="0.4">
      <c r="A545" s="485">
        <v>46255</v>
      </c>
      <c r="B545" s="8" t="s">
        <v>987</v>
      </c>
      <c r="C545" s="6" t="s">
        <v>154</v>
      </c>
      <c r="D545" s="69" t="s">
        <v>267</v>
      </c>
      <c r="E545" s="8"/>
      <c r="F545" s="8">
        <v>8</v>
      </c>
      <c r="G545" s="525">
        <f t="shared" si="11"/>
        <v>3631475.6799999997</v>
      </c>
      <c r="H545" s="525">
        <f t="shared" si="12"/>
        <v>29051805.439999998</v>
      </c>
      <c r="I545" s="150" t="s">
        <v>1811</v>
      </c>
      <c r="J545" s="36">
        <v>417200</v>
      </c>
      <c r="K545" s="29" t="s">
        <v>1813</v>
      </c>
      <c r="L545" s="405">
        <v>8.7043999999999997</v>
      </c>
    </row>
    <row r="546" spans="1:12" s="19" customFormat="1" ht="18.75" hidden="1" customHeight="1" x14ac:dyDescent="0.4">
      <c r="A546" s="485">
        <v>46255</v>
      </c>
      <c r="B546" s="8" t="s">
        <v>987</v>
      </c>
      <c r="C546" s="6" t="s">
        <v>154</v>
      </c>
      <c r="D546" s="69" t="s">
        <v>268</v>
      </c>
      <c r="E546" s="8"/>
      <c r="F546" s="8">
        <v>2</v>
      </c>
      <c r="G546" s="525">
        <f t="shared" si="11"/>
        <v>3740628.8559999997</v>
      </c>
      <c r="H546" s="525">
        <f t="shared" si="12"/>
        <v>7481257.7119999994</v>
      </c>
      <c r="I546" s="150" t="s">
        <v>1474</v>
      </c>
      <c r="J546" s="36">
        <v>429740</v>
      </c>
      <c r="K546" s="29" t="s">
        <v>1813</v>
      </c>
      <c r="L546" s="405">
        <v>8.7043999999999997</v>
      </c>
    </row>
    <row r="547" spans="1:12" s="19" customFormat="1" ht="18.75" hidden="1" customHeight="1" x14ac:dyDescent="0.4">
      <c r="A547" s="485">
        <v>46255</v>
      </c>
      <c r="B547" s="8" t="s">
        <v>987</v>
      </c>
      <c r="C547" s="6" t="s">
        <v>155</v>
      </c>
      <c r="D547" s="69" t="s">
        <v>254</v>
      </c>
      <c r="E547" s="8"/>
      <c r="F547" s="8">
        <v>2</v>
      </c>
      <c r="G547" s="525">
        <f t="shared" si="11"/>
        <v>4200569.352</v>
      </c>
      <c r="H547" s="525">
        <f t="shared" si="12"/>
        <v>8401138.7039999999</v>
      </c>
      <c r="I547" s="150" t="s">
        <v>1711</v>
      </c>
      <c r="J547" s="36">
        <v>482580</v>
      </c>
      <c r="K547" s="29" t="s">
        <v>1813</v>
      </c>
      <c r="L547" s="405">
        <v>8.7043999999999997</v>
      </c>
    </row>
    <row r="548" spans="1:12" s="19" customFormat="1" ht="18.75" hidden="1" customHeight="1" x14ac:dyDescent="0.4">
      <c r="A548" s="485">
        <v>46255</v>
      </c>
      <c r="B548" s="8" t="s">
        <v>987</v>
      </c>
      <c r="C548" s="6" t="s">
        <v>157</v>
      </c>
      <c r="D548" s="69" t="s">
        <v>259</v>
      </c>
      <c r="E548" s="8"/>
      <c r="F548" s="8">
        <v>8</v>
      </c>
      <c r="G548" s="525">
        <f t="shared" si="11"/>
        <v>3191381.216</v>
      </c>
      <c r="H548" s="525">
        <f t="shared" si="12"/>
        <v>25531049.728</v>
      </c>
      <c r="I548" s="150" t="s">
        <v>1811</v>
      </c>
      <c r="J548" s="36">
        <v>366640</v>
      </c>
      <c r="K548" s="29" t="s">
        <v>1813</v>
      </c>
      <c r="L548" s="405">
        <v>8.7043999999999997</v>
      </c>
    </row>
    <row r="549" spans="1:12" s="19" customFormat="1" ht="18.75" hidden="1" customHeight="1" x14ac:dyDescent="0.4">
      <c r="A549" s="485">
        <v>46255</v>
      </c>
      <c r="B549" s="8" t="s">
        <v>987</v>
      </c>
      <c r="C549" s="6" t="s">
        <v>156</v>
      </c>
      <c r="D549" s="69" t="s">
        <v>261</v>
      </c>
      <c r="E549" s="8"/>
      <c r="F549" s="8">
        <v>1</v>
      </c>
      <c r="G549" s="525">
        <f t="shared" si="11"/>
        <v>1952658.0519999999</v>
      </c>
      <c r="H549" s="525">
        <f t="shared" si="12"/>
        <v>1952658.0519999999</v>
      </c>
      <c r="I549" s="150" t="s">
        <v>1814</v>
      </c>
      <c r="J549" s="36">
        <v>224330</v>
      </c>
      <c r="K549" s="29" t="s">
        <v>1813</v>
      </c>
      <c r="L549" s="405">
        <v>8.7043999999999997</v>
      </c>
    </row>
    <row r="550" spans="1:12" s="19" customFormat="1" ht="18.75" hidden="1" customHeight="1" x14ac:dyDescent="0.4">
      <c r="A550" s="485">
        <v>46255</v>
      </c>
      <c r="B550" s="8" t="s">
        <v>987</v>
      </c>
      <c r="C550" s="6" t="s">
        <v>152</v>
      </c>
      <c r="D550" s="69" t="s">
        <v>263</v>
      </c>
      <c r="E550" s="8"/>
      <c r="F550" s="8">
        <v>4</v>
      </c>
      <c r="G550" s="525">
        <f t="shared" si="11"/>
        <v>878535.09199999995</v>
      </c>
      <c r="H550" s="525">
        <f t="shared" si="12"/>
        <v>3514140.3679999998</v>
      </c>
      <c r="I550" s="150" t="s">
        <v>1814</v>
      </c>
      <c r="J550" s="36">
        <v>100930</v>
      </c>
      <c r="K550" s="29" t="s">
        <v>1813</v>
      </c>
      <c r="L550" s="405">
        <v>8.7043999999999997</v>
      </c>
    </row>
    <row r="551" spans="1:12" s="19" customFormat="1" ht="18.75" hidden="1" customHeight="1" x14ac:dyDescent="0.4">
      <c r="A551" s="485">
        <v>46255</v>
      </c>
      <c r="B551" s="8" t="s">
        <v>987</v>
      </c>
      <c r="C551" s="6" t="s">
        <v>154</v>
      </c>
      <c r="D551" s="69" t="s">
        <v>250</v>
      </c>
      <c r="E551" s="8"/>
      <c r="F551" s="8">
        <v>4</v>
      </c>
      <c r="G551" s="525">
        <f t="shared" si="11"/>
        <v>679465.46399999992</v>
      </c>
      <c r="H551" s="525">
        <f t="shared" si="12"/>
        <v>2717861.8559999997</v>
      </c>
      <c r="I551" s="150" t="s">
        <v>1815</v>
      </c>
      <c r="J551" s="36">
        <v>78060</v>
      </c>
      <c r="K551" s="29" t="s">
        <v>1813</v>
      </c>
      <c r="L551" s="405">
        <v>8.7043999999999997</v>
      </c>
    </row>
    <row r="552" spans="1:12" s="19" customFormat="1" ht="18.75" hidden="1" customHeight="1" x14ac:dyDescent="0.4">
      <c r="A552" s="485">
        <v>46255</v>
      </c>
      <c r="B552" s="8" t="s">
        <v>987</v>
      </c>
      <c r="C552" s="6" t="s">
        <v>150</v>
      </c>
      <c r="D552" s="69" t="s">
        <v>334</v>
      </c>
      <c r="E552" s="8"/>
      <c r="F552" s="8">
        <v>4</v>
      </c>
      <c r="G552" s="525">
        <f t="shared" si="11"/>
        <v>288115.64</v>
      </c>
      <c r="H552" s="525">
        <f t="shared" si="12"/>
        <v>1152462.56</v>
      </c>
      <c r="I552" s="150" t="s">
        <v>1815</v>
      </c>
      <c r="J552" s="36">
        <v>33100</v>
      </c>
      <c r="K552" s="29" t="s">
        <v>1813</v>
      </c>
      <c r="L552" s="405">
        <v>8.7043999999999997</v>
      </c>
    </row>
    <row r="553" spans="1:12" s="19" customFormat="1" ht="18.75" hidden="1" customHeight="1" x14ac:dyDescent="0.4">
      <c r="A553" s="485">
        <v>46255</v>
      </c>
      <c r="B553" s="8" t="s">
        <v>987</v>
      </c>
      <c r="C553" s="6" t="s">
        <v>157</v>
      </c>
      <c r="D553" s="69" t="s">
        <v>273</v>
      </c>
      <c r="E553" s="8"/>
      <c r="F553" s="8">
        <v>4</v>
      </c>
      <c r="G553" s="525">
        <f t="shared" si="11"/>
        <v>301433.37199999997</v>
      </c>
      <c r="H553" s="525">
        <f t="shared" si="12"/>
        <v>1205733.4879999999</v>
      </c>
      <c r="I553" s="150" t="s">
        <v>1815</v>
      </c>
      <c r="J553" s="36">
        <v>34630</v>
      </c>
      <c r="K553" s="29" t="s">
        <v>1813</v>
      </c>
      <c r="L553" s="405">
        <v>8.7043999999999997</v>
      </c>
    </row>
    <row r="554" spans="1:12" s="19" customFormat="1" ht="18.75" hidden="1" customHeight="1" x14ac:dyDescent="0.4">
      <c r="A554" s="485">
        <v>46255</v>
      </c>
      <c r="B554" s="8" t="s">
        <v>987</v>
      </c>
      <c r="C554" s="6" t="s">
        <v>150</v>
      </c>
      <c r="D554" s="69" t="s">
        <v>257</v>
      </c>
      <c r="E554" s="8"/>
      <c r="F554" s="8">
        <v>8</v>
      </c>
      <c r="G554" s="525">
        <f t="shared" si="11"/>
        <v>1095709.872</v>
      </c>
      <c r="H554" s="525">
        <f t="shared" si="12"/>
        <v>8765678.9759999998</v>
      </c>
      <c r="I554" s="150" t="s">
        <v>1340</v>
      </c>
      <c r="J554" s="36">
        <v>125880</v>
      </c>
      <c r="K554" s="29" t="s">
        <v>1813</v>
      </c>
      <c r="L554" s="405">
        <v>8.7043999999999997</v>
      </c>
    </row>
    <row r="555" spans="1:12" s="19" customFormat="1" ht="18.75" hidden="1" customHeight="1" x14ac:dyDescent="0.4">
      <c r="A555" s="485">
        <v>46255</v>
      </c>
      <c r="B555" s="8" t="s">
        <v>987</v>
      </c>
      <c r="C555" s="6" t="s">
        <v>154</v>
      </c>
      <c r="D555" s="69" t="s">
        <v>266</v>
      </c>
      <c r="E555" s="8"/>
      <c r="F555" s="8">
        <v>6</v>
      </c>
      <c r="G555" s="525">
        <f t="shared" si="11"/>
        <v>3649841.9639999997</v>
      </c>
      <c r="H555" s="525">
        <f t="shared" si="12"/>
        <v>21899051.783999998</v>
      </c>
      <c r="I555" s="150" t="s">
        <v>1333</v>
      </c>
      <c r="J555" s="36">
        <v>419310</v>
      </c>
      <c r="K555" s="29" t="s">
        <v>1813</v>
      </c>
      <c r="L555" s="405">
        <v>8.7043999999999997</v>
      </c>
    </row>
    <row r="556" spans="1:12" s="19" customFormat="1" ht="18.75" hidden="1" customHeight="1" x14ac:dyDescent="0.4">
      <c r="A556" s="485">
        <v>46255</v>
      </c>
      <c r="B556" s="8" t="s">
        <v>987</v>
      </c>
      <c r="C556" s="6" t="s">
        <v>160</v>
      </c>
      <c r="D556" s="69" t="s">
        <v>255</v>
      </c>
      <c r="E556" s="8"/>
      <c r="F556" s="8">
        <v>8</v>
      </c>
      <c r="G556" s="525">
        <f t="shared" si="11"/>
        <v>378554.35599999997</v>
      </c>
      <c r="H556" s="525">
        <f t="shared" si="12"/>
        <v>3028434.8479999998</v>
      </c>
      <c r="I556" s="150" t="s">
        <v>1816</v>
      </c>
      <c r="J556" s="36">
        <v>43490</v>
      </c>
      <c r="K556" s="29" t="s">
        <v>1813</v>
      </c>
      <c r="L556" s="405">
        <v>8.7043999999999997</v>
      </c>
    </row>
    <row r="557" spans="1:12" s="19" customFormat="1" ht="18.75" hidden="1" customHeight="1" x14ac:dyDescent="0.4">
      <c r="A557" s="485">
        <v>46255</v>
      </c>
      <c r="B557" s="8" t="s">
        <v>987</v>
      </c>
      <c r="C557" s="6" t="s">
        <v>150</v>
      </c>
      <c r="D557" s="69" t="s">
        <v>258</v>
      </c>
      <c r="E557" s="8"/>
      <c r="F557" s="8">
        <v>8</v>
      </c>
      <c r="G557" s="525">
        <f t="shared" si="11"/>
        <v>1123912.128</v>
      </c>
      <c r="H557" s="525">
        <f t="shared" si="12"/>
        <v>8991297.0240000002</v>
      </c>
      <c r="I557" s="150" t="s">
        <v>1593</v>
      </c>
      <c r="J557" s="36">
        <v>129120</v>
      </c>
      <c r="K557" s="29" t="s">
        <v>1813</v>
      </c>
      <c r="L557" s="405">
        <v>8.7043999999999997</v>
      </c>
    </row>
    <row r="558" spans="1:12" s="19" customFormat="1" ht="18.75" hidden="1" customHeight="1" x14ac:dyDescent="0.4">
      <c r="A558" s="485">
        <v>46255</v>
      </c>
      <c r="B558" s="8" t="s">
        <v>987</v>
      </c>
      <c r="C558" s="6" t="s">
        <v>152</v>
      </c>
      <c r="D558" s="69" t="s">
        <v>159</v>
      </c>
      <c r="E558" s="8"/>
      <c r="F558" s="8">
        <v>4</v>
      </c>
      <c r="G558" s="525">
        <f t="shared" si="11"/>
        <v>892375.08799999999</v>
      </c>
      <c r="H558" s="525">
        <f t="shared" si="12"/>
        <v>3569500.352</v>
      </c>
      <c r="I558" s="150" t="s">
        <v>1594</v>
      </c>
      <c r="J558" s="36">
        <v>102520</v>
      </c>
      <c r="K558" s="29" t="s">
        <v>1813</v>
      </c>
      <c r="L558" s="405">
        <v>8.7043999999999997</v>
      </c>
    </row>
    <row r="559" spans="1:12" s="19" customFormat="1" ht="18.75" hidden="1" customHeight="1" x14ac:dyDescent="0.4">
      <c r="A559" s="485">
        <v>46255</v>
      </c>
      <c r="B559" s="8" t="s">
        <v>987</v>
      </c>
      <c r="C559" s="6" t="s">
        <v>152</v>
      </c>
      <c r="D559" s="69" t="s">
        <v>159</v>
      </c>
      <c r="E559" s="8"/>
      <c r="F559" s="8">
        <v>4</v>
      </c>
      <c r="G559" s="525">
        <f t="shared" si="11"/>
        <v>892375.08799999999</v>
      </c>
      <c r="H559" s="525">
        <f t="shared" si="12"/>
        <v>3569500.352</v>
      </c>
      <c r="I559" s="150" t="s">
        <v>1482</v>
      </c>
      <c r="J559" s="36">
        <v>102520</v>
      </c>
      <c r="K559" s="29" t="s">
        <v>1813</v>
      </c>
      <c r="L559" s="405">
        <v>8.7043999999999997</v>
      </c>
    </row>
    <row r="560" spans="1:12" s="19" customFormat="1" ht="18.75" hidden="1" customHeight="1" x14ac:dyDescent="0.4">
      <c r="A560" s="485">
        <v>46255</v>
      </c>
      <c r="B560" s="8" t="s">
        <v>987</v>
      </c>
      <c r="C560" s="6" t="s">
        <v>158</v>
      </c>
      <c r="D560" s="69" t="s">
        <v>339</v>
      </c>
      <c r="E560" s="8"/>
      <c r="F560" s="8">
        <v>8</v>
      </c>
      <c r="G560" s="525">
        <f t="shared" si="11"/>
        <v>3387752.48</v>
      </c>
      <c r="H560" s="525">
        <f t="shared" si="12"/>
        <v>27102019.84</v>
      </c>
      <c r="I560" s="150" t="s">
        <v>1817</v>
      </c>
      <c r="J560" s="36">
        <v>389200</v>
      </c>
      <c r="K560" s="29" t="s">
        <v>1813</v>
      </c>
      <c r="L560" s="405">
        <v>8.7043999999999997</v>
      </c>
    </row>
    <row r="561" spans="1:12" s="19" customFormat="1" ht="18.75" hidden="1" customHeight="1" x14ac:dyDescent="0.4">
      <c r="A561" s="485">
        <v>46255</v>
      </c>
      <c r="B561" s="8" t="s">
        <v>987</v>
      </c>
      <c r="C561" s="6" t="s">
        <v>157</v>
      </c>
      <c r="D561" s="69" t="s">
        <v>259</v>
      </c>
      <c r="E561" s="8"/>
      <c r="F561" s="8">
        <v>8</v>
      </c>
      <c r="G561" s="525">
        <f t="shared" si="11"/>
        <v>3284866.4720000001</v>
      </c>
      <c r="H561" s="525">
        <f t="shared" si="12"/>
        <v>26278931.776000001</v>
      </c>
      <c r="I561" s="150" t="s">
        <v>1817</v>
      </c>
      <c r="J561" s="36">
        <v>377380</v>
      </c>
      <c r="K561" s="29" t="s">
        <v>1813</v>
      </c>
      <c r="L561" s="405">
        <v>8.7043999999999997</v>
      </c>
    </row>
    <row r="562" spans="1:12" s="19" customFormat="1" ht="18.75" hidden="1" customHeight="1" x14ac:dyDescent="0.4">
      <c r="A562" s="485">
        <v>46255</v>
      </c>
      <c r="B562" s="8" t="s">
        <v>987</v>
      </c>
      <c r="C562" s="6" t="s">
        <v>156</v>
      </c>
      <c r="D562" s="69" t="s">
        <v>262</v>
      </c>
      <c r="E562" s="8"/>
      <c r="F562" s="8">
        <v>1</v>
      </c>
      <c r="G562" s="525">
        <f t="shared" si="11"/>
        <v>2003839.9239999999</v>
      </c>
      <c r="H562" s="525">
        <f t="shared" si="12"/>
        <v>2003839.9239999999</v>
      </c>
      <c r="I562" s="150" t="s">
        <v>1818</v>
      </c>
      <c r="J562" s="36">
        <v>230210</v>
      </c>
      <c r="K562" s="29" t="s">
        <v>1813</v>
      </c>
      <c r="L562" s="405">
        <v>8.7043999999999997</v>
      </c>
    </row>
    <row r="563" spans="1:12" s="19" customFormat="1" ht="18.75" hidden="1" customHeight="1" x14ac:dyDescent="0.4">
      <c r="A563" s="485">
        <v>46255</v>
      </c>
      <c r="B563" s="8" t="s">
        <v>987</v>
      </c>
      <c r="C563" s="6" t="s">
        <v>152</v>
      </c>
      <c r="D563" s="69" t="s">
        <v>159</v>
      </c>
      <c r="E563" s="8"/>
      <c r="F563" s="8">
        <v>4</v>
      </c>
      <c r="G563" s="525">
        <f t="shared" si="11"/>
        <v>892375.08799999999</v>
      </c>
      <c r="H563" s="525">
        <f t="shared" si="12"/>
        <v>3569500.352</v>
      </c>
      <c r="I563" s="150" t="s">
        <v>1818</v>
      </c>
      <c r="J563" s="36">
        <v>102520</v>
      </c>
      <c r="K563" s="29" t="s">
        <v>1813</v>
      </c>
      <c r="L563" s="405">
        <v>8.7043999999999997</v>
      </c>
    </row>
    <row r="564" spans="1:12" s="19" customFormat="1" ht="18.75" hidden="1" customHeight="1" x14ac:dyDescent="0.4">
      <c r="A564" s="485">
        <v>46255</v>
      </c>
      <c r="B564" s="8" t="s">
        <v>987</v>
      </c>
      <c r="C564" s="6" t="s">
        <v>157</v>
      </c>
      <c r="D564" s="69" t="s">
        <v>338</v>
      </c>
      <c r="E564" s="8"/>
      <c r="F564" s="8">
        <v>4</v>
      </c>
      <c r="G564" s="525">
        <f t="shared" si="11"/>
        <v>308396.89199999999</v>
      </c>
      <c r="H564" s="525">
        <f t="shared" si="12"/>
        <v>1233587.568</v>
      </c>
      <c r="I564" s="150" t="s">
        <v>1819</v>
      </c>
      <c r="J564" s="36">
        <v>35430</v>
      </c>
      <c r="K564" s="29" t="s">
        <v>1813</v>
      </c>
      <c r="L564" s="405">
        <v>8.7043999999999997</v>
      </c>
    </row>
    <row r="565" spans="1:12" s="19" customFormat="1" ht="18.75" hidden="1" customHeight="1" x14ac:dyDescent="0.4">
      <c r="A565" s="485">
        <v>46262</v>
      </c>
      <c r="B565" s="8" t="s">
        <v>987</v>
      </c>
      <c r="C565" s="6" t="s">
        <v>154</v>
      </c>
      <c r="D565" s="69" t="s">
        <v>267</v>
      </c>
      <c r="E565" s="8"/>
      <c r="F565" s="8">
        <v>3</v>
      </c>
      <c r="G565" s="525">
        <f t="shared" si="11"/>
        <v>3692626.8980000005</v>
      </c>
      <c r="H565" s="525">
        <f t="shared" si="12"/>
        <v>11077880.694000002</v>
      </c>
      <c r="I565" s="29" t="s">
        <v>1474</v>
      </c>
      <c r="J565" s="36">
        <v>429740</v>
      </c>
      <c r="K565" s="29" t="s">
        <v>1820</v>
      </c>
      <c r="L565" s="405">
        <v>8.5927000000000007</v>
      </c>
    </row>
    <row r="566" spans="1:12" s="19" customFormat="1" ht="18.75" hidden="1" customHeight="1" x14ac:dyDescent="0.4">
      <c r="A566" s="485">
        <v>46262</v>
      </c>
      <c r="B566" s="8" t="s">
        <v>987</v>
      </c>
      <c r="C566" s="6" t="s">
        <v>155</v>
      </c>
      <c r="D566" s="69" t="s">
        <v>253</v>
      </c>
      <c r="E566" s="8"/>
      <c r="F566" s="8">
        <v>8</v>
      </c>
      <c r="G566" s="525">
        <f t="shared" si="11"/>
        <v>3365416.8820000002</v>
      </c>
      <c r="H566" s="525">
        <f t="shared" si="12"/>
        <v>26923335.056000002</v>
      </c>
      <c r="I566" s="29" t="s">
        <v>1811</v>
      </c>
      <c r="J566" s="36">
        <v>391660</v>
      </c>
      <c r="K566" s="29" t="s">
        <v>1820</v>
      </c>
      <c r="L566" s="405">
        <v>8.5927000000000007</v>
      </c>
    </row>
    <row r="567" spans="1:12" s="19" customFormat="1" ht="18.75" hidden="1" customHeight="1" x14ac:dyDescent="0.4">
      <c r="A567" s="485">
        <v>46262</v>
      </c>
      <c r="B567" s="8" t="s">
        <v>987</v>
      </c>
      <c r="C567" s="6" t="s">
        <v>155</v>
      </c>
      <c r="D567" s="69" t="s">
        <v>254</v>
      </c>
      <c r="E567" s="8"/>
      <c r="F567" s="8">
        <v>1</v>
      </c>
      <c r="G567" s="525">
        <f t="shared" si="11"/>
        <v>4146665.1660000002</v>
      </c>
      <c r="H567" s="525">
        <f t="shared" si="12"/>
        <v>4146665.1660000002</v>
      </c>
      <c r="I567" s="29" t="s">
        <v>1711</v>
      </c>
      <c r="J567" s="36">
        <v>482580</v>
      </c>
      <c r="K567" s="29" t="s">
        <v>1820</v>
      </c>
      <c r="L567" s="405">
        <v>8.5927000000000007</v>
      </c>
    </row>
    <row r="568" spans="1:12" s="19" customFormat="1" ht="18.75" hidden="1" customHeight="1" x14ac:dyDescent="0.4">
      <c r="A568" s="485">
        <v>46262</v>
      </c>
      <c r="B568" s="8" t="s">
        <v>987</v>
      </c>
      <c r="C568" s="6" t="s">
        <v>157</v>
      </c>
      <c r="D568" s="69" t="s">
        <v>259</v>
      </c>
      <c r="E568" s="8"/>
      <c r="F568" s="8">
        <v>2</v>
      </c>
      <c r="G568" s="525">
        <f t="shared" si="11"/>
        <v>3587194.4690000005</v>
      </c>
      <c r="H568" s="525">
        <f t="shared" si="12"/>
        <v>7174388.938000001</v>
      </c>
      <c r="I568" s="29" t="s">
        <v>1702</v>
      </c>
      <c r="J568" s="36">
        <v>417470</v>
      </c>
      <c r="K568" s="29" t="s">
        <v>1820</v>
      </c>
      <c r="L568" s="405">
        <v>8.5927000000000007</v>
      </c>
    </row>
    <row r="569" spans="1:12" s="19" customFormat="1" ht="18.75" hidden="1" customHeight="1" x14ac:dyDescent="0.4">
      <c r="A569" s="485">
        <v>46262</v>
      </c>
      <c r="B569" s="8" t="s">
        <v>987</v>
      </c>
      <c r="C569" s="6" t="s">
        <v>157</v>
      </c>
      <c r="D569" s="69" t="s">
        <v>270</v>
      </c>
      <c r="E569" s="8"/>
      <c r="F569" s="8">
        <v>10</v>
      </c>
      <c r="G569" s="525">
        <f t="shared" si="11"/>
        <v>3587194.4690000005</v>
      </c>
      <c r="H569" s="525">
        <f t="shared" si="12"/>
        <v>35871944.690000005</v>
      </c>
      <c r="I569" s="29" t="s">
        <v>1711</v>
      </c>
      <c r="J569" s="36">
        <v>417470</v>
      </c>
      <c r="K569" s="29" t="s">
        <v>1820</v>
      </c>
      <c r="L569" s="405">
        <v>8.5927000000000007</v>
      </c>
    </row>
    <row r="570" spans="1:12" s="19" customFormat="1" ht="18.75" hidden="1" customHeight="1" x14ac:dyDescent="0.4">
      <c r="A570" s="485">
        <v>46262</v>
      </c>
      <c r="B570" s="8" t="s">
        <v>987</v>
      </c>
      <c r="C570" s="6" t="s">
        <v>153</v>
      </c>
      <c r="D570" s="69" t="s">
        <v>392</v>
      </c>
      <c r="E570" s="8"/>
      <c r="F570" s="8">
        <v>8</v>
      </c>
      <c r="G570" s="525">
        <f t="shared" si="11"/>
        <v>2617422.3470000001</v>
      </c>
      <c r="H570" s="525">
        <f t="shared" si="12"/>
        <v>20939378.776000001</v>
      </c>
      <c r="I570" s="29" t="s">
        <v>1811</v>
      </c>
      <c r="J570" s="36">
        <v>304610</v>
      </c>
      <c r="K570" s="29" t="s">
        <v>1820</v>
      </c>
      <c r="L570" s="405">
        <v>8.5927000000000007</v>
      </c>
    </row>
    <row r="571" spans="1:12" s="19" customFormat="1" ht="18.75" hidden="1" customHeight="1" x14ac:dyDescent="0.4">
      <c r="A571" s="485">
        <v>46262</v>
      </c>
      <c r="B571" s="8" t="s">
        <v>987</v>
      </c>
      <c r="C571" s="6" t="s">
        <v>154</v>
      </c>
      <c r="D571" s="69" t="s">
        <v>652</v>
      </c>
      <c r="E571" s="8"/>
      <c r="F571" s="8">
        <v>1</v>
      </c>
      <c r="G571" s="525">
        <f t="shared" si="11"/>
        <v>1380503.182</v>
      </c>
      <c r="H571" s="525">
        <f t="shared" si="12"/>
        <v>1380503.182</v>
      </c>
      <c r="I571" s="29" t="s">
        <v>1814</v>
      </c>
      <c r="J571" s="36">
        <v>160660</v>
      </c>
      <c r="K571" s="29" t="s">
        <v>1820</v>
      </c>
      <c r="L571" s="405">
        <v>8.5927000000000007</v>
      </c>
    </row>
    <row r="572" spans="1:12" s="19" customFormat="1" ht="18.75" hidden="1" customHeight="1" x14ac:dyDescent="0.4">
      <c r="A572" s="485">
        <v>46262</v>
      </c>
      <c r="B572" s="8" t="s">
        <v>987</v>
      </c>
      <c r="C572" s="6" t="s">
        <v>154</v>
      </c>
      <c r="D572" s="69" t="s">
        <v>653</v>
      </c>
      <c r="E572" s="8"/>
      <c r="F572" s="8">
        <v>1</v>
      </c>
      <c r="G572" s="525">
        <f t="shared" si="11"/>
        <v>1380503.182</v>
      </c>
      <c r="H572" s="525">
        <f t="shared" si="12"/>
        <v>1380503.182</v>
      </c>
      <c r="I572" s="29" t="s">
        <v>1351</v>
      </c>
      <c r="J572" s="36">
        <v>160660</v>
      </c>
      <c r="K572" s="29" t="s">
        <v>1820</v>
      </c>
      <c r="L572" s="405">
        <v>8.5927000000000007</v>
      </c>
    </row>
    <row r="573" spans="1:12" s="19" customFormat="1" ht="18.75" hidden="1" customHeight="1" x14ac:dyDescent="0.4">
      <c r="A573" s="485">
        <v>46262</v>
      </c>
      <c r="B573" s="8" t="s">
        <v>987</v>
      </c>
      <c r="C573" s="6" t="s">
        <v>154</v>
      </c>
      <c r="D573" s="69" t="s">
        <v>653</v>
      </c>
      <c r="E573" s="8"/>
      <c r="F573" s="8">
        <v>1</v>
      </c>
      <c r="G573" s="525">
        <f t="shared" si="11"/>
        <v>1412038.3910000001</v>
      </c>
      <c r="H573" s="525">
        <f t="shared" si="12"/>
        <v>1412038.3910000001</v>
      </c>
      <c r="I573" s="29" t="s">
        <v>1594</v>
      </c>
      <c r="J573" s="36">
        <v>164330</v>
      </c>
      <c r="K573" s="29" t="s">
        <v>1820</v>
      </c>
      <c r="L573" s="405">
        <v>8.5927000000000007</v>
      </c>
    </row>
    <row r="574" spans="1:12" s="19" customFormat="1" ht="18.75" hidden="1" customHeight="1" x14ac:dyDescent="0.4">
      <c r="A574" s="485">
        <v>46262</v>
      </c>
      <c r="B574" s="8" t="s">
        <v>987</v>
      </c>
      <c r="C574" s="6" t="s">
        <v>154</v>
      </c>
      <c r="D574" s="69" t="s">
        <v>653</v>
      </c>
      <c r="E574" s="8"/>
      <c r="F574" s="8">
        <v>1</v>
      </c>
      <c r="G574" s="525">
        <f t="shared" si="11"/>
        <v>1412038.3910000001</v>
      </c>
      <c r="H574" s="525">
        <f t="shared" si="12"/>
        <v>1412038.3910000001</v>
      </c>
      <c r="I574" s="29" t="s">
        <v>1818</v>
      </c>
      <c r="J574" s="36">
        <v>164330</v>
      </c>
      <c r="K574" s="29" t="s">
        <v>1820</v>
      </c>
      <c r="L574" s="405">
        <v>8.5927000000000007</v>
      </c>
    </row>
    <row r="575" spans="1:12" s="19" customFormat="1" ht="18.75" hidden="1" customHeight="1" x14ac:dyDescent="0.4">
      <c r="A575" s="485">
        <v>46262</v>
      </c>
      <c r="B575" s="8" t="s">
        <v>987</v>
      </c>
      <c r="C575" s="6" t="s">
        <v>152</v>
      </c>
      <c r="D575" s="69" t="s">
        <v>263</v>
      </c>
      <c r="E575" s="8"/>
      <c r="F575" s="8">
        <v>4</v>
      </c>
      <c r="G575" s="525">
        <f t="shared" si="11"/>
        <v>880923.60400000005</v>
      </c>
      <c r="H575" s="525">
        <f t="shared" si="12"/>
        <v>3523694.4160000002</v>
      </c>
      <c r="I575" s="29" t="s">
        <v>1608</v>
      </c>
      <c r="J575" s="36">
        <v>102520</v>
      </c>
      <c r="K575" s="29" t="s">
        <v>1820</v>
      </c>
      <c r="L575" s="405">
        <v>8.5927000000000007</v>
      </c>
    </row>
    <row r="576" spans="1:12" s="19" customFormat="1" ht="18.75" hidden="1" customHeight="1" x14ac:dyDescent="0.4">
      <c r="A576" s="485">
        <v>46262</v>
      </c>
      <c r="B576" s="8" t="s">
        <v>987</v>
      </c>
      <c r="C576" s="6" t="s">
        <v>152</v>
      </c>
      <c r="D576" s="69" t="s">
        <v>159</v>
      </c>
      <c r="E576" s="8"/>
      <c r="F576" s="8">
        <v>4</v>
      </c>
      <c r="G576" s="525">
        <f t="shared" ref="G576:G617" si="13">J576*L576</f>
        <v>880923.60400000005</v>
      </c>
      <c r="H576" s="525">
        <f t="shared" ref="H576:H605" si="14">F576*G576</f>
        <v>3523694.4160000002</v>
      </c>
      <c r="I576" s="29" t="s">
        <v>1826</v>
      </c>
      <c r="J576" s="36">
        <v>102520</v>
      </c>
      <c r="K576" s="29" t="s">
        <v>1820</v>
      </c>
      <c r="L576" s="405">
        <v>8.5927000000000007</v>
      </c>
    </row>
    <row r="577" spans="1:12" s="19" customFormat="1" ht="18.75" hidden="1" customHeight="1" x14ac:dyDescent="0.4">
      <c r="A577" s="485">
        <v>46262</v>
      </c>
      <c r="B577" s="8" t="s">
        <v>987</v>
      </c>
      <c r="C577" s="6" t="s">
        <v>152</v>
      </c>
      <c r="D577" s="69" t="s">
        <v>263</v>
      </c>
      <c r="E577" s="8"/>
      <c r="F577" s="8">
        <v>5</v>
      </c>
      <c r="G577" s="525">
        <f t="shared" si="13"/>
        <v>880923.60400000005</v>
      </c>
      <c r="H577" s="525">
        <f t="shared" si="14"/>
        <v>4404618.0200000005</v>
      </c>
      <c r="I577" s="29" t="s">
        <v>1827</v>
      </c>
      <c r="J577" s="36">
        <v>102520</v>
      </c>
      <c r="K577" s="29" t="s">
        <v>1820</v>
      </c>
      <c r="L577" s="405">
        <v>8.5927000000000007</v>
      </c>
    </row>
    <row r="578" spans="1:12" s="19" customFormat="1" ht="18.75" hidden="1" customHeight="1" x14ac:dyDescent="0.4">
      <c r="A578" s="485">
        <v>46262</v>
      </c>
      <c r="B578" s="8" t="s">
        <v>987</v>
      </c>
      <c r="C578" s="6" t="s">
        <v>152</v>
      </c>
      <c r="D578" s="69" t="s">
        <v>159</v>
      </c>
      <c r="E578" s="8"/>
      <c r="F578" s="8">
        <v>4</v>
      </c>
      <c r="G578" s="525">
        <f t="shared" si="13"/>
        <v>880923.60400000005</v>
      </c>
      <c r="H578" s="525">
        <f t="shared" si="14"/>
        <v>3523694.4160000002</v>
      </c>
      <c r="I578" s="29" t="s">
        <v>1828</v>
      </c>
      <c r="J578" s="36">
        <v>102520</v>
      </c>
      <c r="K578" s="29" t="s">
        <v>1820</v>
      </c>
      <c r="L578" s="405">
        <v>8.5927000000000007</v>
      </c>
    </row>
    <row r="579" spans="1:12" s="19" customFormat="1" ht="18.75" hidden="1" customHeight="1" x14ac:dyDescent="0.4">
      <c r="A579" s="485">
        <v>46262</v>
      </c>
      <c r="B579" s="8" t="s">
        <v>987</v>
      </c>
      <c r="C579" s="6" t="s">
        <v>156</v>
      </c>
      <c r="D579" s="69" t="s">
        <v>271</v>
      </c>
      <c r="E579" s="8"/>
      <c r="F579" s="8">
        <v>4</v>
      </c>
      <c r="G579" s="525">
        <f t="shared" si="13"/>
        <v>1002080.6740000001</v>
      </c>
      <c r="H579" s="525">
        <f t="shared" si="14"/>
        <v>4008322.6960000005</v>
      </c>
      <c r="I579" s="29" t="s">
        <v>1815</v>
      </c>
      <c r="J579" s="36">
        <v>116620</v>
      </c>
      <c r="K579" s="29" t="s">
        <v>1820</v>
      </c>
      <c r="L579" s="405">
        <v>8.5927000000000007</v>
      </c>
    </row>
    <row r="580" spans="1:12" s="19" customFormat="1" ht="18.75" hidden="1" customHeight="1" x14ac:dyDescent="0.4">
      <c r="A580" s="485">
        <v>46262</v>
      </c>
      <c r="B580" s="8" t="s">
        <v>987</v>
      </c>
      <c r="C580" s="6" t="s">
        <v>156</v>
      </c>
      <c r="D580" s="69" t="s">
        <v>272</v>
      </c>
      <c r="E580" s="8"/>
      <c r="F580" s="8">
        <v>4</v>
      </c>
      <c r="G580" s="525">
        <f t="shared" si="13"/>
        <v>1025796.5260000001</v>
      </c>
      <c r="H580" s="525">
        <f t="shared" si="14"/>
        <v>4103186.1040000003</v>
      </c>
      <c r="I580" s="29" t="s">
        <v>1598</v>
      </c>
      <c r="J580" s="36">
        <v>119380</v>
      </c>
      <c r="K580" s="29" t="s">
        <v>1820</v>
      </c>
      <c r="L580" s="405">
        <v>8.5927000000000007</v>
      </c>
    </row>
    <row r="581" spans="1:12" s="19" customFormat="1" ht="18.75" hidden="1" customHeight="1" x14ac:dyDescent="0.4">
      <c r="A581" s="485">
        <v>46262</v>
      </c>
      <c r="B581" s="8" t="s">
        <v>987</v>
      </c>
      <c r="C581" s="6" t="s">
        <v>156</v>
      </c>
      <c r="D581" s="69" t="s">
        <v>272</v>
      </c>
      <c r="E581" s="8"/>
      <c r="F581" s="8">
        <v>4</v>
      </c>
      <c r="G581" s="525">
        <f t="shared" si="13"/>
        <v>1025796.5260000001</v>
      </c>
      <c r="H581" s="525">
        <f t="shared" si="14"/>
        <v>4103186.1040000003</v>
      </c>
      <c r="I581" s="29" t="s">
        <v>1819</v>
      </c>
      <c r="J581" s="36">
        <v>119380</v>
      </c>
      <c r="K581" s="29" t="s">
        <v>1820</v>
      </c>
      <c r="L581" s="405">
        <v>8.5927000000000007</v>
      </c>
    </row>
    <row r="582" spans="1:12" s="19" customFormat="1" ht="18.75" hidden="1" customHeight="1" x14ac:dyDescent="0.4">
      <c r="A582" s="485">
        <v>46262</v>
      </c>
      <c r="B582" s="8" t="s">
        <v>987</v>
      </c>
      <c r="C582" s="6" t="s">
        <v>150</v>
      </c>
      <c r="D582" s="69" t="s">
        <v>334</v>
      </c>
      <c r="E582" s="8"/>
      <c r="F582" s="8">
        <v>4</v>
      </c>
      <c r="G582" s="525">
        <f t="shared" si="13"/>
        <v>288886.57400000002</v>
      </c>
      <c r="H582" s="525">
        <f t="shared" si="14"/>
        <v>1155546.2960000001</v>
      </c>
      <c r="I582" s="29" t="s">
        <v>1819</v>
      </c>
      <c r="J582" s="36">
        <v>33620</v>
      </c>
      <c r="K582" s="29" t="s">
        <v>1820</v>
      </c>
      <c r="L582" s="405">
        <v>8.5927000000000007</v>
      </c>
    </row>
    <row r="583" spans="1:12" s="19" customFormat="1" ht="18.75" hidden="1" customHeight="1" x14ac:dyDescent="0.4">
      <c r="A583" s="485">
        <v>46262</v>
      </c>
      <c r="B583" s="8" t="s">
        <v>987</v>
      </c>
      <c r="C583" s="6" t="s">
        <v>161</v>
      </c>
      <c r="D583" s="69" t="s">
        <v>1005</v>
      </c>
      <c r="E583" s="8"/>
      <c r="F583" s="8">
        <v>4</v>
      </c>
      <c r="G583" s="525">
        <f t="shared" si="13"/>
        <v>234494.78300000002</v>
      </c>
      <c r="H583" s="525">
        <f t="shared" si="14"/>
        <v>937979.1320000001</v>
      </c>
      <c r="I583" s="29" t="s">
        <v>1815</v>
      </c>
      <c r="J583" s="36">
        <v>27290</v>
      </c>
      <c r="K583" s="29" t="s">
        <v>1820</v>
      </c>
      <c r="L583" s="405">
        <v>8.5927000000000007</v>
      </c>
    </row>
    <row r="584" spans="1:12" s="19" customFormat="1" ht="18.75" hidden="1" customHeight="1" x14ac:dyDescent="0.4">
      <c r="A584" s="485">
        <v>46262</v>
      </c>
      <c r="B584" s="8" t="s">
        <v>987</v>
      </c>
      <c r="C584" s="6" t="s">
        <v>161</v>
      </c>
      <c r="D584" s="69" t="s">
        <v>1208</v>
      </c>
      <c r="E584" s="8"/>
      <c r="F584" s="8">
        <v>4</v>
      </c>
      <c r="G584" s="525">
        <f t="shared" si="13"/>
        <v>234494.78300000002</v>
      </c>
      <c r="H584" s="525">
        <f t="shared" si="14"/>
        <v>937979.1320000001</v>
      </c>
      <c r="I584" s="29" t="s">
        <v>1342</v>
      </c>
      <c r="J584" s="36">
        <v>27290</v>
      </c>
      <c r="K584" s="29" t="s">
        <v>1820</v>
      </c>
      <c r="L584" s="405">
        <v>8.5927000000000007</v>
      </c>
    </row>
    <row r="585" spans="1:12" s="19" customFormat="1" ht="18.75" hidden="1" customHeight="1" x14ac:dyDescent="0.4">
      <c r="A585" s="485">
        <v>46262</v>
      </c>
      <c r="B585" s="8" t="s">
        <v>987</v>
      </c>
      <c r="C585" s="6" t="s">
        <v>161</v>
      </c>
      <c r="D585" s="69" t="s">
        <v>1208</v>
      </c>
      <c r="E585" s="8"/>
      <c r="F585" s="8">
        <v>4</v>
      </c>
      <c r="G585" s="525">
        <f t="shared" si="13"/>
        <v>238962.98700000002</v>
      </c>
      <c r="H585" s="525">
        <f t="shared" si="14"/>
        <v>955851.94800000009</v>
      </c>
      <c r="I585" s="29" t="s">
        <v>1819</v>
      </c>
      <c r="J585" s="36">
        <v>27810</v>
      </c>
      <c r="K585" s="29" t="s">
        <v>1820</v>
      </c>
      <c r="L585" s="405">
        <v>8.5927000000000007</v>
      </c>
    </row>
    <row r="586" spans="1:12" s="19" customFormat="1" ht="18.75" hidden="1" customHeight="1" x14ac:dyDescent="0.4">
      <c r="A586" s="485">
        <v>46262</v>
      </c>
      <c r="B586" s="8" t="s">
        <v>987</v>
      </c>
      <c r="C586" s="6" t="s">
        <v>157</v>
      </c>
      <c r="D586" s="69" t="s">
        <v>273</v>
      </c>
      <c r="E586" s="8"/>
      <c r="F586" s="8">
        <v>4</v>
      </c>
      <c r="G586" s="525">
        <f t="shared" si="13"/>
        <v>336576.05900000001</v>
      </c>
      <c r="H586" s="525">
        <f t="shared" si="14"/>
        <v>1346304.236</v>
      </c>
      <c r="I586" s="29" t="s">
        <v>1825</v>
      </c>
      <c r="J586" s="36">
        <v>39170</v>
      </c>
      <c r="K586" s="29" t="s">
        <v>1820</v>
      </c>
      <c r="L586" s="405">
        <v>8.5927000000000007</v>
      </c>
    </row>
    <row r="587" spans="1:12" s="19" customFormat="1" ht="18.75" hidden="1" customHeight="1" x14ac:dyDescent="0.4">
      <c r="A587" s="485">
        <v>46262</v>
      </c>
      <c r="B587" s="8" t="s">
        <v>987</v>
      </c>
      <c r="C587" s="6" t="s">
        <v>153</v>
      </c>
      <c r="D587" s="69" t="s">
        <v>269</v>
      </c>
      <c r="E587" s="8"/>
      <c r="F587" s="8">
        <v>8</v>
      </c>
      <c r="G587" s="525">
        <f t="shared" si="13"/>
        <v>1844938.6170000001</v>
      </c>
      <c r="H587" s="525">
        <f t="shared" si="14"/>
        <v>14759508.936000001</v>
      </c>
      <c r="I587" s="29" t="s">
        <v>1817</v>
      </c>
      <c r="J587" s="36">
        <v>214710</v>
      </c>
      <c r="K587" s="29" t="s">
        <v>1820</v>
      </c>
      <c r="L587" s="405">
        <v>8.5927000000000007</v>
      </c>
    </row>
    <row r="588" spans="1:12" s="19" customFormat="1" ht="18.75" hidden="1" customHeight="1" x14ac:dyDescent="0.4">
      <c r="A588" s="485">
        <v>46262</v>
      </c>
      <c r="B588" s="8" t="s">
        <v>987</v>
      </c>
      <c r="C588" s="6" t="s">
        <v>154</v>
      </c>
      <c r="D588" s="69" t="s">
        <v>266</v>
      </c>
      <c r="E588" s="8"/>
      <c r="F588" s="8">
        <v>1</v>
      </c>
      <c r="G588" s="525">
        <f t="shared" si="13"/>
        <v>3603005.0370000005</v>
      </c>
      <c r="H588" s="525">
        <f t="shared" si="14"/>
        <v>3603005.0370000005</v>
      </c>
      <c r="I588" s="29" t="s">
        <v>1333</v>
      </c>
      <c r="J588" s="36">
        <v>419310</v>
      </c>
      <c r="K588" s="29" t="s">
        <v>1820</v>
      </c>
      <c r="L588" s="405">
        <v>8.5927000000000007</v>
      </c>
    </row>
    <row r="589" spans="1:12" s="19" customFormat="1" ht="18.75" hidden="1" customHeight="1" x14ac:dyDescent="0.4">
      <c r="A589" s="485">
        <v>46262</v>
      </c>
      <c r="B589" s="8" t="s">
        <v>987</v>
      </c>
      <c r="C589" s="6" t="s">
        <v>154</v>
      </c>
      <c r="D589" s="69" t="s">
        <v>336</v>
      </c>
      <c r="E589" s="8"/>
      <c r="F589" s="8">
        <v>4</v>
      </c>
      <c r="G589" s="525">
        <f t="shared" si="13"/>
        <v>3710757.4950000001</v>
      </c>
      <c r="H589" s="525">
        <f t="shared" si="14"/>
        <v>14843029.98</v>
      </c>
      <c r="I589" s="29" t="s">
        <v>1593</v>
      </c>
      <c r="J589" s="36">
        <v>431850</v>
      </c>
      <c r="K589" s="29" t="s">
        <v>1820</v>
      </c>
      <c r="L589" s="405">
        <v>8.5927000000000007</v>
      </c>
    </row>
    <row r="590" spans="1:12" s="19" customFormat="1" ht="18.75" hidden="1" customHeight="1" x14ac:dyDescent="0.4">
      <c r="A590" s="485">
        <v>46262</v>
      </c>
      <c r="B590" s="8" t="s">
        <v>987</v>
      </c>
      <c r="C590" s="6" t="s">
        <v>150</v>
      </c>
      <c r="D590" s="69" t="s">
        <v>335</v>
      </c>
      <c r="E590" s="8"/>
      <c r="F590" s="8">
        <v>2</v>
      </c>
      <c r="G590" s="525">
        <f t="shared" si="13"/>
        <v>22607.393700000001</v>
      </c>
      <c r="H590" s="525">
        <f t="shared" si="14"/>
        <v>45214.787400000001</v>
      </c>
      <c r="I590" s="29" t="s">
        <v>1713</v>
      </c>
      <c r="J590" s="36">
        <v>2631</v>
      </c>
      <c r="K590" s="29" t="s">
        <v>1820</v>
      </c>
      <c r="L590" s="405">
        <v>8.5927000000000007</v>
      </c>
    </row>
    <row r="591" spans="1:12" s="19" customFormat="1" ht="18.75" hidden="1" customHeight="1" x14ac:dyDescent="0.4">
      <c r="A591" s="485">
        <v>46262</v>
      </c>
      <c r="B591" s="8" t="s">
        <v>987</v>
      </c>
      <c r="C591" s="6" t="s">
        <v>150</v>
      </c>
      <c r="D591" s="69" t="s">
        <v>335</v>
      </c>
      <c r="E591" s="8"/>
      <c r="F591" s="8">
        <v>1</v>
      </c>
      <c r="G591" s="525">
        <f t="shared" si="13"/>
        <v>22607.393700000001</v>
      </c>
      <c r="H591" s="525">
        <f t="shared" si="14"/>
        <v>22607.393700000001</v>
      </c>
      <c r="I591" s="29" t="s">
        <v>1821</v>
      </c>
      <c r="J591" s="36">
        <v>2631</v>
      </c>
      <c r="K591" s="29" t="s">
        <v>1820</v>
      </c>
      <c r="L591" s="405">
        <v>8.5927000000000007</v>
      </c>
    </row>
    <row r="592" spans="1:12" s="19" customFormat="1" ht="18.75" hidden="1" customHeight="1" x14ac:dyDescent="0.4">
      <c r="A592" s="485">
        <v>46262</v>
      </c>
      <c r="B592" s="8" t="s">
        <v>987</v>
      </c>
      <c r="C592" s="6" t="s">
        <v>150</v>
      </c>
      <c r="D592" s="69" t="s">
        <v>335</v>
      </c>
      <c r="E592" s="8"/>
      <c r="F592" s="8">
        <v>1</v>
      </c>
      <c r="G592" s="525">
        <f t="shared" si="13"/>
        <v>27854.268174000001</v>
      </c>
      <c r="H592" s="525">
        <f t="shared" si="14"/>
        <v>27854.268174000001</v>
      </c>
      <c r="I592" s="29" t="s">
        <v>1822</v>
      </c>
      <c r="J592" s="36">
        <v>3241.62</v>
      </c>
      <c r="K592" s="29" t="s">
        <v>1820</v>
      </c>
      <c r="L592" s="405">
        <v>8.5927000000000007</v>
      </c>
    </row>
    <row r="593" spans="1:12" s="19" customFormat="1" ht="18.75" hidden="1" customHeight="1" x14ac:dyDescent="0.4">
      <c r="A593" s="485">
        <v>46262</v>
      </c>
      <c r="B593" s="8" t="s">
        <v>987</v>
      </c>
      <c r="C593" s="6" t="s">
        <v>150</v>
      </c>
      <c r="D593" s="69" t="s">
        <v>335</v>
      </c>
      <c r="E593" s="8"/>
      <c r="F593" s="8">
        <v>1</v>
      </c>
      <c r="G593" s="525">
        <f t="shared" si="13"/>
        <v>27854.268174000001</v>
      </c>
      <c r="H593" s="525">
        <f t="shared" si="14"/>
        <v>27854.268174000001</v>
      </c>
      <c r="I593" s="29" t="s">
        <v>1823</v>
      </c>
      <c r="J593" s="36">
        <v>3241.62</v>
      </c>
      <c r="K593" s="29" t="s">
        <v>1820</v>
      </c>
      <c r="L593" s="405">
        <v>8.5927000000000007</v>
      </c>
    </row>
    <row r="594" spans="1:12" s="19" customFormat="1" ht="18.75" hidden="1" customHeight="1" x14ac:dyDescent="0.4">
      <c r="A594" s="485">
        <v>46262</v>
      </c>
      <c r="B594" s="8" t="s">
        <v>987</v>
      </c>
      <c r="C594" s="6" t="s">
        <v>150</v>
      </c>
      <c r="D594" s="69" t="s">
        <v>335</v>
      </c>
      <c r="E594" s="8"/>
      <c r="F594" s="8">
        <v>2</v>
      </c>
      <c r="G594" s="525">
        <f t="shared" si="13"/>
        <v>27854.268174000001</v>
      </c>
      <c r="H594" s="525">
        <f t="shared" si="14"/>
        <v>55708.536348000001</v>
      </c>
      <c r="I594" s="29" t="s">
        <v>1824</v>
      </c>
      <c r="J594" s="36">
        <v>3241.62</v>
      </c>
      <c r="K594" s="29" t="s">
        <v>1820</v>
      </c>
      <c r="L594" s="405">
        <v>8.5927000000000007</v>
      </c>
    </row>
    <row r="595" spans="1:12" s="19" customFormat="1" ht="18.75" hidden="1" customHeight="1" x14ac:dyDescent="0.4">
      <c r="A595" s="485">
        <v>46253</v>
      </c>
      <c r="B595" s="8" t="s">
        <v>987</v>
      </c>
      <c r="C595" s="6" t="s">
        <v>1867</v>
      </c>
      <c r="D595" s="69"/>
      <c r="E595" s="8"/>
      <c r="F595" s="8">
        <v>1</v>
      </c>
      <c r="G595" s="525">
        <f t="shared" si="13"/>
        <v>1653659.7</v>
      </c>
      <c r="H595" s="525">
        <f t="shared" si="14"/>
        <v>1653659.7</v>
      </c>
      <c r="I595" s="29"/>
      <c r="J595" s="36">
        <v>187000</v>
      </c>
      <c r="K595" s="29" t="s">
        <v>1878</v>
      </c>
      <c r="L595" s="405">
        <v>8.8430999999999997</v>
      </c>
    </row>
    <row r="596" spans="1:12" s="19" customFormat="1" ht="18.75" hidden="1" customHeight="1" x14ac:dyDescent="0.4">
      <c r="A596" s="485">
        <v>46253</v>
      </c>
      <c r="B596" s="8" t="s">
        <v>987</v>
      </c>
      <c r="C596" s="6" t="s">
        <v>1868</v>
      </c>
      <c r="D596" s="69"/>
      <c r="E596" s="8"/>
      <c r="F596" s="8">
        <v>1</v>
      </c>
      <c r="G596" s="525">
        <f t="shared" si="13"/>
        <v>5498639.5800000001</v>
      </c>
      <c r="H596" s="525">
        <f t="shared" si="14"/>
        <v>5498639.5800000001</v>
      </c>
      <c r="I596" s="29"/>
      <c r="J596" s="36">
        <v>621800</v>
      </c>
      <c r="K596" s="29" t="s">
        <v>1878</v>
      </c>
      <c r="L596" s="405">
        <v>8.8430999999999997</v>
      </c>
    </row>
    <row r="597" spans="1:12" s="19" customFormat="1" ht="18.75" hidden="1" customHeight="1" x14ac:dyDescent="0.4">
      <c r="A597" s="485">
        <v>46253</v>
      </c>
      <c r="B597" s="8" t="s">
        <v>987</v>
      </c>
      <c r="C597" s="6" t="s">
        <v>1869</v>
      </c>
      <c r="D597" s="69"/>
      <c r="E597" s="8"/>
      <c r="F597" s="8">
        <v>1</v>
      </c>
      <c r="G597" s="525">
        <f t="shared" si="13"/>
        <v>5498639.5800000001</v>
      </c>
      <c r="H597" s="525">
        <f t="shared" si="14"/>
        <v>5498639.5800000001</v>
      </c>
      <c r="I597" s="29"/>
      <c r="J597" s="36">
        <v>621800</v>
      </c>
      <c r="K597" s="29" t="s">
        <v>1878</v>
      </c>
      <c r="L597" s="405">
        <v>8.8430999999999997</v>
      </c>
    </row>
    <row r="598" spans="1:12" s="19" customFormat="1" ht="18.75" hidden="1" customHeight="1" x14ac:dyDescent="0.4">
      <c r="A598" s="485">
        <v>46253</v>
      </c>
      <c r="B598" s="8" t="s">
        <v>987</v>
      </c>
      <c r="C598" s="6" t="s">
        <v>1870</v>
      </c>
      <c r="D598" s="69"/>
      <c r="E598" s="8"/>
      <c r="F598" s="8">
        <v>1</v>
      </c>
      <c r="G598" s="525">
        <f t="shared" si="13"/>
        <v>4890234.3</v>
      </c>
      <c r="H598" s="525">
        <f t="shared" si="14"/>
        <v>4890234.3</v>
      </c>
      <c r="I598" s="29"/>
      <c r="J598" s="36">
        <v>553000</v>
      </c>
      <c r="K598" s="29" t="s">
        <v>1878</v>
      </c>
      <c r="L598" s="405">
        <v>8.8430999999999997</v>
      </c>
    </row>
    <row r="599" spans="1:12" s="19" customFormat="1" ht="18.75" hidden="1" customHeight="1" x14ac:dyDescent="0.4">
      <c r="A599" s="485">
        <v>46253</v>
      </c>
      <c r="B599" s="8" t="s">
        <v>987</v>
      </c>
      <c r="C599" s="6" t="s">
        <v>1871</v>
      </c>
      <c r="D599" s="69"/>
      <c r="E599" s="8"/>
      <c r="F599" s="8">
        <v>1</v>
      </c>
      <c r="G599" s="525">
        <f t="shared" si="13"/>
        <v>2214312.2399999998</v>
      </c>
      <c r="H599" s="525">
        <f t="shared" si="14"/>
        <v>2214312.2399999998</v>
      </c>
      <c r="I599" s="29"/>
      <c r="J599" s="36">
        <v>250400</v>
      </c>
      <c r="K599" s="29" t="s">
        <v>1878</v>
      </c>
      <c r="L599" s="405">
        <v>8.8430999999999997</v>
      </c>
    </row>
    <row r="600" spans="1:12" s="19" customFormat="1" ht="18.75" hidden="1" customHeight="1" x14ac:dyDescent="0.4">
      <c r="A600" s="485">
        <v>46253</v>
      </c>
      <c r="B600" s="8" t="s">
        <v>987</v>
      </c>
      <c r="C600" s="6" t="s">
        <v>1872</v>
      </c>
      <c r="D600" s="69"/>
      <c r="E600" s="8"/>
      <c r="F600" s="8">
        <v>1</v>
      </c>
      <c r="G600" s="525">
        <f t="shared" si="13"/>
        <v>5305860</v>
      </c>
      <c r="H600" s="525">
        <f t="shared" si="14"/>
        <v>5305860</v>
      </c>
      <c r="I600" s="29"/>
      <c r="J600" s="36">
        <v>600000</v>
      </c>
      <c r="K600" s="29" t="s">
        <v>1878</v>
      </c>
      <c r="L600" s="405">
        <v>8.8430999999999997</v>
      </c>
    </row>
    <row r="601" spans="1:12" s="19" customFormat="1" ht="18.75" hidden="1" customHeight="1" x14ac:dyDescent="0.4">
      <c r="A601" s="485">
        <v>46253</v>
      </c>
      <c r="B601" s="8" t="s">
        <v>987</v>
      </c>
      <c r="C601" s="6" t="s">
        <v>1873</v>
      </c>
      <c r="D601" s="69"/>
      <c r="E601" s="8"/>
      <c r="F601" s="8">
        <v>1</v>
      </c>
      <c r="G601" s="525">
        <f t="shared" si="13"/>
        <v>5279330.7</v>
      </c>
      <c r="H601" s="525">
        <f t="shared" si="14"/>
        <v>5279330.7</v>
      </c>
      <c r="I601" s="29"/>
      <c r="J601" s="36">
        <v>597000</v>
      </c>
      <c r="K601" s="29" t="s">
        <v>1878</v>
      </c>
      <c r="L601" s="405">
        <v>8.8430999999999997</v>
      </c>
    </row>
    <row r="602" spans="1:12" s="19" customFormat="1" ht="18.75" hidden="1" customHeight="1" x14ac:dyDescent="0.4">
      <c r="A602" s="485">
        <v>46253</v>
      </c>
      <c r="B602" s="8" t="s">
        <v>987</v>
      </c>
      <c r="C602" s="6" t="s">
        <v>1874</v>
      </c>
      <c r="D602" s="69"/>
      <c r="E602" s="8"/>
      <c r="F602" s="8">
        <v>1</v>
      </c>
      <c r="G602" s="525">
        <f t="shared" si="13"/>
        <v>3453230.55</v>
      </c>
      <c r="H602" s="525">
        <f t="shared" si="14"/>
        <v>3453230.55</v>
      </c>
      <c r="I602" s="29"/>
      <c r="J602" s="36">
        <v>390500</v>
      </c>
      <c r="K602" s="29" t="s">
        <v>1878</v>
      </c>
      <c r="L602" s="405">
        <v>8.8430999999999997</v>
      </c>
    </row>
    <row r="603" spans="1:12" s="19" customFormat="1" ht="18.75" hidden="1" customHeight="1" x14ac:dyDescent="0.4">
      <c r="A603" s="485">
        <v>46253</v>
      </c>
      <c r="B603" s="8" t="s">
        <v>987</v>
      </c>
      <c r="C603" s="6" t="s">
        <v>1875</v>
      </c>
      <c r="D603" s="69"/>
      <c r="E603" s="8"/>
      <c r="F603" s="8">
        <v>1</v>
      </c>
      <c r="G603" s="525">
        <f t="shared" si="13"/>
        <v>1839364.8</v>
      </c>
      <c r="H603" s="525">
        <f t="shared" si="14"/>
        <v>1839364.8</v>
      </c>
      <c r="I603" s="29"/>
      <c r="J603" s="36">
        <v>208000</v>
      </c>
      <c r="K603" s="29" t="s">
        <v>1878</v>
      </c>
      <c r="L603" s="405">
        <v>8.8430999999999997</v>
      </c>
    </row>
    <row r="604" spans="1:12" s="19" customFormat="1" ht="18.75" hidden="1" customHeight="1" x14ac:dyDescent="0.4">
      <c r="A604" s="485">
        <v>46253</v>
      </c>
      <c r="B604" s="8" t="s">
        <v>987</v>
      </c>
      <c r="C604" s="6" t="s">
        <v>1876</v>
      </c>
      <c r="D604" s="69"/>
      <c r="E604" s="8"/>
      <c r="F604" s="8">
        <v>1</v>
      </c>
      <c r="G604" s="525">
        <f t="shared" si="13"/>
        <v>4253531.0999999996</v>
      </c>
      <c r="H604" s="525">
        <f t="shared" si="14"/>
        <v>4253531.0999999996</v>
      </c>
      <c r="I604" s="29"/>
      <c r="J604" s="36">
        <v>481000</v>
      </c>
      <c r="K604" s="29" t="s">
        <v>1878</v>
      </c>
      <c r="L604" s="405">
        <v>8.8430999999999997</v>
      </c>
    </row>
    <row r="605" spans="1:12" s="19" customFormat="1" ht="18.75" hidden="1" customHeight="1" x14ac:dyDescent="0.4">
      <c r="A605" s="485">
        <v>46241</v>
      </c>
      <c r="B605" s="8" t="s">
        <v>987</v>
      </c>
      <c r="C605" s="6" t="s">
        <v>1877</v>
      </c>
      <c r="D605" s="69"/>
      <c r="E605" s="8"/>
      <c r="F605" s="8">
        <v>1</v>
      </c>
      <c r="G605" s="525">
        <f t="shared" si="13"/>
        <v>7522284</v>
      </c>
      <c r="H605" s="525">
        <f t="shared" si="14"/>
        <v>7522284</v>
      </c>
      <c r="I605" s="29"/>
      <c r="J605" s="36">
        <v>840000</v>
      </c>
      <c r="K605" s="29" t="s">
        <v>1879</v>
      </c>
      <c r="L605" s="405">
        <v>8.9550999999999998</v>
      </c>
    </row>
    <row r="606" spans="1:12" s="19" customFormat="1" ht="18.75" hidden="1" customHeight="1" x14ac:dyDescent="0.4">
      <c r="A606" s="485">
        <v>46265</v>
      </c>
      <c r="B606" s="8" t="s">
        <v>987</v>
      </c>
      <c r="C606" s="6" t="s">
        <v>160</v>
      </c>
      <c r="D606" s="69" t="s">
        <v>255</v>
      </c>
      <c r="E606" s="8"/>
      <c r="F606" s="8">
        <v>8</v>
      </c>
      <c r="G606" s="525">
        <f t="shared" si="13"/>
        <v>367994.88</v>
      </c>
      <c r="H606" s="7">
        <f t="shared" ref="H606:H617" si="15">F606*G606</f>
        <v>2943959.04</v>
      </c>
      <c r="I606" s="29" t="s">
        <v>1214</v>
      </c>
      <c r="J606" s="36">
        <v>42240</v>
      </c>
      <c r="K606" s="29" t="s">
        <v>1829</v>
      </c>
      <c r="L606" s="827">
        <v>8.7119999999999997</v>
      </c>
    </row>
    <row r="607" spans="1:12" s="19" customFormat="1" ht="18.75" hidden="1" customHeight="1" x14ac:dyDescent="0.4">
      <c r="A607" s="485">
        <v>46265</v>
      </c>
      <c r="B607" s="8" t="s">
        <v>987</v>
      </c>
      <c r="C607" s="6" t="s">
        <v>160</v>
      </c>
      <c r="D607" s="69" t="s">
        <v>1831</v>
      </c>
      <c r="E607" s="8"/>
      <c r="F607" s="8">
        <v>8</v>
      </c>
      <c r="G607" s="525">
        <f t="shared" si="13"/>
        <v>485868.24</v>
      </c>
      <c r="H607" s="7">
        <f t="shared" si="15"/>
        <v>3886945.92</v>
      </c>
      <c r="I607" s="29" t="s">
        <v>1593</v>
      </c>
      <c r="J607" s="36">
        <v>55770</v>
      </c>
      <c r="K607" s="29" t="s">
        <v>1829</v>
      </c>
      <c r="L607" s="827">
        <v>8.7119999999999997</v>
      </c>
    </row>
    <row r="608" spans="1:12" s="19" customFormat="1" ht="18.75" hidden="1" customHeight="1" x14ac:dyDescent="0.4">
      <c r="A608" s="485">
        <v>46265</v>
      </c>
      <c r="B608" s="8" t="s">
        <v>987</v>
      </c>
      <c r="C608" s="6" t="s">
        <v>154</v>
      </c>
      <c r="D608" s="69" t="s">
        <v>266</v>
      </c>
      <c r="E608" s="8"/>
      <c r="F608" s="8">
        <v>4</v>
      </c>
      <c r="G608" s="525">
        <f t="shared" si="13"/>
        <v>3762277.1999999997</v>
      </c>
      <c r="H608" s="7">
        <f t="shared" si="15"/>
        <v>15049108.799999999</v>
      </c>
      <c r="I608" s="29" t="s">
        <v>1593</v>
      </c>
      <c r="J608" s="36">
        <v>431850</v>
      </c>
      <c r="K608" s="29" t="s">
        <v>1829</v>
      </c>
      <c r="L608" s="827">
        <v>8.7119999999999997</v>
      </c>
    </row>
    <row r="609" spans="1:12" s="19" customFormat="1" ht="18.75" hidden="1" customHeight="1" x14ac:dyDescent="0.4">
      <c r="A609" s="485">
        <v>46265</v>
      </c>
      <c r="B609" s="8" t="s">
        <v>987</v>
      </c>
      <c r="C609" s="6" t="s">
        <v>154</v>
      </c>
      <c r="D609" s="69" t="s">
        <v>336</v>
      </c>
      <c r="E609" s="8"/>
      <c r="F609" s="8">
        <v>8</v>
      </c>
      <c r="G609" s="525">
        <f t="shared" si="13"/>
        <v>3762277.1999999997</v>
      </c>
      <c r="H609" s="7">
        <f t="shared" si="15"/>
        <v>30098217.599999998</v>
      </c>
      <c r="I609" s="29" t="s">
        <v>1830</v>
      </c>
      <c r="J609" s="36">
        <v>431850</v>
      </c>
      <c r="K609" s="29" t="s">
        <v>1829</v>
      </c>
      <c r="L609" s="827">
        <v>8.7119999999999997</v>
      </c>
    </row>
    <row r="610" spans="1:12" s="19" customFormat="1" ht="18.75" hidden="1" customHeight="1" x14ac:dyDescent="0.4">
      <c r="A610" s="485">
        <v>46265</v>
      </c>
      <c r="B610" s="8" t="s">
        <v>987</v>
      </c>
      <c r="C610" s="6" t="s">
        <v>156</v>
      </c>
      <c r="D610" s="69" t="s">
        <v>261</v>
      </c>
      <c r="E610" s="8"/>
      <c r="F610" s="8">
        <v>1</v>
      </c>
      <c r="G610" s="525">
        <f t="shared" si="13"/>
        <v>2005589.52</v>
      </c>
      <c r="H610" s="7">
        <f t="shared" si="15"/>
        <v>2005589.52</v>
      </c>
      <c r="I610" s="29" t="s">
        <v>1482</v>
      </c>
      <c r="J610" s="36">
        <v>230210</v>
      </c>
      <c r="K610" s="29" t="s">
        <v>1829</v>
      </c>
      <c r="L610" s="827">
        <v>8.7119999999999997</v>
      </c>
    </row>
    <row r="611" spans="1:12" s="19" customFormat="1" ht="18.75" hidden="1" customHeight="1" x14ac:dyDescent="0.4">
      <c r="A611" s="485">
        <v>46265</v>
      </c>
      <c r="B611" s="8" t="s">
        <v>987</v>
      </c>
      <c r="C611" s="6" t="s">
        <v>154</v>
      </c>
      <c r="D611" s="69" t="s">
        <v>652</v>
      </c>
      <c r="E611" s="8"/>
      <c r="F611" s="8">
        <v>1</v>
      </c>
      <c r="G611" s="525">
        <f t="shared" si="13"/>
        <v>1431642.96</v>
      </c>
      <c r="H611" s="7">
        <f t="shared" si="15"/>
        <v>1431642.96</v>
      </c>
      <c r="I611" s="29" t="s">
        <v>1482</v>
      </c>
      <c r="J611" s="36">
        <v>164330</v>
      </c>
      <c r="K611" s="29" t="s">
        <v>1829</v>
      </c>
      <c r="L611" s="827">
        <v>8.7119999999999997</v>
      </c>
    </row>
    <row r="612" spans="1:12" s="19" customFormat="1" ht="18.75" hidden="1" customHeight="1" x14ac:dyDescent="0.4">
      <c r="A612" s="485">
        <v>46265</v>
      </c>
      <c r="B612" s="8" t="s">
        <v>987</v>
      </c>
      <c r="C612" s="6" t="s">
        <v>154</v>
      </c>
      <c r="D612" s="69" t="s">
        <v>653</v>
      </c>
      <c r="E612" s="8"/>
      <c r="F612" s="8">
        <v>1</v>
      </c>
      <c r="G612" s="525">
        <f t="shared" si="13"/>
        <v>1431642.96</v>
      </c>
      <c r="H612" s="7">
        <f t="shared" si="15"/>
        <v>1431642.96</v>
      </c>
      <c r="I612" s="29" t="s">
        <v>1608</v>
      </c>
      <c r="J612" s="36">
        <v>164330</v>
      </c>
      <c r="K612" s="29" t="s">
        <v>1829</v>
      </c>
      <c r="L612" s="827">
        <v>8.7119999999999997</v>
      </c>
    </row>
    <row r="613" spans="1:12" s="19" customFormat="1" ht="18.75" hidden="1" customHeight="1" x14ac:dyDescent="0.4">
      <c r="A613" s="485">
        <v>46265</v>
      </c>
      <c r="B613" s="8" t="s">
        <v>987</v>
      </c>
      <c r="C613" s="6" t="s">
        <v>154</v>
      </c>
      <c r="D613" s="69" t="s">
        <v>653</v>
      </c>
      <c r="E613" s="8"/>
      <c r="F613" s="8">
        <v>1</v>
      </c>
      <c r="G613" s="525">
        <f t="shared" si="13"/>
        <v>1495414.8</v>
      </c>
      <c r="H613" s="7">
        <f t="shared" si="15"/>
        <v>1495414.8</v>
      </c>
      <c r="I613" s="29" t="s">
        <v>1826</v>
      </c>
      <c r="J613" s="36">
        <v>171650</v>
      </c>
      <c r="K613" s="29" t="s">
        <v>1829</v>
      </c>
      <c r="L613" s="827">
        <v>8.7119999999999997</v>
      </c>
    </row>
    <row r="614" spans="1:12" s="19" customFormat="1" ht="18.75" hidden="1" customHeight="1" x14ac:dyDescent="0.4">
      <c r="A614" s="485">
        <v>46265</v>
      </c>
      <c r="B614" s="8" t="s">
        <v>987</v>
      </c>
      <c r="C614" s="6" t="s">
        <v>154</v>
      </c>
      <c r="D614" s="69" t="s">
        <v>653</v>
      </c>
      <c r="E614" s="8"/>
      <c r="F614" s="8">
        <v>1</v>
      </c>
      <c r="G614" s="525">
        <f t="shared" si="13"/>
        <v>1495414.8</v>
      </c>
      <c r="H614" s="7">
        <f t="shared" si="15"/>
        <v>1495414.8</v>
      </c>
      <c r="I614" s="29" t="s">
        <v>1827</v>
      </c>
      <c r="J614" s="36">
        <v>171650</v>
      </c>
      <c r="K614" s="29" t="s">
        <v>1829</v>
      </c>
      <c r="L614" s="827">
        <v>8.7119999999999997</v>
      </c>
    </row>
    <row r="615" spans="1:12" s="19" customFormat="1" ht="18.75" hidden="1" customHeight="1" x14ac:dyDescent="0.4">
      <c r="A615" s="485">
        <v>46265</v>
      </c>
      <c r="B615" s="8" t="s">
        <v>987</v>
      </c>
      <c r="C615" s="6" t="s">
        <v>152</v>
      </c>
      <c r="D615" s="69" t="s">
        <v>263</v>
      </c>
      <c r="E615" s="8"/>
      <c r="F615" s="8">
        <v>5</v>
      </c>
      <c r="G615" s="525">
        <f t="shared" si="13"/>
        <v>893154.24</v>
      </c>
      <c r="H615" s="7">
        <f t="shared" si="15"/>
        <v>4465771.2</v>
      </c>
      <c r="I615" s="29" t="s">
        <v>1833</v>
      </c>
      <c r="J615" s="36">
        <v>102520</v>
      </c>
      <c r="K615" s="29" t="s">
        <v>1829</v>
      </c>
      <c r="L615" s="827">
        <v>8.7119999999999997</v>
      </c>
    </row>
    <row r="616" spans="1:12" s="19" customFormat="1" ht="18.75" hidden="1" customHeight="1" x14ac:dyDescent="0.4">
      <c r="A616" s="485">
        <v>46265</v>
      </c>
      <c r="B616" s="8" t="s">
        <v>987</v>
      </c>
      <c r="C616" s="6" t="s">
        <v>150</v>
      </c>
      <c r="D616" s="69" t="s">
        <v>334</v>
      </c>
      <c r="E616" s="8"/>
      <c r="F616" s="8">
        <v>4</v>
      </c>
      <c r="G616" s="525">
        <f t="shared" si="13"/>
        <v>292897.44</v>
      </c>
      <c r="H616" s="7">
        <f t="shared" si="15"/>
        <v>1171589.76</v>
      </c>
      <c r="I616" s="29" t="s">
        <v>1825</v>
      </c>
      <c r="J616" s="36">
        <v>33620</v>
      </c>
      <c r="K616" s="29" t="s">
        <v>1829</v>
      </c>
      <c r="L616" s="827">
        <v>8.7119999999999997</v>
      </c>
    </row>
    <row r="617" spans="1:12" s="19" customFormat="1" ht="18.75" hidden="1" customHeight="1" x14ac:dyDescent="0.4">
      <c r="A617" s="485">
        <v>46265</v>
      </c>
      <c r="B617" s="8" t="s">
        <v>987</v>
      </c>
      <c r="C617" s="6" t="s">
        <v>157</v>
      </c>
      <c r="D617" s="69" t="s">
        <v>259</v>
      </c>
      <c r="E617" s="8"/>
      <c r="F617" s="8">
        <v>8</v>
      </c>
      <c r="G617" s="525">
        <f t="shared" si="13"/>
        <v>3636998.6399999997</v>
      </c>
      <c r="H617" s="7">
        <f t="shared" si="15"/>
        <v>29095989.119999997</v>
      </c>
      <c r="I617" s="29" t="s">
        <v>1832</v>
      </c>
      <c r="J617" s="36">
        <v>417470</v>
      </c>
      <c r="K617" s="29" t="s">
        <v>1829</v>
      </c>
      <c r="L617" s="827">
        <v>8.7119999999999997</v>
      </c>
    </row>
    <row r="618" spans="1:12" s="19" customFormat="1" ht="18.75" hidden="1" customHeight="1" x14ac:dyDescent="0.4">
      <c r="A618" s="622"/>
      <c r="B618" s="39"/>
      <c r="C618" s="88"/>
      <c r="D618" s="434"/>
      <c r="E618" s="39"/>
      <c r="F618" s="39"/>
      <c r="G618" s="98"/>
      <c r="H618" s="138">
        <f>SUM(H511:H605)+5</f>
        <v>736202710.85979617</v>
      </c>
      <c r="I618" s="40"/>
      <c r="J618" s="436"/>
      <c r="K618" s="40"/>
      <c r="L618" s="696"/>
    </row>
    <row r="619" spans="1:12" s="19" customFormat="1" ht="18.75" hidden="1" customHeight="1" x14ac:dyDescent="0.4">
      <c r="A619" s="485">
        <v>46259</v>
      </c>
      <c r="B619" s="8" t="s">
        <v>1866</v>
      </c>
      <c r="C619" s="6" t="s">
        <v>1372</v>
      </c>
      <c r="D619" s="69" t="s">
        <v>1374</v>
      </c>
      <c r="E619" s="8"/>
      <c r="F619" s="8">
        <v>6000</v>
      </c>
      <c r="G619" s="36">
        <v>270</v>
      </c>
      <c r="H619" s="7">
        <f>F619*G619</f>
        <v>1620000</v>
      </c>
      <c r="I619" s="29"/>
      <c r="J619" s="70"/>
      <c r="K619" s="29"/>
      <c r="L619" s="405"/>
    </row>
    <row r="620" spans="1:12" s="19" customFormat="1" ht="18.75" hidden="1" customHeight="1" x14ac:dyDescent="0.4">
      <c r="A620" s="485">
        <v>46259</v>
      </c>
      <c r="B620" s="8" t="s">
        <v>1866</v>
      </c>
      <c r="C620" s="6" t="s">
        <v>1372</v>
      </c>
      <c r="D620" s="69" t="s">
        <v>1374</v>
      </c>
      <c r="E620" s="8"/>
      <c r="F620" s="8">
        <v>6257</v>
      </c>
      <c r="G620" s="36">
        <v>270</v>
      </c>
      <c r="H620" s="7">
        <f>F620*G620</f>
        <v>1689390</v>
      </c>
      <c r="I620" s="29"/>
      <c r="J620" s="70"/>
      <c r="K620" s="29"/>
      <c r="L620" s="405"/>
    </row>
    <row r="621" spans="1:12" s="19" customFormat="1" ht="18.75" hidden="1" customHeight="1" x14ac:dyDescent="0.4">
      <c r="A621" s="485">
        <v>46259</v>
      </c>
      <c r="B621" s="8" t="s">
        <v>1866</v>
      </c>
      <c r="C621" s="6" t="s">
        <v>1651</v>
      </c>
      <c r="D621" s="69" t="s">
        <v>860</v>
      </c>
      <c r="E621" s="8"/>
      <c r="F621" s="8">
        <v>4800</v>
      </c>
      <c r="G621" s="36">
        <v>340</v>
      </c>
      <c r="H621" s="7">
        <f>F621*G621</f>
        <v>1632000</v>
      </c>
      <c r="I621" s="29"/>
      <c r="J621" s="70"/>
      <c r="K621" s="29"/>
      <c r="L621" s="405"/>
    </row>
    <row r="622" spans="1:12" s="19" customFormat="1" ht="18.75" hidden="1" customHeight="1" x14ac:dyDescent="0.4">
      <c r="A622" s="485"/>
      <c r="B622" s="8"/>
      <c r="C622" s="6"/>
      <c r="D622" s="69"/>
      <c r="E622" s="8"/>
      <c r="F622" s="8"/>
      <c r="G622" s="36"/>
      <c r="H622" s="49"/>
      <c r="I622" s="29"/>
      <c r="J622" s="70"/>
      <c r="K622" s="29"/>
      <c r="L622" s="405"/>
    </row>
    <row r="623" spans="1:12" s="19" customFormat="1" ht="18.75" hidden="1" customHeight="1" x14ac:dyDescent="0.4">
      <c r="A623" s="485"/>
      <c r="B623" s="8"/>
      <c r="C623" s="6"/>
      <c r="D623" s="69"/>
      <c r="E623" s="8"/>
      <c r="F623" s="8"/>
      <c r="G623" s="36"/>
      <c r="H623" s="49"/>
      <c r="I623" s="29"/>
      <c r="J623" s="70"/>
      <c r="K623" s="29"/>
      <c r="L623" s="405"/>
    </row>
    <row r="624" spans="1:12" s="19" customFormat="1" ht="18.75" hidden="1" customHeight="1" x14ac:dyDescent="0.4">
      <c r="A624" s="622"/>
      <c r="B624" s="39"/>
      <c r="C624" s="88"/>
      <c r="D624" s="434"/>
      <c r="E624" s="39"/>
      <c r="F624" s="39"/>
      <c r="G624" s="98"/>
      <c r="H624" s="138">
        <f>SUM(H619:H623)</f>
        <v>4941390</v>
      </c>
      <c r="I624" s="40"/>
      <c r="J624" s="436"/>
      <c r="K624" s="40"/>
      <c r="L624" s="696"/>
    </row>
    <row r="625" spans="1:13" ht="18.75" hidden="1" customHeight="1" x14ac:dyDescent="0.4">
      <c r="A625" s="485">
        <v>46246</v>
      </c>
      <c r="B625" s="5" t="s">
        <v>1834</v>
      </c>
      <c r="C625" s="6" t="s">
        <v>1835</v>
      </c>
      <c r="D625" s="1" t="s">
        <v>1488</v>
      </c>
      <c r="E625" s="59" t="s">
        <v>17</v>
      </c>
      <c r="F625" s="36">
        <v>11</v>
      </c>
      <c r="G625" s="36">
        <v>245000</v>
      </c>
      <c r="H625" s="7">
        <f>F625*G625</f>
        <v>2695000</v>
      </c>
      <c r="I625" s="67"/>
      <c r="J625" s="67"/>
      <c r="K625" s="67"/>
      <c r="L625" s="67"/>
    </row>
    <row r="626" spans="1:13" ht="18.75" hidden="1" customHeight="1" x14ac:dyDescent="0.4">
      <c r="A626" s="485">
        <v>46246</v>
      </c>
      <c r="B626" s="5" t="s">
        <v>1834</v>
      </c>
      <c r="C626" s="6" t="s">
        <v>1836</v>
      </c>
      <c r="D626" s="1" t="s">
        <v>1837</v>
      </c>
      <c r="E626" s="59" t="s">
        <v>13</v>
      </c>
      <c r="F626" s="36">
        <v>15</v>
      </c>
      <c r="G626" s="36">
        <v>642000</v>
      </c>
      <c r="H626" s="7">
        <f>F626*G626</f>
        <v>9630000</v>
      </c>
      <c r="I626" s="67"/>
      <c r="J626" s="67"/>
      <c r="K626" s="67"/>
      <c r="L626" s="67"/>
    </row>
    <row r="627" spans="1:13" s="19" customFormat="1" ht="18.75" hidden="1" customHeight="1" x14ac:dyDescent="0.4">
      <c r="A627" s="622"/>
      <c r="B627" s="39"/>
      <c r="C627" s="88"/>
      <c r="D627" s="434"/>
      <c r="E627" s="39"/>
      <c r="F627" s="39"/>
      <c r="G627" s="98"/>
      <c r="H627" s="138">
        <f>SUM(H625:H626)</f>
        <v>12325000</v>
      </c>
      <c r="I627" s="435"/>
      <c r="J627" s="436"/>
      <c r="K627" s="40"/>
      <c r="L627" s="696"/>
    </row>
    <row r="628" spans="1:13" customFormat="1" ht="17.399999999999999" hidden="1" x14ac:dyDescent="0.4">
      <c r="A628" s="485">
        <v>46227</v>
      </c>
      <c r="B628" s="7" t="s">
        <v>483</v>
      </c>
      <c r="C628" s="60" t="s">
        <v>486</v>
      </c>
      <c r="D628" s="71" t="s">
        <v>513</v>
      </c>
      <c r="E628" s="8" t="s">
        <v>13</v>
      </c>
      <c r="F628" s="7">
        <v>1</v>
      </c>
      <c r="G628" s="17">
        <v>9741800</v>
      </c>
      <c r="H628" s="7">
        <f t="shared" ref="H628:H636" si="16">F628*G628</f>
        <v>9741800</v>
      </c>
      <c r="I628" s="67" t="s">
        <v>1858</v>
      </c>
      <c r="J628" s="67" t="s">
        <v>1068</v>
      </c>
      <c r="K628" s="67"/>
      <c r="L628" s="67"/>
      <c r="M628" s="50"/>
    </row>
    <row r="629" spans="1:13" customFormat="1" ht="17.399999999999999" hidden="1" x14ac:dyDescent="0.4">
      <c r="A629" s="485">
        <v>46227</v>
      </c>
      <c r="B629" s="7" t="s">
        <v>1718</v>
      </c>
      <c r="C629" s="49" t="s">
        <v>1364</v>
      </c>
      <c r="D629" s="59" t="s">
        <v>1490</v>
      </c>
      <c r="E629" s="59" t="s">
        <v>343</v>
      </c>
      <c r="F629" s="49">
        <v>1</v>
      </c>
      <c r="G629" s="49">
        <v>7037000</v>
      </c>
      <c r="H629" s="7">
        <f t="shared" si="16"/>
        <v>7037000</v>
      </c>
      <c r="I629" s="67" t="s">
        <v>1858</v>
      </c>
      <c r="J629" s="67" t="s">
        <v>1068</v>
      </c>
      <c r="K629" s="67"/>
      <c r="L629" s="67"/>
      <c r="M629" s="50"/>
    </row>
    <row r="630" spans="1:13" ht="18.75" hidden="1" customHeight="1" x14ac:dyDescent="0.4">
      <c r="A630" s="485">
        <v>46235</v>
      </c>
      <c r="B630" s="7" t="s">
        <v>1718</v>
      </c>
      <c r="C630" s="49" t="s">
        <v>489</v>
      </c>
      <c r="D630" s="59" t="s">
        <v>1034</v>
      </c>
      <c r="E630" s="59" t="s">
        <v>343</v>
      </c>
      <c r="F630" s="49">
        <v>1</v>
      </c>
      <c r="G630" s="49">
        <v>9379400</v>
      </c>
      <c r="H630" s="7">
        <f t="shared" si="16"/>
        <v>9379400</v>
      </c>
      <c r="I630" s="67" t="s">
        <v>1858</v>
      </c>
      <c r="J630" s="67"/>
      <c r="K630" s="67"/>
      <c r="L630" s="67"/>
    </row>
    <row r="631" spans="1:13" ht="18.75" hidden="1" customHeight="1" x14ac:dyDescent="0.4">
      <c r="A631" s="485">
        <v>46245</v>
      </c>
      <c r="B631" s="7" t="s">
        <v>483</v>
      </c>
      <c r="C631" s="60" t="s">
        <v>486</v>
      </c>
      <c r="D631" s="71" t="s">
        <v>513</v>
      </c>
      <c r="E631" s="8" t="s">
        <v>13</v>
      </c>
      <c r="F631" s="7">
        <v>1</v>
      </c>
      <c r="G631" s="17">
        <v>9741800</v>
      </c>
      <c r="H631" s="7">
        <f t="shared" si="16"/>
        <v>9741800</v>
      </c>
      <c r="I631" s="67" t="s">
        <v>1858</v>
      </c>
      <c r="J631" s="67"/>
      <c r="K631" s="67"/>
      <c r="L631" s="67"/>
    </row>
    <row r="632" spans="1:13" ht="18.75" hidden="1" customHeight="1" x14ac:dyDescent="0.4">
      <c r="A632" s="485">
        <v>46245</v>
      </c>
      <c r="B632" s="7" t="s">
        <v>483</v>
      </c>
      <c r="C632" s="60" t="s">
        <v>486</v>
      </c>
      <c r="D632" s="71" t="s">
        <v>513</v>
      </c>
      <c r="E632" s="8" t="s">
        <v>13</v>
      </c>
      <c r="F632" s="7">
        <v>1</v>
      </c>
      <c r="G632" s="17">
        <v>9741800</v>
      </c>
      <c r="H632" s="7">
        <f t="shared" si="16"/>
        <v>9741800</v>
      </c>
      <c r="I632" s="67" t="s">
        <v>1858</v>
      </c>
      <c r="J632" s="67"/>
      <c r="K632" s="67"/>
      <c r="L632" s="67"/>
    </row>
    <row r="633" spans="1:13" ht="18.75" hidden="1" customHeight="1" x14ac:dyDescent="0.4">
      <c r="A633" s="485">
        <v>46248</v>
      </c>
      <c r="B633" s="7" t="s">
        <v>483</v>
      </c>
      <c r="C633" s="49" t="s">
        <v>487</v>
      </c>
      <c r="D633" s="59" t="s">
        <v>488</v>
      </c>
      <c r="E633" s="59" t="s">
        <v>13</v>
      </c>
      <c r="F633" s="49">
        <v>4</v>
      </c>
      <c r="G633" s="49">
        <v>1233600</v>
      </c>
      <c r="H633" s="7">
        <f t="shared" si="16"/>
        <v>4934400</v>
      </c>
      <c r="I633" s="67" t="s">
        <v>1858</v>
      </c>
      <c r="J633" s="67"/>
      <c r="K633" s="67"/>
      <c r="L633" s="67"/>
    </row>
    <row r="634" spans="1:13" ht="18.75" hidden="1" customHeight="1" x14ac:dyDescent="0.4">
      <c r="A634" s="485">
        <v>46262</v>
      </c>
      <c r="B634" s="7" t="s">
        <v>483</v>
      </c>
      <c r="C634" s="60" t="s">
        <v>486</v>
      </c>
      <c r="D634" s="71" t="s">
        <v>513</v>
      </c>
      <c r="E634" s="8" t="s">
        <v>13</v>
      </c>
      <c r="F634" s="7">
        <v>1</v>
      </c>
      <c r="G634" s="17">
        <v>9741800</v>
      </c>
      <c r="H634" s="7">
        <f t="shared" si="16"/>
        <v>9741800</v>
      </c>
      <c r="I634" s="409" t="s">
        <v>1849</v>
      </c>
      <c r="J634" s="67" t="s">
        <v>1247</v>
      </c>
      <c r="K634" s="67"/>
      <c r="L634" s="67"/>
    </row>
    <row r="635" spans="1:13" s="821" customFormat="1" ht="18.75" hidden="1" customHeight="1" x14ac:dyDescent="0.4">
      <c r="A635" s="816">
        <v>46262</v>
      </c>
      <c r="B635" s="518" t="s">
        <v>483</v>
      </c>
      <c r="C635" s="817" t="s">
        <v>1840</v>
      </c>
      <c r="D635" s="818" t="s">
        <v>1841</v>
      </c>
      <c r="E635" s="518" t="s">
        <v>13</v>
      </c>
      <c r="F635" s="518">
        <v>1</v>
      </c>
      <c r="G635" s="819">
        <v>3223000</v>
      </c>
      <c r="H635" s="518">
        <f t="shared" si="16"/>
        <v>3223000</v>
      </c>
      <c r="I635" s="409" t="s">
        <v>1849</v>
      </c>
      <c r="J635" s="820" t="s">
        <v>1247</v>
      </c>
      <c r="K635" s="820"/>
      <c r="L635" s="820"/>
    </row>
    <row r="636" spans="1:13" ht="18.75" hidden="1" customHeight="1" x14ac:dyDescent="0.4">
      <c r="A636" s="485">
        <v>46263</v>
      </c>
      <c r="B636" s="7" t="s">
        <v>483</v>
      </c>
      <c r="C636" s="60" t="s">
        <v>486</v>
      </c>
      <c r="D636" s="71" t="s">
        <v>513</v>
      </c>
      <c r="E636" s="8" t="s">
        <v>13</v>
      </c>
      <c r="F636" s="7">
        <v>1</v>
      </c>
      <c r="G636" s="17">
        <v>9741800</v>
      </c>
      <c r="H636" s="7">
        <f t="shared" si="16"/>
        <v>9741800</v>
      </c>
      <c r="I636" s="409" t="s">
        <v>1849</v>
      </c>
      <c r="J636" s="67" t="s">
        <v>1247</v>
      </c>
      <c r="K636" s="67"/>
      <c r="L636" s="67"/>
    </row>
    <row r="637" spans="1:13" ht="18.75" hidden="1" customHeight="1" x14ac:dyDescent="0.4">
      <c r="A637" s="485"/>
      <c r="B637" s="7"/>
      <c r="C637" s="60"/>
      <c r="D637" s="71"/>
      <c r="E637" s="8"/>
      <c r="F637" s="7"/>
      <c r="G637" s="17"/>
      <c r="H637" s="7"/>
      <c r="I637" s="409"/>
      <c r="J637" s="67"/>
      <c r="K637" s="67"/>
      <c r="L637" s="67"/>
    </row>
    <row r="638" spans="1:13" ht="18.75" hidden="1" customHeight="1" x14ac:dyDescent="0.4">
      <c r="A638" s="485"/>
      <c r="B638" s="7"/>
      <c r="C638" s="60"/>
      <c r="D638" s="71"/>
      <c r="E638" s="8"/>
      <c r="F638" s="7"/>
      <c r="G638" s="17"/>
      <c r="H638" s="7"/>
      <c r="I638" s="409"/>
      <c r="J638" s="67"/>
      <c r="K638" s="67"/>
      <c r="L638" s="67"/>
    </row>
    <row r="639" spans="1:13" s="19" customFormat="1" ht="18.75" hidden="1" customHeight="1" x14ac:dyDescent="0.4">
      <c r="A639" s="622"/>
      <c r="B639" s="39"/>
      <c r="C639" s="88"/>
      <c r="D639" s="434"/>
      <c r="E639" s="39"/>
      <c r="F639" s="39"/>
      <c r="G639" s="98"/>
      <c r="H639" s="138">
        <f>SUM(H628:H633)</f>
        <v>50576200</v>
      </c>
      <c r="I639" s="435"/>
      <c r="J639" s="436"/>
      <c r="K639" s="40"/>
      <c r="L639" s="696"/>
    </row>
    <row r="640" spans="1:13" ht="18.75" hidden="1" customHeight="1" x14ac:dyDescent="0.4">
      <c r="A640" s="485">
        <v>46248</v>
      </c>
      <c r="B640" s="8" t="s">
        <v>395</v>
      </c>
      <c r="C640" s="49" t="s">
        <v>1032</v>
      </c>
      <c r="D640" s="59" t="s">
        <v>1033</v>
      </c>
      <c r="E640" s="67"/>
      <c r="F640" s="81">
        <v>27</v>
      </c>
      <c r="G640" s="49">
        <f>J640*L640</f>
        <v>2203382.1683999998</v>
      </c>
      <c r="H640" s="36">
        <f>F640*G640</f>
        <v>59491318.546799995</v>
      </c>
      <c r="I640" s="67"/>
      <c r="J640" s="68">
        <v>249164</v>
      </c>
      <c r="K640" s="67" t="s">
        <v>1880</v>
      </c>
      <c r="L640" s="409">
        <v>8.8430999999999997</v>
      </c>
    </row>
    <row r="641" spans="1:13" ht="18.75" hidden="1" customHeight="1" x14ac:dyDescent="0.4">
      <c r="A641" s="485">
        <v>46258</v>
      </c>
      <c r="B641" s="8" t="s">
        <v>395</v>
      </c>
      <c r="C641" s="49" t="s">
        <v>1032</v>
      </c>
      <c r="D641" s="59" t="s">
        <v>1033</v>
      </c>
      <c r="E641" s="67"/>
      <c r="F641" s="81">
        <v>30</v>
      </c>
      <c r="G641" s="49">
        <f>J641*L641</f>
        <v>2162618.9380000001</v>
      </c>
      <c r="H641" s="36">
        <f>F641*G641</f>
        <v>64878568.140000001</v>
      </c>
      <c r="I641" s="67"/>
      <c r="J641" s="68">
        <v>249164</v>
      </c>
      <c r="K641" s="67" t="s">
        <v>1881</v>
      </c>
      <c r="L641" s="409">
        <v>8.6795000000000009</v>
      </c>
    </row>
    <row r="642" spans="1:13" s="3" customFormat="1" ht="18.75" hidden="1" customHeight="1" x14ac:dyDescent="0.4">
      <c r="A642" s="483"/>
      <c r="B642" s="194"/>
      <c r="C642" s="40"/>
      <c r="D642" s="194"/>
      <c r="E642" s="194"/>
      <c r="F642" s="528"/>
      <c r="G642" s="529"/>
      <c r="H642" s="529">
        <f>SUM(H640:H641)-1</f>
        <v>124369885.6868</v>
      </c>
      <c r="I642" s="529"/>
      <c r="J642" s="530"/>
      <c r="K642" s="145"/>
      <c r="L642" s="621"/>
      <c r="M642" s="89"/>
    </row>
    <row r="643" spans="1:13" customFormat="1" ht="17.399999999999999" hidden="1" x14ac:dyDescent="0.4">
      <c r="A643" s="501">
        <v>46232</v>
      </c>
      <c r="B643" s="7" t="s">
        <v>164</v>
      </c>
      <c r="C643" s="60" t="s">
        <v>165</v>
      </c>
      <c r="D643" s="71" t="s">
        <v>510</v>
      </c>
      <c r="E643" s="7" t="s">
        <v>13</v>
      </c>
      <c r="F643" s="748">
        <v>4</v>
      </c>
      <c r="G643" s="17">
        <v>3720000</v>
      </c>
      <c r="H643" s="36">
        <f>F643*G643</f>
        <v>14880000</v>
      </c>
      <c r="I643" s="61"/>
      <c r="J643" s="43"/>
      <c r="K643" s="81"/>
      <c r="L643" s="405"/>
      <c r="M643" s="89"/>
    </row>
    <row r="644" spans="1:13" customFormat="1" ht="17.399999999999999" hidden="1" x14ac:dyDescent="0.4">
      <c r="A644" s="501">
        <v>46232</v>
      </c>
      <c r="B644" s="7" t="s">
        <v>164</v>
      </c>
      <c r="C644" s="6" t="s">
        <v>170</v>
      </c>
      <c r="D644" s="42" t="s">
        <v>511</v>
      </c>
      <c r="E644" s="1" t="s">
        <v>13</v>
      </c>
      <c r="F644" s="64">
        <v>8</v>
      </c>
      <c r="G644" s="8">
        <v>1300000</v>
      </c>
      <c r="H644" s="36">
        <f>F644*G644</f>
        <v>10400000</v>
      </c>
      <c r="I644" s="29"/>
      <c r="J644" s="43"/>
      <c r="K644" s="81"/>
      <c r="L644" s="405"/>
      <c r="M644" s="89"/>
    </row>
    <row r="645" spans="1:13" s="19" customFormat="1" ht="18.75" hidden="1" customHeight="1" x14ac:dyDescent="0.4">
      <c r="A645" s="501">
        <v>46248</v>
      </c>
      <c r="B645" s="7" t="s">
        <v>164</v>
      </c>
      <c r="C645" s="60" t="s">
        <v>165</v>
      </c>
      <c r="D645" s="71" t="s">
        <v>510</v>
      </c>
      <c r="E645" s="7" t="s">
        <v>13</v>
      </c>
      <c r="F645" s="7">
        <v>1</v>
      </c>
      <c r="G645" s="17">
        <v>3720000</v>
      </c>
      <c r="H645" s="36">
        <f>F645*G645</f>
        <v>3720000</v>
      </c>
      <c r="I645" s="142"/>
      <c r="J645" s="43"/>
      <c r="K645" s="81"/>
      <c r="L645" s="405"/>
    </row>
    <row r="646" spans="1:13" s="19" customFormat="1" ht="18.75" hidden="1" customHeight="1" x14ac:dyDescent="0.4">
      <c r="A646" s="501">
        <v>46248</v>
      </c>
      <c r="B646" s="7" t="s">
        <v>164</v>
      </c>
      <c r="C646" s="6" t="s">
        <v>170</v>
      </c>
      <c r="D646" s="42" t="s">
        <v>511</v>
      </c>
      <c r="E646" s="1" t="s">
        <v>13</v>
      </c>
      <c r="F646" s="36">
        <v>3</v>
      </c>
      <c r="G646" s="8">
        <v>1300000</v>
      </c>
      <c r="H646" s="36">
        <f>F646*G646</f>
        <v>3900000</v>
      </c>
      <c r="I646" s="36"/>
      <c r="J646" s="43"/>
      <c r="K646" s="81"/>
      <c r="L646" s="405"/>
    </row>
    <row r="647" spans="1:13" s="19" customFormat="1" ht="18.75" hidden="1" customHeight="1" x14ac:dyDescent="0.4">
      <c r="A647" s="501">
        <v>46248</v>
      </c>
      <c r="B647" s="7" t="s">
        <v>164</v>
      </c>
      <c r="C647" s="6" t="s">
        <v>166</v>
      </c>
      <c r="D647" s="42" t="s">
        <v>167</v>
      </c>
      <c r="E647" s="1" t="s">
        <v>13</v>
      </c>
      <c r="F647" s="92">
        <v>4</v>
      </c>
      <c r="G647" s="8">
        <v>650000</v>
      </c>
      <c r="H647" s="36">
        <f>F647*G647</f>
        <v>2600000</v>
      </c>
      <c r="I647" s="142"/>
      <c r="J647" s="43"/>
      <c r="K647" s="81"/>
      <c r="L647" s="405"/>
    </row>
    <row r="648" spans="1:13" s="19" customFormat="1" ht="18.75" hidden="1" customHeight="1" x14ac:dyDescent="0.4">
      <c r="A648" s="501">
        <v>46260</v>
      </c>
      <c r="B648" s="7" t="s">
        <v>164</v>
      </c>
      <c r="C648" s="60" t="s">
        <v>165</v>
      </c>
      <c r="D648" s="71" t="s">
        <v>510</v>
      </c>
      <c r="E648" s="7" t="s">
        <v>13</v>
      </c>
      <c r="F648" s="7">
        <v>2</v>
      </c>
      <c r="G648" s="17">
        <v>3720000</v>
      </c>
      <c r="H648" s="36">
        <f t="shared" ref="H648:H653" si="17">F648*G648</f>
        <v>7440000</v>
      </c>
      <c r="I648" s="142"/>
      <c r="J648" s="43"/>
      <c r="K648" s="81"/>
      <c r="L648" s="405"/>
    </row>
    <row r="649" spans="1:13" s="19" customFormat="1" ht="21" hidden="1" customHeight="1" x14ac:dyDescent="0.4">
      <c r="A649" s="501">
        <v>46260</v>
      </c>
      <c r="B649" s="7" t="s">
        <v>164</v>
      </c>
      <c r="C649" s="6" t="s">
        <v>1838</v>
      </c>
      <c r="D649" s="42" t="s">
        <v>169</v>
      </c>
      <c r="E649" s="1" t="s">
        <v>13</v>
      </c>
      <c r="F649" s="92">
        <v>10</v>
      </c>
      <c r="G649" s="8">
        <v>420000</v>
      </c>
      <c r="H649" s="17">
        <f t="shared" si="17"/>
        <v>4200000</v>
      </c>
      <c r="I649" s="29"/>
      <c r="J649" s="43"/>
      <c r="K649" s="81"/>
      <c r="L649" s="73"/>
    </row>
    <row r="650" spans="1:13" s="19" customFormat="1" ht="21" hidden="1" customHeight="1" x14ac:dyDescent="0.4">
      <c r="A650" s="501">
        <v>46260</v>
      </c>
      <c r="B650" s="7" t="s">
        <v>164</v>
      </c>
      <c r="C650" s="6" t="s">
        <v>277</v>
      </c>
      <c r="D650" s="42" t="s">
        <v>278</v>
      </c>
      <c r="E650" s="1" t="s">
        <v>13</v>
      </c>
      <c r="F650" s="92">
        <v>10</v>
      </c>
      <c r="G650" s="8">
        <v>240000</v>
      </c>
      <c r="H650" s="36">
        <f t="shared" si="17"/>
        <v>2400000</v>
      </c>
      <c r="I650" s="137"/>
      <c r="J650" s="43"/>
      <c r="K650" s="81"/>
      <c r="L650" s="73"/>
    </row>
    <row r="651" spans="1:13" s="19" customFormat="1" ht="18.75" hidden="1" customHeight="1" x14ac:dyDescent="0.4">
      <c r="A651" s="501">
        <v>46260</v>
      </c>
      <c r="B651" s="7" t="s">
        <v>164</v>
      </c>
      <c r="C651" s="6" t="s">
        <v>1839</v>
      </c>
      <c r="D651" s="42" t="s">
        <v>167</v>
      </c>
      <c r="E651" s="1" t="s">
        <v>13</v>
      </c>
      <c r="F651" s="92">
        <v>3</v>
      </c>
      <c r="G651" s="8">
        <v>650000</v>
      </c>
      <c r="H651" s="36">
        <f t="shared" si="17"/>
        <v>1950000</v>
      </c>
      <c r="I651" s="142"/>
      <c r="J651" s="43"/>
      <c r="K651" s="81"/>
      <c r="L651" s="405"/>
    </row>
    <row r="652" spans="1:13" s="19" customFormat="1" ht="18.75" hidden="1" customHeight="1" x14ac:dyDescent="0.4">
      <c r="A652" s="571">
        <v>46265</v>
      </c>
      <c r="B652" s="572" t="s">
        <v>164</v>
      </c>
      <c r="C652" s="573" t="s">
        <v>170</v>
      </c>
      <c r="D652" s="461" t="s">
        <v>511</v>
      </c>
      <c r="E652" s="574" t="s">
        <v>13</v>
      </c>
      <c r="F652" s="575">
        <v>7</v>
      </c>
      <c r="G652" s="463">
        <v>1300000</v>
      </c>
      <c r="H652" s="575">
        <f t="shared" si="17"/>
        <v>9100000</v>
      </c>
      <c r="I652" s="464" t="s">
        <v>1784</v>
      </c>
      <c r="J652" s="577"/>
      <c r="K652" s="578"/>
      <c r="L652" s="688"/>
    </row>
    <row r="653" spans="1:13" s="19" customFormat="1" ht="18.75" hidden="1" customHeight="1" x14ac:dyDescent="0.4">
      <c r="A653" s="571">
        <v>46265</v>
      </c>
      <c r="B653" s="572" t="s">
        <v>164</v>
      </c>
      <c r="C653" s="573" t="s">
        <v>166</v>
      </c>
      <c r="D653" s="461" t="s">
        <v>167</v>
      </c>
      <c r="E653" s="574" t="s">
        <v>13</v>
      </c>
      <c r="F653" s="687">
        <v>4</v>
      </c>
      <c r="G653" s="463">
        <v>650000</v>
      </c>
      <c r="H653" s="575">
        <f t="shared" si="17"/>
        <v>2600000</v>
      </c>
      <c r="I653" s="584" t="s">
        <v>1784</v>
      </c>
      <c r="J653" s="577"/>
      <c r="K653" s="578"/>
      <c r="L653" s="688"/>
    </row>
    <row r="654" spans="1:13" s="3" customFormat="1" ht="18.75" hidden="1" customHeight="1" x14ac:dyDescent="0.4">
      <c r="A654" s="483"/>
      <c r="B654" s="194"/>
      <c r="C654" s="40"/>
      <c r="D654" s="194"/>
      <c r="E654" s="194"/>
      <c r="F654" s="528"/>
      <c r="G654" s="529"/>
      <c r="H654" s="529">
        <f>SUM(H643:H651)</f>
        <v>51490000</v>
      </c>
      <c r="I654" s="529"/>
      <c r="J654" s="530"/>
      <c r="K654" s="145"/>
      <c r="L654" s="621"/>
      <c r="M654" s="89"/>
    </row>
    <row r="655" spans="1:13" ht="17.25" hidden="1" customHeight="1" x14ac:dyDescent="0.4">
      <c r="A655" s="711"/>
      <c r="B655" s="712"/>
      <c r="C655" s="713"/>
      <c r="D655" s="714"/>
      <c r="E655" s="714"/>
      <c r="F655" s="715"/>
      <c r="G655" s="716"/>
      <c r="H655" s="716">
        <f>SUM(H15,H18,H83,H89,H96,H136,H139,H333,H337,H384,H407,H505,H510,H618,H624,H627,H642,H654,H639)</f>
        <v>2920504224.5465961</v>
      </c>
      <c r="I655" s="717"/>
      <c r="J655" s="717"/>
      <c r="K655" s="717"/>
      <c r="L655" s="717"/>
    </row>
    <row r="656" spans="1:13" ht="17.25" hidden="1" customHeight="1" x14ac:dyDescent="0.4">
      <c r="H656" s="439"/>
    </row>
    <row r="657" spans="7:10" ht="17.25" hidden="1" customHeight="1" x14ac:dyDescent="0.4">
      <c r="G657" s="787"/>
      <c r="H657" s="439"/>
    </row>
    <row r="658" spans="7:10" ht="17.25" hidden="1" customHeight="1" x14ac:dyDescent="0.4">
      <c r="G658" s="787"/>
      <c r="H658" s="439"/>
    </row>
    <row r="659" spans="7:10" ht="17.25" hidden="1" customHeight="1" x14ac:dyDescent="0.4">
      <c r="G659" s="787"/>
      <c r="H659" s="439"/>
    </row>
    <row r="660" spans="7:10" ht="17.25" hidden="1" customHeight="1" x14ac:dyDescent="0.4">
      <c r="G660" s="787"/>
      <c r="H660" s="439"/>
      <c r="J660" s="439"/>
    </row>
    <row r="661" spans="7:10" ht="17.25" hidden="1" customHeight="1" x14ac:dyDescent="0.4">
      <c r="G661" s="787"/>
      <c r="H661" s="439"/>
    </row>
    <row r="662" spans="7:10" ht="17.25" hidden="1" customHeight="1" x14ac:dyDescent="0.4">
      <c r="G662" s="787"/>
      <c r="H662" s="439"/>
    </row>
    <row r="663" spans="7:10" ht="17.25" hidden="1" customHeight="1" x14ac:dyDescent="0.4">
      <c r="H663" s="439"/>
    </row>
    <row r="664" spans="7:10" ht="17.25" hidden="1" customHeight="1" x14ac:dyDescent="0.4">
      <c r="H664" s="439"/>
    </row>
    <row r="665" spans="7:10" ht="17.25" hidden="1" customHeight="1" x14ac:dyDescent="0.4">
      <c r="H665" s="439"/>
    </row>
    <row r="666" spans="7:10" ht="17.25" hidden="1" customHeight="1" x14ac:dyDescent="0.4">
      <c r="H666" s="439"/>
    </row>
    <row r="667" spans="7:10" hidden="1" x14ac:dyDescent="0.4"/>
    <row r="668" spans="7:10" hidden="1" x14ac:dyDescent="0.4"/>
    <row r="669" spans="7:10" hidden="1" x14ac:dyDescent="0.4"/>
    <row r="670" spans="7:10" hidden="1" x14ac:dyDescent="0.4"/>
    <row r="671" spans="7:10" hidden="1" x14ac:dyDescent="0.4"/>
    <row r="672" spans="7:10" hidden="1" x14ac:dyDescent="0.4"/>
    <row r="673" spans="1:14" ht="20.25" hidden="1" customHeight="1" x14ac:dyDescent="0.4">
      <c r="A673" s="482">
        <v>46203</v>
      </c>
      <c r="B673" s="59" t="s">
        <v>55</v>
      </c>
      <c r="C673" s="49" t="s">
        <v>56</v>
      </c>
      <c r="D673" s="59" t="s">
        <v>57</v>
      </c>
      <c r="E673" s="67"/>
      <c r="F673" s="49">
        <v>196</v>
      </c>
      <c r="G673" s="49">
        <v>304770</v>
      </c>
      <c r="H673" s="68">
        <v>59734920</v>
      </c>
      <c r="I673" s="68" t="s">
        <v>1722</v>
      </c>
      <c r="J673" s="67" t="s">
        <v>1723</v>
      </c>
      <c r="K673" s="67"/>
      <c r="L673" s="765"/>
      <c r="M673" s="50">
        <f>196-72</f>
        <v>124</v>
      </c>
      <c r="N673" s="441">
        <f>G673*M673</f>
        <v>37791480</v>
      </c>
    </row>
    <row r="674" spans="1:14" s="646" customFormat="1" ht="18" hidden="1" customHeight="1" x14ac:dyDescent="0.4">
      <c r="A674" s="744">
        <v>46052</v>
      </c>
      <c r="B674" s="745" t="s">
        <v>58</v>
      </c>
      <c r="C674" s="735" t="s">
        <v>445</v>
      </c>
      <c r="D674" s="735" t="s">
        <v>446</v>
      </c>
      <c r="E674" s="745"/>
      <c r="F674" s="772">
        <v>12</v>
      </c>
      <c r="G674" s="772">
        <v>1671500</v>
      </c>
      <c r="H674" s="746">
        <v>20058000</v>
      </c>
      <c r="I674" s="735" t="s">
        <v>1496</v>
      </c>
      <c r="J674" s="734"/>
      <c r="K674" s="735" t="s">
        <v>1497</v>
      </c>
      <c r="L674" s="736"/>
    </row>
    <row r="675" spans="1:14" s="646" customFormat="1" ht="18" hidden="1" customHeight="1" x14ac:dyDescent="0.4">
      <c r="A675" s="744">
        <v>46066</v>
      </c>
      <c r="B675" s="745" t="s">
        <v>58</v>
      </c>
      <c r="C675" s="735" t="s">
        <v>445</v>
      </c>
      <c r="D675" s="735" t="s">
        <v>446</v>
      </c>
      <c r="E675" s="745" t="s">
        <v>11</v>
      </c>
      <c r="F675" s="746">
        <v>36</v>
      </c>
      <c r="G675" s="746">
        <v>1671500</v>
      </c>
      <c r="H675" s="746">
        <v>60174000</v>
      </c>
      <c r="I675" s="735" t="s">
        <v>1498</v>
      </c>
      <c r="J675" s="734"/>
      <c r="K675" s="735"/>
      <c r="L675" s="736"/>
    </row>
    <row r="676" spans="1:14" s="646" customFormat="1" ht="18" hidden="1" customHeight="1" x14ac:dyDescent="0.4">
      <c r="A676" s="744">
        <v>46080</v>
      </c>
      <c r="B676" s="745" t="s">
        <v>58</v>
      </c>
      <c r="C676" s="735" t="s">
        <v>445</v>
      </c>
      <c r="D676" s="735" t="s">
        <v>446</v>
      </c>
      <c r="E676" s="745" t="s">
        <v>11</v>
      </c>
      <c r="F676" s="746">
        <v>24</v>
      </c>
      <c r="G676" s="746">
        <v>1671500</v>
      </c>
      <c r="H676" s="746">
        <v>40116000</v>
      </c>
      <c r="I676" s="735"/>
      <c r="J676" s="734"/>
      <c r="K676" s="735"/>
      <c r="L676" s="736"/>
    </row>
    <row r="677" spans="1:14" ht="17.25" hidden="1" customHeight="1" x14ac:dyDescent="0.4">
      <c r="F677" s="780"/>
      <c r="G677" s="780"/>
    </row>
    <row r="678" spans="1:14" hidden="1" x14ac:dyDescent="0.4"/>
    <row r="679" spans="1:14" hidden="1" x14ac:dyDescent="0.4"/>
    <row r="680" spans="1:14" hidden="1" x14ac:dyDescent="0.4"/>
    <row r="681" spans="1:14" ht="17.25" hidden="1" customHeight="1" x14ac:dyDescent="0.4">
      <c r="A681" s="505" t="s">
        <v>1842</v>
      </c>
    </row>
    <row r="682" spans="1:14" ht="20.25" hidden="1" customHeight="1" x14ac:dyDescent="0.4">
      <c r="A682" s="482">
        <v>46203</v>
      </c>
      <c r="B682" s="59" t="s">
        <v>55</v>
      </c>
      <c r="C682" s="49" t="s">
        <v>56</v>
      </c>
      <c r="D682" s="59" t="s">
        <v>57</v>
      </c>
      <c r="E682" s="67"/>
      <c r="F682" s="49">
        <v>196</v>
      </c>
      <c r="G682" s="49">
        <v>304770</v>
      </c>
      <c r="H682" s="68">
        <v>59734920</v>
      </c>
      <c r="I682" s="68" t="s">
        <v>1775</v>
      </c>
      <c r="J682" s="67"/>
      <c r="K682" s="67"/>
      <c r="L682" s="765"/>
      <c r="N682" s="441"/>
    </row>
    <row r="683" spans="1:14" ht="20.25" hidden="1" customHeight="1" x14ac:dyDescent="0.4">
      <c r="A683" s="482">
        <v>46224</v>
      </c>
      <c r="B683" s="59" t="s">
        <v>55</v>
      </c>
      <c r="C683" s="49" t="s">
        <v>56</v>
      </c>
      <c r="D683" s="59" t="s">
        <v>57</v>
      </c>
      <c r="E683" s="67"/>
      <c r="F683" s="49">
        <v>-72</v>
      </c>
      <c r="G683" s="49">
        <v>304770</v>
      </c>
      <c r="H683" s="68">
        <v>59734920</v>
      </c>
      <c r="I683" s="68" t="s">
        <v>1843</v>
      </c>
      <c r="J683" s="67"/>
      <c r="K683" s="67"/>
      <c r="L683" s="765"/>
      <c r="N683" s="441"/>
    </row>
    <row r="684" spans="1:14" ht="20.25" hidden="1" customHeight="1" x14ac:dyDescent="0.4">
      <c r="A684" s="482">
        <v>46226</v>
      </c>
      <c r="B684" s="59" t="s">
        <v>55</v>
      </c>
      <c r="C684" s="49" t="s">
        <v>56</v>
      </c>
      <c r="D684" s="59" t="s">
        <v>57</v>
      </c>
      <c r="E684" s="67"/>
      <c r="F684" s="49">
        <v>36</v>
      </c>
      <c r="G684" s="49">
        <v>304770</v>
      </c>
      <c r="H684" s="68">
        <v>59734920</v>
      </c>
      <c r="I684" s="68" t="s">
        <v>1775</v>
      </c>
      <c r="J684" s="67"/>
      <c r="K684" s="67"/>
      <c r="L684" s="765"/>
      <c r="N684" s="441"/>
    </row>
    <row r="685" spans="1:14" ht="20.25" hidden="1" customHeight="1" x14ac:dyDescent="0.4">
      <c r="A685" s="482">
        <v>46240</v>
      </c>
      <c r="B685" s="59" t="s">
        <v>55</v>
      </c>
      <c r="C685" s="49" t="s">
        <v>56</v>
      </c>
      <c r="D685" s="59" t="s">
        <v>57</v>
      </c>
      <c r="E685" s="67"/>
      <c r="F685" s="49">
        <v>144</v>
      </c>
      <c r="G685" s="49">
        <v>304770</v>
      </c>
      <c r="H685" s="68">
        <v>59734920</v>
      </c>
      <c r="I685" s="68" t="s">
        <v>1775</v>
      </c>
      <c r="J685" s="67"/>
      <c r="K685" s="67"/>
      <c r="L685" s="765"/>
      <c r="N685" s="441"/>
    </row>
  </sheetData>
  <autoFilter ref="A1:N685" xr:uid="{E8F3DF33-1F80-432B-BD38-4B519CFF554B}">
    <filterColumn colId="3">
      <filters>
        <filter val="3270-R8810110401"/>
      </filters>
    </filterColumn>
  </autoFilter>
  <sortState ref="A338:N366">
    <sortCondition ref="A338:A366"/>
  </sortState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2D5B-2DA1-40E5-B919-CE2150319A02}">
  <dimension ref="A1:N661"/>
  <sheetViews>
    <sheetView tabSelected="1" workbookViewId="0">
      <pane ySplit="1" topLeftCell="A2" activePane="bottomLeft" state="frozen"/>
      <selection pane="bottomLeft" activeCell="B9" sqref="B9"/>
    </sheetView>
  </sheetViews>
  <sheetFormatPr defaultColWidth="9" defaultRowHeight="18.75" customHeight="1" x14ac:dyDescent="0.4"/>
  <cols>
    <col min="1" max="1" width="9.69921875" style="903" bestFit="1" customWidth="1"/>
    <col min="2" max="2" width="16.8984375" style="904" customWidth="1"/>
    <col min="3" max="3" width="26.69921875" style="904" bestFit="1" customWidth="1"/>
    <col min="4" max="4" width="29.3984375" style="904" bestFit="1" customWidth="1"/>
    <col min="5" max="6" width="6" style="904" customWidth="1"/>
    <col min="7" max="7" width="16.69921875" style="904" customWidth="1"/>
    <col min="8" max="8" width="20.19921875" style="904" customWidth="1"/>
    <col min="9" max="9" width="32" style="904" customWidth="1"/>
    <col min="10" max="10" width="32" style="903" customWidth="1"/>
    <col min="11" max="11" width="12.69921875" style="904" customWidth="1"/>
    <col min="12" max="12" width="10.5" style="904" bestFit="1" customWidth="1"/>
    <col min="13" max="16384" width="9" style="904"/>
  </cols>
  <sheetData>
    <row r="1" spans="1:13" s="835" customFormat="1" ht="18.75" customHeight="1" x14ac:dyDescent="0.4">
      <c r="A1" s="481" t="s">
        <v>0</v>
      </c>
      <c r="B1" s="100" t="s">
        <v>1</v>
      </c>
      <c r="C1" s="829" t="s">
        <v>2</v>
      </c>
      <c r="D1" s="102" t="s">
        <v>3</v>
      </c>
      <c r="E1" s="102" t="s">
        <v>4</v>
      </c>
      <c r="F1" s="830" t="s">
        <v>5</v>
      </c>
      <c r="G1" s="831" t="s">
        <v>6</v>
      </c>
      <c r="H1" s="831" t="s">
        <v>7</v>
      </c>
      <c r="I1" s="832" t="s">
        <v>8</v>
      </c>
      <c r="J1" s="833"/>
      <c r="K1" s="831"/>
      <c r="L1" s="834" t="s">
        <v>9</v>
      </c>
    </row>
    <row r="2" spans="1:13" s="835" customFormat="1" ht="18.75" customHeight="1" x14ac:dyDescent="0.4">
      <c r="A2" s="488">
        <v>46275</v>
      </c>
      <c r="B2" s="103" t="s">
        <v>10</v>
      </c>
      <c r="C2" s="836" t="s">
        <v>14</v>
      </c>
      <c r="D2" s="42">
        <v>60817438</v>
      </c>
      <c r="E2" s="42" t="s">
        <v>13</v>
      </c>
      <c r="F2" s="837">
        <v>30</v>
      </c>
      <c r="G2" s="838">
        <v>620000</v>
      </c>
      <c r="H2" s="838">
        <f>F2*G2</f>
        <v>18600000</v>
      </c>
      <c r="I2" s="839" t="s">
        <v>1882</v>
      </c>
      <c r="J2" s="840"/>
      <c r="K2" s="838"/>
      <c r="L2" s="841"/>
    </row>
    <row r="3" spans="1:13" s="835" customFormat="1" ht="18.75" customHeight="1" x14ac:dyDescent="0.4">
      <c r="A3" s="488">
        <v>46275</v>
      </c>
      <c r="B3" s="103" t="s">
        <v>10</v>
      </c>
      <c r="C3" s="836" t="s">
        <v>15</v>
      </c>
      <c r="D3" s="42">
        <v>60817439</v>
      </c>
      <c r="E3" s="42" t="s">
        <v>13</v>
      </c>
      <c r="F3" s="837">
        <v>25</v>
      </c>
      <c r="G3" s="838">
        <v>500000</v>
      </c>
      <c r="H3" s="838">
        <f>F3*G3</f>
        <v>12500000</v>
      </c>
      <c r="I3" s="839" t="s">
        <v>1882</v>
      </c>
      <c r="J3" s="840"/>
      <c r="K3" s="838"/>
      <c r="L3" s="841"/>
    </row>
    <row r="4" spans="1:13" s="19" customFormat="1" ht="18.75" customHeight="1" x14ac:dyDescent="0.4">
      <c r="A4" s="622"/>
      <c r="B4" s="842"/>
      <c r="C4" s="843"/>
      <c r="D4" s="844"/>
      <c r="E4" s="842"/>
      <c r="F4" s="842"/>
      <c r="G4" s="845"/>
      <c r="H4" s="846">
        <f>SUM(H2:H3)</f>
        <v>31100000</v>
      </c>
      <c r="I4" s="40"/>
      <c r="J4" s="848"/>
      <c r="K4" s="849"/>
      <c r="L4" s="696"/>
    </row>
    <row r="5" spans="1:13" s="3" customFormat="1" ht="20.25" customHeight="1" x14ac:dyDescent="0.4">
      <c r="A5" s="482">
        <v>46234</v>
      </c>
      <c r="B5" s="110" t="s">
        <v>16</v>
      </c>
      <c r="C5" s="29" t="s">
        <v>18</v>
      </c>
      <c r="D5" s="110" t="s">
        <v>19</v>
      </c>
      <c r="E5" s="110" t="s">
        <v>17</v>
      </c>
      <c r="F5" s="81">
        <v>80</v>
      </c>
      <c r="G5" s="49">
        <v>317957</v>
      </c>
      <c r="H5" s="8">
        <f>+G5*F5</f>
        <v>25436560</v>
      </c>
      <c r="I5" s="49"/>
      <c r="J5" s="144"/>
      <c r="K5" s="144"/>
      <c r="L5" s="140"/>
      <c r="M5" s="89"/>
    </row>
    <row r="6" spans="1:13" s="3" customFormat="1" ht="20.25" customHeight="1" x14ac:dyDescent="0.4">
      <c r="A6" s="482">
        <v>46250</v>
      </c>
      <c r="B6" s="110" t="s">
        <v>16</v>
      </c>
      <c r="C6" s="29" t="s">
        <v>18</v>
      </c>
      <c r="D6" s="110" t="s">
        <v>19</v>
      </c>
      <c r="E6" s="110" t="s">
        <v>17</v>
      </c>
      <c r="F6" s="81">
        <f>117-80</f>
        <v>37</v>
      </c>
      <c r="G6" s="49">
        <v>317957</v>
      </c>
      <c r="H6" s="8">
        <f t="shared" ref="H6:H15" si="0">+G6*F6</f>
        <v>11764409</v>
      </c>
      <c r="I6" s="49"/>
      <c r="J6" s="144"/>
      <c r="K6" s="144"/>
      <c r="L6" s="140"/>
      <c r="M6" s="89"/>
    </row>
    <row r="7" spans="1:13" s="3" customFormat="1" ht="31.5" customHeight="1" x14ac:dyDescent="0.4">
      <c r="A7" s="482">
        <v>46265</v>
      </c>
      <c r="B7" s="110" t="s">
        <v>16</v>
      </c>
      <c r="C7" s="29" t="s">
        <v>18</v>
      </c>
      <c r="D7" s="110" t="s">
        <v>836</v>
      </c>
      <c r="E7" s="110" t="s">
        <v>17</v>
      </c>
      <c r="F7" s="81">
        <f>27*6</f>
        <v>162</v>
      </c>
      <c r="G7" s="49">
        <v>285857</v>
      </c>
      <c r="H7" s="8">
        <f t="shared" si="0"/>
        <v>46308834</v>
      </c>
      <c r="I7" s="49"/>
      <c r="J7" s="140"/>
      <c r="K7" s="144"/>
      <c r="L7" s="140" t="s">
        <v>495</v>
      </c>
      <c r="M7" s="89"/>
    </row>
    <row r="8" spans="1:13" s="3" customFormat="1" ht="18.75" customHeight="1" x14ac:dyDescent="0.4">
      <c r="A8" s="850">
        <v>46267</v>
      </c>
      <c r="B8" s="851" t="s">
        <v>16</v>
      </c>
      <c r="C8" s="852" t="s">
        <v>1883</v>
      </c>
      <c r="D8" s="851" t="s">
        <v>1884</v>
      </c>
      <c r="E8" s="851"/>
      <c r="F8" s="853">
        <v>25</v>
      </c>
      <c r="G8" s="854">
        <v>383040</v>
      </c>
      <c r="H8" s="8">
        <f t="shared" si="0"/>
        <v>9576000</v>
      </c>
      <c r="I8" s="854"/>
      <c r="J8" s="140"/>
      <c r="K8" s="856"/>
      <c r="L8" s="140"/>
      <c r="M8" s="857"/>
    </row>
    <row r="9" spans="1:13" s="3" customFormat="1" ht="18.75" customHeight="1" x14ac:dyDescent="0.4">
      <c r="A9" s="850">
        <v>46279</v>
      </c>
      <c r="B9" s="851" t="s">
        <v>16</v>
      </c>
      <c r="C9" s="852" t="s">
        <v>1883</v>
      </c>
      <c r="D9" s="851" t="s">
        <v>1884</v>
      </c>
      <c r="E9" s="851"/>
      <c r="F9" s="853">
        <v>12</v>
      </c>
      <c r="G9" s="854">
        <v>383040</v>
      </c>
      <c r="H9" s="8">
        <f t="shared" si="0"/>
        <v>4596480</v>
      </c>
      <c r="I9" s="854"/>
      <c r="J9" s="140"/>
      <c r="K9" s="856"/>
      <c r="L9" s="140"/>
      <c r="M9" s="857"/>
    </row>
    <row r="10" spans="1:13" s="3" customFormat="1" ht="18.75" customHeight="1" x14ac:dyDescent="0.4">
      <c r="A10" s="850">
        <v>46295</v>
      </c>
      <c r="B10" s="851" t="s">
        <v>16</v>
      </c>
      <c r="C10" s="852" t="s">
        <v>1933</v>
      </c>
      <c r="D10" s="851" t="s">
        <v>1932</v>
      </c>
      <c r="E10" s="851"/>
      <c r="F10" s="853">
        <v>-1</v>
      </c>
      <c r="G10" s="854">
        <v>383040</v>
      </c>
      <c r="H10" s="8">
        <f t="shared" si="0"/>
        <v>-383040</v>
      </c>
      <c r="I10" s="854"/>
      <c r="J10" s="140"/>
      <c r="K10" s="856"/>
      <c r="L10" s="140"/>
      <c r="M10" s="857"/>
    </row>
    <row r="11" spans="1:13" s="3" customFormat="1" ht="18.75" customHeight="1" x14ac:dyDescent="0.4">
      <c r="A11" s="850">
        <v>46295</v>
      </c>
      <c r="B11" s="851" t="s">
        <v>16</v>
      </c>
      <c r="C11" s="852" t="s">
        <v>20</v>
      </c>
      <c r="D11" s="851" t="s">
        <v>21</v>
      </c>
      <c r="E11" s="851"/>
      <c r="F11" s="853">
        <v>-9</v>
      </c>
      <c r="G11" s="854">
        <v>285857</v>
      </c>
      <c r="H11" s="8">
        <f t="shared" si="0"/>
        <v>-2572713</v>
      </c>
      <c r="I11" s="854"/>
      <c r="J11" s="140"/>
      <c r="K11" s="856"/>
      <c r="L11" s="140"/>
      <c r="M11" s="857"/>
    </row>
    <row r="12" spans="1:13" s="3" customFormat="1" ht="18.75" customHeight="1" x14ac:dyDescent="0.4">
      <c r="A12" s="850">
        <v>46295</v>
      </c>
      <c r="B12" s="851" t="s">
        <v>16</v>
      </c>
      <c r="C12" s="852" t="s">
        <v>1512</v>
      </c>
      <c r="D12" s="851" t="s">
        <v>1511</v>
      </c>
      <c r="E12" s="851"/>
      <c r="F12" s="853">
        <v>61</v>
      </c>
      <c r="G12" s="907">
        <v>2014</v>
      </c>
      <c r="H12" s="8">
        <f t="shared" si="0"/>
        <v>122854</v>
      </c>
      <c r="I12" s="854" t="s">
        <v>1934</v>
      </c>
      <c r="J12" s="140"/>
      <c r="K12" s="856"/>
      <c r="L12" s="140"/>
      <c r="M12" s="857"/>
    </row>
    <row r="13" spans="1:13" s="3" customFormat="1" ht="18.75" customHeight="1" x14ac:dyDescent="0.4">
      <c r="A13" s="850">
        <v>46295</v>
      </c>
      <c r="B13" s="851" t="s">
        <v>16</v>
      </c>
      <c r="C13" s="852" t="s">
        <v>1512</v>
      </c>
      <c r="D13" s="851" t="s">
        <v>1753</v>
      </c>
      <c r="E13" s="851"/>
      <c r="F13" s="853">
        <v>-2</v>
      </c>
      <c r="G13" s="854">
        <v>2261</v>
      </c>
      <c r="H13" s="8">
        <f t="shared" si="0"/>
        <v>-4522</v>
      </c>
      <c r="I13" s="854" t="s">
        <v>1934</v>
      </c>
      <c r="J13" s="140"/>
      <c r="K13" s="856"/>
      <c r="L13" s="140"/>
      <c r="M13" s="857"/>
    </row>
    <row r="14" spans="1:13" s="3" customFormat="1" ht="18.75" customHeight="1" x14ac:dyDescent="0.4">
      <c r="A14" s="850">
        <v>46295</v>
      </c>
      <c r="B14" s="851" t="s">
        <v>16</v>
      </c>
      <c r="C14" s="852" t="s">
        <v>20</v>
      </c>
      <c r="D14" s="851" t="s">
        <v>21</v>
      </c>
      <c r="E14" s="851"/>
      <c r="F14" s="853">
        <v>1129</v>
      </c>
      <c r="G14" s="854">
        <v>2946</v>
      </c>
      <c r="H14" s="8">
        <f t="shared" si="0"/>
        <v>3326034</v>
      </c>
      <c r="I14" s="854" t="s">
        <v>1934</v>
      </c>
      <c r="J14" s="140"/>
      <c r="K14" s="856"/>
      <c r="L14" s="140"/>
      <c r="M14" s="857"/>
    </row>
    <row r="15" spans="1:13" s="3" customFormat="1" ht="18.75" customHeight="1" x14ac:dyDescent="0.4">
      <c r="A15" s="850">
        <v>46295</v>
      </c>
      <c r="B15" s="851" t="s">
        <v>16</v>
      </c>
      <c r="C15" s="852" t="s">
        <v>22</v>
      </c>
      <c r="D15" s="851" t="s">
        <v>23</v>
      </c>
      <c r="E15" s="851"/>
      <c r="F15" s="853">
        <v>139</v>
      </c>
      <c r="G15" s="854">
        <v>4384</v>
      </c>
      <c r="H15" s="8">
        <f t="shared" si="0"/>
        <v>609376</v>
      </c>
      <c r="I15" s="854" t="s">
        <v>1934</v>
      </c>
      <c r="J15" s="140"/>
      <c r="K15" s="856"/>
      <c r="L15" s="140"/>
      <c r="M15" s="857"/>
    </row>
    <row r="16" spans="1:13" s="3" customFormat="1" ht="18.75" customHeight="1" x14ac:dyDescent="0.4">
      <c r="A16" s="850"/>
      <c r="B16" s="851"/>
      <c r="C16" s="852"/>
      <c r="D16" s="851"/>
      <c r="E16" s="851"/>
      <c r="F16" s="853"/>
      <c r="G16" s="854"/>
      <c r="H16" s="855"/>
      <c r="I16" s="854"/>
      <c r="J16" s="140"/>
      <c r="K16" s="856"/>
      <c r="L16" s="140"/>
      <c r="M16" s="857"/>
    </row>
    <row r="17" spans="1:13" s="3" customFormat="1" ht="17.25" customHeight="1" x14ac:dyDescent="0.4">
      <c r="A17" s="850">
        <v>46295</v>
      </c>
      <c r="B17" s="851" t="s">
        <v>16</v>
      </c>
      <c r="C17" s="852" t="s">
        <v>18</v>
      </c>
      <c r="D17" s="851" t="s">
        <v>836</v>
      </c>
      <c r="E17" s="851" t="s">
        <v>17</v>
      </c>
      <c r="F17" s="853">
        <v>135</v>
      </c>
      <c r="G17" s="854">
        <v>251112</v>
      </c>
      <c r="H17" s="855">
        <f>F17*G17</f>
        <v>33900120</v>
      </c>
      <c r="I17" s="854" t="s">
        <v>1931</v>
      </c>
      <c r="J17" s="140"/>
      <c r="K17" s="856"/>
      <c r="L17" s="140"/>
      <c r="M17" s="857"/>
    </row>
    <row r="18" spans="1:13" s="19" customFormat="1" ht="18.75" customHeight="1" x14ac:dyDescent="0.4">
      <c r="A18" s="622"/>
      <c r="B18" s="842"/>
      <c r="C18" s="843"/>
      <c r="D18" s="844"/>
      <c r="E18" s="842"/>
      <c r="F18" s="842"/>
      <c r="G18" s="845"/>
      <c r="H18" s="846">
        <f>SUM(H5:H15)</f>
        <v>98780272</v>
      </c>
      <c r="I18" s="40"/>
      <c r="J18" s="842">
        <f>I18-H18</f>
        <v>-98780272</v>
      </c>
      <c r="K18" s="849"/>
      <c r="L18" s="696"/>
    </row>
    <row r="19" spans="1:13" s="19" customFormat="1" ht="18.75" customHeight="1" x14ac:dyDescent="0.4">
      <c r="A19" s="485">
        <v>46275</v>
      </c>
      <c r="B19" s="855" t="s">
        <v>24</v>
      </c>
      <c r="C19" s="858" t="s">
        <v>27</v>
      </c>
      <c r="D19" s="859" t="s">
        <v>839</v>
      </c>
      <c r="E19" s="855" t="s">
        <v>11</v>
      </c>
      <c r="F19" s="855">
        <v>750</v>
      </c>
      <c r="G19" s="860">
        <v>9149</v>
      </c>
      <c r="H19" s="855">
        <f t="shared" ref="H19:H25" si="1">F19*G19</f>
        <v>6861750</v>
      </c>
      <c r="I19" s="861"/>
      <c r="J19" s="862"/>
      <c r="K19" s="852"/>
      <c r="L19" s="405"/>
    </row>
    <row r="20" spans="1:13" s="19" customFormat="1" ht="18.75" customHeight="1" x14ac:dyDescent="0.4">
      <c r="A20" s="485">
        <v>46275</v>
      </c>
      <c r="B20" s="855" t="s">
        <v>24</v>
      </c>
      <c r="C20" s="858" t="s">
        <v>27</v>
      </c>
      <c r="D20" s="859" t="s">
        <v>28</v>
      </c>
      <c r="E20" s="855" t="s">
        <v>11</v>
      </c>
      <c r="F20" s="855">
        <v>750</v>
      </c>
      <c r="G20" s="860">
        <v>9081</v>
      </c>
      <c r="H20" s="855">
        <f t="shared" si="1"/>
        <v>6810750</v>
      </c>
      <c r="I20" s="861"/>
      <c r="J20" s="862"/>
      <c r="K20" s="852"/>
      <c r="L20" s="405"/>
    </row>
    <row r="21" spans="1:13" s="19" customFormat="1" ht="18.75" customHeight="1" x14ac:dyDescent="0.4">
      <c r="A21" s="485">
        <v>46295</v>
      </c>
      <c r="B21" s="855" t="s">
        <v>1930</v>
      </c>
      <c r="C21" s="858" t="s">
        <v>25</v>
      </c>
      <c r="D21" s="859" t="s">
        <v>26</v>
      </c>
      <c r="E21" s="855"/>
      <c r="F21" s="855">
        <v>114</v>
      </c>
      <c r="G21" s="860">
        <v>122010</v>
      </c>
      <c r="H21" s="855">
        <f t="shared" si="1"/>
        <v>13909140</v>
      </c>
      <c r="I21" s="861"/>
      <c r="J21" s="862"/>
      <c r="K21" s="852"/>
      <c r="L21" s="405" t="s">
        <v>496</v>
      </c>
    </row>
    <row r="22" spans="1:13" s="3" customFormat="1" ht="19.5" customHeight="1" x14ac:dyDescent="0.4">
      <c r="A22" s="482">
        <v>46295</v>
      </c>
      <c r="B22" s="110" t="s">
        <v>24</v>
      </c>
      <c r="C22" s="29" t="s">
        <v>25</v>
      </c>
      <c r="D22" s="110" t="s">
        <v>26</v>
      </c>
      <c r="E22" s="110" t="s">
        <v>17</v>
      </c>
      <c r="F22" s="81">
        <v>-5</v>
      </c>
      <c r="G22" s="49">
        <v>122010</v>
      </c>
      <c r="H22" s="36">
        <f t="shared" si="1"/>
        <v>-610050</v>
      </c>
      <c r="I22" s="49"/>
      <c r="J22" s="144"/>
      <c r="K22" s="144"/>
      <c r="L22" s="144"/>
      <c r="M22" s="89"/>
    </row>
    <row r="23" spans="1:13" customFormat="1" ht="19.5" customHeight="1" x14ac:dyDescent="0.4">
      <c r="A23" s="482">
        <v>46295</v>
      </c>
      <c r="B23" s="110" t="s">
        <v>24</v>
      </c>
      <c r="C23" s="29" t="s">
        <v>29</v>
      </c>
      <c r="D23" s="110" t="s">
        <v>30</v>
      </c>
      <c r="E23" s="110" t="s">
        <v>17</v>
      </c>
      <c r="F23" s="81">
        <v>-15</v>
      </c>
      <c r="G23" s="49">
        <v>206710</v>
      </c>
      <c r="H23" s="36">
        <f t="shared" si="1"/>
        <v>-3100650</v>
      </c>
      <c r="I23" s="49"/>
      <c r="J23" s="109"/>
      <c r="K23" s="144"/>
      <c r="L23" s="409">
        <v>0</v>
      </c>
    </row>
    <row r="24" spans="1:13" s="19" customFormat="1" ht="19.5" customHeight="1" x14ac:dyDescent="0.3">
      <c r="A24" s="482">
        <v>46295</v>
      </c>
      <c r="B24" s="5" t="s">
        <v>24</v>
      </c>
      <c r="C24" s="401" t="s">
        <v>27</v>
      </c>
      <c r="D24" s="1" t="s">
        <v>839</v>
      </c>
      <c r="E24" s="1" t="s">
        <v>840</v>
      </c>
      <c r="F24" s="402">
        <v>-33</v>
      </c>
      <c r="G24" s="403" ph="1">
        <v>9149</v>
      </c>
      <c r="H24" s="7">
        <f t="shared" si="1"/>
        <v>-301917</v>
      </c>
      <c r="I24" s="404"/>
      <c r="J24" s="398"/>
      <c r="K24" s="400"/>
      <c r="L24" s="405"/>
      <c r="M24" s="406"/>
    </row>
    <row r="25" spans="1:13" s="19" customFormat="1" ht="19.5" customHeight="1" x14ac:dyDescent="0.4">
      <c r="A25" s="482">
        <v>46295</v>
      </c>
      <c r="B25" s="5" t="s">
        <v>24</v>
      </c>
      <c r="C25" s="401" t="s">
        <v>841</v>
      </c>
      <c r="D25" s="1" t="s">
        <v>28</v>
      </c>
      <c r="E25" s="1" t="s">
        <v>840</v>
      </c>
      <c r="F25" s="402">
        <v>-19</v>
      </c>
      <c r="G25" s="403">
        <v>9081</v>
      </c>
      <c r="H25" s="7">
        <f t="shared" si="1"/>
        <v>-172539</v>
      </c>
      <c r="I25" s="404"/>
      <c r="J25" s="398"/>
      <c r="K25" s="400"/>
      <c r="L25" s="405"/>
      <c r="M25" s="406"/>
    </row>
    <row r="26" spans="1:13" s="19" customFormat="1" ht="18.75" customHeight="1" x14ac:dyDescent="0.4">
      <c r="A26" s="485"/>
      <c r="B26" s="855"/>
      <c r="C26" s="858"/>
      <c r="D26" s="859"/>
      <c r="E26" s="855"/>
      <c r="F26" s="855"/>
      <c r="G26" s="860"/>
      <c r="H26" s="855"/>
      <c r="I26" s="29">
        <f>SUM(H22:H25)</f>
        <v>-4185156</v>
      </c>
      <c r="J26" s="862"/>
      <c r="K26" s="852"/>
      <c r="L26" s="405"/>
    </row>
    <row r="27" spans="1:13" s="19" customFormat="1" ht="18.75" customHeight="1" x14ac:dyDescent="0.4">
      <c r="A27" s="622"/>
      <c r="B27" s="842" t="s">
        <v>1930</v>
      </c>
      <c r="C27" s="843"/>
      <c r="D27" s="844"/>
      <c r="E27" s="842"/>
      <c r="F27" s="842"/>
      <c r="G27" s="845"/>
      <c r="H27" s="846">
        <f>SUM(H19:H26)</f>
        <v>23396484</v>
      </c>
      <c r="I27" s="847"/>
      <c r="J27" s="848"/>
      <c r="K27" s="849"/>
      <c r="L27" s="696"/>
    </row>
    <row r="28" spans="1:13" customFormat="1" ht="19.5" customHeight="1" x14ac:dyDescent="0.4">
      <c r="A28" s="482">
        <v>46171</v>
      </c>
      <c r="B28" s="110" t="s">
        <v>556</v>
      </c>
      <c r="C28" s="29" t="s">
        <v>1408</v>
      </c>
      <c r="D28" s="110" t="s">
        <v>1409</v>
      </c>
      <c r="E28" s="110"/>
      <c r="F28" s="81">
        <v>15</v>
      </c>
      <c r="G28" s="49">
        <v>524800</v>
      </c>
      <c r="H28" s="8">
        <f>+G28*F28</f>
        <v>7872000</v>
      </c>
      <c r="I28" s="49" t="s">
        <v>1849</v>
      </c>
      <c r="J28" s="144"/>
      <c r="K28" s="144"/>
      <c r="L28" s="144"/>
    </row>
    <row r="29" spans="1:13" customFormat="1" ht="19.5" customHeight="1" x14ac:dyDescent="0.4">
      <c r="A29" s="482">
        <v>46171</v>
      </c>
      <c r="B29" s="110" t="s">
        <v>556</v>
      </c>
      <c r="C29" s="29" t="s">
        <v>1408</v>
      </c>
      <c r="D29" s="110" t="s">
        <v>1409</v>
      </c>
      <c r="E29" s="110"/>
      <c r="F29" s="81">
        <v>16</v>
      </c>
      <c r="G29" s="49">
        <v>607000</v>
      </c>
      <c r="H29" s="8">
        <f>+G29*F29</f>
        <v>9712000</v>
      </c>
      <c r="I29" s="49" t="s">
        <v>1849</v>
      </c>
      <c r="J29" s="144"/>
      <c r="K29" s="144"/>
      <c r="L29" s="144"/>
    </row>
    <row r="30" spans="1:13" s="19" customFormat="1" ht="17.25" customHeight="1" x14ac:dyDescent="0.4">
      <c r="A30" s="485">
        <v>46261</v>
      </c>
      <c r="B30" s="8" t="s">
        <v>556</v>
      </c>
      <c r="C30" s="6" t="s">
        <v>1772</v>
      </c>
      <c r="D30" s="69" t="s">
        <v>1773</v>
      </c>
      <c r="E30" s="8"/>
      <c r="F30" s="8">
        <v>35</v>
      </c>
      <c r="G30" s="36">
        <v>92270</v>
      </c>
      <c r="H30" s="8">
        <f t="shared" ref="H30:H42" si="2">F30*G30</f>
        <v>3229450</v>
      </c>
      <c r="I30" s="49" t="s">
        <v>1849</v>
      </c>
      <c r="J30" s="70"/>
      <c r="K30" s="29"/>
      <c r="L30" s="405"/>
    </row>
    <row r="31" spans="1:13" s="19" customFormat="1" ht="17.25" customHeight="1" x14ac:dyDescent="0.4">
      <c r="A31" s="485">
        <v>46261</v>
      </c>
      <c r="B31" s="8" t="s">
        <v>556</v>
      </c>
      <c r="C31" s="6" t="s">
        <v>1772</v>
      </c>
      <c r="D31" s="69" t="s">
        <v>1773</v>
      </c>
      <c r="E31" s="8"/>
      <c r="F31" s="8">
        <v>38</v>
      </c>
      <c r="G31" s="36">
        <v>92270</v>
      </c>
      <c r="H31" s="8">
        <f t="shared" si="2"/>
        <v>3506260</v>
      </c>
      <c r="I31" s="49" t="s">
        <v>1849</v>
      </c>
      <c r="J31" s="70"/>
      <c r="K31" s="29"/>
      <c r="L31" s="405"/>
    </row>
    <row r="32" spans="1:13" s="19" customFormat="1" ht="17.25" customHeight="1" x14ac:dyDescent="0.4">
      <c r="A32" s="485">
        <v>46261</v>
      </c>
      <c r="B32" s="8" t="s">
        <v>556</v>
      </c>
      <c r="C32" s="6" t="s">
        <v>1772</v>
      </c>
      <c r="D32" s="69" t="s">
        <v>1773</v>
      </c>
      <c r="E32" s="8"/>
      <c r="F32" s="8">
        <v>14</v>
      </c>
      <c r="G32" s="36">
        <v>92270</v>
      </c>
      <c r="H32" s="8">
        <f t="shared" si="2"/>
        <v>1291780</v>
      </c>
      <c r="I32" s="49" t="s">
        <v>1849</v>
      </c>
      <c r="J32" s="70"/>
      <c r="K32" s="29"/>
      <c r="L32" s="405"/>
    </row>
    <row r="33" spans="1:13" s="19" customFormat="1" ht="17.25" customHeight="1" x14ac:dyDescent="0.4">
      <c r="A33" s="485">
        <v>46261</v>
      </c>
      <c r="B33" s="8" t="s">
        <v>556</v>
      </c>
      <c r="C33" s="6" t="s">
        <v>1772</v>
      </c>
      <c r="D33" s="69" t="s">
        <v>1773</v>
      </c>
      <c r="E33" s="8"/>
      <c r="F33" s="8">
        <v>9</v>
      </c>
      <c r="G33" s="36">
        <v>92270</v>
      </c>
      <c r="H33" s="8">
        <f t="shared" si="2"/>
        <v>830430</v>
      </c>
      <c r="I33" s="49" t="s">
        <v>1849</v>
      </c>
      <c r="J33" s="70"/>
      <c r="K33" s="29"/>
      <c r="L33" s="405"/>
    </row>
    <row r="34" spans="1:13" s="19" customFormat="1" ht="17.25" customHeight="1" x14ac:dyDescent="0.4">
      <c r="A34" s="485">
        <v>46261</v>
      </c>
      <c r="B34" s="8" t="s">
        <v>556</v>
      </c>
      <c r="C34" s="6" t="s">
        <v>37</v>
      </c>
      <c r="D34" s="69" t="s">
        <v>38</v>
      </c>
      <c r="E34" s="8"/>
      <c r="F34" s="8">
        <v>10</v>
      </c>
      <c r="G34" s="36">
        <v>1418400</v>
      </c>
      <c r="H34" s="8">
        <f t="shared" si="2"/>
        <v>14184000</v>
      </c>
      <c r="I34" s="49" t="s">
        <v>1849</v>
      </c>
      <c r="J34" s="70"/>
      <c r="K34" s="29"/>
      <c r="L34" s="405"/>
    </row>
    <row r="35" spans="1:13" s="19" customFormat="1" ht="17.25" customHeight="1" x14ac:dyDescent="0.4">
      <c r="A35" s="485">
        <v>46261</v>
      </c>
      <c r="B35" s="8" t="s">
        <v>556</v>
      </c>
      <c r="C35" s="6" t="s">
        <v>39</v>
      </c>
      <c r="D35" s="69" t="s">
        <v>40</v>
      </c>
      <c r="E35" s="8"/>
      <c r="F35" s="8">
        <v>24</v>
      </c>
      <c r="G35" s="36">
        <v>1529400</v>
      </c>
      <c r="H35" s="8">
        <f t="shared" si="2"/>
        <v>36705600</v>
      </c>
      <c r="I35" s="49" t="s">
        <v>1849</v>
      </c>
      <c r="J35" s="70"/>
      <c r="K35" s="29"/>
      <c r="L35" s="405"/>
    </row>
    <row r="36" spans="1:13" s="19" customFormat="1" ht="17.25" customHeight="1" x14ac:dyDescent="0.4">
      <c r="A36" s="485">
        <v>46262</v>
      </c>
      <c r="B36" s="8" t="s">
        <v>556</v>
      </c>
      <c r="C36" s="6" t="s">
        <v>41</v>
      </c>
      <c r="D36" s="69" t="s">
        <v>42</v>
      </c>
      <c r="E36" s="8"/>
      <c r="F36" s="8">
        <v>42</v>
      </c>
      <c r="G36" s="36">
        <v>205300</v>
      </c>
      <c r="H36" s="8">
        <f t="shared" si="2"/>
        <v>8622600</v>
      </c>
      <c r="I36" s="49" t="s">
        <v>1849</v>
      </c>
      <c r="J36" s="29">
        <v>205300</v>
      </c>
      <c r="K36" s="29"/>
      <c r="L36" s="405"/>
      <c r="M36" s="19" t="s">
        <v>1774</v>
      </c>
    </row>
    <row r="37" spans="1:13" s="19" customFormat="1" ht="17.25" customHeight="1" x14ac:dyDescent="0.4">
      <c r="A37" s="485">
        <v>46262</v>
      </c>
      <c r="B37" s="8" t="s">
        <v>556</v>
      </c>
      <c r="C37" s="6" t="s">
        <v>41</v>
      </c>
      <c r="D37" s="69" t="s">
        <v>42</v>
      </c>
      <c r="E37" s="8"/>
      <c r="F37" s="8">
        <v>71</v>
      </c>
      <c r="G37" s="36">
        <v>265600</v>
      </c>
      <c r="H37" s="8">
        <f>F37*G37</f>
        <v>18857600</v>
      </c>
      <c r="I37" s="49" t="s">
        <v>1849</v>
      </c>
      <c r="J37" s="70"/>
      <c r="K37" s="29"/>
      <c r="L37" s="405"/>
    </row>
    <row r="38" spans="1:13" s="19" customFormat="1" ht="17.25" customHeight="1" x14ac:dyDescent="0.4">
      <c r="A38" s="485">
        <v>46262</v>
      </c>
      <c r="B38" s="8" t="s">
        <v>556</v>
      </c>
      <c r="C38" s="6" t="s">
        <v>41</v>
      </c>
      <c r="D38" s="69" t="s">
        <v>42</v>
      </c>
      <c r="E38" s="8"/>
      <c r="F38" s="8">
        <v>5</v>
      </c>
      <c r="G38" s="36">
        <v>265600</v>
      </c>
      <c r="H38" s="8" t="s">
        <v>186</v>
      </c>
      <c r="I38" s="49" t="s">
        <v>1849</v>
      </c>
      <c r="J38" s="70"/>
      <c r="K38" s="29"/>
      <c r="L38" s="405"/>
    </row>
    <row r="39" spans="1:13" s="19" customFormat="1" ht="17.25" customHeight="1" x14ac:dyDescent="0.4">
      <c r="A39" s="485">
        <v>46262</v>
      </c>
      <c r="B39" s="8" t="s">
        <v>556</v>
      </c>
      <c r="C39" s="6" t="s">
        <v>45</v>
      </c>
      <c r="D39" s="69" t="s">
        <v>46</v>
      </c>
      <c r="E39" s="8"/>
      <c r="F39" s="8">
        <v>31</v>
      </c>
      <c r="G39" s="36">
        <v>148400</v>
      </c>
      <c r="H39" s="8">
        <f t="shared" si="2"/>
        <v>4600400</v>
      </c>
      <c r="I39" s="49" t="s">
        <v>1849</v>
      </c>
      <c r="J39" s="70"/>
      <c r="K39" s="29"/>
      <c r="L39" s="405"/>
    </row>
    <row r="40" spans="1:13" s="19" customFormat="1" ht="17.25" customHeight="1" x14ac:dyDescent="0.4">
      <c r="A40" s="485">
        <v>46262</v>
      </c>
      <c r="B40" s="8" t="s">
        <v>556</v>
      </c>
      <c r="C40" s="6" t="s">
        <v>45</v>
      </c>
      <c r="D40" s="69" t="s">
        <v>46</v>
      </c>
      <c r="E40" s="8"/>
      <c r="F40" s="8">
        <v>126</v>
      </c>
      <c r="G40" s="36">
        <v>148400</v>
      </c>
      <c r="H40" s="8">
        <f>F40*G40</f>
        <v>18698400</v>
      </c>
      <c r="I40" s="49" t="s">
        <v>1849</v>
      </c>
      <c r="J40" s="70"/>
      <c r="K40" s="29"/>
      <c r="L40" s="405"/>
    </row>
    <row r="41" spans="1:13" s="19" customFormat="1" ht="17.25" customHeight="1" x14ac:dyDescent="0.4">
      <c r="A41" s="485">
        <v>46262</v>
      </c>
      <c r="B41" s="8" t="s">
        <v>556</v>
      </c>
      <c r="C41" s="6" t="s">
        <v>45</v>
      </c>
      <c r="D41" s="69" t="s">
        <v>46</v>
      </c>
      <c r="E41" s="8"/>
      <c r="F41" s="8">
        <v>3</v>
      </c>
      <c r="G41" s="36">
        <v>148400</v>
      </c>
      <c r="H41" s="8" t="s">
        <v>186</v>
      </c>
      <c r="I41" s="49" t="s">
        <v>1849</v>
      </c>
      <c r="J41" s="70"/>
      <c r="K41" s="29"/>
      <c r="L41" s="405"/>
    </row>
    <row r="42" spans="1:13" s="19" customFormat="1" ht="17.25" customHeight="1" x14ac:dyDescent="0.4">
      <c r="A42" s="485">
        <v>46265</v>
      </c>
      <c r="B42" s="8" t="s">
        <v>556</v>
      </c>
      <c r="C42" s="6" t="s">
        <v>39</v>
      </c>
      <c r="D42" s="69" t="s">
        <v>40</v>
      </c>
      <c r="E42" s="8"/>
      <c r="F42" s="8">
        <v>15</v>
      </c>
      <c r="G42" s="36">
        <v>1529400</v>
      </c>
      <c r="H42" s="8">
        <f t="shared" si="2"/>
        <v>22941000</v>
      </c>
      <c r="I42" s="49" t="s">
        <v>1849</v>
      </c>
      <c r="J42" s="70"/>
      <c r="K42" s="29"/>
      <c r="L42" s="405"/>
    </row>
    <row r="43" spans="1:13" s="19" customFormat="1" ht="18.75" customHeight="1" x14ac:dyDescent="0.4">
      <c r="A43" s="485">
        <v>46269</v>
      </c>
      <c r="B43" s="855" t="s">
        <v>556</v>
      </c>
      <c r="C43" s="858" t="s">
        <v>35</v>
      </c>
      <c r="D43" s="859" t="s">
        <v>36</v>
      </c>
      <c r="E43" s="855"/>
      <c r="F43" s="855">
        <v>5</v>
      </c>
      <c r="G43" s="860">
        <v>1389100</v>
      </c>
      <c r="H43" s="855">
        <f>F43*G43</f>
        <v>6945500</v>
      </c>
      <c r="I43" s="861"/>
      <c r="J43" s="862"/>
      <c r="K43" s="852"/>
      <c r="L43" s="405"/>
    </row>
    <row r="44" spans="1:13" s="19" customFormat="1" ht="18.75" customHeight="1" x14ac:dyDescent="0.4">
      <c r="A44" s="485">
        <v>46275</v>
      </c>
      <c r="B44" s="855" t="s">
        <v>556</v>
      </c>
      <c r="C44" s="858" t="s">
        <v>1886</v>
      </c>
      <c r="D44" s="863" t="s">
        <v>1887</v>
      </c>
      <c r="E44" s="838"/>
      <c r="F44" s="838">
        <v>20</v>
      </c>
      <c r="G44" s="864">
        <v>74300</v>
      </c>
      <c r="H44" s="855">
        <f t="shared" ref="H44:H94" si="3">F44*G44</f>
        <v>1486000</v>
      </c>
      <c r="I44" s="861"/>
      <c r="J44" s="862"/>
      <c r="K44" s="852"/>
      <c r="L44" s="405"/>
    </row>
    <row r="45" spans="1:13" s="19" customFormat="1" ht="18.75" customHeight="1" x14ac:dyDescent="0.4">
      <c r="A45" s="485">
        <v>46275</v>
      </c>
      <c r="B45" s="855" t="s">
        <v>556</v>
      </c>
      <c r="C45" s="858" t="s">
        <v>35</v>
      </c>
      <c r="D45" s="859" t="s">
        <v>36</v>
      </c>
      <c r="E45" s="855"/>
      <c r="F45" s="855">
        <v>1</v>
      </c>
      <c r="G45" s="860">
        <v>1389100</v>
      </c>
      <c r="H45" s="855">
        <f t="shared" si="3"/>
        <v>1389100</v>
      </c>
      <c r="I45" s="861"/>
      <c r="J45" s="862"/>
      <c r="K45" s="852"/>
      <c r="L45" s="405"/>
    </row>
    <row r="46" spans="1:13" s="19" customFormat="1" ht="18.75" customHeight="1" x14ac:dyDescent="0.4">
      <c r="A46" s="485">
        <v>46275</v>
      </c>
      <c r="B46" s="855" t="s">
        <v>556</v>
      </c>
      <c r="C46" s="858" t="s">
        <v>35</v>
      </c>
      <c r="D46" s="859" t="s">
        <v>36</v>
      </c>
      <c r="E46" s="855"/>
      <c r="F46" s="855">
        <v>4</v>
      </c>
      <c r="G46" s="860">
        <v>1389100</v>
      </c>
      <c r="H46" s="855">
        <f t="shared" si="3"/>
        <v>5556400</v>
      </c>
      <c r="I46" s="861"/>
      <c r="J46" s="862"/>
      <c r="K46" s="852"/>
      <c r="L46" s="405"/>
    </row>
    <row r="47" spans="1:13" s="19" customFormat="1" ht="18.75" customHeight="1" x14ac:dyDescent="0.4">
      <c r="A47" s="485">
        <v>46275</v>
      </c>
      <c r="B47" s="855" t="s">
        <v>556</v>
      </c>
      <c r="C47" s="858" t="s">
        <v>39</v>
      </c>
      <c r="D47" s="859" t="s">
        <v>40</v>
      </c>
      <c r="E47" s="855"/>
      <c r="F47" s="855">
        <v>24</v>
      </c>
      <c r="G47" s="860">
        <v>1529400</v>
      </c>
      <c r="H47" s="855">
        <f>F47*G47</f>
        <v>36705600</v>
      </c>
      <c r="I47" s="861"/>
      <c r="J47" s="862"/>
      <c r="K47" s="852"/>
      <c r="L47" s="405"/>
    </row>
    <row r="48" spans="1:13" s="19" customFormat="1" ht="18.75" customHeight="1" x14ac:dyDescent="0.4">
      <c r="A48" s="485">
        <v>46275</v>
      </c>
      <c r="B48" s="855" t="s">
        <v>556</v>
      </c>
      <c r="C48" s="858" t="s">
        <v>39</v>
      </c>
      <c r="D48" s="859" t="s">
        <v>40</v>
      </c>
      <c r="E48" s="855"/>
      <c r="F48" s="855">
        <v>3</v>
      </c>
      <c r="G48" s="860">
        <v>1648200</v>
      </c>
      <c r="H48" s="855">
        <f t="shared" si="3"/>
        <v>4944600</v>
      </c>
      <c r="I48" s="861"/>
      <c r="J48" s="862"/>
      <c r="K48" s="852"/>
      <c r="L48" s="405"/>
    </row>
    <row r="49" spans="1:12" s="19" customFormat="1" ht="18.75" customHeight="1" x14ac:dyDescent="0.4">
      <c r="A49" s="485">
        <v>46275</v>
      </c>
      <c r="B49" s="855" t="s">
        <v>556</v>
      </c>
      <c r="C49" s="858" t="s">
        <v>43</v>
      </c>
      <c r="D49" s="859" t="s">
        <v>44</v>
      </c>
      <c r="E49" s="855"/>
      <c r="F49" s="855">
        <v>70</v>
      </c>
      <c r="G49" s="860">
        <v>220800</v>
      </c>
      <c r="H49" s="855">
        <f t="shared" si="3"/>
        <v>15456000</v>
      </c>
      <c r="I49" s="861"/>
      <c r="J49" s="862"/>
      <c r="K49" s="852"/>
      <c r="L49" s="405"/>
    </row>
    <row r="50" spans="1:12" s="19" customFormat="1" ht="18.75" customHeight="1" x14ac:dyDescent="0.4">
      <c r="A50" s="485">
        <v>46275</v>
      </c>
      <c r="B50" s="855" t="s">
        <v>556</v>
      </c>
      <c r="C50" s="858" t="s">
        <v>43</v>
      </c>
      <c r="D50" s="859" t="s">
        <v>44</v>
      </c>
      <c r="E50" s="855"/>
      <c r="F50" s="855">
        <v>10</v>
      </c>
      <c r="G50" s="860">
        <v>275800</v>
      </c>
      <c r="H50" s="855">
        <f t="shared" si="3"/>
        <v>2758000</v>
      </c>
      <c r="I50" s="861"/>
      <c r="J50" s="855">
        <v>275800</v>
      </c>
      <c r="K50" s="852"/>
      <c r="L50" s="405"/>
    </row>
    <row r="51" spans="1:12" s="19" customFormat="1" ht="18.75" customHeight="1" x14ac:dyDescent="0.4">
      <c r="A51" s="485">
        <v>46275</v>
      </c>
      <c r="B51" s="855" t="s">
        <v>556</v>
      </c>
      <c r="C51" s="858" t="s">
        <v>172</v>
      </c>
      <c r="D51" s="859" t="s">
        <v>173</v>
      </c>
      <c r="E51" s="855"/>
      <c r="F51" s="855">
        <v>74</v>
      </c>
      <c r="G51" s="860">
        <v>281900</v>
      </c>
      <c r="H51" s="855">
        <f t="shared" si="3"/>
        <v>20860600</v>
      </c>
      <c r="I51" s="861"/>
      <c r="J51" s="862"/>
      <c r="K51" s="852"/>
      <c r="L51" s="405"/>
    </row>
    <row r="52" spans="1:12" s="19" customFormat="1" ht="18.75" customHeight="1" x14ac:dyDescent="0.4">
      <c r="A52" s="485">
        <v>46281</v>
      </c>
      <c r="B52" s="855" t="s">
        <v>556</v>
      </c>
      <c r="C52" s="858" t="s">
        <v>1408</v>
      </c>
      <c r="D52" s="859" t="s">
        <v>1409</v>
      </c>
      <c r="E52" s="855"/>
      <c r="F52" s="855">
        <v>12</v>
      </c>
      <c r="G52" s="860">
        <v>607000</v>
      </c>
      <c r="H52" s="855">
        <f t="shared" si="3"/>
        <v>7284000</v>
      </c>
      <c r="I52" s="861" t="s">
        <v>1888</v>
      </c>
      <c r="J52" s="862"/>
      <c r="K52" s="852"/>
      <c r="L52" s="405"/>
    </row>
    <row r="53" spans="1:12" s="19" customFormat="1" ht="18.75" customHeight="1" x14ac:dyDescent="0.4">
      <c r="A53" s="485">
        <v>46281</v>
      </c>
      <c r="B53" s="855" t="s">
        <v>556</v>
      </c>
      <c r="C53" s="858" t="s">
        <v>1889</v>
      </c>
      <c r="D53" s="859">
        <v>7060740994</v>
      </c>
      <c r="E53" s="855"/>
      <c r="F53" s="855">
        <v>2</v>
      </c>
      <c r="G53" s="860">
        <v>607000</v>
      </c>
      <c r="H53" s="855" t="s">
        <v>186</v>
      </c>
      <c r="I53" s="861"/>
      <c r="J53" s="862"/>
      <c r="K53" s="852"/>
      <c r="L53" s="405"/>
    </row>
    <row r="54" spans="1:12" s="19" customFormat="1" ht="18.75" customHeight="1" x14ac:dyDescent="0.4">
      <c r="A54" s="485">
        <v>46281</v>
      </c>
      <c r="B54" s="855" t="s">
        <v>556</v>
      </c>
      <c r="C54" s="858" t="s">
        <v>47</v>
      </c>
      <c r="D54" s="859" t="s">
        <v>48</v>
      </c>
      <c r="E54" s="855"/>
      <c r="F54" s="855">
        <v>45</v>
      </c>
      <c r="G54" s="860">
        <v>231760</v>
      </c>
      <c r="H54" s="855">
        <f t="shared" si="3"/>
        <v>10429200</v>
      </c>
      <c r="I54" s="861"/>
      <c r="J54" s="862"/>
      <c r="K54" s="852"/>
      <c r="L54" s="405"/>
    </row>
    <row r="55" spans="1:12" s="19" customFormat="1" ht="18.75" customHeight="1" x14ac:dyDescent="0.4">
      <c r="A55" s="485">
        <v>46281</v>
      </c>
      <c r="B55" s="855" t="s">
        <v>556</v>
      </c>
      <c r="C55" s="858" t="s">
        <v>47</v>
      </c>
      <c r="D55" s="859" t="s">
        <v>48</v>
      </c>
      <c r="E55" s="855"/>
      <c r="F55" s="855">
        <v>1</v>
      </c>
      <c r="G55" s="860">
        <v>231760</v>
      </c>
      <c r="H55" s="855">
        <f t="shared" si="3"/>
        <v>231760</v>
      </c>
      <c r="I55" s="861"/>
      <c r="J55" s="862"/>
      <c r="K55" s="852"/>
      <c r="L55" s="405"/>
    </row>
    <row r="56" spans="1:12" s="19" customFormat="1" ht="18.75" customHeight="1" x14ac:dyDescent="0.4">
      <c r="A56" s="485">
        <v>46281</v>
      </c>
      <c r="B56" s="855" t="s">
        <v>556</v>
      </c>
      <c r="C56" s="858" t="s">
        <v>47</v>
      </c>
      <c r="D56" s="859" t="s">
        <v>48</v>
      </c>
      <c r="E56" s="855"/>
      <c r="F56" s="855">
        <v>6</v>
      </c>
      <c r="G56" s="860">
        <v>243100</v>
      </c>
      <c r="H56" s="855">
        <f t="shared" si="3"/>
        <v>1458600</v>
      </c>
      <c r="I56" s="852">
        <v>243100</v>
      </c>
      <c r="J56" s="862"/>
      <c r="K56" s="852"/>
      <c r="L56" s="405"/>
    </row>
    <row r="57" spans="1:12" s="19" customFormat="1" ht="18.75" customHeight="1" x14ac:dyDescent="0.4">
      <c r="A57" s="485">
        <v>46281</v>
      </c>
      <c r="B57" s="855" t="s">
        <v>556</v>
      </c>
      <c r="C57" s="858" t="s">
        <v>49</v>
      </c>
      <c r="D57" s="859" t="s">
        <v>50</v>
      </c>
      <c r="E57" s="855"/>
      <c r="F57" s="855">
        <v>42</v>
      </c>
      <c r="G57" s="860">
        <v>104300</v>
      </c>
      <c r="H57" s="855">
        <f t="shared" si="3"/>
        <v>4380600</v>
      </c>
      <c r="I57" s="861"/>
      <c r="J57" s="862"/>
      <c r="K57" s="852"/>
      <c r="L57" s="405"/>
    </row>
    <row r="58" spans="1:12" s="19" customFormat="1" ht="18.75" customHeight="1" x14ac:dyDescent="0.4">
      <c r="A58" s="485">
        <v>46281</v>
      </c>
      <c r="B58" s="855" t="s">
        <v>556</v>
      </c>
      <c r="C58" s="858" t="s">
        <v>49</v>
      </c>
      <c r="D58" s="859" t="s">
        <v>50</v>
      </c>
      <c r="E58" s="855"/>
      <c r="F58" s="855">
        <v>8</v>
      </c>
      <c r="G58" s="860">
        <v>127400</v>
      </c>
      <c r="H58" s="855">
        <f t="shared" si="3"/>
        <v>1019200</v>
      </c>
      <c r="I58" s="852">
        <v>127400</v>
      </c>
      <c r="J58" s="862"/>
      <c r="K58" s="852"/>
      <c r="L58" s="405"/>
    </row>
    <row r="59" spans="1:12" s="19" customFormat="1" ht="18.75" customHeight="1" x14ac:dyDescent="0.4">
      <c r="A59" s="485">
        <v>46281</v>
      </c>
      <c r="B59" s="855" t="s">
        <v>556</v>
      </c>
      <c r="C59" s="858" t="s">
        <v>177</v>
      </c>
      <c r="D59" s="859" t="s">
        <v>178</v>
      </c>
      <c r="E59" s="855"/>
      <c r="F59" s="855">
        <v>46</v>
      </c>
      <c r="G59" s="860">
        <v>184700</v>
      </c>
      <c r="H59" s="855">
        <f t="shared" si="3"/>
        <v>8496200</v>
      </c>
      <c r="I59" s="861"/>
      <c r="J59" s="862"/>
      <c r="K59" s="852"/>
      <c r="L59" s="405"/>
    </row>
    <row r="60" spans="1:12" s="19" customFormat="1" ht="18.75" customHeight="1" x14ac:dyDescent="0.4">
      <c r="A60" s="485">
        <v>46282</v>
      </c>
      <c r="B60" s="855" t="s">
        <v>556</v>
      </c>
      <c r="C60" s="858" t="s">
        <v>1063</v>
      </c>
      <c r="D60" s="859" t="s">
        <v>1064</v>
      </c>
      <c r="E60" s="855"/>
      <c r="F60" s="865">
        <v>33</v>
      </c>
      <c r="G60" s="860">
        <v>225800</v>
      </c>
      <c r="H60" s="855">
        <f t="shared" si="3"/>
        <v>7451400</v>
      </c>
      <c r="I60" s="861"/>
      <c r="J60" s="862"/>
      <c r="K60" s="852"/>
      <c r="L60" s="405"/>
    </row>
    <row r="61" spans="1:12" s="19" customFormat="1" ht="18.75" customHeight="1" x14ac:dyDescent="0.4">
      <c r="A61" s="485">
        <v>46282</v>
      </c>
      <c r="B61" s="855" t="s">
        <v>556</v>
      </c>
      <c r="C61" s="858" t="s">
        <v>1063</v>
      </c>
      <c r="D61" s="859" t="s">
        <v>1064</v>
      </c>
      <c r="E61" s="855"/>
      <c r="F61" s="865">
        <v>30</v>
      </c>
      <c r="G61" s="860">
        <v>225800</v>
      </c>
      <c r="H61" s="855">
        <f t="shared" si="3"/>
        <v>6774000</v>
      </c>
      <c r="I61" s="861"/>
      <c r="J61" s="862"/>
      <c r="K61" s="852"/>
      <c r="L61" s="405"/>
    </row>
    <row r="62" spans="1:12" s="19" customFormat="1" ht="18.75" customHeight="1" x14ac:dyDescent="0.4">
      <c r="A62" s="485">
        <v>46282</v>
      </c>
      <c r="B62" s="855" t="s">
        <v>556</v>
      </c>
      <c r="C62" s="858" t="s">
        <v>1063</v>
      </c>
      <c r="D62" s="859" t="s">
        <v>1064</v>
      </c>
      <c r="E62" s="855"/>
      <c r="F62" s="865">
        <v>1</v>
      </c>
      <c r="G62" s="860">
        <v>225800</v>
      </c>
      <c r="H62" s="855">
        <f t="shared" si="3"/>
        <v>225800</v>
      </c>
      <c r="I62" s="861"/>
      <c r="J62" s="862"/>
      <c r="K62" s="852"/>
      <c r="L62" s="405"/>
    </row>
    <row r="63" spans="1:12" s="19" customFormat="1" ht="18.75" customHeight="1" x14ac:dyDescent="0.4">
      <c r="A63" s="485">
        <v>46282</v>
      </c>
      <c r="B63" s="855" t="s">
        <v>556</v>
      </c>
      <c r="C63" s="858" t="s">
        <v>1063</v>
      </c>
      <c r="D63" s="859" t="s">
        <v>1064</v>
      </c>
      <c r="E63" s="855"/>
      <c r="F63" s="865">
        <v>36</v>
      </c>
      <c r="G63" s="860">
        <v>225800</v>
      </c>
      <c r="H63" s="855">
        <f t="shared" si="3"/>
        <v>8128800</v>
      </c>
      <c r="I63" s="861"/>
      <c r="J63" s="862"/>
      <c r="K63" s="852"/>
      <c r="L63" s="405"/>
    </row>
    <row r="64" spans="1:12" s="19" customFormat="1" ht="18.75" customHeight="1" x14ac:dyDescent="0.4">
      <c r="A64" s="485">
        <v>46282</v>
      </c>
      <c r="B64" s="855" t="s">
        <v>556</v>
      </c>
      <c r="C64" s="858" t="s">
        <v>35</v>
      </c>
      <c r="D64" s="859" t="s">
        <v>36</v>
      </c>
      <c r="E64" s="855"/>
      <c r="F64" s="865">
        <v>4</v>
      </c>
      <c r="G64" s="860">
        <v>1389100</v>
      </c>
      <c r="H64" s="855">
        <f t="shared" si="3"/>
        <v>5556400</v>
      </c>
      <c r="I64" s="861"/>
      <c r="J64" s="862"/>
      <c r="K64" s="852"/>
      <c r="L64" s="405"/>
    </row>
    <row r="65" spans="1:12" s="19" customFormat="1" ht="18.75" customHeight="1" x14ac:dyDescent="0.4">
      <c r="A65" s="485">
        <v>46282</v>
      </c>
      <c r="B65" s="855" t="s">
        <v>556</v>
      </c>
      <c r="C65" s="858" t="s">
        <v>37</v>
      </c>
      <c r="D65" s="859" t="s">
        <v>38</v>
      </c>
      <c r="E65" s="855"/>
      <c r="F65" s="865">
        <v>7</v>
      </c>
      <c r="G65" s="860">
        <v>1418400</v>
      </c>
      <c r="H65" s="855">
        <f t="shared" si="3"/>
        <v>9928800</v>
      </c>
      <c r="I65" s="861"/>
      <c r="J65" s="862"/>
      <c r="K65" s="852"/>
      <c r="L65" s="405"/>
    </row>
    <row r="66" spans="1:12" s="19" customFormat="1" ht="18.75" customHeight="1" x14ac:dyDescent="0.4">
      <c r="A66" s="485">
        <v>46282</v>
      </c>
      <c r="B66" s="855" t="s">
        <v>556</v>
      </c>
      <c r="C66" s="858" t="s">
        <v>39</v>
      </c>
      <c r="D66" s="859" t="s">
        <v>40</v>
      </c>
      <c r="E66" s="855"/>
      <c r="F66" s="865">
        <v>15</v>
      </c>
      <c r="G66" s="860">
        <v>1648200</v>
      </c>
      <c r="H66" s="855">
        <f t="shared" si="3"/>
        <v>24723000</v>
      </c>
      <c r="I66" s="861"/>
      <c r="J66" s="862"/>
      <c r="K66" s="852"/>
      <c r="L66" s="405"/>
    </row>
    <row r="67" spans="1:12" s="19" customFormat="1" ht="18.75" customHeight="1" x14ac:dyDescent="0.4">
      <c r="A67" s="485">
        <v>46282</v>
      </c>
      <c r="B67" s="855" t="s">
        <v>556</v>
      </c>
      <c r="C67" s="858" t="s">
        <v>172</v>
      </c>
      <c r="D67" s="859" t="s">
        <v>173</v>
      </c>
      <c r="E67" s="855"/>
      <c r="F67" s="865">
        <v>46</v>
      </c>
      <c r="G67" s="860">
        <v>281900</v>
      </c>
      <c r="H67" s="855">
        <f t="shared" si="3"/>
        <v>12967400</v>
      </c>
      <c r="I67" s="861"/>
      <c r="J67" s="862"/>
      <c r="K67" s="852"/>
      <c r="L67" s="405"/>
    </row>
    <row r="68" spans="1:12" s="19" customFormat="1" ht="18.75" customHeight="1" x14ac:dyDescent="0.4">
      <c r="A68" s="485">
        <v>46282</v>
      </c>
      <c r="B68" s="855" t="s">
        <v>556</v>
      </c>
      <c r="C68" s="858" t="s">
        <v>172</v>
      </c>
      <c r="D68" s="859" t="s">
        <v>173</v>
      </c>
      <c r="E68" s="855"/>
      <c r="F68" s="865">
        <v>60</v>
      </c>
      <c r="G68" s="860">
        <v>281900</v>
      </c>
      <c r="H68" s="855">
        <f t="shared" si="3"/>
        <v>16914000</v>
      </c>
      <c r="I68" s="861"/>
      <c r="J68" s="862"/>
      <c r="K68" s="852"/>
      <c r="L68" s="405"/>
    </row>
    <row r="69" spans="1:12" s="19" customFormat="1" ht="18.75" customHeight="1" x14ac:dyDescent="0.4">
      <c r="A69" s="485">
        <v>46287</v>
      </c>
      <c r="B69" s="855" t="s">
        <v>556</v>
      </c>
      <c r="C69" s="858" t="s">
        <v>347</v>
      </c>
      <c r="D69" s="859" t="s">
        <v>348</v>
      </c>
      <c r="E69" s="855"/>
      <c r="F69" s="855">
        <v>2</v>
      </c>
      <c r="G69" s="860">
        <v>38000</v>
      </c>
      <c r="H69" s="855">
        <f t="shared" si="3"/>
        <v>76000</v>
      </c>
      <c r="I69" s="861"/>
      <c r="J69" s="862"/>
      <c r="K69" s="852"/>
      <c r="L69" s="405"/>
    </row>
    <row r="70" spans="1:12" s="19" customFormat="1" ht="18.75" customHeight="1" x14ac:dyDescent="0.4">
      <c r="A70" s="485">
        <v>46287</v>
      </c>
      <c r="B70" s="855" t="s">
        <v>556</v>
      </c>
      <c r="C70" s="858" t="s">
        <v>347</v>
      </c>
      <c r="D70" s="859" t="s">
        <v>348</v>
      </c>
      <c r="E70" s="855"/>
      <c r="F70" s="855">
        <v>9</v>
      </c>
      <c r="G70" s="860">
        <v>38000</v>
      </c>
      <c r="H70" s="855">
        <f t="shared" si="3"/>
        <v>342000</v>
      </c>
      <c r="I70" s="861"/>
      <c r="J70" s="862"/>
      <c r="K70" s="852"/>
      <c r="L70" s="405"/>
    </row>
    <row r="71" spans="1:12" s="19" customFormat="1" ht="18.75" customHeight="1" x14ac:dyDescent="0.4">
      <c r="A71" s="485">
        <v>46287</v>
      </c>
      <c r="B71" s="855" t="s">
        <v>556</v>
      </c>
      <c r="C71" s="858" t="s">
        <v>347</v>
      </c>
      <c r="D71" s="859" t="s">
        <v>349</v>
      </c>
      <c r="E71" s="855"/>
      <c r="F71" s="855">
        <v>2</v>
      </c>
      <c r="G71" s="860">
        <v>43200</v>
      </c>
      <c r="H71" s="855">
        <f t="shared" si="3"/>
        <v>86400</v>
      </c>
      <c r="I71" s="861"/>
      <c r="J71" s="862"/>
      <c r="K71" s="852"/>
      <c r="L71" s="405"/>
    </row>
    <row r="72" spans="1:12" s="19" customFormat="1" ht="18.75" customHeight="1" x14ac:dyDescent="0.4">
      <c r="A72" s="485">
        <v>46287</v>
      </c>
      <c r="B72" s="855" t="s">
        <v>556</v>
      </c>
      <c r="C72" s="858" t="s">
        <v>347</v>
      </c>
      <c r="D72" s="859" t="s">
        <v>349</v>
      </c>
      <c r="E72" s="855"/>
      <c r="F72" s="855">
        <v>4</v>
      </c>
      <c r="G72" s="860">
        <v>43200</v>
      </c>
      <c r="H72" s="855">
        <f t="shared" si="3"/>
        <v>172800</v>
      </c>
      <c r="I72" s="861"/>
      <c r="J72" s="862"/>
      <c r="K72" s="852"/>
      <c r="L72" s="405"/>
    </row>
    <row r="73" spans="1:12" s="19" customFormat="1" ht="18.75" customHeight="1" x14ac:dyDescent="0.4">
      <c r="A73" s="485">
        <v>46287</v>
      </c>
      <c r="B73" s="855" t="s">
        <v>556</v>
      </c>
      <c r="C73" s="858" t="s">
        <v>347</v>
      </c>
      <c r="D73" s="859" t="s">
        <v>350</v>
      </c>
      <c r="E73" s="855"/>
      <c r="F73" s="855">
        <v>2</v>
      </c>
      <c r="G73" s="860">
        <v>38000</v>
      </c>
      <c r="H73" s="855">
        <f t="shared" si="3"/>
        <v>76000</v>
      </c>
      <c r="I73" s="861"/>
      <c r="J73" s="862"/>
      <c r="K73" s="852"/>
      <c r="L73" s="405"/>
    </row>
    <row r="74" spans="1:12" s="19" customFormat="1" ht="18.75" customHeight="1" x14ac:dyDescent="0.4">
      <c r="A74" s="485">
        <v>46287</v>
      </c>
      <c r="B74" s="855" t="s">
        <v>556</v>
      </c>
      <c r="C74" s="858" t="s">
        <v>347</v>
      </c>
      <c r="D74" s="859" t="s">
        <v>350</v>
      </c>
      <c r="E74" s="855"/>
      <c r="F74" s="855">
        <v>11</v>
      </c>
      <c r="G74" s="860">
        <v>38000</v>
      </c>
      <c r="H74" s="855">
        <f t="shared" si="3"/>
        <v>418000</v>
      </c>
      <c r="I74" s="861"/>
      <c r="J74" s="862"/>
      <c r="K74" s="852"/>
      <c r="L74" s="405"/>
    </row>
    <row r="75" spans="1:12" s="19" customFormat="1" ht="18.75" customHeight="1" x14ac:dyDescent="0.4">
      <c r="A75" s="485">
        <v>46287</v>
      </c>
      <c r="B75" s="855" t="s">
        <v>556</v>
      </c>
      <c r="C75" s="858" t="s">
        <v>347</v>
      </c>
      <c r="D75" s="859" t="s">
        <v>351</v>
      </c>
      <c r="E75" s="855"/>
      <c r="F75" s="855">
        <v>2</v>
      </c>
      <c r="G75" s="860">
        <v>39400</v>
      </c>
      <c r="H75" s="855">
        <f t="shared" si="3"/>
        <v>78800</v>
      </c>
      <c r="I75" s="861"/>
      <c r="J75" s="862"/>
      <c r="K75" s="852"/>
      <c r="L75" s="405"/>
    </row>
    <row r="76" spans="1:12" s="19" customFormat="1" ht="18.75" customHeight="1" x14ac:dyDescent="0.4">
      <c r="A76" s="485">
        <v>46287</v>
      </c>
      <c r="B76" s="855" t="s">
        <v>556</v>
      </c>
      <c r="C76" s="858" t="s">
        <v>347</v>
      </c>
      <c r="D76" s="859" t="s">
        <v>351</v>
      </c>
      <c r="E76" s="855"/>
      <c r="F76" s="855">
        <v>8</v>
      </c>
      <c r="G76" s="860">
        <v>39400</v>
      </c>
      <c r="H76" s="855">
        <f t="shared" si="3"/>
        <v>315200</v>
      </c>
      <c r="I76" s="861"/>
      <c r="J76" s="862"/>
      <c r="K76" s="852"/>
      <c r="L76" s="405"/>
    </row>
    <row r="77" spans="1:12" s="19" customFormat="1" ht="18.75" customHeight="1" x14ac:dyDescent="0.4">
      <c r="A77" s="485">
        <v>46287</v>
      </c>
      <c r="B77" s="855" t="s">
        <v>556</v>
      </c>
      <c r="C77" s="858" t="s">
        <v>347</v>
      </c>
      <c r="D77" s="859" t="s">
        <v>352</v>
      </c>
      <c r="E77" s="855"/>
      <c r="F77" s="855">
        <v>2</v>
      </c>
      <c r="G77" s="860">
        <v>35400</v>
      </c>
      <c r="H77" s="855">
        <f t="shared" si="3"/>
        <v>70800</v>
      </c>
      <c r="I77" s="861"/>
      <c r="J77" s="862"/>
      <c r="K77" s="852"/>
      <c r="L77" s="405"/>
    </row>
    <row r="78" spans="1:12" s="19" customFormat="1" ht="18.75" customHeight="1" x14ac:dyDescent="0.4">
      <c r="A78" s="485">
        <v>46287</v>
      </c>
      <c r="B78" s="855" t="s">
        <v>556</v>
      </c>
      <c r="C78" s="858" t="s">
        <v>347</v>
      </c>
      <c r="D78" s="859" t="s">
        <v>352</v>
      </c>
      <c r="E78" s="855"/>
      <c r="F78" s="855">
        <v>11</v>
      </c>
      <c r="G78" s="860">
        <v>35400</v>
      </c>
      <c r="H78" s="855">
        <f t="shared" si="3"/>
        <v>389400</v>
      </c>
      <c r="I78" s="861"/>
      <c r="J78" s="862"/>
      <c r="K78" s="852"/>
      <c r="L78" s="405"/>
    </row>
    <row r="79" spans="1:12" s="19" customFormat="1" ht="18.75" customHeight="1" x14ac:dyDescent="0.4">
      <c r="A79" s="485">
        <v>46287</v>
      </c>
      <c r="B79" s="855" t="s">
        <v>556</v>
      </c>
      <c r="C79" s="858" t="s">
        <v>347</v>
      </c>
      <c r="D79" s="859" t="s">
        <v>353</v>
      </c>
      <c r="E79" s="855"/>
      <c r="F79" s="855">
        <v>2</v>
      </c>
      <c r="G79" s="860">
        <v>40000</v>
      </c>
      <c r="H79" s="855">
        <f t="shared" si="3"/>
        <v>80000</v>
      </c>
      <c r="I79" s="861"/>
      <c r="J79" s="862"/>
      <c r="K79" s="852"/>
      <c r="L79" s="405"/>
    </row>
    <row r="80" spans="1:12" s="19" customFormat="1" ht="18.75" customHeight="1" x14ac:dyDescent="0.4">
      <c r="A80" s="485">
        <v>46287</v>
      </c>
      <c r="B80" s="855" t="s">
        <v>556</v>
      </c>
      <c r="C80" s="858" t="s">
        <v>347</v>
      </c>
      <c r="D80" s="859" t="s">
        <v>353</v>
      </c>
      <c r="E80" s="855"/>
      <c r="F80" s="855">
        <v>11</v>
      </c>
      <c r="G80" s="860">
        <v>40000</v>
      </c>
      <c r="H80" s="855">
        <f t="shared" si="3"/>
        <v>440000</v>
      </c>
      <c r="I80" s="861"/>
      <c r="J80" s="862"/>
      <c r="K80" s="852"/>
      <c r="L80" s="405"/>
    </row>
    <row r="81" spans="1:13" s="19" customFormat="1" ht="18.75" customHeight="1" x14ac:dyDescent="0.4">
      <c r="A81" s="485">
        <v>46287</v>
      </c>
      <c r="B81" s="855" t="s">
        <v>556</v>
      </c>
      <c r="C81" s="858" t="s">
        <v>354</v>
      </c>
      <c r="D81" s="859" t="s">
        <v>355</v>
      </c>
      <c r="E81" s="855"/>
      <c r="F81" s="855">
        <v>13</v>
      </c>
      <c r="G81" s="860">
        <v>1364980</v>
      </c>
      <c r="H81" s="855">
        <f t="shared" si="3"/>
        <v>17744740</v>
      </c>
      <c r="I81" s="861"/>
      <c r="J81" s="862"/>
      <c r="K81" s="852"/>
      <c r="L81" s="405"/>
    </row>
    <row r="82" spans="1:13" s="19" customFormat="1" ht="18.75" customHeight="1" x14ac:dyDescent="0.4">
      <c r="A82" s="485">
        <v>46286</v>
      </c>
      <c r="B82" s="855" t="s">
        <v>556</v>
      </c>
      <c r="C82" s="858" t="s">
        <v>35</v>
      </c>
      <c r="D82" s="859" t="s">
        <v>36</v>
      </c>
      <c r="E82" s="855"/>
      <c r="F82" s="855">
        <v>5</v>
      </c>
      <c r="G82" s="860">
        <v>1389100</v>
      </c>
      <c r="H82" s="855">
        <f t="shared" si="3"/>
        <v>6945500</v>
      </c>
      <c r="I82" s="861"/>
      <c r="J82" s="862"/>
      <c r="K82" s="852"/>
      <c r="L82" s="405"/>
    </row>
    <row r="83" spans="1:13" s="19" customFormat="1" ht="18.75" customHeight="1" x14ac:dyDescent="0.4">
      <c r="A83" s="485">
        <v>46286</v>
      </c>
      <c r="B83" s="855" t="s">
        <v>556</v>
      </c>
      <c r="C83" s="858" t="s">
        <v>39</v>
      </c>
      <c r="D83" s="859" t="s">
        <v>40</v>
      </c>
      <c r="E83" s="855"/>
      <c r="F83" s="855">
        <v>12</v>
      </c>
      <c r="G83" s="860">
        <v>1648200</v>
      </c>
      <c r="H83" s="855">
        <f t="shared" si="3"/>
        <v>19778400</v>
      </c>
      <c r="I83" s="852">
        <v>1648200</v>
      </c>
      <c r="J83" s="862"/>
      <c r="K83" s="852"/>
      <c r="L83" s="405"/>
    </row>
    <row r="84" spans="1:13" s="19" customFormat="1" ht="18.75" customHeight="1" x14ac:dyDescent="0.4">
      <c r="A84" s="485"/>
      <c r="B84" s="855"/>
      <c r="C84" s="858"/>
      <c r="D84" s="859"/>
      <c r="E84" s="855"/>
      <c r="F84" s="855"/>
      <c r="G84" s="860"/>
      <c r="H84" s="855"/>
      <c r="I84" s="852"/>
      <c r="J84" s="862"/>
      <c r="K84" s="852"/>
      <c r="L84" s="405"/>
    </row>
    <row r="85" spans="1:13" s="19" customFormat="1" ht="18.75" customHeight="1" x14ac:dyDescent="0.4">
      <c r="A85" s="485">
        <v>46272</v>
      </c>
      <c r="B85" s="855" t="s">
        <v>556</v>
      </c>
      <c r="C85" s="858" t="s">
        <v>1885</v>
      </c>
      <c r="D85" s="859">
        <v>7060740519</v>
      </c>
      <c r="E85" s="855" t="s">
        <v>184</v>
      </c>
      <c r="F85" s="855">
        <v>30</v>
      </c>
      <c r="G85" s="860">
        <v>44100</v>
      </c>
      <c r="H85" s="855">
        <f>F85*G85</f>
        <v>1323000</v>
      </c>
      <c r="I85" s="861" t="s">
        <v>1943</v>
      </c>
      <c r="J85" s="862"/>
      <c r="K85" s="852"/>
      <c r="L85" s="405"/>
    </row>
    <row r="86" spans="1:13" customFormat="1" ht="17.399999999999999" x14ac:dyDescent="0.4">
      <c r="A86" s="485">
        <v>46234</v>
      </c>
      <c r="B86" s="8" t="s">
        <v>556</v>
      </c>
      <c r="C86" s="6" t="s">
        <v>401</v>
      </c>
      <c r="D86" s="69" t="s">
        <v>402</v>
      </c>
      <c r="E86" s="8"/>
      <c r="F86" s="8">
        <v>5</v>
      </c>
      <c r="G86" s="36">
        <v>6099100</v>
      </c>
      <c r="H86" s="8">
        <f>F86*G86</f>
        <v>30495500</v>
      </c>
      <c r="I86" s="49" t="s">
        <v>1931</v>
      </c>
      <c r="J86" s="70"/>
      <c r="K86" s="29"/>
      <c r="L86" s="405"/>
      <c r="M86" s="19"/>
    </row>
    <row r="87" spans="1:13" s="19" customFormat="1" ht="17.25" customHeight="1" x14ac:dyDescent="0.4">
      <c r="A87" s="485">
        <v>46260</v>
      </c>
      <c r="B87" s="8" t="s">
        <v>556</v>
      </c>
      <c r="C87" s="6" t="s">
        <v>401</v>
      </c>
      <c r="D87" s="69" t="s">
        <v>402</v>
      </c>
      <c r="E87" s="8"/>
      <c r="F87" s="8">
        <v>6</v>
      </c>
      <c r="G87" s="36">
        <v>6099100</v>
      </c>
      <c r="H87" s="8">
        <f>F87*G87</f>
        <v>36594600</v>
      </c>
      <c r="I87" s="49" t="s">
        <v>1931</v>
      </c>
      <c r="J87" s="70"/>
      <c r="K87" s="29"/>
      <c r="L87" s="405"/>
    </row>
    <row r="88" spans="1:13" s="19" customFormat="1" ht="18.75" customHeight="1" x14ac:dyDescent="0.4">
      <c r="A88" s="485">
        <v>46295</v>
      </c>
      <c r="B88" s="855" t="s">
        <v>556</v>
      </c>
      <c r="C88" s="858" t="s">
        <v>35</v>
      </c>
      <c r="D88" s="859" t="s">
        <v>36</v>
      </c>
      <c r="E88" s="855"/>
      <c r="F88" s="855">
        <v>4</v>
      </c>
      <c r="G88" s="860">
        <v>1389100</v>
      </c>
      <c r="H88" s="855">
        <f t="shared" si="3"/>
        <v>5556400</v>
      </c>
      <c r="I88" s="49" t="s">
        <v>1931</v>
      </c>
      <c r="J88" s="862"/>
      <c r="K88" s="852"/>
      <c r="L88" s="405"/>
    </row>
    <row r="89" spans="1:13" s="19" customFormat="1" ht="18.75" customHeight="1" x14ac:dyDescent="0.4">
      <c r="A89" s="485">
        <v>46295</v>
      </c>
      <c r="B89" s="855" t="s">
        <v>556</v>
      </c>
      <c r="C89" s="858" t="s">
        <v>39</v>
      </c>
      <c r="D89" s="859" t="s">
        <v>40</v>
      </c>
      <c r="E89" s="855"/>
      <c r="F89" s="855">
        <v>16</v>
      </c>
      <c r="G89" s="860">
        <v>1648200</v>
      </c>
      <c r="H89" s="855">
        <f t="shared" si="3"/>
        <v>26371200</v>
      </c>
      <c r="I89" s="49" t="s">
        <v>1931</v>
      </c>
      <c r="J89" s="862"/>
      <c r="K89" s="852"/>
      <c r="L89" s="405"/>
    </row>
    <row r="90" spans="1:13" s="19" customFormat="1" ht="18.75" customHeight="1" x14ac:dyDescent="0.4">
      <c r="A90" s="485">
        <v>46295</v>
      </c>
      <c r="B90" s="855" t="s">
        <v>556</v>
      </c>
      <c r="C90" s="858" t="s">
        <v>47</v>
      </c>
      <c r="D90" s="859" t="s">
        <v>48</v>
      </c>
      <c r="E90" s="855"/>
      <c r="F90" s="855">
        <v>91</v>
      </c>
      <c r="G90" s="860">
        <v>243100</v>
      </c>
      <c r="H90" s="855">
        <f t="shared" si="3"/>
        <v>22122100</v>
      </c>
      <c r="I90" s="49" t="s">
        <v>1931</v>
      </c>
      <c r="J90" s="862"/>
      <c r="K90" s="852"/>
      <c r="L90" s="405"/>
    </row>
    <row r="91" spans="1:13" s="19" customFormat="1" ht="18.75" customHeight="1" x14ac:dyDescent="0.4">
      <c r="A91" s="485">
        <v>46295</v>
      </c>
      <c r="B91" s="855" t="s">
        <v>556</v>
      </c>
      <c r="C91" s="858" t="s">
        <v>51</v>
      </c>
      <c r="D91" s="859" t="s">
        <v>52</v>
      </c>
      <c r="E91" s="855"/>
      <c r="F91" s="855">
        <v>22</v>
      </c>
      <c r="G91" s="860">
        <v>151900</v>
      </c>
      <c r="H91" s="855">
        <f>F91*G91</f>
        <v>3341800</v>
      </c>
      <c r="I91" s="49" t="s">
        <v>1931</v>
      </c>
      <c r="J91" s="862"/>
      <c r="K91" s="852"/>
      <c r="L91" s="405"/>
    </row>
    <row r="92" spans="1:13" s="19" customFormat="1" ht="18.75" customHeight="1" x14ac:dyDescent="0.4">
      <c r="A92" s="485">
        <v>46295</v>
      </c>
      <c r="B92" s="855" t="s">
        <v>556</v>
      </c>
      <c r="C92" s="858" t="s">
        <v>1065</v>
      </c>
      <c r="D92" s="859" t="s">
        <v>1066</v>
      </c>
      <c r="E92" s="855"/>
      <c r="F92" s="855">
        <v>5</v>
      </c>
      <c r="G92" s="860">
        <v>280270</v>
      </c>
      <c r="H92" s="855">
        <f t="shared" si="3"/>
        <v>1401350</v>
      </c>
      <c r="I92" s="861" t="s">
        <v>1942</v>
      </c>
      <c r="J92" s="862"/>
      <c r="K92" s="852"/>
      <c r="L92" s="405"/>
    </row>
    <row r="93" spans="1:13" s="19" customFormat="1" ht="18.75" customHeight="1" x14ac:dyDescent="0.4">
      <c r="A93" s="485">
        <v>46295</v>
      </c>
      <c r="B93" s="855" t="s">
        <v>556</v>
      </c>
      <c r="C93" s="858" t="s">
        <v>1065</v>
      </c>
      <c r="D93" s="859" t="s">
        <v>1066</v>
      </c>
      <c r="E93" s="855"/>
      <c r="F93" s="855">
        <v>11</v>
      </c>
      <c r="G93" s="860">
        <v>280270</v>
      </c>
      <c r="H93" s="855">
        <f t="shared" si="3"/>
        <v>3082970</v>
      </c>
      <c r="I93" s="861" t="s">
        <v>1942</v>
      </c>
      <c r="J93" s="862"/>
      <c r="K93" s="852"/>
      <c r="L93" s="405"/>
    </row>
    <row r="94" spans="1:13" s="19" customFormat="1" ht="18.75" customHeight="1" x14ac:dyDescent="0.4">
      <c r="A94" s="485">
        <v>46295</v>
      </c>
      <c r="B94" s="855" t="s">
        <v>1941</v>
      </c>
      <c r="C94" s="858" t="s">
        <v>1065</v>
      </c>
      <c r="D94" s="859" t="s">
        <v>1066</v>
      </c>
      <c r="E94" s="855"/>
      <c r="F94" s="855">
        <v>73</v>
      </c>
      <c r="G94" s="860">
        <v>280270</v>
      </c>
      <c r="H94" s="855">
        <f t="shared" si="3"/>
        <v>20459710</v>
      </c>
      <c r="I94" s="861" t="s">
        <v>1942</v>
      </c>
      <c r="J94" s="862"/>
      <c r="K94" s="852"/>
      <c r="L94" s="405"/>
    </row>
    <row r="95" spans="1:13" s="19" customFormat="1" ht="18.75" customHeight="1" x14ac:dyDescent="0.4">
      <c r="A95" s="485"/>
      <c r="B95" s="855"/>
      <c r="C95" s="858"/>
      <c r="D95" s="859"/>
      <c r="E95" s="855"/>
      <c r="F95" s="855"/>
      <c r="G95" s="860"/>
      <c r="H95" s="855"/>
      <c r="I95" s="861"/>
      <c r="J95" s="862"/>
      <c r="K95" s="852"/>
      <c r="L95" s="405"/>
    </row>
    <row r="96" spans="1:13" s="19" customFormat="1" ht="18.75" customHeight="1" x14ac:dyDescent="0.4">
      <c r="A96" s="485"/>
      <c r="B96" s="855"/>
      <c r="C96" s="858"/>
      <c r="D96" s="859"/>
      <c r="E96" s="855"/>
      <c r="F96" s="855"/>
      <c r="G96" s="860"/>
      <c r="H96" s="855"/>
      <c r="I96" s="861"/>
      <c r="J96" s="862"/>
      <c r="K96" s="852"/>
      <c r="L96" s="405"/>
    </row>
    <row r="97" spans="1:14" s="19" customFormat="1" ht="18.75" customHeight="1" x14ac:dyDescent="0.4">
      <c r="A97" s="485"/>
      <c r="B97" s="855"/>
      <c r="C97" s="858"/>
      <c r="D97" s="859"/>
      <c r="E97" s="855"/>
      <c r="F97" s="855"/>
      <c r="G97" s="860"/>
      <c r="H97" s="855"/>
      <c r="I97" s="861"/>
      <c r="J97" s="862"/>
      <c r="K97" s="852"/>
      <c r="L97" s="405"/>
    </row>
    <row r="98" spans="1:14" s="19" customFormat="1" ht="18.75" customHeight="1" x14ac:dyDescent="0.4">
      <c r="A98" s="622"/>
      <c r="B98" s="842" t="s">
        <v>1941</v>
      </c>
      <c r="C98" s="843"/>
      <c r="D98" s="844"/>
      <c r="E98" s="842"/>
      <c r="F98" s="842"/>
      <c r="G98" s="845"/>
      <c r="H98" s="846">
        <f>SUM(H28:H83)</f>
        <v>420136520</v>
      </c>
      <c r="I98" s="847" t="s">
        <v>1890</v>
      </c>
      <c r="J98" s="848"/>
      <c r="K98" s="849"/>
      <c r="L98" s="696"/>
    </row>
    <row r="99" spans="1:14" s="50" customFormat="1" ht="20.25" customHeight="1" x14ac:dyDescent="0.4">
      <c r="A99" s="482">
        <v>46240</v>
      </c>
      <c r="B99" s="59" t="s">
        <v>55</v>
      </c>
      <c r="C99" s="49" t="s">
        <v>1935</v>
      </c>
      <c r="D99" s="59" t="s">
        <v>1936</v>
      </c>
      <c r="E99" s="67"/>
      <c r="F99" s="49">
        <v>144</v>
      </c>
      <c r="G99" s="860">
        <v>427831</v>
      </c>
      <c r="H99" s="68">
        <f>F99*G99</f>
        <v>61607664</v>
      </c>
      <c r="I99" s="68" t="s">
        <v>1775</v>
      </c>
      <c r="J99" s="67"/>
      <c r="K99" s="67"/>
      <c r="L99" s="765"/>
      <c r="N99" s="441"/>
    </row>
    <row r="100" spans="1:14" s="19" customFormat="1" ht="18.75" customHeight="1" x14ac:dyDescent="0.4">
      <c r="A100" s="485">
        <v>46293</v>
      </c>
      <c r="B100" s="855" t="s">
        <v>55</v>
      </c>
      <c r="C100" s="858" t="s">
        <v>56</v>
      </c>
      <c r="D100" s="859" t="s">
        <v>57</v>
      </c>
      <c r="E100" s="855" t="s">
        <v>17</v>
      </c>
      <c r="F100" s="855">
        <v>144</v>
      </c>
      <c r="G100" s="860">
        <v>427831</v>
      </c>
      <c r="H100" s="855">
        <f>F100*G100</f>
        <v>61607664</v>
      </c>
      <c r="I100" s="866"/>
      <c r="J100" s="855"/>
      <c r="K100" s="852"/>
      <c r="L100" s="405"/>
    </row>
    <row r="101" spans="1:14" s="19" customFormat="1" ht="18.75" customHeight="1" x14ac:dyDescent="0.4">
      <c r="A101" s="485">
        <v>46293</v>
      </c>
      <c r="B101" s="855" t="s">
        <v>55</v>
      </c>
      <c r="C101" s="858" t="s">
        <v>56</v>
      </c>
      <c r="D101" s="859" t="s">
        <v>1937</v>
      </c>
      <c r="E101" s="855" t="s">
        <v>17</v>
      </c>
      <c r="F101" s="855">
        <v>36</v>
      </c>
      <c r="G101" s="860">
        <v>359540</v>
      </c>
      <c r="H101" s="855">
        <f>F101*G101</f>
        <v>12943440</v>
      </c>
      <c r="I101" s="866"/>
      <c r="J101" s="855"/>
      <c r="K101" s="852"/>
      <c r="L101" s="405"/>
    </row>
    <row r="102" spans="1:14" s="50" customFormat="1" ht="20.25" customHeight="1" x14ac:dyDescent="0.4">
      <c r="A102" s="482">
        <v>46295</v>
      </c>
      <c r="B102" s="59" t="s">
        <v>55</v>
      </c>
      <c r="C102" s="68" t="s">
        <v>56</v>
      </c>
      <c r="D102" s="59" t="s">
        <v>1936</v>
      </c>
      <c r="E102" s="855" t="s">
        <v>17</v>
      </c>
      <c r="F102" s="49">
        <v>-14</v>
      </c>
      <c r="G102" s="68">
        <v>304770</v>
      </c>
      <c r="H102" s="68">
        <f>F102*G102</f>
        <v>-4266780</v>
      </c>
      <c r="I102" s="68"/>
      <c r="J102" s="67"/>
      <c r="K102" s="67"/>
      <c r="L102" s="140"/>
    </row>
    <row r="103" spans="1:14" s="3" customFormat="1" ht="20.25" customHeight="1" x14ac:dyDescent="0.4">
      <c r="A103" s="482">
        <v>46295</v>
      </c>
      <c r="B103" s="59" t="s">
        <v>55</v>
      </c>
      <c r="C103" s="29" t="s">
        <v>56</v>
      </c>
      <c r="D103" s="110" t="s">
        <v>1938</v>
      </c>
      <c r="E103" s="855" t="s">
        <v>17</v>
      </c>
      <c r="F103" s="81">
        <v>-2</v>
      </c>
      <c r="G103" s="49">
        <v>302289</v>
      </c>
      <c r="H103" s="8">
        <f>+G103*F103</f>
        <v>-604578</v>
      </c>
      <c r="I103" s="49"/>
      <c r="J103" s="144"/>
      <c r="K103" s="144"/>
      <c r="L103" s="140" t="s">
        <v>1247</v>
      </c>
      <c r="M103" s="89"/>
    </row>
    <row r="104" spans="1:14" s="50" customFormat="1" ht="20.25" customHeight="1" x14ac:dyDescent="0.4">
      <c r="A104" s="482">
        <v>46295</v>
      </c>
      <c r="B104" s="59" t="s">
        <v>55</v>
      </c>
      <c r="C104" s="68" t="s">
        <v>345</v>
      </c>
      <c r="D104" s="59" t="s">
        <v>678</v>
      </c>
      <c r="E104" s="855" t="s">
        <v>17</v>
      </c>
      <c r="F104" s="49">
        <v>-3</v>
      </c>
      <c r="G104" s="68">
        <v>273208</v>
      </c>
      <c r="H104" s="8">
        <f>+G104*F104</f>
        <v>-819624</v>
      </c>
      <c r="I104" s="68"/>
      <c r="J104" s="67"/>
      <c r="K104" s="67"/>
      <c r="L104" s="140"/>
    </row>
    <row r="105" spans="1:14" s="19" customFormat="1" ht="18.75" customHeight="1" x14ac:dyDescent="0.4">
      <c r="A105" s="485"/>
      <c r="B105" s="855"/>
      <c r="C105" s="858"/>
      <c r="D105" s="859"/>
      <c r="E105" s="855"/>
      <c r="F105" s="855"/>
      <c r="G105" s="860"/>
      <c r="H105" s="855"/>
      <c r="I105" s="866"/>
      <c r="J105" s="855"/>
      <c r="K105" s="852"/>
      <c r="L105" s="405"/>
    </row>
    <row r="106" spans="1:14" s="19" customFormat="1" ht="18.75" customHeight="1" x14ac:dyDescent="0.4">
      <c r="A106" s="622"/>
      <c r="B106" s="842"/>
      <c r="C106" s="843"/>
      <c r="D106" s="844"/>
      <c r="E106" s="842"/>
      <c r="F106" s="842"/>
      <c r="G106" s="845"/>
      <c r="H106" s="846">
        <f>SUM(H99:H105)</f>
        <v>130467786</v>
      </c>
      <c r="I106" s="847"/>
      <c r="J106" s="848"/>
      <c r="K106" s="849"/>
      <c r="L106" s="696"/>
    </row>
    <row r="107" spans="1:14" s="3" customFormat="1" ht="19.5" customHeight="1" x14ac:dyDescent="0.4">
      <c r="A107" s="482">
        <v>46034</v>
      </c>
      <c r="B107" s="110" t="s">
        <v>58</v>
      </c>
      <c r="C107" s="29" t="s">
        <v>60</v>
      </c>
      <c r="D107" s="110" t="s">
        <v>722</v>
      </c>
      <c r="E107" s="110" t="s">
        <v>13</v>
      </c>
      <c r="F107" s="8">
        <v>1</v>
      </c>
      <c r="G107" s="81">
        <v>673000</v>
      </c>
      <c r="H107" s="8">
        <f t="shared" ref="H107:H115" si="4">F107*G107</f>
        <v>673000</v>
      </c>
      <c r="I107" s="61"/>
      <c r="J107" s="70"/>
      <c r="K107" s="70"/>
      <c r="L107" s="116"/>
      <c r="M107" s="89"/>
    </row>
    <row r="108" spans="1:14" s="3" customFormat="1" ht="19.5" customHeight="1" x14ac:dyDescent="0.4">
      <c r="A108" s="482">
        <v>46034</v>
      </c>
      <c r="B108" s="110" t="s">
        <v>58</v>
      </c>
      <c r="C108" s="29" t="s">
        <v>60</v>
      </c>
      <c r="D108" s="110" t="s">
        <v>723</v>
      </c>
      <c r="E108" s="110" t="s">
        <v>13</v>
      </c>
      <c r="F108" s="8">
        <v>1</v>
      </c>
      <c r="G108" s="81">
        <v>673000</v>
      </c>
      <c r="H108" s="8">
        <f t="shared" si="4"/>
        <v>673000</v>
      </c>
      <c r="I108" s="61"/>
      <c r="J108" s="70"/>
      <c r="K108" s="70"/>
      <c r="L108" s="116"/>
      <c r="M108" s="89"/>
    </row>
    <row r="109" spans="1:14" s="3" customFormat="1" ht="19.5" customHeight="1" x14ac:dyDescent="0.4">
      <c r="A109" s="482">
        <v>46034</v>
      </c>
      <c r="B109" s="110" t="s">
        <v>58</v>
      </c>
      <c r="C109" s="29" t="s">
        <v>60</v>
      </c>
      <c r="D109" s="110" t="s">
        <v>724</v>
      </c>
      <c r="E109" s="110" t="s">
        <v>13</v>
      </c>
      <c r="F109" s="8">
        <v>33</v>
      </c>
      <c r="G109" s="81">
        <v>188000</v>
      </c>
      <c r="H109" s="8">
        <f t="shared" si="4"/>
        <v>6204000</v>
      </c>
      <c r="I109" s="61"/>
      <c r="J109" s="70"/>
      <c r="K109" s="70"/>
      <c r="L109" s="116"/>
      <c r="M109" s="89"/>
    </row>
    <row r="110" spans="1:14" s="3" customFormat="1" ht="19.5" customHeight="1" x14ac:dyDescent="0.4">
      <c r="A110" s="482">
        <v>46034</v>
      </c>
      <c r="B110" s="110" t="s">
        <v>58</v>
      </c>
      <c r="C110" s="29" t="s">
        <v>60</v>
      </c>
      <c r="D110" s="110" t="s">
        <v>726</v>
      </c>
      <c r="E110" s="110" t="s">
        <v>1946</v>
      </c>
      <c r="F110" s="8">
        <v>36</v>
      </c>
      <c r="G110" s="81">
        <v>188000</v>
      </c>
      <c r="H110" s="8">
        <f t="shared" si="4"/>
        <v>6768000</v>
      </c>
      <c r="I110" s="61"/>
      <c r="J110" s="70"/>
      <c r="K110" s="70"/>
      <c r="L110" s="116"/>
      <c r="M110" s="89"/>
    </row>
    <row r="111" spans="1:14" s="3" customFormat="1" ht="19.5" customHeight="1" x14ac:dyDescent="0.4">
      <c r="A111" s="482">
        <v>46034</v>
      </c>
      <c r="B111" s="110" t="s">
        <v>58</v>
      </c>
      <c r="C111" s="29" t="s">
        <v>60</v>
      </c>
      <c r="D111" s="110" t="s">
        <v>1947</v>
      </c>
      <c r="E111" s="110" t="s">
        <v>1946</v>
      </c>
      <c r="F111" s="8">
        <v>70</v>
      </c>
      <c r="G111" s="81">
        <v>246000</v>
      </c>
      <c r="H111" s="8">
        <f t="shared" si="4"/>
        <v>17220000</v>
      </c>
      <c r="I111" s="61"/>
      <c r="J111" s="70"/>
      <c r="K111" s="70"/>
      <c r="L111" s="116"/>
      <c r="M111" s="89"/>
    </row>
    <row r="112" spans="1:14" s="28" customFormat="1" ht="19.5" customHeight="1" x14ac:dyDescent="0.4">
      <c r="A112" s="485">
        <v>46052</v>
      </c>
      <c r="B112" s="5" t="s">
        <v>58</v>
      </c>
      <c r="C112" s="24" t="s">
        <v>445</v>
      </c>
      <c r="D112" s="11" t="s">
        <v>497</v>
      </c>
      <c r="E112" s="11"/>
      <c r="F112" s="12">
        <v>12</v>
      </c>
      <c r="G112" s="12">
        <v>1671500</v>
      </c>
      <c r="H112" s="8">
        <f t="shared" si="4"/>
        <v>20058000</v>
      </c>
      <c r="I112" s="61"/>
      <c r="J112" s="27"/>
      <c r="K112" s="70"/>
      <c r="L112" s="126"/>
      <c r="M112" s="366"/>
    </row>
    <row r="113" spans="1:13" s="19" customFormat="1" ht="18.75" customHeight="1" x14ac:dyDescent="0.4">
      <c r="A113" s="485">
        <v>46066</v>
      </c>
      <c r="B113" s="5" t="s">
        <v>58</v>
      </c>
      <c r="C113" s="415" t="s">
        <v>445</v>
      </c>
      <c r="D113" s="1" t="s">
        <v>497</v>
      </c>
      <c r="E113" s="110" t="s">
        <v>11</v>
      </c>
      <c r="F113" s="8">
        <v>36</v>
      </c>
      <c r="G113" s="8">
        <v>1671500</v>
      </c>
      <c r="H113" s="8">
        <f t="shared" si="4"/>
        <v>60174000</v>
      </c>
      <c r="I113" s="111" t="s">
        <v>872</v>
      </c>
      <c r="J113" s="404"/>
      <c r="K113" s="70"/>
      <c r="L113" s="126"/>
      <c r="M113" s="416"/>
    </row>
    <row r="114" spans="1:13" s="3" customFormat="1" ht="18.75" customHeight="1" x14ac:dyDescent="0.4">
      <c r="A114" s="488">
        <v>46178</v>
      </c>
      <c r="B114" s="851" t="s">
        <v>58</v>
      </c>
      <c r="C114" s="852" t="s">
        <v>720</v>
      </c>
      <c r="D114" s="851" t="s">
        <v>558</v>
      </c>
      <c r="E114" s="851" t="s">
        <v>11</v>
      </c>
      <c r="F114" s="855">
        <v>1</v>
      </c>
      <c r="G114" s="853">
        <v>700000</v>
      </c>
      <c r="H114" s="855">
        <f t="shared" si="4"/>
        <v>700000</v>
      </c>
      <c r="I114" s="867"/>
      <c r="J114" s="862"/>
      <c r="K114" s="855"/>
      <c r="L114" s="868"/>
      <c r="M114" s="857"/>
    </row>
    <row r="115" spans="1:13" s="3" customFormat="1" ht="18.75" customHeight="1" x14ac:dyDescent="0.4">
      <c r="A115" s="488">
        <v>46178</v>
      </c>
      <c r="B115" s="851" t="s">
        <v>58</v>
      </c>
      <c r="C115" s="852" t="s">
        <v>720</v>
      </c>
      <c r="D115" s="851" t="s">
        <v>559</v>
      </c>
      <c r="E115" s="851" t="s">
        <v>11</v>
      </c>
      <c r="F115" s="855">
        <v>1</v>
      </c>
      <c r="G115" s="853">
        <v>700000</v>
      </c>
      <c r="H115" s="855">
        <f t="shared" si="4"/>
        <v>700000</v>
      </c>
      <c r="I115" s="867"/>
      <c r="J115" s="862"/>
      <c r="K115" s="855"/>
      <c r="L115" s="868"/>
      <c r="M115" s="857"/>
    </row>
    <row r="116" spans="1:13" s="28" customFormat="1" ht="19.5" customHeight="1" x14ac:dyDescent="0.4">
      <c r="A116" s="488">
        <v>46210</v>
      </c>
      <c r="B116" s="110" t="s">
        <v>58</v>
      </c>
      <c r="C116" s="29" t="s">
        <v>60</v>
      </c>
      <c r="D116" s="110" t="s">
        <v>498</v>
      </c>
      <c r="E116" s="110" t="s">
        <v>13</v>
      </c>
      <c r="F116" s="8">
        <v>31</v>
      </c>
      <c r="G116" s="81">
        <v>673000</v>
      </c>
      <c r="H116" s="8">
        <f t="shared" ref="H116:H132" si="5">F116*G116</f>
        <v>20863000</v>
      </c>
      <c r="I116" s="137"/>
      <c r="J116" s="70"/>
      <c r="K116" s="70"/>
      <c r="L116" s="706"/>
      <c r="M116" s="366"/>
    </row>
    <row r="117" spans="1:13" s="19" customFormat="1" ht="18.75" customHeight="1" x14ac:dyDescent="0.4">
      <c r="A117" s="488">
        <v>46221</v>
      </c>
      <c r="B117" s="110" t="s">
        <v>58</v>
      </c>
      <c r="C117" s="29" t="s">
        <v>60</v>
      </c>
      <c r="D117" s="110" t="s">
        <v>498</v>
      </c>
      <c r="E117" s="110" t="s">
        <v>343</v>
      </c>
      <c r="F117" s="8">
        <v>19</v>
      </c>
      <c r="G117" s="81">
        <v>673000</v>
      </c>
      <c r="H117" s="8">
        <f t="shared" si="5"/>
        <v>12787000</v>
      </c>
      <c r="I117" s="137" t="s">
        <v>1659</v>
      </c>
      <c r="J117" s="70"/>
      <c r="K117" s="70"/>
      <c r="L117" s="116"/>
      <c r="M117" s="416"/>
    </row>
    <row r="118" spans="1:13" s="3" customFormat="1" ht="19.5" customHeight="1" x14ac:dyDescent="0.4">
      <c r="A118" s="488">
        <v>46224</v>
      </c>
      <c r="B118" s="110" t="s">
        <v>58</v>
      </c>
      <c r="C118" s="29" t="s">
        <v>60</v>
      </c>
      <c r="D118" s="110" t="s">
        <v>498</v>
      </c>
      <c r="E118" s="110" t="s">
        <v>343</v>
      </c>
      <c r="F118" s="8">
        <v>20</v>
      </c>
      <c r="G118" s="81">
        <v>673000</v>
      </c>
      <c r="H118" s="8">
        <f t="shared" si="5"/>
        <v>13460000</v>
      </c>
      <c r="I118" s="137" t="s">
        <v>1727</v>
      </c>
      <c r="J118" s="70"/>
      <c r="K118" s="70"/>
      <c r="L118" s="116"/>
      <c r="M118" s="89"/>
    </row>
    <row r="119" spans="1:13" s="3" customFormat="1" ht="19.5" customHeight="1" x14ac:dyDescent="0.4">
      <c r="A119" s="488">
        <v>46245</v>
      </c>
      <c r="B119" s="110" t="s">
        <v>58</v>
      </c>
      <c r="C119" s="29" t="s">
        <v>60</v>
      </c>
      <c r="D119" s="110" t="s">
        <v>498</v>
      </c>
      <c r="E119" s="110" t="s">
        <v>13</v>
      </c>
      <c r="F119" s="8">
        <v>1</v>
      </c>
      <c r="G119" s="81">
        <v>673000</v>
      </c>
      <c r="H119" s="518">
        <f t="shared" si="5"/>
        <v>673000</v>
      </c>
      <c r="I119" s="137"/>
      <c r="J119" s="70"/>
      <c r="K119" s="70"/>
      <c r="L119" s="706"/>
      <c r="M119" s="89"/>
    </row>
    <row r="120" spans="1:13" s="3" customFormat="1" ht="18.75" customHeight="1" x14ac:dyDescent="0.4">
      <c r="A120" s="488">
        <v>46273</v>
      </c>
      <c r="B120" s="851" t="s">
        <v>58</v>
      </c>
      <c r="C120" s="852" t="s">
        <v>60</v>
      </c>
      <c r="D120" s="851" t="s">
        <v>498</v>
      </c>
      <c r="E120" s="851" t="s">
        <v>13</v>
      </c>
      <c r="F120" s="855">
        <v>19</v>
      </c>
      <c r="G120" s="853">
        <v>673000</v>
      </c>
      <c r="H120" s="855">
        <f t="shared" si="5"/>
        <v>12787000</v>
      </c>
      <c r="I120" s="869"/>
      <c r="J120" s="862"/>
      <c r="K120" s="855"/>
      <c r="L120" s="870"/>
      <c r="M120" s="857"/>
    </row>
    <row r="121" spans="1:13" s="3" customFormat="1" ht="18.75" customHeight="1" x14ac:dyDescent="0.4">
      <c r="A121" s="488">
        <v>46275</v>
      </c>
      <c r="B121" s="851" t="s">
        <v>58</v>
      </c>
      <c r="C121" s="852" t="s">
        <v>720</v>
      </c>
      <c r="D121" s="851" t="s">
        <v>558</v>
      </c>
      <c r="E121" s="851" t="s">
        <v>11</v>
      </c>
      <c r="F121" s="855">
        <v>8</v>
      </c>
      <c r="G121" s="853">
        <v>700000</v>
      </c>
      <c r="H121" s="855">
        <f t="shared" si="5"/>
        <v>5600000</v>
      </c>
      <c r="I121" s="867"/>
      <c r="J121" s="862"/>
      <c r="K121" s="855"/>
      <c r="L121" s="868"/>
      <c r="M121" s="857"/>
    </row>
    <row r="122" spans="1:13" s="3" customFormat="1" ht="18.75" customHeight="1" x14ac:dyDescent="0.4">
      <c r="A122" s="488">
        <v>46275</v>
      </c>
      <c r="B122" s="851" t="s">
        <v>58</v>
      </c>
      <c r="C122" s="852" t="s">
        <v>720</v>
      </c>
      <c r="D122" s="851" t="s">
        <v>559</v>
      </c>
      <c r="E122" s="851" t="s">
        <v>11</v>
      </c>
      <c r="F122" s="855">
        <v>8</v>
      </c>
      <c r="G122" s="853">
        <v>700000</v>
      </c>
      <c r="H122" s="855">
        <f t="shared" si="5"/>
        <v>5600000</v>
      </c>
      <c r="I122" s="867"/>
      <c r="J122" s="862"/>
      <c r="K122" s="855"/>
      <c r="L122" s="868"/>
      <c r="M122" s="857"/>
    </row>
    <row r="123" spans="1:13" s="3" customFormat="1" ht="18.75" customHeight="1" x14ac:dyDescent="0.4">
      <c r="A123" s="488">
        <v>46283</v>
      </c>
      <c r="B123" s="851" t="s">
        <v>58</v>
      </c>
      <c r="C123" s="852" t="s">
        <v>720</v>
      </c>
      <c r="D123" s="851" t="s">
        <v>558</v>
      </c>
      <c r="E123" s="851" t="s">
        <v>11</v>
      </c>
      <c r="F123" s="855">
        <v>12</v>
      </c>
      <c r="G123" s="853">
        <v>700000</v>
      </c>
      <c r="H123" s="855">
        <f t="shared" si="5"/>
        <v>8400000</v>
      </c>
      <c r="I123" s="867"/>
      <c r="J123" s="862"/>
      <c r="K123" s="855"/>
      <c r="L123" s="868"/>
      <c r="M123" s="857"/>
    </row>
    <row r="124" spans="1:13" s="3" customFormat="1" ht="18.75" customHeight="1" x14ac:dyDescent="0.4">
      <c r="A124" s="488">
        <v>46283</v>
      </c>
      <c r="B124" s="851" t="s">
        <v>58</v>
      </c>
      <c r="C124" s="852" t="s">
        <v>720</v>
      </c>
      <c r="D124" s="851" t="s">
        <v>559</v>
      </c>
      <c r="E124" s="851" t="s">
        <v>11</v>
      </c>
      <c r="F124" s="855">
        <v>12</v>
      </c>
      <c r="G124" s="853">
        <v>700000</v>
      </c>
      <c r="H124" s="855">
        <f t="shared" si="5"/>
        <v>8400000</v>
      </c>
      <c r="I124" s="867"/>
      <c r="J124" s="862"/>
      <c r="K124" s="855"/>
      <c r="L124" s="868"/>
      <c r="M124" s="857"/>
    </row>
    <row r="125" spans="1:13" s="3" customFormat="1" ht="19.5" customHeight="1" x14ac:dyDescent="0.4">
      <c r="A125" s="582">
        <v>46034</v>
      </c>
      <c r="B125" s="583" t="s">
        <v>58</v>
      </c>
      <c r="C125" s="584" t="s">
        <v>60</v>
      </c>
      <c r="D125" s="583" t="s">
        <v>1947</v>
      </c>
      <c r="E125" s="583" t="s">
        <v>1946</v>
      </c>
      <c r="F125" s="463">
        <v>12</v>
      </c>
      <c r="G125" s="578">
        <v>246000</v>
      </c>
      <c r="H125" s="463">
        <f t="shared" si="5"/>
        <v>2952000</v>
      </c>
      <c r="I125" s="464"/>
      <c r="J125" s="585"/>
      <c r="K125" s="585" t="s">
        <v>1931</v>
      </c>
      <c r="L125" s="586"/>
      <c r="M125" s="89"/>
    </row>
    <row r="126" spans="1:13" s="3" customFormat="1" ht="19.5" customHeight="1" x14ac:dyDescent="0.4">
      <c r="A126" s="582">
        <v>46034</v>
      </c>
      <c r="B126" s="583" t="s">
        <v>58</v>
      </c>
      <c r="C126" s="584" t="s">
        <v>60</v>
      </c>
      <c r="D126" s="583" t="s">
        <v>724</v>
      </c>
      <c r="E126" s="583" t="s">
        <v>13</v>
      </c>
      <c r="F126" s="463">
        <v>10</v>
      </c>
      <c r="G126" s="578">
        <v>188000</v>
      </c>
      <c r="H126" s="463">
        <f t="shared" si="5"/>
        <v>1880000</v>
      </c>
      <c r="I126" s="464"/>
      <c r="J126" s="585"/>
      <c r="K126" s="585" t="s">
        <v>1931</v>
      </c>
      <c r="L126" s="586"/>
      <c r="M126" s="89"/>
    </row>
    <row r="127" spans="1:13" s="19" customFormat="1" ht="18.75" customHeight="1" x14ac:dyDescent="0.4">
      <c r="A127" s="582">
        <v>46080</v>
      </c>
      <c r="B127" s="588" t="s">
        <v>58</v>
      </c>
      <c r="C127" s="596" t="s">
        <v>445</v>
      </c>
      <c r="D127" s="574" t="s">
        <v>497</v>
      </c>
      <c r="E127" s="583" t="s">
        <v>11</v>
      </c>
      <c r="F127" s="463">
        <v>24</v>
      </c>
      <c r="G127" s="463">
        <v>1671500</v>
      </c>
      <c r="H127" s="463">
        <f t="shared" si="5"/>
        <v>40116000</v>
      </c>
      <c r="I127" s="594" t="s">
        <v>877</v>
      </c>
      <c r="J127" s="597"/>
      <c r="K127" s="585" t="s">
        <v>1849</v>
      </c>
      <c r="L127" s="593"/>
      <c r="M127" s="416"/>
    </row>
    <row r="128" spans="1:13" s="113" customFormat="1" ht="18.75" customHeight="1" x14ac:dyDescent="0.4">
      <c r="A128" s="598">
        <v>46262</v>
      </c>
      <c r="B128" s="583" t="s">
        <v>58</v>
      </c>
      <c r="C128" s="584" t="s">
        <v>1658</v>
      </c>
      <c r="D128" s="583" t="s">
        <v>729</v>
      </c>
      <c r="E128" s="583" t="s">
        <v>11</v>
      </c>
      <c r="F128" s="463">
        <v>7</v>
      </c>
      <c r="G128" s="578">
        <v>489000</v>
      </c>
      <c r="H128" s="828">
        <f t="shared" si="5"/>
        <v>3423000</v>
      </c>
      <c r="I128" s="689"/>
      <c r="J128" s="594"/>
      <c r="K128" s="585" t="s">
        <v>1849</v>
      </c>
      <c r="L128" s="586"/>
    </row>
    <row r="129" spans="1:13" s="3" customFormat="1" ht="18.75" customHeight="1" x14ac:dyDescent="0.4">
      <c r="A129" s="598">
        <v>46273</v>
      </c>
      <c r="B129" s="911" t="s">
        <v>58</v>
      </c>
      <c r="C129" s="912" t="s">
        <v>60</v>
      </c>
      <c r="D129" s="911" t="s">
        <v>498</v>
      </c>
      <c r="E129" s="911" t="s">
        <v>13</v>
      </c>
      <c r="F129" s="913">
        <v>2</v>
      </c>
      <c r="G129" s="914">
        <v>673000</v>
      </c>
      <c r="H129" s="913">
        <f t="shared" si="5"/>
        <v>1346000</v>
      </c>
      <c r="I129" s="915"/>
      <c r="J129" s="916"/>
      <c r="K129" s="585" t="s">
        <v>1931</v>
      </c>
      <c r="L129" s="917"/>
      <c r="M129" s="857"/>
    </row>
    <row r="130" spans="1:13" s="3" customFormat="1" ht="18.75" customHeight="1" x14ac:dyDescent="0.4">
      <c r="A130" s="598">
        <v>46280</v>
      </c>
      <c r="B130" s="911" t="s">
        <v>58</v>
      </c>
      <c r="C130" s="912" t="s">
        <v>60</v>
      </c>
      <c r="D130" s="911" t="s">
        <v>498</v>
      </c>
      <c r="E130" s="911" t="s">
        <v>13</v>
      </c>
      <c r="F130" s="913">
        <v>24</v>
      </c>
      <c r="G130" s="914">
        <v>673000</v>
      </c>
      <c r="H130" s="913">
        <f t="shared" si="5"/>
        <v>16152000</v>
      </c>
      <c r="I130" s="918"/>
      <c r="J130" s="916"/>
      <c r="K130" s="585" t="s">
        <v>1931</v>
      </c>
      <c r="L130" s="919"/>
      <c r="M130" s="857"/>
    </row>
    <row r="131" spans="1:13" s="3" customFormat="1" ht="18.75" customHeight="1" x14ac:dyDescent="0.4">
      <c r="A131" s="598">
        <v>46287</v>
      </c>
      <c r="B131" s="911" t="s">
        <v>58</v>
      </c>
      <c r="C131" s="912" t="s">
        <v>60</v>
      </c>
      <c r="D131" s="911" t="s">
        <v>498</v>
      </c>
      <c r="E131" s="911" t="s">
        <v>13</v>
      </c>
      <c r="F131" s="913">
        <v>21</v>
      </c>
      <c r="G131" s="914">
        <v>673000</v>
      </c>
      <c r="H131" s="913">
        <f t="shared" si="5"/>
        <v>14133000</v>
      </c>
      <c r="I131" s="918"/>
      <c r="J131" s="916"/>
      <c r="K131" s="585" t="s">
        <v>1931</v>
      </c>
      <c r="L131" s="919"/>
      <c r="M131" s="857"/>
    </row>
    <row r="132" spans="1:13" s="3" customFormat="1" ht="19.5" customHeight="1" x14ac:dyDescent="0.4">
      <c r="A132" s="598">
        <v>46295</v>
      </c>
      <c r="B132" s="911" t="s">
        <v>58</v>
      </c>
      <c r="C132" s="912" t="s">
        <v>60</v>
      </c>
      <c r="D132" s="911" t="s">
        <v>498</v>
      </c>
      <c r="E132" s="911" t="s">
        <v>13</v>
      </c>
      <c r="F132" s="913">
        <v>30</v>
      </c>
      <c r="G132" s="914">
        <v>673000</v>
      </c>
      <c r="H132" s="913">
        <f t="shared" si="5"/>
        <v>20190000</v>
      </c>
      <c r="I132" s="918"/>
      <c r="J132" s="916"/>
      <c r="K132" s="585" t="s">
        <v>1931</v>
      </c>
      <c r="L132" s="919"/>
      <c r="M132" s="857"/>
    </row>
    <row r="133" spans="1:13" s="3" customFormat="1" ht="18.75" customHeight="1" x14ac:dyDescent="0.4">
      <c r="A133" s="488"/>
      <c r="B133" s="851"/>
      <c r="C133" s="852"/>
      <c r="D133" s="851"/>
      <c r="E133" s="851"/>
      <c r="F133" s="855"/>
      <c r="G133" s="853"/>
      <c r="H133" s="855"/>
      <c r="I133" s="867"/>
      <c r="J133" s="862"/>
      <c r="K133" s="855"/>
      <c r="L133" s="868"/>
      <c r="M133" s="857"/>
    </row>
    <row r="134" spans="1:13" s="3" customFormat="1" ht="18.75" customHeight="1" x14ac:dyDescent="0.4">
      <c r="A134" s="488"/>
      <c r="B134" s="851"/>
      <c r="C134" s="852"/>
      <c r="D134" s="851"/>
      <c r="E134" s="851"/>
      <c r="F134" s="855"/>
      <c r="G134" s="853"/>
      <c r="H134" s="855"/>
      <c r="I134" s="867"/>
      <c r="J134" s="862"/>
      <c r="K134" s="855"/>
      <c r="L134" s="868"/>
      <c r="M134" s="857"/>
    </row>
    <row r="135" spans="1:13" s="3" customFormat="1" ht="18.75" customHeight="1" x14ac:dyDescent="0.4">
      <c r="A135" s="488"/>
      <c r="B135" s="851"/>
      <c r="C135" s="852"/>
      <c r="D135" s="851"/>
      <c r="E135" s="851"/>
      <c r="F135" s="855"/>
      <c r="G135" s="853"/>
      <c r="H135" s="855"/>
      <c r="I135" s="867"/>
      <c r="J135" s="862"/>
      <c r="K135" s="855"/>
      <c r="L135" s="868"/>
      <c r="M135" s="857"/>
    </row>
    <row r="136" spans="1:13" s="19" customFormat="1" ht="18.75" customHeight="1" x14ac:dyDescent="0.4">
      <c r="A136" s="622"/>
      <c r="B136" s="842"/>
      <c r="C136" s="843"/>
      <c r="D136" s="844"/>
      <c r="E136" s="842"/>
      <c r="F136" s="842"/>
      <c r="G136" s="845"/>
      <c r="H136" s="846">
        <f>SUM(H107:H124)</f>
        <v>201740000</v>
      </c>
      <c r="I136" s="847"/>
      <c r="J136" s="848"/>
      <c r="K136" s="849"/>
      <c r="L136" s="696"/>
    </row>
    <row r="137" spans="1:13" s="19" customFormat="1" ht="18.75" customHeight="1" x14ac:dyDescent="0.4">
      <c r="A137" s="484">
        <v>46265</v>
      </c>
      <c r="B137" s="59" t="s">
        <v>1550</v>
      </c>
      <c r="C137" s="6" t="s">
        <v>66</v>
      </c>
      <c r="D137" s="69" t="s">
        <v>1080</v>
      </c>
      <c r="E137" s="8"/>
      <c r="F137" s="8">
        <v>3</v>
      </c>
      <c r="G137" s="36">
        <v>1766050</v>
      </c>
      <c r="H137" s="49">
        <v>5298150</v>
      </c>
      <c r="I137" s="150"/>
      <c r="J137" s="70" t="s">
        <v>1788</v>
      </c>
      <c r="K137" s="29"/>
      <c r="L137" s="405"/>
    </row>
    <row r="138" spans="1:13" s="19" customFormat="1" ht="18.75" customHeight="1" x14ac:dyDescent="0.4">
      <c r="A138" s="484">
        <v>46265</v>
      </c>
      <c r="B138" s="59" t="s">
        <v>1550</v>
      </c>
      <c r="C138" s="6" t="s">
        <v>64</v>
      </c>
      <c r="D138" s="69" t="s">
        <v>98</v>
      </c>
      <c r="E138" s="8"/>
      <c r="F138" s="8">
        <v>3</v>
      </c>
      <c r="G138" s="36">
        <v>1431650</v>
      </c>
      <c r="H138" s="49">
        <v>4294950</v>
      </c>
      <c r="I138" s="150"/>
      <c r="J138" s="70" t="s">
        <v>1788</v>
      </c>
      <c r="K138" s="29"/>
      <c r="L138" s="405"/>
    </row>
    <row r="139" spans="1:13" s="19" customFormat="1" ht="18.75" customHeight="1" x14ac:dyDescent="0.4">
      <c r="A139" s="484">
        <v>46265</v>
      </c>
      <c r="B139" s="59" t="s">
        <v>1550</v>
      </c>
      <c r="C139" s="6" t="s">
        <v>71</v>
      </c>
      <c r="D139" s="69" t="s">
        <v>287</v>
      </c>
      <c r="E139" s="8"/>
      <c r="F139" s="8">
        <v>11</v>
      </c>
      <c r="G139" s="36">
        <v>520600</v>
      </c>
      <c r="H139" s="49">
        <v>5726600</v>
      </c>
      <c r="I139" s="150"/>
      <c r="J139" s="70" t="s">
        <v>1788</v>
      </c>
      <c r="K139" s="29"/>
      <c r="L139" s="405"/>
    </row>
    <row r="140" spans="1:13" s="19" customFormat="1" ht="18.75" customHeight="1" x14ac:dyDescent="0.4">
      <c r="A140" s="484">
        <v>46265</v>
      </c>
      <c r="B140" s="59" t="s">
        <v>1550</v>
      </c>
      <c r="C140" s="6" t="s">
        <v>66</v>
      </c>
      <c r="D140" s="69" t="s">
        <v>1080</v>
      </c>
      <c r="E140" s="8"/>
      <c r="F140" s="8">
        <v>12</v>
      </c>
      <c r="G140" s="36">
        <v>1766050</v>
      </c>
      <c r="H140" s="49">
        <v>21192600</v>
      </c>
      <c r="I140" s="150"/>
      <c r="J140" s="70" t="s">
        <v>1787</v>
      </c>
      <c r="K140" s="29"/>
      <c r="L140" s="405"/>
    </row>
    <row r="141" spans="1:13" s="19" customFormat="1" ht="18.75" customHeight="1" x14ac:dyDescent="0.4">
      <c r="A141" s="484">
        <v>46265</v>
      </c>
      <c r="B141" s="59" t="s">
        <v>1550</v>
      </c>
      <c r="C141" s="6" t="s">
        <v>64</v>
      </c>
      <c r="D141" s="69" t="s">
        <v>98</v>
      </c>
      <c r="E141" s="8"/>
      <c r="F141" s="8">
        <v>12</v>
      </c>
      <c r="G141" s="36">
        <v>1431650</v>
      </c>
      <c r="H141" s="49">
        <v>17179800</v>
      </c>
      <c r="I141" s="150"/>
      <c r="J141" s="70" t="s">
        <v>1787</v>
      </c>
      <c r="K141" s="29"/>
      <c r="L141" s="405"/>
    </row>
    <row r="142" spans="1:13" s="19" customFormat="1" ht="18.75" customHeight="1" x14ac:dyDescent="0.4">
      <c r="A142" s="484">
        <v>46265</v>
      </c>
      <c r="B142" s="59" t="s">
        <v>1550</v>
      </c>
      <c r="C142" s="6" t="s">
        <v>71</v>
      </c>
      <c r="D142" s="69" t="s">
        <v>287</v>
      </c>
      <c r="E142" s="8"/>
      <c r="F142" s="8">
        <v>12</v>
      </c>
      <c r="G142" s="36">
        <v>520600</v>
      </c>
      <c r="H142" s="49">
        <v>6247200</v>
      </c>
      <c r="I142" s="150"/>
      <c r="J142" s="70" t="s">
        <v>1787</v>
      </c>
      <c r="K142" s="29"/>
      <c r="L142" s="405"/>
    </row>
    <row r="143" spans="1:13" s="19" customFormat="1" ht="18.75" customHeight="1" x14ac:dyDescent="0.4">
      <c r="A143" s="484">
        <v>46265</v>
      </c>
      <c r="B143" s="59" t="s">
        <v>1550</v>
      </c>
      <c r="C143" s="6" t="s">
        <v>428</v>
      </c>
      <c r="D143" s="69" t="s">
        <v>289</v>
      </c>
      <c r="E143" s="8"/>
      <c r="F143" s="8">
        <v>10</v>
      </c>
      <c r="G143" s="36">
        <v>390000</v>
      </c>
      <c r="H143" s="49">
        <v>3900000</v>
      </c>
      <c r="I143" s="150"/>
      <c r="J143" s="70" t="s">
        <v>1787</v>
      </c>
      <c r="K143" s="29"/>
      <c r="L143" s="405"/>
    </row>
    <row r="144" spans="1:13" s="19" customFormat="1" ht="18.75" customHeight="1" x14ac:dyDescent="0.4">
      <c r="A144" s="484">
        <v>46265</v>
      </c>
      <c r="B144" s="59" t="s">
        <v>1550</v>
      </c>
      <c r="C144" s="6" t="s">
        <v>63</v>
      </c>
      <c r="D144" s="69" t="s">
        <v>97</v>
      </c>
      <c r="E144" s="8"/>
      <c r="F144" s="8">
        <v>3</v>
      </c>
      <c r="G144" s="36">
        <v>137000</v>
      </c>
      <c r="H144" s="49">
        <v>411000</v>
      </c>
      <c r="I144" s="150"/>
      <c r="J144" s="70" t="s">
        <v>1785</v>
      </c>
      <c r="K144" s="29"/>
      <c r="L144" s="405"/>
    </row>
    <row r="145" spans="1:13" s="19" customFormat="1" ht="18.75" customHeight="1" x14ac:dyDescent="0.4">
      <c r="A145" s="484">
        <v>46265</v>
      </c>
      <c r="B145" s="59" t="s">
        <v>1550</v>
      </c>
      <c r="C145" s="6" t="s">
        <v>63</v>
      </c>
      <c r="D145" s="69" t="s">
        <v>97</v>
      </c>
      <c r="E145" s="8"/>
      <c r="F145" s="8">
        <v>3</v>
      </c>
      <c r="G145" s="36">
        <v>137000</v>
      </c>
      <c r="H145" s="49">
        <v>411000</v>
      </c>
      <c r="I145" s="150"/>
      <c r="J145" s="70" t="s">
        <v>1786</v>
      </c>
      <c r="K145" s="29"/>
      <c r="L145" s="405"/>
    </row>
    <row r="146" spans="1:13" s="19" customFormat="1" ht="18.75" customHeight="1" x14ac:dyDescent="0.4">
      <c r="A146" s="484">
        <v>46265</v>
      </c>
      <c r="B146" s="59" t="s">
        <v>1550</v>
      </c>
      <c r="C146" s="6" t="s">
        <v>202</v>
      </c>
      <c r="D146" s="69" t="s">
        <v>203</v>
      </c>
      <c r="E146" s="8"/>
      <c r="F146" s="8">
        <v>3</v>
      </c>
      <c r="G146" s="36">
        <v>384000</v>
      </c>
      <c r="H146" s="49">
        <v>1152000</v>
      </c>
      <c r="I146" s="150"/>
      <c r="J146" s="70" t="s">
        <v>1785</v>
      </c>
      <c r="K146" s="29"/>
      <c r="L146" s="405"/>
    </row>
    <row r="147" spans="1:13" s="19" customFormat="1" ht="18.75" customHeight="1" x14ac:dyDescent="0.4">
      <c r="A147" s="484">
        <v>46265</v>
      </c>
      <c r="B147" s="59" t="s">
        <v>1550</v>
      </c>
      <c r="C147" s="6" t="s">
        <v>202</v>
      </c>
      <c r="D147" s="69" t="s">
        <v>203</v>
      </c>
      <c r="E147" s="8"/>
      <c r="F147" s="518">
        <v>3</v>
      </c>
      <c r="G147" s="36">
        <v>384000</v>
      </c>
      <c r="H147" s="49">
        <v>1152000</v>
      </c>
      <c r="I147" s="150"/>
      <c r="J147" s="70" t="s">
        <v>1786</v>
      </c>
      <c r="K147" s="29"/>
      <c r="L147" s="405"/>
    </row>
    <row r="148" spans="1:13" s="19" customFormat="1" ht="18.75" customHeight="1" x14ac:dyDescent="0.4">
      <c r="A148" s="484">
        <v>46265</v>
      </c>
      <c r="B148" s="59" t="s">
        <v>1550</v>
      </c>
      <c r="C148" s="6" t="s">
        <v>290</v>
      </c>
      <c r="D148" s="69" t="s">
        <v>291</v>
      </c>
      <c r="E148" s="8"/>
      <c r="F148" s="518">
        <v>2</v>
      </c>
      <c r="G148" s="36">
        <v>129000</v>
      </c>
      <c r="H148" s="49">
        <v>258000</v>
      </c>
      <c r="I148" s="150"/>
      <c r="J148" s="70" t="s">
        <v>70</v>
      </c>
      <c r="K148" s="29"/>
      <c r="L148" s="405"/>
    </row>
    <row r="149" spans="1:13" s="19" customFormat="1" ht="18.75" customHeight="1" x14ac:dyDescent="0.4">
      <c r="A149" s="484">
        <v>46265</v>
      </c>
      <c r="B149" s="59" t="s">
        <v>1550</v>
      </c>
      <c r="C149" s="6" t="s">
        <v>290</v>
      </c>
      <c r="D149" s="69" t="s">
        <v>291</v>
      </c>
      <c r="E149" s="8"/>
      <c r="F149" s="518">
        <v>2</v>
      </c>
      <c r="G149" s="36">
        <v>129000</v>
      </c>
      <c r="H149" s="49">
        <v>258000</v>
      </c>
      <c r="I149" s="150"/>
      <c r="J149" s="70" t="s">
        <v>70</v>
      </c>
      <c r="K149" s="29"/>
      <c r="L149" s="405"/>
    </row>
    <row r="150" spans="1:13" s="19" customFormat="1" ht="18.75" customHeight="1" x14ac:dyDescent="0.4">
      <c r="A150" s="484">
        <v>46268</v>
      </c>
      <c r="B150" s="59" t="s">
        <v>1550</v>
      </c>
      <c r="C150" s="6" t="s">
        <v>204</v>
      </c>
      <c r="D150" s="69" t="s">
        <v>205</v>
      </c>
      <c r="E150" s="8"/>
      <c r="F150" s="518">
        <v>3</v>
      </c>
      <c r="G150" s="36">
        <v>1295000</v>
      </c>
      <c r="H150" s="49">
        <v>3885000</v>
      </c>
      <c r="I150" s="150"/>
      <c r="J150" s="70" t="s">
        <v>1779</v>
      </c>
      <c r="K150" s="29"/>
      <c r="L150" s="405"/>
    </row>
    <row r="151" spans="1:13" s="3" customFormat="1" ht="18.75" customHeight="1" x14ac:dyDescent="0.4">
      <c r="A151" s="850">
        <v>46268</v>
      </c>
      <c r="B151" s="851" t="s">
        <v>1550</v>
      </c>
      <c r="C151" s="852" t="s">
        <v>204</v>
      </c>
      <c r="D151" s="851" t="s">
        <v>205</v>
      </c>
      <c r="E151" s="851"/>
      <c r="F151" s="853">
        <v>9</v>
      </c>
      <c r="G151" s="854">
        <v>1295000</v>
      </c>
      <c r="H151" s="855">
        <v>11655000</v>
      </c>
      <c r="I151" s="854"/>
      <c r="J151" s="908" t="s">
        <v>1684</v>
      </c>
      <c r="K151" s="856"/>
      <c r="L151" s="140"/>
      <c r="M151" s="857"/>
    </row>
    <row r="152" spans="1:13" s="3" customFormat="1" ht="18.75" customHeight="1" x14ac:dyDescent="0.4">
      <c r="A152" s="850">
        <v>46268</v>
      </c>
      <c r="B152" s="851" t="s">
        <v>1550</v>
      </c>
      <c r="C152" s="852" t="s">
        <v>64</v>
      </c>
      <c r="D152" s="851" t="s">
        <v>65</v>
      </c>
      <c r="E152" s="851"/>
      <c r="F152" s="853">
        <v>3</v>
      </c>
      <c r="G152" s="854">
        <v>1568700</v>
      </c>
      <c r="H152" s="855">
        <v>4706100</v>
      </c>
      <c r="I152" s="854"/>
      <c r="J152" s="908" t="s">
        <v>1560</v>
      </c>
      <c r="K152" s="856"/>
      <c r="L152" s="140"/>
      <c r="M152" s="857"/>
    </row>
    <row r="153" spans="1:13" s="3" customFormat="1" ht="18.75" customHeight="1" x14ac:dyDescent="0.4">
      <c r="A153" s="850">
        <v>46268</v>
      </c>
      <c r="B153" s="851" t="s">
        <v>1550</v>
      </c>
      <c r="C153" s="852" t="s">
        <v>204</v>
      </c>
      <c r="D153" s="851" t="s">
        <v>205</v>
      </c>
      <c r="E153" s="851"/>
      <c r="F153" s="853">
        <v>3</v>
      </c>
      <c r="G153" s="854">
        <v>1295000</v>
      </c>
      <c r="H153" s="855">
        <v>3885000</v>
      </c>
      <c r="I153" s="854"/>
      <c r="J153" s="909" t="s">
        <v>1683</v>
      </c>
      <c r="K153" s="856"/>
      <c r="L153" s="140"/>
      <c r="M153" s="857"/>
    </row>
    <row r="154" spans="1:13" s="3" customFormat="1" ht="18.75" customHeight="1" x14ac:dyDescent="0.4">
      <c r="A154" s="850">
        <v>46268</v>
      </c>
      <c r="B154" s="851" t="s">
        <v>1550</v>
      </c>
      <c r="C154" s="852" t="s">
        <v>92</v>
      </c>
      <c r="D154" s="851" t="s">
        <v>200</v>
      </c>
      <c r="E154" s="851"/>
      <c r="F154" s="853">
        <v>6</v>
      </c>
      <c r="G154" s="854">
        <v>348500</v>
      </c>
      <c r="H154" s="855">
        <v>2091000</v>
      </c>
      <c r="I154" s="854"/>
      <c r="J154" s="909" t="s">
        <v>70</v>
      </c>
      <c r="K154" s="856"/>
      <c r="L154" s="140"/>
      <c r="M154" s="857"/>
    </row>
    <row r="155" spans="1:13" s="3" customFormat="1" ht="18.75" customHeight="1" x14ac:dyDescent="0.4">
      <c r="A155" s="850">
        <v>46268</v>
      </c>
      <c r="B155" s="851" t="s">
        <v>1550</v>
      </c>
      <c r="C155" s="852" t="s">
        <v>92</v>
      </c>
      <c r="D155" s="851" t="s">
        <v>200</v>
      </c>
      <c r="E155" s="851"/>
      <c r="F155" s="853">
        <v>6</v>
      </c>
      <c r="G155" s="854">
        <v>348500</v>
      </c>
      <c r="H155" s="855">
        <v>2091000</v>
      </c>
      <c r="I155" s="854"/>
      <c r="J155" s="909" t="s">
        <v>70</v>
      </c>
      <c r="K155" s="856"/>
      <c r="L155" s="140"/>
      <c r="M155" s="857"/>
    </row>
    <row r="156" spans="1:13" s="3" customFormat="1" ht="18.75" customHeight="1" x14ac:dyDescent="0.4">
      <c r="A156" s="850">
        <v>46268</v>
      </c>
      <c r="B156" s="851" t="s">
        <v>1550</v>
      </c>
      <c r="C156" s="852" t="s">
        <v>92</v>
      </c>
      <c r="D156" s="851" t="s">
        <v>200</v>
      </c>
      <c r="E156" s="851"/>
      <c r="F156" s="853">
        <v>1</v>
      </c>
      <c r="G156" s="854">
        <v>348500</v>
      </c>
      <c r="H156" s="855">
        <v>348500</v>
      </c>
      <c r="I156" s="854"/>
      <c r="J156" s="909" t="s">
        <v>70</v>
      </c>
      <c r="K156" s="856"/>
      <c r="L156" s="140"/>
      <c r="M156" s="857"/>
    </row>
    <row r="157" spans="1:13" s="3" customFormat="1" ht="18.75" customHeight="1" x14ac:dyDescent="0.4">
      <c r="A157" s="850">
        <v>46268</v>
      </c>
      <c r="B157" s="851" t="s">
        <v>1550</v>
      </c>
      <c r="C157" s="852" t="s">
        <v>92</v>
      </c>
      <c r="D157" s="851" t="s">
        <v>200</v>
      </c>
      <c r="E157" s="851"/>
      <c r="F157" s="853">
        <v>1</v>
      </c>
      <c r="G157" s="854">
        <v>348500</v>
      </c>
      <c r="H157" s="855">
        <v>348500</v>
      </c>
      <c r="I157" s="854"/>
      <c r="J157" s="909" t="s">
        <v>70</v>
      </c>
      <c r="K157" s="856"/>
      <c r="L157" s="140"/>
      <c r="M157" s="857"/>
    </row>
    <row r="158" spans="1:13" s="3" customFormat="1" ht="18.75" customHeight="1" x14ac:dyDescent="0.4">
      <c r="A158" s="850">
        <v>46268</v>
      </c>
      <c r="B158" s="851" t="s">
        <v>1550</v>
      </c>
      <c r="C158" s="852" t="s">
        <v>68</v>
      </c>
      <c r="D158" s="851" t="s">
        <v>69</v>
      </c>
      <c r="E158" s="851"/>
      <c r="F158" s="853">
        <v>2</v>
      </c>
      <c r="G158" s="854">
        <v>359000</v>
      </c>
      <c r="H158" s="855">
        <v>718000</v>
      </c>
      <c r="I158" s="854"/>
      <c r="J158" s="909" t="s">
        <v>70</v>
      </c>
      <c r="K158" s="856"/>
      <c r="L158" s="140"/>
      <c r="M158" s="857"/>
    </row>
    <row r="159" spans="1:13" s="3" customFormat="1" ht="18.75" customHeight="1" x14ac:dyDescent="0.4">
      <c r="A159" s="850">
        <v>46268</v>
      </c>
      <c r="B159" s="871" t="s">
        <v>1550</v>
      </c>
      <c r="C159" s="852" t="s">
        <v>90</v>
      </c>
      <c r="D159" s="851" t="s">
        <v>91</v>
      </c>
      <c r="E159" s="851"/>
      <c r="F159" s="853">
        <v>2</v>
      </c>
      <c r="G159" s="854">
        <v>259000</v>
      </c>
      <c r="H159" s="854">
        <v>518000</v>
      </c>
      <c r="I159" s="854"/>
      <c r="J159" s="909" t="s">
        <v>70</v>
      </c>
      <c r="K159" s="856"/>
      <c r="L159" s="140"/>
      <c r="M159" s="857"/>
    </row>
    <row r="160" spans="1:13" s="3" customFormat="1" ht="18.75" customHeight="1" x14ac:dyDescent="0.4">
      <c r="A160" s="850">
        <v>46268</v>
      </c>
      <c r="B160" s="871" t="s">
        <v>1550</v>
      </c>
      <c r="C160" s="852" t="s">
        <v>90</v>
      </c>
      <c r="D160" s="851" t="s">
        <v>91</v>
      </c>
      <c r="E160" s="851"/>
      <c r="F160" s="853">
        <v>1</v>
      </c>
      <c r="G160" s="854">
        <v>259000</v>
      </c>
      <c r="H160" s="854">
        <v>259000</v>
      </c>
      <c r="I160" s="854"/>
      <c r="J160" s="909" t="s">
        <v>70</v>
      </c>
      <c r="K160" s="856"/>
      <c r="L160" s="140"/>
      <c r="M160" s="857"/>
    </row>
    <row r="161" spans="1:13" s="3" customFormat="1" ht="18.75" customHeight="1" x14ac:dyDescent="0.4">
      <c r="A161" s="850">
        <v>46268</v>
      </c>
      <c r="B161" s="851" t="s">
        <v>1550</v>
      </c>
      <c r="C161" s="852" t="s">
        <v>92</v>
      </c>
      <c r="D161" s="851" t="s">
        <v>200</v>
      </c>
      <c r="E161" s="851"/>
      <c r="F161" s="853">
        <v>6</v>
      </c>
      <c r="G161" s="854">
        <v>348500</v>
      </c>
      <c r="H161" s="855">
        <v>2091000</v>
      </c>
      <c r="I161" s="854"/>
      <c r="J161" s="909" t="s">
        <v>70</v>
      </c>
      <c r="K161" s="856"/>
      <c r="L161" s="140"/>
      <c r="M161" s="857"/>
    </row>
    <row r="162" spans="1:13" s="3" customFormat="1" ht="18.75" customHeight="1" x14ac:dyDescent="0.4">
      <c r="A162" s="850">
        <v>46269</v>
      </c>
      <c r="B162" s="851" t="s">
        <v>1550</v>
      </c>
      <c r="C162" s="852" t="s">
        <v>92</v>
      </c>
      <c r="D162" s="851" t="s">
        <v>200</v>
      </c>
      <c r="E162" s="851"/>
      <c r="F162" s="853">
        <v>6</v>
      </c>
      <c r="G162" s="854">
        <v>348500</v>
      </c>
      <c r="H162" s="855">
        <v>2091000</v>
      </c>
      <c r="I162" s="854"/>
      <c r="J162" s="909" t="s">
        <v>70</v>
      </c>
      <c r="K162" s="856"/>
      <c r="L162" s="140"/>
      <c r="M162" s="857"/>
    </row>
    <row r="163" spans="1:13" s="3" customFormat="1" ht="18.75" customHeight="1" x14ac:dyDescent="0.4">
      <c r="A163" s="850">
        <v>46273</v>
      </c>
      <c r="B163" s="851" t="s">
        <v>1550</v>
      </c>
      <c r="C163" s="852" t="s">
        <v>73</v>
      </c>
      <c r="D163" s="851" t="s">
        <v>288</v>
      </c>
      <c r="E163" s="851"/>
      <c r="F163" s="853">
        <v>3</v>
      </c>
      <c r="G163" s="854">
        <v>390000</v>
      </c>
      <c r="H163" s="855">
        <v>1170000</v>
      </c>
      <c r="I163" s="854"/>
      <c r="J163" s="909" t="s">
        <v>1562</v>
      </c>
      <c r="K163" s="856"/>
      <c r="L163" s="140"/>
      <c r="M163" s="857"/>
    </row>
    <row r="164" spans="1:13" s="19" customFormat="1" ht="18.75" customHeight="1" x14ac:dyDescent="0.4">
      <c r="A164" s="850">
        <v>46273</v>
      </c>
      <c r="B164" s="851" t="s">
        <v>1550</v>
      </c>
      <c r="C164" s="852" t="s">
        <v>64</v>
      </c>
      <c r="D164" s="851" t="s">
        <v>65</v>
      </c>
      <c r="E164" s="851"/>
      <c r="F164" s="853">
        <v>3</v>
      </c>
      <c r="G164" s="854">
        <v>1568700</v>
      </c>
      <c r="H164" s="855">
        <v>4706100</v>
      </c>
      <c r="I164" s="854"/>
      <c r="J164" s="909" t="s">
        <v>1680</v>
      </c>
      <c r="K164" s="856"/>
      <c r="L164" s="140"/>
      <c r="M164" s="857"/>
    </row>
    <row r="165" spans="1:13" s="3" customFormat="1" ht="18.75" customHeight="1" x14ac:dyDescent="0.4">
      <c r="A165" s="872">
        <v>46273</v>
      </c>
      <c r="B165" s="871" t="s">
        <v>1550</v>
      </c>
      <c r="C165" s="858" t="s">
        <v>64</v>
      </c>
      <c r="D165" s="859" t="s">
        <v>65</v>
      </c>
      <c r="E165" s="855"/>
      <c r="F165" s="865">
        <v>4</v>
      </c>
      <c r="G165" s="860">
        <v>1568700</v>
      </c>
      <c r="H165" s="854">
        <v>6274800</v>
      </c>
      <c r="I165" s="852"/>
      <c r="J165" s="873" t="s">
        <v>1684</v>
      </c>
      <c r="K165" s="856"/>
      <c r="L165" s="405"/>
      <c r="M165" s="19"/>
    </row>
    <row r="166" spans="1:13" s="3" customFormat="1" ht="18.75" customHeight="1" x14ac:dyDescent="0.4">
      <c r="A166" s="850">
        <v>46273</v>
      </c>
      <c r="B166" s="851" t="s">
        <v>1550</v>
      </c>
      <c r="C166" s="852" t="s">
        <v>192</v>
      </c>
      <c r="D166" s="851" t="s">
        <v>193</v>
      </c>
      <c r="E166" s="851"/>
      <c r="F166" s="853">
        <v>1</v>
      </c>
      <c r="G166" s="854">
        <v>218000</v>
      </c>
      <c r="H166" s="855">
        <v>218000</v>
      </c>
      <c r="I166" s="854"/>
      <c r="J166" s="909" t="s">
        <v>70</v>
      </c>
      <c r="K166" s="856"/>
      <c r="L166" s="140"/>
      <c r="M166" s="857"/>
    </row>
    <row r="167" spans="1:13" s="3" customFormat="1" ht="18.75" customHeight="1" x14ac:dyDescent="0.4">
      <c r="A167" s="850">
        <v>46273</v>
      </c>
      <c r="B167" s="851" t="s">
        <v>1550</v>
      </c>
      <c r="C167" s="852" t="s">
        <v>90</v>
      </c>
      <c r="D167" s="851" t="s">
        <v>91</v>
      </c>
      <c r="E167" s="851"/>
      <c r="F167" s="853">
        <v>2</v>
      </c>
      <c r="G167" s="854">
        <v>259000</v>
      </c>
      <c r="H167" s="855">
        <v>518000</v>
      </c>
      <c r="I167" s="854"/>
      <c r="J167" s="909" t="s">
        <v>70</v>
      </c>
      <c r="K167" s="856"/>
      <c r="L167" s="140"/>
      <c r="M167" s="857"/>
    </row>
    <row r="168" spans="1:13" s="3" customFormat="1" ht="18.75" customHeight="1" x14ac:dyDescent="0.4">
      <c r="A168" s="850">
        <v>46273</v>
      </c>
      <c r="B168" s="851" t="s">
        <v>1550</v>
      </c>
      <c r="C168" s="852" t="s">
        <v>448</v>
      </c>
      <c r="D168" s="851" t="s">
        <v>563</v>
      </c>
      <c r="E168" s="851"/>
      <c r="F168" s="853">
        <v>1</v>
      </c>
      <c r="G168" s="854">
        <v>110500</v>
      </c>
      <c r="H168" s="855">
        <v>110500</v>
      </c>
      <c r="I168" s="854"/>
      <c r="J168" s="909" t="s">
        <v>70</v>
      </c>
      <c r="K168" s="856"/>
      <c r="L168" s="140"/>
      <c r="M168" s="857"/>
    </row>
    <row r="169" spans="1:13" s="3" customFormat="1" ht="18.75" customHeight="1" x14ac:dyDescent="0.4">
      <c r="A169" s="850">
        <v>46274</v>
      </c>
      <c r="B169" s="851" t="s">
        <v>1550</v>
      </c>
      <c r="C169" s="852" t="s">
        <v>115</v>
      </c>
      <c r="D169" s="851" t="s">
        <v>742</v>
      </c>
      <c r="E169" s="851"/>
      <c r="F169" s="853">
        <v>2</v>
      </c>
      <c r="G169" s="854">
        <v>186000</v>
      </c>
      <c r="H169" s="855">
        <v>372000</v>
      </c>
      <c r="I169" s="854"/>
      <c r="J169" s="909" t="s">
        <v>70</v>
      </c>
      <c r="K169" s="856"/>
      <c r="L169" s="140"/>
      <c r="M169" s="857"/>
    </row>
    <row r="170" spans="1:13" s="3" customFormat="1" ht="18.75" customHeight="1" x14ac:dyDescent="0.4">
      <c r="A170" s="850">
        <v>46275</v>
      </c>
      <c r="B170" s="851" t="s">
        <v>1550</v>
      </c>
      <c r="C170" s="852" t="s">
        <v>306</v>
      </c>
      <c r="D170" s="851" t="s">
        <v>307</v>
      </c>
      <c r="E170" s="851"/>
      <c r="F170" s="853">
        <v>6</v>
      </c>
      <c r="G170" s="854">
        <v>520000</v>
      </c>
      <c r="H170" s="855">
        <v>3120000</v>
      </c>
      <c r="I170" s="854"/>
      <c r="J170" s="909" t="s">
        <v>70</v>
      </c>
      <c r="K170" s="856"/>
      <c r="L170" s="140"/>
      <c r="M170" s="857"/>
    </row>
    <row r="171" spans="1:13" s="3" customFormat="1" ht="18.75" customHeight="1" x14ac:dyDescent="0.4">
      <c r="A171" s="850">
        <v>46275</v>
      </c>
      <c r="B171" s="851" t="s">
        <v>1550</v>
      </c>
      <c r="C171" s="852" t="s">
        <v>306</v>
      </c>
      <c r="D171" s="851" t="s">
        <v>307</v>
      </c>
      <c r="E171" s="851"/>
      <c r="F171" s="853">
        <v>6</v>
      </c>
      <c r="G171" s="854">
        <v>520000</v>
      </c>
      <c r="H171" s="855">
        <v>3120000</v>
      </c>
      <c r="I171" s="854"/>
      <c r="J171" s="909" t="s">
        <v>70</v>
      </c>
      <c r="K171" s="856"/>
      <c r="L171" s="140"/>
      <c r="M171" s="857"/>
    </row>
    <row r="172" spans="1:13" s="3" customFormat="1" ht="18.75" customHeight="1" x14ac:dyDescent="0.4">
      <c r="A172" s="850">
        <v>46275</v>
      </c>
      <c r="B172" s="851" t="s">
        <v>1550</v>
      </c>
      <c r="C172" s="852" t="s">
        <v>306</v>
      </c>
      <c r="D172" s="851" t="s">
        <v>307</v>
      </c>
      <c r="E172" s="851"/>
      <c r="F172" s="853">
        <v>2</v>
      </c>
      <c r="G172" s="854">
        <v>520000</v>
      </c>
      <c r="H172" s="855">
        <v>1040000</v>
      </c>
      <c r="I172" s="854"/>
      <c r="J172" s="909" t="s">
        <v>70</v>
      </c>
      <c r="K172" s="856"/>
      <c r="L172" s="140"/>
      <c r="M172" s="857"/>
    </row>
    <row r="173" spans="1:13" s="3" customFormat="1" ht="18.75" customHeight="1" x14ac:dyDescent="0.4">
      <c r="A173" s="850">
        <v>46275</v>
      </c>
      <c r="B173" s="851" t="s">
        <v>1550</v>
      </c>
      <c r="C173" s="852" t="s">
        <v>306</v>
      </c>
      <c r="D173" s="851" t="s">
        <v>307</v>
      </c>
      <c r="E173" s="851"/>
      <c r="F173" s="853">
        <v>4</v>
      </c>
      <c r="G173" s="854">
        <v>520000</v>
      </c>
      <c r="H173" s="855">
        <v>2080000</v>
      </c>
      <c r="I173" s="854"/>
      <c r="J173" s="909" t="s">
        <v>70</v>
      </c>
      <c r="K173" s="856"/>
      <c r="L173" s="140"/>
      <c r="M173" s="857"/>
    </row>
    <row r="174" spans="1:13" s="3" customFormat="1" ht="18.75" customHeight="1" x14ac:dyDescent="0.4">
      <c r="A174" s="850">
        <v>46276</v>
      </c>
      <c r="B174" s="851" t="s">
        <v>1550</v>
      </c>
      <c r="C174" s="852" t="s">
        <v>78</v>
      </c>
      <c r="D174" s="851" t="s">
        <v>1047</v>
      </c>
      <c r="E174" s="851"/>
      <c r="F174" s="853">
        <v>12</v>
      </c>
      <c r="G174" s="854">
        <v>82650</v>
      </c>
      <c r="H174" s="855">
        <v>991800</v>
      </c>
      <c r="I174" s="854"/>
      <c r="J174" s="909" t="s">
        <v>1787</v>
      </c>
      <c r="K174" s="856"/>
      <c r="L174" s="140"/>
      <c r="M174" s="857"/>
    </row>
    <row r="175" spans="1:13" s="3" customFormat="1" ht="18.75" customHeight="1" x14ac:dyDescent="0.4">
      <c r="A175" s="850">
        <v>46276</v>
      </c>
      <c r="B175" s="851" t="s">
        <v>1550</v>
      </c>
      <c r="C175" s="852" t="s">
        <v>67</v>
      </c>
      <c r="D175" s="851" t="s">
        <v>197</v>
      </c>
      <c r="E175" s="851"/>
      <c r="F175" s="853">
        <v>12</v>
      </c>
      <c r="G175" s="854">
        <v>364800</v>
      </c>
      <c r="H175" s="855">
        <v>4377600</v>
      </c>
      <c r="I175" s="854"/>
      <c r="J175" s="909" t="s">
        <v>1787</v>
      </c>
      <c r="K175" s="856"/>
      <c r="L175" s="140"/>
      <c r="M175" s="857"/>
    </row>
    <row r="176" spans="1:13" s="3" customFormat="1" ht="18.75" customHeight="1" x14ac:dyDescent="0.4">
      <c r="A176" s="850">
        <v>46276</v>
      </c>
      <c r="B176" s="851" t="s">
        <v>1550</v>
      </c>
      <c r="C176" s="852" t="s">
        <v>73</v>
      </c>
      <c r="D176" s="851" t="s">
        <v>288</v>
      </c>
      <c r="E176" s="851"/>
      <c r="F176" s="853">
        <v>12</v>
      </c>
      <c r="G176" s="854">
        <v>390000</v>
      </c>
      <c r="H176" s="855">
        <v>4680000</v>
      </c>
      <c r="I176" s="854"/>
      <c r="J176" s="909" t="s">
        <v>1787</v>
      </c>
      <c r="K176" s="856"/>
      <c r="L176" s="140"/>
      <c r="M176" s="857"/>
    </row>
    <row r="177" spans="1:13" s="3" customFormat="1" ht="18.75" customHeight="1" x14ac:dyDescent="0.4">
      <c r="A177" s="850">
        <v>46276</v>
      </c>
      <c r="B177" s="851" t="s">
        <v>1550</v>
      </c>
      <c r="C177" s="852" t="s">
        <v>428</v>
      </c>
      <c r="D177" s="851" t="s">
        <v>289</v>
      </c>
      <c r="E177" s="851"/>
      <c r="F177" s="853">
        <v>1</v>
      </c>
      <c r="G177" s="854">
        <v>390000</v>
      </c>
      <c r="H177" s="855">
        <v>390000</v>
      </c>
      <c r="I177" s="854"/>
      <c r="J177" s="909" t="s">
        <v>1787</v>
      </c>
      <c r="K177" s="856"/>
      <c r="L177" s="140"/>
      <c r="M177" s="857"/>
    </row>
    <row r="178" spans="1:13" s="3" customFormat="1" ht="18.75" customHeight="1" x14ac:dyDescent="0.4">
      <c r="A178" s="850">
        <v>46276</v>
      </c>
      <c r="B178" s="851" t="s">
        <v>1550</v>
      </c>
      <c r="C178" s="852" t="s">
        <v>63</v>
      </c>
      <c r="D178" s="851" t="s">
        <v>922</v>
      </c>
      <c r="E178" s="851"/>
      <c r="F178" s="853">
        <v>12</v>
      </c>
      <c r="G178" s="854">
        <v>125400</v>
      </c>
      <c r="H178" s="855">
        <v>1504800</v>
      </c>
      <c r="I178" s="854"/>
      <c r="J178" s="909" t="s">
        <v>1787</v>
      </c>
      <c r="K178" s="856"/>
      <c r="L178" s="140"/>
      <c r="M178" s="857"/>
    </row>
    <row r="179" spans="1:13" s="3" customFormat="1" ht="18.75" customHeight="1" x14ac:dyDescent="0.4">
      <c r="A179" s="850">
        <v>46276</v>
      </c>
      <c r="B179" s="851" t="s">
        <v>1550</v>
      </c>
      <c r="C179" s="852" t="s">
        <v>78</v>
      </c>
      <c r="D179" s="851" t="s">
        <v>79</v>
      </c>
      <c r="E179" s="851"/>
      <c r="F179" s="853">
        <v>5</v>
      </c>
      <c r="G179" s="854">
        <v>90500</v>
      </c>
      <c r="H179" s="855">
        <v>452500</v>
      </c>
      <c r="I179" s="854"/>
      <c r="J179" s="909" t="s">
        <v>1782</v>
      </c>
      <c r="K179" s="856"/>
      <c r="L179" s="140"/>
      <c r="M179" s="857"/>
    </row>
    <row r="180" spans="1:13" s="3" customFormat="1" ht="18.75" customHeight="1" x14ac:dyDescent="0.4">
      <c r="A180" s="850">
        <v>46276</v>
      </c>
      <c r="B180" s="851" t="s">
        <v>1550</v>
      </c>
      <c r="C180" s="852" t="s">
        <v>78</v>
      </c>
      <c r="D180" s="851" t="s">
        <v>79</v>
      </c>
      <c r="E180" s="851"/>
      <c r="F180" s="853">
        <v>9</v>
      </c>
      <c r="G180" s="854">
        <v>90500</v>
      </c>
      <c r="H180" s="855">
        <v>814500</v>
      </c>
      <c r="I180" s="854"/>
      <c r="J180" s="909" t="s">
        <v>1783</v>
      </c>
      <c r="K180" s="856"/>
      <c r="L180" s="140"/>
      <c r="M180" s="857"/>
    </row>
    <row r="181" spans="1:13" s="3" customFormat="1" ht="18.75" customHeight="1" x14ac:dyDescent="0.4">
      <c r="A181" s="850">
        <v>46276</v>
      </c>
      <c r="B181" s="851" t="s">
        <v>1550</v>
      </c>
      <c r="C181" s="852" t="s">
        <v>78</v>
      </c>
      <c r="D181" s="851" t="s">
        <v>79</v>
      </c>
      <c r="E181" s="851"/>
      <c r="F181" s="853">
        <v>8</v>
      </c>
      <c r="G181" s="854">
        <v>90500</v>
      </c>
      <c r="H181" s="855">
        <v>724000</v>
      </c>
      <c r="I181" s="854"/>
      <c r="J181" s="909" t="s">
        <v>1780</v>
      </c>
      <c r="K181" s="856"/>
      <c r="L181" s="140"/>
      <c r="M181" s="857"/>
    </row>
    <row r="182" spans="1:13" s="3" customFormat="1" ht="18.75" customHeight="1" x14ac:dyDescent="0.4">
      <c r="A182" s="850">
        <v>46276</v>
      </c>
      <c r="B182" s="851" t="s">
        <v>1550</v>
      </c>
      <c r="C182" s="852" t="s">
        <v>73</v>
      </c>
      <c r="D182" s="851" t="s">
        <v>74</v>
      </c>
      <c r="E182" s="851"/>
      <c r="F182" s="853">
        <v>9</v>
      </c>
      <c r="G182" s="854">
        <v>442000</v>
      </c>
      <c r="H182" s="855">
        <v>3978000</v>
      </c>
      <c r="I182" s="854"/>
      <c r="J182" s="909" t="s">
        <v>1684</v>
      </c>
      <c r="K182" s="856"/>
      <c r="L182" s="140"/>
      <c r="M182" s="857"/>
    </row>
    <row r="183" spans="1:13" s="3" customFormat="1" ht="18.75" customHeight="1" x14ac:dyDescent="0.4">
      <c r="A183" s="850">
        <v>46276</v>
      </c>
      <c r="B183" s="851" t="s">
        <v>1550</v>
      </c>
      <c r="C183" s="852" t="s">
        <v>105</v>
      </c>
      <c r="D183" s="851" t="s">
        <v>117</v>
      </c>
      <c r="E183" s="851"/>
      <c r="F183" s="853">
        <v>8</v>
      </c>
      <c r="G183" s="854">
        <v>248000</v>
      </c>
      <c r="H183" s="855">
        <v>1984000</v>
      </c>
      <c r="I183" s="854"/>
      <c r="J183" s="909" t="s">
        <v>1780</v>
      </c>
      <c r="K183" s="856"/>
      <c r="L183" s="140"/>
      <c r="M183" s="857"/>
    </row>
    <row r="184" spans="1:13" s="3" customFormat="1" ht="18.75" customHeight="1" x14ac:dyDescent="0.4">
      <c r="A184" s="850">
        <v>46276</v>
      </c>
      <c r="B184" s="851" t="s">
        <v>1550</v>
      </c>
      <c r="C184" s="852" t="s">
        <v>105</v>
      </c>
      <c r="D184" s="851" t="s">
        <v>117</v>
      </c>
      <c r="E184" s="851"/>
      <c r="F184" s="853">
        <v>4</v>
      </c>
      <c r="G184" s="854">
        <v>248000</v>
      </c>
      <c r="H184" s="855">
        <v>992000</v>
      </c>
      <c r="I184" s="854"/>
      <c r="J184" s="909" t="s">
        <v>1684</v>
      </c>
      <c r="K184" s="856"/>
      <c r="L184" s="140"/>
      <c r="M184" s="857"/>
    </row>
    <row r="185" spans="1:13" s="3" customFormat="1" ht="18.75" customHeight="1" x14ac:dyDescent="0.4">
      <c r="A185" s="850">
        <v>46276</v>
      </c>
      <c r="B185" s="851" t="s">
        <v>1550</v>
      </c>
      <c r="C185" s="852" t="s">
        <v>105</v>
      </c>
      <c r="D185" s="851" t="s">
        <v>117</v>
      </c>
      <c r="E185" s="851"/>
      <c r="F185" s="853">
        <v>5</v>
      </c>
      <c r="G185" s="854">
        <v>248000</v>
      </c>
      <c r="H185" s="855">
        <v>1240000</v>
      </c>
      <c r="I185" s="854"/>
      <c r="J185" s="909" t="s">
        <v>1782</v>
      </c>
      <c r="K185" s="856"/>
      <c r="L185" s="140"/>
      <c r="M185" s="857"/>
    </row>
    <row r="186" spans="1:13" s="3" customFormat="1" ht="18.75" customHeight="1" x14ac:dyDescent="0.4">
      <c r="A186" s="850">
        <v>46276</v>
      </c>
      <c r="B186" s="851" t="s">
        <v>1550</v>
      </c>
      <c r="C186" s="852" t="s">
        <v>105</v>
      </c>
      <c r="D186" s="851" t="s">
        <v>117</v>
      </c>
      <c r="E186" s="851"/>
      <c r="F186" s="853">
        <v>9</v>
      </c>
      <c r="G186" s="854">
        <v>248000</v>
      </c>
      <c r="H186" s="855">
        <v>2232000</v>
      </c>
      <c r="I186" s="854"/>
      <c r="J186" s="909" t="s">
        <v>1783</v>
      </c>
      <c r="K186" s="856"/>
      <c r="L186" s="140"/>
      <c r="M186" s="857"/>
    </row>
    <row r="187" spans="1:13" s="3" customFormat="1" ht="18.75" customHeight="1" x14ac:dyDescent="0.4">
      <c r="A187" s="850">
        <v>46276</v>
      </c>
      <c r="B187" s="851" t="s">
        <v>1550</v>
      </c>
      <c r="C187" s="852" t="s">
        <v>78</v>
      </c>
      <c r="D187" s="851" t="s">
        <v>79</v>
      </c>
      <c r="E187" s="851"/>
      <c r="F187" s="853">
        <v>4</v>
      </c>
      <c r="G187" s="854">
        <v>90500</v>
      </c>
      <c r="H187" s="855">
        <v>362000</v>
      </c>
      <c r="I187" s="854"/>
      <c r="J187" s="909" t="s">
        <v>1781</v>
      </c>
      <c r="K187" s="856"/>
      <c r="L187" s="140"/>
      <c r="M187" s="857"/>
    </row>
    <row r="188" spans="1:13" s="3" customFormat="1" ht="18.75" customHeight="1" x14ac:dyDescent="0.4">
      <c r="A188" s="850">
        <v>46276</v>
      </c>
      <c r="B188" s="851" t="s">
        <v>1550</v>
      </c>
      <c r="C188" s="852" t="s">
        <v>78</v>
      </c>
      <c r="D188" s="851" t="s">
        <v>79</v>
      </c>
      <c r="E188" s="851"/>
      <c r="F188" s="853">
        <v>3</v>
      </c>
      <c r="G188" s="854">
        <v>90500</v>
      </c>
      <c r="H188" s="855">
        <v>271500</v>
      </c>
      <c r="I188" s="854"/>
      <c r="J188" s="909" t="s">
        <v>1785</v>
      </c>
      <c r="K188" s="856"/>
      <c r="L188" s="140"/>
      <c r="M188" s="857"/>
    </row>
    <row r="189" spans="1:13" s="3" customFormat="1" ht="18.75" customHeight="1" x14ac:dyDescent="0.4">
      <c r="A189" s="850">
        <v>46276</v>
      </c>
      <c r="B189" s="851" t="s">
        <v>1550</v>
      </c>
      <c r="C189" s="852" t="s">
        <v>78</v>
      </c>
      <c r="D189" s="851" t="s">
        <v>79</v>
      </c>
      <c r="E189" s="851"/>
      <c r="F189" s="853">
        <v>3</v>
      </c>
      <c r="G189" s="854">
        <v>90500</v>
      </c>
      <c r="H189" s="855">
        <v>271500</v>
      </c>
      <c r="I189" s="854"/>
      <c r="J189" s="909" t="s">
        <v>1786</v>
      </c>
      <c r="K189" s="856"/>
      <c r="L189" s="140"/>
      <c r="M189" s="857"/>
    </row>
    <row r="190" spans="1:13" s="3" customFormat="1" ht="18.75" customHeight="1" x14ac:dyDescent="0.4">
      <c r="A190" s="850">
        <v>46276</v>
      </c>
      <c r="B190" s="851" t="s">
        <v>1550</v>
      </c>
      <c r="C190" s="852" t="s">
        <v>105</v>
      </c>
      <c r="D190" s="851" t="s">
        <v>117</v>
      </c>
      <c r="E190" s="851"/>
      <c r="F190" s="853">
        <v>3</v>
      </c>
      <c r="G190" s="854">
        <v>248000</v>
      </c>
      <c r="H190" s="855">
        <v>744000</v>
      </c>
      <c r="I190" s="854"/>
      <c r="J190" s="909" t="s">
        <v>1683</v>
      </c>
      <c r="K190" s="856"/>
      <c r="L190" s="140"/>
      <c r="M190" s="857"/>
    </row>
    <row r="191" spans="1:13" s="3" customFormat="1" ht="18.75" customHeight="1" x14ac:dyDescent="0.4">
      <c r="A191" s="850">
        <v>46276</v>
      </c>
      <c r="B191" s="851" t="s">
        <v>1550</v>
      </c>
      <c r="C191" s="852" t="s">
        <v>105</v>
      </c>
      <c r="D191" s="851" t="s">
        <v>117</v>
      </c>
      <c r="E191" s="851"/>
      <c r="F191" s="853">
        <v>4</v>
      </c>
      <c r="G191" s="854">
        <v>248000</v>
      </c>
      <c r="H191" s="855">
        <v>992000</v>
      </c>
      <c r="I191" s="854"/>
      <c r="J191" s="909" t="s">
        <v>1781</v>
      </c>
      <c r="K191" s="856"/>
      <c r="L191" s="140"/>
      <c r="M191" s="857"/>
    </row>
    <row r="192" spans="1:13" s="3" customFormat="1" ht="18.75" customHeight="1" x14ac:dyDescent="0.4">
      <c r="A192" s="850">
        <v>46276</v>
      </c>
      <c r="B192" s="851" t="s">
        <v>1550</v>
      </c>
      <c r="C192" s="852" t="s">
        <v>78</v>
      </c>
      <c r="D192" s="851" t="s">
        <v>79</v>
      </c>
      <c r="E192" s="851"/>
      <c r="F192" s="853">
        <v>3</v>
      </c>
      <c r="G192" s="854">
        <v>90500</v>
      </c>
      <c r="H192" s="855">
        <v>271500</v>
      </c>
      <c r="I192" s="854"/>
      <c r="J192" s="909" t="s">
        <v>1779</v>
      </c>
      <c r="K192" s="856"/>
      <c r="L192" s="140"/>
      <c r="M192" s="857"/>
    </row>
    <row r="193" spans="1:13" s="3" customFormat="1" ht="18.75" customHeight="1" x14ac:dyDescent="0.4">
      <c r="A193" s="850">
        <v>46276</v>
      </c>
      <c r="B193" s="851" t="s">
        <v>1550</v>
      </c>
      <c r="C193" s="852" t="s">
        <v>62</v>
      </c>
      <c r="D193" s="851" t="s">
        <v>75</v>
      </c>
      <c r="E193" s="851"/>
      <c r="F193" s="853">
        <v>7</v>
      </c>
      <c r="G193" s="854">
        <v>442000</v>
      </c>
      <c r="H193" s="855">
        <v>3094000</v>
      </c>
      <c r="I193" s="854"/>
      <c r="J193" s="909" t="s">
        <v>1779</v>
      </c>
      <c r="K193" s="856"/>
      <c r="L193" s="140"/>
      <c r="M193" s="857"/>
    </row>
    <row r="194" spans="1:13" s="3" customFormat="1" ht="18.75" customHeight="1" x14ac:dyDescent="0.4">
      <c r="A194" s="850">
        <v>46276</v>
      </c>
      <c r="B194" s="851" t="s">
        <v>1550</v>
      </c>
      <c r="C194" s="852" t="s">
        <v>105</v>
      </c>
      <c r="D194" s="851" t="s">
        <v>117</v>
      </c>
      <c r="E194" s="851"/>
      <c r="F194" s="853">
        <v>11</v>
      </c>
      <c r="G194" s="854">
        <v>248000</v>
      </c>
      <c r="H194" s="855">
        <v>2728000</v>
      </c>
      <c r="I194" s="854"/>
      <c r="J194" s="909" t="s">
        <v>1779</v>
      </c>
      <c r="K194" s="856"/>
      <c r="L194" s="140"/>
      <c r="M194" s="857"/>
    </row>
    <row r="195" spans="1:13" s="3" customFormat="1" ht="18.75" customHeight="1" x14ac:dyDescent="0.4">
      <c r="A195" s="850">
        <v>46276</v>
      </c>
      <c r="B195" s="851" t="s">
        <v>1550</v>
      </c>
      <c r="C195" s="852" t="s">
        <v>66</v>
      </c>
      <c r="D195" s="851" t="s">
        <v>195</v>
      </c>
      <c r="E195" s="851"/>
      <c r="F195" s="853">
        <v>1</v>
      </c>
      <c r="G195" s="854">
        <v>1917500</v>
      </c>
      <c r="H195" s="855">
        <v>1917500</v>
      </c>
      <c r="I195" s="854"/>
      <c r="J195" s="909" t="s">
        <v>1779</v>
      </c>
      <c r="K195" s="856"/>
      <c r="L195" s="140"/>
      <c r="M195" s="857"/>
    </row>
    <row r="196" spans="1:13" s="78" customFormat="1" ht="18.75" customHeight="1" x14ac:dyDescent="0.4">
      <c r="A196" s="872">
        <v>46276</v>
      </c>
      <c r="B196" s="871" t="s">
        <v>1550</v>
      </c>
      <c r="C196" s="874" t="s">
        <v>64</v>
      </c>
      <c r="D196" s="871" t="s">
        <v>65</v>
      </c>
      <c r="E196" s="871"/>
      <c r="F196" s="854">
        <v>8</v>
      </c>
      <c r="G196" s="854">
        <v>1568700</v>
      </c>
      <c r="H196" s="838">
        <v>12549600</v>
      </c>
      <c r="I196" s="854"/>
      <c r="J196" s="910" t="s">
        <v>1779</v>
      </c>
      <c r="K196" s="856"/>
      <c r="L196" s="151"/>
      <c r="M196" s="875"/>
    </row>
    <row r="197" spans="1:13" s="78" customFormat="1" ht="18.75" customHeight="1" x14ac:dyDescent="0.4">
      <c r="A197" s="872">
        <v>46276</v>
      </c>
      <c r="B197" s="871" t="s">
        <v>1550</v>
      </c>
      <c r="C197" s="874" t="s">
        <v>204</v>
      </c>
      <c r="D197" s="871" t="s">
        <v>205</v>
      </c>
      <c r="E197" s="871"/>
      <c r="F197" s="854">
        <v>8</v>
      </c>
      <c r="G197" s="854">
        <v>1295000</v>
      </c>
      <c r="H197" s="838">
        <v>10360000</v>
      </c>
      <c r="I197" s="854"/>
      <c r="J197" s="910" t="s">
        <v>1779</v>
      </c>
      <c r="K197" s="856"/>
      <c r="L197" s="151"/>
      <c r="M197" s="875"/>
    </row>
    <row r="198" spans="1:13" s="78" customFormat="1" ht="18.75" customHeight="1" x14ac:dyDescent="0.4">
      <c r="A198" s="872">
        <v>46276</v>
      </c>
      <c r="B198" s="871" t="s">
        <v>1550</v>
      </c>
      <c r="C198" s="874" t="s">
        <v>66</v>
      </c>
      <c r="D198" s="871" t="s">
        <v>195</v>
      </c>
      <c r="E198" s="871"/>
      <c r="F198" s="854">
        <v>5</v>
      </c>
      <c r="G198" s="854">
        <v>1917500</v>
      </c>
      <c r="H198" s="838">
        <v>9587500</v>
      </c>
      <c r="I198" s="854"/>
      <c r="J198" s="910" t="s">
        <v>1684</v>
      </c>
      <c r="K198" s="856"/>
      <c r="L198" s="151"/>
      <c r="M198" s="875"/>
    </row>
    <row r="199" spans="1:13" s="78" customFormat="1" ht="18.75" customHeight="1" x14ac:dyDescent="0.4">
      <c r="A199" s="872">
        <v>46276</v>
      </c>
      <c r="B199" s="871" t="s">
        <v>1550</v>
      </c>
      <c r="C199" s="874" t="s">
        <v>64</v>
      </c>
      <c r="D199" s="871" t="s">
        <v>65</v>
      </c>
      <c r="E199" s="871"/>
      <c r="F199" s="854">
        <v>7</v>
      </c>
      <c r="G199" s="854">
        <v>1568700</v>
      </c>
      <c r="H199" s="838">
        <v>10980900</v>
      </c>
      <c r="I199" s="854"/>
      <c r="J199" s="910" t="s">
        <v>1684</v>
      </c>
      <c r="K199" s="856"/>
      <c r="L199" s="151"/>
      <c r="M199" s="875"/>
    </row>
    <row r="200" spans="1:13" s="78" customFormat="1" ht="18.75" customHeight="1" x14ac:dyDescent="0.4">
      <c r="A200" s="872">
        <v>46276</v>
      </c>
      <c r="B200" s="871" t="s">
        <v>1550</v>
      </c>
      <c r="C200" s="874" t="s">
        <v>204</v>
      </c>
      <c r="D200" s="871" t="s">
        <v>205</v>
      </c>
      <c r="E200" s="871"/>
      <c r="F200" s="854">
        <v>5</v>
      </c>
      <c r="G200" s="854">
        <v>1295000</v>
      </c>
      <c r="H200" s="838">
        <v>6475000</v>
      </c>
      <c r="I200" s="854"/>
      <c r="J200" s="910" t="s">
        <v>1782</v>
      </c>
      <c r="K200" s="856"/>
      <c r="L200" s="151"/>
      <c r="M200" s="875"/>
    </row>
    <row r="201" spans="1:13" s="78" customFormat="1" ht="18.75" customHeight="1" x14ac:dyDescent="0.4">
      <c r="A201" s="872">
        <v>46276</v>
      </c>
      <c r="B201" s="871" t="s">
        <v>1550</v>
      </c>
      <c r="C201" s="874" t="s">
        <v>204</v>
      </c>
      <c r="D201" s="871" t="s">
        <v>205</v>
      </c>
      <c r="E201" s="871"/>
      <c r="F201" s="854">
        <v>8</v>
      </c>
      <c r="G201" s="854">
        <v>1295000</v>
      </c>
      <c r="H201" s="838">
        <v>10360000</v>
      </c>
      <c r="I201" s="854"/>
      <c r="J201" s="910" t="s">
        <v>1780</v>
      </c>
      <c r="K201" s="856"/>
      <c r="L201" s="151"/>
      <c r="M201" s="875"/>
    </row>
    <row r="202" spans="1:13" s="78" customFormat="1" ht="18.75" customHeight="1" x14ac:dyDescent="0.4">
      <c r="A202" s="872">
        <v>46280</v>
      </c>
      <c r="B202" s="871" t="s">
        <v>1550</v>
      </c>
      <c r="C202" s="874" t="s">
        <v>73</v>
      </c>
      <c r="D202" s="871" t="s">
        <v>74</v>
      </c>
      <c r="E202" s="871"/>
      <c r="F202" s="854">
        <v>5</v>
      </c>
      <c r="G202" s="854">
        <v>442000</v>
      </c>
      <c r="H202" s="838">
        <v>2210000</v>
      </c>
      <c r="I202" s="854"/>
      <c r="J202" s="910" t="s">
        <v>1782</v>
      </c>
      <c r="K202" s="856"/>
      <c r="L202" s="151"/>
      <c r="M202" s="875"/>
    </row>
    <row r="203" spans="1:13" s="78" customFormat="1" ht="18.75" customHeight="1" x14ac:dyDescent="0.4">
      <c r="A203" s="872">
        <v>46280</v>
      </c>
      <c r="B203" s="871" t="s">
        <v>1550</v>
      </c>
      <c r="C203" s="874" t="s">
        <v>73</v>
      </c>
      <c r="D203" s="871" t="s">
        <v>74</v>
      </c>
      <c r="E203" s="871"/>
      <c r="F203" s="854">
        <v>8</v>
      </c>
      <c r="G203" s="854">
        <v>442000</v>
      </c>
      <c r="H203" s="838">
        <v>3536000</v>
      </c>
      <c r="I203" s="854"/>
      <c r="J203" s="910" t="s">
        <v>1780</v>
      </c>
      <c r="K203" s="856"/>
      <c r="L203" s="151"/>
      <c r="M203" s="875"/>
    </row>
    <row r="204" spans="1:13" s="78" customFormat="1" ht="18.75" customHeight="1" x14ac:dyDescent="0.4">
      <c r="A204" s="872">
        <v>46280</v>
      </c>
      <c r="B204" s="871" t="s">
        <v>1550</v>
      </c>
      <c r="C204" s="874" t="s">
        <v>73</v>
      </c>
      <c r="D204" s="871" t="s">
        <v>74</v>
      </c>
      <c r="E204" s="871"/>
      <c r="F204" s="854">
        <v>3</v>
      </c>
      <c r="G204" s="854">
        <v>442000</v>
      </c>
      <c r="H204" s="838">
        <v>1326000</v>
      </c>
      <c r="I204" s="854"/>
      <c r="J204" s="910" t="s">
        <v>1681</v>
      </c>
      <c r="K204" s="856"/>
      <c r="L204" s="151"/>
      <c r="M204" s="875"/>
    </row>
    <row r="205" spans="1:13" s="78" customFormat="1" ht="18.75" customHeight="1" x14ac:dyDescent="0.4">
      <c r="A205" s="872">
        <v>46280</v>
      </c>
      <c r="B205" s="871" t="s">
        <v>1550</v>
      </c>
      <c r="C205" s="874" t="s">
        <v>73</v>
      </c>
      <c r="D205" s="871" t="s">
        <v>74</v>
      </c>
      <c r="E205" s="871"/>
      <c r="F205" s="854">
        <v>4</v>
      </c>
      <c r="G205" s="854">
        <v>442000</v>
      </c>
      <c r="H205" s="838">
        <v>1768000</v>
      </c>
      <c r="I205" s="854"/>
      <c r="J205" s="910" t="s">
        <v>1682</v>
      </c>
      <c r="K205" s="856"/>
      <c r="L205" s="151"/>
      <c r="M205" s="875"/>
    </row>
    <row r="206" spans="1:13" s="78" customFormat="1" ht="18.75" customHeight="1" x14ac:dyDescent="0.4">
      <c r="A206" s="872">
        <v>46280</v>
      </c>
      <c r="B206" s="871" t="s">
        <v>1550</v>
      </c>
      <c r="C206" s="874" t="s">
        <v>73</v>
      </c>
      <c r="D206" s="871" t="s">
        <v>74</v>
      </c>
      <c r="E206" s="871"/>
      <c r="F206" s="854">
        <v>3</v>
      </c>
      <c r="G206" s="854">
        <v>442000</v>
      </c>
      <c r="H206" s="838">
        <v>1326000</v>
      </c>
      <c r="I206" s="854"/>
      <c r="J206" s="910" t="s">
        <v>1683</v>
      </c>
      <c r="K206" s="856"/>
      <c r="L206" s="151"/>
      <c r="M206" s="875"/>
    </row>
    <row r="207" spans="1:13" s="78" customFormat="1" ht="18.75" customHeight="1" x14ac:dyDescent="0.4">
      <c r="A207" s="872">
        <v>46280</v>
      </c>
      <c r="B207" s="871" t="s">
        <v>1550</v>
      </c>
      <c r="C207" s="874" t="s">
        <v>73</v>
      </c>
      <c r="D207" s="871" t="s">
        <v>74</v>
      </c>
      <c r="E207" s="871"/>
      <c r="F207" s="854">
        <v>4</v>
      </c>
      <c r="G207" s="854">
        <v>442000</v>
      </c>
      <c r="H207" s="838">
        <v>1768000</v>
      </c>
      <c r="I207" s="854"/>
      <c r="J207" s="910" t="s">
        <v>1781</v>
      </c>
      <c r="K207" s="856"/>
      <c r="L207" s="151"/>
      <c r="M207" s="875"/>
    </row>
    <row r="208" spans="1:13" s="78" customFormat="1" ht="18.75" customHeight="1" x14ac:dyDescent="0.4">
      <c r="A208" s="872">
        <v>46280</v>
      </c>
      <c r="B208" s="871" t="s">
        <v>1550</v>
      </c>
      <c r="C208" s="874" t="s">
        <v>67</v>
      </c>
      <c r="D208" s="871" t="s">
        <v>80</v>
      </c>
      <c r="E208" s="871"/>
      <c r="F208" s="854">
        <v>3</v>
      </c>
      <c r="G208" s="854">
        <v>384000</v>
      </c>
      <c r="H208" s="838">
        <v>1152000</v>
      </c>
      <c r="I208" s="854"/>
      <c r="J208" s="910" t="s">
        <v>1779</v>
      </c>
      <c r="K208" s="856"/>
      <c r="L208" s="151"/>
      <c r="M208" s="875"/>
    </row>
    <row r="209" spans="1:13" s="78" customFormat="1" ht="18.75" customHeight="1" x14ac:dyDescent="0.4">
      <c r="A209" s="872">
        <v>46280</v>
      </c>
      <c r="B209" s="871" t="s">
        <v>1550</v>
      </c>
      <c r="C209" s="874" t="s">
        <v>73</v>
      </c>
      <c r="D209" s="871" t="s">
        <v>74</v>
      </c>
      <c r="E209" s="871"/>
      <c r="F209" s="854">
        <v>11</v>
      </c>
      <c r="G209" s="854">
        <v>442000</v>
      </c>
      <c r="H209" s="838">
        <v>4862000</v>
      </c>
      <c r="I209" s="854"/>
      <c r="J209" s="910" t="s">
        <v>1779</v>
      </c>
      <c r="K209" s="856"/>
      <c r="L209" s="151"/>
      <c r="M209" s="875"/>
    </row>
    <row r="210" spans="1:13" s="78" customFormat="1" ht="18.75" customHeight="1" x14ac:dyDescent="0.4">
      <c r="A210" s="872">
        <v>46280</v>
      </c>
      <c r="B210" s="871" t="s">
        <v>1550</v>
      </c>
      <c r="C210" s="874" t="s">
        <v>66</v>
      </c>
      <c r="D210" s="871" t="s">
        <v>195</v>
      </c>
      <c r="E210" s="871"/>
      <c r="F210" s="854">
        <v>10</v>
      </c>
      <c r="G210" s="854">
        <v>1917500</v>
      </c>
      <c r="H210" s="838">
        <v>19175000</v>
      </c>
      <c r="I210" s="854"/>
      <c r="J210" s="910" t="s">
        <v>1779</v>
      </c>
      <c r="K210" s="856"/>
      <c r="L210" s="151"/>
      <c r="M210" s="875"/>
    </row>
    <row r="211" spans="1:13" s="78" customFormat="1" ht="18.75" customHeight="1" x14ac:dyDescent="0.4">
      <c r="A211" s="872">
        <v>46280</v>
      </c>
      <c r="B211" s="871" t="s">
        <v>1550</v>
      </c>
      <c r="C211" s="874" t="s">
        <v>66</v>
      </c>
      <c r="D211" s="871" t="s">
        <v>195</v>
      </c>
      <c r="E211" s="871"/>
      <c r="F211" s="854">
        <v>2</v>
      </c>
      <c r="G211" s="854">
        <v>1917500</v>
      </c>
      <c r="H211" s="838">
        <v>3835000</v>
      </c>
      <c r="I211" s="854"/>
      <c r="J211" s="910" t="s">
        <v>1780</v>
      </c>
      <c r="K211" s="856"/>
      <c r="L211" s="151"/>
      <c r="M211" s="875"/>
    </row>
    <row r="212" spans="1:13" s="78" customFormat="1" ht="18.75" customHeight="1" x14ac:dyDescent="0.4">
      <c r="A212" s="872">
        <v>46280</v>
      </c>
      <c r="B212" s="871" t="s">
        <v>1550</v>
      </c>
      <c r="C212" s="874" t="s">
        <v>68</v>
      </c>
      <c r="D212" s="871" t="s">
        <v>69</v>
      </c>
      <c r="E212" s="871"/>
      <c r="F212" s="854">
        <v>6</v>
      </c>
      <c r="G212" s="854">
        <v>359000</v>
      </c>
      <c r="H212" s="838">
        <v>2154000</v>
      </c>
      <c r="I212" s="854"/>
      <c r="J212" s="910" t="s">
        <v>70</v>
      </c>
      <c r="K212" s="856"/>
      <c r="L212" s="151"/>
      <c r="M212" s="875"/>
    </row>
    <row r="213" spans="1:13" s="78" customFormat="1" ht="18.75" customHeight="1" x14ac:dyDescent="0.4">
      <c r="A213" s="872">
        <v>46280</v>
      </c>
      <c r="B213" s="871" t="s">
        <v>1550</v>
      </c>
      <c r="C213" s="874" t="s">
        <v>300</v>
      </c>
      <c r="D213" s="871" t="s">
        <v>1048</v>
      </c>
      <c r="E213" s="871"/>
      <c r="F213" s="854">
        <v>3</v>
      </c>
      <c r="G213" s="854">
        <v>232000</v>
      </c>
      <c r="H213" s="838">
        <v>696000</v>
      </c>
      <c r="I213" s="854"/>
      <c r="J213" s="910" t="s">
        <v>70</v>
      </c>
      <c r="K213" s="856"/>
      <c r="L213" s="151"/>
      <c r="M213" s="875"/>
    </row>
    <row r="214" spans="1:13" s="78" customFormat="1" ht="18.75" customHeight="1" x14ac:dyDescent="0.4">
      <c r="A214" s="872">
        <v>46280</v>
      </c>
      <c r="B214" s="871" t="s">
        <v>1550</v>
      </c>
      <c r="C214" s="874" t="s">
        <v>358</v>
      </c>
      <c r="D214" s="851" t="s">
        <v>359</v>
      </c>
      <c r="E214" s="851"/>
      <c r="F214" s="853">
        <v>4</v>
      </c>
      <c r="G214" s="854">
        <v>318000</v>
      </c>
      <c r="H214" s="838">
        <v>1272000</v>
      </c>
      <c r="I214" s="854"/>
      <c r="J214" s="910" t="s">
        <v>70</v>
      </c>
      <c r="K214" s="856"/>
      <c r="L214" s="151"/>
      <c r="M214" s="875"/>
    </row>
    <row r="215" spans="1:13" s="78" customFormat="1" ht="18.75" customHeight="1" x14ac:dyDescent="0.4">
      <c r="A215" s="872">
        <v>46280</v>
      </c>
      <c r="B215" s="871" t="s">
        <v>1550</v>
      </c>
      <c r="C215" s="874" t="s">
        <v>68</v>
      </c>
      <c r="D215" s="871" t="s">
        <v>69</v>
      </c>
      <c r="E215" s="871"/>
      <c r="F215" s="854">
        <v>1</v>
      </c>
      <c r="G215" s="854">
        <v>359000</v>
      </c>
      <c r="H215" s="838">
        <v>359000</v>
      </c>
      <c r="I215" s="854"/>
      <c r="J215" s="910" t="s">
        <v>70</v>
      </c>
      <c r="K215" s="856"/>
      <c r="L215" s="151"/>
      <c r="M215" s="875"/>
    </row>
    <row r="216" spans="1:13" s="78" customFormat="1" ht="18.75" customHeight="1" x14ac:dyDescent="0.4">
      <c r="A216" s="872">
        <v>46280</v>
      </c>
      <c r="B216" s="871" t="s">
        <v>1550</v>
      </c>
      <c r="C216" s="874" t="s">
        <v>68</v>
      </c>
      <c r="D216" s="871" t="s">
        <v>69</v>
      </c>
      <c r="E216" s="871"/>
      <c r="F216" s="854">
        <v>1</v>
      </c>
      <c r="G216" s="854">
        <v>359000</v>
      </c>
      <c r="H216" s="838">
        <v>359000</v>
      </c>
      <c r="I216" s="854"/>
      <c r="J216" s="910" t="s">
        <v>70</v>
      </c>
      <c r="K216" s="856"/>
      <c r="L216" s="151"/>
      <c r="M216" s="875"/>
    </row>
    <row r="217" spans="1:13" s="78" customFormat="1" ht="18.75" customHeight="1" x14ac:dyDescent="0.4">
      <c r="A217" s="872">
        <v>46280</v>
      </c>
      <c r="B217" s="871" t="s">
        <v>1550</v>
      </c>
      <c r="C217" s="874" t="s">
        <v>68</v>
      </c>
      <c r="D217" s="871" t="s">
        <v>69</v>
      </c>
      <c r="E217" s="871"/>
      <c r="F217" s="854">
        <v>2</v>
      </c>
      <c r="G217" s="854">
        <v>359000</v>
      </c>
      <c r="H217" s="838">
        <v>718000</v>
      </c>
      <c r="I217" s="854"/>
      <c r="J217" s="910" t="s">
        <v>70</v>
      </c>
      <c r="K217" s="856"/>
      <c r="L217" s="151"/>
      <c r="M217" s="875"/>
    </row>
    <row r="218" spans="1:13" s="78" customFormat="1" ht="18.75" customHeight="1" x14ac:dyDescent="0.4">
      <c r="A218" s="872">
        <v>46280</v>
      </c>
      <c r="B218" s="871" t="s">
        <v>1550</v>
      </c>
      <c r="C218" s="874" t="s">
        <v>68</v>
      </c>
      <c r="D218" s="871" t="s">
        <v>69</v>
      </c>
      <c r="E218" s="871"/>
      <c r="F218" s="854">
        <v>8</v>
      </c>
      <c r="G218" s="854">
        <v>359000</v>
      </c>
      <c r="H218" s="838">
        <v>2872000</v>
      </c>
      <c r="I218" s="854"/>
      <c r="J218" s="910" t="s">
        <v>70</v>
      </c>
      <c r="K218" s="856"/>
      <c r="L218" s="151"/>
      <c r="M218" s="875"/>
    </row>
    <row r="219" spans="1:13" s="78" customFormat="1" ht="18.75" customHeight="1" x14ac:dyDescent="0.4">
      <c r="A219" s="872">
        <v>46280</v>
      </c>
      <c r="B219" s="871" t="s">
        <v>1550</v>
      </c>
      <c r="C219" s="874" t="s">
        <v>358</v>
      </c>
      <c r="D219" s="871" t="s">
        <v>359</v>
      </c>
      <c r="E219" s="871"/>
      <c r="F219" s="854">
        <v>5</v>
      </c>
      <c r="G219" s="854">
        <v>318000</v>
      </c>
      <c r="H219" s="838">
        <v>1590000</v>
      </c>
      <c r="I219" s="854"/>
      <c r="J219" s="910" t="s">
        <v>70</v>
      </c>
      <c r="K219" s="856"/>
      <c r="L219" s="151"/>
      <c r="M219" s="875"/>
    </row>
    <row r="220" spans="1:13" s="78" customFormat="1" ht="18.75" customHeight="1" x14ac:dyDescent="0.4">
      <c r="A220" s="872">
        <v>46280</v>
      </c>
      <c r="B220" s="871" t="s">
        <v>1550</v>
      </c>
      <c r="C220" s="874" t="s">
        <v>32</v>
      </c>
      <c r="D220" s="871" t="s">
        <v>455</v>
      </c>
      <c r="E220" s="871"/>
      <c r="F220" s="854">
        <v>1</v>
      </c>
      <c r="G220" s="854">
        <v>32000</v>
      </c>
      <c r="H220" s="838">
        <v>32000</v>
      </c>
      <c r="I220" s="854"/>
      <c r="J220" s="910" t="s">
        <v>70</v>
      </c>
      <c r="K220" s="856"/>
      <c r="L220" s="151"/>
      <c r="M220" s="875"/>
    </row>
    <row r="221" spans="1:13" s="78" customFormat="1" ht="18.75" customHeight="1" x14ac:dyDescent="0.4">
      <c r="A221" s="872">
        <v>46281</v>
      </c>
      <c r="B221" s="871" t="s">
        <v>1550</v>
      </c>
      <c r="C221" s="874" t="s">
        <v>78</v>
      </c>
      <c r="D221" s="871" t="s">
        <v>1100</v>
      </c>
      <c r="E221" s="871"/>
      <c r="F221" s="854">
        <v>5</v>
      </c>
      <c r="G221" s="854">
        <v>90500</v>
      </c>
      <c r="H221" s="838">
        <v>452500</v>
      </c>
      <c r="I221" s="854"/>
      <c r="J221" s="910" t="s">
        <v>1891</v>
      </c>
      <c r="K221" s="856"/>
      <c r="L221" s="151"/>
      <c r="M221" s="875"/>
    </row>
    <row r="222" spans="1:13" s="78" customFormat="1" ht="18.75" customHeight="1" x14ac:dyDescent="0.4">
      <c r="A222" s="872">
        <v>46282</v>
      </c>
      <c r="B222" s="871" t="s">
        <v>1550</v>
      </c>
      <c r="C222" s="874" t="s">
        <v>92</v>
      </c>
      <c r="D222" s="871" t="s">
        <v>200</v>
      </c>
      <c r="E222" s="871"/>
      <c r="F222" s="854">
        <v>6</v>
      </c>
      <c r="G222" s="854">
        <v>348500</v>
      </c>
      <c r="H222" s="838">
        <v>2091000</v>
      </c>
      <c r="I222" s="854"/>
      <c r="J222" s="910" t="s">
        <v>70</v>
      </c>
      <c r="K222" s="856"/>
      <c r="L222" s="151"/>
      <c r="M222" s="875"/>
    </row>
    <row r="223" spans="1:13" s="78" customFormat="1" ht="18.75" customHeight="1" x14ac:dyDescent="0.4">
      <c r="A223" s="872">
        <v>46283</v>
      </c>
      <c r="B223" s="871" t="s">
        <v>1550</v>
      </c>
      <c r="C223" s="874" t="s">
        <v>121</v>
      </c>
      <c r="D223" s="871" t="s">
        <v>122</v>
      </c>
      <c r="E223" s="871"/>
      <c r="F223" s="854">
        <v>10</v>
      </c>
      <c r="G223" s="854">
        <v>7010050</v>
      </c>
      <c r="H223" s="838">
        <v>70100500</v>
      </c>
      <c r="I223" s="854"/>
      <c r="J223" s="910" t="s">
        <v>120</v>
      </c>
      <c r="K223" s="856"/>
      <c r="L223" s="151"/>
      <c r="M223" s="875"/>
    </row>
    <row r="224" spans="1:13" s="78" customFormat="1" ht="18.75" customHeight="1" x14ac:dyDescent="0.4">
      <c r="A224" s="872">
        <v>46283</v>
      </c>
      <c r="B224" s="871" t="s">
        <v>1550</v>
      </c>
      <c r="C224" s="874" t="s">
        <v>118</v>
      </c>
      <c r="D224" s="871" t="s">
        <v>119</v>
      </c>
      <c r="E224" s="871"/>
      <c r="F224" s="854">
        <v>3</v>
      </c>
      <c r="G224" s="854">
        <v>7790000</v>
      </c>
      <c r="H224" s="838">
        <v>23370000</v>
      </c>
      <c r="I224" s="854"/>
      <c r="J224" s="910" t="s">
        <v>120</v>
      </c>
      <c r="K224" s="856"/>
      <c r="L224" s="151"/>
      <c r="M224" s="875"/>
    </row>
    <row r="225" spans="1:13" s="78" customFormat="1" ht="18.75" customHeight="1" x14ac:dyDescent="0.4">
      <c r="A225" s="872">
        <v>46283</v>
      </c>
      <c r="B225" s="871" t="s">
        <v>1550</v>
      </c>
      <c r="C225" s="874" t="s">
        <v>118</v>
      </c>
      <c r="D225" s="871" t="s">
        <v>119</v>
      </c>
      <c r="E225" s="871"/>
      <c r="F225" s="854">
        <v>2</v>
      </c>
      <c r="G225" s="854">
        <v>7790000</v>
      </c>
      <c r="H225" s="838">
        <v>15580000</v>
      </c>
      <c r="I225" s="854"/>
      <c r="J225" s="910" t="s">
        <v>120</v>
      </c>
      <c r="K225" s="856"/>
      <c r="L225" s="151"/>
      <c r="M225" s="875"/>
    </row>
    <row r="226" spans="1:13" s="78" customFormat="1" ht="18.75" customHeight="1" x14ac:dyDescent="0.4">
      <c r="A226" s="872">
        <v>46283</v>
      </c>
      <c r="B226" s="871" t="s">
        <v>1550</v>
      </c>
      <c r="C226" s="874" t="s">
        <v>118</v>
      </c>
      <c r="D226" s="871" t="s">
        <v>119</v>
      </c>
      <c r="E226" s="871"/>
      <c r="F226" s="854">
        <v>10</v>
      </c>
      <c r="G226" s="854">
        <v>7790000</v>
      </c>
      <c r="H226" s="838">
        <v>77900000</v>
      </c>
      <c r="I226" s="854"/>
      <c r="J226" s="910" t="s">
        <v>120</v>
      </c>
      <c r="K226" s="856"/>
      <c r="L226" s="151"/>
      <c r="M226" s="875"/>
    </row>
    <row r="227" spans="1:13" s="78" customFormat="1" ht="18.75" customHeight="1" x14ac:dyDescent="0.4">
      <c r="A227" s="872">
        <v>46283</v>
      </c>
      <c r="B227" s="871" t="s">
        <v>1550</v>
      </c>
      <c r="C227" s="874" t="s">
        <v>68</v>
      </c>
      <c r="D227" s="871" t="s">
        <v>191</v>
      </c>
      <c r="E227" s="871"/>
      <c r="F227" s="854">
        <v>5</v>
      </c>
      <c r="G227" s="854">
        <v>352000</v>
      </c>
      <c r="H227" s="838">
        <v>1760000</v>
      </c>
      <c r="I227" s="854"/>
      <c r="J227" s="910" t="s">
        <v>70</v>
      </c>
      <c r="K227" s="856"/>
      <c r="L227" s="151"/>
      <c r="M227" s="875"/>
    </row>
    <row r="228" spans="1:13" s="78" customFormat="1" ht="18.75" customHeight="1" x14ac:dyDescent="0.4">
      <c r="A228" s="872">
        <v>46283</v>
      </c>
      <c r="B228" s="871" t="s">
        <v>1550</v>
      </c>
      <c r="C228" s="874" t="s">
        <v>190</v>
      </c>
      <c r="D228" s="871" t="s">
        <v>214</v>
      </c>
      <c r="E228" s="871"/>
      <c r="F228" s="854">
        <v>1</v>
      </c>
      <c r="G228" s="854">
        <v>181000</v>
      </c>
      <c r="H228" s="838">
        <v>181000</v>
      </c>
      <c r="I228" s="854"/>
      <c r="J228" s="910" t="s">
        <v>213</v>
      </c>
      <c r="K228" s="856"/>
      <c r="L228" s="151"/>
      <c r="M228" s="875"/>
    </row>
    <row r="229" spans="1:13" s="78" customFormat="1" ht="18.75" customHeight="1" x14ac:dyDescent="0.4">
      <c r="A229" s="872">
        <v>46283</v>
      </c>
      <c r="B229" s="871" t="s">
        <v>1550</v>
      </c>
      <c r="C229" s="874" t="s">
        <v>190</v>
      </c>
      <c r="D229" s="871" t="s">
        <v>214</v>
      </c>
      <c r="E229" s="871"/>
      <c r="F229" s="854">
        <v>1</v>
      </c>
      <c r="G229" s="854">
        <v>181000</v>
      </c>
      <c r="H229" s="838">
        <v>181000</v>
      </c>
      <c r="I229" s="854"/>
      <c r="J229" s="910" t="s">
        <v>213</v>
      </c>
      <c r="K229" s="856"/>
      <c r="L229" s="151"/>
      <c r="M229" s="875"/>
    </row>
    <row r="230" spans="1:13" s="78" customFormat="1" ht="18.75" customHeight="1" x14ac:dyDescent="0.4">
      <c r="A230" s="872">
        <v>46283</v>
      </c>
      <c r="B230" s="871" t="s">
        <v>1550</v>
      </c>
      <c r="C230" s="874" t="s">
        <v>106</v>
      </c>
      <c r="D230" s="871" t="s">
        <v>107</v>
      </c>
      <c r="E230" s="871"/>
      <c r="F230" s="854">
        <v>1</v>
      </c>
      <c r="G230" s="854">
        <v>333000</v>
      </c>
      <c r="H230" s="838">
        <v>333000</v>
      </c>
      <c r="I230" s="854"/>
      <c r="J230" s="910" t="s">
        <v>213</v>
      </c>
      <c r="K230" s="856"/>
      <c r="L230" s="151"/>
      <c r="M230" s="875"/>
    </row>
    <row r="231" spans="1:13" s="78" customFormat="1" ht="18.75" customHeight="1" x14ac:dyDescent="0.4">
      <c r="A231" s="872">
        <v>46283</v>
      </c>
      <c r="B231" s="871" t="s">
        <v>1550</v>
      </c>
      <c r="C231" s="874" t="s">
        <v>106</v>
      </c>
      <c r="D231" s="871" t="s">
        <v>107</v>
      </c>
      <c r="E231" s="871"/>
      <c r="F231" s="854">
        <v>1</v>
      </c>
      <c r="G231" s="854">
        <v>333000</v>
      </c>
      <c r="H231" s="838">
        <v>333000</v>
      </c>
      <c r="I231" s="854"/>
      <c r="J231" s="910" t="s">
        <v>213</v>
      </c>
      <c r="K231" s="856"/>
      <c r="L231" s="151"/>
      <c r="M231" s="875"/>
    </row>
    <row r="232" spans="1:13" s="78" customFormat="1" ht="18.75" customHeight="1" x14ac:dyDescent="0.4">
      <c r="A232" s="872">
        <v>46283</v>
      </c>
      <c r="B232" s="871" t="s">
        <v>1550</v>
      </c>
      <c r="C232" s="874" t="s">
        <v>106</v>
      </c>
      <c r="D232" s="871" t="s">
        <v>912</v>
      </c>
      <c r="E232" s="871"/>
      <c r="F232" s="854">
        <v>1</v>
      </c>
      <c r="G232" s="854">
        <v>335000</v>
      </c>
      <c r="H232" s="838">
        <v>335000</v>
      </c>
      <c r="I232" s="854"/>
      <c r="J232" s="910" t="s">
        <v>220</v>
      </c>
      <c r="K232" s="856"/>
      <c r="L232" s="151"/>
      <c r="M232" s="875"/>
    </row>
    <row r="233" spans="1:13" s="78" customFormat="1" ht="18.75" customHeight="1" x14ac:dyDescent="0.4">
      <c r="A233" s="872">
        <v>46283</v>
      </c>
      <c r="B233" s="871" t="s">
        <v>1550</v>
      </c>
      <c r="C233" s="874" t="s">
        <v>115</v>
      </c>
      <c r="D233" s="871" t="s">
        <v>194</v>
      </c>
      <c r="E233" s="871"/>
      <c r="F233" s="854">
        <v>3</v>
      </c>
      <c r="G233" s="854">
        <v>158000</v>
      </c>
      <c r="H233" s="838">
        <v>474000</v>
      </c>
      <c r="I233" s="854"/>
      <c r="J233" s="910" t="s">
        <v>70</v>
      </c>
      <c r="K233" s="856"/>
      <c r="L233" s="151"/>
      <c r="M233" s="875"/>
    </row>
    <row r="234" spans="1:13" s="78" customFormat="1" ht="18.75" customHeight="1" x14ac:dyDescent="0.4">
      <c r="A234" s="872">
        <v>46283</v>
      </c>
      <c r="B234" s="871" t="s">
        <v>1550</v>
      </c>
      <c r="C234" s="874" t="s">
        <v>103</v>
      </c>
      <c r="D234" s="871" t="s">
        <v>104</v>
      </c>
      <c r="E234" s="871"/>
      <c r="F234" s="854">
        <v>2</v>
      </c>
      <c r="G234" s="854">
        <v>220000</v>
      </c>
      <c r="H234" s="838">
        <v>440000</v>
      </c>
      <c r="I234" s="854"/>
      <c r="J234" s="910" t="s">
        <v>213</v>
      </c>
      <c r="K234" s="856"/>
      <c r="L234" s="151"/>
      <c r="M234" s="875"/>
    </row>
    <row r="235" spans="1:13" s="78" customFormat="1" ht="18.75" customHeight="1" x14ac:dyDescent="0.4">
      <c r="A235" s="872">
        <v>46283</v>
      </c>
      <c r="B235" s="871" t="s">
        <v>1550</v>
      </c>
      <c r="C235" s="874" t="s">
        <v>898</v>
      </c>
      <c r="D235" s="871" t="s">
        <v>899</v>
      </c>
      <c r="E235" s="871"/>
      <c r="F235" s="854">
        <v>4</v>
      </c>
      <c r="G235" s="854">
        <v>350000</v>
      </c>
      <c r="H235" s="838">
        <v>1400000</v>
      </c>
      <c r="I235" s="854"/>
      <c r="J235" s="910" t="s">
        <v>213</v>
      </c>
      <c r="K235" s="856"/>
      <c r="L235" s="151"/>
      <c r="M235" s="875"/>
    </row>
    <row r="236" spans="1:13" s="78" customFormat="1" ht="18.75" customHeight="1" x14ac:dyDescent="0.4">
      <c r="A236" s="872">
        <v>46283</v>
      </c>
      <c r="B236" s="871" t="s">
        <v>1550</v>
      </c>
      <c r="C236" s="874" t="s">
        <v>190</v>
      </c>
      <c r="D236" s="871" t="s">
        <v>214</v>
      </c>
      <c r="E236" s="871"/>
      <c r="F236" s="854">
        <v>2</v>
      </c>
      <c r="G236" s="854">
        <v>181000</v>
      </c>
      <c r="H236" s="838">
        <v>362000</v>
      </c>
      <c r="I236" s="854"/>
      <c r="J236" s="910" t="s">
        <v>213</v>
      </c>
      <c r="K236" s="856"/>
      <c r="L236" s="151"/>
      <c r="M236" s="875"/>
    </row>
    <row r="237" spans="1:13" s="78" customFormat="1" ht="18.75" customHeight="1" x14ac:dyDescent="0.4">
      <c r="A237" s="872">
        <v>46283</v>
      </c>
      <c r="B237" s="871" t="s">
        <v>1550</v>
      </c>
      <c r="C237" s="874" t="s">
        <v>103</v>
      </c>
      <c r="D237" s="871" t="s">
        <v>414</v>
      </c>
      <c r="E237" s="871"/>
      <c r="F237" s="854">
        <v>1</v>
      </c>
      <c r="G237" s="854">
        <v>235000</v>
      </c>
      <c r="H237" s="838">
        <v>235000</v>
      </c>
      <c r="I237" s="854"/>
      <c r="J237" s="910" t="s">
        <v>213</v>
      </c>
      <c r="K237" s="856"/>
      <c r="L237" s="151"/>
      <c r="M237" s="875"/>
    </row>
    <row r="238" spans="1:13" s="78" customFormat="1" ht="18.75" customHeight="1" x14ac:dyDescent="0.4">
      <c r="A238" s="872">
        <v>46283</v>
      </c>
      <c r="B238" s="871" t="s">
        <v>1550</v>
      </c>
      <c r="C238" s="874" t="s">
        <v>103</v>
      </c>
      <c r="D238" s="871" t="s">
        <v>415</v>
      </c>
      <c r="E238" s="871"/>
      <c r="F238" s="854">
        <v>1</v>
      </c>
      <c r="G238" s="854">
        <v>225000</v>
      </c>
      <c r="H238" s="838">
        <v>225000</v>
      </c>
      <c r="I238" s="854"/>
      <c r="J238" s="910" t="s">
        <v>213</v>
      </c>
      <c r="K238" s="856"/>
      <c r="L238" s="151"/>
      <c r="M238" s="875"/>
    </row>
    <row r="239" spans="1:13" s="78" customFormat="1" ht="18.75" customHeight="1" x14ac:dyDescent="0.4">
      <c r="A239" s="872">
        <v>46283</v>
      </c>
      <c r="B239" s="871" t="s">
        <v>1550</v>
      </c>
      <c r="C239" s="874" t="s">
        <v>105</v>
      </c>
      <c r="D239" s="871" t="s">
        <v>1282</v>
      </c>
      <c r="E239" s="871"/>
      <c r="F239" s="854">
        <v>1</v>
      </c>
      <c r="G239" s="854">
        <v>593000</v>
      </c>
      <c r="H239" s="838">
        <v>593000</v>
      </c>
      <c r="I239" s="854"/>
      <c r="J239" s="910" t="s">
        <v>213</v>
      </c>
      <c r="K239" s="856"/>
      <c r="L239" s="151"/>
      <c r="M239" s="875"/>
    </row>
    <row r="240" spans="1:13" s="78" customFormat="1" ht="18.75" customHeight="1" x14ac:dyDescent="0.4">
      <c r="A240" s="872">
        <v>46283</v>
      </c>
      <c r="B240" s="871" t="s">
        <v>1550</v>
      </c>
      <c r="C240" s="874" t="s">
        <v>106</v>
      </c>
      <c r="D240" s="871" t="s">
        <v>107</v>
      </c>
      <c r="E240" s="871"/>
      <c r="F240" s="854">
        <v>2</v>
      </c>
      <c r="G240" s="854">
        <v>333000</v>
      </c>
      <c r="H240" s="838">
        <v>666000</v>
      </c>
      <c r="I240" s="854"/>
      <c r="J240" s="910" t="s">
        <v>213</v>
      </c>
      <c r="K240" s="856"/>
      <c r="L240" s="151"/>
      <c r="M240" s="875"/>
    </row>
    <row r="241" spans="1:13" s="78" customFormat="1" ht="18.75" customHeight="1" x14ac:dyDescent="0.4">
      <c r="A241" s="872">
        <v>46283</v>
      </c>
      <c r="B241" s="871" t="s">
        <v>1550</v>
      </c>
      <c r="C241" s="874" t="s">
        <v>103</v>
      </c>
      <c r="D241" s="871" t="s">
        <v>915</v>
      </c>
      <c r="E241" s="871"/>
      <c r="F241" s="854">
        <v>1</v>
      </c>
      <c r="G241" s="854">
        <v>170000</v>
      </c>
      <c r="H241" s="838">
        <v>170000</v>
      </c>
      <c r="I241" s="854"/>
      <c r="J241" s="910" t="s">
        <v>213</v>
      </c>
      <c r="K241" s="856"/>
      <c r="L241" s="151"/>
      <c r="M241" s="875"/>
    </row>
    <row r="242" spans="1:13" s="78" customFormat="1" ht="18.75" customHeight="1" x14ac:dyDescent="0.4">
      <c r="A242" s="872">
        <v>46283</v>
      </c>
      <c r="B242" s="871" t="s">
        <v>1550</v>
      </c>
      <c r="C242" s="874" t="s">
        <v>110</v>
      </c>
      <c r="D242" s="871" t="s">
        <v>111</v>
      </c>
      <c r="E242" s="871"/>
      <c r="F242" s="854">
        <v>1</v>
      </c>
      <c r="G242" s="854">
        <v>102070</v>
      </c>
      <c r="H242" s="838">
        <v>102070</v>
      </c>
      <c r="I242" s="854"/>
      <c r="J242" s="910" t="s">
        <v>213</v>
      </c>
      <c r="K242" s="856"/>
      <c r="L242" s="151"/>
      <c r="M242" s="875"/>
    </row>
    <row r="243" spans="1:13" s="78" customFormat="1" ht="18.75" customHeight="1" x14ac:dyDescent="0.4">
      <c r="A243" s="872">
        <v>46283</v>
      </c>
      <c r="B243" s="871" t="s">
        <v>1550</v>
      </c>
      <c r="C243" s="874" t="s">
        <v>108</v>
      </c>
      <c r="D243" s="871" t="s">
        <v>109</v>
      </c>
      <c r="E243" s="871"/>
      <c r="F243" s="854">
        <v>2</v>
      </c>
      <c r="G243" s="854">
        <v>150000</v>
      </c>
      <c r="H243" s="838">
        <v>300000</v>
      </c>
      <c r="I243" s="854"/>
      <c r="J243" s="910" t="s">
        <v>212</v>
      </c>
      <c r="K243" s="856"/>
      <c r="L243" s="151"/>
      <c r="M243" s="875"/>
    </row>
    <row r="244" spans="1:13" s="78" customFormat="1" ht="18.75" customHeight="1" x14ac:dyDescent="0.4">
      <c r="A244" s="872">
        <v>46283</v>
      </c>
      <c r="B244" s="871" t="s">
        <v>1550</v>
      </c>
      <c r="C244" s="874" t="s">
        <v>105</v>
      </c>
      <c r="D244" s="871" t="s">
        <v>505</v>
      </c>
      <c r="E244" s="871"/>
      <c r="F244" s="854">
        <v>1</v>
      </c>
      <c r="G244" s="854">
        <v>54300</v>
      </c>
      <c r="H244" s="838">
        <v>54300</v>
      </c>
      <c r="I244" s="854"/>
      <c r="J244" s="910" t="s">
        <v>70</v>
      </c>
      <c r="K244" s="856"/>
      <c r="L244" s="151"/>
      <c r="M244" s="875"/>
    </row>
    <row r="245" spans="1:13" s="78" customFormat="1" ht="18.75" customHeight="1" x14ac:dyDescent="0.4">
      <c r="A245" s="872">
        <v>46283</v>
      </c>
      <c r="B245" s="871" t="s">
        <v>1550</v>
      </c>
      <c r="C245" s="874" t="s">
        <v>85</v>
      </c>
      <c r="D245" s="871" t="s">
        <v>86</v>
      </c>
      <c r="E245" s="871"/>
      <c r="F245" s="854">
        <v>2</v>
      </c>
      <c r="G245" s="854">
        <v>37700</v>
      </c>
      <c r="H245" s="838">
        <v>75400</v>
      </c>
      <c r="I245" s="854"/>
      <c r="J245" s="910" t="s">
        <v>70</v>
      </c>
      <c r="K245" s="856"/>
      <c r="L245" s="151"/>
      <c r="M245" s="875"/>
    </row>
    <row r="246" spans="1:13" s="78" customFormat="1" ht="18.75" customHeight="1" x14ac:dyDescent="0.4">
      <c r="A246" s="872">
        <v>46283</v>
      </c>
      <c r="B246" s="871" t="s">
        <v>1550</v>
      </c>
      <c r="C246" s="874" t="s">
        <v>85</v>
      </c>
      <c r="D246" s="871" t="s">
        <v>86</v>
      </c>
      <c r="E246" s="871"/>
      <c r="F246" s="854">
        <v>2</v>
      </c>
      <c r="G246" s="854">
        <v>37700</v>
      </c>
      <c r="H246" s="838">
        <v>75400</v>
      </c>
      <c r="I246" s="854"/>
      <c r="J246" s="910" t="s">
        <v>70</v>
      </c>
      <c r="K246" s="856"/>
      <c r="L246" s="151"/>
      <c r="M246" s="875"/>
    </row>
    <row r="247" spans="1:13" s="78" customFormat="1" ht="18.75" customHeight="1" x14ac:dyDescent="0.4">
      <c r="A247" s="872">
        <v>46283</v>
      </c>
      <c r="B247" s="871" t="s">
        <v>1550</v>
      </c>
      <c r="C247" s="874" t="s">
        <v>83</v>
      </c>
      <c r="D247" s="871" t="s">
        <v>87</v>
      </c>
      <c r="E247" s="871"/>
      <c r="F247" s="854">
        <v>2</v>
      </c>
      <c r="G247" s="854">
        <v>75300</v>
      </c>
      <c r="H247" s="838">
        <v>150600</v>
      </c>
      <c r="I247" s="854"/>
      <c r="J247" s="910" t="s">
        <v>70</v>
      </c>
      <c r="K247" s="856"/>
      <c r="L247" s="151"/>
      <c r="M247" s="875"/>
    </row>
    <row r="248" spans="1:13" s="78" customFormat="1" ht="18.75" customHeight="1" x14ac:dyDescent="0.4">
      <c r="A248" s="872">
        <v>46283</v>
      </c>
      <c r="B248" s="871" t="s">
        <v>1550</v>
      </c>
      <c r="C248" s="874" t="s">
        <v>88</v>
      </c>
      <c r="D248" s="871" t="s">
        <v>89</v>
      </c>
      <c r="E248" s="871"/>
      <c r="F248" s="854">
        <v>4</v>
      </c>
      <c r="G248" s="854">
        <v>64000</v>
      </c>
      <c r="H248" s="838">
        <v>256000</v>
      </c>
      <c r="I248" s="854"/>
      <c r="J248" s="910" t="s">
        <v>70</v>
      </c>
      <c r="K248" s="856"/>
      <c r="L248" s="151"/>
      <c r="M248" s="875"/>
    </row>
    <row r="249" spans="1:13" s="78" customFormat="1" ht="18.75" customHeight="1" x14ac:dyDescent="0.4">
      <c r="A249" s="872">
        <v>46283</v>
      </c>
      <c r="B249" s="871" t="s">
        <v>1550</v>
      </c>
      <c r="C249" s="874" t="s">
        <v>88</v>
      </c>
      <c r="D249" s="871" t="s">
        <v>89</v>
      </c>
      <c r="E249" s="871"/>
      <c r="F249" s="854">
        <v>4</v>
      </c>
      <c r="G249" s="854">
        <v>64000</v>
      </c>
      <c r="H249" s="838">
        <v>256000</v>
      </c>
      <c r="I249" s="854"/>
      <c r="J249" s="910" t="s">
        <v>70</v>
      </c>
      <c r="K249" s="856"/>
      <c r="L249" s="151"/>
      <c r="M249" s="875"/>
    </row>
    <row r="250" spans="1:13" s="78" customFormat="1" ht="18.75" customHeight="1" x14ac:dyDescent="0.4">
      <c r="A250" s="872">
        <v>46283</v>
      </c>
      <c r="B250" s="871" t="s">
        <v>1550</v>
      </c>
      <c r="C250" s="874" t="s">
        <v>95</v>
      </c>
      <c r="D250" s="871" t="s">
        <v>96</v>
      </c>
      <c r="E250" s="871"/>
      <c r="F250" s="854">
        <v>12</v>
      </c>
      <c r="G250" s="854">
        <v>12000</v>
      </c>
      <c r="H250" s="838">
        <v>144000</v>
      </c>
      <c r="I250" s="854"/>
      <c r="J250" s="910" t="s">
        <v>70</v>
      </c>
      <c r="K250" s="856"/>
      <c r="L250" s="151"/>
      <c r="M250" s="875"/>
    </row>
    <row r="251" spans="1:13" s="78" customFormat="1" ht="18.75" customHeight="1" x14ac:dyDescent="0.4">
      <c r="A251" s="872">
        <v>46283</v>
      </c>
      <c r="B251" s="871" t="s">
        <v>1550</v>
      </c>
      <c r="C251" s="874" t="s">
        <v>95</v>
      </c>
      <c r="D251" s="871" t="s">
        <v>96</v>
      </c>
      <c r="E251" s="871"/>
      <c r="F251" s="854">
        <v>12</v>
      </c>
      <c r="G251" s="854">
        <v>12000</v>
      </c>
      <c r="H251" s="838">
        <v>144000</v>
      </c>
      <c r="I251" s="854"/>
      <c r="J251" s="910" t="s">
        <v>70</v>
      </c>
      <c r="K251" s="856"/>
      <c r="L251" s="151"/>
      <c r="M251" s="875"/>
    </row>
    <row r="252" spans="1:13" s="78" customFormat="1" ht="18.75" customHeight="1" x14ac:dyDescent="0.4">
      <c r="A252" s="872">
        <v>46286</v>
      </c>
      <c r="B252" s="871" t="s">
        <v>1550</v>
      </c>
      <c r="C252" s="874" t="s">
        <v>64</v>
      </c>
      <c r="D252" s="871" t="s">
        <v>98</v>
      </c>
      <c r="E252" s="871"/>
      <c r="F252" s="854">
        <v>9</v>
      </c>
      <c r="G252" s="854">
        <v>1431650</v>
      </c>
      <c r="H252" s="838">
        <v>12884850</v>
      </c>
      <c r="I252" s="854"/>
      <c r="J252" s="910" t="s">
        <v>1788</v>
      </c>
      <c r="K252" s="856"/>
      <c r="L252" s="151"/>
      <c r="M252" s="875"/>
    </row>
    <row r="253" spans="1:13" s="78" customFormat="1" ht="18.75" customHeight="1" x14ac:dyDescent="0.4">
      <c r="A253" s="872">
        <v>46286</v>
      </c>
      <c r="B253" s="871" t="s">
        <v>1550</v>
      </c>
      <c r="C253" s="874" t="s">
        <v>67</v>
      </c>
      <c r="D253" s="871" t="s">
        <v>197</v>
      </c>
      <c r="E253" s="871"/>
      <c r="F253" s="854">
        <v>8</v>
      </c>
      <c r="G253" s="854">
        <v>364800</v>
      </c>
      <c r="H253" s="838">
        <v>2918400</v>
      </c>
      <c r="I253" s="854"/>
      <c r="J253" s="910" t="s">
        <v>1788</v>
      </c>
      <c r="K253" s="856"/>
      <c r="L253" s="151"/>
      <c r="M253" s="875"/>
    </row>
    <row r="254" spans="1:13" s="78" customFormat="1" ht="18.75" customHeight="1" x14ac:dyDescent="0.4">
      <c r="A254" s="872">
        <v>46286</v>
      </c>
      <c r="B254" s="871" t="s">
        <v>1550</v>
      </c>
      <c r="C254" s="874" t="s">
        <v>71</v>
      </c>
      <c r="D254" s="871" t="s">
        <v>72</v>
      </c>
      <c r="E254" s="871"/>
      <c r="F254" s="854">
        <v>8</v>
      </c>
      <c r="G254" s="854">
        <v>548000</v>
      </c>
      <c r="H254" s="838">
        <v>4384000</v>
      </c>
      <c r="I254" s="854"/>
      <c r="J254" s="910" t="s">
        <v>1780</v>
      </c>
      <c r="K254" s="856"/>
      <c r="L254" s="151"/>
      <c r="M254" s="875"/>
    </row>
    <row r="255" spans="1:13" s="78" customFormat="1" ht="18.75" customHeight="1" x14ac:dyDescent="0.4">
      <c r="A255" s="872">
        <v>46286</v>
      </c>
      <c r="B255" s="871" t="s">
        <v>1550</v>
      </c>
      <c r="C255" s="874" t="s">
        <v>67</v>
      </c>
      <c r="D255" s="871" t="s">
        <v>80</v>
      </c>
      <c r="E255" s="871"/>
      <c r="F255" s="854">
        <v>8</v>
      </c>
      <c r="G255" s="854">
        <v>384000</v>
      </c>
      <c r="H255" s="838">
        <v>3072000</v>
      </c>
      <c r="I255" s="854"/>
      <c r="J255" s="910" t="s">
        <v>1780</v>
      </c>
      <c r="K255" s="856"/>
      <c r="L255" s="151"/>
      <c r="M255" s="875"/>
    </row>
    <row r="256" spans="1:13" s="78" customFormat="1" ht="18.75" customHeight="1" x14ac:dyDescent="0.4">
      <c r="A256" s="872">
        <v>46286</v>
      </c>
      <c r="B256" s="871" t="s">
        <v>1550</v>
      </c>
      <c r="C256" s="874" t="s">
        <v>67</v>
      </c>
      <c r="D256" s="871" t="s">
        <v>80</v>
      </c>
      <c r="E256" s="871"/>
      <c r="F256" s="854">
        <v>4</v>
      </c>
      <c r="G256" s="854">
        <v>384000</v>
      </c>
      <c r="H256" s="838">
        <v>1536000</v>
      </c>
      <c r="I256" s="854"/>
      <c r="J256" s="910" t="s">
        <v>1782</v>
      </c>
      <c r="K256" s="856"/>
      <c r="L256" s="151"/>
      <c r="M256" s="875"/>
    </row>
    <row r="257" spans="1:13" s="78" customFormat="1" ht="18.75" customHeight="1" x14ac:dyDescent="0.4">
      <c r="A257" s="872">
        <v>46286</v>
      </c>
      <c r="B257" s="871" t="s">
        <v>1550</v>
      </c>
      <c r="C257" s="874" t="s">
        <v>62</v>
      </c>
      <c r="D257" s="871" t="s">
        <v>75</v>
      </c>
      <c r="E257" s="871"/>
      <c r="F257" s="854">
        <v>1</v>
      </c>
      <c r="G257" s="854">
        <v>442000</v>
      </c>
      <c r="H257" s="838">
        <v>442000</v>
      </c>
      <c r="I257" s="854"/>
      <c r="J257" s="910" t="s">
        <v>1780</v>
      </c>
      <c r="K257" s="856"/>
      <c r="L257" s="151"/>
      <c r="M257" s="875"/>
    </row>
    <row r="258" spans="1:13" s="78" customFormat="1" ht="18.75" customHeight="1" x14ac:dyDescent="0.4">
      <c r="A258" s="488">
        <v>46286</v>
      </c>
      <c r="B258" s="871" t="s">
        <v>1550</v>
      </c>
      <c r="C258" s="874" t="s">
        <v>71</v>
      </c>
      <c r="D258" s="871" t="s">
        <v>72</v>
      </c>
      <c r="E258" s="871"/>
      <c r="F258" s="854">
        <v>3</v>
      </c>
      <c r="G258" s="854">
        <v>548000</v>
      </c>
      <c r="H258" s="838">
        <v>1644000</v>
      </c>
      <c r="I258" s="854"/>
      <c r="J258" s="910" t="s">
        <v>1683</v>
      </c>
      <c r="K258" s="856"/>
      <c r="L258" s="151"/>
      <c r="M258" s="875"/>
    </row>
    <row r="259" spans="1:13" s="78" customFormat="1" ht="18.75" customHeight="1" x14ac:dyDescent="0.4">
      <c r="A259" s="488">
        <v>46286</v>
      </c>
      <c r="B259" s="871" t="s">
        <v>1550</v>
      </c>
      <c r="C259" s="874" t="s">
        <v>71</v>
      </c>
      <c r="D259" s="871" t="s">
        <v>72</v>
      </c>
      <c r="E259" s="871"/>
      <c r="F259" s="854">
        <v>4</v>
      </c>
      <c r="G259" s="854">
        <v>548000</v>
      </c>
      <c r="H259" s="838">
        <v>2192000</v>
      </c>
      <c r="I259" s="854"/>
      <c r="J259" s="910" t="s">
        <v>1781</v>
      </c>
      <c r="K259" s="856"/>
      <c r="L259" s="151"/>
      <c r="M259" s="875"/>
    </row>
    <row r="260" spans="1:13" s="78" customFormat="1" ht="18.75" customHeight="1" x14ac:dyDescent="0.4">
      <c r="A260" s="488">
        <v>46286</v>
      </c>
      <c r="B260" s="871" t="s">
        <v>1550</v>
      </c>
      <c r="C260" s="874" t="s">
        <v>67</v>
      </c>
      <c r="D260" s="871" t="s">
        <v>80</v>
      </c>
      <c r="E260" s="871"/>
      <c r="F260" s="854">
        <v>4</v>
      </c>
      <c r="G260" s="854">
        <v>384000</v>
      </c>
      <c r="H260" s="838">
        <v>1536000</v>
      </c>
      <c r="I260" s="854"/>
      <c r="J260" s="910" t="s">
        <v>1781</v>
      </c>
      <c r="K260" s="856"/>
      <c r="L260" s="151"/>
      <c r="M260" s="875"/>
    </row>
    <row r="261" spans="1:13" s="78" customFormat="1" ht="18.75" customHeight="1" x14ac:dyDescent="0.4">
      <c r="A261" s="488">
        <v>46286</v>
      </c>
      <c r="B261" s="871" t="s">
        <v>1550</v>
      </c>
      <c r="C261" s="874" t="s">
        <v>105</v>
      </c>
      <c r="D261" s="871" t="s">
        <v>117</v>
      </c>
      <c r="E261" s="871"/>
      <c r="F261" s="854">
        <v>3</v>
      </c>
      <c r="G261" s="854">
        <v>248000</v>
      </c>
      <c r="H261" s="838">
        <v>744000</v>
      </c>
      <c r="I261" s="854"/>
      <c r="J261" s="910" t="s">
        <v>1785</v>
      </c>
      <c r="K261" s="856"/>
      <c r="L261" s="151"/>
      <c r="M261" s="875"/>
    </row>
    <row r="262" spans="1:13" s="78" customFormat="1" ht="18.75" customHeight="1" x14ac:dyDescent="0.4">
      <c r="A262" s="488">
        <v>46286</v>
      </c>
      <c r="B262" s="871" t="s">
        <v>1550</v>
      </c>
      <c r="C262" s="874" t="s">
        <v>66</v>
      </c>
      <c r="D262" s="871" t="s">
        <v>195</v>
      </c>
      <c r="E262" s="871"/>
      <c r="F262" s="854">
        <v>6</v>
      </c>
      <c r="G262" s="854">
        <v>1917500</v>
      </c>
      <c r="H262" s="838">
        <v>11505000</v>
      </c>
      <c r="I262" s="854"/>
      <c r="J262" s="910" t="s">
        <v>1780</v>
      </c>
      <c r="K262" s="856"/>
      <c r="L262" s="151"/>
      <c r="M262" s="875"/>
    </row>
    <row r="263" spans="1:13" s="78" customFormat="1" ht="18.75" customHeight="1" x14ac:dyDescent="0.4">
      <c r="A263" s="488">
        <v>46286</v>
      </c>
      <c r="B263" s="871" t="s">
        <v>1550</v>
      </c>
      <c r="C263" s="874" t="s">
        <v>66</v>
      </c>
      <c r="D263" s="871" t="s">
        <v>195</v>
      </c>
      <c r="E263" s="871"/>
      <c r="F263" s="854">
        <v>4</v>
      </c>
      <c r="G263" s="854">
        <v>1917500</v>
      </c>
      <c r="H263" s="838">
        <v>7670000</v>
      </c>
      <c r="I263" s="854"/>
      <c r="J263" s="910" t="s">
        <v>1682</v>
      </c>
      <c r="K263" s="856"/>
      <c r="L263" s="151"/>
      <c r="M263" s="875"/>
    </row>
    <row r="264" spans="1:13" s="78" customFormat="1" ht="18.75" customHeight="1" x14ac:dyDescent="0.4">
      <c r="A264" s="488">
        <v>46286</v>
      </c>
      <c r="B264" s="871" t="s">
        <v>1550</v>
      </c>
      <c r="C264" s="874" t="s">
        <v>66</v>
      </c>
      <c r="D264" s="871" t="s">
        <v>195</v>
      </c>
      <c r="E264" s="871"/>
      <c r="F264" s="854">
        <v>3</v>
      </c>
      <c r="G264" s="854">
        <v>1917500</v>
      </c>
      <c r="H264" s="838">
        <v>5752500</v>
      </c>
      <c r="I264" s="854"/>
      <c r="J264" s="910" t="s">
        <v>1683</v>
      </c>
      <c r="K264" s="856"/>
      <c r="L264" s="151"/>
      <c r="M264" s="875"/>
    </row>
    <row r="265" spans="1:13" s="78" customFormat="1" ht="18.75" customHeight="1" x14ac:dyDescent="0.4">
      <c r="A265" s="488">
        <v>46286</v>
      </c>
      <c r="B265" s="871" t="s">
        <v>1550</v>
      </c>
      <c r="C265" s="874" t="s">
        <v>66</v>
      </c>
      <c r="D265" s="871" t="s">
        <v>195</v>
      </c>
      <c r="E265" s="871"/>
      <c r="F265" s="854">
        <v>4</v>
      </c>
      <c r="G265" s="854">
        <v>1917500</v>
      </c>
      <c r="H265" s="838">
        <v>7670000</v>
      </c>
      <c r="I265" s="854"/>
      <c r="J265" s="910" t="s">
        <v>1781</v>
      </c>
      <c r="K265" s="856"/>
      <c r="L265" s="151"/>
      <c r="M265" s="875"/>
    </row>
    <row r="266" spans="1:13" s="78" customFormat="1" ht="18.75" customHeight="1" x14ac:dyDescent="0.4">
      <c r="A266" s="488">
        <v>46286</v>
      </c>
      <c r="B266" s="871" t="s">
        <v>1550</v>
      </c>
      <c r="C266" s="874" t="s">
        <v>64</v>
      </c>
      <c r="D266" s="871" t="s">
        <v>65</v>
      </c>
      <c r="E266" s="871"/>
      <c r="F266" s="854">
        <v>3</v>
      </c>
      <c r="G266" s="854">
        <v>1568700</v>
      </c>
      <c r="H266" s="838">
        <v>4706100</v>
      </c>
      <c r="I266" s="854"/>
      <c r="J266" s="910" t="s">
        <v>1681</v>
      </c>
      <c r="K266" s="856"/>
      <c r="L266" s="151"/>
      <c r="M266" s="875"/>
    </row>
    <row r="267" spans="1:13" s="78" customFormat="1" ht="18.75" customHeight="1" x14ac:dyDescent="0.4">
      <c r="A267" s="488">
        <v>46286</v>
      </c>
      <c r="B267" s="871" t="s">
        <v>1550</v>
      </c>
      <c r="C267" s="874" t="s">
        <v>571</v>
      </c>
      <c r="D267" s="871" t="s">
        <v>572</v>
      </c>
      <c r="E267" s="871"/>
      <c r="F267" s="854">
        <v>1</v>
      </c>
      <c r="G267" s="854">
        <v>420000</v>
      </c>
      <c r="H267" s="838">
        <v>420000</v>
      </c>
      <c r="I267" s="854"/>
      <c r="J267" s="910" t="s">
        <v>1892</v>
      </c>
      <c r="K267" s="856"/>
      <c r="L267" s="151"/>
      <c r="M267" s="875"/>
    </row>
    <row r="268" spans="1:13" s="78" customFormat="1" ht="18.75" customHeight="1" x14ac:dyDescent="0.4">
      <c r="A268" s="488">
        <v>46288</v>
      </c>
      <c r="B268" s="871" t="s">
        <v>1550</v>
      </c>
      <c r="C268" s="874" t="s">
        <v>85</v>
      </c>
      <c r="D268" s="871" t="s">
        <v>86</v>
      </c>
      <c r="E268" s="871"/>
      <c r="F268" s="854">
        <v>2</v>
      </c>
      <c r="G268" s="854">
        <v>37700</v>
      </c>
      <c r="H268" s="838">
        <v>75400</v>
      </c>
      <c r="I268" s="854"/>
      <c r="J268" s="910" t="s">
        <v>70</v>
      </c>
      <c r="K268" s="856"/>
      <c r="L268" s="151"/>
      <c r="M268" s="875"/>
    </row>
    <row r="269" spans="1:13" s="78" customFormat="1" ht="18.75" customHeight="1" x14ac:dyDescent="0.4">
      <c r="A269" s="488">
        <v>46288</v>
      </c>
      <c r="B269" s="871" t="s">
        <v>1550</v>
      </c>
      <c r="C269" s="874" t="s">
        <v>85</v>
      </c>
      <c r="D269" s="871" t="s">
        <v>86</v>
      </c>
      <c r="E269" s="871"/>
      <c r="F269" s="854">
        <v>2</v>
      </c>
      <c r="G269" s="854">
        <v>37700</v>
      </c>
      <c r="H269" s="838">
        <v>75400</v>
      </c>
      <c r="I269" s="854"/>
      <c r="J269" s="910" t="s">
        <v>70</v>
      </c>
      <c r="K269" s="856"/>
      <c r="L269" s="151"/>
      <c r="M269" s="875"/>
    </row>
    <row r="270" spans="1:13" s="78" customFormat="1" ht="18.75" customHeight="1" x14ac:dyDescent="0.4">
      <c r="A270" s="488">
        <v>46288</v>
      </c>
      <c r="B270" s="871" t="s">
        <v>1550</v>
      </c>
      <c r="C270" s="874" t="s">
        <v>88</v>
      </c>
      <c r="D270" s="871" t="s">
        <v>89</v>
      </c>
      <c r="E270" s="871"/>
      <c r="F270" s="853">
        <v>4</v>
      </c>
      <c r="G270" s="854">
        <v>64000</v>
      </c>
      <c r="H270" s="838">
        <v>256000</v>
      </c>
      <c r="I270" s="854"/>
      <c r="J270" s="910" t="s">
        <v>70</v>
      </c>
      <c r="K270" s="856"/>
      <c r="L270" s="151"/>
      <c r="M270" s="875"/>
    </row>
    <row r="271" spans="1:13" s="78" customFormat="1" ht="18.75" customHeight="1" x14ac:dyDescent="0.4">
      <c r="A271" s="488">
        <v>46288</v>
      </c>
      <c r="B271" s="871" t="s">
        <v>1550</v>
      </c>
      <c r="C271" s="874" t="s">
        <v>88</v>
      </c>
      <c r="D271" s="871" t="s">
        <v>89</v>
      </c>
      <c r="E271" s="871"/>
      <c r="F271" s="853">
        <v>4</v>
      </c>
      <c r="G271" s="854">
        <v>64000</v>
      </c>
      <c r="H271" s="838">
        <v>256000</v>
      </c>
      <c r="I271" s="854"/>
      <c r="J271" s="910" t="s">
        <v>70</v>
      </c>
      <c r="K271" s="856"/>
      <c r="L271" s="151"/>
      <c r="M271" s="875"/>
    </row>
    <row r="272" spans="1:13" s="78" customFormat="1" ht="18.75" customHeight="1" x14ac:dyDescent="0.4">
      <c r="A272" s="488">
        <v>46288</v>
      </c>
      <c r="B272" s="871" t="s">
        <v>1550</v>
      </c>
      <c r="C272" s="874" t="s">
        <v>95</v>
      </c>
      <c r="D272" s="871" t="s">
        <v>96</v>
      </c>
      <c r="E272" s="871"/>
      <c r="F272" s="854">
        <v>12</v>
      </c>
      <c r="G272" s="854">
        <v>12000</v>
      </c>
      <c r="H272" s="838">
        <v>144000</v>
      </c>
      <c r="I272" s="854"/>
      <c r="J272" s="910" t="s">
        <v>70</v>
      </c>
      <c r="K272" s="856"/>
      <c r="L272" s="151"/>
      <c r="M272" s="875"/>
    </row>
    <row r="273" spans="1:13" s="78" customFormat="1" ht="18.75" customHeight="1" x14ac:dyDescent="0.4">
      <c r="A273" s="488">
        <v>46288</v>
      </c>
      <c r="B273" s="871" t="s">
        <v>1550</v>
      </c>
      <c r="C273" s="874" t="s">
        <v>95</v>
      </c>
      <c r="D273" s="871" t="s">
        <v>96</v>
      </c>
      <c r="E273" s="871"/>
      <c r="F273" s="854">
        <v>12</v>
      </c>
      <c r="G273" s="854">
        <v>12000</v>
      </c>
      <c r="H273" s="838">
        <v>144000</v>
      </c>
      <c r="I273" s="854"/>
      <c r="J273" s="910" t="s">
        <v>70</v>
      </c>
      <c r="K273" s="856"/>
      <c r="L273" s="151"/>
      <c r="M273" s="875"/>
    </row>
    <row r="274" spans="1:13" s="78" customFormat="1" ht="18.75" customHeight="1" x14ac:dyDescent="0.4">
      <c r="A274" s="488">
        <v>46295</v>
      </c>
      <c r="B274" s="871" t="s">
        <v>1550</v>
      </c>
      <c r="C274" s="874" t="s">
        <v>66</v>
      </c>
      <c r="D274" s="871" t="s">
        <v>1080</v>
      </c>
      <c r="E274" s="871"/>
      <c r="F274" s="854">
        <v>5</v>
      </c>
      <c r="G274" s="854">
        <v>1766050</v>
      </c>
      <c r="H274" s="838">
        <v>8830250</v>
      </c>
      <c r="I274" s="854"/>
      <c r="J274" s="910" t="s">
        <v>1788</v>
      </c>
      <c r="K274" s="856"/>
      <c r="L274" s="151"/>
      <c r="M274" s="875"/>
    </row>
    <row r="275" spans="1:13" s="78" customFormat="1" ht="18.75" customHeight="1" x14ac:dyDescent="0.4">
      <c r="A275" s="488">
        <v>46295</v>
      </c>
      <c r="B275" s="871" t="s">
        <v>1550</v>
      </c>
      <c r="C275" s="874" t="s">
        <v>202</v>
      </c>
      <c r="D275" s="871" t="s">
        <v>921</v>
      </c>
      <c r="E275" s="871"/>
      <c r="F275" s="854">
        <v>12</v>
      </c>
      <c r="G275" s="854">
        <v>351500</v>
      </c>
      <c r="H275" s="838">
        <v>4218000</v>
      </c>
      <c r="I275" s="854"/>
      <c r="J275" s="910" t="s">
        <v>1787</v>
      </c>
      <c r="K275" s="856"/>
      <c r="L275" s="151"/>
      <c r="M275" s="875"/>
    </row>
    <row r="276" spans="1:13" s="78" customFormat="1" ht="18.75" customHeight="1" x14ac:dyDescent="0.4">
      <c r="A276" s="488">
        <v>46295</v>
      </c>
      <c r="B276" s="871" t="s">
        <v>1550</v>
      </c>
      <c r="C276" s="874" t="s">
        <v>202</v>
      </c>
      <c r="D276" s="871" t="s">
        <v>921</v>
      </c>
      <c r="E276" s="871"/>
      <c r="F276" s="854">
        <v>12</v>
      </c>
      <c r="G276" s="854">
        <v>351500</v>
      </c>
      <c r="H276" s="838">
        <v>4218000</v>
      </c>
      <c r="I276" s="854"/>
      <c r="J276" s="910" t="s">
        <v>1788</v>
      </c>
      <c r="K276" s="856"/>
      <c r="L276" s="151"/>
      <c r="M276" s="875"/>
    </row>
    <row r="277" spans="1:13" s="78" customFormat="1" ht="18.75" customHeight="1" x14ac:dyDescent="0.4">
      <c r="A277" s="488">
        <v>46295</v>
      </c>
      <c r="B277" s="871" t="s">
        <v>1550</v>
      </c>
      <c r="C277" s="874" t="s">
        <v>67</v>
      </c>
      <c r="D277" s="871" t="s">
        <v>197</v>
      </c>
      <c r="E277" s="871"/>
      <c r="F277" s="854">
        <v>4</v>
      </c>
      <c r="G277" s="854">
        <v>364800</v>
      </c>
      <c r="H277" s="838">
        <v>1459200</v>
      </c>
      <c r="I277" s="854"/>
      <c r="J277" s="910" t="s">
        <v>1788</v>
      </c>
      <c r="K277" s="856"/>
      <c r="L277" s="151"/>
      <c r="M277" s="875"/>
    </row>
    <row r="278" spans="1:13" s="78" customFormat="1" ht="18.75" customHeight="1" x14ac:dyDescent="0.4">
      <c r="A278" s="488">
        <v>46295</v>
      </c>
      <c r="B278" s="871" t="s">
        <v>1550</v>
      </c>
      <c r="C278" s="874" t="s">
        <v>63</v>
      </c>
      <c r="D278" s="871" t="s">
        <v>922</v>
      </c>
      <c r="E278" s="871"/>
      <c r="F278" s="854">
        <v>12</v>
      </c>
      <c r="G278" s="854">
        <v>125400</v>
      </c>
      <c r="H278" s="838">
        <v>1504800</v>
      </c>
      <c r="I278" s="854"/>
      <c r="J278" s="910" t="s">
        <v>1788</v>
      </c>
      <c r="K278" s="856"/>
      <c r="L278" s="151"/>
      <c r="M278" s="875"/>
    </row>
    <row r="279" spans="1:13" s="78" customFormat="1" ht="18.75" customHeight="1" x14ac:dyDescent="0.4">
      <c r="A279" s="488">
        <v>46295</v>
      </c>
      <c r="B279" s="871" t="s">
        <v>1550</v>
      </c>
      <c r="C279" s="874" t="s">
        <v>121</v>
      </c>
      <c r="D279" s="871" t="s">
        <v>122</v>
      </c>
      <c r="E279" s="871"/>
      <c r="F279" s="854">
        <v>4</v>
      </c>
      <c r="G279" s="854">
        <v>7010050</v>
      </c>
      <c r="H279" s="838">
        <v>28040200</v>
      </c>
      <c r="I279" s="854"/>
      <c r="J279" s="910" t="s">
        <v>120</v>
      </c>
      <c r="K279" s="856"/>
      <c r="L279" s="151"/>
      <c r="M279" s="875"/>
    </row>
    <row r="280" spans="1:13" s="78" customFormat="1" ht="18.75" customHeight="1" x14ac:dyDescent="0.4">
      <c r="A280" s="488">
        <v>46295</v>
      </c>
      <c r="B280" s="871" t="s">
        <v>1550</v>
      </c>
      <c r="C280" s="874" t="s">
        <v>71</v>
      </c>
      <c r="D280" s="871" t="s">
        <v>72</v>
      </c>
      <c r="E280" s="871"/>
      <c r="F280" s="876">
        <v>5</v>
      </c>
      <c r="G280" s="854">
        <v>548000</v>
      </c>
      <c r="H280" s="838">
        <v>2740000</v>
      </c>
      <c r="I280" s="854"/>
      <c r="J280" s="910" t="s">
        <v>1782</v>
      </c>
      <c r="K280" s="856"/>
      <c r="L280" s="151"/>
      <c r="M280" s="875"/>
    </row>
    <row r="281" spans="1:13" s="78" customFormat="1" ht="18.75" customHeight="1" x14ac:dyDescent="0.4">
      <c r="A281" s="488">
        <v>46295</v>
      </c>
      <c r="B281" s="871" t="s">
        <v>1550</v>
      </c>
      <c r="C281" s="874" t="s">
        <v>71</v>
      </c>
      <c r="D281" s="871" t="s">
        <v>72</v>
      </c>
      <c r="E281" s="871"/>
      <c r="F281" s="854">
        <v>9</v>
      </c>
      <c r="G281" s="854">
        <v>548000</v>
      </c>
      <c r="H281" s="838">
        <v>4932000</v>
      </c>
      <c r="I281" s="854"/>
      <c r="J281" s="910" t="s">
        <v>1783</v>
      </c>
      <c r="K281" s="856"/>
      <c r="L281" s="151"/>
      <c r="M281" s="875"/>
    </row>
    <row r="282" spans="1:13" s="78" customFormat="1" ht="18.75" customHeight="1" x14ac:dyDescent="0.4">
      <c r="A282" s="488">
        <v>46295</v>
      </c>
      <c r="B282" s="871" t="s">
        <v>1550</v>
      </c>
      <c r="C282" s="874" t="s">
        <v>73</v>
      </c>
      <c r="D282" s="871" t="s">
        <v>74</v>
      </c>
      <c r="E282" s="871"/>
      <c r="F282" s="854">
        <v>7</v>
      </c>
      <c r="G282" s="854">
        <v>442000</v>
      </c>
      <c r="H282" s="838">
        <v>3094000</v>
      </c>
      <c r="I282" s="854"/>
      <c r="J282" s="910" t="s">
        <v>1783</v>
      </c>
      <c r="K282" s="856"/>
      <c r="L282" s="151"/>
      <c r="M282" s="875"/>
    </row>
    <row r="283" spans="1:13" s="78" customFormat="1" ht="18.75" customHeight="1" x14ac:dyDescent="0.4">
      <c r="A283" s="488">
        <v>46295</v>
      </c>
      <c r="B283" s="871" t="s">
        <v>1550</v>
      </c>
      <c r="C283" s="874" t="s">
        <v>71</v>
      </c>
      <c r="D283" s="871" t="s">
        <v>72</v>
      </c>
      <c r="E283" s="871"/>
      <c r="F283" s="854">
        <v>3</v>
      </c>
      <c r="G283" s="854">
        <v>548000</v>
      </c>
      <c r="H283" s="838">
        <v>1644000</v>
      </c>
      <c r="I283" s="854"/>
      <c r="J283" s="910" t="s">
        <v>1785</v>
      </c>
      <c r="K283" s="856"/>
      <c r="L283" s="151"/>
      <c r="M283" s="875"/>
    </row>
    <row r="284" spans="1:13" s="78" customFormat="1" ht="18.75" customHeight="1" x14ac:dyDescent="0.4">
      <c r="A284" s="488">
        <v>46295</v>
      </c>
      <c r="B284" s="871" t="s">
        <v>1550</v>
      </c>
      <c r="C284" s="874" t="s">
        <v>71</v>
      </c>
      <c r="D284" s="871" t="s">
        <v>72</v>
      </c>
      <c r="E284" s="871"/>
      <c r="F284" s="854">
        <v>3</v>
      </c>
      <c r="G284" s="854">
        <v>548000</v>
      </c>
      <c r="H284" s="838">
        <v>1644000</v>
      </c>
      <c r="I284" s="854"/>
      <c r="J284" s="910" t="s">
        <v>1786</v>
      </c>
      <c r="K284" s="856"/>
      <c r="L284" s="151"/>
      <c r="M284" s="875"/>
    </row>
    <row r="285" spans="1:13" s="78" customFormat="1" ht="18.75" customHeight="1" x14ac:dyDescent="0.4">
      <c r="A285" s="488">
        <v>46295</v>
      </c>
      <c r="B285" s="871" t="s">
        <v>1550</v>
      </c>
      <c r="C285" s="874" t="s">
        <v>118</v>
      </c>
      <c r="D285" s="871" t="s">
        <v>119</v>
      </c>
      <c r="E285" s="871"/>
      <c r="F285" s="854">
        <v>7</v>
      </c>
      <c r="G285" s="854">
        <v>7790000</v>
      </c>
      <c r="H285" s="838">
        <v>54530000</v>
      </c>
      <c r="I285" s="854"/>
      <c r="J285" s="910" t="s">
        <v>120</v>
      </c>
      <c r="K285" s="856"/>
      <c r="L285" s="151"/>
      <c r="M285" s="875"/>
    </row>
    <row r="286" spans="1:13" s="78" customFormat="1" ht="18.75" customHeight="1" x14ac:dyDescent="0.4">
      <c r="A286" s="488">
        <v>46295</v>
      </c>
      <c r="B286" s="871" t="s">
        <v>1550</v>
      </c>
      <c r="C286" s="874" t="s">
        <v>118</v>
      </c>
      <c r="D286" s="871" t="s">
        <v>119</v>
      </c>
      <c r="E286" s="871"/>
      <c r="F286" s="854">
        <v>8</v>
      </c>
      <c r="G286" s="854">
        <v>7790000</v>
      </c>
      <c r="H286" s="838">
        <v>62320000</v>
      </c>
      <c r="I286" s="854"/>
      <c r="J286" s="910" t="s">
        <v>120</v>
      </c>
      <c r="K286" s="856"/>
      <c r="L286" s="151"/>
      <c r="M286" s="875"/>
    </row>
    <row r="287" spans="1:13" s="78" customFormat="1" ht="18.75" customHeight="1" x14ac:dyDescent="0.4">
      <c r="A287" s="488">
        <v>46295</v>
      </c>
      <c r="B287" s="871" t="s">
        <v>1550</v>
      </c>
      <c r="C287" s="874" t="s">
        <v>66</v>
      </c>
      <c r="D287" s="871" t="s">
        <v>195</v>
      </c>
      <c r="E287" s="871"/>
      <c r="F287" s="854">
        <v>5</v>
      </c>
      <c r="G287" s="854">
        <v>1917500</v>
      </c>
      <c r="H287" s="838">
        <v>9587500</v>
      </c>
      <c r="I287" s="854"/>
      <c r="J287" s="910" t="s">
        <v>1782</v>
      </c>
      <c r="K287" s="856"/>
      <c r="L287" s="151"/>
      <c r="M287" s="875"/>
    </row>
    <row r="288" spans="1:13" s="78" customFormat="1" ht="18.75" customHeight="1" x14ac:dyDescent="0.4">
      <c r="A288" s="488">
        <v>46295</v>
      </c>
      <c r="B288" s="871" t="s">
        <v>1550</v>
      </c>
      <c r="C288" s="874" t="s">
        <v>64</v>
      </c>
      <c r="D288" s="871" t="s">
        <v>65</v>
      </c>
      <c r="E288" s="871"/>
      <c r="F288" s="854">
        <v>8</v>
      </c>
      <c r="G288" s="854">
        <v>1568700</v>
      </c>
      <c r="H288" s="838">
        <v>12549600</v>
      </c>
      <c r="I288" s="854"/>
      <c r="J288" s="910" t="s">
        <v>1780</v>
      </c>
      <c r="K288" s="856"/>
      <c r="L288" s="151"/>
      <c r="M288" s="875"/>
    </row>
    <row r="289" spans="1:13" s="78" customFormat="1" ht="18.75" customHeight="1" x14ac:dyDescent="0.4">
      <c r="A289" s="488">
        <v>46295</v>
      </c>
      <c r="B289" s="871" t="s">
        <v>1550</v>
      </c>
      <c r="C289" s="874" t="s">
        <v>64</v>
      </c>
      <c r="D289" s="871" t="s">
        <v>65</v>
      </c>
      <c r="E289" s="871"/>
      <c r="F289" s="854">
        <v>5</v>
      </c>
      <c r="G289" s="854">
        <v>1568700</v>
      </c>
      <c r="H289" s="838">
        <v>7843500</v>
      </c>
      <c r="I289" s="854"/>
      <c r="J289" s="910" t="s">
        <v>1782</v>
      </c>
      <c r="K289" s="856"/>
      <c r="L289" s="151"/>
      <c r="M289" s="875"/>
    </row>
    <row r="290" spans="1:13" s="78" customFormat="1" ht="18.75" customHeight="1" x14ac:dyDescent="0.4">
      <c r="A290" s="488">
        <v>46295</v>
      </c>
      <c r="B290" s="871" t="s">
        <v>1550</v>
      </c>
      <c r="C290" s="874" t="s">
        <v>64</v>
      </c>
      <c r="D290" s="871" t="s">
        <v>65</v>
      </c>
      <c r="E290" s="871"/>
      <c r="F290" s="854">
        <v>3</v>
      </c>
      <c r="G290" s="854">
        <v>1568700</v>
      </c>
      <c r="H290" s="838">
        <v>4706100</v>
      </c>
      <c r="I290" s="854"/>
      <c r="J290" s="910" t="s">
        <v>1783</v>
      </c>
      <c r="K290" s="856"/>
      <c r="L290" s="151"/>
      <c r="M290" s="875"/>
    </row>
    <row r="291" spans="1:13" s="78" customFormat="1" ht="18.75" customHeight="1" x14ac:dyDescent="0.4">
      <c r="A291" s="488">
        <v>46295</v>
      </c>
      <c r="B291" s="871" t="s">
        <v>1550</v>
      </c>
      <c r="C291" s="874" t="s">
        <v>204</v>
      </c>
      <c r="D291" s="871" t="s">
        <v>205</v>
      </c>
      <c r="E291" s="871"/>
      <c r="F291" s="854">
        <v>6</v>
      </c>
      <c r="G291" s="854">
        <v>1295000</v>
      </c>
      <c r="H291" s="838">
        <v>7770000</v>
      </c>
      <c r="I291" s="854"/>
      <c r="J291" s="910" t="s">
        <v>1783</v>
      </c>
      <c r="K291" s="856"/>
      <c r="L291" s="151"/>
      <c r="M291" s="875"/>
    </row>
    <row r="292" spans="1:13" s="78" customFormat="1" ht="18.75" customHeight="1" x14ac:dyDescent="0.4">
      <c r="A292" s="488">
        <v>46295</v>
      </c>
      <c r="B292" s="871" t="s">
        <v>1550</v>
      </c>
      <c r="C292" s="874" t="s">
        <v>64</v>
      </c>
      <c r="D292" s="871" t="s">
        <v>65</v>
      </c>
      <c r="E292" s="871"/>
      <c r="F292" s="854">
        <v>4</v>
      </c>
      <c r="G292" s="854">
        <v>1568700</v>
      </c>
      <c r="H292" s="838">
        <v>6274800</v>
      </c>
      <c r="I292" s="854"/>
      <c r="J292" s="910" t="s">
        <v>1682</v>
      </c>
      <c r="K292" s="856"/>
      <c r="L292" s="151"/>
      <c r="M292" s="875"/>
    </row>
    <row r="293" spans="1:13" s="78" customFormat="1" ht="18.75" customHeight="1" x14ac:dyDescent="0.4">
      <c r="A293" s="488">
        <v>46295</v>
      </c>
      <c r="B293" s="871" t="s">
        <v>1550</v>
      </c>
      <c r="C293" s="874" t="s">
        <v>64</v>
      </c>
      <c r="D293" s="871" t="s">
        <v>65</v>
      </c>
      <c r="E293" s="871"/>
      <c r="F293" s="854">
        <v>3</v>
      </c>
      <c r="G293" s="854">
        <v>1568700</v>
      </c>
      <c r="H293" s="838">
        <v>4706100</v>
      </c>
      <c r="I293" s="854"/>
      <c r="J293" s="910" t="s">
        <v>1683</v>
      </c>
      <c r="K293" s="856"/>
      <c r="L293" s="151"/>
      <c r="M293" s="875"/>
    </row>
    <row r="294" spans="1:13" s="78" customFormat="1" ht="18.75" customHeight="1" x14ac:dyDescent="0.4">
      <c r="A294" s="488">
        <v>46295</v>
      </c>
      <c r="B294" s="871" t="s">
        <v>1550</v>
      </c>
      <c r="C294" s="874" t="s">
        <v>64</v>
      </c>
      <c r="D294" s="871" t="s">
        <v>65</v>
      </c>
      <c r="E294" s="871"/>
      <c r="F294" s="854">
        <v>4</v>
      </c>
      <c r="G294" s="854">
        <v>1568700</v>
      </c>
      <c r="H294" s="838">
        <v>6274800</v>
      </c>
      <c r="I294" s="854"/>
      <c r="J294" s="910" t="s">
        <v>1781</v>
      </c>
      <c r="K294" s="856"/>
      <c r="L294" s="151"/>
      <c r="M294" s="875"/>
    </row>
    <row r="295" spans="1:13" s="78" customFormat="1" ht="18.75" customHeight="1" x14ac:dyDescent="0.4">
      <c r="A295" s="488">
        <v>46295</v>
      </c>
      <c r="B295" s="871" t="s">
        <v>1550</v>
      </c>
      <c r="C295" s="874" t="s">
        <v>204</v>
      </c>
      <c r="D295" s="871" t="s">
        <v>205</v>
      </c>
      <c r="E295" s="871"/>
      <c r="F295" s="854">
        <v>4</v>
      </c>
      <c r="G295" s="854">
        <v>1295000</v>
      </c>
      <c r="H295" s="838">
        <v>5180000</v>
      </c>
      <c r="I295" s="854"/>
      <c r="J295" s="910" t="s">
        <v>1781</v>
      </c>
      <c r="K295" s="856"/>
      <c r="L295" s="151"/>
      <c r="M295" s="875"/>
    </row>
    <row r="296" spans="1:13" s="78" customFormat="1" ht="18.75" customHeight="1" x14ac:dyDescent="0.4">
      <c r="A296" s="488">
        <v>46295</v>
      </c>
      <c r="B296" s="871" t="s">
        <v>1550</v>
      </c>
      <c r="C296" s="874" t="s">
        <v>103</v>
      </c>
      <c r="D296" s="871" t="s">
        <v>914</v>
      </c>
      <c r="E296" s="871"/>
      <c r="F296" s="854">
        <v>1</v>
      </c>
      <c r="G296" s="854">
        <v>155000</v>
      </c>
      <c r="H296" s="838">
        <v>155000</v>
      </c>
      <c r="I296" s="854"/>
      <c r="J296" s="910" t="s">
        <v>213</v>
      </c>
      <c r="K296" s="856"/>
      <c r="L296" s="151"/>
      <c r="M296" s="875"/>
    </row>
    <row r="297" spans="1:13" s="78" customFormat="1" ht="18.75" customHeight="1" x14ac:dyDescent="0.4">
      <c r="A297" s="488">
        <v>46295</v>
      </c>
      <c r="B297" s="871" t="s">
        <v>1550</v>
      </c>
      <c r="C297" s="874" t="s">
        <v>103</v>
      </c>
      <c r="D297" s="871" t="s">
        <v>914</v>
      </c>
      <c r="E297" s="871"/>
      <c r="F297" s="854">
        <v>1</v>
      </c>
      <c r="G297" s="854">
        <v>155000</v>
      </c>
      <c r="H297" s="838">
        <v>155000</v>
      </c>
      <c r="I297" s="854"/>
      <c r="J297" s="910" t="s">
        <v>213</v>
      </c>
      <c r="K297" s="856"/>
      <c r="L297" s="151"/>
      <c r="M297" s="875"/>
    </row>
    <row r="298" spans="1:13" s="78" customFormat="1" ht="18.75" customHeight="1" x14ac:dyDescent="0.4">
      <c r="A298" s="488">
        <v>46295</v>
      </c>
      <c r="B298" s="871" t="s">
        <v>1550</v>
      </c>
      <c r="C298" s="874" t="s">
        <v>429</v>
      </c>
      <c r="D298" s="871" t="s">
        <v>430</v>
      </c>
      <c r="E298" s="871"/>
      <c r="F298" s="854">
        <v>1</v>
      </c>
      <c r="G298" s="854">
        <v>368000</v>
      </c>
      <c r="H298" s="838">
        <v>368000</v>
      </c>
      <c r="I298" s="854"/>
      <c r="J298" s="910" t="s">
        <v>70</v>
      </c>
      <c r="K298" s="856"/>
      <c r="L298" s="151"/>
      <c r="M298" s="875"/>
    </row>
    <row r="299" spans="1:13" s="78" customFormat="1" ht="18.75" customHeight="1" x14ac:dyDescent="0.4">
      <c r="A299" s="488">
        <v>46295</v>
      </c>
      <c r="B299" s="871" t="s">
        <v>1550</v>
      </c>
      <c r="C299" s="874" t="s">
        <v>429</v>
      </c>
      <c r="D299" s="871" t="s">
        <v>430</v>
      </c>
      <c r="E299" s="871"/>
      <c r="F299" s="854">
        <v>3</v>
      </c>
      <c r="G299" s="854">
        <v>368000</v>
      </c>
      <c r="H299" s="838">
        <v>1104000</v>
      </c>
      <c r="I299" s="854"/>
      <c r="J299" s="910" t="s">
        <v>70</v>
      </c>
      <c r="K299" s="856"/>
      <c r="L299" s="151"/>
      <c r="M299" s="875"/>
    </row>
    <row r="300" spans="1:13" s="78" customFormat="1" ht="18.75" customHeight="1" x14ac:dyDescent="0.4">
      <c r="A300" s="488">
        <v>46295</v>
      </c>
      <c r="B300" s="871" t="s">
        <v>1550</v>
      </c>
      <c r="C300" s="874" t="s">
        <v>429</v>
      </c>
      <c r="D300" s="871" t="s">
        <v>430</v>
      </c>
      <c r="E300" s="871"/>
      <c r="F300" s="854">
        <v>4</v>
      </c>
      <c r="G300" s="854">
        <v>368000</v>
      </c>
      <c r="H300" s="838">
        <v>1472000</v>
      </c>
      <c r="I300" s="854"/>
      <c r="J300" s="910" t="s">
        <v>70</v>
      </c>
      <c r="K300" s="856"/>
      <c r="L300" s="151"/>
      <c r="M300" s="875"/>
    </row>
    <row r="301" spans="1:13" s="78" customFormat="1" ht="18.75" customHeight="1" x14ac:dyDescent="0.4">
      <c r="A301" s="488">
        <v>46295</v>
      </c>
      <c r="B301" s="871" t="s">
        <v>1550</v>
      </c>
      <c r="C301" s="874" t="s">
        <v>429</v>
      </c>
      <c r="D301" s="871" t="s">
        <v>430</v>
      </c>
      <c r="E301" s="871"/>
      <c r="F301" s="854">
        <v>4</v>
      </c>
      <c r="G301" s="854">
        <v>368000</v>
      </c>
      <c r="H301" s="838">
        <v>1472000</v>
      </c>
      <c r="I301" s="854"/>
      <c r="J301" s="910" t="s">
        <v>70</v>
      </c>
      <c r="K301" s="856"/>
      <c r="L301" s="151"/>
      <c r="M301" s="875"/>
    </row>
    <row r="302" spans="1:13" s="78" customFormat="1" ht="18.75" customHeight="1" x14ac:dyDescent="0.4">
      <c r="A302" s="488">
        <v>46295</v>
      </c>
      <c r="B302" s="871" t="s">
        <v>1550</v>
      </c>
      <c r="C302" s="874" t="s">
        <v>429</v>
      </c>
      <c r="D302" s="871" t="s">
        <v>430</v>
      </c>
      <c r="E302" s="871"/>
      <c r="F302" s="854">
        <v>4</v>
      </c>
      <c r="G302" s="854">
        <v>368000</v>
      </c>
      <c r="H302" s="838">
        <v>1472000</v>
      </c>
      <c r="I302" s="854"/>
      <c r="J302" s="910" t="s">
        <v>70</v>
      </c>
      <c r="K302" s="856"/>
      <c r="L302" s="151"/>
      <c r="M302" s="875"/>
    </row>
    <row r="303" spans="1:13" s="78" customFormat="1" ht="18.75" customHeight="1" x14ac:dyDescent="0.4">
      <c r="A303" s="488">
        <v>46295</v>
      </c>
      <c r="B303" s="871" t="s">
        <v>1550</v>
      </c>
      <c r="C303" s="874" t="s">
        <v>429</v>
      </c>
      <c r="D303" s="871" t="s">
        <v>430</v>
      </c>
      <c r="E303" s="871"/>
      <c r="F303" s="854">
        <v>8</v>
      </c>
      <c r="G303" s="854">
        <v>368000</v>
      </c>
      <c r="H303" s="838">
        <v>2944000</v>
      </c>
      <c r="I303" s="854"/>
      <c r="J303" s="910" t="s">
        <v>70</v>
      </c>
      <c r="K303" s="856"/>
      <c r="L303" s="151"/>
      <c r="M303" s="875"/>
    </row>
    <row r="304" spans="1:13" s="78" customFormat="1" ht="18.75" customHeight="1" x14ac:dyDescent="0.4">
      <c r="A304" s="488">
        <v>46295</v>
      </c>
      <c r="B304" s="871" t="s">
        <v>1550</v>
      </c>
      <c r="C304" s="874" t="s">
        <v>429</v>
      </c>
      <c r="D304" s="871" t="s">
        <v>430</v>
      </c>
      <c r="E304" s="871"/>
      <c r="F304" s="854">
        <v>4</v>
      </c>
      <c r="G304" s="854">
        <v>368000</v>
      </c>
      <c r="H304" s="838">
        <v>1472000</v>
      </c>
      <c r="I304" s="854"/>
      <c r="J304" s="910" t="s">
        <v>70</v>
      </c>
      <c r="K304" s="856"/>
      <c r="L304" s="151"/>
      <c r="M304" s="875"/>
    </row>
    <row r="305" spans="1:13" s="78" customFormat="1" ht="18.75" customHeight="1" x14ac:dyDescent="0.4">
      <c r="A305" s="488">
        <v>46295</v>
      </c>
      <c r="B305" s="871" t="s">
        <v>1550</v>
      </c>
      <c r="C305" s="874" t="s">
        <v>358</v>
      </c>
      <c r="D305" s="871" t="s">
        <v>359</v>
      </c>
      <c r="E305" s="871"/>
      <c r="F305" s="854">
        <v>1</v>
      </c>
      <c r="G305" s="854">
        <v>318000</v>
      </c>
      <c r="H305" s="838">
        <v>318000</v>
      </c>
      <c r="I305" s="854"/>
      <c r="J305" s="910" t="s">
        <v>70</v>
      </c>
      <c r="K305" s="856"/>
      <c r="L305" s="151"/>
      <c r="M305" s="875"/>
    </row>
    <row r="306" spans="1:13" s="78" customFormat="1" ht="18.75" customHeight="1" x14ac:dyDescent="0.4">
      <c r="A306" s="488">
        <v>46295</v>
      </c>
      <c r="B306" s="871" t="s">
        <v>1550</v>
      </c>
      <c r="C306" s="874" t="s">
        <v>358</v>
      </c>
      <c r="D306" s="871" t="s">
        <v>359</v>
      </c>
      <c r="E306" s="871"/>
      <c r="F306" s="854">
        <v>4</v>
      </c>
      <c r="G306" s="854">
        <v>318000</v>
      </c>
      <c r="H306" s="838">
        <v>1272000</v>
      </c>
      <c r="I306" s="854"/>
      <c r="J306" s="910" t="s">
        <v>70</v>
      </c>
      <c r="K306" s="856"/>
      <c r="L306" s="151"/>
      <c r="M306" s="875"/>
    </row>
    <row r="307" spans="1:13" s="78" customFormat="1" ht="18.75" customHeight="1" x14ac:dyDescent="0.4">
      <c r="A307" s="488">
        <v>46295</v>
      </c>
      <c r="B307" s="871" t="s">
        <v>1550</v>
      </c>
      <c r="C307" s="874" t="s">
        <v>103</v>
      </c>
      <c r="D307" s="871" t="s">
        <v>914</v>
      </c>
      <c r="E307" s="871"/>
      <c r="F307" s="854">
        <v>1</v>
      </c>
      <c r="G307" s="854">
        <v>155000</v>
      </c>
      <c r="H307" s="838">
        <v>155000</v>
      </c>
      <c r="I307" s="854"/>
      <c r="J307" s="910" t="s">
        <v>213</v>
      </c>
      <c r="K307" s="856"/>
      <c r="L307" s="151"/>
      <c r="M307" s="875"/>
    </row>
    <row r="308" spans="1:13" s="78" customFormat="1" ht="18.75" customHeight="1" x14ac:dyDescent="0.4">
      <c r="A308" s="488">
        <v>46295</v>
      </c>
      <c r="B308" s="871" t="s">
        <v>1550</v>
      </c>
      <c r="C308" s="874" t="s">
        <v>83</v>
      </c>
      <c r="D308" s="871" t="s">
        <v>84</v>
      </c>
      <c r="E308" s="871"/>
      <c r="F308" s="854">
        <v>4</v>
      </c>
      <c r="G308" s="854">
        <v>76500</v>
      </c>
      <c r="H308" s="838">
        <v>306000</v>
      </c>
      <c r="I308" s="854"/>
      <c r="J308" s="910" t="s">
        <v>70</v>
      </c>
      <c r="K308" s="856"/>
      <c r="L308" s="151"/>
      <c r="M308" s="875"/>
    </row>
    <row r="309" spans="1:13" s="78" customFormat="1" ht="18.75" customHeight="1" x14ac:dyDescent="0.4">
      <c r="A309" s="488">
        <v>46295</v>
      </c>
      <c r="B309" s="871" t="s">
        <v>1550</v>
      </c>
      <c r="C309" s="874" t="s">
        <v>83</v>
      </c>
      <c r="D309" s="871" t="s">
        <v>87</v>
      </c>
      <c r="E309" s="871"/>
      <c r="F309" s="854">
        <v>1</v>
      </c>
      <c r="G309" s="854">
        <v>75300</v>
      </c>
      <c r="H309" s="838">
        <v>75300</v>
      </c>
      <c r="I309" s="854"/>
      <c r="J309" s="910" t="s">
        <v>215</v>
      </c>
      <c r="K309" s="856"/>
      <c r="L309" s="151"/>
      <c r="M309" s="875"/>
    </row>
    <row r="310" spans="1:13" s="78" customFormat="1" ht="18.75" customHeight="1" x14ac:dyDescent="0.4">
      <c r="A310" s="488">
        <v>46295</v>
      </c>
      <c r="B310" s="871" t="s">
        <v>1550</v>
      </c>
      <c r="C310" s="874" t="s">
        <v>108</v>
      </c>
      <c r="D310" s="871" t="s">
        <v>112</v>
      </c>
      <c r="E310" s="871"/>
      <c r="F310" s="854">
        <v>2</v>
      </c>
      <c r="G310" s="854">
        <v>150000</v>
      </c>
      <c r="H310" s="838">
        <v>300000</v>
      </c>
      <c r="I310" s="854"/>
      <c r="J310" s="910" t="s">
        <v>212</v>
      </c>
      <c r="K310" s="856"/>
      <c r="L310" s="151"/>
      <c r="M310" s="875"/>
    </row>
    <row r="311" spans="1:13" s="78" customFormat="1" ht="18.75" customHeight="1" x14ac:dyDescent="0.4">
      <c r="A311" s="488">
        <v>46295</v>
      </c>
      <c r="B311" s="871" t="s">
        <v>1550</v>
      </c>
      <c r="C311" s="874" t="s">
        <v>32</v>
      </c>
      <c r="D311" s="871" t="s">
        <v>451</v>
      </c>
      <c r="E311" s="871"/>
      <c r="F311" s="854">
        <v>2</v>
      </c>
      <c r="G311" s="854">
        <v>58300</v>
      </c>
      <c r="H311" s="838">
        <v>116600</v>
      </c>
      <c r="I311" s="854"/>
      <c r="J311" s="910" t="s">
        <v>70</v>
      </c>
      <c r="K311" s="856"/>
      <c r="L311" s="151"/>
      <c r="M311" s="875"/>
    </row>
    <row r="312" spans="1:13" s="78" customFormat="1" ht="18.75" customHeight="1" x14ac:dyDescent="0.4">
      <c r="A312" s="488">
        <v>46295</v>
      </c>
      <c r="B312" s="871" t="s">
        <v>1550</v>
      </c>
      <c r="C312" s="874" t="s">
        <v>113</v>
      </c>
      <c r="D312" s="871" t="s">
        <v>114</v>
      </c>
      <c r="E312" s="871"/>
      <c r="F312" s="854">
        <v>2</v>
      </c>
      <c r="G312" s="854">
        <v>36500</v>
      </c>
      <c r="H312" s="838">
        <v>73000</v>
      </c>
      <c r="I312" s="854"/>
      <c r="J312" s="910" t="s">
        <v>70</v>
      </c>
      <c r="K312" s="856"/>
      <c r="L312" s="151"/>
      <c r="M312" s="875"/>
    </row>
    <row r="313" spans="1:13" s="78" customFormat="1" ht="18.75" customHeight="1" x14ac:dyDescent="0.4">
      <c r="A313" s="488">
        <v>46295</v>
      </c>
      <c r="B313" s="871" t="s">
        <v>1550</v>
      </c>
      <c r="C313" s="874" t="s">
        <v>614</v>
      </c>
      <c r="D313" s="871" t="s">
        <v>615</v>
      </c>
      <c r="E313" s="871"/>
      <c r="F313" s="854">
        <v>4</v>
      </c>
      <c r="G313" s="854">
        <v>95000</v>
      </c>
      <c r="H313" s="838">
        <v>380000</v>
      </c>
      <c r="I313" s="854"/>
      <c r="J313" s="910" t="s">
        <v>70</v>
      </c>
      <c r="K313" s="856"/>
      <c r="L313" s="151"/>
      <c r="M313" s="875"/>
    </row>
    <row r="314" spans="1:13" s="78" customFormat="1" ht="18.75" customHeight="1" x14ac:dyDescent="0.4">
      <c r="A314" s="488">
        <v>46295</v>
      </c>
      <c r="B314" s="871" t="s">
        <v>1550</v>
      </c>
      <c r="C314" s="874" t="s">
        <v>105</v>
      </c>
      <c r="D314" s="871" t="s">
        <v>505</v>
      </c>
      <c r="E314" s="871"/>
      <c r="F314" s="854">
        <v>1</v>
      </c>
      <c r="G314" s="854">
        <v>54300</v>
      </c>
      <c r="H314" s="838">
        <v>54300</v>
      </c>
      <c r="I314" s="854"/>
      <c r="J314" s="910" t="s">
        <v>70</v>
      </c>
      <c r="K314" s="856"/>
      <c r="L314" s="151"/>
      <c r="M314" s="875"/>
    </row>
    <row r="315" spans="1:13" s="78" customFormat="1" ht="18.75" customHeight="1" x14ac:dyDescent="0.4">
      <c r="A315" s="488">
        <v>46295</v>
      </c>
      <c r="B315" s="871" t="s">
        <v>1550</v>
      </c>
      <c r="C315" s="874" t="s">
        <v>1096</v>
      </c>
      <c r="D315" s="871" t="s">
        <v>1097</v>
      </c>
      <c r="E315" s="871"/>
      <c r="F315" s="854">
        <v>2</v>
      </c>
      <c r="G315" s="854">
        <v>92500</v>
      </c>
      <c r="H315" s="838">
        <v>185000</v>
      </c>
      <c r="I315" s="854"/>
      <c r="J315" s="910" t="s">
        <v>70</v>
      </c>
      <c r="K315" s="856"/>
      <c r="L315" s="151"/>
      <c r="M315" s="875"/>
    </row>
    <row r="316" spans="1:13" s="78" customFormat="1" ht="18.75" customHeight="1" x14ac:dyDescent="0.4">
      <c r="A316" s="488">
        <v>46295</v>
      </c>
      <c r="B316" s="871" t="s">
        <v>1550</v>
      </c>
      <c r="C316" s="874" t="s">
        <v>83</v>
      </c>
      <c r="D316" s="871" t="s">
        <v>84</v>
      </c>
      <c r="E316" s="871"/>
      <c r="F316" s="854">
        <v>2</v>
      </c>
      <c r="G316" s="854">
        <v>76500</v>
      </c>
      <c r="H316" s="838">
        <v>153000</v>
      </c>
      <c r="I316" s="854"/>
      <c r="J316" s="910" t="s">
        <v>70</v>
      </c>
      <c r="K316" s="856"/>
      <c r="L316" s="151"/>
      <c r="M316" s="875"/>
    </row>
    <row r="317" spans="1:13" s="78" customFormat="1" ht="18.75" customHeight="1" x14ac:dyDescent="0.4">
      <c r="A317" s="488">
        <v>46295</v>
      </c>
      <c r="B317" s="871" t="s">
        <v>1550</v>
      </c>
      <c r="C317" s="874" t="s">
        <v>83</v>
      </c>
      <c r="D317" s="871" t="s">
        <v>84</v>
      </c>
      <c r="E317" s="871"/>
      <c r="F317" s="854">
        <v>2</v>
      </c>
      <c r="G317" s="854">
        <v>76500</v>
      </c>
      <c r="H317" s="838">
        <v>153000</v>
      </c>
      <c r="I317" s="854"/>
      <c r="J317" s="910" t="s">
        <v>70</v>
      </c>
      <c r="K317" s="856"/>
      <c r="L317" s="151"/>
      <c r="M317" s="875"/>
    </row>
    <row r="318" spans="1:13" s="78" customFormat="1" ht="18.75" customHeight="1" x14ac:dyDescent="0.4">
      <c r="A318" s="488">
        <v>46295</v>
      </c>
      <c r="B318" s="871" t="s">
        <v>1550</v>
      </c>
      <c r="C318" s="874" t="s">
        <v>83</v>
      </c>
      <c r="D318" s="871" t="s">
        <v>84</v>
      </c>
      <c r="E318" s="871"/>
      <c r="F318" s="854">
        <v>2</v>
      </c>
      <c r="G318" s="854">
        <v>76500</v>
      </c>
      <c r="H318" s="838">
        <v>153000</v>
      </c>
      <c r="I318" s="854"/>
      <c r="J318" s="910" t="s">
        <v>70</v>
      </c>
      <c r="K318" s="856"/>
      <c r="L318" s="151"/>
      <c r="M318" s="875"/>
    </row>
    <row r="319" spans="1:13" s="78" customFormat="1" ht="18.75" customHeight="1" x14ac:dyDescent="0.4">
      <c r="A319" s="488">
        <v>46295</v>
      </c>
      <c r="B319" s="871" t="s">
        <v>1550</v>
      </c>
      <c r="C319" s="874" t="s">
        <v>83</v>
      </c>
      <c r="D319" s="871" t="s">
        <v>84</v>
      </c>
      <c r="E319" s="871"/>
      <c r="F319" s="854">
        <v>2</v>
      </c>
      <c r="G319" s="854">
        <v>76500</v>
      </c>
      <c r="H319" s="838">
        <v>153000</v>
      </c>
      <c r="I319" s="854"/>
      <c r="J319" s="910" t="s">
        <v>70</v>
      </c>
      <c r="K319" s="856"/>
      <c r="L319" s="151"/>
      <c r="M319" s="875"/>
    </row>
    <row r="320" spans="1:13" s="78" customFormat="1" ht="18.75" customHeight="1" x14ac:dyDescent="0.4">
      <c r="A320" s="488">
        <v>46295</v>
      </c>
      <c r="B320" s="871" t="s">
        <v>1550</v>
      </c>
      <c r="C320" s="874" t="s">
        <v>83</v>
      </c>
      <c r="D320" s="871" t="s">
        <v>84</v>
      </c>
      <c r="E320" s="871"/>
      <c r="F320" s="854">
        <v>2</v>
      </c>
      <c r="G320" s="854">
        <v>76500</v>
      </c>
      <c r="H320" s="838">
        <v>153000</v>
      </c>
      <c r="I320" s="854"/>
      <c r="J320" s="910" t="s">
        <v>70</v>
      </c>
      <c r="K320" s="856"/>
      <c r="L320" s="151"/>
      <c r="M320" s="875"/>
    </row>
    <row r="321" spans="1:13" s="78" customFormat="1" ht="18.75" customHeight="1" x14ac:dyDescent="0.4">
      <c r="A321" s="488">
        <v>46295</v>
      </c>
      <c r="B321" s="871" t="s">
        <v>1550</v>
      </c>
      <c r="C321" s="874" t="s">
        <v>83</v>
      </c>
      <c r="D321" s="871" t="s">
        <v>84</v>
      </c>
      <c r="E321" s="871"/>
      <c r="F321" s="854">
        <v>2</v>
      </c>
      <c r="G321" s="854">
        <v>76500</v>
      </c>
      <c r="H321" s="838">
        <v>153000</v>
      </c>
      <c r="I321" s="854"/>
      <c r="J321" s="910" t="s">
        <v>70</v>
      </c>
      <c r="K321" s="856"/>
      <c r="L321" s="151"/>
      <c r="M321" s="875"/>
    </row>
    <row r="322" spans="1:13" s="78" customFormat="1" ht="18.75" customHeight="1" x14ac:dyDescent="0.4">
      <c r="A322" s="488">
        <v>46295</v>
      </c>
      <c r="B322" s="871" t="s">
        <v>1550</v>
      </c>
      <c r="C322" s="874" t="s">
        <v>83</v>
      </c>
      <c r="D322" s="871" t="s">
        <v>87</v>
      </c>
      <c r="E322" s="871"/>
      <c r="F322" s="854">
        <v>2</v>
      </c>
      <c r="G322" s="854">
        <v>75300</v>
      </c>
      <c r="H322" s="838">
        <v>150600</v>
      </c>
      <c r="I322" s="854"/>
      <c r="J322" s="910" t="s">
        <v>70</v>
      </c>
      <c r="K322" s="856"/>
      <c r="L322" s="151"/>
      <c r="M322" s="875"/>
    </row>
    <row r="323" spans="1:13" s="78" customFormat="1" ht="18.75" customHeight="1" x14ac:dyDescent="0.4">
      <c r="A323" s="488">
        <v>46295</v>
      </c>
      <c r="B323" s="871" t="s">
        <v>1550</v>
      </c>
      <c r="C323" s="874" t="s">
        <v>83</v>
      </c>
      <c r="D323" s="871" t="s">
        <v>87</v>
      </c>
      <c r="E323" s="871"/>
      <c r="F323" s="854">
        <v>2</v>
      </c>
      <c r="G323" s="854">
        <v>75300</v>
      </c>
      <c r="H323" s="838">
        <v>150600</v>
      </c>
      <c r="I323" s="854"/>
      <c r="J323" s="910" t="s">
        <v>70</v>
      </c>
      <c r="K323" s="856"/>
      <c r="L323" s="151"/>
      <c r="M323" s="875"/>
    </row>
    <row r="324" spans="1:13" s="78" customFormat="1" ht="18.75" customHeight="1" x14ac:dyDescent="0.4">
      <c r="A324" s="488">
        <v>46295</v>
      </c>
      <c r="B324" s="871" t="s">
        <v>1550</v>
      </c>
      <c r="C324" s="874" t="s">
        <v>83</v>
      </c>
      <c r="D324" s="871" t="s">
        <v>87</v>
      </c>
      <c r="E324" s="871"/>
      <c r="F324" s="854">
        <v>2</v>
      </c>
      <c r="G324" s="854">
        <v>75300</v>
      </c>
      <c r="H324" s="838">
        <v>150600</v>
      </c>
      <c r="I324" s="854"/>
      <c r="J324" s="910" t="s">
        <v>70</v>
      </c>
      <c r="K324" s="856"/>
      <c r="L324" s="151"/>
      <c r="M324" s="875"/>
    </row>
    <row r="325" spans="1:13" s="78" customFormat="1" ht="18.75" customHeight="1" x14ac:dyDescent="0.4">
      <c r="A325" s="488">
        <v>46272</v>
      </c>
      <c r="B325" s="871" t="s">
        <v>1550</v>
      </c>
      <c r="C325" s="874" t="s">
        <v>290</v>
      </c>
      <c r="D325" s="871" t="s">
        <v>291</v>
      </c>
      <c r="E325" s="871"/>
      <c r="F325" s="854">
        <v>1</v>
      </c>
      <c r="G325" s="854">
        <v>129000</v>
      </c>
      <c r="H325" s="838">
        <v>129000</v>
      </c>
      <c r="I325" s="854"/>
      <c r="J325" s="910" t="s">
        <v>70</v>
      </c>
      <c r="K325" s="856" t="s">
        <v>1939</v>
      </c>
      <c r="L325" s="151"/>
      <c r="M325" s="875"/>
    </row>
    <row r="326" spans="1:13" s="78" customFormat="1" ht="18.75" customHeight="1" x14ac:dyDescent="0.4">
      <c r="A326" s="488">
        <v>46272</v>
      </c>
      <c r="B326" s="871" t="s">
        <v>1550</v>
      </c>
      <c r="C326" s="874" t="s">
        <v>290</v>
      </c>
      <c r="D326" s="871" t="s">
        <v>291</v>
      </c>
      <c r="E326" s="871"/>
      <c r="F326" s="854">
        <v>1</v>
      </c>
      <c r="G326" s="854">
        <v>129000</v>
      </c>
      <c r="H326" s="838">
        <v>129000</v>
      </c>
      <c r="I326" s="854"/>
      <c r="J326" s="910" t="s">
        <v>70</v>
      </c>
      <c r="K326" s="856" t="s">
        <v>1939</v>
      </c>
      <c r="L326" s="151"/>
      <c r="M326" s="875"/>
    </row>
    <row r="327" spans="1:13" s="78" customFormat="1" ht="18.75" customHeight="1" x14ac:dyDescent="0.4">
      <c r="A327" s="488">
        <v>46286</v>
      </c>
      <c r="B327" s="871" t="s">
        <v>1550</v>
      </c>
      <c r="C327" s="874" t="s">
        <v>67</v>
      </c>
      <c r="D327" s="871" t="s">
        <v>80</v>
      </c>
      <c r="E327" s="871"/>
      <c r="F327" s="854">
        <v>2</v>
      </c>
      <c r="G327" s="854">
        <v>384000</v>
      </c>
      <c r="H327" s="838">
        <v>768000</v>
      </c>
      <c r="I327" s="854"/>
      <c r="J327" s="910" t="s">
        <v>1779</v>
      </c>
      <c r="K327" s="856" t="s">
        <v>1939</v>
      </c>
      <c r="L327" s="151"/>
      <c r="M327" s="875"/>
    </row>
    <row r="328" spans="1:13" s="78" customFormat="1" ht="18.75" customHeight="1" x14ac:dyDescent="0.4">
      <c r="A328" s="488">
        <v>46286</v>
      </c>
      <c r="B328" s="871" t="s">
        <v>1550</v>
      </c>
      <c r="C328" s="874" t="s">
        <v>62</v>
      </c>
      <c r="D328" s="871" t="s">
        <v>75</v>
      </c>
      <c r="E328" s="871"/>
      <c r="F328" s="854">
        <v>4</v>
      </c>
      <c r="G328" s="854">
        <v>442000</v>
      </c>
      <c r="H328" s="838">
        <v>1768000</v>
      </c>
      <c r="I328" s="854"/>
      <c r="J328" s="910" t="s">
        <v>1779</v>
      </c>
      <c r="K328" s="856" t="s">
        <v>1939</v>
      </c>
      <c r="L328" s="151"/>
      <c r="M328" s="875"/>
    </row>
    <row r="329" spans="1:13" s="78" customFormat="1" ht="18.75" customHeight="1" x14ac:dyDescent="0.4">
      <c r="A329" s="488">
        <v>46286</v>
      </c>
      <c r="B329" s="871" t="s">
        <v>1550</v>
      </c>
      <c r="C329" s="874" t="s">
        <v>64</v>
      </c>
      <c r="D329" s="871" t="s">
        <v>65</v>
      </c>
      <c r="E329" s="871"/>
      <c r="F329" s="854">
        <v>3</v>
      </c>
      <c r="G329" s="854">
        <v>1568700</v>
      </c>
      <c r="H329" s="838">
        <v>4706100</v>
      </c>
      <c r="I329" s="854"/>
      <c r="J329" s="910" t="s">
        <v>1779</v>
      </c>
      <c r="K329" s="856" t="s">
        <v>1939</v>
      </c>
      <c r="L329" s="151"/>
      <c r="M329" s="875"/>
    </row>
    <row r="330" spans="1:13" s="78" customFormat="1" ht="18.75" customHeight="1" x14ac:dyDescent="0.4">
      <c r="A330" s="484">
        <v>46276</v>
      </c>
      <c r="B330" s="59" t="s">
        <v>1550</v>
      </c>
      <c r="C330" s="61" t="s">
        <v>1956</v>
      </c>
      <c r="D330" s="59" t="s">
        <v>1957</v>
      </c>
      <c r="E330" s="59"/>
      <c r="F330" s="49">
        <v>1</v>
      </c>
      <c r="G330" s="49">
        <v>24500000</v>
      </c>
      <c r="H330" s="7">
        <f t="shared" ref="H330" si="6">F330*G330</f>
        <v>24500000</v>
      </c>
      <c r="I330" s="49"/>
      <c r="J330" s="910"/>
      <c r="K330" s="856" t="s">
        <v>1939</v>
      </c>
      <c r="L330" s="151"/>
      <c r="M330" s="365"/>
    </row>
    <row r="331" spans="1:13" s="19" customFormat="1" ht="18.75" customHeight="1" x14ac:dyDescent="0.4">
      <c r="A331" s="622"/>
      <c r="B331" s="842" t="s">
        <v>1670</v>
      </c>
      <c r="C331" s="843"/>
      <c r="D331" s="844"/>
      <c r="E331" s="842"/>
      <c r="F331" s="842"/>
      <c r="G331" s="845"/>
      <c r="H331" s="846">
        <f>SUM(H137:H324)</f>
        <v>799287270</v>
      </c>
      <c r="I331" s="849"/>
      <c r="J331" s="842"/>
      <c r="K331" s="849"/>
      <c r="L331" s="696"/>
    </row>
    <row r="332" spans="1:13" s="19" customFormat="1" ht="18.75" customHeight="1" x14ac:dyDescent="0.4">
      <c r="A332" s="877">
        <v>46280</v>
      </c>
      <c r="B332" s="871" t="s">
        <v>1686</v>
      </c>
      <c r="C332" s="858" t="s">
        <v>1791</v>
      </c>
      <c r="D332" s="859" t="s">
        <v>1792</v>
      </c>
      <c r="E332" s="855"/>
      <c r="F332" s="855">
        <v>1</v>
      </c>
      <c r="G332" s="860">
        <v>174000</v>
      </c>
      <c r="H332" s="854">
        <f>F332*G332</f>
        <v>174000</v>
      </c>
      <c r="I332" s="861" t="s">
        <v>365</v>
      </c>
      <c r="J332" s="862">
        <v>46273</v>
      </c>
      <c r="K332" s="852"/>
      <c r="L332" s="405"/>
    </row>
    <row r="333" spans="1:13" s="19" customFormat="1" ht="18.75" customHeight="1" x14ac:dyDescent="0.4">
      <c r="A333" s="622"/>
      <c r="B333" s="842"/>
      <c r="C333" s="843"/>
      <c r="D333" s="844"/>
      <c r="E333" s="842"/>
      <c r="F333" s="842"/>
      <c r="G333" s="845"/>
      <c r="H333" s="846">
        <f>SUM(H332)</f>
        <v>174000</v>
      </c>
      <c r="I333" s="847"/>
      <c r="J333" s="848"/>
      <c r="K333" s="849"/>
      <c r="L333" s="696"/>
    </row>
    <row r="334" spans="1:13" s="19" customFormat="1" ht="18.75" customHeight="1" x14ac:dyDescent="0.4">
      <c r="A334" s="485">
        <v>46295</v>
      </c>
      <c r="B334" s="855" t="s">
        <v>125</v>
      </c>
      <c r="C334" s="858" t="s">
        <v>105</v>
      </c>
      <c r="D334" s="859" t="s">
        <v>126</v>
      </c>
      <c r="E334" s="855" t="s">
        <v>127</v>
      </c>
      <c r="F334" s="855">
        <v>100</v>
      </c>
      <c r="G334" s="860">
        <v>55800</v>
      </c>
      <c r="H334" s="854">
        <f>F334*G334</f>
        <v>5580000</v>
      </c>
      <c r="I334" s="861" t="s">
        <v>1940</v>
      </c>
      <c r="J334" s="862"/>
      <c r="K334" s="852"/>
      <c r="L334" s="405"/>
    </row>
    <row r="335" spans="1:13" s="19" customFormat="1" ht="18.75" customHeight="1" x14ac:dyDescent="0.4">
      <c r="A335" s="622"/>
      <c r="B335" s="842"/>
      <c r="C335" s="843"/>
      <c r="D335" s="844"/>
      <c r="E335" s="842"/>
      <c r="F335" s="842"/>
      <c r="G335" s="845"/>
      <c r="H335" s="846"/>
      <c r="I335" s="847"/>
      <c r="J335" s="848"/>
      <c r="K335" s="849"/>
      <c r="L335" s="696"/>
    </row>
    <row r="336" spans="1:13" s="835" customFormat="1" ht="18.75" customHeight="1" x14ac:dyDescent="0.4">
      <c r="A336" s="928">
        <v>46275</v>
      </c>
      <c r="B336" s="929" t="s">
        <v>134</v>
      </c>
      <c r="C336" s="930" t="s">
        <v>1894</v>
      </c>
      <c r="D336" s="931" t="s">
        <v>1895</v>
      </c>
      <c r="E336" s="929" t="s">
        <v>13</v>
      </c>
      <c r="F336" s="932">
        <v>20</v>
      </c>
      <c r="G336" s="933">
        <v>218880</v>
      </c>
      <c r="H336" s="934">
        <f>F336*G336</f>
        <v>4377600</v>
      </c>
      <c r="I336" s="883" t="s">
        <v>1950</v>
      </c>
      <c r="J336" s="878"/>
      <c r="K336" s="878"/>
      <c r="L336" s="854"/>
    </row>
    <row r="337" spans="1:14" s="835" customFormat="1" ht="18.75" customHeight="1" x14ac:dyDescent="0.4">
      <c r="A337" s="928">
        <v>46275</v>
      </c>
      <c r="B337" s="934" t="s">
        <v>134</v>
      </c>
      <c r="C337" s="935" t="s">
        <v>1123</v>
      </c>
      <c r="D337" s="936" t="s">
        <v>1893</v>
      </c>
      <c r="E337" s="934" t="s">
        <v>13</v>
      </c>
      <c r="F337" s="932">
        <v>50</v>
      </c>
      <c r="G337" s="934">
        <v>180180</v>
      </c>
      <c r="H337" s="934">
        <f>F337*G337</f>
        <v>9009000</v>
      </c>
      <c r="I337" s="883" t="s">
        <v>1950</v>
      </c>
      <c r="J337" s="878"/>
      <c r="K337" s="878"/>
      <c r="L337" s="854"/>
    </row>
    <row r="338" spans="1:14" s="835" customFormat="1" ht="18.75" customHeight="1" x14ac:dyDescent="0.4">
      <c r="A338" s="928">
        <v>46283</v>
      </c>
      <c r="B338" s="937" t="s">
        <v>134</v>
      </c>
      <c r="C338" s="930" t="s">
        <v>1425</v>
      </c>
      <c r="D338" s="938" t="s">
        <v>1426</v>
      </c>
      <c r="E338" s="939" t="s">
        <v>127</v>
      </c>
      <c r="F338" s="940">
        <v>28</v>
      </c>
      <c r="G338" s="934">
        <v>19400</v>
      </c>
      <c r="H338" s="934">
        <f>F338*G338</f>
        <v>543200</v>
      </c>
      <c r="I338" s="883" t="s">
        <v>1950</v>
      </c>
      <c r="J338" s="878"/>
      <c r="K338" s="878"/>
      <c r="L338" s="854"/>
    </row>
    <row r="339" spans="1:14" s="835" customFormat="1" ht="18.75" customHeight="1" x14ac:dyDescent="0.4">
      <c r="A339" s="928">
        <v>46283</v>
      </c>
      <c r="B339" s="937" t="s">
        <v>134</v>
      </c>
      <c r="C339" s="930" t="s">
        <v>228</v>
      </c>
      <c r="D339" s="938" t="s">
        <v>382</v>
      </c>
      <c r="E339" s="939" t="s">
        <v>17</v>
      </c>
      <c r="F339" s="940">
        <v>148</v>
      </c>
      <c r="G339" s="934">
        <v>399640</v>
      </c>
      <c r="H339" s="934">
        <f>F339*G339</f>
        <v>59146720</v>
      </c>
      <c r="I339" s="883" t="s">
        <v>1950</v>
      </c>
      <c r="J339" s="878"/>
      <c r="K339" s="878"/>
      <c r="L339" s="854"/>
    </row>
    <row r="340" spans="1:14" s="50" customFormat="1" ht="19.5" customHeight="1" x14ac:dyDescent="0.4">
      <c r="A340" s="941">
        <v>46222</v>
      </c>
      <c r="B340" s="937" t="s">
        <v>134</v>
      </c>
      <c r="C340" s="942" t="s">
        <v>129</v>
      </c>
      <c r="D340" s="938" t="s">
        <v>1429</v>
      </c>
      <c r="E340" s="939" t="s">
        <v>1430</v>
      </c>
      <c r="F340" s="943">
        <v>21</v>
      </c>
      <c r="G340" s="659">
        <v>52326</v>
      </c>
      <c r="H340" s="659">
        <f>G340*F340</f>
        <v>1098846</v>
      </c>
      <c r="I340" s="883" t="s">
        <v>1950</v>
      </c>
      <c r="J340" s="67"/>
      <c r="K340" s="67"/>
      <c r="L340" s="49"/>
      <c r="N340"/>
    </row>
    <row r="341" spans="1:14" s="50" customFormat="1" ht="19.5" customHeight="1" x14ac:dyDescent="0.4">
      <c r="A341" s="941">
        <v>46258</v>
      </c>
      <c r="B341" s="937" t="s">
        <v>134</v>
      </c>
      <c r="C341" s="942" t="s">
        <v>132</v>
      </c>
      <c r="D341" s="938" t="s">
        <v>1120</v>
      </c>
      <c r="E341" s="939" t="s">
        <v>13</v>
      </c>
      <c r="F341" s="943">
        <v>12</v>
      </c>
      <c r="G341" s="659">
        <v>3225880</v>
      </c>
      <c r="H341" s="659">
        <f t="shared" ref="H341:H359" si="7">F341*G341</f>
        <v>38710560</v>
      </c>
      <c r="I341" s="883" t="s">
        <v>1950</v>
      </c>
      <c r="J341" s="67"/>
      <c r="K341" s="67"/>
      <c r="L341" s="49"/>
    </row>
    <row r="342" spans="1:14" s="50" customFormat="1" ht="19.5" customHeight="1" x14ac:dyDescent="0.4">
      <c r="A342" s="941">
        <v>46262</v>
      </c>
      <c r="B342" s="937" t="s">
        <v>134</v>
      </c>
      <c r="C342" s="942" t="s">
        <v>132</v>
      </c>
      <c r="D342" s="938" t="s">
        <v>1120</v>
      </c>
      <c r="E342" s="939" t="s">
        <v>13</v>
      </c>
      <c r="F342" s="943">
        <v>11</v>
      </c>
      <c r="G342" s="659">
        <v>3225880</v>
      </c>
      <c r="H342" s="659">
        <f t="shared" si="7"/>
        <v>35484680</v>
      </c>
      <c r="I342" s="883" t="s">
        <v>1950</v>
      </c>
      <c r="J342" s="67"/>
      <c r="K342" s="67"/>
      <c r="L342" s="49"/>
    </row>
    <row r="343" spans="1:14" s="835" customFormat="1" ht="18.75" customHeight="1" x14ac:dyDescent="0.4">
      <c r="A343" s="928">
        <v>46275</v>
      </c>
      <c r="B343" s="937" t="s">
        <v>134</v>
      </c>
      <c r="C343" s="930" t="s">
        <v>132</v>
      </c>
      <c r="D343" s="944" t="s">
        <v>1120</v>
      </c>
      <c r="E343" s="939" t="s">
        <v>343</v>
      </c>
      <c r="F343" s="932">
        <v>6</v>
      </c>
      <c r="G343" s="940">
        <v>3225880</v>
      </c>
      <c r="H343" s="934">
        <f t="shared" si="7"/>
        <v>19355280</v>
      </c>
      <c r="I343" s="883" t="s">
        <v>1950</v>
      </c>
      <c r="J343" s="878"/>
      <c r="K343" s="878"/>
      <c r="L343" s="854"/>
    </row>
    <row r="344" spans="1:14" s="835" customFormat="1" ht="18.75" customHeight="1" x14ac:dyDescent="0.4">
      <c r="A344" s="928">
        <v>46283</v>
      </c>
      <c r="B344" s="937" t="s">
        <v>134</v>
      </c>
      <c r="C344" s="930" t="s">
        <v>132</v>
      </c>
      <c r="D344" s="938" t="s">
        <v>1120</v>
      </c>
      <c r="E344" s="939" t="s">
        <v>13</v>
      </c>
      <c r="F344" s="940">
        <v>23</v>
      </c>
      <c r="G344" s="934">
        <v>3225880</v>
      </c>
      <c r="H344" s="934">
        <f t="shared" si="7"/>
        <v>74195240</v>
      </c>
      <c r="I344" s="883" t="s">
        <v>1950</v>
      </c>
      <c r="J344" s="878"/>
      <c r="K344" s="878"/>
      <c r="L344" s="854"/>
    </row>
    <row r="345" spans="1:14" s="50" customFormat="1" ht="19.2" customHeight="1" x14ac:dyDescent="0.4">
      <c r="A345" s="941">
        <v>46262</v>
      </c>
      <c r="B345" s="937" t="s">
        <v>134</v>
      </c>
      <c r="C345" s="942" t="s">
        <v>507</v>
      </c>
      <c r="D345" s="938" t="s">
        <v>328</v>
      </c>
      <c r="E345" s="939" t="s">
        <v>13</v>
      </c>
      <c r="F345" s="943">
        <v>12</v>
      </c>
      <c r="G345" s="659">
        <v>1364000</v>
      </c>
      <c r="H345" s="659">
        <f t="shared" si="7"/>
        <v>16368000</v>
      </c>
      <c r="I345" s="883" t="s">
        <v>1950</v>
      </c>
      <c r="J345" s="67"/>
      <c r="K345" s="67"/>
      <c r="L345" s="49"/>
    </row>
    <row r="346" spans="1:14" s="835" customFormat="1" ht="18.75" customHeight="1" x14ac:dyDescent="0.4">
      <c r="A346" s="928">
        <v>46269</v>
      </c>
      <c r="B346" s="937" t="s">
        <v>134</v>
      </c>
      <c r="C346" s="930" t="s">
        <v>507</v>
      </c>
      <c r="D346" s="944" t="s">
        <v>328</v>
      </c>
      <c r="E346" s="939" t="s">
        <v>13</v>
      </c>
      <c r="F346" s="940">
        <v>3</v>
      </c>
      <c r="G346" s="934">
        <v>1364000</v>
      </c>
      <c r="H346" s="934">
        <f t="shared" si="7"/>
        <v>4092000</v>
      </c>
      <c r="I346" s="883" t="s">
        <v>1950</v>
      </c>
      <c r="J346" s="878" t="s">
        <v>1247</v>
      </c>
      <c r="K346" s="878"/>
      <c r="L346" s="854"/>
    </row>
    <row r="347" spans="1:14" s="835" customFormat="1" ht="18.75" customHeight="1" x14ac:dyDescent="0.4">
      <c r="A347" s="928">
        <v>46275</v>
      </c>
      <c r="B347" s="929" t="s">
        <v>134</v>
      </c>
      <c r="C347" s="930" t="s">
        <v>507</v>
      </c>
      <c r="D347" s="883" t="s">
        <v>328</v>
      </c>
      <c r="E347" s="929" t="s">
        <v>13</v>
      </c>
      <c r="F347" s="932">
        <v>4</v>
      </c>
      <c r="G347" s="932">
        <v>1364000</v>
      </c>
      <c r="H347" s="934">
        <f t="shared" si="7"/>
        <v>5456000</v>
      </c>
      <c r="I347" s="883" t="s">
        <v>1950</v>
      </c>
      <c r="J347" s="878"/>
      <c r="K347" s="878"/>
      <c r="L347" s="854"/>
    </row>
    <row r="348" spans="1:14" s="835" customFormat="1" ht="18.75" customHeight="1" x14ac:dyDescent="0.4">
      <c r="A348" s="928">
        <v>46283</v>
      </c>
      <c r="B348" s="937" t="s">
        <v>134</v>
      </c>
      <c r="C348" s="930" t="s">
        <v>507</v>
      </c>
      <c r="D348" s="944" t="s">
        <v>328</v>
      </c>
      <c r="E348" s="939" t="s">
        <v>13</v>
      </c>
      <c r="F348" s="940">
        <v>4</v>
      </c>
      <c r="G348" s="934">
        <v>1364000</v>
      </c>
      <c r="H348" s="934">
        <f t="shared" si="7"/>
        <v>5456000</v>
      </c>
      <c r="I348" s="883" t="s">
        <v>1950</v>
      </c>
      <c r="J348" s="878"/>
      <c r="K348" s="878"/>
      <c r="L348" s="854"/>
    </row>
    <row r="349" spans="1:14" s="50" customFormat="1" ht="19.2" customHeight="1" x14ac:dyDescent="0.4">
      <c r="A349" s="941">
        <v>46262</v>
      </c>
      <c r="B349" s="937" t="s">
        <v>134</v>
      </c>
      <c r="C349" s="942" t="s">
        <v>508</v>
      </c>
      <c r="D349" s="938" t="s">
        <v>329</v>
      </c>
      <c r="E349" s="939" t="s">
        <v>13</v>
      </c>
      <c r="F349" s="943">
        <v>8</v>
      </c>
      <c r="G349" s="659">
        <v>1364000</v>
      </c>
      <c r="H349" s="659">
        <f t="shared" si="7"/>
        <v>10912000</v>
      </c>
      <c r="I349" s="883" t="s">
        <v>1950</v>
      </c>
      <c r="J349" s="67"/>
      <c r="K349" s="67"/>
      <c r="L349" s="49"/>
    </row>
    <row r="350" spans="1:14" s="835" customFormat="1" ht="18.600000000000001" customHeight="1" x14ac:dyDescent="0.4">
      <c r="A350" s="928">
        <v>46269</v>
      </c>
      <c r="B350" s="937" t="s">
        <v>134</v>
      </c>
      <c r="C350" s="930" t="s">
        <v>508</v>
      </c>
      <c r="D350" s="944" t="s">
        <v>329</v>
      </c>
      <c r="E350" s="939" t="s">
        <v>13</v>
      </c>
      <c r="F350" s="940">
        <v>2</v>
      </c>
      <c r="G350" s="934">
        <v>1364000</v>
      </c>
      <c r="H350" s="934">
        <f t="shared" si="7"/>
        <v>2728000</v>
      </c>
      <c r="I350" s="883" t="s">
        <v>1950</v>
      </c>
      <c r="J350" s="878" t="s">
        <v>1247</v>
      </c>
      <c r="K350" s="878"/>
      <c r="L350" s="854"/>
    </row>
    <row r="351" spans="1:14" s="50" customFormat="1" ht="19.2" customHeight="1" x14ac:dyDescent="0.4">
      <c r="A351" s="941">
        <v>46262</v>
      </c>
      <c r="B351" s="937" t="s">
        <v>134</v>
      </c>
      <c r="C351" s="942" t="s">
        <v>941</v>
      </c>
      <c r="D351" s="938" t="s">
        <v>1311</v>
      </c>
      <c r="E351" s="939" t="s">
        <v>13</v>
      </c>
      <c r="F351" s="943">
        <v>6</v>
      </c>
      <c r="G351" s="659">
        <v>290000</v>
      </c>
      <c r="H351" s="659">
        <f t="shared" si="7"/>
        <v>1740000</v>
      </c>
      <c r="I351" s="883" t="s">
        <v>1950</v>
      </c>
      <c r="J351" s="67"/>
      <c r="K351" s="67"/>
      <c r="L351" s="49"/>
    </row>
    <row r="352" spans="1:14" s="835" customFormat="1" ht="18.75" customHeight="1" x14ac:dyDescent="0.4">
      <c r="A352" s="928">
        <v>46283</v>
      </c>
      <c r="B352" s="937" t="s">
        <v>134</v>
      </c>
      <c r="C352" s="930" t="s">
        <v>941</v>
      </c>
      <c r="D352" s="938" t="s">
        <v>1311</v>
      </c>
      <c r="E352" s="939" t="s">
        <v>13</v>
      </c>
      <c r="F352" s="940">
        <v>2</v>
      </c>
      <c r="G352" s="934">
        <v>290000</v>
      </c>
      <c r="H352" s="934">
        <f t="shared" si="7"/>
        <v>580000</v>
      </c>
      <c r="I352" s="883" t="s">
        <v>1950</v>
      </c>
      <c r="J352" s="878"/>
      <c r="K352" s="878"/>
      <c r="L352" s="854"/>
    </row>
    <row r="353" spans="1:13" s="50" customFormat="1" ht="19.2" customHeight="1" x14ac:dyDescent="0.4">
      <c r="A353" s="941">
        <v>46262</v>
      </c>
      <c r="B353" s="937" t="s">
        <v>134</v>
      </c>
      <c r="C353" s="942" t="s">
        <v>945</v>
      </c>
      <c r="D353" s="938" t="s">
        <v>1312</v>
      </c>
      <c r="E353" s="939" t="s">
        <v>13</v>
      </c>
      <c r="F353" s="943">
        <v>7</v>
      </c>
      <c r="G353" s="659">
        <v>225000</v>
      </c>
      <c r="H353" s="659">
        <f t="shared" si="7"/>
        <v>1575000</v>
      </c>
      <c r="I353" s="883" t="s">
        <v>1950</v>
      </c>
      <c r="J353" s="67"/>
      <c r="K353" s="67"/>
      <c r="L353" s="49"/>
    </row>
    <row r="354" spans="1:13" s="835" customFormat="1" ht="18.75" customHeight="1" x14ac:dyDescent="0.4">
      <c r="A354" s="928">
        <v>46283</v>
      </c>
      <c r="B354" s="937" t="s">
        <v>134</v>
      </c>
      <c r="C354" s="930" t="s">
        <v>945</v>
      </c>
      <c r="D354" s="938" t="s">
        <v>1312</v>
      </c>
      <c r="E354" s="939" t="s">
        <v>13</v>
      </c>
      <c r="F354" s="940">
        <v>2</v>
      </c>
      <c r="G354" s="934">
        <v>225000</v>
      </c>
      <c r="H354" s="934">
        <f t="shared" si="7"/>
        <v>450000</v>
      </c>
      <c r="I354" s="883" t="s">
        <v>1950</v>
      </c>
      <c r="J354" s="878"/>
      <c r="K354" s="878"/>
      <c r="L354" s="854"/>
    </row>
    <row r="355" spans="1:13" s="50" customFormat="1" ht="19.5" customHeight="1" x14ac:dyDescent="0.4">
      <c r="A355" s="941">
        <v>46262</v>
      </c>
      <c r="B355" s="937" t="s">
        <v>134</v>
      </c>
      <c r="C355" s="942" t="s">
        <v>312</v>
      </c>
      <c r="D355" s="938" t="s">
        <v>316</v>
      </c>
      <c r="E355" s="939" t="s">
        <v>13</v>
      </c>
      <c r="F355" s="943">
        <v>8</v>
      </c>
      <c r="G355" s="659">
        <v>96000</v>
      </c>
      <c r="H355" s="659">
        <f t="shared" si="7"/>
        <v>768000</v>
      </c>
      <c r="I355" s="883" t="s">
        <v>1950</v>
      </c>
      <c r="J355" s="67"/>
      <c r="K355" s="67"/>
      <c r="L355" s="49"/>
    </row>
    <row r="356" spans="1:13" s="835" customFormat="1" ht="18.75" customHeight="1" x14ac:dyDescent="0.4">
      <c r="A356" s="928">
        <v>46283</v>
      </c>
      <c r="B356" s="937" t="s">
        <v>134</v>
      </c>
      <c r="C356" s="930" t="s">
        <v>312</v>
      </c>
      <c r="D356" s="944" t="s">
        <v>316</v>
      </c>
      <c r="E356" s="939" t="s">
        <v>13</v>
      </c>
      <c r="F356" s="940">
        <v>22</v>
      </c>
      <c r="G356" s="934">
        <v>96000</v>
      </c>
      <c r="H356" s="934">
        <f t="shared" si="7"/>
        <v>2112000</v>
      </c>
      <c r="I356" s="883" t="s">
        <v>1950</v>
      </c>
      <c r="J356" s="878"/>
      <c r="K356" s="878"/>
      <c r="L356" s="854"/>
    </row>
    <row r="357" spans="1:13" s="835" customFormat="1" ht="18.600000000000001" customHeight="1" x14ac:dyDescent="0.4">
      <c r="A357" s="928">
        <v>46283</v>
      </c>
      <c r="B357" s="937" t="s">
        <v>134</v>
      </c>
      <c r="C357" s="930" t="s">
        <v>310</v>
      </c>
      <c r="D357" s="938" t="s">
        <v>326</v>
      </c>
      <c r="E357" s="939" t="s">
        <v>127</v>
      </c>
      <c r="F357" s="940">
        <v>3</v>
      </c>
      <c r="G357" s="934">
        <v>68000</v>
      </c>
      <c r="H357" s="934">
        <f t="shared" si="7"/>
        <v>204000</v>
      </c>
      <c r="I357" s="883" t="s">
        <v>1950</v>
      </c>
      <c r="J357" s="878"/>
      <c r="K357" s="878"/>
      <c r="L357" s="854"/>
    </row>
    <row r="358" spans="1:13" s="50" customFormat="1" ht="19.2" customHeight="1" x14ac:dyDescent="0.4">
      <c r="A358" s="941">
        <v>46262</v>
      </c>
      <c r="B358" s="937" t="s">
        <v>134</v>
      </c>
      <c r="C358" s="945" t="s">
        <v>310</v>
      </c>
      <c r="D358" s="946" t="s">
        <v>1302</v>
      </c>
      <c r="E358" s="939" t="s">
        <v>13</v>
      </c>
      <c r="F358" s="943">
        <v>13</v>
      </c>
      <c r="G358" s="947">
        <v>92000</v>
      </c>
      <c r="H358" s="659">
        <f t="shared" si="7"/>
        <v>1196000</v>
      </c>
      <c r="I358" s="883" t="s">
        <v>1950</v>
      </c>
      <c r="J358" s="67"/>
      <c r="K358" s="67"/>
      <c r="L358" s="49"/>
    </row>
    <row r="359" spans="1:13" s="835" customFormat="1" ht="18.75" customHeight="1" x14ac:dyDescent="0.4">
      <c r="A359" s="928">
        <v>46283</v>
      </c>
      <c r="B359" s="937" t="s">
        <v>134</v>
      </c>
      <c r="C359" s="930" t="s">
        <v>310</v>
      </c>
      <c r="D359" s="938" t="s">
        <v>1302</v>
      </c>
      <c r="E359" s="939" t="s">
        <v>13</v>
      </c>
      <c r="F359" s="940">
        <v>4</v>
      </c>
      <c r="G359" s="934">
        <v>92000</v>
      </c>
      <c r="H359" s="934">
        <f t="shared" si="7"/>
        <v>368000</v>
      </c>
      <c r="I359" s="883" t="s">
        <v>1950</v>
      </c>
      <c r="J359" s="878"/>
      <c r="K359" s="878"/>
      <c r="L359" s="854"/>
    </row>
    <row r="360" spans="1:13" customFormat="1" ht="17.399999999999999" x14ac:dyDescent="0.4">
      <c r="A360" s="484">
        <v>46222</v>
      </c>
      <c r="B360" s="5" t="s">
        <v>134</v>
      </c>
      <c r="C360" s="6" t="s">
        <v>320</v>
      </c>
      <c r="D360" s="405" t="s">
        <v>324</v>
      </c>
      <c r="E360" s="1" t="s">
        <v>127</v>
      </c>
      <c r="F360" s="29">
        <v>3</v>
      </c>
      <c r="G360" s="7">
        <v>20000</v>
      </c>
      <c r="H360" s="7">
        <f>G360*F360</f>
        <v>60000</v>
      </c>
      <c r="I360" s="67" t="s">
        <v>1951</v>
      </c>
      <c r="J360" s="67"/>
      <c r="K360" s="67"/>
      <c r="L360" s="49"/>
      <c r="M360" s="50"/>
    </row>
    <row r="361" spans="1:13" customFormat="1" ht="16.95" customHeight="1" x14ac:dyDescent="0.4">
      <c r="A361" s="484">
        <v>46222</v>
      </c>
      <c r="B361" s="5" t="s">
        <v>134</v>
      </c>
      <c r="C361" s="6" t="s">
        <v>314</v>
      </c>
      <c r="D361" s="405" t="s">
        <v>956</v>
      </c>
      <c r="E361" s="1" t="s">
        <v>13</v>
      </c>
      <c r="F361" s="29">
        <v>3</v>
      </c>
      <c r="G361" s="7">
        <v>79000</v>
      </c>
      <c r="H361" s="7">
        <f>G361*F361</f>
        <v>237000</v>
      </c>
      <c r="I361" s="67" t="s">
        <v>1951</v>
      </c>
      <c r="J361" s="67"/>
      <c r="K361" s="67"/>
      <c r="L361" s="49"/>
      <c r="M361" s="50"/>
    </row>
    <row r="362" spans="1:13" s="50" customFormat="1" ht="19.5" customHeight="1" x14ac:dyDescent="0.4">
      <c r="A362" s="484">
        <v>46248</v>
      </c>
      <c r="B362" s="8" t="s">
        <v>134</v>
      </c>
      <c r="C362" s="6" t="s">
        <v>317</v>
      </c>
      <c r="D362" s="80" t="s">
        <v>850</v>
      </c>
      <c r="E362" s="8" t="s">
        <v>127</v>
      </c>
      <c r="F362" s="49">
        <v>3</v>
      </c>
      <c r="G362" s="49">
        <v>35000</v>
      </c>
      <c r="H362" s="7">
        <f>F362*G362</f>
        <v>105000</v>
      </c>
      <c r="I362" s="67" t="s">
        <v>1951</v>
      </c>
      <c r="J362" s="67"/>
      <c r="K362" s="67"/>
      <c r="L362" s="49"/>
    </row>
    <row r="363" spans="1:13" s="50" customFormat="1" ht="19.5" customHeight="1" x14ac:dyDescent="0.4">
      <c r="A363" s="484">
        <v>46248</v>
      </c>
      <c r="B363" s="7" t="s">
        <v>134</v>
      </c>
      <c r="C363" s="60" t="s">
        <v>311</v>
      </c>
      <c r="D363" s="61" t="s">
        <v>431</v>
      </c>
      <c r="E363" s="7" t="s">
        <v>127</v>
      </c>
      <c r="F363" s="7">
        <v>3</v>
      </c>
      <c r="G363" s="17">
        <v>27000</v>
      </c>
      <c r="H363" s="7">
        <f>F363*G363</f>
        <v>81000</v>
      </c>
      <c r="I363" s="67" t="s">
        <v>1951</v>
      </c>
      <c r="J363" s="67"/>
      <c r="K363" s="67"/>
      <c r="L363" s="49"/>
    </row>
    <row r="364" spans="1:13" s="50" customFormat="1" ht="19.5" customHeight="1" x14ac:dyDescent="0.4">
      <c r="A364" s="484">
        <v>46248</v>
      </c>
      <c r="B364" s="8" t="s">
        <v>134</v>
      </c>
      <c r="C364" s="49" t="s">
        <v>311</v>
      </c>
      <c r="D364" s="80" t="s">
        <v>323</v>
      </c>
      <c r="E364" s="8" t="s">
        <v>127</v>
      </c>
      <c r="F364" s="49">
        <v>3</v>
      </c>
      <c r="G364" s="49">
        <v>18470</v>
      </c>
      <c r="H364" s="7">
        <f>F364*G364</f>
        <v>55410</v>
      </c>
      <c r="I364" s="67" t="s">
        <v>1951</v>
      </c>
      <c r="J364" s="67"/>
      <c r="K364" s="67"/>
      <c r="L364" s="49"/>
    </row>
    <row r="365" spans="1:13" s="50" customFormat="1" ht="19.2" customHeight="1" x14ac:dyDescent="0.4">
      <c r="A365" s="484">
        <v>46248</v>
      </c>
      <c r="B365" s="5" t="s">
        <v>134</v>
      </c>
      <c r="C365" s="80" t="s">
        <v>317</v>
      </c>
      <c r="D365" s="189" t="s">
        <v>318</v>
      </c>
      <c r="E365" s="1" t="s">
        <v>13</v>
      </c>
      <c r="F365" s="29">
        <v>3</v>
      </c>
      <c r="G365" s="61">
        <v>236000</v>
      </c>
      <c r="H365" s="7">
        <f>F365*G365</f>
        <v>708000</v>
      </c>
      <c r="I365" s="67" t="s">
        <v>1951</v>
      </c>
      <c r="J365" s="67"/>
      <c r="K365" s="67"/>
      <c r="L365" s="49"/>
    </row>
    <row r="366" spans="1:13" s="50" customFormat="1" ht="19.2" customHeight="1" x14ac:dyDescent="0.4">
      <c r="A366" s="484">
        <v>46262</v>
      </c>
      <c r="B366" s="5" t="s">
        <v>134</v>
      </c>
      <c r="C366" s="409" t="s">
        <v>963</v>
      </c>
      <c r="D366" s="140" t="s">
        <v>964</v>
      </c>
      <c r="E366" s="1" t="s">
        <v>127</v>
      </c>
      <c r="F366" s="29">
        <v>14</v>
      </c>
      <c r="G366" s="61">
        <v>16100</v>
      </c>
      <c r="H366" s="7"/>
      <c r="I366" s="67" t="s">
        <v>1794</v>
      </c>
      <c r="J366" s="67"/>
      <c r="K366" s="67"/>
      <c r="L366" s="49"/>
    </row>
    <row r="367" spans="1:13" s="50" customFormat="1" ht="18.75" customHeight="1" x14ac:dyDescent="0.4">
      <c r="A367" s="484">
        <v>46262</v>
      </c>
      <c r="B367" s="5" t="s">
        <v>134</v>
      </c>
      <c r="C367" s="67" t="s">
        <v>181</v>
      </c>
      <c r="D367" s="468" t="s">
        <v>749</v>
      </c>
      <c r="E367" s="67" t="s">
        <v>13</v>
      </c>
      <c r="F367" s="68">
        <v>15</v>
      </c>
      <c r="G367" s="7">
        <v>2163000</v>
      </c>
      <c r="H367" s="7">
        <f t="shared" ref="H367:H382" si="8">F367*G367</f>
        <v>32445000</v>
      </c>
      <c r="I367" s="67" t="s">
        <v>1952</v>
      </c>
      <c r="J367" s="67"/>
      <c r="K367" s="67"/>
      <c r="L367" s="67"/>
    </row>
    <row r="368" spans="1:13" s="50" customFormat="1" ht="18.75" customHeight="1" x14ac:dyDescent="0.4">
      <c r="A368" s="484">
        <v>46262</v>
      </c>
      <c r="B368" s="5" t="s">
        <v>134</v>
      </c>
      <c r="C368" s="67" t="s">
        <v>182</v>
      </c>
      <c r="D368" s="468" t="s">
        <v>372</v>
      </c>
      <c r="E368" s="67" t="s">
        <v>13</v>
      </c>
      <c r="F368" s="68">
        <v>15</v>
      </c>
      <c r="G368" s="7">
        <v>2163000</v>
      </c>
      <c r="H368" s="7">
        <f t="shared" si="8"/>
        <v>32445000</v>
      </c>
      <c r="I368" s="67" t="s">
        <v>1952</v>
      </c>
      <c r="J368" s="67"/>
      <c r="K368" s="67"/>
      <c r="L368" s="67"/>
    </row>
    <row r="369" spans="1:12" s="835" customFormat="1" ht="19.5" customHeight="1" x14ac:dyDescent="0.4">
      <c r="A369" s="872">
        <v>46288</v>
      </c>
      <c r="B369" s="5" t="s">
        <v>134</v>
      </c>
      <c r="C369" s="880" t="s">
        <v>181</v>
      </c>
      <c r="D369" s="140" t="s">
        <v>371</v>
      </c>
      <c r="E369" s="1" t="s">
        <v>13</v>
      </c>
      <c r="F369" s="29">
        <v>10</v>
      </c>
      <c r="G369" s="874">
        <v>2163000</v>
      </c>
      <c r="H369" s="838">
        <f t="shared" si="8"/>
        <v>21630000</v>
      </c>
      <c r="I369" s="67" t="s">
        <v>1952</v>
      </c>
      <c r="J369" s="878"/>
      <c r="K369" s="878"/>
      <c r="L369" s="854"/>
    </row>
    <row r="370" spans="1:12" s="835" customFormat="1" ht="19.5" customHeight="1" x14ac:dyDescent="0.4">
      <c r="A370" s="872">
        <v>46288</v>
      </c>
      <c r="B370" s="5" t="s">
        <v>134</v>
      </c>
      <c r="C370" s="880" t="s">
        <v>182</v>
      </c>
      <c r="D370" s="140" t="s">
        <v>372</v>
      </c>
      <c r="E370" s="1" t="s">
        <v>13</v>
      </c>
      <c r="F370" s="29">
        <v>10</v>
      </c>
      <c r="G370" s="874">
        <v>2163000</v>
      </c>
      <c r="H370" s="838">
        <f t="shared" si="8"/>
        <v>21630000</v>
      </c>
      <c r="I370" s="67" t="s">
        <v>1952</v>
      </c>
      <c r="J370" s="878"/>
      <c r="K370" s="878"/>
      <c r="L370" s="854"/>
    </row>
    <row r="371" spans="1:12" s="835" customFormat="1" ht="19.5" customHeight="1" x14ac:dyDescent="0.4">
      <c r="A371" s="872">
        <v>46288</v>
      </c>
      <c r="B371" s="855" t="s">
        <v>134</v>
      </c>
      <c r="C371" s="858" t="s">
        <v>136</v>
      </c>
      <c r="D371" s="859" t="s">
        <v>366</v>
      </c>
      <c r="E371" s="855" t="s">
        <v>13</v>
      </c>
      <c r="F371" s="854">
        <v>38</v>
      </c>
      <c r="G371" s="860">
        <v>597880</v>
      </c>
      <c r="H371" s="838">
        <f t="shared" si="8"/>
        <v>22719440</v>
      </c>
      <c r="I371" s="878" t="s">
        <v>1931</v>
      </c>
      <c r="J371" s="878"/>
      <c r="K371" s="878"/>
      <c r="L371" s="854"/>
    </row>
    <row r="372" spans="1:12" s="835" customFormat="1" ht="19.5" customHeight="1" x14ac:dyDescent="0.4">
      <c r="A372" s="872">
        <v>46295</v>
      </c>
      <c r="B372" s="855" t="s">
        <v>134</v>
      </c>
      <c r="C372" s="858" t="s">
        <v>132</v>
      </c>
      <c r="D372" s="859" t="s">
        <v>1120</v>
      </c>
      <c r="E372" s="855" t="s">
        <v>13</v>
      </c>
      <c r="F372" s="854">
        <v>17</v>
      </c>
      <c r="G372" s="860">
        <v>3225880</v>
      </c>
      <c r="H372" s="838">
        <f t="shared" si="8"/>
        <v>54839960</v>
      </c>
      <c r="I372" s="878" t="s">
        <v>1931</v>
      </c>
      <c r="J372" s="878"/>
      <c r="K372" s="878"/>
      <c r="L372" s="854"/>
    </row>
    <row r="373" spans="1:12" s="835" customFormat="1" ht="19.5" customHeight="1" x14ac:dyDescent="0.4">
      <c r="A373" s="872">
        <v>46295</v>
      </c>
      <c r="B373" s="855" t="s">
        <v>134</v>
      </c>
      <c r="C373" s="858" t="s">
        <v>508</v>
      </c>
      <c r="D373" s="859" t="s">
        <v>329</v>
      </c>
      <c r="E373" s="855" t="s">
        <v>13</v>
      </c>
      <c r="F373" s="881">
        <v>12</v>
      </c>
      <c r="G373" s="860">
        <v>1364000</v>
      </c>
      <c r="H373" s="838">
        <f t="shared" si="8"/>
        <v>16368000</v>
      </c>
      <c r="I373" s="878" t="s">
        <v>1931</v>
      </c>
      <c r="J373" s="878"/>
      <c r="K373" s="878"/>
      <c r="L373" s="854"/>
    </row>
    <row r="374" spans="1:12" s="835" customFormat="1" ht="19.5" customHeight="1" x14ac:dyDescent="0.4">
      <c r="A374" s="872">
        <v>46295</v>
      </c>
      <c r="B374" s="855" t="s">
        <v>134</v>
      </c>
      <c r="C374" s="858" t="s">
        <v>1894</v>
      </c>
      <c r="D374" s="859" t="s">
        <v>1895</v>
      </c>
      <c r="E374" s="855" t="s">
        <v>13</v>
      </c>
      <c r="F374" s="881">
        <v>20</v>
      </c>
      <c r="G374" s="860">
        <v>218880</v>
      </c>
      <c r="H374" s="838">
        <f t="shared" si="8"/>
        <v>4377600</v>
      </c>
      <c r="I374" s="878" t="s">
        <v>1931</v>
      </c>
      <c r="J374" s="878"/>
      <c r="K374" s="878"/>
      <c r="L374" s="854"/>
    </row>
    <row r="375" spans="1:12" s="835" customFormat="1" ht="19.5" customHeight="1" x14ac:dyDescent="0.4">
      <c r="A375" s="872">
        <v>46295</v>
      </c>
      <c r="B375" s="855" t="s">
        <v>134</v>
      </c>
      <c r="C375" s="858" t="s">
        <v>320</v>
      </c>
      <c r="D375" s="859" t="s">
        <v>324</v>
      </c>
      <c r="E375" s="855" t="s">
        <v>127</v>
      </c>
      <c r="F375" s="881">
        <v>47</v>
      </c>
      <c r="G375" s="860">
        <v>20000</v>
      </c>
      <c r="H375" s="838">
        <f t="shared" si="8"/>
        <v>940000</v>
      </c>
      <c r="I375" s="878" t="s">
        <v>1931</v>
      </c>
      <c r="J375" s="878"/>
      <c r="K375" s="878"/>
      <c r="L375" s="854"/>
    </row>
    <row r="376" spans="1:12" s="835" customFormat="1" ht="19.5" customHeight="1" x14ac:dyDescent="0.4">
      <c r="A376" s="872">
        <v>46295</v>
      </c>
      <c r="B376" s="855" t="s">
        <v>134</v>
      </c>
      <c r="C376" s="858" t="s">
        <v>317</v>
      </c>
      <c r="D376" s="859" t="s">
        <v>850</v>
      </c>
      <c r="E376" s="855" t="s">
        <v>127</v>
      </c>
      <c r="F376" s="881">
        <v>21</v>
      </c>
      <c r="G376" s="860">
        <v>35000</v>
      </c>
      <c r="H376" s="838">
        <f t="shared" si="8"/>
        <v>735000</v>
      </c>
      <c r="I376" s="878" t="s">
        <v>1931</v>
      </c>
      <c r="J376" s="878"/>
      <c r="K376" s="878"/>
      <c r="L376" s="854"/>
    </row>
    <row r="377" spans="1:12" s="835" customFormat="1" ht="19.5" customHeight="1" x14ac:dyDescent="0.4">
      <c r="A377" s="872">
        <v>46295</v>
      </c>
      <c r="B377" s="855" t="s">
        <v>134</v>
      </c>
      <c r="C377" s="858" t="s">
        <v>319</v>
      </c>
      <c r="D377" s="859" t="s">
        <v>1313</v>
      </c>
      <c r="E377" s="855" t="s">
        <v>127</v>
      </c>
      <c r="F377" s="881">
        <v>3</v>
      </c>
      <c r="G377" s="860">
        <v>20400</v>
      </c>
      <c r="H377" s="838">
        <f t="shared" si="8"/>
        <v>61200</v>
      </c>
      <c r="I377" s="878" t="s">
        <v>1931</v>
      </c>
      <c r="J377" s="878"/>
      <c r="K377" s="878"/>
      <c r="L377" s="854"/>
    </row>
    <row r="378" spans="1:12" s="835" customFormat="1" ht="19.5" customHeight="1" x14ac:dyDescent="0.4">
      <c r="A378" s="872">
        <v>46295</v>
      </c>
      <c r="B378" s="855" t="s">
        <v>134</v>
      </c>
      <c r="C378" s="858" t="s">
        <v>965</v>
      </c>
      <c r="D378" s="859" t="s">
        <v>1732</v>
      </c>
      <c r="E378" s="855" t="s">
        <v>17</v>
      </c>
      <c r="F378" s="881">
        <v>64</v>
      </c>
      <c r="G378" s="860">
        <v>124180</v>
      </c>
      <c r="H378" s="838">
        <f t="shared" si="8"/>
        <v>7947520</v>
      </c>
      <c r="I378" s="878" t="s">
        <v>1931</v>
      </c>
      <c r="J378" s="878"/>
      <c r="K378" s="878"/>
      <c r="L378" s="854"/>
    </row>
    <row r="379" spans="1:12" s="835" customFormat="1" ht="19.5" customHeight="1" x14ac:dyDescent="0.4">
      <c r="A379" s="872">
        <v>46295</v>
      </c>
      <c r="B379" s="855" t="s">
        <v>134</v>
      </c>
      <c r="C379" s="858" t="s">
        <v>367</v>
      </c>
      <c r="D379" s="859" t="s">
        <v>368</v>
      </c>
      <c r="E379" s="855" t="s">
        <v>17</v>
      </c>
      <c r="F379" s="881">
        <v>64</v>
      </c>
      <c r="G379" s="860">
        <v>96490</v>
      </c>
      <c r="H379" s="838">
        <f t="shared" si="8"/>
        <v>6175360</v>
      </c>
      <c r="I379" s="878" t="s">
        <v>1931</v>
      </c>
      <c r="J379" s="878"/>
      <c r="K379" s="878"/>
      <c r="L379" s="854"/>
    </row>
    <row r="380" spans="1:12" s="835" customFormat="1" ht="19.5" customHeight="1" x14ac:dyDescent="0.4">
      <c r="A380" s="872">
        <v>46295</v>
      </c>
      <c r="B380" s="855" t="s">
        <v>134</v>
      </c>
      <c r="C380" s="858" t="s">
        <v>1733</v>
      </c>
      <c r="D380" s="859" t="s">
        <v>1734</v>
      </c>
      <c r="E380" s="855" t="s">
        <v>127</v>
      </c>
      <c r="F380" s="854">
        <v>100</v>
      </c>
      <c r="G380" s="860">
        <v>18400</v>
      </c>
      <c r="H380" s="838">
        <f t="shared" si="8"/>
        <v>1840000</v>
      </c>
      <c r="I380" s="878" t="s">
        <v>1931</v>
      </c>
      <c r="J380" s="878"/>
      <c r="K380" s="878"/>
      <c r="L380" s="854"/>
    </row>
    <row r="381" spans="1:12" s="835" customFormat="1" ht="19.5" customHeight="1" x14ac:dyDescent="0.4">
      <c r="A381" s="872">
        <v>46295</v>
      </c>
      <c r="B381" s="855" t="s">
        <v>134</v>
      </c>
      <c r="C381" s="858" t="s">
        <v>1735</v>
      </c>
      <c r="D381" s="859" t="s">
        <v>1736</v>
      </c>
      <c r="E381" s="855" t="s">
        <v>127</v>
      </c>
      <c r="F381" s="854">
        <v>47</v>
      </c>
      <c r="G381" s="860">
        <v>26000</v>
      </c>
      <c r="H381" s="838">
        <f t="shared" si="8"/>
        <v>1222000</v>
      </c>
      <c r="I381" s="878" t="s">
        <v>1931</v>
      </c>
      <c r="J381" s="878"/>
      <c r="K381" s="878"/>
      <c r="L381" s="854"/>
    </row>
    <row r="382" spans="1:12" s="835" customFormat="1" ht="19.5" customHeight="1" x14ac:dyDescent="0.4">
      <c r="A382" s="872">
        <v>46295</v>
      </c>
      <c r="B382" s="855" t="s">
        <v>134</v>
      </c>
      <c r="C382" s="858" t="s">
        <v>1739</v>
      </c>
      <c r="D382" s="859" t="s">
        <v>1740</v>
      </c>
      <c r="E382" s="855" t="s">
        <v>127</v>
      </c>
      <c r="F382" s="854">
        <v>55</v>
      </c>
      <c r="G382" s="860">
        <v>26000</v>
      </c>
      <c r="H382" s="838">
        <f t="shared" si="8"/>
        <v>1430000</v>
      </c>
      <c r="I382" s="878" t="s">
        <v>1931</v>
      </c>
      <c r="J382" s="878"/>
      <c r="K382" s="878"/>
      <c r="L382" s="854"/>
    </row>
    <row r="383" spans="1:12" s="19" customFormat="1" ht="18.75" customHeight="1" x14ac:dyDescent="0.4">
      <c r="A383" s="622"/>
      <c r="B383" s="842"/>
      <c r="C383" s="843"/>
      <c r="D383" s="844"/>
      <c r="E383" s="842"/>
      <c r="F383" s="842"/>
      <c r="G383" s="845"/>
      <c r="H383" s="846">
        <f>SUM(H336:H359)</f>
        <v>295926126</v>
      </c>
      <c r="I383" s="847"/>
      <c r="J383" s="848"/>
      <c r="K383" s="849"/>
      <c r="L383" s="696"/>
    </row>
    <row r="384" spans="1:12" s="19" customFormat="1" ht="18.75" customHeight="1" x14ac:dyDescent="0.4">
      <c r="A384" s="485">
        <v>46282</v>
      </c>
      <c r="B384" s="855" t="s">
        <v>137</v>
      </c>
      <c r="C384" s="858" t="s">
        <v>241</v>
      </c>
      <c r="D384" s="859" t="s">
        <v>231</v>
      </c>
      <c r="E384" s="855"/>
      <c r="F384" s="855">
        <v>7</v>
      </c>
      <c r="G384" s="860">
        <v>199600</v>
      </c>
      <c r="H384" s="838">
        <f t="shared" ref="H384:H409" si="9">F384*G384</f>
        <v>1397200</v>
      </c>
      <c r="I384" s="861" t="s">
        <v>1689</v>
      </c>
      <c r="J384" s="855"/>
      <c r="K384" s="852"/>
      <c r="L384" s="405"/>
    </row>
    <row r="385" spans="1:12" s="19" customFormat="1" ht="18.75" customHeight="1" x14ac:dyDescent="0.4">
      <c r="A385" s="485">
        <v>46282</v>
      </c>
      <c r="B385" s="855" t="s">
        <v>137</v>
      </c>
      <c r="C385" s="858" t="s">
        <v>241</v>
      </c>
      <c r="D385" s="859" t="s">
        <v>373</v>
      </c>
      <c r="E385" s="855"/>
      <c r="F385" s="855">
        <v>10</v>
      </c>
      <c r="G385" s="860">
        <v>207400</v>
      </c>
      <c r="H385" s="838">
        <f t="shared" si="9"/>
        <v>2074000</v>
      </c>
      <c r="I385" s="861" t="s">
        <v>1896</v>
      </c>
      <c r="J385" s="862"/>
      <c r="K385" s="852"/>
      <c r="L385" s="405"/>
    </row>
    <row r="386" spans="1:12" s="19" customFormat="1" ht="18.75" customHeight="1" x14ac:dyDescent="0.4">
      <c r="A386" s="485">
        <v>46282</v>
      </c>
      <c r="B386" s="855" t="s">
        <v>137</v>
      </c>
      <c r="C386" s="858" t="s">
        <v>241</v>
      </c>
      <c r="D386" s="859" t="s">
        <v>373</v>
      </c>
      <c r="E386" s="855"/>
      <c r="F386" s="855">
        <v>32</v>
      </c>
      <c r="G386" s="860">
        <v>207400</v>
      </c>
      <c r="H386" s="838">
        <f t="shared" si="9"/>
        <v>6636800</v>
      </c>
      <c r="I386" s="861" t="s">
        <v>1896</v>
      </c>
      <c r="J386" s="862"/>
      <c r="K386" s="852"/>
      <c r="L386" s="405"/>
    </row>
    <row r="387" spans="1:12" s="19" customFormat="1" ht="18.75" customHeight="1" x14ac:dyDescent="0.4">
      <c r="A387" s="485">
        <v>46282</v>
      </c>
      <c r="B387" s="855" t="s">
        <v>137</v>
      </c>
      <c r="C387" s="858" t="s">
        <v>241</v>
      </c>
      <c r="D387" s="859" t="s">
        <v>232</v>
      </c>
      <c r="E387" s="855"/>
      <c r="F387" s="855">
        <v>19</v>
      </c>
      <c r="G387" s="860">
        <v>181100</v>
      </c>
      <c r="H387" s="838">
        <f t="shared" si="9"/>
        <v>3440900</v>
      </c>
      <c r="I387" s="861" t="s">
        <v>1691</v>
      </c>
      <c r="J387" s="862"/>
      <c r="K387" s="852"/>
      <c r="L387" s="405"/>
    </row>
    <row r="388" spans="1:12" s="19" customFormat="1" ht="18.75" customHeight="1" x14ac:dyDescent="0.4">
      <c r="A388" s="485">
        <v>46282</v>
      </c>
      <c r="B388" s="855" t="s">
        <v>137</v>
      </c>
      <c r="C388" s="858" t="s">
        <v>241</v>
      </c>
      <c r="D388" s="859" t="s">
        <v>419</v>
      </c>
      <c r="E388" s="855"/>
      <c r="F388" s="855">
        <v>24</v>
      </c>
      <c r="G388" s="860">
        <v>181100</v>
      </c>
      <c r="H388" s="838">
        <f t="shared" si="9"/>
        <v>4346400</v>
      </c>
      <c r="I388" s="861" t="s">
        <v>1691</v>
      </c>
      <c r="J388" s="862"/>
      <c r="K388" s="852"/>
      <c r="L388" s="405"/>
    </row>
    <row r="389" spans="1:12" s="19" customFormat="1" ht="18.75" customHeight="1" x14ac:dyDescent="0.4">
      <c r="A389" s="485">
        <v>46282</v>
      </c>
      <c r="B389" s="855" t="s">
        <v>137</v>
      </c>
      <c r="C389" s="858" t="s">
        <v>241</v>
      </c>
      <c r="D389" s="859" t="s">
        <v>419</v>
      </c>
      <c r="E389" s="855"/>
      <c r="F389" s="855">
        <v>18</v>
      </c>
      <c r="G389" s="860">
        <v>181100</v>
      </c>
      <c r="H389" s="838">
        <f t="shared" si="9"/>
        <v>3259800</v>
      </c>
      <c r="I389" s="861" t="s">
        <v>1691</v>
      </c>
      <c r="J389" s="862"/>
      <c r="K389" s="852"/>
      <c r="L389" s="405"/>
    </row>
    <row r="390" spans="1:12" s="19" customFormat="1" ht="18.75" customHeight="1" x14ac:dyDescent="0.4">
      <c r="A390" s="485">
        <v>46282</v>
      </c>
      <c r="B390" s="855" t="s">
        <v>137</v>
      </c>
      <c r="C390" s="858" t="s">
        <v>241</v>
      </c>
      <c r="D390" s="859" t="s">
        <v>419</v>
      </c>
      <c r="E390" s="855"/>
      <c r="F390" s="855">
        <v>6</v>
      </c>
      <c r="G390" s="860">
        <v>181100</v>
      </c>
      <c r="H390" s="838">
        <f t="shared" si="9"/>
        <v>1086600</v>
      </c>
      <c r="I390" s="861" t="s">
        <v>1897</v>
      </c>
      <c r="J390" s="862"/>
      <c r="K390" s="852"/>
      <c r="L390" s="405"/>
    </row>
    <row r="391" spans="1:12" s="19" customFormat="1" ht="18.75" customHeight="1" x14ac:dyDescent="0.4">
      <c r="A391" s="485">
        <v>46282</v>
      </c>
      <c r="B391" s="855" t="s">
        <v>137</v>
      </c>
      <c r="C391" s="858" t="s">
        <v>138</v>
      </c>
      <c r="D391" s="859" t="s">
        <v>236</v>
      </c>
      <c r="E391" s="855"/>
      <c r="F391" s="855">
        <v>53</v>
      </c>
      <c r="G391" s="860">
        <v>184600</v>
      </c>
      <c r="H391" s="838">
        <f t="shared" si="9"/>
        <v>9783800</v>
      </c>
      <c r="I391" s="861" t="s">
        <v>1800</v>
      </c>
      <c r="J391" s="862"/>
      <c r="K391" s="852"/>
      <c r="L391" s="405"/>
    </row>
    <row r="392" spans="1:12" s="19" customFormat="1" ht="18.75" customHeight="1" x14ac:dyDescent="0.4">
      <c r="A392" s="485">
        <v>46282</v>
      </c>
      <c r="B392" s="855" t="s">
        <v>137</v>
      </c>
      <c r="C392" s="858" t="s">
        <v>233</v>
      </c>
      <c r="D392" s="859" t="s">
        <v>977</v>
      </c>
      <c r="E392" s="855"/>
      <c r="F392" s="855">
        <v>10</v>
      </c>
      <c r="G392" s="860">
        <v>133300</v>
      </c>
      <c r="H392" s="838">
        <f t="shared" si="9"/>
        <v>1333000</v>
      </c>
      <c r="I392" s="861" t="s">
        <v>1798</v>
      </c>
      <c r="J392" s="855"/>
      <c r="K392" s="852"/>
      <c r="L392" s="405"/>
    </row>
    <row r="393" spans="1:12" s="19" customFormat="1" ht="18.75" customHeight="1" x14ac:dyDescent="0.4">
      <c r="A393" s="485">
        <v>46282</v>
      </c>
      <c r="B393" s="855" t="s">
        <v>137</v>
      </c>
      <c r="C393" s="858" t="s">
        <v>233</v>
      </c>
      <c r="D393" s="859" t="s">
        <v>472</v>
      </c>
      <c r="E393" s="855"/>
      <c r="F393" s="855">
        <v>44</v>
      </c>
      <c r="G393" s="860">
        <v>136000</v>
      </c>
      <c r="H393" s="838">
        <f t="shared" si="9"/>
        <v>5984000</v>
      </c>
      <c r="I393" s="861" t="s">
        <v>1690</v>
      </c>
      <c r="J393" s="862"/>
      <c r="K393" s="852"/>
      <c r="L393" s="405"/>
    </row>
    <row r="394" spans="1:12" s="19" customFormat="1" ht="18.75" customHeight="1" x14ac:dyDescent="0.4">
      <c r="A394" s="485">
        <v>46282</v>
      </c>
      <c r="B394" s="855" t="s">
        <v>137</v>
      </c>
      <c r="C394" s="858" t="s">
        <v>234</v>
      </c>
      <c r="D394" s="859" t="s">
        <v>235</v>
      </c>
      <c r="E394" s="855"/>
      <c r="F394" s="855">
        <v>69</v>
      </c>
      <c r="G394" s="860">
        <v>69400</v>
      </c>
      <c r="H394" s="838">
        <f t="shared" si="9"/>
        <v>4788600</v>
      </c>
      <c r="I394" s="861" t="s">
        <v>1572</v>
      </c>
      <c r="J394" s="862"/>
      <c r="K394" s="852"/>
      <c r="L394" s="405"/>
    </row>
    <row r="395" spans="1:12" s="19" customFormat="1" ht="18.75" customHeight="1" x14ac:dyDescent="0.4">
      <c r="A395" s="485">
        <v>46282</v>
      </c>
      <c r="B395" s="855" t="s">
        <v>137</v>
      </c>
      <c r="C395" s="858" t="s">
        <v>332</v>
      </c>
      <c r="D395" s="859" t="s">
        <v>238</v>
      </c>
      <c r="E395" s="855"/>
      <c r="F395" s="855">
        <v>57</v>
      </c>
      <c r="G395" s="860">
        <v>137000</v>
      </c>
      <c r="H395" s="838">
        <f t="shared" si="9"/>
        <v>7809000</v>
      </c>
      <c r="I395" s="861" t="s">
        <v>1796</v>
      </c>
      <c r="J395" s="862"/>
      <c r="K395" s="852"/>
      <c r="L395" s="405"/>
    </row>
    <row r="396" spans="1:12" s="19" customFormat="1" ht="18.75" customHeight="1" x14ac:dyDescent="0.4">
      <c r="A396" s="485">
        <v>46282</v>
      </c>
      <c r="B396" s="855" t="s">
        <v>137</v>
      </c>
      <c r="C396" s="858" t="s">
        <v>332</v>
      </c>
      <c r="D396" s="859" t="s">
        <v>420</v>
      </c>
      <c r="E396" s="855"/>
      <c r="F396" s="855">
        <v>27</v>
      </c>
      <c r="G396" s="860">
        <v>137000</v>
      </c>
      <c r="H396" s="838">
        <f t="shared" si="9"/>
        <v>3699000</v>
      </c>
      <c r="I396" s="861" t="s">
        <v>1796</v>
      </c>
      <c r="J396" s="862"/>
      <c r="K396" s="852"/>
      <c r="L396" s="405"/>
    </row>
    <row r="397" spans="1:12" s="19" customFormat="1" ht="18.75" customHeight="1" x14ac:dyDescent="0.4">
      <c r="A397" s="485">
        <v>46282</v>
      </c>
      <c r="B397" s="855" t="s">
        <v>137</v>
      </c>
      <c r="C397" s="858" t="s">
        <v>332</v>
      </c>
      <c r="D397" s="859" t="s">
        <v>420</v>
      </c>
      <c r="E397" s="855"/>
      <c r="F397" s="855">
        <v>33</v>
      </c>
      <c r="G397" s="860">
        <v>141100</v>
      </c>
      <c r="H397" s="838">
        <f t="shared" si="9"/>
        <v>4656300</v>
      </c>
      <c r="I397" s="861" t="s">
        <v>1692</v>
      </c>
      <c r="J397" s="862"/>
      <c r="K397" s="852"/>
      <c r="L397" s="405"/>
    </row>
    <row r="398" spans="1:12" s="19" customFormat="1" ht="18.75" customHeight="1" x14ac:dyDescent="0.4">
      <c r="A398" s="485">
        <v>46282</v>
      </c>
      <c r="B398" s="855" t="s">
        <v>137</v>
      </c>
      <c r="C398" s="858" t="s">
        <v>635</v>
      </c>
      <c r="D398" s="859" t="s">
        <v>390</v>
      </c>
      <c r="E398" s="855"/>
      <c r="F398" s="855">
        <v>200</v>
      </c>
      <c r="G398" s="860">
        <v>28900</v>
      </c>
      <c r="H398" s="838">
        <f t="shared" si="9"/>
        <v>5780000</v>
      </c>
      <c r="I398" s="861" t="s">
        <v>1898</v>
      </c>
      <c r="J398" s="862"/>
      <c r="K398" s="852"/>
      <c r="L398" s="405"/>
    </row>
    <row r="399" spans="1:12" s="19" customFormat="1" ht="18.75" customHeight="1" x14ac:dyDescent="0.4">
      <c r="A399" s="485">
        <v>46282</v>
      </c>
      <c r="B399" s="855" t="s">
        <v>137</v>
      </c>
      <c r="C399" s="858" t="s">
        <v>241</v>
      </c>
      <c r="D399" s="859" t="s">
        <v>471</v>
      </c>
      <c r="E399" s="855"/>
      <c r="F399" s="855">
        <v>23</v>
      </c>
      <c r="G399" s="860">
        <v>261900</v>
      </c>
      <c r="H399" s="838">
        <f t="shared" si="9"/>
        <v>6023700</v>
      </c>
      <c r="I399" s="861" t="s">
        <v>1689</v>
      </c>
      <c r="J399" s="862"/>
      <c r="K399" s="852"/>
      <c r="L399" s="405"/>
    </row>
    <row r="400" spans="1:12" s="19" customFormat="1" ht="18.75" customHeight="1" x14ac:dyDescent="0.4">
      <c r="A400" s="485">
        <v>46282</v>
      </c>
      <c r="B400" s="855" t="s">
        <v>137</v>
      </c>
      <c r="C400" s="858" t="s">
        <v>241</v>
      </c>
      <c r="D400" s="859" t="s">
        <v>471</v>
      </c>
      <c r="E400" s="855"/>
      <c r="F400" s="855">
        <v>1</v>
      </c>
      <c r="G400" s="860">
        <v>272700</v>
      </c>
      <c r="H400" s="838">
        <f t="shared" si="9"/>
        <v>272700</v>
      </c>
      <c r="I400" s="861" t="s">
        <v>1899</v>
      </c>
      <c r="J400" s="862"/>
      <c r="K400" s="852"/>
      <c r="L400" s="405"/>
    </row>
    <row r="401" spans="1:13" s="19" customFormat="1" ht="18.75" customHeight="1" x14ac:dyDescent="0.4">
      <c r="A401" s="485">
        <v>46282</v>
      </c>
      <c r="B401" s="855" t="s">
        <v>137</v>
      </c>
      <c r="C401" s="858" t="s">
        <v>241</v>
      </c>
      <c r="D401" s="859" t="s">
        <v>471</v>
      </c>
      <c r="E401" s="855"/>
      <c r="F401" s="855">
        <v>24</v>
      </c>
      <c r="G401" s="860">
        <v>272700</v>
      </c>
      <c r="H401" s="838">
        <f t="shared" si="9"/>
        <v>6544800</v>
      </c>
      <c r="I401" s="861" t="s">
        <v>1899</v>
      </c>
      <c r="J401" s="862"/>
      <c r="K401" s="852"/>
      <c r="L401" s="405"/>
    </row>
    <row r="402" spans="1:13" s="19" customFormat="1" ht="18.75" customHeight="1" x14ac:dyDescent="0.4">
      <c r="A402" s="485">
        <v>46282</v>
      </c>
      <c r="B402" s="855" t="s">
        <v>137</v>
      </c>
      <c r="C402" s="858" t="s">
        <v>241</v>
      </c>
      <c r="D402" s="859" t="s">
        <v>471</v>
      </c>
      <c r="E402" s="855"/>
      <c r="F402" s="855">
        <v>24</v>
      </c>
      <c r="G402" s="860">
        <v>272700</v>
      </c>
      <c r="H402" s="838">
        <f t="shared" si="9"/>
        <v>6544800</v>
      </c>
      <c r="I402" s="861" t="s">
        <v>1899</v>
      </c>
      <c r="J402" s="862"/>
      <c r="K402" s="852"/>
      <c r="L402" s="405"/>
    </row>
    <row r="403" spans="1:13" s="19" customFormat="1" ht="18.75" customHeight="1" x14ac:dyDescent="0.4">
      <c r="A403" s="485">
        <v>46282</v>
      </c>
      <c r="B403" s="855" t="s">
        <v>137</v>
      </c>
      <c r="C403" s="858" t="s">
        <v>233</v>
      </c>
      <c r="D403" s="859" t="s">
        <v>1900</v>
      </c>
      <c r="E403" s="855"/>
      <c r="F403" s="855">
        <v>13</v>
      </c>
      <c r="G403" s="860">
        <v>116400</v>
      </c>
      <c r="H403" s="838">
        <f t="shared" si="9"/>
        <v>1513200</v>
      </c>
      <c r="I403" s="861" t="s">
        <v>1744</v>
      </c>
      <c r="J403" s="862"/>
      <c r="K403" s="852"/>
      <c r="L403" s="405"/>
    </row>
    <row r="404" spans="1:13" s="19" customFormat="1" ht="18.75" customHeight="1" x14ac:dyDescent="0.4">
      <c r="A404" s="485">
        <v>46293</v>
      </c>
      <c r="B404" s="855" t="s">
        <v>137</v>
      </c>
      <c r="C404" s="858" t="s">
        <v>234</v>
      </c>
      <c r="D404" s="859" t="s">
        <v>235</v>
      </c>
      <c r="E404" s="855"/>
      <c r="F404" s="855">
        <v>10</v>
      </c>
      <c r="G404" s="860">
        <v>69400</v>
      </c>
      <c r="H404" s="838">
        <f t="shared" si="9"/>
        <v>694000</v>
      </c>
      <c r="I404" s="861" t="s">
        <v>1572</v>
      </c>
      <c r="J404" s="862"/>
      <c r="K404" s="852"/>
      <c r="L404" s="405"/>
    </row>
    <row r="405" spans="1:13" s="19" customFormat="1" ht="18.75" customHeight="1" x14ac:dyDescent="0.4">
      <c r="A405" s="485">
        <v>46293</v>
      </c>
      <c r="B405" s="855" t="s">
        <v>137</v>
      </c>
      <c r="C405" s="858" t="s">
        <v>234</v>
      </c>
      <c r="D405" s="859" t="s">
        <v>333</v>
      </c>
      <c r="E405" s="855"/>
      <c r="F405" s="855">
        <v>19</v>
      </c>
      <c r="G405" s="860">
        <v>70820</v>
      </c>
      <c r="H405" s="838">
        <f>F405*G405</f>
        <v>1345580</v>
      </c>
      <c r="I405" s="861" t="s">
        <v>1690</v>
      </c>
      <c r="J405" s="855"/>
      <c r="K405" s="852"/>
      <c r="L405" s="405"/>
    </row>
    <row r="406" spans="1:13" s="19" customFormat="1" ht="18.75" customHeight="1" x14ac:dyDescent="0.4">
      <c r="A406" s="485">
        <v>46293</v>
      </c>
      <c r="B406" s="855" t="s">
        <v>137</v>
      </c>
      <c r="C406" s="858" t="s">
        <v>234</v>
      </c>
      <c r="D406" s="859" t="s">
        <v>333</v>
      </c>
      <c r="E406" s="855"/>
      <c r="F406" s="855">
        <v>100</v>
      </c>
      <c r="G406" s="860">
        <v>70820</v>
      </c>
      <c r="H406" s="838">
        <f>F406*G406</f>
        <v>7082000</v>
      </c>
      <c r="I406" s="861" t="s">
        <v>1690</v>
      </c>
      <c r="J406" s="855"/>
      <c r="K406" s="852"/>
      <c r="L406" s="405"/>
    </row>
    <row r="407" spans="1:13" s="19" customFormat="1" ht="18.75" customHeight="1" x14ac:dyDescent="0.4">
      <c r="A407" s="485">
        <v>46293</v>
      </c>
      <c r="B407" s="855" t="s">
        <v>137</v>
      </c>
      <c r="C407" s="858" t="s">
        <v>241</v>
      </c>
      <c r="D407" s="859" t="s">
        <v>471</v>
      </c>
      <c r="E407" s="855"/>
      <c r="F407" s="855">
        <v>1</v>
      </c>
      <c r="G407" s="860">
        <v>272700</v>
      </c>
      <c r="H407" s="838">
        <f t="shared" si="9"/>
        <v>272700</v>
      </c>
      <c r="I407" s="861" t="s">
        <v>1899</v>
      </c>
      <c r="J407" s="862"/>
      <c r="K407" s="852"/>
      <c r="L407" s="405"/>
    </row>
    <row r="408" spans="1:13" s="19" customFormat="1" ht="18.75" customHeight="1" x14ac:dyDescent="0.4">
      <c r="A408" s="485">
        <v>46293</v>
      </c>
      <c r="B408" s="855" t="s">
        <v>137</v>
      </c>
      <c r="C408" s="858" t="s">
        <v>241</v>
      </c>
      <c r="D408" s="859" t="s">
        <v>471</v>
      </c>
      <c r="E408" s="855"/>
      <c r="F408" s="855">
        <v>20</v>
      </c>
      <c r="G408" s="860">
        <v>272700</v>
      </c>
      <c r="H408" s="838">
        <f t="shared" si="9"/>
        <v>5454000</v>
      </c>
      <c r="I408" s="861" t="s">
        <v>1901</v>
      </c>
      <c r="J408" s="862"/>
      <c r="K408" s="852"/>
      <c r="L408" s="405"/>
    </row>
    <row r="409" spans="1:13" s="19" customFormat="1" ht="18.75" customHeight="1" x14ac:dyDescent="0.4">
      <c r="A409" s="485">
        <v>46293</v>
      </c>
      <c r="B409" s="855" t="s">
        <v>137</v>
      </c>
      <c r="C409" s="858" t="s">
        <v>233</v>
      </c>
      <c r="D409" s="859" t="s">
        <v>1900</v>
      </c>
      <c r="E409" s="855"/>
      <c r="F409" s="855">
        <v>87</v>
      </c>
      <c r="G409" s="860">
        <v>116400</v>
      </c>
      <c r="H409" s="838">
        <f t="shared" si="9"/>
        <v>10126800</v>
      </c>
      <c r="I409" s="861" t="s">
        <v>1744</v>
      </c>
      <c r="J409" s="862"/>
      <c r="K409" s="852"/>
      <c r="L409" s="405"/>
    </row>
    <row r="410" spans="1:13" s="19" customFormat="1" ht="18.75" customHeight="1" x14ac:dyDescent="0.4">
      <c r="A410" s="622"/>
      <c r="B410" s="842"/>
      <c r="C410" s="843"/>
      <c r="D410" s="844"/>
      <c r="E410" s="842"/>
      <c r="F410" s="842"/>
      <c r="G410" s="845"/>
      <c r="H410" s="846">
        <f>SUM(H384:H409)</f>
        <v>111949680</v>
      </c>
      <c r="I410" s="847"/>
      <c r="J410" s="848"/>
      <c r="K410" s="849"/>
      <c r="L410" s="696"/>
    </row>
    <row r="411" spans="1:13" s="50" customFormat="1" ht="18.75" customHeight="1" x14ac:dyDescent="0.4">
      <c r="A411" s="941">
        <v>46223</v>
      </c>
      <c r="B411" s="659" t="s">
        <v>140</v>
      </c>
      <c r="C411" s="948" t="s">
        <v>1694</v>
      </c>
      <c r="D411" s="949" t="s">
        <v>246</v>
      </c>
      <c r="E411" s="949" t="s">
        <v>13</v>
      </c>
      <c r="F411" s="657">
        <v>6</v>
      </c>
      <c r="G411" s="657">
        <v>393500</v>
      </c>
      <c r="H411" s="659"/>
      <c r="I411" s="757" t="s">
        <v>1953</v>
      </c>
      <c r="J411" s="68">
        <f>F411*G411</f>
        <v>2361000</v>
      </c>
      <c r="K411" s="67"/>
      <c r="L411" s="67"/>
    </row>
    <row r="412" spans="1:13" s="50" customFormat="1" ht="18.75" customHeight="1" x14ac:dyDescent="0.4">
      <c r="A412" s="941">
        <v>46225</v>
      </c>
      <c r="B412" s="659" t="s">
        <v>140</v>
      </c>
      <c r="C412" s="948" t="s">
        <v>473</v>
      </c>
      <c r="D412" s="949" t="s">
        <v>246</v>
      </c>
      <c r="E412" s="949" t="s">
        <v>13</v>
      </c>
      <c r="F412" s="657">
        <v>3</v>
      </c>
      <c r="G412" s="657">
        <v>393500</v>
      </c>
      <c r="H412" s="659"/>
      <c r="I412" s="757" t="s">
        <v>1953</v>
      </c>
      <c r="J412" s="68">
        <f t="shared" ref="J412:J432" si="10">F412*G412</f>
        <v>1180500</v>
      </c>
      <c r="K412" s="67"/>
      <c r="L412" s="67"/>
    </row>
    <row r="413" spans="1:13" s="50" customFormat="1" ht="18.75" customHeight="1" x14ac:dyDescent="0.4">
      <c r="A413" s="941">
        <v>46265</v>
      </c>
      <c r="B413" s="659" t="s">
        <v>140</v>
      </c>
      <c r="C413" s="657" t="s">
        <v>1694</v>
      </c>
      <c r="D413" s="949" t="s">
        <v>246</v>
      </c>
      <c r="E413" s="949" t="s">
        <v>13</v>
      </c>
      <c r="F413" s="657">
        <v>2</v>
      </c>
      <c r="G413" s="657">
        <v>393500</v>
      </c>
      <c r="H413" s="659"/>
      <c r="I413" s="757" t="s">
        <v>1953</v>
      </c>
      <c r="J413" s="68">
        <f t="shared" si="10"/>
        <v>787000</v>
      </c>
      <c r="K413" s="67"/>
      <c r="L413" s="67"/>
    </row>
    <row r="414" spans="1:13" s="50" customFormat="1" ht="18.75" customHeight="1" x14ac:dyDescent="0.4">
      <c r="A414" s="941">
        <v>46234</v>
      </c>
      <c r="B414" s="937" t="s">
        <v>140</v>
      </c>
      <c r="C414" s="948" t="s">
        <v>539</v>
      </c>
      <c r="D414" s="949" t="s">
        <v>242</v>
      </c>
      <c r="E414" s="949" t="s">
        <v>13</v>
      </c>
      <c r="F414" s="657">
        <v>1</v>
      </c>
      <c r="G414" s="657">
        <v>175300</v>
      </c>
      <c r="H414" s="659"/>
      <c r="I414" s="757" t="s">
        <v>1953</v>
      </c>
      <c r="J414" s="68">
        <f t="shared" si="10"/>
        <v>175300</v>
      </c>
      <c r="K414" s="67"/>
      <c r="L414" s="67"/>
    </row>
    <row r="415" spans="1:13" s="50" customFormat="1" ht="18.600000000000001" customHeight="1" x14ac:dyDescent="0.4">
      <c r="A415" s="941">
        <v>46265</v>
      </c>
      <c r="B415" s="659" t="s">
        <v>140</v>
      </c>
      <c r="C415" s="657" t="s">
        <v>1803</v>
      </c>
      <c r="D415" s="949" t="s">
        <v>597</v>
      </c>
      <c r="E415" s="949" t="s">
        <v>13</v>
      </c>
      <c r="F415" s="657">
        <v>4</v>
      </c>
      <c r="G415" s="657">
        <v>423620</v>
      </c>
      <c r="H415" s="659"/>
      <c r="I415" s="757" t="s">
        <v>1953</v>
      </c>
      <c r="J415" s="68">
        <f t="shared" si="10"/>
        <v>1694480</v>
      </c>
      <c r="K415" s="67"/>
      <c r="L415" s="67"/>
    </row>
    <row r="416" spans="1:13" s="3" customFormat="1" ht="18.75" customHeight="1" x14ac:dyDescent="0.4">
      <c r="A416" s="950">
        <v>46115</v>
      </c>
      <c r="B416" s="951" t="s">
        <v>140</v>
      </c>
      <c r="C416" s="943" t="s">
        <v>1135</v>
      </c>
      <c r="D416" s="951" t="s">
        <v>1136</v>
      </c>
      <c r="E416" s="951" t="s">
        <v>13</v>
      </c>
      <c r="F416" s="952">
        <v>1</v>
      </c>
      <c r="G416" s="948">
        <v>193500</v>
      </c>
      <c r="H416" s="659"/>
      <c r="I416" s="757" t="s">
        <v>1953</v>
      </c>
      <c r="J416" s="68">
        <f t="shared" si="10"/>
        <v>193500</v>
      </c>
      <c r="K416" s="144"/>
      <c r="L416" s="144"/>
      <c r="M416" s="89"/>
    </row>
    <row r="417" spans="1:12" s="50" customFormat="1" ht="18.75" customHeight="1" x14ac:dyDescent="0.4">
      <c r="A417" s="953">
        <v>46183</v>
      </c>
      <c r="B417" s="951" t="s">
        <v>140</v>
      </c>
      <c r="C417" s="954" t="s">
        <v>773</v>
      </c>
      <c r="D417" s="955" t="s">
        <v>774</v>
      </c>
      <c r="E417" s="955" t="s">
        <v>775</v>
      </c>
      <c r="F417" s="952">
        <v>12</v>
      </c>
      <c r="G417" s="952">
        <v>69700</v>
      </c>
      <c r="H417" s="948"/>
      <c r="I417" s="757" t="s">
        <v>1953</v>
      </c>
      <c r="J417" s="68">
        <f t="shared" si="10"/>
        <v>836400</v>
      </c>
      <c r="K417" s="67"/>
      <c r="L417" s="67"/>
    </row>
    <row r="418" spans="1:12" s="113" customFormat="1" ht="20.25" customHeight="1" x14ac:dyDescent="0.4">
      <c r="A418" s="956"/>
      <c r="B418" s="659" t="s">
        <v>140</v>
      </c>
      <c r="C418" s="943" t="s">
        <v>474</v>
      </c>
      <c r="D418" s="951" t="s">
        <v>475</v>
      </c>
      <c r="E418" s="951" t="s">
        <v>11</v>
      </c>
      <c r="F418" s="656">
        <v>10</v>
      </c>
      <c r="G418" s="656">
        <v>652000</v>
      </c>
      <c r="H418" s="657"/>
      <c r="I418" s="757" t="s">
        <v>1953</v>
      </c>
      <c r="J418" s="68">
        <f t="shared" si="10"/>
        <v>6520000</v>
      </c>
      <c r="K418" s="111"/>
      <c r="L418" s="25"/>
    </row>
    <row r="419" spans="1:12" s="261" customFormat="1" ht="18.600000000000001" customHeight="1" x14ac:dyDescent="0.4">
      <c r="A419" s="956">
        <v>45993</v>
      </c>
      <c r="B419" s="957" t="s">
        <v>140</v>
      </c>
      <c r="C419" s="958" t="s">
        <v>1239</v>
      </c>
      <c r="D419" s="959" t="s">
        <v>475</v>
      </c>
      <c r="E419" s="959" t="s">
        <v>11</v>
      </c>
      <c r="F419" s="958">
        <v>3</v>
      </c>
      <c r="G419" s="958">
        <v>652000</v>
      </c>
      <c r="H419" s="958"/>
      <c r="I419" s="757" t="s">
        <v>1953</v>
      </c>
      <c r="J419" s="68">
        <f t="shared" si="10"/>
        <v>1956000</v>
      </c>
      <c r="K419" s="258"/>
      <c r="L419" s="258"/>
    </row>
    <row r="420" spans="1:12" s="50" customFormat="1" ht="18.75" customHeight="1" x14ac:dyDescent="0.4">
      <c r="A420" s="953">
        <v>46076</v>
      </c>
      <c r="B420" s="951" t="s">
        <v>140</v>
      </c>
      <c r="C420" s="943" t="s">
        <v>474</v>
      </c>
      <c r="D420" s="951" t="s">
        <v>475</v>
      </c>
      <c r="E420" s="951" t="s">
        <v>11</v>
      </c>
      <c r="F420" s="656">
        <v>6</v>
      </c>
      <c r="G420" s="657">
        <v>652000</v>
      </c>
      <c r="H420" s="659"/>
      <c r="I420" s="757" t="s">
        <v>1953</v>
      </c>
      <c r="J420" s="68">
        <f t="shared" si="10"/>
        <v>3912000</v>
      </c>
      <c r="K420" s="67"/>
      <c r="L420" s="67"/>
    </row>
    <row r="421" spans="1:12" s="50" customFormat="1" ht="18.75" customHeight="1" x14ac:dyDescent="0.4">
      <c r="A421" s="953">
        <v>46111</v>
      </c>
      <c r="B421" s="951" t="s">
        <v>140</v>
      </c>
      <c r="C421" s="943" t="s">
        <v>474</v>
      </c>
      <c r="D421" s="951" t="s">
        <v>475</v>
      </c>
      <c r="E421" s="951" t="s">
        <v>11</v>
      </c>
      <c r="F421" s="656">
        <v>3</v>
      </c>
      <c r="G421" s="657">
        <v>652000</v>
      </c>
      <c r="H421" s="659"/>
      <c r="I421" s="757" t="s">
        <v>1953</v>
      </c>
      <c r="J421" s="68">
        <f t="shared" si="10"/>
        <v>1956000</v>
      </c>
      <c r="K421" s="67"/>
      <c r="L421" s="67"/>
    </row>
    <row r="422" spans="1:12" s="835" customFormat="1" ht="18.75" customHeight="1" x14ac:dyDescent="0.4">
      <c r="A422" s="953">
        <v>46293</v>
      </c>
      <c r="B422" s="937" t="s">
        <v>140</v>
      </c>
      <c r="C422" s="930" t="s">
        <v>474</v>
      </c>
      <c r="D422" s="939" t="s">
        <v>475</v>
      </c>
      <c r="E422" s="960" t="s">
        <v>11</v>
      </c>
      <c r="F422" s="933">
        <v>10</v>
      </c>
      <c r="G422" s="933">
        <v>652000</v>
      </c>
      <c r="H422" s="934"/>
      <c r="I422" s="757" t="s">
        <v>1953</v>
      </c>
      <c r="J422" s="68">
        <f t="shared" si="10"/>
        <v>6520000</v>
      </c>
      <c r="K422" s="878"/>
      <c r="L422" s="878"/>
    </row>
    <row r="423" spans="1:12" s="113" customFormat="1" ht="20.25" customHeight="1" x14ac:dyDescent="0.4">
      <c r="A423" s="956"/>
      <c r="B423" s="659" t="s">
        <v>140</v>
      </c>
      <c r="C423" s="943" t="s">
        <v>540</v>
      </c>
      <c r="D423" s="951" t="s">
        <v>541</v>
      </c>
      <c r="E423" s="951" t="s">
        <v>13</v>
      </c>
      <c r="F423" s="656">
        <v>3</v>
      </c>
      <c r="G423" s="656">
        <v>102000</v>
      </c>
      <c r="H423" s="657"/>
      <c r="I423" s="757" t="s">
        <v>1953</v>
      </c>
      <c r="J423" s="68">
        <f t="shared" si="10"/>
        <v>306000</v>
      </c>
      <c r="K423" s="111"/>
      <c r="L423" s="25"/>
    </row>
    <row r="424" spans="1:12" s="113" customFormat="1" ht="20.25" customHeight="1" x14ac:dyDescent="0.4">
      <c r="A424" s="956"/>
      <c r="B424" s="659" t="s">
        <v>140</v>
      </c>
      <c r="C424" s="943" t="s">
        <v>540</v>
      </c>
      <c r="D424" s="951" t="s">
        <v>541</v>
      </c>
      <c r="E424" s="951" t="s">
        <v>13</v>
      </c>
      <c r="F424" s="656">
        <v>3</v>
      </c>
      <c r="G424" s="656">
        <v>102000</v>
      </c>
      <c r="H424" s="657"/>
      <c r="I424" s="757" t="s">
        <v>1953</v>
      </c>
      <c r="J424" s="68">
        <f t="shared" si="10"/>
        <v>306000</v>
      </c>
      <c r="K424" s="111"/>
      <c r="L424" s="25"/>
    </row>
    <row r="425" spans="1:12" s="50" customFormat="1" ht="18.75" customHeight="1" x14ac:dyDescent="0.4">
      <c r="A425" s="953">
        <v>46139</v>
      </c>
      <c r="B425" s="937" t="s">
        <v>140</v>
      </c>
      <c r="C425" s="942" t="s">
        <v>553</v>
      </c>
      <c r="D425" s="939" t="s">
        <v>244</v>
      </c>
      <c r="E425" s="939" t="s">
        <v>13</v>
      </c>
      <c r="F425" s="961">
        <v>5</v>
      </c>
      <c r="G425" s="961">
        <v>973200</v>
      </c>
      <c r="H425" s="659"/>
      <c r="I425" s="757" t="s">
        <v>1953</v>
      </c>
      <c r="J425" s="68">
        <f t="shared" si="10"/>
        <v>4866000</v>
      </c>
      <c r="K425" s="67"/>
      <c r="L425" s="67"/>
    </row>
    <row r="426" spans="1:12" customFormat="1" ht="17.399999999999999" x14ac:dyDescent="0.4">
      <c r="A426" s="941">
        <v>46212</v>
      </c>
      <c r="B426" s="937" t="s">
        <v>140</v>
      </c>
      <c r="C426" s="948" t="s">
        <v>554</v>
      </c>
      <c r="D426" s="939" t="s">
        <v>245</v>
      </c>
      <c r="E426" s="939" t="s">
        <v>13</v>
      </c>
      <c r="F426" s="961">
        <v>1</v>
      </c>
      <c r="G426" s="659">
        <v>630500</v>
      </c>
      <c r="H426" s="659"/>
      <c r="I426" s="757" t="s">
        <v>1953</v>
      </c>
      <c r="J426" s="68">
        <f t="shared" si="10"/>
        <v>630500</v>
      </c>
      <c r="K426" s="67"/>
      <c r="L426" s="67"/>
    </row>
    <row r="427" spans="1:12" s="50" customFormat="1" ht="18.75" customHeight="1" x14ac:dyDescent="0.4">
      <c r="A427" s="953">
        <v>46195</v>
      </c>
      <c r="B427" s="659" t="s">
        <v>140</v>
      </c>
      <c r="C427" s="657" t="s">
        <v>580</v>
      </c>
      <c r="D427" s="949" t="s">
        <v>581</v>
      </c>
      <c r="E427" s="949" t="s">
        <v>13</v>
      </c>
      <c r="F427" s="657">
        <v>2</v>
      </c>
      <c r="G427" s="657">
        <v>984000</v>
      </c>
      <c r="H427" s="948"/>
      <c r="I427" s="757" t="s">
        <v>1953</v>
      </c>
      <c r="J427" s="68">
        <f t="shared" si="10"/>
        <v>1968000</v>
      </c>
      <c r="K427" s="67"/>
      <c r="L427" s="67"/>
    </row>
    <row r="428" spans="1:12" s="50" customFormat="1" ht="18.75" customHeight="1" x14ac:dyDescent="0.4">
      <c r="A428" s="953">
        <v>46199</v>
      </c>
      <c r="B428" s="937" t="s">
        <v>140</v>
      </c>
      <c r="C428" s="657" t="s">
        <v>580</v>
      </c>
      <c r="D428" s="949" t="s">
        <v>581</v>
      </c>
      <c r="E428" s="949" t="s">
        <v>13</v>
      </c>
      <c r="F428" s="657">
        <v>2</v>
      </c>
      <c r="G428" s="657">
        <v>984000</v>
      </c>
      <c r="H428" s="948"/>
      <c r="I428" s="757" t="s">
        <v>1953</v>
      </c>
      <c r="J428" s="68">
        <f t="shared" si="10"/>
        <v>1968000</v>
      </c>
      <c r="K428" s="67"/>
      <c r="L428" s="67"/>
    </row>
    <row r="429" spans="1:12" customFormat="1" ht="17.399999999999999" x14ac:dyDescent="0.4">
      <c r="A429" s="941">
        <v>46218</v>
      </c>
      <c r="B429" s="951" t="s">
        <v>140</v>
      </c>
      <c r="C429" s="943" t="s">
        <v>1576</v>
      </c>
      <c r="D429" s="951" t="s">
        <v>772</v>
      </c>
      <c r="E429" s="951" t="s">
        <v>13</v>
      </c>
      <c r="F429" s="656">
        <v>1</v>
      </c>
      <c r="G429" s="657">
        <v>633000</v>
      </c>
      <c r="H429" s="659"/>
      <c r="I429" s="757" t="s">
        <v>1953</v>
      </c>
      <c r="J429" s="68">
        <f t="shared" si="10"/>
        <v>633000</v>
      </c>
      <c r="K429" s="67"/>
      <c r="L429" s="67"/>
    </row>
    <row r="430" spans="1:12" customFormat="1" ht="17.399999999999999" x14ac:dyDescent="0.4">
      <c r="A430" s="953">
        <v>46154</v>
      </c>
      <c r="B430" s="937" t="s">
        <v>140</v>
      </c>
      <c r="C430" s="942" t="s">
        <v>1448</v>
      </c>
      <c r="D430" s="939" t="s">
        <v>243</v>
      </c>
      <c r="E430" s="939" t="s">
        <v>13</v>
      </c>
      <c r="F430" s="961">
        <v>1</v>
      </c>
      <c r="G430" s="658">
        <v>202000</v>
      </c>
      <c r="H430" s="659"/>
      <c r="I430" s="757" t="s">
        <v>1953</v>
      </c>
      <c r="J430" s="68">
        <f t="shared" si="10"/>
        <v>202000</v>
      </c>
      <c r="K430" s="67"/>
      <c r="L430" s="67"/>
    </row>
    <row r="431" spans="1:12" s="50" customFormat="1" ht="18.75" customHeight="1" x14ac:dyDescent="0.4">
      <c r="A431" s="941">
        <v>46252</v>
      </c>
      <c r="B431" s="937" t="s">
        <v>140</v>
      </c>
      <c r="C431" s="657" t="s">
        <v>1448</v>
      </c>
      <c r="D431" s="939" t="s">
        <v>243</v>
      </c>
      <c r="E431" s="939" t="s">
        <v>13</v>
      </c>
      <c r="F431" s="961">
        <v>7</v>
      </c>
      <c r="G431" s="659">
        <v>202000</v>
      </c>
      <c r="H431" s="659"/>
      <c r="I431" s="757" t="s">
        <v>1953</v>
      </c>
      <c r="J431" s="68">
        <f t="shared" si="10"/>
        <v>1414000</v>
      </c>
      <c r="K431" s="67"/>
      <c r="L431" s="67"/>
    </row>
    <row r="432" spans="1:12" s="50" customFormat="1" ht="18" customHeight="1" x14ac:dyDescent="0.4">
      <c r="A432" s="953">
        <v>46174</v>
      </c>
      <c r="B432" s="937" t="s">
        <v>140</v>
      </c>
      <c r="C432" s="942" t="s">
        <v>1448</v>
      </c>
      <c r="D432" s="939" t="s">
        <v>243</v>
      </c>
      <c r="E432" s="939" t="s">
        <v>13</v>
      </c>
      <c r="F432" s="961">
        <v>1</v>
      </c>
      <c r="G432" s="658">
        <v>202000</v>
      </c>
      <c r="H432" s="948"/>
      <c r="I432" s="757" t="s">
        <v>1953</v>
      </c>
      <c r="J432" s="68">
        <f t="shared" si="10"/>
        <v>202000</v>
      </c>
      <c r="K432" s="67"/>
      <c r="L432" s="67"/>
    </row>
    <row r="433" spans="1:13" s="50" customFormat="1" ht="18.75" customHeight="1" x14ac:dyDescent="0.4">
      <c r="A433" s="953">
        <v>46139</v>
      </c>
      <c r="B433" s="951" t="s">
        <v>140</v>
      </c>
      <c r="C433" s="943" t="s">
        <v>473</v>
      </c>
      <c r="D433" s="951" t="s">
        <v>777</v>
      </c>
      <c r="E433" s="951" t="s">
        <v>13</v>
      </c>
      <c r="F433" s="656">
        <v>6</v>
      </c>
      <c r="G433" s="657">
        <v>437172</v>
      </c>
      <c r="H433" s="659">
        <f>F433*G433</f>
        <v>2623032</v>
      </c>
      <c r="I433" s="883" t="s">
        <v>1950</v>
      </c>
      <c r="J433" s="67"/>
      <c r="K433" s="67"/>
      <c r="L433" s="67"/>
    </row>
    <row r="434" spans="1:13" s="50" customFormat="1" ht="18.75" customHeight="1" x14ac:dyDescent="0.4">
      <c r="A434" s="953">
        <v>46135</v>
      </c>
      <c r="B434" s="951" t="s">
        <v>140</v>
      </c>
      <c r="C434" s="943" t="s">
        <v>473</v>
      </c>
      <c r="D434" s="951" t="s">
        <v>777</v>
      </c>
      <c r="E434" s="951" t="s">
        <v>13</v>
      </c>
      <c r="F434" s="656">
        <v>3</v>
      </c>
      <c r="G434" s="657">
        <v>437172</v>
      </c>
      <c r="H434" s="659">
        <f>F434*G434</f>
        <v>1311516</v>
      </c>
      <c r="I434" s="883" t="s">
        <v>1950</v>
      </c>
      <c r="J434" s="67"/>
      <c r="K434" s="67"/>
      <c r="L434" s="67"/>
    </row>
    <row r="435" spans="1:13" s="50" customFormat="1" ht="18.75" customHeight="1" x14ac:dyDescent="0.4">
      <c r="A435" s="941">
        <v>46265</v>
      </c>
      <c r="B435" s="659" t="s">
        <v>140</v>
      </c>
      <c r="C435" s="657" t="s">
        <v>1694</v>
      </c>
      <c r="D435" s="949" t="s">
        <v>246</v>
      </c>
      <c r="E435" s="949" t="s">
        <v>13</v>
      </c>
      <c r="F435" s="657">
        <v>3</v>
      </c>
      <c r="G435" s="657">
        <v>437172</v>
      </c>
      <c r="H435" s="659">
        <f t="shared" ref="H435:H498" si="11">F435*G435</f>
        <v>1311516</v>
      </c>
      <c r="I435" s="883" t="s">
        <v>1950</v>
      </c>
      <c r="J435" s="67"/>
      <c r="K435" s="67"/>
      <c r="L435" s="67"/>
    </row>
    <row r="436" spans="1:13" s="113" customFormat="1" ht="20.25" customHeight="1" x14ac:dyDescent="0.4">
      <c r="A436" s="956"/>
      <c r="B436" s="659" t="s">
        <v>140</v>
      </c>
      <c r="C436" s="943" t="s">
        <v>540</v>
      </c>
      <c r="D436" s="951" t="s">
        <v>541</v>
      </c>
      <c r="E436" s="951" t="s">
        <v>13</v>
      </c>
      <c r="F436" s="656">
        <v>4</v>
      </c>
      <c r="G436" s="656">
        <v>111954</v>
      </c>
      <c r="H436" s="657">
        <f t="shared" si="11"/>
        <v>447816</v>
      </c>
      <c r="I436" s="883" t="s">
        <v>1950</v>
      </c>
      <c r="J436" s="111"/>
      <c r="K436" s="111"/>
      <c r="L436" s="25"/>
    </row>
    <row r="437" spans="1:13" s="50" customFormat="1" ht="18.75" customHeight="1" x14ac:dyDescent="0.4">
      <c r="A437" s="953">
        <v>46076</v>
      </c>
      <c r="B437" s="951" t="s">
        <v>140</v>
      </c>
      <c r="C437" s="943" t="s">
        <v>540</v>
      </c>
      <c r="D437" s="951" t="s">
        <v>541</v>
      </c>
      <c r="E437" s="951" t="s">
        <v>343</v>
      </c>
      <c r="F437" s="656">
        <v>4</v>
      </c>
      <c r="G437" s="656">
        <v>111954</v>
      </c>
      <c r="H437" s="659">
        <f t="shared" si="11"/>
        <v>447816</v>
      </c>
      <c r="I437" s="883" t="s">
        <v>1950</v>
      </c>
      <c r="J437" s="67"/>
      <c r="K437" s="67"/>
      <c r="L437" s="67"/>
    </row>
    <row r="438" spans="1:13" customFormat="1" ht="17.399999999999999" x14ac:dyDescent="0.4">
      <c r="A438" s="953">
        <v>46154</v>
      </c>
      <c r="B438" s="937" t="s">
        <v>140</v>
      </c>
      <c r="C438" s="943" t="s">
        <v>540</v>
      </c>
      <c r="D438" s="951" t="s">
        <v>541</v>
      </c>
      <c r="E438" s="951" t="s">
        <v>343</v>
      </c>
      <c r="F438" s="656">
        <v>1</v>
      </c>
      <c r="G438" s="656">
        <v>111954</v>
      </c>
      <c r="H438" s="659">
        <f t="shared" ref="H438:H443" si="12">F438*G438</f>
        <v>111954</v>
      </c>
      <c r="I438" s="883" t="s">
        <v>1950</v>
      </c>
      <c r="J438" s="67"/>
      <c r="K438" s="67"/>
      <c r="L438" s="67"/>
    </row>
    <row r="439" spans="1:13" customFormat="1" ht="17.399999999999999" x14ac:dyDescent="0.4">
      <c r="A439" s="953">
        <v>46161</v>
      </c>
      <c r="B439" s="937" t="s">
        <v>140</v>
      </c>
      <c r="C439" s="943" t="s">
        <v>540</v>
      </c>
      <c r="D439" s="951" t="s">
        <v>1453</v>
      </c>
      <c r="E439" s="951" t="s">
        <v>343</v>
      </c>
      <c r="F439" s="656">
        <v>2</v>
      </c>
      <c r="G439" s="656">
        <v>111954</v>
      </c>
      <c r="H439" s="659">
        <f t="shared" si="12"/>
        <v>223908</v>
      </c>
      <c r="I439" s="883" t="s">
        <v>1950</v>
      </c>
      <c r="J439" s="59"/>
      <c r="K439" s="67"/>
      <c r="L439" s="59"/>
    </row>
    <row r="440" spans="1:13" s="50" customFormat="1" ht="18.75" customHeight="1" x14ac:dyDescent="0.4">
      <c r="A440" s="953">
        <v>46199</v>
      </c>
      <c r="B440" s="937" t="s">
        <v>140</v>
      </c>
      <c r="C440" s="657" t="s">
        <v>580</v>
      </c>
      <c r="D440" s="949" t="s">
        <v>581</v>
      </c>
      <c r="E440" s="949" t="s">
        <v>13</v>
      </c>
      <c r="F440" s="657">
        <v>1</v>
      </c>
      <c r="G440" s="657">
        <v>1095240</v>
      </c>
      <c r="H440" s="948">
        <f t="shared" si="12"/>
        <v>1095240</v>
      </c>
      <c r="I440" s="757" t="s">
        <v>1849</v>
      </c>
      <c r="J440" s="67"/>
      <c r="K440" s="67"/>
      <c r="L440" s="67"/>
    </row>
    <row r="441" spans="1:13" customFormat="1" ht="16.95" customHeight="1" x14ac:dyDescent="0.4">
      <c r="A441" s="941">
        <v>46216</v>
      </c>
      <c r="B441" s="659" t="s">
        <v>140</v>
      </c>
      <c r="C441" s="948" t="s">
        <v>1456</v>
      </c>
      <c r="D441" s="949" t="s">
        <v>581</v>
      </c>
      <c r="E441" s="949" t="s">
        <v>13</v>
      </c>
      <c r="F441" s="657">
        <v>4</v>
      </c>
      <c r="G441" s="657">
        <v>1095240</v>
      </c>
      <c r="H441" s="659">
        <f t="shared" si="12"/>
        <v>4380960</v>
      </c>
      <c r="I441" s="757" t="s">
        <v>1849</v>
      </c>
      <c r="J441" s="67"/>
      <c r="K441" s="67"/>
      <c r="L441" s="67"/>
    </row>
    <row r="442" spans="1:13" s="50" customFormat="1" ht="18.75" customHeight="1" x14ac:dyDescent="0.4">
      <c r="A442" s="941">
        <v>46219</v>
      </c>
      <c r="B442" s="659" t="s">
        <v>140</v>
      </c>
      <c r="C442" s="948" t="s">
        <v>1456</v>
      </c>
      <c r="D442" s="949" t="s">
        <v>581</v>
      </c>
      <c r="E442" s="949" t="s">
        <v>13</v>
      </c>
      <c r="F442" s="657">
        <v>3</v>
      </c>
      <c r="G442" s="657">
        <v>1095240</v>
      </c>
      <c r="H442" s="659">
        <f t="shared" si="12"/>
        <v>3285720</v>
      </c>
      <c r="I442" s="757" t="s">
        <v>1849</v>
      </c>
      <c r="J442" s="67"/>
      <c r="K442" s="67"/>
      <c r="L442" s="67"/>
    </row>
    <row r="443" spans="1:13" s="835" customFormat="1" ht="18.75" customHeight="1" x14ac:dyDescent="0.4">
      <c r="A443" s="485">
        <v>46293</v>
      </c>
      <c r="B443" s="5" t="s">
        <v>140</v>
      </c>
      <c r="C443" s="858" t="s">
        <v>474</v>
      </c>
      <c r="D443" s="1" t="s">
        <v>475</v>
      </c>
      <c r="E443" s="871" t="s">
        <v>11</v>
      </c>
      <c r="F443" s="860">
        <v>5</v>
      </c>
      <c r="G443" s="860">
        <v>721381</v>
      </c>
      <c r="H443" s="838">
        <f t="shared" si="12"/>
        <v>3606905</v>
      </c>
      <c r="I443" s="67" t="s">
        <v>1931</v>
      </c>
      <c r="J443" s="878"/>
      <c r="K443" s="878"/>
      <c r="L443" s="878"/>
    </row>
    <row r="444" spans="1:13" s="50" customFormat="1" ht="18.75" customHeight="1" x14ac:dyDescent="0.4">
      <c r="A444" s="485">
        <v>46100</v>
      </c>
      <c r="B444" s="5" t="s">
        <v>140</v>
      </c>
      <c r="C444" s="6" t="s">
        <v>476</v>
      </c>
      <c r="D444" s="1" t="s">
        <v>477</v>
      </c>
      <c r="E444" s="1" t="s">
        <v>11</v>
      </c>
      <c r="F444" s="36">
        <v>2</v>
      </c>
      <c r="G444" s="36">
        <v>271000</v>
      </c>
      <c r="H444" s="7">
        <f t="shared" si="11"/>
        <v>542000</v>
      </c>
      <c r="I444" s="67" t="s">
        <v>1931</v>
      </c>
      <c r="J444" s="67"/>
      <c r="K444" s="67"/>
      <c r="L444" s="67"/>
    </row>
    <row r="445" spans="1:13" s="3" customFormat="1" ht="18.75" customHeight="1" x14ac:dyDescent="0.4">
      <c r="A445" s="482">
        <v>46115</v>
      </c>
      <c r="B445" s="110" t="s">
        <v>140</v>
      </c>
      <c r="C445" s="29" t="s">
        <v>1135</v>
      </c>
      <c r="D445" s="110" t="s">
        <v>1136</v>
      </c>
      <c r="E445" s="110" t="s">
        <v>13</v>
      </c>
      <c r="F445" s="533">
        <v>5</v>
      </c>
      <c r="G445" s="525">
        <v>193500</v>
      </c>
      <c r="H445" s="7">
        <f t="shared" si="11"/>
        <v>967500</v>
      </c>
      <c r="I445" s="67" t="s">
        <v>1931</v>
      </c>
      <c r="J445" s="144"/>
      <c r="K445" s="144"/>
      <c r="L445" s="144"/>
      <c r="M445" s="89"/>
    </row>
    <row r="446" spans="1:13" s="50" customFormat="1" ht="18.75" customHeight="1" x14ac:dyDescent="0.4">
      <c r="A446" s="482">
        <v>46115</v>
      </c>
      <c r="B446" s="5" t="s">
        <v>140</v>
      </c>
      <c r="C446" s="6" t="s">
        <v>553</v>
      </c>
      <c r="D446" s="1" t="s">
        <v>244</v>
      </c>
      <c r="E446" s="1" t="s">
        <v>13</v>
      </c>
      <c r="F446" s="36">
        <v>1</v>
      </c>
      <c r="G446" s="36">
        <v>973200</v>
      </c>
      <c r="H446" s="7">
        <f t="shared" si="11"/>
        <v>973200</v>
      </c>
      <c r="I446" s="67" t="s">
        <v>1931</v>
      </c>
      <c r="J446" s="67"/>
      <c r="K446" s="67"/>
      <c r="L446" s="67"/>
    </row>
    <row r="447" spans="1:13" s="50" customFormat="1" ht="18.75" customHeight="1" x14ac:dyDescent="0.4">
      <c r="A447" s="482">
        <v>46115</v>
      </c>
      <c r="B447" s="5" t="s">
        <v>140</v>
      </c>
      <c r="C447" s="6" t="s">
        <v>1135</v>
      </c>
      <c r="D447" s="1" t="s">
        <v>1136</v>
      </c>
      <c r="E447" s="1" t="s">
        <v>13</v>
      </c>
      <c r="F447" s="36">
        <v>5</v>
      </c>
      <c r="G447" s="7">
        <v>193500</v>
      </c>
      <c r="H447" s="7">
        <f t="shared" si="11"/>
        <v>967500</v>
      </c>
      <c r="I447" s="67" t="s">
        <v>1931</v>
      </c>
      <c r="J447" s="67"/>
      <c r="K447" s="67"/>
      <c r="L447" s="67"/>
    </row>
    <row r="448" spans="1:13" s="50" customFormat="1" ht="24" customHeight="1" x14ac:dyDescent="0.4">
      <c r="A448" s="485">
        <v>46125</v>
      </c>
      <c r="B448" s="5" t="s">
        <v>140</v>
      </c>
      <c r="C448" s="6" t="s">
        <v>553</v>
      </c>
      <c r="D448" s="1" t="s">
        <v>244</v>
      </c>
      <c r="E448" s="1" t="s">
        <v>13</v>
      </c>
      <c r="F448" s="36">
        <v>14</v>
      </c>
      <c r="G448" s="36">
        <v>973200</v>
      </c>
      <c r="H448" s="7">
        <f t="shared" si="11"/>
        <v>13624800</v>
      </c>
      <c r="I448" s="67" t="s">
        <v>1931</v>
      </c>
      <c r="J448" s="67"/>
      <c r="K448" s="67"/>
      <c r="L448" s="67"/>
    </row>
    <row r="449" spans="1:12" s="50" customFormat="1" ht="18.75" customHeight="1" x14ac:dyDescent="0.4">
      <c r="A449" s="485">
        <v>46135</v>
      </c>
      <c r="B449" s="5" t="s">
        <v>140</v>
      </c>
      <c r="C449" s="6" t="s">
        <v>1135</v>
      </c>
      <c r="D449" s="1" t="s">
        <v>1136</v>
      </c>
      <c r="E449" s="1" t="s">
        <v>13</v>
      </c>
      <c r="F449" s="36">
        <v>3</v>
      </c>
      <c r="G449" s="7">
        <v>193500</v>
      </c>
      <c r="H449" s="7">
        <f t="shared" si="11"/>
        <v>580500</v>
      </c>
      <c r="I449" s="67" t="s">
        <v>1931</v>
      </c>
      <c r="J449" s="67"/>
      <c r="K449" s="67"/>
      <c r="L449" s="67"/>
    </row>
    <row r="450" spans="1:12" customFormat="1" ht="17.399999999999999" x14ac:dyDescent="0.4">
      <c r="A450" s="485">
        <v>46149</v>
      </c>
      <c r="B450" s="5" t="s">
        <v>140</v>
      </c>
      <c r="C450" s="80" t="s">
        <v>1449</v>
      </c>
      <c r="D450" s="42" t="s">
        <v>248</v>
      </c>
      <c r="E450" s="1" t="s">
        <v>13</v>
      </c>
      <c r="F450" s="36">
        <v>1</v>
      </c>
      <c r="G450" s="7">
        <v>227500</v>
      </c>
      <c r="H450" s="7">
        <f>F450*G450</f>
        <v>227500</v>
      </c>
      <c r="I450" s="67" t="s">
        <v>1931</v>
      </c>
      <c r="J450" s="67"/>
      <c r="K450" s="67"/>
      <c r="L450" s="409"/>
    </row>
    <row r="451" spans="1:12" customFormat="1" ht="17.399999999999999" x14ac:dyDescent="0.4">
      <c r="A451" s="485">
        <v>46149</v>
      </c>
      <c r="B451" s="5" t="s">
        <v>140</v>
      </c>
      <c r="C451" s="6" t="s">
        <v>641</v>
      </c>
      <c r="D451" s="1" t="s">
        <v>244</v>
      </c>
      <c r="E451" s="1" t="s">
        <v>13</v>
      </c>
      <c r="F451" s="36">
        <v>6</v>
      </c>
      <c r="G451" s="36">
        <v>973200</v>
      </c>
      <c r="H451" s="7">
        <f>F451*G451</f>
        <v>5839200</v>
      </c>
      <c r="I451" s="67" t="s">
        <v>1931</v>
      </c>
      <c r="J451" s="67"/>
      <c r="K451" s="67"/>
      <c r="L451" s="67"/>
    </row>
    <row r="452" spans="1:12" customFormat="1" ht="17.399999999999999" x14ac:dyDescent="0.4">
      <c r="A452" s="485">
        <v>46149</v>
      </c>
      <c r="B452" s="5" t="s">
        <v>140</v>
      </c>
      <c r="C452" s="80" t="s">
        <v>1449</v>
      </c>
      <c r="D452" s="42" t="s">
        <v>248</v>
      </c>
      <c r="E452" s="1" t="s">
        <v>13</v>
      </c>
      <c r="F452" s="36">
        <v>6</v>
      </c>
      <c r="G452" s="7">
        <v>227500</v>
      </c>
      <c r="H452" s="7">
        <f t="shared" si="11"/>
        <v>1365000</v>
      </c>
      <c r="I452" s="67" t="s">
        <v>1931</v>
      </c>
      <c r="J452" s="67"/>
      <c r="K452" s="67"/>
      <c r="L452" s="67"/>
    </row>
    <row r="453" spans="1:12" customFormat="1" ht="17.399999999999999" x14ac:dyDescent="0.4">
      <c r="A453" s="485">
        <v>46154</v>
      </c>
      <c r="B453" s="5" t="s">
        <v>140</v>
      </c>
      <c r="C453" s="527" t="s">
        <v>595</v>
      </c>
      <c r="D453" s="42" t="s">
        <v>247</v>
      </c>
      <c r="E453" s="1" t="s">
        <v>13</v>
      </c>
      <c r="F453" s="36">
        <v>5</v>
      </c>
      <c r="G453" s="7">
        <v>56100</v>
      </c>
      <c r="H453" s="7">
        <f t="shared" si="11"/>
        <v>280500</v>
      </c>
      <c r="I453" s="67" t="s">
        <v>1931</v>
      </c>
      <c r="J453" s="67"/>
      <c r="K453" s="67"/>
      <c r="L453" s="67"/>
    </row>
    <row r="454" spans="1:12" customFormat="1" ht="17.399999999999999" x14ac:dyDescent="0.4">
      <c r="A454" s="485">
        <v>46161</v>
      </c>
      <c r="B454" s="5" t="s">
        <v>140</v>
      </c>
      <c r="C454" s="29" t="s">
        <v>540</v>
      </c>
      <c r="D454" s="110" t="s">
        <v>1453</v>
      </c>
      <c r="E454" s="110" t="s">
        <v>343</v>
      </c>
      <c r="F454" s="81">
        <v>2</v>
      </c>
      <c r="G454" s="49">
        <v>102000</v>
      </c>
      <c r="H454" s="7">
        <f t="shared" si="11"/>
        <v>204000</v>
      </c>
      <c r="I454" s="67" t="s">
        <v>1931</v>
      </c>
      <c r="J454" s="59"/>
      <c r="K454" s="67"/>
      <c r="L454" s="59"/>
    </row>
    <row r="455" spans="1:12" customFormat="1" ht="17.399999999999999" x14ac:dyDescent="0.4">
      <c r="A455" s="485">
        <v>46164</v>
      </c>
      <c r="B455" s="5" t="s">
        <v>140</v>
      </c>
      <c r="C455" s="629" t="s">
        <v>1449</v>
      </c>
      <c r="D455" s="42" t="s">
        <v>1457</v>
      </c>
      <c r="E455" s="1" t="s">
        <v>13</v>
      </c>
      <c r="F455" s="36">
        <v>2</v>
      </c>
      <c r="G455" s="7">
        <v>227500</v>
      </c>
      <c r="H455" s="7">
        <f t="shared" si="11"/>
        <v>455000</v>
      </c>
      <c r="I455" s="67" t="s">
        <v>1931</v>
      </c>
      <c r="J455" s="59"/>
      <c r="K455" s="67"/>
      <c r="L455" s="59"/>
    </row>
    <row r="456" spans="1:12" customFormat="1" ht="17.399999999999999" x14ac:dyDescent="0.4">
      <c r="A456" s="485">
        <v>46171</v>
      </c>
      <c r="B456" s="5" t="s">
        <v>140</v>
      </c>
      <c r="C456" s="630" t="s">
        <v>553</v>
      </c>
      <c r="D456" s="1" t="s">
        <v>1455</v>
      </c>
      <c r="E456" s="1" t="s">
        <v>13</v>
      </c>
      <c r="F456" s="36">
        <v>2</v>
      </c>
      <c r="G456" s="36">
        <v>973200</v>
      </c>
      <c r="H456" s="7">
        <f>F456*G456</f>
        <v>1946400</v>
      </c>
      <c r="I456" s="67" t="s">
        <v>1931</v>
      </c>
      <c r="J456" s="59"/>
      <c r="K456" s="67"/>
      <c r="L456" s="59"/>
    </row>
    <row r="457" spans="1:12" s="50" customFormat="1" ht="18.75" customHeight="1" x14ac:dyDescent="0.4">
      <c r="A457" s="485">
        <v>46174</v>
      </c>
      <c r="B457" s="5" t="s">
        <v>140</v>
      </c>
      <c r="C457" s="525" t="s">
        <v>1575</v>
      </c>
      <c r="D457" s="59" t="s">
        <v>242</v>
      </c>
      <c r="E457" s="59" t="s">
        <v>13</v>
      </c>
      <c r="F457" s="525">
        <v>9</v>
      </c>
      <c r="G457" s="525">
        <v>175300</v>
      </c>
      <c r="H457" s="525">
        <f t="shared" si="11"/>
        <v>1577700</v>
      </c>
      <c r="I457" s="67" t="s">
        <v>1931</v>
      </c>
      <c r="J457" s="67"/>
      <c r="K457" s="67"/>
      <c r="L457" s="67"/>
    </row>
    <row r="458" spans="1:12" s="50" customFormat="1" ht="18" customHeight="1" x14ac:dyDescent="0.4">
      <c r="A458" s="485">
        <v>46174</v>
      </c>
      <c r="B458" s="5" t="s">
        <v>140</v>
      </c>
      <c r="C458" s="6" t="s">
        <v>1448</v>
      </c>
      <c r="D458" s="1" t="s">
        <v>243</v>
      </c>
      <c r="E458" s="1" t="s">
        <v>13</v>
      </c>
      <c r="F458" s="36">
        <v>13</v>
      </c>
      <c r="G458" s="8">
        <v>202000</v>
      </c>
      <c r="H458" s="525">
        <f>F458*G458</f>
        <v>2626000</v>
      </c>
      <c r="I458" s="67" t="s">
        <v>1931</v>
      </c>
      <c r="J458" s="67"/>
      <c r="K458" s="67"/>
      <c r="L458" s="67"/>
    </row>
    <row r="459" spans="1:12" s="50" customFormat="1" ht="18.75" customHeight="1" x14ac:dyDescent="0.4">
      <c r="A459" s="485">
        <v>46181</v>
      </c>
      <c r="B459" s="5" t="s">
        <v>140</v>
      </c>
      <c r="C459" s="6" t="s">
        <v>641</v>
      </c>
      <c r="D459" s="1" t="s">
        <v>244</v>
      </c>
      <c r="E459" s="1" t="s">
        <v>13</v>
      </c>
      <c r="F459" s="36">
        <v>1</v>
      </c>
      <c r="G459" s="36">
        <v>973200</v>
      </c>
      <c r="H459" s="525">
        <f>F459*G459</f>
        <v>973200</v>
      </c>
      <c r="I459" s="67" t="s">
        <v>1931</v>
      </c>
      <c r="J459" s="67"/>
      <c r="K459" s="67"/>
      <c r="L459" s="67"/>
    </row>
    <row r="460" spans="1:12" s="50" customFormat="1" ht="18.75" customHeight="1" x14ac:dyDescent="0.4">
      <c r="A460" s="485">
        <v>46181</v>
      </c>
      <c r="B460" s="5" t="s">
        <v>140</v>
      </c>
      <c r="C460" s="6" t="s">
        <v>1448</v>
      </c>
      <c r="D460" s="1" t="s">
        <v>243</v>
      </c>
      <c r="E460" s="1" t="s">
        <v>13</v>
      </c>
      <c r="F460" s="36">
        <v>14</v>
      </c>
      <c r="G460" s="8">
        <v>202000</v>
      </c>
      <c r="H460" s="525">
        <f t="shared" si="11"/>
        <v>2828000</v>
      </c>
      <c r="I460" s="67" t="s">
        <v>1931</v>
      </c>
      <c r="J460" s="67"/>
      <c r="K460" s="67"/>
      <c r="L460" s="67"/>
    </row>
    <row r="461" spans="1:12" s="50" customFormat="1" ht="18.75" customHeight="1" x14ac:dyDescent="0.4">
      <c r="A461" s="485">
        <v>46183</v>
      </c>
      <c r="B461" s="5" t="s">
        <v>140</v>
      </c>
      <c r="C461" s="395" t="s">
        <v>1577</v>
      </c>
      <c r="D461" s="46" t="s">
        <v>1578</v>
      </c>
      <c r="E461" s="46" t="s">
        <v>775</v>
      </c>
      <c r="F461" s="705">
        <v>1</v>
      </c>
      <c r="G461" s="705">
        <v>423620</v>
      </c>
      <c r="H461" s="525">
        <f t="shared" si="11"/>
        <v>423620</v>
      </c>
      <c r="I461" s="67" t="s">
        <v>1931</v>
      </c>
      <c r="J461" s="67"/>
      <c r="K461" s="67"/>
      <c r="L461" s="67"/>
    </row>
    <row r="462" spans="1:12" s="50" customFormat="1" ht="18.75" customHeight="1" x14ac:dyDescent="0.4">
      <c r="A462" s="485">
        <v>46183</v>
      </c>
      <c r="B462" s="7" t="s">
        <v>140</v>
      </c>
      <c r="C462" s="525" t="s">
        <v>1575</v>
      </c>
      <c r="D462" s="59" t="s">
        <v>242</v>
      </c>
      <c r="E462" s="59" t="s">
        <v>13</v>
      </c>
      <c r="F462" s="525">
        <v>1</v>
      </c>
      <c r="G462" s="525">
        <v>175300</v>
      </c>
      <c r="H462" s="525">
        <f t="shared" si="11"/>
        <v>175300</v>
      </c>
      <c r="I462" s="67" t="s">
        <v>1931</v>
      </c>
      <c r="J462" s="67"/>
      <c r="K462" s="67"/>
      <c r="L462" s="67"/>
    </row>
    <row r="463" spans="1:12" s="50" customFormat="1" ht="18.75" customHeight="1" x14ac:dyDescent="0.4">
      <c r="A463" s="485">
        <v>46183</v>
      </c>
      <c r="B463" s="110" t="s">
        <v>140</v>
      </c>
      <c r="C463" s="395" t="s">
        <v>773</v>
      </c>
      <c r="D463" s="46" t="s">
        <v>774</v>
      </c>
      <c r="E463" s="46" t="s">
        <v>775</v>
      </c>
      <c r="F463" s="533">
        <v>1</v>
      </c>
      <c r="G463" s="533">
        <v>69700</v>
      </c>
      <c r="H463" s="525">
        <f t="shared" si="11"/>
        <v>69700</v>
      </c>
      <c r="I463" s="67" t="s">
        <v>1931</v>
      </c>
      <c r="J463" s="67"/>
      <c r="K463" s="67"/>
      <c r="L463" s="67"/>
    </row>
    <row r="464" spans="1:12" s="50" customFormat="1" ht="18.75" customHeight="1" x14ac:dyDescent="0.4">
      <c r="A464" s="485">
        <v>46183</v>
      </c>
      <c r="B464" s="5" t="s">
        <v>140</v>
      </c>
      <c r="C464" s="6" t="s">
        <v>641</v>
      </c>
      <c r="D464" s="1" t="s">
        <v>244</v>
      </c>
      <c r="E464" s="1" t="s">
        <v>13</v>
      </c>
      <c r="F464" s="36">
        <v>1</v>
      </c>
      <c r="G464" s="36">
        <v>973200</v>
      </c>
      <c r="H464" s="525">
        <f>F464*G464</f>
        <v>973200</v>
      </c>
      <c r="I464" s="67" t="s">
        <v>1931</v>
      </c>
      <c r="J464" s="67"/>
      <c r="K464" s="67"/>
      <c r="L464" s="67"/>
    </row>
    <row r="465" spans="1:12" s="50" customFormat="1" ht="18.75" customHeight="1" x14ac:dyDescent="0.4">
      <c r="A465" s="485">
        <v>46185</v>
      </c>
      <c r="B465" s="5" t="s">
        <v>140</v>
      </c>
      <c r="C465" s="6" t="s">
        <v>1449</v>
      </c>
      <c r="D465" s="1" t="s">
        <v>244</v>
      </c>
      <c r="E465" s="1" t="s">
        <v>13</v>
      </c>
      <c r="F465" s="36">
        <v>1</v>
      </c>
      <c r="G465" s="36">
        <v>227500</v>
      </c>
      <c r="H465" s="525">
        <f t="shared" si="11"/>
        <v>227500</v>
      </c>
      <c r="I465" s="67" t="s">
        <v>1931</v>
      </c>
      <c r="J465" s="67"/>
      <c r="K465" s="67"/>
      <c r="L465" s="67"/>
    </row>
    <row r="466" spans="1:12" s="50" customFormat="1" ht="18.75" customHeight="1" x14ac:dyDescent="0.4">
      <c r="A466" s="485">
        <v>46189</v>
      </c>
      <c r="B466" s="7" t="s">
        <v>140</v>
      </c>
      <c r="C466" s="525" t="s">
        <v>1575</v>
      </c>
      <c r="D466" s="59" t="s">
        <v>242</v>
      </c>
      <c r="E466" s="59" t="s">
        <v>13</v>
      </c>
      <c r="F466" s="525">
        <v>6</v>
      </c>
      <c r="G466" s="525">
        <v>175300</v>
      </c>
      <c r="H466" s="525">
        <f t="shared" si="11"/>
        <v>1051800</v>
      </c>
      <c r="I466" s="67" t="s">
        <v>1931</v>
      </c>
      <c r="J466" s="67"/>
      <c r="K466" s="67"/>
      <c r="L466" s="67"/>
    </row>
    <row r="467" spans="1:12" s="50" customFormat="1" ht="18.75" customHeight="1" x14ac:dyDescent="0.4">
      <c r="A467" s="485">
        <v>46189</v>
      </c>
      <c r="B467" s="110" t="s">
        <v>140</v>
      </c>
      <c r="C467" s="395" t="s">
        <v>773</v>
      </c>
      <c r="D467" s="46" t="s">
        <v>774</v>
      </c>
      <c r="E467" s="46" t="s">
        <v>775</v>
      </c>
      <c r="F467" s="533">
        <v>13</v>
      </c>
      <c r="G467" s="533">
        <v>69700</v>
      </c>
      <c r="H467" s="525">
        <f t="shared" si="11"/>
        <v>906100</v>
      </c>
      <c r="I467" s="67" t="s">
        <v>1931</v>
      </c>
      <c r="J467" s="67"/>
      <c r="K467" s="67"/>
      <c r="L467" s="67"/>
    </row>
    <row r="468" spans="1:12" s="50" customFormat="1" ht="18.75" customHeight="1" x14ac:dyDescent="0.4">
      <c r="A468" s="485">
        <v>46190</v>
      </c>
      <c r="B468" s="7" t="s">
        <v>140</v>
      </c>
      <c r="C468" s="49" t="s">
        <v>1575</v>
      </c>
      <c r="D468" s="59" t="s">
        <v>242</v>
      </c>
      <c r="E468" s="59" t="s">
        <v>13</v>
      </c>
      <c r="F468" s="49">
        <v>2</v>
      </c>
      <c r="G468" s="49">
        <v>175300</v>
      </c>
      <c r="H468" s="525">
        <f t="shared" si="11"/>
        <v>350600</v>
      </c>
      <c r="I468" s="67" t="s">
        <v>1931</v>
      </c>
      <c r="J468" s="67"/>
      <c r="K468" s="67"/>
      <c r="L468" s="67"/>
    </row>
    <row r="469" spans="1:12" s="50" customFormat="1" ht="18.75" customHeight="1" x14ac:dyDescent="0.4">
      <c r="A469" s="485">
        <v>46190</v>
      </c>
      <c r="B469" s="5" t="s">
        <v>140</v>
      </c>
      <c r="C469" s="630" t="s">
        <v>641</v>
      </c>
      <c r="D469" s="1" t="s">
        <v>244</v>
      </c>
      <c r="E469" s="1" t="s">
        <v>13</v>
      </c>
      <c r="F469" s="36">
        <v>1</v>
      </c>
      <c r="G469" s="36">
        <v>973200</v>
      </c>
      <c r="H469" s="525">
        <f>F469*G469</f>
        <v>973200</v>
      </c>
      <c r="I469" s="67" t="s">
        <v>1931</v>
      </c>
      <c r="J469" s="67"/>
      <c r="K469" s="67"/>
      <c r="L469" s="67"/>
    </row>
    <row r="470" spans="1:12" s="50" customFormat="1" ht="18.600000000000001" customHeight="1" x14ac:dyDescent="0.4">
      <c r="A470" s="485">
        <v>46202</v>
      </c>
      <c r="B470" s="5" t="s">
        <v>140</v>
      </c>
      <c r="C470" s="49" t="s">
        <v>1580</v>
      </c>
      <c r="D470" s="59" t="s">
        <v>1581</v>
      </c>
      <c r="E470" s="59" t="s">
        <v>13</v>
      </c>
      <c r="F470" s="49">
        <v>15</v>
      </c>
      <c r="G470" s="49">
        <v>69700</v>
      </c>
      <c r="H470" s="525">
        <f t="shared" si="11"/>
        <v>1045500</v>
      </c>
      <c r="I470" s="67" t="s">
        <v>1931</v>
      </c>
      <c r="J470" s="67"/>
      <c r="K470" s="67"/>
      <c r="L470" s="67"/>
    </row>
    <row r="471" spans="1:12" customFormat="1" ht="17.399999999999999" x14ac:dyDescent="0.4">
      <c r="A471" s="484">
        <v>46209</v>
      </c>
      <c r="B471" s="5" t="s">
        <v>140</v>
      </c>
      <c r="C471" s="6" t="s">
        <v>1449</v>
      </c>
      <c r="D471" s="1" t="s">
        <v>244</v>
      </c>
      <c r="E471" s="1" t="s">
        <v>13</v>
      </c>
      <c r="F471" s="36">
        <v>8</v>
      </c>
      <c r="G471" s="36">
        <v>227500</v>
      </c>
      <c r="H471" s="7">
        <f t="shared" si="11"/>
        <v>1820000</v>
      </c>
      <c r="I471" s="67" t="s">
        <v>1931</v>
      </c>
      <c r="J471" s="67"/>
      <c r="K471" s="67"/>
      <c r="L471" s="67"/>
    </row>
    <row r="472" spans="1:12" customFormat="1" ht="17.399999999999999" x14ac:dyDescent="0.4">
      <c r="A472" s="484">
        <v>46212</v>
      </c>
      <c r="B472" s="5" t="s">
        <v>140</v>
      </c>
      <c r="C472" s="527" t="s">
        <v>554</v>
      </c>
      <c r="D472" s="1" t="s">
        <v>245</v>
      </c>
      <c r="E472" s="1" t="s">
        <v>13</v>
      </c>
      <c r="F472" s="36">
        <v>3</v>
      </c>
      <c r="G472" s="7">
        <v>630500</v>
      </c>
      <c r="H472" s="7">
        <f>F472*G472</f>
        <v>1891500</v>
      </c>
      <c r="I472" s="67" t="s">
        <v>1931</v>
      </c>
      <c r="J472" s="67"/>
      <c r="K472" s="67"/>
      <c r="L472" s="67"/>
    </row>
    <row r="473" spans="1:12" customFormat="1" ht="17.399999999999999" x14ac:dyDescent="0.4">
      <c r="A473" s="484">
        <v>46217</v>
      </c>
      <c r="B473" s="5" t="s">
        <v>140</v>
      </c>
      <c r="C473" s="527" t="s">
        <v>1579</v>
      </c>
      <c r="D473" s="1" t="s">
        <v>245</v>
      </c>
      <c r="E473" s="1" t="s">
        <v>13</v>
      </c>
      <c r="F473" s="36">
        <v>7</v>
      </c>
      <c r="G473" s="7">
        <v>630500</v>
      </c>
      <c r="H473" s="7">
        <f>F473*G473</f>
        <v>4413500</v>
      </c>
      <c r="I473" s="67" t="s">
        <v>1931</v>
      </c>
      <c r="J473" s="67"/>
      <c r="K473" s="67"/>
      <c r="L473" s="67"/>
    </row>
    <row r="474" spans="1:12" customFormat="1" ht="17.399999999999999" x14ac:dyDescent="0.4">
      <c r="A474" s="484">
        <v>46217</v>
      </c>
      <c r="B474" s="5" t="s">
        <v>140</v>
      </c>
      <c r="C474" s="527" t="s">
        <v>554</v>
      </c>
      <c r="D474" s="1" t="s">
        <v>245</v>
      </c>
      <c r="E474" s="1" t="s">
        <v>13</v>
      </c>
      <c r="F474" s="36">
        <v>4</v>
      </c>
      <c r="G474" s="7">
        <v>630500</v>
      </c>
      <c r="H474" s="7">
        <f>F474*G474</f>
        <v>2522000</v>
      </c>
      <c r="I474" s="67" t="s">
        <v>1931</v>
      </c>
      <c r="J474" s="67"/>
      <c r="K474" s="67"/>
      <c r="L474" s="67"/>
    </row>
    <row r="475" spans="1:12" customFormat="1" ht="17.399999999999999" x14ac:dyDescent="0.4">
      <c r="A475" s="484">
        <v>46218</v>
      </c>
      <c r="B475" s="5" t="s">
        <v>140</v>
      </c>
      <c r="C475" s="527" t="s">
        <v>1579</v>
      </c>
      <c r="D475" s="1" t="s">
        <v>642</v>
      </c>
      <c r="E475" s="1" t="s">
        <v>13</v>
      </c>
      <c r="F475" s="36">
        <v>7</v>
      </c>
      <c r="G475" s="7">
        <v>630500</v>
      </c>
      <c r="H475" s="7">
        <f t="shared" si="11"/>
        <v>4413500</v>
      </c>
      <c r="I475" s="67" t="s">
        <v>1931</v>
      </c>
      <c r="J475" s="67"/>
      <c r="K475" s="67"/>
      <c r="L475" s="67"/>
    </row>
    <row r="476" spans="1:12" customFormat="1" ht="17.399999999999999" x14ac:dyDescent="0.4">
      <c r="A476" s="484">
        <v>46218</v>
      </c>
      <c r="B476" s="110" t="s">
        <v>140</v>
      </c>
      <c r="C476" s="29" t="s">
        <v>1576</v>
      </c>
      <c r="D476" s="110" t="s">
        <v>772</v>
      </c>
      <c r="E476" s="110" t="s">
        <v>13</v>
      </c>
      <c r="F476" s="81">
        <v>3</v>
      </c>
      <c r="G476" s="49">
        <v>633000</v>
      </c>
      <c r="H476" s="7">
        <f t="shared" si="11"/>
        <v>1899000</v>
      </c>
      <c r="I476" s="67" t="s">
        <v>1931</v>
      </c>
      <c r="J476" s="67"/>
      <c r="K476" s="67"/>
      <c r="L476" s="67"/>
    </row>
    <row r="477" spans="1:12" customFormat="1" ht="17.399999999999999" x14ac:dyDescent="0.4">
      <c r="A477" s="484">
        <v>46219</v>
      </c>
      <c r="B477" s="110" t="s">
        <v>140</v>
      </c>
      <c r="C477" s="29" t="s">
        <v>771</v>
      </c>
      <c r="D477" s="110" t="s">
        <v>772</v>
      </c>
      <c r="E477" s="110" t="s">
        <v>13</v>
      </c>
      <c r="F477" s="81">
        <v>4</v>
      </c>
      <c r="G477" s="49">
        <v>633000</v>
      </c>
      <c r="H477" s="7">
        <f t="shared" si="11"/>
        <v>2532000</v>
      </c>
      <c r="I477" s="67" t="s">
        <v>1931</v>
      </c>
      <c r="J477" s="67"/>
      <c r="K477" s="67"/>
      <c r="L477" s="67"/>
    </row>
    <row r="478" spans="1:12" customFormat="1" ht="17.399999999999999" x14ac:dyDescent="0.4">
      <c r="A478" s="484">
        <v>46219</v>
      </c>
      <c r="B478" s="5" t="s">
        <v>140</v>
      </c>
      <c r="C478" s="527" t="s">
        <v>554</v>
      </c>
      <c r="D478" s="1" t="s">
        <v>245</v>
      </c>
      <c r="E478" s="1" t="s">
        <v>13</v>
      </c>
      <c r="F478" s="36">
        <v>2</v>
      </c>
      <c r="G478" s="7">
        <v>630500</v>
      </c>
      <c r="H478" s="7">
        <f t="shared" si="11"/>
        <v>1261000</v>
      </c>
      <c r="I478" s="67" t="s">
        <v>1931</v>
      </c>
      <c r="J478" s="67"/>
      <c r="K478" s="67"/>
      <c r="L478" s="67"/>
    </row>
    <row r="479" spans="1:12" s="50" customFormat="1" ht="18.75" customHeight="1" x14ac:dyDescent="0.4">
      <c r="A479" s="484">
        <v>46223</v>
      </c>
      <c r="B479" s="7" t="s">
        <v>140</v>
      </c>
      <c r="C479" s="525" t="s">
        <v>1456</v>
      </c>
      <c r="D479" s="59" t="s">
        <v>581</v>
      </c>
      <c r="E479" s="59" t="s">
        <v>13</v>
      </c>
      <c r="F479" s="49">
        <v>2</v>
      </c>
      <c r="G479" s="49">
        <v>984000</v>
      </c>
      <c r="H479" s="7">
        <f t="shared" si="11"/>
        <v>1968000</v>
      </c>
      <c r="I479" s="67" t="s">
        <v>1931</v>
      </c>
      <c r="J479" s="67"/>
      <c r="K479" s="67"/>
      <c r="L479" s="67"/>
    </row>
    <row r="480" spans="1:12" s="50" customFormat="1" ht="18.75" customHeight="1" x14ac:dyDescent="0.4">
      <c r="A480" s="484">
        <v>46225</v>
      </c>
      <c r="B480" s="7" t="s">
        <v>140</v>
      </c>
      <c r="C480" s="525" t="s">
        <v>580</v>
      </c>
      <c r="D480" s="59" t="s">
        <v>581</v>
      </c>
      <c r="E480" s="59" t="s">
        <v>13</v>
      </c>
      <c r="F480" s="49">
        <v>2</v>
      </c>
      <c r="G480" s="49">
        <v>984000</v>
      </c>
      <c r="H480" s="7">
        <f t="shared" si="11"/>
        <v>1968000</v>
      </c>
      <c r="I480" s="67" t="s">
        <v>1931</v>
      </c>
      <c r="J480" s="67"/>
      <c r="K480" s="67"/>
      <c r="L480" s="67"/>
    </row>
    <row r="481" spans="1:12" s="50" customFormat="1" ht="18.75" customHeight="1" x14ac:dyDescent="0.4">
      <c r="A481" s="484">
        <v>46234</v>
      </c>
      <c r="B481" s="5" t="s">
        <v>140</v>
      </c>
      <c r="C481" s="527" t="s">
        <v>1579</v>
      </c>
      <c r="D481" s="1" t="s">
        <v>642</v>
      </c>
      <c r="E481" s="1" t="s">
        <v>13</v>
      </c>
      <c r="F481" s="64">
        <v>17</v>
      </c>
      <c r="G481" s="7">
        <v>630500</v>
      </c>
      <c r="H481" s="7">
        <f t="shared" si="11"/>
        <v>10718500</v>
      </c>
      <c r="I481" s="67" t="s">
        <v>1931</v>
      </c>
      <c r="J481" s="67"/>
      <c r="K481" s="67"/>
      <c r="L481" s="67"/>
    </row>
    <row r="482" spans="1:12" s="50" customFormat="1" ht="18.75" customHeight="1" x14ac:dyDescent="0.4">
      <c r="A482" s="484">
        <v>46234</v>
      </c>
      <c r="B482" s="5" t="s">
        <v>140</v>
      </c>
      <c r="C482" s="29" t="s">
        <v>771</v>
      </c>
      <c r="D482" s="110" t="s">
        <v>772</v>
      </c>
      <c r="E482" s="110" t="s">
        <v>13</v>
      </c>
      <c r="F482" s="697">
        <v>2</v>
      </c>
      <c r="G482" s="49">
        <v>633000</v>
      </c>
      <c r="H482" s="7">
        <f t="shared" si="11"/>
        <v>1266000</v>
      </c>
      <c r="I482" s="67" t="s">
        <v>1931</v>
      </c>
      <c r="J482" s="67"/>
      <c r="K482" s="67"/>
      <c r="L482" s="67"/>
    </row>
    <row r="483" spans="1:12" s="50" customFormat="1" ht="18.75" customHeight="1" x14ac:dyDescent="0.4">
      <c r="A483" s="484">
        <v>46234</v>
      </c>
      <c r="B483" s="5" t="s">
        <v>140</v>
      </c>
      <c r="C483" s="525" t="s">
        <v>1456</v>
      </c>
      <c r="D483" s="59" t="s">
        <v>581</v>
      </c>
      <c r="E483" s="59" t="s">
        <v>13</v>
      </c>
      <c r="F483" s="699">
        <v>3</v>
      </c>
      <c r="G483" s="49">
        <v>984000</v>
      </c>
      <c r="H483" s="7">
        <f t="shared" si="11"/>
        <v>2952000</v>
      </c>
      <c r="I483" s="67" t="s">
        <v>1931</v>
      </c>
      <c r="J483" s="67"/>
      <c r="K483" s="67"/>
      <c r="L483" s="67"/>
    </row>
    <row r="484" spans="1:12" s="50" customFormat="1" ht="18.75" customHeight="1" x14ac:dyDescent="0.4">
      <c r="A484" s="484">
        <v>46234</v>
      </c>
      <c r="B484" s="5" t="s">
        <v>140</v>
      </c>
      <c r="C484" s="525" t="s">
        <v>539</v>
      </c>
      <c r="D484" s="59" t="s">
        <v>242</v>
      </c>
      <c r="E484" s="59" t="s">
        <v>13</v>
      </c>
      <c r="F484" s="699">
        <v>7</v>
      </c>
      <c r="G484" s="49">
        <v>175300</v>
      </c>
      <c r="H484" s="7">
        <f t="shared" si="11"/>
        <v>1227100</v>
      </c>
      <c r="I484" s="67" t="s">
        <v>1931</v>
      </c>
      <c r="J484" s="67"/>
      <c r="K484" s="67"/>
      <c r="L484" s="67"/>
    </row>
    <row r="485" spans="1:12" s="50" customFormat="1" ht="18.75" customHeight="1" x14ac:dyDescent="0.4">
      <c r="A485" s="484">
        <v>46246</v>
      </c>
      <c r="B485" s="5" t="s">
        <v>140</v>
      </c>
      <c r="C485" s="527" t="s">
        <v>1579</v>
      </c>
      <c r="D485" s="1" t="s">
        <v>642</v>
      </c>
      <c r="E485" s="1" t="s">
        <v>13</v>
      </c>
      <c r="F485" s="36">
        <v>8</v>
      </c>
      <c r="G485" s="7">
        <v>630500</v>
      </c>
      <c r="H485" s="7">
        <f t="shared" si="11"/>
        <v>5044000</v>
      </c>
      <c r="I485" s="67" t="s">
        <v>1931</v>
      </c>
      <c r="J485" s="67"/>
      <c r="K485" s="67"/>
      <c r="L485" s="67"/>
    </row>
    <row r="486" spans="1:12" s="50" customFormat="1" ht="18" customHeight="1" x14ac:dyDescent="0.4">
      <c r="A486" s="484">
        <v>46246</v>
      </c>
      <c r="B486" s="5" t="s">
        <v>140</v>
      </c>
      <c r="C486" s="6" t="s">
        <v>641</v>
      </c>
      <c r="D486" s="1" t="s">
        <v>244</v>
      </c>
      <c r="E486" s="1" t="s">
        <v>13</v>
      </c>
      <c r="F486" s="36">
        <v>5</v>
      </c>
      <c r="G486" s="36">
        <v>973200</v>
      </c>
      <c r="H486" s="7">
        <f t="shared" si="11"/>
        <v>4866000</v>
      </c>
      <c r="I486" s="67" t="s">
        <v>1931</v>
      </c>
      <c r="J486" s="67"/>
      <c r="K486" s="67"/>
      <c r="L486" s="67"/>
    </row>
    <row r="487" spans="1:12" s="50" customFormat="1" ht="18" customHeight="1" x14ac:dyDescent="0.4">
      <c r="A487" s="484">
        <v>46246</v>
      </c>
      <c r="B487" s="5" t="s">
        <v>140</v>
      </c>
      <c r="C487" s="6" t="s">
        <v>1456</v>
      </c>
      <c r="D487" s="1" t="s">
        <v>581</v>
      </c>
      <c r="E487" s="1" t="s">
        <v>13</v>
      </c>
      <c r="F487" s="36">
        <v>3</v>
      </c>
      <c r="G487" s="7">
        <v>984000</v>
      </c>
      <c r="H487" s="7">
        <f t="shared" si="11"/>
        <v>2952000</v>
      </c>
      <c r="I487" s="67" t="s">
        <v>1931</v>
      </c>
      <c r="J487" s="67"/>
      <c r="K487" s="67"/>
      <c r="L487" s="67"/>
    </row>
    <row r="488" spans="1:12" s="50" customFormat="1" ht="18.75" customHeight="1" x14ac:dyDescent="0.4">
      <c r="A488" s="484">
        <v>46252</v>
      </c>
      <c r="B488" s="110" t="s">
        <v>140</v>
      </c>
      <c r="C488" s="29" t="s">
        <v>641</v>
      </c>
      <c r="D488" s="110" t="s">
        <v>244</v>
      </c>
      <c r="E488" s="110" t="s">
        <v>13</v>
      </c>
      <c r="F488" s="81">
        <v>8</v>
      </c>
      <c r="G488" s="49">
        <v>973200</v>
      </c>
      <c r="H488" s="7">
        <f t="shared" si="11"/>
        <v>7785600</v>
      </c>
      <c r="I488" s="67" t="s">
        <v>1931</v>
      </c>
      <c r="J488" s="67"/>
      <c r="K488" s="67"/>
      <c r="L488" s="67"/>
    </row>
    <row r="489" spans="1:12" s="50" customFormat="1" ht="18.75" customHeight="1" x14ac:dyDescent="0.4">
      <c r="A489" s="484">
        <v>46252</v>
      </c>
      <c r="B489" s="7" t="s">
        <v>140</v>
      </c>
      <c r="C489" s="49" t="s">
        <v>1579</v>
      </c>
      <c r="D489" s="59" t="s">
        <v>245</v>
      </c>
      <c r="E489" s="59" t="s">
        <v>13</v>
      </c>
      <c r="F489" s="49">
        <v>3</v>
      </c>
      <c r="G489" s="49">
        <v>630500</v>
      </c>
      <c r="H489" s="7">
        <f t="shared" si="11"/>
        <v>1891500</v>
      </c>
      <c r="I489" s="67" t="s">
        <v>1931</v>
      </c>
      <c r="J489" s="67"/>
      <c r="K489" s="67"/>
      <c r="L489" s="67"/>
    </row>
    <row r="490" spans="1:12" s="50" customFormat="1" ht="18.75" customHeight="1" x14ac:dyDescent="0.4">
      <c r="A490" s="484">
        <v>46252</v>
      </c>
      <c r="B490" s="5" t="s">
        <v>140</v>
      </c>
      <c r="C490" s="68" t="s">
        <v>1456</v>
      </c>
      <c r="D490" s="1" t="s">
        <v>581</v>
      </c>
      <c r="E490" s="1" t="s">
        <v>13</v>
      </c>
      <c r="F490" s="36">
        <v>3</v>
      </c>
      <c r="G490" s="7">
        <v>984000</v>
      </c>
      <c r="H490" s="7">
        <f t="shared" si="11"/>
        <v>2952000</v>
      </c>
      <c r="I490" s="67" t="s">
        <v>1931</v>
      </c>
      <c r="J490" s="67"/>
      <c r="K490" s="67"/>
      <c r="L490" s="67"/>
    </row>
    <row r="491" spans="1:12" s="50" customFormat="1" ht="18.75" customHeight="1" x14ac:dyDescent="0.4">
      <c r="A491" s="484">
        <v>46252</v>
      </c>
      <c r="B491" s="110" t="s">
        <v>140</v>
      </c>
      <c r="C491" s="29" t="s">
        <v>1575</v>
      </c>
      <c r="D491" s="110" t="s">
        <v>242</v>
      </c>
      <c r="E491" s="110" t="s">
        <v>13</v>
      </c>
      <c r="F491" s="81">
        <v>4</v>
      </c>
      <c r="G491" s="49">
        <v>175300</v>
      </c>
      <c r="H491" s="7">
        <f t="shared" si="11"/>
        <v>701200</v>
      </c>
      <c r="I491" s="67" t="s">
        <v>1931</v>
      </c>
      <c r="J491" s="67"/>
      <c r="K491" s="67"/>
      <c r="L491" s="67"/>
    </row>
    <row r="492" spans="1:12" s="50" customFormat="1" ht="18.75" customHeight="1" x14ac:dyDescent="0.4">
      <c r="A492" s="484">
        <v>46252</v>
      </c>
      <c r="B492" s="5" t="s">
        <v>140</v>
      </c>
      <c r="C492" s="68" t="s">
        <v>1802</v>
      </c>
      <c r="D492" s="1" t="s">
        <v>247</v>
      </c>
      <c r="E492" s="1" t="s">
        <v>13</v>
      </c>
      <c r="F492" s="36">
        <v>5</v>
      </c>
      <c r="G492" s="7">
        <v>56100</v>
      </c>
      <c r="H492" s="7">
        <f t="shared" si="11"/>
        <v>280500</v>
      </c>
      <c r="I492" s="67" t="s">
        <v>1931</v>
      </c>
      <c r="J492" s="67"/>
      <c r="K492" s="67"/>
      <c r="L492" s="67"/>
    </row>
    <row r="493" spans="1:12" s="50" customFormat="1" ht="18.75" customHeight="1" x14ac:dyDescent="0.4">
      <c r="A493" s="484">
        <v>46258</v>
      </c>
      <c r="B493" s="5" t="s">
        <v>140</v>
      </c>
      <c r="C493" s="527" t="s">
        <v>1579</v>
      </c>
      <c r="D493" s="1" t="s">
        <v>642</v>
      </c>
      <c r="E493" s="1" t="s">
        <v>13</v>
      </c>
      <c r="F493" s="36">
        <v>5</v>
      </c>
      <c r="G493" s="7">
        <v>630500</v>
      </c>
      <c r="H493" s="7">
        <f t="shared" si="11"/>
        <v>3152500</v>
      </c>
      <c r="I493" s="67" t="s">
        <v>1931</v>
      </c>
      <c r="J493" s="67"/>
      <c r="K493" s="67"/>
      <c r="L493" s="67"/>
    </row>
    <row r="494" spans="1:12" s="50" customFormat="1" ht="18" customHeight="1" x14ac:dyDescent="0.4">
      <c r="A494" s="484">
        <v>46258</v>
      </c>
      <c r="B494" s="5" t="s">
        <v>140</v>
      </c>
      <c r="C494" s="6" t="s">
        <v>641</v>
      </c>
      <c r="D494" s="1" t="s">
        <v>244</v>
      </c>
      <c r="E494" s="1" t="s">
        <v>13</v>
      </c>
      <c r="F494" s="36">
        <v>7</v>
      </c>
      <c r="G494" s="36">
        <v>973200</v>
      </c>
      <c r="H494" s="7">
        <f t="shared" si="11"/>
        <v>6812400</v>
      </c>
      <c r="I494" s="67" t="s">
        <v>1931</v>
      </c>
      <c r="J494" s="67"/>
      <c r="K494" s="67"/>
      <c r="L494" s="67"/>
    </row>
    <row r="495" spans="1:12" s="50" customFormat="1" ht="18" customHeight="1" x14ac:dyDescent="0.4">
      <c r="A495" s="484">
        <v>46259</v>
      </c>
      <c r="B495" s="5" t="s">
        <v>140</v>
      </c>
      <c r="C495" s="6" t="s">
        <v>1456</v>
      </c>
      <c r="D495" s="1" t="s">
        <v>581</v>
      </c>
      <c r="E495" s="1" t="s">
        <v>13</v>
      </c>
      <c r="F495" s="36">
        <v>4</v>
      </c>
      <c r="G495" s="7">
        <v>984000</v>
      </c>
      <c r="H495" s="7">
        <f t="shared" si="11"/>
        <v>3936000</v>
      </c>
      <c r="I495" s="67" t="s">
        <v>1931</v>
      </c>
      <c r="J495" s="67"/>
      <c r="K495" s="67"/>
      <c r="L495" s="67"/>
    </row>
    <row r="496" spans="1:12" s="50" customFormat="1" ht="18.75" customHeight="1" x14ac:dyDescent="0.4">
      <c r="A496" s="484">
        <v>46259</v>
      </c>
      <c r="B496" s="5" t="s">
        <v>140</v>
      </c>
      <c r="C496" s="6" t="s">
        <v>641</v>
      </c>
      <c r="D496" s="1" t="s">
        <v>244</v>
      </c>
      <c r="E496" s="1" t="s">
        <v>13</v>
      </c>
      <c r="F496" s="36">
        <v>1</v>
      </c>
      <c r="G496" s="36">
        <v>973200</v>
      </c>
      <c r="H496" s="7">
        <f t="shared" si="11"/>
        <v>973200</v>
      </c>
      <c r="I496" s="67" t="s">
        <v>1931</v>
      </c>
      <c r="J496" s="67"/>
      <c r="K496" s="67"/>
      <c r="L496" s="67"/>
    </row>
    <row r="497" spans="1:12" s="50" customFormat="1" ht="18" customHeight="1" x14ac:dyDescent="0.4">
      <c r="A497" s="484">
        <v>46260</v>
      </c>
      <c r="B497" s="110" t="s">
        <v>140</v>
      </c>
      <c r="C497" s="29" t="s">
        <v>641</v>
      </c>
      <c r="D497" s="110" t="s">
        <v>244</v>
      </c>
      <c r="E497" s="110" t="s">
        <v>13</v>
      </c>
      <c r="F497" s="81">
        <v>6</v>
      </c>
      <c r="G497" s="49">
        <v>973200</v>
      </c>
      <c r="H497" s="7">
        <f t="shared" si="11"/>
        <v>5839200</v>
      </c>
      <c r="I497" s="67" t="s">
        <v>1931</v>
      </c>
      <c r="J497" s="67"/>
      <c r="K497" s="67"/>
      <c r="L497" s="67"/>
    </row>
    <row r="498" spans="1:12" s="50" customFormat="1" ht="18.75" customHeight="1" x14ac:dyDescent="0.4">
      <c r="A498" s="484">
        <v>46260</v>
      </c>
      <c r="B498" s="5" t="s">
        <v>140</v>
      </c>
      <c r="C498" s="67" t="s">
        <v>1448</v>
      </c>
      <c r="D498" s="1" t="s">
        <v>243</v>
      </c>
      <c r="E498" s="1" t="s">
        <v>13</v>
      </c>
      <c r="F498" s="36">
        <v>16</v>
      </c>
      <c r="G498" s="7">
        <v>202000</v>
      </c>
      <c r="H498" s="7">
        <f t="shared" si="11"/>
        <v>3232000</v>
      </c>
      <c r="I498" s="67" t="s">
        <v>1931</v>
      </c>
      <c r="J498" s="67"/>
      <c r="K498" s="67"/>
      <c r="L498" s="67"/>
    </row>
    <row r="499" spans="1:12" s="50" customFormat="1" ht="18.75" customHeight="1" x14ac:dyDescent="0.4">
      <c r="A499" s="484">
        <v>46260</v>
      </c>
      <c r="B499" s="5" t="s">
        <v>140</v>
      </c>
      <c r="C499" s="67" t="s">
        <v>1802</v>
      </c>
      <c r="D499" s="1" t="s">
        <v>247</v>
      </c>
      <c r="E499" s="1" t="s">
        <v>13</v>
      </c>
      <c r="F499" s="36">
        <v>3</v>
      </c>
      <c r="G499" s="7">
        <v>56100</v>
      </c>
      <c r="H499" s="7">
        <f t="shared" ref="H499:H514" si="13">F499*G499</f>
        <v>168300</v>
      </c>
      <c r="I499" s="67" t="s">
        <v>1931</v>
      </c>
      <c r="J499" s="67"/>
      <c r="K499" s="67"/>
      <c r="L499" s="67"/>
    </row>
    <row r="500" spans="1:12" s="50" customFormat="1" ht="18.75" customHeight="1" x14ac:dyDescent="0.4">
      <c r="A500" s="484">
        <v>46261</v>
      </c>
      <c r="B500" s="5" t="s">
        <v>140</v>
      </c>
      <c r="C500" s="67" t="s">
        <v>1448</v>
      </c>
      <c r="D500" s="1" t="s">
        <v>243</v>
      </c>
      <c r="E500" s="1" t="s">
        <v>13</v>
      </c>
      <c r="F500" s="36">
        <v>13</v>
      </c>
      <c r="G500" s="7">
        <v>202000</v>
      </c>
      <c r="H500" s="7">
        <f t="shared" si="13"/>
        <v>2626000</v>
      </c>
      <c r="I500" s="67" t="s">
        <v>1931</v>
      </c>
      <c r="J500" s="67"/>
      <c r="K500" s="67"/>
      <c r="L500" s="67"/>
    </row>
    <row r="501" spans="1:12" s="50" customFormat="1" ht="18.75" customHeight="1" x14ac:dyDescent="0.4">
      <c r="A501" s="484">
        <v>46247</v>
      </c>
      <c r="B501" s="5" t="s">
        <v>140</v>
      </c>
      <c r="C501" s="630" t="s">
        <v>641</v>
      </c>
      <c r="D501" s="1" t="s">
        <v>244</v>
      </c>
      <c r="E501" s="1" t="s">
        <v>13</v>
      </c>
      <c r="F501" s="36">
        <v>6</v>
      </c>
      <c r="G501" s="36">
        <v>973200</v>
      </c>
      <c r="H501" s="7">
        <f t="shared" si="13"/>
        <v>5839200</v>
      </c>
      <c r="I501" s="67" t="s">
        <v>1931</v>
      </c>
      <c r="J501" s="67"/>
      <c r="K501" s="67"/>
      <c r="L501" s="67"/>
    </row>
    <row r="502" spans="1:12" s="50" customFormat="1" ht="18.75" customHeight="1" x14ac:dyDescent="0.4">
      <c r="A502" s="484">
        <v>46247</v>
      </c>
      <c r="B502" s="7" t="s">
        <v>140</v>
      </c>
      <c r="C502" s="49" t="s">
        <v>1579</v>
      </c>
      <c r="D502" s="59" t="s">
        <v>245</v>
      </c>
      <c r="E502" s="59" t="s">
        <v>13</v>
      </c>
      <c r="F502" s="49">
        <v>3</v>
      </c>
      <c r="G502" s="49">
        <v>630500</v>
      </c>
      <c r="H502" s="7">
        <f t="shared" si="13"/>
        <v>1891500</v>
      </c>
      <c r="I502" s="67" t="s">
        <v>1931</v>
      </c>
      <c r="J502" s="67"/>
      <c r="K502" s="67"/>
      <c r="L502" s="67"/>
    </row>
    <row r="503" spans="1:12" s="50" customFormat="1" ht="18.75" customHeight="1" x14ac:dyDescent="0.4">
      <c r="A503" s="484">
        <v>46265</v>
      </c>
      <c r="B503" s="7" t="s">
        <v>140</v>
      </c>
      <c r="C503" s="49" t="s">
        <v>1576</v>
      </c>
      <c r="D503" s="59" t="s">
        <v>772</v>
      </c>
      <c r="E503" s="59" t="s">
        <v>13</v>
      </c>
      <c r="F503" s="49">
        <v>8</v>
      </c>
      <c r="G503" s="49">
        <v>633000</v>
      </c>
      <c r="H503" s="7">
        <f t="shared" si="13"/>
        <v>5064000</v>
      </c>
      <c r="I503" s="67" t="s">
        <v>1931</v>
      </c>
      <c r="J503" s="67"/>
      <c r="K503" s="67"/>
      <c r="L503" s="67"/>
    </row>
    <row r="504" spans="1:12" s="50" customFormat="1" ht="18.75" customHeight="1" x14ac:dyDescent="0.4">
      <c r="A504" s="484">
        <v>46265</v>
      </c>
      <c r="B504" s="7" t="s">
        <v>140</v>
      </c>
      <c r="C504" s="49" t="s">
        <v>1694</v>
      </c>
      <c r="D504" s="59" t="s">
        <v>246</v>
      </c>
      <c r="E504" s="59" t="s">
        <v>13</v>
      </c>
      <c r="F504" s="49">
        <v>6</v>
      </c>
      <c r="G504" s="49">
        <v>393500</v>
      </c>
      <c r="H504" s="7">
        <f t="shared" si="13"/>
        <v>2361000</v>
      </c>
      <c r="I504" s="67" t="s">
        <v>1931</v>
      </c>
      <c r="J504" s="67"/>
      <c r="K504" s="67"/>
      <c r="L504" s="67"/>
    </row>
    <row r="505" spans="1:12" s="50" customFormat="1" ht="18.75" customHeight="1" x14ac:dyDescent="0.4">
      <c r="A505" s="484">
        <v>46265</v>
      </c>
      <c r="B505" s="7" t="s">
        <v>140</v>
      </c>
      <c r="C505" s="49" t="s">
        <v>553</v>
      </c>
      <c r="D505" s="59" t="s">
        <v>244</v>
      </c>
      <c r="E505" s="59" t="s">
        <v>13</v>
      </c>
      <c r="F505" s="49">
        <v>10</v>
      </c>
      <c r="G505" s="49">
        <v>973200</v>
      </c>
      <c r="H505" s="7">
        <f t="shared" si="13"/>
        <v>9732000</v>
      </c>
      <c r="I505" s="67" t="s">
        <v>1931</v>
      </c>
      <c r="J505" s="67"/>
      <c r="K505" s="67"/>
      <c r="L505" s="67"/>
    </row>
    <row r="506" spans="1:12" s="50" customFormat="1" ht="18.75" customHeight="1" x14ac:dyDescent="0.4">
      <c r="A506" s="484">
        <v>46265</v>
      </c>
      <c r="B506" s="7" t="s">
        <v>140</v>
      </c>
      <c r="C506" s="49" t="s">
        <v>1456</v>
      </c>
      <c r="D506" s="59" t="s">
        <v>581</v>
      </c>
      <c r="E506" s="59" t="s">
        <v>13</v>
      </c>
      <c r="F506" s="49">
        <v>1</v>
      </c>
      <c r="G506" s="49">
        <v>984000</v>
      </c>
      <c r="H506" s="7">
        <f t="shared" si="13"/>
        <v>984000</v>
      </c>
      <c r="I506" s="67" t="s">
        <v>1931</v>
      </c>
      <c r="J506" s="67"/>
      <c r="K506" s="67"/>
      <c r="L506" s="67"/>
    </row>
    <row r="507" spans="1:12" s="835" customFormat="1" ht="18.75" customHeight="1" x14ac:dyDescent="0.4">
      <c r="A507" s="485">
        <v>46272</v>
      </c>
      <c r="B507" s="5" t="s">
        <v>140</v>
      </c>
      <c r="C507" s="882" t="s">
        <v>553</v>
      </c>
      <c r="D507" s="1" t="s">
        <v>244</v>
      </c>
      <c r="E507" s="1" t="s">
        <v>13</v>
      </c>
      <c r="F507" s="860">
        <v>5</v>
      </c>
      <c r="G507" s="860">
        <v>973200</v>
      </c>
      <c r="H507" s="838">
        <f t="shared" si="13"/>
        <v>4866000</v>
      </c>
      <c r="I507" s="67" t="s">
        <v>1931</v>
      </c>
      <c r="J507" s="878" t="s">
        <v>1247</v>
      </c>
      <c r="K507" s="878"/>
      <c r="L507" s="878"/>
    </row>
    <row r="508" spans="1:12" s="835" customFormat="1" ht="18.75" customHeight="1" x14ac:dyDescent="0.4">
      <c r="A508" s="485">
        <v>46280</v>
      </c>
      <c r="B508" s="5" t="s">
        <v>140</v>
      </c>
      <c r="C508" s="878" t="s">
        <v>552</v>
      </c>
      <c r="D508" s="1" t="s">
        <v>243</v>
      </c>
      <c r="E508" s="1" t="s">
        <v>13</v>
      </c>
      <c r="F508" s="860">
        <v>8</v>
      </c>
      <c r="G508" s="838">
        <v>202000</v>
      </c>
      <c r="H508" s="838">
        <f t="shared" si="13"/>
        <v>1616000</v>
      </c>
      <c r="I508" s="67" t="s">
        <v>1931</v>
      </c>
      <c r="J508" s="878" t="s">
        <v>1247</v>
      </c>
      <c r="K508" s="878"/>
      <c r="L508" s="878"/>
    </row>
    <row r="509" spans="1:12" s="835" customFormat="1" ht="18.75" customHeight="1" x14ac:dyDescent="0.4">
      <c r="A509" s="485">
        <v>46280</v>
      </c>
      <c r="B509" s="5" t="s">
        <v>140</v>
      </c>
      <c r="C509" s="878" t="s">
        <v>552</v>
      </c>
      <c r="D509" s="1" t="s">
        <v>243</v>
      </c>
      <c r="E509" s="1" t="s">
        <v>13</v>
      </c>
      <c r="F509" s="860">
        <v>11</v>
      </c>
      <c r="G509" s="838">
        <v>202000</v>
      </c>
      <c r="H509" s="838">
        <f t="shared" si="13"/>
        <v>2222000</v>
      </c>
      <c r="I509" s="67" t="s">
        <v>1931</v>
      </c>
      <c r="J509" s="878" t="s">
        <v>1247</v>
      </c>
      <c r="K509" s="878"/>
      <c r="L509" s="878"/>
    </row>
    <row r="510" spans="1:12" s="835" customFormat="1" ht="18.600000000000001" customHeight="1" x14ac:dyDescent="0.4">
      <c r="A510" s="485">
        <v>46293</v>
      </c>
      <c r="B510" s="5" t="s">
        <v>140</v>
      </c>
      <c r="C510" s="858" t="s">
        <v>1902</v>
      </c>
      <c r="D510" s="1" t="s">
        <v>477</v>
      </c>
      <c r="E510" s="871" t="s">
        <v>11</v>
      </c>
      <c r="F510" s="860">
        <v>22</v>
      </c>
      <c r="G510" s="860">
        <v>271000</v>
      </c>
      <c r="H510" s="884">
        <f t="shared" si="13"/>
        <v>5962000</v>
      </c>
      <c r="I510" s="67" t="s">
        <v>1931</v>
      </c>
      <c r="J510" s="878"/>
      <c r="K510" s="878"/>
      <c r="L510" s="878"/>
    </row>
    <row r="511" spans="1:12" s="835" customFormat="1" ht="18.75" customHeight="1" x14ac:dyDescent="0.4">
      <c r="A511" s="485">
        <v>46293</v>
      </c>
      <c r="B511" s="5" t="s">
        <v>140</v>
      </c>
      <c r="C511" s="858" t="s">
        <v>474</v>
      </c>
      <c r="D511" s="1" t="s">
        <v>475</v>
      </c>
      <c r="E511" s="871" t="s">
        <v>11</v>
      </c>
      <c r="F511" s="860">
        <v>4</v>
      </c>
      <c r="G511" s="860">
        <v>652000</v>
      </c>
      <c r="H511" s="884">
        <f t="shared" si="13"/>
        <v>2608000</v>
      </c>
      <c r="I511" s="67" t="s">
        <v>1931</v>
      </c>
      <c r="J511" s="878"/>
      <c r="K511" s="878"/>
      <c r="L511" s="878"/>
    </row>
    <row r="512" spans="1:12" s="835" customFormat="1" ht="18.75" customHeight="1" x14ac:dyDescent="0.4">
      <c r="A512" s="485">
        <v>46293</v>
      </c>
      <c r="B512" s="5" t="s">
        <v>140</v>
      </c>
      <c r="C512" s="882" t="s">
        <v>553</v>
      </c>
      <c r="D512" s="1" t="s">
        <v>244</v>
      </c>
      <c r="E512" s="1" t="s">
        <v>13</v>
      </c>
      <c r="F512" s="860">
        <v>9</v>
      </c>
      <c r="G512" s="860">
        <v>973200</v>
      </c>
      <c r="H512" s="884">
        <f t="shared" si="13"/>
        <v>8758800</v>
      </c>
      <c r="I512" s="67" t="s">
        <v>1931</v>
      </c>
      <c r="J512" s="878"/>
      <c r="K512" s="878"/>
      <c r="L512" s="878"/>
    </row>
    <row r="513" spans="1:13" s="835" customFormat="1" ht="18.75" customHeight="1" x14ac:dyDescent="0.4">
      <c r="A513" s="485">
        <v>46293</v>
      </c>
      <c r="B513" s="5" t="s">
        <v>140</v>
      </c>
      <c r="C513" s="878" t="s">
        <v>552</v>
      </c>
      <c r="D513" s="1" t="s">
        <v>243</v>
      </c>
      <c r="E513" s="1" t="s">
        <v>13</v>
      </c>
      <c r="F513" s="860">
        <v>19</v>
      </c>
      <c r="G513" s="838">
        <v>202000</v>
      </c>
      <c r="H513" s="884">
        <f t="shared" si="13"/>
        <v>3838000</v>
      </c>
      <c r="I513" s="67" t="s">
        <v>1931</v>
      </c>
      <c r="J513" s="878"/>
      <c r="K513" s="878"/>
      <c r="L513" s="878"/>
    </row>
    <row r="514" spans="1:13" s="835" customFormat="1" ht="18.75" customHeight="1" x14ac:dyDescent="0.4">
      <c r="A514" s="485">
        <v>46293</v>
      </c>
      <c r="B514" s="5" t="s">
        <v>140</v>
      </c>
      <c r="C514" s="858" t="s">
        <v>554</v>
      </c>
      <c r="D514" s="1" t="s">
        <v>245</v>
      </c>
      <c r="E514" s="871" t="s">
        <v>13</v>
      </c>
      <c r="F514" s="860">
        <v>20</v>
      </c>
      <c r="G514" s="860">
        <v>630500</v>
      </c>
      <c r="H514" s="884">
        <f t="shared" si="13"/>
        <v>12610000</v>
      </c>
      <c r="I514" s="67" t="s">
        <v>1931</v>
      </c>
      <c r="J514" s="878"/>
      <c r="K514" s="878"/>
      <c r="L514" s="878"/>
    </row>
    <row r="515" spans="1:13" s="835" customFormat="1" ht="18.75" customHeight="1" x14ac:dyDescent="0.4">
      <c r="A515" s="485"/>
      <c r="B515" s="5"/>
      <c r="C515" s="878"/>
      <c r="D515" s="1"/>
      <c r="E515" s="1"/>
      <c r="F515" s="860"/>
      <c r="G515" s="838"/>
      <c r="H515" s="838"/>
      <c r="I515" s="878"/>
      <c r="J515" s="878"/>
      <c r="K515" s="878"/>
      <c r="L515" s="878"/>
    </row>
    <row r="516" spans="1:13" s="835" customFormat="1" ht="18.75" customHeight="1" x14ac:dyDescent="0.4">
      <c r="A516" s="485"/>
      <c r="B516" s="5"/>
      <c r="C516" s="878"/>
      <c r="D516" s="1"/>
      <c r="E516" s="1"/>
      <c r="F516" s="860"/>
      <c r="G516" s="838"/>
      <c r="H516" s="838"/>
      <c r="I516" s="878"/>
      <c r="J516" s="878"/>
      <c r="K516" s="878"/>
      <c r="L516" s="878"/>
    </row>
    <row r="517" spans="1:13" s="835" customFormat="1" ht="18.75" customHeight="1" x14ac:dyDescent="0.4">
      <c r="A517" s="485"/>
      <c r="B517" s="5"/>
      <c r="C517" s="878"/>
      <c r="D517" s="1"/>
      <c r="E517" s="1"/>
      <c r="F517" s="860"/>
      <c r="G517" s="838"/>
      <c r="H517" s="838"/>
      <c r="I517" s="878"/>
      <c r="J517" s="883"/>
      <c r="K517" s="878"/>
      <c r="L517" s="878"/>
    </row>
    <row r="518" spans="1:13" s="19" customFormat="1" ht="18.75" customHeight="1" x14ac:dyDescent="0.4">
      <c r="A518" s="622"/>
      <c r="B518" s="842"/>
      <c r="C518" s="843"/>
      <c r="D518" s="844"/>
      <c r="E518" s="842"/>
      <c r="F518" s="842"/>
      <c r="G518" s="845"/>
      <c r="H518" s="846">
        <f>SUM(H411:H442)</f>
        <v>15239478</v>
      </c>
      <c r="I518" s="847"/>
      <c r="J518" s="848"/>
      <c r="K518" s="849"/>
      <c r="L518" s="696"/>
    </row>
    <row r="519" spans="1:13" s="50" customFormat="1" ht="18.75" customHeight="1" x14ac:dyDescent="0.4">
      <c r="A519" s="482">
        <v>46265</v>
      </c>
      <c r="B519" s="59" t="s">
        <v>141</v>
      </c>
      <c r="C519" s="49" t="s">
        <v>142</v>
      </c>
      <c r="D519" s="59">
        <v>40220976</v>
      </c>
      <c r="E519" s="59" t="s">
        <v>17</v>
      </c>
      <c r="F519" s="7">
        <f>36*2+21</f>
        <v>93</v>
      </c>
      <c r="G519" s="49">
        <v>217347</v>
      </c>
      <c r="H519" s="7">
        <f>F519*G519</f>
        <v>20213271</v>
      </c>
      <c r="I519" s="68" t="s">
        <v>1849</v>
      </c>
      <c r="J519" s="67"/>
      <c r="K519" s="67"/>
      <c r="L519" s="409" t="s">
        <v>495</v>
      </c>
    </row>
    <row r="520" spans="1:13" s="3" customFormat="1" ht="18.75" customHeight="1" x14ac:dyDescent="0.4">
      <c r="A520" s="850">
        <v>46286</v>
      </c>
      <c r="B520" s="851" t="s">
        <v>141</v>
      </c>
      <c r="C520" s="852" t="s">
        <v>984</v>
      </c>
      <c r="D520" s="851">
        <v>40220977</v>
      </c>
      <c r="E520" s="851" t="s">
        <v>17</v>
      </c>
      <c r="F520" s="885">
        <v>61</v>
      </c>
      <c r="G520" s="886">
        <v>56745</v>
      </c>
      <c r="H520" s="838">
        <f>F520*G520</f>
        <v>3461445</v>
      </c>
      <c r="I520" s="525" t="s">
        <v>1804</v>
      </c>
      <c r="J520" s="887"/>
      <c r="K520" s="856"/>
      <c r="L520" s="140"/>
      <c r="M520" s="857"/>
    </row>
    <row r="521" spans="1:13" s="3" customFormat="1" ht="18.75" customHeight="1" x14ac:dyDescent="0.4">
      <c r="A521" s="850">
        <v>46286</v>
      </c>
      <c r="B521" s="851" t="s">
        <v>141</v>
      </c>
      <c r="C521" s="852" t="s">
        <v>984</v>
      </c>
      <c r="D521" s="851">
        <v>40220977</v>
      </c>
      <c r="E521" s="851" t="s">
        <v>17</v>
      </c>
      <c r="F521" s="885">
        <v>26</v>
      </c>
      <c r="G521" s="886">
        <v>56745</v>
      </c>
      <c r="H521" s="838">
        <f>F521*G521</f>
        <v>1475370</v>
      </c>
      <c r="I521" s="525" t="s">
        <v>1805</v>
      </c>
      <c r="J521" s="887" t="s">
        <v>1903</v>
      </c>
      <c r="K521" s="856"/>
      <c r="L521" s="140"/>
      <c r="M521" s="857"/>
    </row>
    <row r="522" spans="1:13" s="3" customFormat="1" ht="18.75" customHeight="1" x14ac:dyDescent="0.4">
      <c r="A522" s="850">
        <v>46286</v>
      </c>
      <c r="B522" s="851" t="s">
        <v>141</v>
      </c>
      <c r="C522" s="852" t="s">
        <v>984</v>
      </c>
      <c r="D522" s="851">
        <v>40220977</v>
      </c>
      <c r="E522" s="851" t="s">
        <v>17</v>
      </c>
      <c r="F522" s="885">
        <v>4</v>
      </c>
      <c r="G522" s="886">
        <v>56745</v>
      </c>
      <c r="H522" s="838" t="s">
        <v>1944</v>
      </c>
      <c r="I522" s="525" t="s">
        <v>1805</v>
      </c>
      <c r="J522" s="887" t="s">
        <v>1903</v>
      </c>
      <c r="K522" s="856"/>
      <c r="L522" s="140"/>
      <c r="M522" s="857"/>
    </row>
    <row r="523" spans="1:13" s="3" customFormat="1" ht="18.75" customHeight="1" x14ac:dyDescent="0.4">
      <c r="A523" s="850">
        <v>46286</v>
      </c>
      <c r="B523" s="851" t="s">
        <v>141</v>
      </c>
      <c r="C523" s="852" t="s">
        <v>984</v>
      </c>
      <c r="D523" s="851">
        <v>40220977</v>
      </c>
      <c r="E523" s="851" t="s">
        <v>17</v>
      </c>
      <c r="F523" s="885">
        <v>47</v>
      </c>
      <c r="G523" s="886">
        <v>56745</v>
      </c>
      <c r="H523" s="838">
        <f>F523*G523</f>
        <v>2667015</v>
      </c>
      <c r="I523" s="525" t="s">
        <v>1945</v>
      </c>
      <c r="J523" s="887" t="s">
        <v>1903</v>
      </c>
      <c r="K523" s="856"/>
      <c r="L523" s="140"/>
      <c r="M523" s="857"/>
    </row>
    <row r="524" spans="1:13" s="835" customFormat="1" ht="18.75" customHeight="1" x14ac:dyDescent="0.4">
      <c r="A524" s="850">
        <v>46294</v>
      </c>
      <c r="B524" s="871" t="s">
        <v>141</v>
      </c>
      <c r="C524" s="854" t="s">
        <v>142</v>
      </c>
      <c r="D524" s="871">
        <v>40220976</v>
      </c>
      <c r="E524" s="871" t="s">
        <v>17</v>
      </c>
      <c r="F524" s="838">
        <v>72</v>
      </c>
      <c r="G524" s="854">
        <v>217347</v>
      </c>
      <c r="H524" s="838">
        <f>F524*G524</f>
        <v>15648984</v>
      </c>
      <c r="I524" s="68" t="s">
        <v>1940</v>
      </c>
      <c r="J524" s="878"/>
      <c r="K524" s="878"/>
      <c r="L524" s="880" t="s">
        <v>495</v>
      </c>
    </row>
    <row r="525" spans="1:13" s="3" customFormat="1" ht="18.75" customHeight="1" x14ac:dyDescent="0.4">
      <c r="A525" s="888"/>
      <c r="B525" s="889"/>
      <c r="C525" s="849"/>
      <c r="D525" s="889"/>
      <c r="E525" s="889"/>
      <c r="F525" s="890">
        <f>SUM(F520:F523)</f>
        <v>138</v>
      </c>
      <c r="G525" s="891"/>
      <c r="H525" s="891">
        <f>SUM(H519:H522)</f>
        <v>25150086</v>
      </c>
      <c r="I525" s="891"/>
      <c r="J525" s="892"/>
      <c r="K525" s="893"/>
      <c r="L525" s="894"/>
      <c r="M525" s="857"/>
    </row>
    <row r="526" spans="1:13" s="19" customFormat="1" ht="18.75" customHeight="1" x14ac:dyDescent="0.4">
      <c r="A526" s="485">
        <v>46283</v>
      </c>
      <c r="B526" s="895" t="s">
        <v>1904</v>
      </c>
      <c r="C526" s="858" t="s">
        <v>145</v>
      </c>
      <c r="D526" s="859" t="s">
        <v>1905</v>
      </c>
      <c r="E526" s="855" t="s">
        <v>13</v>
      </c>
      <c r="F526" s="855">
        <v>5</v>
      </c>
      <c r="G526" s="860">
        <v>578970</v>
      </c>
      <c r="H526" s="838" t="s">
        <v>186</v>
      </c>
      <c r="I526" s="861"/>
      <c r="J526" s="862"/>
      <c r="K526" s="852"/>
      <c r="L526" s="405"/>
    </row>
    <row r="527" spans="1:13" s="19" customFormat="1" ht="18.75" customHeight="1" x14ac:dyDescent="0.4">
      <c r="A527" s="485">
        <v>46283</v>
      </c>
      <c r="B527" s="895" t="s">
        <v>1904</v>
      </c>
      <c r="C527" s="858" t="s">
        <v>144</v>
      </c>
      <c r="D527" s="859" t="s">
        <v>1906</v>
      </c>
      <c r="E527" s="855" t="s">
        <v>13</v>
      </c>
      <c r="F527" s="855">
        <v>60</v>
      </c>
      <c r="G527" s="860">
        <v>220770</v>
      </c>
      <c r="H527" s="838">
        <f>F527*G527</f>
        <v>13246200</v>
      </c>
      <c r="I527" s="861"/>
      <c r="J527" s="862"/>
      <c r="K527" s="852"/>
      <c r="L527" s="405"/>
    </row>
    <row r="528" spans="1:13" s="19" customFormat="1" ht="18.75" customHeight="1" x14ac:dyDescent="0.4">
      <c r="A528" s="622"/>
      <c r="B528" s="842"/>
      <c r="C528" s="843"/>
      <c r="D528" s="844"/>
      <c r="E528" s="842"/>
      <c r="F528" s="842"/>
      <c r="G528" s="845"/>
      <c r="H528" s="846">
        <f>SUM(H526:H527)</f>
        <v>13246200</v>
      </c>
      <c r="I528" s="847"/>
      <c r="J528" s="848"/>
      <c r="K528" s="849"/>
      <c r="L528" s="696"/>
    </row>
    <row r="529" spans="1:12" s="835" customFormat="1" ht="18.75" customHeight="1" x14ac:dyDescent="0.4">
      <c r="A529" s="872">
        <v>46273</v>
      </c>
      <c r="B529" s="871" t="s">
        <v>1138</v>
      </c>
      <c r="C529" s="854" t="s">
        <v>1521</v>
      </c>
      <c r="D529" s="871" t="s">
        <v>1696</v>
      </c>
      <c r="E529" s="871" t="s">
        <v>17</v>
      </c>
      <c r="F529" s="838">
        <v>19</v>
      </c>
      <c r="G529" s="854">
        <v>1317000</v>
      </c>
      <c r="H529" s="860">
        <f>F529*G529</f>
        <v>25023000</v>
      </c>
      <c r="I529" s="878"/>
      <c r="J529" s="878"/>
      <c r="K529" s="878"/>
      <c r="L529" s="880"/>
    </row>
    <row r="530" spans="1:12" s="835" customFormat="1" ht="18.75" customHeight="1" x14ac:dyDescent="0.4">
      <c r="A530" s="872">
        <v>46282</v>
      </c>
      <c r="B530" s="871" t="s">
        <v>1138</v>
      </c>
      <c r="C530" s="854" t="s">
        <v>1521</v>
      </c>
      <c r="D530" s="871" t="s">
        <v>1696</v>
      </c>
      <c r="E530" s="871" t="s">
        <v>17</v>
      </c>
      <c r="F530" s="838">
        <v>37</v>
      </c>
      <c r="G530" s="854">
        <v>1317000</v>
      </c>
      <c r="H530" s="860">
        <f>F530*G530</f>
        <v>48729000</v>
      </c>
      <c r="I530" s="878"/>
      <c r="J530" s="878"/>
      <c r="K530" s="878"/>
      <c r="L530" s="880"/>
    </row>
    <row r="531" spans="1:12" s="835" customFormat="1" ht="18.75" customHeight="1" x14ac:dyDescent="0.4">
      <c r="A531" s="872">
        <v>46282</v>
      </c>
      <c r="B531" s="871" t="s">
        <v>1138</v>
      </c>
      <c r="C531" s="854" t="s">
        <v>1521</v>
      </c>
      <c r="D531" s="871" t="s">
        <v>1696</v>
      </c>
      <c r="E531" s="871" t="s">
        <v>17</v>
      </c>
      <c r="F531" s="838">
        <v>7</v>
      </c>
      <c r="G531" s="854">
        <v>1317000</v>
      </c>
      <c r="H531" s="860" t="s">
        <v>1240</v>
      </c>
      <c r="I531" s="878">
        <f>G531*F531</f>
        <v>9219000</v>
      </c>
      <c r="J531" s="878"/>
      <c r="K531" s="878"/>
      <c r="L531" s="880"/>
    </row>
    <row r="532" spans="1:12" s="19" customFormat="1" ht="18.75" customHeight="1" x14ac:dyDescent="0.4">
      <c r="A532" s="622"/>
      <c r="B532" s="842"/>
      <c r="C532" s="843"/>
      <c r="D532" s="844"/>
      <c r="E532" s="842"/>
      <c r="F532" s="842"/>
      <c r="G532" s="845"/>
      <c r="H532" s="846">
        <f>SUM(H529:H531)</f>
        <v>73752000</v>
      </c>
      <c r="I532" s="847"/>
      <c r="J532" s="848"/>
      <c r="K532" s="849"/>
      <c r="L532" s="696"/>
    </row>
    <row r="533" spans="1:12" s="19" customFormat="1" ht="18.75" customHeight="1" x14ac:dyDescent="0.4">
      <c r="A533" s="485">
        <v>46265</v>
      </c>
      <c r="B533" s="8" t="s">
        <v>987</v>
      </c>
      <c r="C533" s="6" t="s">
        <v>160</v>
      </c>
      <c r="D533" s="69" t="s">
        <v>255</v>
      </c>
      <c r="E533" s="8"/>
      <c r="F533" s="8">
        <v>8</v>
      </c>
      <c r="G533" s="525">
        <f>J533*L533</f>
        <v>367994.88</v>
      </c>
      <c r="H533" s="7">
        <f t="shared" ref="H533:H544" si="14">F533*G533</f>
        <v>2943959.04</v>
      </c>
      <c r="I533" s="29" t="s">
        <v>1214</v>
      </c>
      <c r="J533" s="36">
        <v>42240</v>
      </c>
      <c r="K533" s="29" t="s">
        <v>1829</v>
      </c>
      <c r="L533" s="827">
        <v>8.7119999999999997</v>
      </c>
    </row>
    <row r="534" spans="1:12" s="19" customFormat="1" ht="18.75" customHeight="1" x14ac:dyDescent="0.4">
      <c r="A534" s="485">
        <v>46265</v>
      </c>
      <c r="B534" s="8" t="s">
        <v>987</v>
      </c>
      <c r="C534" s="6" t="s">
        <v>160</v>
      </c>
      <c r="D534" s="69" t="s">
        <v>1831</v>
      </c>
      <c r="E534" s="8"/>
      <c r="F534" s="8">
        <v>8</v>
      </c>
      <c r="G534" s="525">
        <f t="shared" ref="G534:G597" si="15">J534*L534</f>
        <v>485868.24</v>
      </c>
      <c r="H534" s="7">
        <f t="shared" si="14"/>
        <v>3886945.92</v>
      </c>
      <c r="I534" s="29" t="s">
        <v>1593</v>
      </c>
      <c r="J534" s="36">
        <v>55770</v>
      </c>
      <c r="K534" s="29" t="s">
        <v>1829</v>
      </c>
      <c r="L534" s="827">
        <v>8.7119999999999997</v>
      </c>
    </row>
    <row r="535" spans="1:12" s="19" customFormat="1" ht="18.75" customHeight="1" x14ac:dyDescent="0.4">
      <c r="A535" s="485">
        <v>46265</v>
      </c>
      <c r="B535" s="8" t="s">
        <v>987</v>
      </c>
      <c r="C535" s="6" t="s">
        <v>154</v>
      </c>
      <c r="D535" s="69" t="s">
        <v>266</v>
      </c>
      <c r="E535" s="8"/>
      <c r="F535" s="8">
        <v>4</v>
      </c>
      <c r="G535" s="525">
        <f t="shared" si="15"/>
        <v>3762277.1999999997</v>
      </c>
      <c r="H535" s="7">
        <f t="shared" si="14"/>
        <v>15049108.799999999</v>
      </c>
      <c r="I535" s="29" t="s">
        <v>1593</v>
      </c>
      <c r="J535" s="36">
        <v>431850</v>
      </c>
      <c r="K535" s="29" t="s">
        <v>1829</v>
      </c>
      <c r="L535" s="827">
        <v>8.7119999999999997</v>
      </c>
    </row>
    <row r="536" spans="1:12" s="19" customFormat="1" ht="18.75" customHeight="1" x14ac:dyDescent="0.4">
      <c r="A536" s="485">
        <v>46265</v>
      </c>
      <c r="B536" s="8" t="s">
        <v>987</v>
      </c>
      <c r="C536" s="6" t="s">
        <v>154</v>
      </c>
      <c r="D536" s="69" t="s">
        <v>336</v>
      </c>
      <c r="E536" s="8"/>
      <c r="F536" s="8">
        <v>8</v>
      </c>
      <c r="G536" s="525">
        <f t="shared" si="15"/>
        <v>3762277.1999999997</v>
      </c>
      <c r="H536" s="7">
        <f t="shared" si="14"/>
        <v>30098217.599999998</v>
      </c>
      <c r="I536" s="29" t="s">
        <v>1830</v>
      </c>
      <c r="J536" s="36">
        <v>431850</v>
      </c>
      <c r="K536" s="29" t="s">
        <v>1829</v>
      </c>
      <c r="L536" s="827">
        <v>8.7119999999999997</v>
      </c>
    </row>
    <row r="537" spans="1:12" s="19" customFormat="1" ht="18.75" customHeight="1" x14ac:dyDescent="0.4">
      <c r="A537" s="485">
        <v>46265</v>
      </c>
      <c r="B537" s="8" t="s">
        <v>987</v>
      </c>
      <c r="C537" s="6" t="s">
        <v>156</v>
      </c>
      <c r="D537" s="69" t="s">
        <v>261</v>
      </c>
      <c r="E537" s="8"/>
      <c r="F537" s="8">
        <v>1</v>
      </c>
      <c r="G537" s="525">
        <f t="shared" si="15"/>
        <v>2005589.52</v>
      </c>
      <c r="H537" s="7">
        <f t="shared" si="14"/>
        <v>2005589.52</v>
      </c>
      <c r="I537" s="29" t="s">
        <v>1482</v>
      </c>
      <c r="J537" s="36">
        <v>230210</v>
      </c>
      <c r="K537" s="29" t="s">
        <v>1829</v>
      </c>
      <c r="L537" s="827">
        <v>8.7119999999999997</v>
      </c>
    </row>
    <row r="538" spans="1:12" s="19" customFormat="1" ht="18.75" customHeight="1" x14ac:dyDescent="0.4">
      <c r="A538" s="485">
        <v>46265</v>
      </c>
      <c r="B538" s="8" t="s">
        <v>987</v>
      </c>
      <c r="C538" s="6" t="s">
        <v>154</v>
      </c>
      <c r="D538" s="69" t="s">
        <v>652</v>
      </c>
      <c r="E538" s="8"/>
      <c r="F538" s="8">
        <v>1</v>
      </c>
      <c r="G538" s="525">
        <f t="shared" si="15"/>
        <v>1431642.96</v>
      </c>
      <c r="H538" s="7">
        <f t="shared" si="14"/>
        <v>1431642.96</v>
      </c>
      <c r="I538" s="29" t="s">
        <v>1482</v>
      </c>
      <c r="J538" s="36">
        <v>164330</v>
      </c>
      <c r="K538" s="29" t="s">
        <v>1829</v>
      </c>
      <c r="L538" s="827">
        <v>8.7119999999999997</v>
      </c>
    </row>
    <row r="539" spans="1:12" s="19" customFormat="1" ht="18.75" customHeight="1" x14ac:dyDescent="0.4">
      <c r="A539" s="485">
        <v>46265</v>
      </c>
      <c r="B539" s="8" t="s">
        <v>987</v>
      </c>
      <c r="C539" s="6" t="s">
        <v>154</v>
      </c>
      <c r="D539" s="69" t="s">
        <v>653</v>
      </c>
      <c r="E539" s="8"/>
      <c r="F539" s="8">
        <v>1</v>
      </c>
      <c r="G539" s="525">
        <f t="shared" si="15"/>
        <v>1431642.96</v>
      </c>
      <c r="H539" s="7">
        <f t="shared" si="14"/>
        <v>1431642.96</v>
      </c>
      <c r="I539" s="29" t="s">
        <v>1608</v>
      </c>
      <c r="J539" s="36">
        <v>164330</v>
      </c>
      <c r="K539" s="29" t="s">
        <v>1829</v>
      </c>
      <c r="L539" s="827">
        <v>8.7119999999999997</v>
      </c>
    </row>
    <row r="540" spans="1:12" s="19" customFormat="1" ht="18.75" customHeight="1" x14ac:dyDescent="0.4">
      <c r="A540" s="485">
        <v>46265</v>
      </c>
      <c r="B540" s="8" t="s">
        <v>987</v>
      </c>
      <c r="C540" s="6" t="s">
        <v>154</v>
      </c>
      <c r="D540" s="69" t="s">
        <v>653</v>
      </c>
      <c r="E540" s="8"/>
      <c r="F540" s="8">
        <v>1</v>
      </c>
      <c r="G540" s="525">
        <f t="shared" si="15"/>
        <v>1495414.8</v>
      </c>
      <c r="H540" s="7">
        <f t="shared" si="14"/>
        <v>1495414.8</v>
      </c>
      <c r="I540" s="29" t="s">
        <v>1826</v>
      </c>
      <c r="J540" s="36">
        <v>171650</v>
      </c>
      <c r="K540" s="29" t="s">
        <v>1829</v>
      </c>
      <c r="L540" s="827">
        <v>8.7119999999999997</v>
      </c>
    </row>
    <row r="541" spans="1:12" s="19" customFormat="1" ht="18.75" customHeight="1" x14ac:dyDescent="0.4">
      <c r="A541" s="485">
        <v>46265</v>
      </c>
      <c r="B541" s="8" t="s">
        <v>987</v>
      </c>
      <c r="C541" s="6" t="s">
        <v>154</v>
      </c>
      <c r="D541" s="69" t="s">
        <v>653</v>
      </c>
      <c r="E541" s="8"/>
      <c r="F541" s="8">
        <v>1</v>
      </c>
      <c r="G541" s="525">
        <f t="shared" si="15"/>
        <v>1495414.8</v>
      </c>
      <c r="H541" s="7">
        <f t="shared" si="14"/>
        <v>1495414.8</v>
      </c>
      <c r="I541" s="29" t="s">
        <v>1827</v>
      </c>
      <c r="J541" s="36">
        <v>171650</v>
      </c>
      <c r="K541" s="29" t="s">
        <v>1829</v>
      </c>
      <c r="L541" s="827">
        <v>8.7119999999999997</v>
      </c>
    </row>
    <row r="542" spans="1:12" s="19" customFormat="1" ht="18.75" customHeight="1" x14ac:dyDescent="0.4">
      <c r="A542" s="485">
        <v>46265</v>
      </c>
      <c r="B542" s="8" t="s">
        <v>987</v>
      </c>
      <c r="C542" s="6" t="s">
        <v>152</v>
      </c>
      <c r="D542" s="69" t="s">
        <v>263</v>
      </c>
      <c r="E542" s="8"/>
      <c r="F542" s="8">
        <v>5</v>
      </c>
      <c r="G542" s="525">
        <f t="shared" si="15"/>
        <v>893154.24</v>
      </c>
      <c r="H542" s="7">
        <f t="shared" si="14"/>
        <v>4465771.2</v>
      </c>
      <c r="I542" s="29" t="s">
        <v>1954</v>
      </c>
      <c r="J542" s="36">
        <v>102520</v>
      </c>
      <c r="K542" s="29" t="s">
        <v>1829</v>
      </c>
      <c r="L542" s="827">
        <v>8.7119999999999997</v>
      </c>
    </row>
    <row r="543" spans="1:12" s="19" customFormat="1" ht="18.75" customHeight="1" x14ac:dyDescent="0.4">
      <c r="A543" s="485">
        <v>46265</v>
      </c>
      <c r="B543" s="8" t="s">
        <v>987</v>
      </c>
      <c r="C543" s="6" t="s">
        <v>150</v>
      </c>
      <c r="D543" s="69" t="s">
        <v>334</v>
      </c>
      <c r="E543" s="8"/>
      <c r="F543" s="8">
        <v>4</v>
      </c>
      <c r="G543" s="525">
        <f t="shared" si="15"/>
        <v>292897.44</v>
      </c>
      <c r="H543" s="7">
        <f t="shared" si="14"/>
        <v>1171589.76</v>
      </c>
      <c r="I543" s="29" t="s">
        <v>1825</v>
      </c>
      <c r="J543" s="36">
        <v>33620</v>
      </c>
      <c r="K543" s="29" t="s">
        <v>1829</v>
      </c>
      <c r="L543" s="827">
        <v>8.7119999999999997</v>
      </c>
    </row>
    <row r="544" spans="1:12" s="19" customFormat="1" ht="18.75" customHeight="1" x14ac:dyDescent="0.4">
      <c r="A544" s="485">
        <v>46265</v>
      </c>
      <c r="B544" s="8" t="s">
        <v>987</v>
      </c>
      <c r="C544" s="6" t="s">
        <v>157</v>
      </c>
      <c r="D544" s="69" t="s">
        <v>259</v>
      </c>
      <c r="E544" s="8"/>
      <c r="F544" s="8">
        <v>8</v>
      </c>
      <c r="G544" s="525">
        <f t="shared" si="15"/>
        <v>3636998.6399999997</v>
      </c>
      <c r="H544" s="7">
        <f t="shared" si="14"/>
        <v>29095989.119999997</v>
      </c>
      <c r="I544" s="29" t="s">
        <v>1832</v>
      </c>
      <c r="J544" s="36">
        <v>417470</v>
      </c>
      <c r="K544" s="29" t="s">
        <v>1829</v>
      </c>
      <c r="L544" s="827">
        <v>8.7119999999999997</v>
      </c>
    </row>
    <row r="545" spans="1:12" s="19" customFormat="1" ht="18.75" customHeight="1" x14ac:dyDescent="0.4">
      <c r="A545" s="485">
        <v>46269</v>
      </c>
      <c r="B545" s="855" t="s">
        <v>987</v>
      </c>
      <c r="C545" s="858" t="s">
        <v>158</v>
      </c>
      <c r="D545" s="859" t="s">
        <v>252</v>
      </c>
      <c r="E545" s="855"/>
      <c r="F545" s="855">
        <v>8</v>
      </c>
      <c r="G545" s="525">
        <f t="shared" si="15"/>
        <v>3822476.1300000004</v>
      </c>
      <c r="H545" s="854">
        <f t="shared" ref="H545:H608" si="16">F545*G545</f>
        <v>30579809.040000003</v>
      </c>
      <c r="I545" s="861" t="s">
        <v>1907</v>
      </c>
      <c r="J545" s="855">
        <v>440550</v>
      </c>
      <c r="K545" s="862" t="s">
        <v>1908</v>
      </c>
      <c r="L545" s="405">
        <v>8.6766000000000005</v>
      </c>
    </row>
    <row r="546" spans="1:12" s="19" customFormat="1" ht="18.75" customHeight="1" x14ac:dyDescent="0.4">
      <c r="A546" s="485">
        <v>46269</v>
      </c>
      <c r="B546" s="855" t="s">
        <v>987</v>
      </c>
      <c r="C546" s="858" t="s">
        <v>157</v>
      </c>
      <c r="D546" s="859" t="s">
        <v>259</v>
      </c>
      <c r="E546" s="855"/>
      <c r="F546" s="855">
        <v>8</v>
      </c>
      <c r="G546" s="525">
        <f t="shared" si="15"/>
        <v>3274375.3080000002</v>
      </c>
      <c r="H546" s="854">
        <f t="shared" si="16"/>
        <v>26195002.464000002</v>
      </c>
      <c r="I546" s="861" t="s">
        <v>1907</v>
      </c>
      <c r="J546" s="855">
        <v>377380</v>
      </c>
      <c r="K546" s="862" t="s">
        <v>1908</v>
      </c>
      <c r="L546" s="405">
        <v>8.6766000000000005</v>
      </c>
    </row>
    <row r="547" spans="1:12" s="19" customFormat="1" ht="18.75" customHeight="1" x14ac:dyDescent="0.4">
      <c r="A547" s="485">
        <v>46269</v>
      </c>
      <c r="B547" s="855" t="s">
        <v>987</v>
      </c>
      <c r="C547" s="858" t="s">
        <v>150</v>
      </c>
      <c r="D547" s="859" t="s">
        <v>256</v>
      </c>
      <c r="E547" s="855"/>
      <c r="F547" s="855">
        <v>8</v>
      </c>
      <c r="G547" s="525">
        <f t="shared" si="15"/>
        <v>1092210.4080000001</v>
      </c>
      <c r="H547" s="854">
        <f t="shared" si="16"/>
        <v>8737683.2640000004</v>
      </c>
      <c r="I547" s="861" t="s">
        <v>1811</v>
      </c>
      <c r="J547" s="855">
        <v>125880</v>
      </c>
      <c r="K547" s="862" t="s">
        <v>1908</v>
      </c>
      <c r="L547" s="405">
        <v>8.6766000000000005</v>
      </c>
    </row>
    <row r="548" spans="1:12" s="19" customFormat="1" ht="18.75" customHeight="1" x14ac:dyDescent="0.4">
      <c r="A548" s="485">
        <v>46269</v>
      </c>
      <c r="B548" s="855" t="s">
        <v>987</v>
      </c>
      <c r="C548" s="858" t="s">
        <v>160</v>
      </c>
      <c r="D548" s="859" t="s">
        <v>255</v>
      </c>
      <c r="E548" s="855"/>
      <c r="F548" s="855">
        <v>8</v>
      </c>
      <c r="G548" s="525">
        <f t="shared" si="15"/>
        <v>366499.58400000003</v>
      </c>
      <c r="H548" s="854">
        <f t="shared" si="16"/>
        <v>2931996.6720000003</v>
      </c>
      <c r="I548" s="861" t="s">
        <v>1811</v>
      </c>
      <c r="J548" s="855">
        <v>42240</v>
      </c>
      <c r="K548" s="862" t="s">
        <v>1908</v>
      </c>
      <c r="L548" s="405">
        <v>8.6766000000000005</v>
      </c>
    </row>
    <row r="549" spans="1:12" s="19" customFormat="1" ht="18.75" customHeight="1" x14ac:dyDescent="0.4">
      <c r="A549" s="485">
        <v>46269</v>
      </c>
      <c r="B549" s="855" t="s">
        <v>987</v>
      </c>
      <c r="C549" s="858" t="s">
        <v>153</v>
      </c>
      <c r="D549" s="859" t="s">
        <v>392</v>
      </c>
      <c r="E549" s="855"/>
      <c r="F549" s="855">
        <v>8</v>
      </c>
      <c r="G549" s="525">
        <f t="shared" si="15"/>
        <v>2726795.0819999999</v>
      </c>
      <c r="H549" s="854">
        <f t="shared" si="16"/>
        <v>21814360.655999999</v>
      </c>
      <c r="I549" s="861" t="s">
        <v>1907</v>
      </c>
      <c r="J549" s="855">
        <v>314270</v>
      </c>
      <c r="K549" s="862" t="s">
        <v>1908</v>
      </c>
      <c r="L549" s="405">
        <v>8.6766000000000005</v>
      </c>
    </row>
    <row r="550" spans="1:12" s="19" customFormat="1" ht="18.75" customHeight="1" x14ac:dyDescent="0.4">
      <c r="A550" s="485">
        <v>46269</v>
      </c>
      <c r="B550" s="855" t="s">
        <v>987</v>
      </c>
      <c r="C550" s="858" t="s">
        <v>156</v>
      </c>
      <c r="D550" s="859" t="s">
        <v>261</v>
      </c>
      <c r="E550" s="855"/>
      <c r="F550" s="855">
        <v>1</v>
      </c>
      <c r="G550" s="525">
        <f t="shared" si="15"/>
        <v>1997440.0860000001</v>
      </c>
      <c r="H550" s="854">
        <f t="shared" si="16"/>
        <v>1997440.0860000001</v>
      </c>
      <c r="I550" s="861" t="s">
        <v>1909</v>
      </c>
      <c r="J550" s="855">
        <v>230210</v>
      </c>
      <c r="K550" s="862" t="s">
        <v>1908</v>
      </c>
      <c r="L550" s="405">
        <v>8.6766000000000005</v>
      </c>
    </row>
    <row r="551" spans="1:12" s="19" customFormat="1" ht="18.75" customHeight="1" x14ac:dyDescent="0.4">
      <c r="A551" s="485">
        <v>46269</v>
      </c>
      <c r="B551" s="855" t="s">
        <v>987</v>
      </c>
      <c r="C551" s="858" t="s">
        <v>154</v>
      </c>
      <c r="D551" s="859" t="s">
        <v>652</v>
      </c>
      <c r="E551" s="855"/>
      <c r="F551" s="855">
        <v>1</v>
      </c>
      <c r="G551" s="525">
        <f t="shared" si="15"/>
        <v>1425825.6780000001</v>
      </c>
      <c r="H551" s="854">
        <f t="shared" si="16"/>
        <v>1425825.6780000001</v>
      </c>
      <c r="I551" s="861" t="s">
        <v>1909</v>
      </c>
      <c r="J551" s="855">
        <v>164330</v>
      </c>
      <c r="K551" s="862" t="s">
        <v>1908</v>
      </c>
      <c r="L551" s="405">
        <v>8.6766000000000005</v>
      </c>
    </row>
    <row r="552" spans="1:12" s="19" customFormat="1" ht="18.75" customHeight="1" x14ac:dyDescent="0.4">
      <c r="A552" s="485">
        <v>46269</v>
      </c>
      <c r="B552" s="855" t="s">
        <v>987</v>
      </c>
      <c r="C552" s="858" t="s">
        <v>154</v>
      </c>
      <c r="D552" s="859" t="s">
        <v>653</v>
      </c>
      <c r="E552" s="855"/>
      <c r="F552" s="855">
        <v>1</v>
      </c>
      <c r="G552" s="525">
        <f t="shared" si="15"/>
        <v>1489338.3900000001</v>
      </c>
      <c r="H552" s="854">
        <f t="shared" si="16"/>
        <v>1489338.3900000001</v>
      </c>
      <c r="I552" s="861" t="s">
        <v>1828</v>
      </c>
      <c r="J552" s="855">
        <v>171650</v>
      </c>
      <c r="K552" s="862" t="s">
        <v>1908</v>
      </c>
      <c r="L552" s="405">
        <v>8.6766000000000005</v>
      </c>
    </row>
    <row r="553" spans="1:12" s="19" customFormat="1" ht="18.75" customHeight="1" x14ac:dyDescent="0.4">
      <c r="A553" s="485">
        <v>46269</v>
      </c>
      <c r="B553" s="855" t="s">
        <v>987</v>
      </c>
      <c r="C553" s="858" t="s">
        <v>152</v>
      </c>
      <c r="D553" s="859" t="s">
        <v>263</v>
      </c>
      <c r="E553" s="855"/>
      <c r="F553" s="855">
        <v>4</v>
      </c>
      <c r="G553" s="525">
        <f t="shared" si="15"/>
        <v>889525.03200000001</v>
      </c>
      <c r="H553" s="854">
        <f t="shared" si="16"/>
        <v>3558100.128</v>
      </c>
      <c r="I553" s="861" t="s">
        <v>1909</v>
      </c>
      <c r="J553" s="855">
        <v>102520</v>
      </c>
      <c r="K553" s="862" t="s">
        <v>1908</v>
      </c>
      <c r="L553" s="405">
        <v>8.6766000000000005</v>
      </c>
    </row>
    <row r="554" spans="1:12" s="19" customFormat="1" ht="18.75" customHeight="1" x14ac:dyDescent="0.4">
      <c r="A554" s="485">
        <v>46269</v>
      </c>
      <c r="B554" s="855" t="s">
        <v>987</v>
      </c>
      <c r="C554" s="858" t="s">
        <v>152</v>
      </c>
      <c r="D554" s="859" t="s">
        <v>159</v>
      </c>
      <c r="E554" s="855"/>
      <c r="F554" s="855">
        <v>4</v>
      </c>
      <c r="G554" s="525">
        <f t="shared" si="15"/>
        <v>889525.03200000001</v>
      </c>
      <c r="H554" s="854">
        <f t="shared" si="16"/>
        <v>3558100.128</v>
      </c>
      <c r="I554" s="861" t="s">
        <v>1910</v>
      </c>
      <c r="J554" s="855">
        <v>102520</v>
      </c>
      <c r="K554" s="862" t="s">
        <v>1908</v>
      </c>
      <c r="L554" s="405">
        <v>8.6766000000000005</v>
      </c>
    </row>
    <row r="555" spans="1:12" s="19" customFormat="1" ht="18.75" customHeight="1" x14ac:dyDescent="0.4">
      <c r="A555" s="485">
        <v>46269</v>
      </c>
      <c r="B555" s="855" t="s">
        <v>987</v>
      </c>
      <c r="C555" s="858" t="s">
        <v>161</v>
      </c>
      <c r="D555" s="859" t="s">
        <v>1005</v>
      </c>
      <c r="E555" s="855"/>
      <c r="F555" s="855">
        <v>4</v>
      </c>
      <c r="G555" s="525">
        <f t="shared" si="15"/>
        <v>236784.41400000002</v>
      </c>
      <c r="H555" s="854">
        <f t="shared" si="16"/>
        <v>947137.65600000008</v>
      </c>
      <c r="I555" s="861" t="s">
        <v>1460</v>
      </c>
      <c r="J555" s="855">
        <v>27290</v>
      </c>
      <c r="K555" s="862" t="s">
        <v>1908</v>
      </c>
      <c r="L555" s="405">
        <v>8.6766000000000005</v>
      </c>
    </row>
    <row r="556" spans="1:12" s="19" customFormat="1" ht="18.75" customHeight="1" x14ac:dyDescent="0.4">
      <c r="A556" s="485">
        <v>46269</v>
      </c>
      <c r="B556" s="855" t="s">
        <v>987</v>
      </c>
      <c r="C556" s="858" t="s">
        <v>161</v>
      </c>
      <c r="D556" s="859" t="s">
        <v>1208</v>
      </c>
      <c r="E556" s="855"/>
      <c r="F556" s="855">
        <v>4</v>
      </c>
      <c r="G556" s="525">
        <f t="shared" si="15"/>
        <v>241296.24600000001</v>
      </c>
      <c r="H556" s="854">
        <f t="shared" si="16"/>
        <v>965184.98400000005</v>
      </c>
      <c r="I556" s="861" t="s">
        <v>1598</v>
      </c>
      <c r="J556" s="855">
        <v>27810</v>
      </c>
      <c r="K556" s="862" t="s">
        <v>1908</v>
      </c>
      <c r="L556" s="405">
        <v>8.6766000000000005</v>
      </c>
    </row>
    <row r="557" spans="1:12" s="19" customFormat="1" ht="18.75" customHeight="1" x14ac:dyDescent="0.4">
      <c r="A557" s="485">
        <v>46269</v>
      </c>
      <c r="B557" s="855" t="s">
        <v>987</v>
      </c>
      <c r="C557" s="858" t="s">
        <v>161</v>
      </c>
      <c r="D557" s="859" t="s">
        <v>1208</v>
      </c>
      <c r="E557" s="855"/>
      <c r="F557" s="855">
        <v>4</v>
      </c>
      <c r="G557" s="525">
        <f t="shared" si="15"/>
        <v>241296.24600000001</v>
      </c>
      <c r="H557" s="854">
        <f t="shared" si="16"/>
        <v>965184.98400000005</v>
      </c>
      <c r="I557" s="861" t="s">
        <v>1699</v>
      </c>
      <c r="J557" s="855">
        <v>27810</v>
      </c>
      <c r="K557" s="862" t="s">
        <v>1908</v>
      </c>
      <c r="L557" s="405">
        <v>8.6766000000000005</v>
      </c>
    </row>
    <row r="558" spans="1:12" s="19" customFormat="1" ht="18.75" customHeight="1" x14ac:dyDescent="0.4">
      <c r="A558" s="485">
        <v>46269</v>
      </c>
      <c r="B558" s="855" t="s">
        <v>987</v>
      </c>
      <c r="C558" s="858" t="s">
        <v>161</v>
      </c>
      <c r="D558" s="859" t="s">
        <v>1208</v>
      </c>
      <c r="E558" s="855"/>
      <c r="F558" s="855">
        <v>2</v>
      </c>
      <c r="G558" s="525">
        <f t="shared" si="15"/>
        <v>241296.24600000001</v>
      </c>
      <c r="H558" s="854">
        <f t="shared" si="16"/>
        <v>482592.49200000003</v>
      </c>
      <c r="I558" s="861" t="s">
        <v>1700</v>
      </c>
      <c r="J558" s="855">
        <v>27810</v>
      </c>
      <c r="K558" s="862" t="s">
        <v>1908</v>
      </c>
      <c r="L558" s="405">
        <v>8.6766000000000005</v>
      </c>
    </row>
    <row r="559" spans="1:12" s="19" customFormat="1" ht="18.75" customHeight="1" x14ac:dyDescent="0.4">
      <c r="A559" s="485">
        <v>46269</v>
      </c>
      <c r="B559" s="855" t="s">
        <v>987</v>
      </c>
      <c r="C559" s="858" t="s">
        <v>160</v>
      </c>
      <c r="D559" s="859" t="s">
        <v>274</v>
      </c>
      <c r="E559" s="855"/>
      <c r="F559" s="855">
        <v>2</v>
      </c>
      <c r="G559" s="525">
        <f t="shared" si="15"/>
        <v>47565.121200000001</v>
      </c>
      <c r="H559" s="854">
        <f t="shared" si="16"/>
        <v>95130.242400000003</v>
      </c>
      <c r="I559" s="861" t="s">
        <v>1911</v>
      </c>
      <c r="J559" s="855">
        <v>5482</v>
      </c>
      <c r="K559" s="862" t="s">
        <v>1908</v>
      </c>
      <c r="L559" s="405">
        <v>8.6766000000000005</v>
      </c>
    </row>
    <row r="560" spans="1:12" s="19" customFormat="1" ht="18.75" customHeight="1" x14ac:dyDescent="0.4">
      <c r="A560" s="485">
        <v>46269</v>
      </c>
      <c r="B560" s="855" t="s">
        <v>987</v>
      </c>
      <c r="C560" s="858" t="s">
        <v>150</v>
      </c>
      <c r="D560" s="859" t="s">
        <v>391</v>
      </c>
      <c r="E560" s="855"/>
      <c r="F560" s="855">
        <v>1</v>
      </c>
      <c r="G560" s="525">
        <f t="shared" si="15"/>
        <v>174576.66264000002</v>
      </c>
      <c r="H560" s="854">
        <f t="shared" si="16"/>
        <v>174576.66264000002</v>
      </c>
      <c r="I560" s="861" t="s">
        <v>1912</v>
      </c>
      <c r="J560" s="855">
        <v>20120.400000000001</v>
      </c>
      <c r="K560" s="862" t="s">
        <v>1908</v>
      </c>
      <c r="L560" s="405">
        <v>8.6766000000000005</v>
      </c>
    </row>
    <row r="561" spans="1:12" s="19" customFormat="1" ht="18.75" customHeight="1" x14ac:dyDescent="0.4">
      <c r="A561" s="485">
        <v>46269</v>
      </c>
      <c r="B561" s="855" t="s">
        <v>987</v>
      </c>
      <c r="C561" s="858" t="s">
        <v>150</v>
      </c>
      <c r="D561" s="859" t="s">
        <v>391</v>
      </c>
      <c r="E561" s="855"/>
      <c r="F561" s="855">
        <v>1</v>
      </c>
      <c r="G561" s="525">
        <f t="shared" si="15"/>
        <v>174576.66264000002</v>
      </c>
      <c r="H561" s="854">
        <f t="shared" si="16"/>
        <v>174576.66264000002</v>
      </c>
      <c r="I561" s="861" t="s">
        <v>1913</v>
      </c>
      <c r="J561" s="855">
        <v>20120.400000000001</v>
      </c>
      <c r="K561" s="862" t="s">
        <v>1908</v>
      </c>
      <c r="L561" s="405">
        <v>8.6766000000000005</v>
      </c>
    </row>
    <row r="562" spans="1:12" s="19" customFormat="1" ht="18.75" customHeight="1" x14ac:dyDescent="0.4">
      <c r="A562" s="485">
        <v>46276</v>
      </c>
      <c r="B562" s="855" t="s">
        <v>987</v>
      </c>
      <c r="C562" s="858" t="s">
        <v>154</v>
      </c>
      <c r="D562" s="859" t="s">
        <v>267</v>
      </c>
      <c r="E562" s="855"/>
      <c r="F562" s="855">
        <v>1</v>
      </c>
      <c r="G562" s="525">
        <f t="shared" si="15"/>
        <v>3765596.7499999995</v>
      </c>
      <c r="H562" s="854">
        <f t="shared" si="16"/>
        <v>3765596.7499999995</v>
      </c>
      <c r="I562" s="861" t="s">
        <v>1474</v>
      </c>
      <c r="J562" s="855">
        <v>429740</v>
      </c>
      <c r="K562" s="862" t="s">
        <v>1914</v>
      </c>
      <c r="L562" s="405">
        <v>8.7624999999999993</v>
      </c>
    </row>
    <row r="563" spans="1:12" s="19" customFormat="1" ht="18.75" customHeight="1" x14ac:dyDescent="0.4">
      <c r="A563" s="485">
        <v>46276</v>
      </c>
      <c r="B563" s="855" t="s">
        <v>987</v>
      </c>
      <c r="C563" s="858" t="s">
        <v>154</v>
      </c>
      <c r="D563" s="859" t="s">
        <v>268</v>
      </c>
      <c r="E563" s="855"/>
      <c r="F563" s="855">
        <v>8</v>
      </c>
      <c r="G563" s="525">
        <f t="shared" si="15"/>
        <v>3765596.7499999995</v>
      </c>
      <c r="H563" s="854">
        <f t="shared" si="16"/>
        <v>30124773.999999996</v>
      </c>
      <c r="I563" s="861" t="s">
        <v>1907</v>
      </c>
      <c r="J563" s="855">
        <v>429740</v>
      </c>
      <c r="K563" s="862" t="s">
        <v>1914</v>
      </c>
      <c r="L563" s="405">
        <v>8.7624999999999993</v>
      </c>
    </row>
    <row r="564" spans="1:12" s="19" customFormat="1" ht="18.75" customHeight="1" x14ac:dyDescent="0.4">
      <c r="A564" s="485">
        <v>46276</v>
      </c>
      <c r="B564" s="855" t="s">
        <v>987</v>
      </c>
      <c r="C564" s="858" t="s">
        <v>154</v>
      </c>
      <c r="D564" s="859" t="s">
        <v>268</v>
      </c>
      <c r="E564" s="855"/>
      <c r="F564" s="855">
        <v>8</v>
      </c>
      <c r="G564" s="525">
        <f t="shared" si="15"/>
        <v>3765596.7499999995</v>
      </c>
      <c r="H564" s="854">
        <f t="shared" si="16"/>
        <v>30124773.999999996</v>
      </c>
      <c r="I564" s="861" t="s">
        <v>1817</v>
      </c>
      <c r="J564" s="855">
        <v>429740</v>
      </c>
      <c r="K564" s="862" t="s">
        <v>1914</v>
      </c>
      <c r="L564" s="405">
        <v>8.7624999999999993</v>
      </c>
    </row>
    <row r="565" spans="1:12" s="19" customFormat="1" ht="18.75" customHeight="1" x14ac:dyDescent="0.4">
      <c r="A565" s="485">
        <v>46276</v>
      </c>
      <c r="B565" s="855" t="s">
        <v>987</v>
      </c>
      <c r="C565" s="858" t="s">
        <v>154</v>
      </c>
      <c r="D565" s="859" t="s">
        <v>268</v>
      </c>
      <c r="E565" s="855"/>
      <c r="F565" s="855">
        <v>5</v>
      </c>
      <c r="G565" s="525">
        <f t="shared" si="15"/>
        <v>3765596.7499999995</v>
      </c>
      <c r="H565" s="854">
        <f t="shared" si="16"/>
        <v>18827983.749999996</v>
      </c>
      <c r="I565" s="861" t="s">
        <v>1595</v>
      </c>
      <c r="J565" s="855">
        <v>429740</v>
      </c>
      <c r="K565" s="862" t="s">
        <v>1914</v>
      </c>
      <c r="L565" s="405">
        <v>8.7624999999999993</v>
      </c>
    </row>
    <row r="566" spans="1:12" s="19" customFormat="1" ht="18.75" customHeight="1" x14ac:dyDescent="0.4">
      <c r="A566" s="485">
        <v>46276</v>
      </c>
      <c r="B566" s="855" t="s">
        <v>987</v>
      </c>
      <c r="C566" s="858" t="s">
        <v>155</v>
      </c>
      <c r="D566" s="859" t="s">
        <v>253</v>
      </c>
      <c r="E566" s="855"/>
      <c r="F566" s="855">
        <v>8</v>
      </c>
      <c r="G566" s="525">
        <f t="shared" si="15"/>
        <v>3548637.2499999995</v>
      </c>
      <c r="H566" s="854">
        <f t="shared" si="16"/>
        <v>28389097.999999996</v>
      </c>
      <c r="I566" s="861" t="s">
        <v>1907</v>
      </c>
      <c r="J566" s="855">
        <v>404980</v>
      </c>
      <c r="K566" s="862" t="s">
        <v>1914</v>
      </c>
      <c r="L566" s="405">
        <v>8.7624999999999993</v>
      </c>
    </row>
    <row r="567" spans="1:12" s="19" customFormat="1" ht="18.75" customHeight="1" x14ac:dyDescent="0.4">
      <c r="A567" s="485">
        <v>46276</v>
      </c>
      <c r="B567" s="855" t="s">
        <v>987</v>
      </c>
      <c r="C567" s="858" t="s">
        <v>150</v>
      </c>
      <c r="D567" s="859" t="s">
        <v>256</v>
      </c>
      <c r="E567" s="855"/>
      <c r="F567" s="855">
        <v>8</v>
      </c>
      <c r="G567" s="525">
        <f t="shared" si="15"/>
        <v>1131414</v>
      </c>
      <c r="H567" s="854">
        <f t="shared" si="16"/>
        <v>9051312</v>
      </c>
      <c r="I567" s="861" t="s">
        <v>1907</v>
      </c>
      <c r="J567" s="855">
        <v>129120</v>
      </c>
      <c r="K567" s="862" t="s">
        <v>1914</v>
      </c>
      <c r="L567" s="405">
        <v>8.7624999999999993</v>
      </c>
    </row>
    <row r="568" spans="1:12" s="19" customFormat="1" ht="18.75" customHeight="1" x14ac:dyDescent="0.4">
      <c r="A568" s="485">
        <v>46276</v>
      </c>
      <c r="B568" s="855" t="s">
        <v>987</v>
      </c>
      <c r="C568" s="858" t="s">
        <v>150</v>
      </c>
      <c r="D568" s="859" t="s">
        <v>258</v>
      </c>
      <c r="E568" s="855"/>
      <c r="F568" s="855">
        <v>8</v>
      </c>
      <c r="G568" s="525">
        <f t="shared" si="15"/>
        <v>1131414</v>
      </c>
      <c r="H568" s="854">
        <f t="shared" si="16"/>
        <v>9051312</v>
      </c>
      <c r="I568" s="861" t="s">
        <v>1830</v>
      </c>
      <c r="J568" s="855">
        <v>129120</v>
      </c>
      <c r="K568" s="862" t="s">
        <v>1914</v>
      </c>
      <c r="L568" s="405">
        <v>8.7624999999999993</v>
      </c>
    </row>
    <row r="569" spans="1:12" s="19" customFormat="1" ht="18.75" customHeight="1" x14ac:dyDescent="0.4">
      <c r="A569" s="485">
        <v>46276</v>
      </c>
      <c r="B569" s="855" t="s">
        <v>987</v>
      </c>
      <c r="C569" s="858" t="s">
        <v>150</v>
      </c>
      <c r="D569" s="859" t="s">
        <v>258</v>
      </c>
      <c r="E569" s="855"/>
      <c r="F569" s="855">
        <v>8</v>
      </c>
      <c r="G569" s="525">
        <f t="shared" si="15"/>
        <v>1200199.625</v>
      </c>
      <c r="H569" s="854">
        <f t="shared" si="16"/>
        <v>9601597</v>
      </c>
      <c r="I569" s="861" t="s">
        <v>1709</v>
      </c>
      <c r="J569" s="855">
        <v>136970</v>
      </c>
      <c r="K569" s="862" t="s">
        <v>1914</v>
      </c>
      <c r="L569" s="405">
        <v>8.7624999999999993</v>
      </c>
    </row>
    <row r="570" spans="1:12" s="19" customFormat="1" ht="18.75" customHeight="1" x14ac:dyDescent="0.4">
      <c r="A570" s="485">
        <v>46276</v>
      </c>
      <c r="B570" s="855" t="s">
        <v>987</v>
      </c>
      <c r="C570" s="858" t="s">
        <v>153</v>
      </c>
      <c r="D570" s="859" t="s">
        <v>264</v>
      </c>
      <c r="E570" s="855"/>
      <c r="F570" s="855">
        <v>3</v>
      </c>
      <c r="G570" s="525">
        <f t="shared" si="15"/>
        <v>2744502.625</v>
      </c>
      <c r="H570" s="854">
        <f t="shared" si="16"/>
        <v>8233507.875</v>
      </c>
      <c r="I570" s="861" t="s">
        <v>1475</v>
      </c>
      <c r="J570" s="855">
        <v>313210</v>
      </c>
      <c r="K570" s="862" t="s">
        <v>1914</v>
      </c>
      <c r="L570" s="405">
        <v>8.7624999999999993</v>
      </c>
    </row>
    <row r="571" spans="1:12" s="19" customFormat="1" ht="18.75" customHeight="1" x14ac:dyDescent="0.4">
      <c r="A571" s="485">
        <v>46276</v>
      </c>
      <c r="B571" s="855" t="s">
        <v>987</v>
      </c>
      <c r="C571" s="858" t="s">
        <v>156</v>
      </c>
      <c r="D571" s="859" t="s">
        <v>271</v>
      </c>
      <c r="E571" s="855"/>
      <c r="F571" s="855">
        <v>4</v>
      </c>
      <c r="G571" s="525">
        <f t="shared" si="15"/>
        <v>1046067.2499999999</v>
      </c>
      <c r="H571" s="854">
        <f t="shared" si="16"/>
        <v>4184268.9999999995</v>
      </c>
      <c r="I571" s="861" t="s">
        <v>1699</v>
      </c>
      <c r="J571" s="855">
        <v>119380</v>
      </c>
      <c r="K571" s="862" t="s">
        <v>1914</v>
      </c>
      <c r="L571" s="405">
        <v>8.7624999999999993</v>
      </c>
    </row>
    <row r="572" spans="1:12" s="19" customFormat="1" ht="18.75" customHeight="1" x14ac:dyDescent="0.4">
      <c r="A572" s="485">
        <v>46276</v>
      </c>
      <c r="B572" s="855" t="s">
        <v>987</v>
      </c>
      <c r="C572" s="858" t="s">
        <v>154</v>
      </c>
      <c r="D572" s="859" t="s">
        <v>250</v>
      </c>
      <c r="E572" s="855"/>
      <c r="F572" s="855">
        <v>4</v>
      </c>
      <c r="G572" s="525">
        <f t="shared" si="15"/>
        <v>699860.875</v>
      </c>
      <c r="H572" s="854">
        <f t="shared" si="16"/>
        <v>2799443.5</v>
      </c>
      <c r="I572" s="861" t="s">
        <v>1819</v>
      </c>
      <c r="J572" s="855">
        <v>79870</v>
      </c>
      <c r="K572" s="862" t="s">
        <v>1914</v>
      </c>
      <c r="L572" s="405">
        <v>8.7624999999999993</v>
      </c>
    </row>
    <row r="573" spans="1:12" s="19" customFormat="1" ht="18.75" customHeight="1" x14ac:dyDescent="0.4">
      <c r="A573" s="485">
        <v>46276</v>
      </c>
      <c r="B573" s="855" t="s">
        <v>987</v>
      </c>
      <c r="C573" s="858" t="s">
        <v>156</v>
      </c>
      <c r="D573" s="859" t="s">
        <v>271</v>
      </c>
      <c r="E573" s="855"/>
      <c r="F573" s="855">
        <v>4</v>
      </c>
      <c r="G573" s="525">
        <f t="shared" si="15"/>
        <v>1140527</v>
      </c>
      <c r="H573" s="854">
        <f t="shared" si="16"/>
        <v>4562108</v>
      </c>
      <c r="I573" s="861" t="s">
        <v>1710</v>
      </c>
      <c r="J573" s="855">
        <v>130160</v>
      </c>
      <c r="K573" s="862" t="s">
        <v>1914</v>
      </c>
      <c r="L573" s="405">
        <v>8.7624999999999993</v>
      </c>
    </row>
    <row r="574" spans="1:12" s="19" customFormat="1" ht="18.75" customHeight="1" x14ac:dyDescent="0.4">
      <c r="A574" s="485">
        <v>46276</v>
      </c>
      <c r="B574" s="855" t="s">
        <v>987</v>
      </c>
      <c r="C574" s="858" t="s">
        <v>156</v>
      </c>
      <c r="D574" s="859" t="s">
        <v>272</v>
      </c>
      <c r="E574" s="855"/>
      <c r="F574" s="855">
        <v>4</v>
      </c>
      <c r="G574" s="525">
        <f t="shared" si="15"/>
        <v>1140527</v>
      </c>
      <c r="H574" s="854">
        <f t="shared" si="16"/>
        <v>4562108</v>
      </c>
      <c r="I574" s="861" t="s">
        <v>1825</v>
      </c>
      <c r="J574" s="855">
        <v>130160</v>
      </c>
      <c r="K574" s="862" t="s">
        <v>1914</v>
      </c>
      <c r="L574" s="405">
        <v>8.7624999999999993</v>
      </c>
    </row>
    <row r="575" spans="1:12" s="19" customFormat="1" ht="18.75" customHeight="1" x14ac:dyDescent="0.4">
      <c r="A575" s="485">
        <v>46276</v>
      </c>
      <c r="B575" s="855" t="s">
        <v>987</v>
      </c>
      <c r="C575" s="858" t="s">
        <v>161</v>
      </c>
      <c r="D575" s="859" t="s">
        <v>1005</v>
      </c>
      <c r="E575" s="855"/>
      <c r="F575" s="855">
        <v>4</v>
      </c>
      <c r="G575" s="525">
        <f t="shared" si="15"/>
        <v>272864.25</v>
      </c>
      <c r="H575" s="854">
        <f t="shared" si="16"/>
        <v>1091457</v>
      </c>
      <c r="I575" s="861" t="s">
        <v>1710</v>
      </c>
      <c r="J575" s="855">
        <v>31140</v>
      </c>
      <c r="K575" s="862" t="s">
        <v>1914</v>
      </c>
      <c r="L575" s="405">
        <v>8.7624999999999993</v>
      </c>
    </row>
    <row r="576" spans="1:12" s="19" customFormat="1" ht="18.75" customHeight="1" x14ac:dyDescent="0.4">
      <c r="A576" s="485">
        <v>46276</v>
      </c>
      <c r="B576" s="855" t="s">
        <v>987</v>
      </c>
      <c r="C576" s="858" t="s">
        <v>161</v>
      </c>
      <c r="D576" s="859" t="s">
        <v>1208</v>
      </c>
      <c r="E576" s="855"/>
      <c r="F576" s="855">
        <v>2</v>
      </c>
      <c r="G576" s="525">
        <f t="shared" si="15"/>
        <v>272864.25</v>
      </c>
      <c r="H576" s="854">
        <f t="shared" si="16"/>
        <v>545728.5</v>
      </c>
      <c r="I576" s="861" t="s">
        <v>1915</v>
      </c>
      <c r="J576" s="855">
        <v>31140</v>
      </c>
      <c r="K576" s="862" t="s">
        <v>1914</v>
      </c>
      <c r="L576" s="405">
        <v>8.7624999999999993</v>
      </c>
    </row>
    <row r="577" spans="1:12" s="19" customFormat="1" ht="18.75" customHeight="1" x14ac:dyDescent="0.4">
      <c r="A577" s="485">
        <v>46276</v>
      </c>
      <c r="B577" s="855" t="s">
        <v>987</v>
      </c>
      <c r="C577" s="858" t="s">
        <v>161</v>
      </c>
      <c r="D577" s="859" t="s">
        <v>1208</v>
      </c>
      <c r="E577" s="855"/>
      <c r="F577" s="855">
        <v>4</v>
      </c>
      <c r="G577" s="525">
        <f t="shared" si="15"/>
        <v>272864.25</v>
      </c>
      <c r="H577" s="854">
        <f t="shared" si="16"/>
        <v>1091457</v>
      </c>
      <c r="I577" s="861" t="s">
        <v>1825</v>
      </c>
      <c r="J577" s="855">
        <v>31140</v>
      </c>
      <c r="K577" s="862" t="s">
        <v>1914</v>
      </c>
      <c r="L577" s="405">
        <v>8.7624999999999993</v>
      </c>
    </row>
    <row r="578" spans="1:12" s="19" customFormat="1" ht="18.75" customHeight="1" x14ac:dyDescent="0.4">
      <c r="A578" s="485">
        <v>46276</v>
      </c>
      <c r="B578" s="855" t="s">
        <v>987</v>
      </c>
      <c r="C578" s="858" t="s">
        <v>161</v>
      </c>
      <c r="D578" s="859" t="s">
        <v>265</v>
      </c>
      <c r="E578" s="855"/>
      <c r="F578" s="855">
        <v>1</v>
      </c>
      <c r="G578" s="525">
        <f t="shared" si="15"/>
        <v>20583.112499999999</v>
      </c>
      <c r="H578" s="854">
        <f t="shared" si="16"/>
        <v>20583.112499999999</v>
      </c>
      <c r="I578" s="861" t="s">
        <v>1916</v>
      </c>
      <c r="J578" s="855">
        <v>2349</v>
      </c>
      <c r="K578" s="862" t="s">
        <v>1914</v>
      </c>
      <c r="L578" s="405">
        <v>8.7624999999999993</v>
      </c>
    </row>
    <row r="579" spans="1:12" s="19" customFormat="1" ht="18.75" customHeight="1" x14ac:dyDescent="0.4">
      <c r="A579" s="485">
        <v>46276</v>
      </c>
      <c r="B579" s="855" t="s">
        <v>987</v>
      </c>
      <c r="C579" s="858" t="s">
        <v>161</v>
      </c>
      <c r="D579" s="859" t="s">
        <v>990</v>
      </c>
      <c r="E579" s="855"/>
      <c r="F579" s="855">
        <v>1</v>
      </c>
      <c r="G579" s="525">
        <f t="shared" si="15"/>
        <v>20583.112499999999</v>
      </c>
      <c r="H579" s="854">
        <f t="shared" si="16"/>
        <v>20583.112499999999</v>
      </c>
      <c r="I579" s="861" t="s">
        <v>1917</v>
      </c>
      <c r="J579" s="855">
        <v>2349</v>
      </c>
      <c r="K579" s="862" t="s">
        <v>1914</v>
      </c>
      <c r="L579" s="405">
        <v>8.7624999999999993</v>
      </c>
    </row>
    <row r="580" spans="1:12" s="19" customFormat="1" ht="18.75" customHeight="1" x14ac:dyDescent="0.4">
      <c r="A580" s="485">
        <v>46276</v>
      </c>
      <c r="B580" s="855" t="s">
        <v>987</v>
      </c>
      <c r="C580" s="858" t="s">
        <v>161</v>
      </c>
      <c r="D580" s="859" t="s">
        <v>990</v>
      </c>
      <c r="E580" s="855"/>
      <c r="F580" s="855">
        <v>1</v>
      </c>
      <c r="G580" s="525">
        <f t="shared" si="15"/>
        <v>20583.112499999999</v>
      </c>
      <c r="H580" s="854">
        <f t="shared" si="16"/>
        <v>20583.112499999999</v>
      </c>
      <c r="I580" s="861" t="s">
        <v>1918</v>
      </c>
      <c r="J580" s="855">
        <v>2349</v>
      </c>
      <c r="K580" s="862" t="s">
        <v>1914</v>
      </c>
      <c r="L580" s="405">
        <v>8.7624999999999993</v>
      </c>
    </row>
    <row r="581" spans="1:12" s="19" customFormat="1" ht="18.75" customHeight="1" x14ac:dyDescent="0.4">
      <c r="A581" s="485">
        <v>46276</v>
      </c>
      <c r="B581" s="855" t="s">
        <v>987</v>
      </c>
      <c r="C581" s="858" t="s">
        <v>161</v>
      </c>
      <c r="D581" s="859" t="s">
        <v>990</v>
      </c>
      <c r="E581" s="855"/>
      <c r="F581" s="855">
        <v>1</v>
      </c>
      <c r="G581" s="525">
        <f t="shared" si="15"/>
        <v>20583.112499999999</v>
      </c>
      <c r="H581" s="854">
        <f t="shared" si="16"/>
        <v>20583.112499999999</v>
      </c>
      <c r="I581" s="861" t="s">
        <v>1918</v>
      </c>
      <c r="J581" s="855">
        <v>2349</v>
      </c>
      <c r="K581" s="862" t="s">
        <v>1914</v>
      </c>
      <c r="L581" s="405">
        <v>8.7624999999999993</v>
      </c>
    </row>
    <row r="582" spans="1:12" s="19" customFormat="1" ht="18.75" customHeight="1" x14ac:dyDescent="0.4">
      <c r="A582" s="485">
        <v>46276</v>
      </c>
      <c r="B582" s="855" t="s">
        <v>987</v>
      </c>
      <c r="C582" s="858" t="s">
        <v>161</v>
      </c>
      <c r="D582" s="859" t="s">
        <v>990</v>
      </c>
      <c r="E582" s="855"/>
      <c r="F582" s="855">
        <v>1</v>
      </c>
      <c r="G582" s="525">
        <f t="shared" si="15"/>
        <v>23054.137499999997</v>
      </c>
      <c r="H582" s="854">
        <f t="shared" si="16"/>
        <v>23054.137499999997</v>
      </c>
      <c r="I582" s="861" t="s">
        <v>1919</v>
      </c>
      <c r="J582" s="855">
        <v>2631</v>
      </c>
      <c r="K582" s="862" t="s">
        <v>1914</v>
      </c>
      <c r="L582" s="405">
        <v>8.7624999999999993</v>
      </c>
    </row>
    <row r="583" spans="1:12" s="19" customFormat="1" ht="18.75" customHeight="1" x14ac:dyDescent="0.4">
      <c r="A583" s="485">
        <v>46276</v>
      </c>
      <c r="B583" s="855" t="s">
        <v>987</v>
      </c>
      <c r="C583" s="858" t="s">
        <v>161</v>
      </c>
      <c r="D583" s="859" t="s">
        <v>1005</v>
      </c>
      <c r="E583" s="855"/>
      <c r="F583" s="855">
        <v>1</v>
      </c>
      <c r="G583" s="525">
        <f t="shared" si="15"/>
        <v>23054.137499999997</v>
      </c>
      <c r="H583" s="854">
        <f t="shared" si="16"/>
        <v>23054.137499999997</v>
      </c>
      <c r="I583" s="861" t="s">
        <v>1920</v>
      </c>
      <c r="J583" s="855">
        <v>2631</v>
      </c>
      <c r="K583" s="862" t="s">
        <v>1914</v>
      </c>
      <c r="L583" s="405">
        <v>8.7624999999999993</v>
      </c>
    </row>
    <row r="584" spans="1:12" s="19" customFormat="1" ht="18.75" customHeight="1" x14ac:dyDescent="0.4">
      <c r="A584" s="485">
        <v>46276</v>
      </c>
      <c r="B584" s="855" t="s">
        <v>987</v>
      </c>
      <c r="C584" s="858" t="s">
        <v>161</v>
      </c>
      <c r="D584" s="859" t="s">
        <v>990</v>
      </c>
      <c r="E584" s="855"/>
      <c r="F584" s="855">
        <v>1</v>
      </c>
      <c r="G584" s="525">
        <f t="shared" si="15"/>
        <v>23054.137499999997</v>
      </c>
      <c r="H584" s="854">
        <f t="shared" si="16"/>
        <v>23054.137499999997</v>
      </c>
      <c r="I584" s="861" t="s">
        <v>1921</v>
      </c>
      <c r="J584" s="855">
        <v>2631</v>
      </c>
      <c r="K584" s="862" t="s">
        <v>1914</v>
      </c>
      <c r="L584" s="405">
        <v>8.7624999999999993</v>
      </c>
    </row>
    <row r="585" spans="1:12" s="19" customFormat="1" ht="18.75" customHeight="1" x14ac:dyDescent="0.4">
      <c r="A585" s="485">
        <v>46276</v>
      </c>
      <c r="B585" s="855" t="s">
        <v>987</v>
      </c>
      <c r="C585" s="858" t="s">
        <v>157</v>
      </c>
      <c r="D585" s="859" t="s">
        <v>259</v>
      </c>
      <c r="E585" s="855"/>
      <c r="F585" s="855">
        <v>1</v>
      </c>
      <c r="G585" s="525">
        <f t="shared" si="15"/>
        <v>474314.12499999994</v>
      </c>
      <c r="H585" s="854">
        <f t="shared" si="16"/>
        <v>474314.12499999994</v>
      </c>
      <c r="I585" s="861" t="s">
        <v>1912</v>
      </c>
      <c r="J585" s="855">
        <v>54130</v>
      </c>
      <c r="K585" s="862" t="s">
        <v>1914</v>
      </c>
      <c r="L585" s="405">
        <v>8.7624999999999993</v>
      </c>
    </row>
    <row r="586" spans="1:12" s="19" customFormat="1" ht="18.75" customHeight="1" x14ac:dyDescent="0.4">
      <c r="A586" s="485">
        <v>46276</v>
      </c>
      <c r="B586" s="855" t="s">
        <v>987</v>
      </c>
      <c r="C586" s="858" t="s">
        <v>157</v>
      </c>
      <c r="D586" s="859" t="s">
        <v>270</v>
      </c>
      <c r="E586" s="855"/>
      <c r="F586" s="855">
        <v>1</v>
      </c>
      <c r="G586" s="525">
        <f t="shared" si="15"/>
        <v>474314.12499999994</v>
      </c>
      <c r="H586" s="854">
        <f t="shared" si="16"/>
        <v>474314.12499999994</v>
      </c>
      <c r="I586" s="861" t="s">
        <v>1922</v>
      </c>
      <c r="J586" s="855">
        <v>54130</v>
      </c>
      <c r="K586" s="862" t="s">
        <v>1914</v>
      </c>
      <c r="L586" s="405">
        <v>8.7624999999999993</v>
      </c>
    </row>
    <row r="587" spans="1:12" s="19" customFormat="1" ht="18.75" customHeight="1" x14ac:dyDescent="0.4">
      <c r="A587" s="485">
        <v>46276</v>
      </c>
      <c r="B587" s="855" t="s">
        <v>987</v>
      </c>
      <c r="C587" s="858" t="s">
        <v>157</v>
      </c>
      <c r="D587" s="859" t="s">
        <v>270</v>
      </c>
      <c r="E587" s="855"/>
      <c r="F587" s="855">
        <v>1</v>
      </c>
      <c r="G587" s="525">
        <f t="shared" si="15"/>
        <v>584414.9375</v>
      </c>
      <c r="H587" s="854">
        <f t="shared" si="16"/>
        <v>584414.9375</v>
      </c>
      <c r="I587" s="861" t="s">
        <v>1466</v>
      </c>
      <c r="J587" s="855">
        <v>66695</v>
      </c>
      <c r="K587" s="862" t="s">
        <v>1914</v>
      </c>
      <c r="L587" s="405">
        <v>8.7624999999999993</v>
      </c>
    </row>
    <row r="588" spans="1:12" s="19" customFormat="1" ht="18.75" customHeight="1" x14ac:dyDescent="0.4">
      <c r="A588" s="485">
        <v>46276</v>
      </c>
      <c r="B588" s="855" t="s">
        <v>987</v>
      </c>
      <c r="C588" s="858" t="s">
        <v>156</v>
      </c>
      <c r="D588" s="859" t="s">
        <v>271</v>
      </c>
      <c r="E588" s="855"/>
      <c r="F588" s="855">
        <v>1</v>
      </c>
      <c r="G588" s="525">
        <f t="shared" si="15"/>
        <v>121886.37499999999</v>
      </c>
      <c r="H588" s="854">
        <f t="shared" si="16"/>
        <v>121886.37499999999</v>
      </c>
      <c r="I588" s="861" t="s">
        <v>1923</v>
      </c>
      <c r="J588" s="855">
        <v>13910</v>
      </c>
      <c r="K588" s="862" t="s">
        <v>1914</v>
      </c>
      <c r="L588" s="405">
        <v>8.7624999999999993</v>
      </c>
    </row>
    <row r="589" spans="1:12" s="19" customFormat="1" ht="18.75" customHeight="1" x14ac:dyDescent="0.4">
      <c r="A589" s="485">
        <v>46276</v>
      </c>
      <c r="B589" s="855" t="s">
        <v>987</v>
      </c>
      <c r="C589" s="858" t="s">
        <v>156</v>
      </c>
      <c r="D589" s="859" t="s">
        <v>272</v>
      </c>
      <c r="E589" s="855"/>
      <c r="F589" s="855">
        <v>1</v>
      </c>
      <c r="G589" s="525">
        <f t="shared" si="15"/>
        <v>121886.37499999999</v>
      </c>
      <c r="H589" s="854">
        <f t="shared" si="16"/>
        <v>121886.37499999999</v>
      </c>
      <c r="I589" s="861" t="s">
        <v>1924</v>
      </c>
      <c r="J589" s="855">
        <v>13910</v>
      </c>
      <c r="K589" s="862" t="s">
        <v>1914</v>
      </c>
      <c r="L589" s="405">
        <v>8.7624999999999993</v>
      </c>
    </row>
    <row r="590" spans="1:12" s="19" customFormat="1" ht="18.75" customHeight="1" x14ac:dyDescent="0.4">
      <c r="A590" s="485">
        <v>46283</v>
      </c>
      <c r="B590" s="855" t="s">
        <v>987</v>
      </c>
      <c r="C590" s="858" t="s">
        <v>150</v>
      </c>
      <c r="D590" s="859" t="s">
        <v>275</v>
      </c>
      <c r="E590" s="855"/>
      <c r="F590" s="855">
        <v>1</v>
      </c>
      <c r="G590" s="525">
        <f t="shared" si="15"/>
        <v>517629.06300000002</v>
      </c>
      <c r="H590" s="854">
        <f t="shared" si="16"/>
        <v>517629.06300000002</v>
      </c>
      <c r="I590" s="861" t="s">
        <v>1814</v>
      </c>
      <c r="J590" s="855">
        <v>58470</v>
      </c>
      <c r="K590" s="862" t="s">
        <v>1925</v>
      </c>
      <c r="L590" s="405">
        <v>8.8529</v>
      </c>
    </row>
    <row r="591" spans="1:12" s="19" customFormat="1" ht="18.75" customHeight="1" x14ac:dyDescent="0.4">
      <c r="A591" s="485">
        <v>46283</v>
      </c>
      <c r="B591" s="855" t="s">
        <v>987</v>
      </c>
      <c r="C591" s="858" t="s">
        <v>160</v>
      </c>
      <c r="D591" s="859" t="s">
        <v>274</v>
      </c>
      <c r="E591" s="855"/>
      <c r="F591" s="855">
        <v>8</v>
      </c>
      <c r="G591" s="525">
        <f t="shared" si="15"/>
        <v>493726.23300000001</v>
      </c>
      <c r="H591" s="854">
        <f t="shared" si="16"/>
        <v>3949809.8640000001</v>
      </c>
      <c r="I591" s="861" t="s">
        <v>1830</v>
      </c>
      <c r="J591" s="855">
        <v>55770</v>
      </c>
      <c r="K591" s="862" t="s">
        <v>1925</v>
      </c>
      <c r="L591" s="405">
        <v>8.8529</v>
      </c>
    </row>
    <row r="592" spans="1:12" s="19" customFormat="1" ht="18.75" customHeight="1" x14ac:dyDescent="0.4">
      <c r="A592" s="485">
        <v>46283</v>
      </c>
      <c r="B592" s="855" t="s">
        <v>987</v>
      </c>
      <c r="C592" s="858" t="s">
        <v>150</v>
      </c>
      <c r="D592" s="859" t="s">
        <v>151</v>
      </c>
      <c r="E592" s="855"/>
      <c r="F592" s="855">
        <v>1</v>
      </c>
      <c r="G592" s="525">
        <f t="shared" si="15"/>
        <v>525065.49899999995</v>
      </c>
      <c r="H592" s="854">
        <f t="shared" si="16"/>
        <v>525065.49899999995</v>
      </c>
      <c r="I592" s="861" t="s">
        <v>1909</v>
      </c>
      <c r="J592" s="855">
        <v>59310</v>
      </c>
      <c r="K592" s="862" t="s">
        <v>1925</v>
      </c>
      <c r="L592" s="405">
        <v>8.8529</v>
      </c>
    </row>
    <row r="593" spans="1:13" s="19" customFormat="1" ht="18.75" customHeight="1" x14ac:dyDescent="0.4">
      <c r="A593" s="485">
        <v>46283</v>
      </c>
      <c r="B593" s="855" t="s">
        <v>987</v>
      </c>
      <c r="C593" s="858" t="s">
        <v>155</v>
      </c>
      <c r="D593" s="859" t="s">
        <v>253</v>
      </c>
      <c r="E593" s="855"/>
      <c r="F593" s="855">
        <v>8</v>
      </c>
      <c r="G593" s="525">
        <f t="shared" si="15"/>
        <v>3585247.4419999998</v>
      </c>
      <c r="H593" s="854">
        <f t="shared" si="16"/>
        <v>28681979.535999998</v>
      </c>
      <c r="I593" s="861" t="s">
        <v>1817</v>
      </c>
      <c r="J593" s="855">
        <v>404980</v>
      </c>
      <c r="K593" s="862" t="s">
        <v>1925</v>
      </c>
      <c r="L593" s="405">
        <v>8.8529</v>
      </c>
    </row>
    <row r="594" spans="1:13" s="19" customFormat="1" ht="18.75" customHeight="1" x14ac:dyDescent="0.4">
      <c r="A594" s="485">
        <v>46283</v>
      </c>
      <c r="B594" s="855" t="s">
        <v>987</v>
      </c>
      <c r="C594" s="858" t="s">
        <v>150</v>
      </c>
      <c r="D594" s="859" t="s">
        <v>151</v>
      </c>
      <c r="E594" s="855"/>
      <c r="F594" s="855">
        <v>1</v>
      </c>
      <c r="G594" s="525">
        <f t="shared" si="15"/>
        <v>525065.49899999995</v>
      </c>
      <c r="H594" s="854">
        <f t="shared" si="16"/>
        <v>525065.49899999995</v>
      </c>
      <c r="I594" s="861" t="s">
        <v>1818</v>
      </c>
      <c r="J594" s="855">
        <v>59310</v>
      </c>
      <c r="K594" s="862" t="s">
        <v>1925</v>
      </c>
      <c r="L594" s="405">
        <v>8.8529</v>
      </c>
    </row>
    <row r="595" spans="1:13" s="19" customFormat="1" ht="18.75" customHeight="1" x14ac:dyDescent="0.4">
      <c r="A595" s="485">
        <v>46283</v>
      </c>
      <c r="B595" s="855" t="s">
        <v>987</v>
      </c>
      <c r="C595" s="858" t="s">
        <v>154</v>
      </c>
      <c r="D595" s="859" t="s">
        <v>267</v>
      </c>
      <c r="E595" s="855"/>
      <c r="F595" s="855">
        <v>3</v>
      </c>
      <c r="G595" s="525">
        <f t="shared" si="15"/>
        <v>3804445.2459999998</v>
      </c>
      <c r="H595" s="854">
        <f t="shared" si="16"/>
        <v>11413335.738</v>
      </c>
      <c r="I595" s="861" t="s">
        <v>1595</v>
      </c>
      <c r="J595" s="855">
        <v>429740</v>
      </c>
      <c r="K595" s="862" t="s">
        <v>1925</v>
      </c>
      <c r="L595" s="405">
        <v>8.8529</v>
      </c>
    </row>
    <row r="596" spans="1:13" s="19" customFormat="1" ht="18.75" customHeight="1" x14ac:dyDescent="0.4">
      <c r="A596" s="485">
        <v>46283</v>
      </c>
      <c r="B596" s="855" t="s">
        <v>987</v>
      </c>
      <c r="C596" s="858" t="s">
        <v>154</v>
      </c>
      <c r="D596" s="859" t="s">
        <v>268</v>
      </c>
      <c r="E596" s="855"/>
      <c r="F596" s="855">
        <v>6</v>
      </c>
      <c r="G596" s="525">
        <f t="shared" si="15"/>
        <v>4007353.7140000002</v>
      </c>
      <c r="H596" s="854">
        <f t="shared" si="16"/>
        <v>24044122.284000002</v>
      </c>
      <c r="I596" s="861" t="s">
        <v>1702</v>
      </c>
      <c r="J596" s="855">
        <v>452660</v>
      </c>
      <c r="K596" s="862" t="s">
        <v>1925</v>
      </c>
      <c r="L596" s="405">
        <v>8.8529</v>
      </c>
    </row>
    <row r="597" spans="1:13" s="19" customFormat="1" ht="18.75" customHeight="1" x14ac:dyDescent="0.4">
      <c r="A597" s="485">
        <v>46283</v>
      </c>
      <c r="B597" s="855" t="s">
        <v>987</v>
      </c>
      <c r="C597" s="858" t="s">
        <v>155</v>
      </c>
      <c r="D597" s="859" t="s">
        <v>254</v>
      </c>
      <c r="E597" s="855"/>
      <c r="F597" s="855">
        <v>2</v>
      </c>
      <c r="G597" s="525">
        <f t="shared" si="15"/>
        <v>4272232.4819999998</v>
      </c>
      <c r="H597" s="854">
        <f t="shared" si="16"/>
        <v>8544464.9639999997</v>
      </c>
      <c r="I597" s="861" t="s">
        <v>1711</v>
      </c>
      <c r="J597" s="855">
        <v>482580</v>
      </c>
      <c r="K597" s="862" t="s">
        <v>1925</v>
      </c>
      <c r="L597" s="405">
        <v>8.8529</v>
      </c>
    </row>
    <row r="598" spans="1:13" s="19" customFormat="1" ht="18.75" customHeight="1" x14ac:dyDescent="0.4">
      <c r="A598" s="485">
        <v>46283</v>
      </c>
      <c r="B598" s="855" t="s">
        <v>987</v>
      </c>
      <c r="C598" s="858" t="s">
        <v>150</v>
      </c>
      <c r="D598" s="859" t="s">
        <v>151</v>
      </c>
      <c r="E598" s="855"/>
      <c r="F598" s="855">
        <v>1</v>
      </c>
      <c r="G598" s="525">
        <f t="shared" ref="G598:G617" si="17">J598*L598</f>
        <v>525065.49899999995</v>
      </c>
      <c r="H598" s="854">
        <f t="shared" si="16"/>
        <v>525065.49899999995</v>
      </c>
      <c r="I598" s="861" t="s">
        <v>1833</v>
      </c>
      <c r="J598" s="855">
        <v>59310</v>
      </c>
      <c r="K598" s="862" t="s">
        <v>1925</v>
      </c>
      <c r="L598" s="405">
        <v>8.8529</v>
      </c>
    </row>
    <row r="599" spans="1:13" s="19" customFormat="1" ht="18.75" customHeight="1" x14ac:dyDescent="0.4">
      <c r="A599" s="485">
        <v>46283</v>
      </c>
      <c r="B599" s="855" t="s">
        <v>987</v>
      </c>
      <c r="C599" s="858" t="s">
        <v>154</v>
      </c>
      <c r="D599" s="859" t="s">
        <v>652</v>
      </c>
      <c r="E599" s="855"/>
      <c r="F599" s="855">
        <v>1</v>
      </c>
      <c r="G599" s="525">
        <f t="shared" si="17"/>
        <v>1519600.2849999999</v>
      </c>
      <c r="H599" s="854">
        <f t="shared" si="16"/>
        <v>1519600.2849999999</v>
      </c>
      <c r="I599" s="861" t="s">
        <v>1833</v>
      </c>
      <c r="J599" s="855">
        <v>171650</v>
      </c>
      <c r="K599" s="862" t="s">
        <v>1925</v>
      </c>
      <c r="L599" s="405">
        <v>8.8529</v>
      </c>
    </row>
    <row r="600" spans="1:13" s="19" customFormat="1" ht="18.75" customHeight="1" x14ac:dyDescent="0.4">
      <c r="A600" s="485">
        <v>46283</v>
      </c>
      <c r="B600" s="855" t="s">
        <v>987</v>
      </c>
      <c r="C600" s="858" t="s">
        <v>150</v>
      </c>
      <c r="D600" s="859" t="s">
        <v>151</v>
      </c>
      <c r="E600" s="855"/>
      <c r="F600" s="855">
        <v>1</v>
      </c>
      <c r="G600" s="525">
        <f t="shared" si="17"/>
        <v>525065.49899999995</v>
      </c>
      <c r="H600" s="854">
        <f t="shared" si="16"/>
        <v>525065.49899999995</v>
      </c>
      <c r="I600" s="861" t="s">
        <v>1910</v>
      </c>
      <c r="J600" s="855">
        <v>59310</v>
      </c>
      <c r="K600" s="862" t="s">
        <v>1925</v>
      </c>
      <c r="L600" s="405">
        <v>8.8529</v>
      </c>
    </row>
    <row r="601" spans="1:13" s="19" customFormat="1" ht="18.75" customHeight="1" x14ac:dyDescent="0.4">
      <c r="A601" s="485">
        <v>46283</v>
      </c>
      <c r="B601" s="855" t="s">
        <v>987</v>
      </c>
      <c r="C601" s="858" t="s">
        <v>154</v>
      </c>
      <c r="D601" s="859" t="s">
        <v>653</v>
      </c>
      <c r="E601" s="855"/>
      <c r="F601" s="855">
        <v>1</v>
      </c>
      <c r="G601" s="525">
        <f t="shared" si="17"/>
        <v>1519600.2849999999</v>
      </c>
      <c r="H601" s="854">
        <f t="shared" si="16"/>
        <v>1519600.2849999999</v>
      </c>
      <c r="I601" s="861" t="s">
        <v>1910</v>
      </c>
      <c r="J601" s="855">
        <v>171650</v>
      </c>
      <c r="K601" s="862" t="s">
        <v>1925</v>
      </c>
      <c r="L601" s="405">
        <v>8.8529</v>
      </c>
    </row>
    <row r="602" spans="1:13" s="19" customFormat="1" ht="18.75" customHeight="1" x14ac:dyDescent="0.4">
      <c r="A602" s="485">
        <v>46283</v>
      </c>
      <c r="B602" s="855" t="s">
        <v>987</v>
      </c>
      <c r="C602" s="858" t="s">
        <v>160</v>
      </c>
      <c r="D602" s="859" t="s">
        <v>255</v>
      </c>
      <c r="E602" s="855"/>
      <c r="F602" s="855">
        <v>1</v>
      </c>
      <c r="G602" s="525">
        <f t="shared" si="17"/>
        <v>55684.741000000002</v>
      </c>
      <c r="H602" s="854">
        <f t="shared" si="16"/>
        <v>55684.741000000002</v>
      </c>
      <c r="I602" s="861" t="s">
        <v>1466</v>
      </c>
      <c r="J602" s="855">
        <v>6290</v>
      </c>
      <c r="K602" s="862" t="s">
        <v>1925</v>
      </c>
      <c r="L602" s="405">
        <v>8.8529</v>
      </c>
      <c r="M602" s="896"/>
    </row>
    <row r="603" spans="1:13" s="19" customFormat="1" ht="18.75" customHeight="1" x14ac:dyDescent="0.4">
      <c r="A603" s="485">
        <v>46283</v>
      </c>
      <c r="B603" s="855" t="s">
        <v>987</v>
      </c>
      <c r="C603" s="858" t="s">
        <v>160</v>
      </c>
      <c r="D603" s="859" t="s">
        <v>340</v>
      </c>
      <c r="E603" s="855"/>
      <c r="F603" s="855">
        <v>1</v>
      </c>
      <c r="G603" s="525">
        <f t="shared" si="17"/>
        <v>55684.032767999997</v>
      </c>
      <c r="H603" s="854">
        <f t="shared" si="16"/>
        <v>55684.032767999997</v>
      </c>
      <c r="I603" s="861" t="s">
        <v>1466</v>
      </c>
      <c r="J603" s="855">
        <v>6289.92</v>
      </c>
      <c r="K603" s="862" t="s">
        <v>1925</v>
      </c>
      <c r="L603" s="405">
        <v>8.8529</v>
      </c>
      <c r="M603" s="896"/>
    </row>
    <row r="604" spans="1:13" s="19" customFormat="1" ht="18.75" customHeight="1" x14ac:dyDescent="0.4">
      <c r="A604" s="485">
        <v>46283</v>
      </c>
      <c r="B604" s="855" t="s">
        <v>987</v>
      </c>
      <c r="C604" s="858" t="s">
        <v>160</v>
      </c>
      <c r="D604" s="859" t="s">
        <v>340</v>
      </c>
      <c r="E604" s="855"/>
      <c r="F604" s="855">
        <v>2</v>
      </c>
      <c r="G604" s="525">
        <f t="shared" si="17"/>
        <v>55684.032767999997</v>
      </c>
      <c r="H604" s="854">
        <f t="shared" si="16"/>
        <v>111368.06553599999</v>
      </c>
      <c r="I604" s="861" t="s">
        <v>1810</v>
      </c>
      <c r="J604" s="855">
        <v>6289.92</v>
      </c>
      <c r="K604" s="862" t="s">
        <v>1925</v>
      </c>
      <c r="L604" s="405">
        <v>8.8529</v>
      </c>
      <c r="M604" s="896"/>
    </row>
    <row r="605" spans="1:13" s="19" customFormat="1" ht="18.75" customHeight="1" x14ac:dyDescent="0.4">
      <c r="A605" s="485">
        <v>46283</v>
      </c>
      <c r="B605" s="855" t="s">
        <v>987</v>
      </c>
      <c r="C605" s="858" t="s">
        <v>160</v>
      </c>
      <c r="D605" s="859" t="s">
        <v>340</v>
      </c>
      <c r="E605" s="855"/>
      <c r="F605" s="855">
        <v>3</v>
      </c>
      <c r="G605" s="525">
        <f t="shared" si="17"/>
        <v>55684.032767999997</v>
      </c>
      <c r="H605" s="854">
        <f t="shared" si="16"/>
        <v>167052.09830399998</v>
      </c>
      <c r="I605" s="861" t="s">
        <v>1926</v>
      </c>
      <c r="J605" s="855">
        <v>6289.92</v>
      </c>
      <c r="K605" s="862" t="s">
        <v>1925</v>
      </c>
      <c r="L605" s="405">
        <v>8.8529</v>
      </c>
      <c r="M605" s="896"/>
    </row>
    <row r="606" spans="1:13" s="19" customFormat="1" ht="18.75" customHeight="1" x14ac:dyDescent="0.4">
      <c r="A606" s="485">
        <v>46288</v>
      </c>
      <c r="B606" s="855" t="s">
        <v>987</v>
      </c>
      <c r="C606" s="858" t="s">
        <v>154</v>
      </c>
      <c r="D606" s="859" t="s">
        <v>267</v>
      </c>
      <c r="E606" s="855"/>
      <c r="F606" s="855">
        <v>4</v>
      </c>
      <c r="G606" s="525">
        <f t="shared" si="17"/>
        <v>3883370.14</v>
      </c>
      <c r="H606" s="854">
        <f t="shared" si="16"/>
        <v>15533480.560000001</v>
      </c>
      <c r="I606" s="861" t="s">
        <v>1702</v>
      </c>
      <c r="J606" s="855">
        <v>452660</v>
      </c>
      <c r="K606" s="862" t="s">
        <v>1928</v>
      </c>
      <c r="L606" s="405">
        <v>8.5790000000000006</v>
      </c>
      <c r="M606" s="896"/>
    </row>
    <row r="607" spans="1:13" s="19" customFormat="1" ht="18.75" customHeight="1" x14ac:dyDescent="0.4">
      <c r="A607" s="485">
        <v>46288</v>
      </c>
      <c r="B607" s="855" t="s">
        <v>987</v>
      </c>
      <c r="C607" s="858" t="s">
        <v>154</v>
      </c>
      <c r="D607" s="859" t="s">
        <v>268</v>
      </c>
      <c r="E607" s="855"/>
      <c r="F607" s="855">
        <v>1</v>
      </c>
      <c r="G607" s="525">
        <f t="shared" si="17"/>
        <v>3883370.14</v>
      </c>
      <c r="H607" s="854">
        <f t="shared" si="16"/>
        <v>3883370.14</v>
      </c>
      <c r="I607" s="861" t="s">
        <v>1711</v>
      </c>
      <c r="J607" s="855">
        <v>452660</v>
      </c>
      <c r="K607" s="862" t="s">
        <v>1928</v>
      </c>
      <c r="L607" s="405">
        <v>8.5790000000000006</v>
      </c>
      <c r="M607" s="896"/>
    </row>
    <row r="608" spans="1:13" s="19" customFormat="1" ht="18.75" customHeight="1" x14ac:dyDescent="0.4">
      <c r="A608" s="485">
        <v>46288</v>
      </c>
      <c r="B608" s="855" t="s">
        <v>987</v>
      </c>
      <c r="C608" s="858" t="s">
        <v>158</v>
      </c>
      <c r="D608" s="859" t="s">
        <v>252</v>
      </c>
      <c r="E608" s="855"/>
      <c r="F608" s="855">
        <v>8</v>
      </c>
      <c r="G608" s="525">
        <f t="shared" si="17"/>
        <v>3779478.45</v>
      </c>
      <c r="H608" s="854">
        <f t="shared" si="16"/>
        <v>30235827.600000001</v>
      </c>
      <c r="I608" s="861" t="s">
        <v>1599</v>
      </c>
      <c r="J608" s="855">
        <v>440550</v>
      </c>
      <c r="K608" s="862" t="s">
        <v>1928</v>
      </c>
      <c r="L608" s="405">
        <v>8.5790000000000006</v>
      </c>
      <c r="M608" s="896"/>
    </row>
    <row r="609" spans="1:13" s="19" customFormat="1" ht="18.75" customHeight="1" x14ac:dyDescent="0.4">
      <c r="A609" s="485">
        <v>46288</v>
      </c>
      <c r="B609" s="855" t="s">
        <v>987</v>
      </c>
      <c r="C609" s="858" t="s">
        <v>157</v>
      </c>
      <c r="D609" s="859" t="s">
        <v>259</v>
      </c>
      <c r="E609" s="855"/>
      <c r="F609" s="855">
        <v>8</v>
      </c>
      <c r="G609" s="525">
        <f t="shared" si="17"/>
        <v>3237543.02</v>
      </c>
      <c r="H609" s="854">
        <f t="shared" ref="H609:H620" si="18">F609*G609</f>
        <v>25900344.16</v>
      </c>
      <c r="I609" s="861" t="s">
        <v>1599</v>
      </c>
      <c r="J609" s="855">
        <v>377380</v>
      </c>
      <c r="K609" s="862" t="s">
        <v>1928</v>
      </c>
      <c r="L609" s="405">
        <v>8.5790000000000006</v>
      </c>
      <c r="M609" s="896"/>
    </row>
    <row r="610" spans="1:13" s="19" customFormat="1" ht="18.75" customHeight="1" x14ac:dyDescent="0.4">
      <c r="A610" s="485">
        <v>46288</v>
      </c>
      <c r="B610" s="855" t="s">
        <v>987</v>
      </c>
      <c r="C610" s="858" t="s">
        <v>150</v>
      </c>
      <c r="D610" s="859" t="s">
        <v>257</v>
      </c>
      <c r="E610" s="855"/>
      <c r="F610" s="855">
        <v>8</v>
      </c>
      <c r="G610" s="525">
        <f t="shared" si="17"/>
        <v>1107720.48</v>
      </c>
      <c r="H610" s="854">
        <f t="shared" si="18"/>
        <v>8861763.8399999999</v>
      </c>
      <c r="I610" s="861" t="s">
        <v>1599</v>
      </c>
      <c r="J610" s="855">
        <v>129120</v>
      </c>
      <c r="K610" s="862" t="s">
        <v>1928</v>
      </c>
      <c r="L610" s="405">
        <v>8.5790000000000006</v>
      </c>
      <c r="M610" s="896"/>
    </row>
    <row r="611" spans="1:13" s="19" customFormat="1" ht="18.75" customHeight="1" x14ac:dyDescent="0.4">
      <c r="A611" s="485">
        <v>46288</v>
      </c>
      <c r="B611" s="855" t="s">
        <v>987</v>
      </c>
      <c r="C611" s="858" t="s">
        <v>153</v>
      </c>
      <c r="D611" s="859" t="s">
        <v>337</v>
      </c>
      <c r="E611" s="855"/>
      <c r="F611" s="855">
        <v>8</v>
      </c>
      <c r="G611" s="525">
        <f t="shared" si="17"/>
        <v>1959872.55</v>
      </c>
      <c r="H611" s="854">
        <f t="shared" si="18"/>
        <v>15678980.4</v>
      </c>
      <c r="I611" s="861" t="s">
        <v>1599</v>
      </c>
      <c r="J611" s="855">
        <v>228450</v>
      </c>
      <c r="K611" s="862" t="s">
        <v>1928</v>
      </c>
      <c r="L611" s="405">
        <v>8.5790000000000006</v>
      </c>
      <c r="M611" s="896"/>
    </row>
    <row r="612" spans="1:13" s="19" customFormat="1" ht="18.75" customHeight="1" x14ac:dyDescent="0.4">
      <c r="A612" s="485">
        <v>46288</v>
      </c>
      <c r="B612" s="855" t="s">
        <v>987</v>
      </c>
      <c r="C612" s="858" t="s">
        <v>150</v>
      </c>
      <c r="D612" s="859" t="s">
        <v>275</v>
      </c>
      <c r="E612" s="855"/>
      <c r="F612" s="855">
        <v>1</v>
      </c>
      <c r="G612" s="525">
        <f t="shared" si="17"/>
        <v>508820.49000000005</v>
      </c>
      <c r="H612" s="854">
        <f t="shared" si="18"/>
        <v>508820.49000000005</v>
      </c>
      <c r="I612" s="861" t="s">
        <v>1600</v>
      </c>
      <c r="J612" s="855">
        <v>59310</v>
      </c>
      <c r="K612" s="862" t="s">
        <v>1928</v>
      </c>
      <c r="L612" s="405">
        <v>8.5790000000000006</v>
      </c>
      <c r="M612" s="896"/>
    </row>
    <row r="613" spans="1:13" s="19" customFormat="1" ht="18.75" customHeight="1" x14ac:dyDescent="0.4">
      <c r="A613" s="485">
        <v>46288</v>
      </c>
      <c r="B613" s="855" t="s">
        <v>987</v>
      </c>
      <c r="C613" s="858" t="s">
        <v>154</v>
      </c>
      <c r="D613" s="859" t="s">
        <v>652</v>
      </c>
      <c r="E613" s="855"/>
      <c r="F613" s="855">
        <v>1</v>
      </c>
      <c r="G613" s="525">
        <f t="shared" si="17"/>
        <v>1409787.07</v>
      </c>
      <c r="H613" s="854">
        <f t="shared" si="18"/>
        <v>1409787.07</v>
      </c>
      <c r="I613" s="861" t="s">
        <v>1600</v>
      </c>
      <c r="J613" s="855">
        <v>164330</v>
      </c>
      <c r="K613" s="862" t="s">
        <v>1928</v>
      </c>
      <c r="L613" s="405">
        <v>8.5790000000000006</v>
      </c>
      <c r="M613" s="896"/>
    </row>
    <row r="614" spans="1:13" s="19" customFormat="1" ht="18.75" customHeight="1" x14ac:dyDescent="0.4">
      <c r="A614" s="485">
        <v>46288</v>
      </c>
      <c r="B614" s="855" t="s">
        <v>987</v>
      </c>
      <c r="C614" s="858" t="s">
        <v>152</v>
      </c>
      <c r="D614" s="859" t="s">
        <v>263</v>
      </c>
      <c r="E614" s="855"/>
      <c r="F614" s="855">
        <v>4</v>
      </c>
      <c r="G614" s="525">
        <f t="shared" si="17"/>
        <v>879519.08000000007</v>
      </c>
      <c r="H614" s="854">
        <f t="shared" si="18"/>
        <v>3518076.3200000003</v>
      </c>
      <c r="I614" s="861" t="s">
        <v>1600</v>
      </c>
      <c r="J614" s="855">
        <v>102520</v>
      </c>
      <c r="K614" s="862" t="s">
        <v>1928</v>
      </c>
      <c r="L614" s="405">
        <v>8.5790000000000006</v>
      </c>
      <c r="M614" s="896"/>
    </row>
    <row r="615" spans="1:13" s="19" customFormat="1" ht="18.75" customHeight="1" x14ac:dyDescent="0.4">
      <c r="A615" s="485">
        <v>46288</v>
      </c>
      <c r="B615" s="855" t="s">
        <v>987</v>
      </c>
      <c r="C615" s="858" t="s">
        <v>154</v>
      </c>
      <c r="D615" s="859" t="s">
        <v>1328</v>
      </c>
      <c r="E615" s="855"/>
      <c r="F615" s="855">
        <v>4</v>
      </c>
      <c r="G615" s="525">
        <f t="shared" si="17"/>
        <v>685204.7300000001</v>
      </c>
      <c r="H615" s="854">
        <f t="shared" si="18"/>
        <v>2740818.9200000004</v>
      </c>
      <c r="I615" s="861" t="s">
        <v>1927</v>
      </c>
      <c r="J615" s="855">
        <v>79870</v>
      </c>
      <c r="K615" s="862" t="s">
        <v>1928</v>
      </c>
      <c r="L615" s="405">
        <v>8.5790000000000006</v>
      </c>
      <c r="M615" s="896"/>
    </row>
    <row r="616" spans="1:13" s="19" customFormat="1" ht="18.75" customHeight="1" x14ac:dyDescent="0.4">
      <c r="A616" s="485">
        <v>46288</v>
      </c>
      <c r="B616" s="855" t="s">
        <v>987</v>
      </c>
      <c r="C616" s="858" t="s">
        <v>161</v>
      </c>
      <c r="D616" s="859" t="s">
        <v>1005</v>
      </c>
      <c r="E616" s="855"/>
      <c r="F616" s="855">
        <v>4</v>
      </c>
      <c r="G616" s="525">
        <f t="shared" si="17"/>
        <v>238581.99000000002</v>
      </c>
      <c r="H616" s="854">
        <f t="shared" si="18"/>
        <v>954327.96000000008</v>
      </c>
      <c r="I616" s="861" t="s">
        <v>1927</v>
      </c>
      <c r="J616" s="855">
        <v>27810</v>
      </c>
      <c r="K616" s="862" t="s">
        <v>1928</v>
      </c>
      <c r="L616" s="405">
        <v>8.5790000000000006</v>
      </c>
      <c r="M616" s="896"/>
    </row>
    <row r="617" spans="1:13" s="19" customFormat="1" ht="18.75" customHeight="1" x14ac:dyDescent="0.4">
      <c r="A617" s="485">
        <v>46288</v>
      </c>
      <c r="B617" s="855" t="s">
        <v>987</v>
      </c>
      <c r="C617" s="858" t="s">
        <v>157</v>
      </c>
      <c r="D617" s="859" t="s">
        <v>273</v>
      </c>
      <c r="E617" s="855"/>
      <c r="F617" s="855">
        <v>4</v>
      </c>
      <c r="G617" s="525">
        <f t="shared" si="17"/>
        <v>303953.97000000003</v>
      </c>
      <c r="H617" s="854">
        <f t="shared" si="18"/>
        <v>1215815.8800000001</v>
      </c>
      <c r="I617" s="861" t="s">
        <v>1927</v>
      </c>
      <c r="J617" s="855">
        <v>35430</v>
      </c>
      <c r="K617" s="862" t="s">
        <v>1928</v>
      </c>
      <c r="L617" s="405">
        <v>8.5790000000000006</v>
      </c>
      <c r="M617" s="896"/>
    </row>
    <row r="618" spans="1:13" s="19" customFormat="1" ht="18.75" customHeight="1" x14ac:dyDescent="0.4">
      <c r="A618" s="622"/>
      <c r="B618" s="842"/>
      <c r="C618" s="843"/>
      <c r="D618" s="844"/>
      <c r="E618" s="842"/>
      <c r="F618" s="842"/>
      <c r="G618" s="845"/>
      <c r="H618" s="846">
        <f>SUM(H533:H617)-9</f>
        <v>561720161.13728821</v>
      </c>
      <c r="I618" s="897">
        <f>H618/162000000</f>
        <v>3.4674084020820262</v>
      </c>
      <c r="J618" s="848"/>
      <c r="K618" s="849"/>
      <c r="L618" s="696"/>
    </row>
    <row r="619" spans="1:13" s="19" customFormat="1" ht="18.75" customHeight="1" x14ac:dyDescent="0.4">
      <c r="A619" s="485">
        <v>46290</v>
      </c>
      <c r="B619" s="855" t="s">
        <v>1955</v>
      </c>
      <c r="C619" s="858" t="s">
        <v>1651</v>
      </c>
      <c r="D619" s="859" t="s">
        <v>860</v>
      </c>
      <c r="E619" s="855"/>
      <c r="F619" s="855">
        <v>4800</v>
      </c>
      <c r="G619" s="860">
        <v>340</v>
      </c>
      <c r="H619" s="854">
        <f t="shared" si="18"/>
        <v>1632000</v>
      </c>
      <c r="I619" s="968"/>
      <c r="J619" s="862"/>
      <c r="K619" s="852"/>
      <c r="L619" s="405"/>
    </row>
    <row r="620" spans="1:13" s="19" customFormat="1" ht="18.75" customHeight="1" x14ac:dyDescent="0.4">
      <c r="A620" s="485">
        <v>46290</v>
      </c>
      <c r="B620" s="855" t="s">
        <v>1955</v>
      </c>
      <c r="C620" s="858" t="s">
        <v>1651</v>
      </c>
      <c r="D620" s="859" t="s">
        <v>860</v>
      </c>
      <c r="E620" s="855"/>
      <c r="F620" s="855">
        <v>6078</v>
      </c>
      <c r="G620" s="860">
        <v>340</v>
      </c>
      <c r="H620" s="854">
        <f t="shared" si="18"/>
        <v>2066520</v>
      </c>
      <c r="I620" s="968"/>
      <c r="J620" s="862"/>
      <c r="K620" s="852"/>
      <c r="L620" s="405"/>
    </row>
    <row r="621" spans="1:13" s="19" customFormat="1" ht="18.75" customHeight="1" x14ac:dyDescent="0.4">
      <c r="A621" s="622"/>
      <c r="B621" s="842"/>
      <c r="C621" s="843"/>
      <c r="D621" s="844"/>
      <c r="E621" s="842"/>
      <c r="F621" s="842"/>
      <c r="G621" s="845"/>
      <c r="H621" s="846">
        <f>SUM(H619:H620)</f>
        <v>3698520</v>
      </c>
      <c r="I621" s="897"/>
      <c r="J621" s="848"/>
      <c r="K621" s="849"/>
      <c r="L621" s="696"/>
    </row>
    <row r="622" spans="1:13" s="19" customFormat="1" ht="18.75" customHeight="1" x14ac:dyDescent="0.4">
      <c r="A622" s="485">
        <v>46281</v>
      </c>
      <c r="B622" s="855" t="s">
        <v>1929</v>
      </c>
      <c r="C622" s="858" t="s">
        <v>1029</v>
      </c>
      <c r="D622" s="859" t="s">
        <v>1030</v>
      </c>
      <c r="E622" s="855" t="s">
        <v>11</v>
      </c>
      <c r="F622" s="855">
        <v>98</v>
      </c>
      <c r="G622" s="860">
        <v>140039</v>
      </c>
      <c r="H622" s="860">
        <f>F622*G622</f>
        <v>13723822</v>
      </c>
      <c r="I622" s="861"/>
      <c r="J622" s="862"/>
      <c r="K622" s="852"/>
      <c r="L622" s="405"/>
    </row>
    <row r="623" spans="1:13" s="19" customFormat="1" ht="18.75" customHeight="1" x14ac:dyDescent="0.4">
      <c r="A623" s="485">
        <v>46281</v>
      </c>
      <c r="B623" s="855" t="s">
        <v>1929</v>
      </c>
      <c r="C623" s="858" t="s">
        <v>1029</v>
      </c>
      <c r="D623" s="859" t="s">
        <v>1030</v>
      </c>
      <c r="E623" s="855" t="s">
        <v>11</v>
      </c>
      <c r="F623" s="855">
        <v>-1</v>
      </c>
      <c r="G623" s="860">
        <v>140039</v>
      </c>
      <c r="H623" s="860">
        <f>F623*G623</f>
        <v>-140039</v>
      </c>
      <c r="I623" s="861"/>
      <c r="J623" s="862"/>
      <c r="K623" s="852"/>
      <c r="L623" s="405"/>
    </row>
    <row r="624" spans="1:13" s="19" customFormat="1" ht="18.75" customHeight="1" x14ac:dyDescent="0.4">
      <c r="A624" s="485">
        <v>46295</v>
      </c>
      <c r="B624" s="855" t="s">
        <v>1929</v>
      </c>
      <c r="C624" s="858" t="s">
        <v>1029</v>
      </c>
      <c r="D624" s="859" t="s">
        <v>1030</v>
      </c>
      <c r="E624" s="855"/>
      <c r="F624" s="855"/>
      <c r="G624" s="860" t="s">
        <v>864</v>
      </c>
      <c r="H624" s="860">
        <v>152163</v>
      </c>
      <c r="I624" s="861"/>
      <c r="J624" s="862"/>
      <c r="K624" s="852"/>
      <c r="L624" s="405"/>
    </row>
    <row r="625" spans="1:13" s="19" customFormat="1" ht="18.75" customHeight="1" x14ac:dyDescent="0.4">
      <c r="A625" s="485">
        <v>46295</v>
      </c>
      <c r="B625" s="855" t="s">
        <v>1929</v>
      </c>
      <c r="C625" s="858" t="s">
        <v>1948</v>
      </c>
      <c r="D625" s="859"/>
      <c r="E625" s="855"/>
      <c r="F625" s="855"/>
      <c r="G625" s="920"/>
      <c r="H625" s="860">
        <v>10800000</v>
      </c>
      <c r="I625" s="861"/>
      <c r="J625" s="862"/>
      <c r="K625" s="852"/>
      <c r="L625" s="405"/>
    </row>
    <row r="626" spans="1:13" s="19" customFormat="1" ht="18.75" customHeight="1" x14ac:dyDescent="0.4">
      <c r="A626" s="622"/>
      <c r="B626" s="842"/>
      <c r="C626" s="843"/>
      <c r="D626" s="844"/>
      <c r="E626" s="842"/>
      <c r="F626" s="842"/>
      <c r="G626" s="845"/>
      <c r="H626" s="846">
        <f>SUM(H622:H625)</f>
        <v>24535946</v>
      </c>
      <c r="I626" s="847"/>
      <c r="J626" s="848"/>
      <c r="K626" s="849"/>
      <c r="L626" s="696"/>
    </row>
    <row r="627" spans="1:13" s="835" customFormat="1" ht="18.75" customHeight="1" x14ac:dyDescent="0.4">
      <c r="A627" s="485">
        <v>46279</v>
      </c>
      <c r="B627" s="855" t="s">
        <v>395</v>
      </c>
      <c r="C627" s="854" t="s">
        <v>1032</v>
      </c>
      <c r="D627" s="871" t="s">
        <v>1033</v>
      </c>
      <c r="E627" s="878"/>
      <c r="F627" s="853">
        <v>30</v>
      </c>
      <c r="G627" s="854">
        <f>J627*L627</f>
        <v>2172884.4948</v>
      </c>
      <c r="H627" s="860">
        <f>F627*G627</f>
        <v>65186534.843999997</v>
      </c>
      <c r="I627" s="878"/>
      <c r="J627" s="68">
        <v>249164</v>
      </c>
      <c r="K627" s="878"/>
      <c r="L627" s="880">
        <v>8.7207000000000008</v>
      </c>
    </row>
    <row r="628" spans="1:13" s="835" customFormat="1" ht="18.75" customHeight="1" x14ac:dyDescent="0.4">
      <c r="A628" s="485">
        <v>46283</v>
      </c>
      <c r="B628" s="855" t="s">
        <v>395</v>
      </c>
      <c r="C628" s="854" t="s">
        <v>1032</v>
      </c>
      <c r="D628" s="871" t="s">
        <v>1033</v>
      </c>
      <c r="E628" s="878"/>
      <c r="F628" s="853">
        <v>30</v>
      </c>
      <c r="G628" s="854">
        <f>J628*L628</f>
        <v>2151979.6351999999</v>
      </c>
      <c r="H628" s="860">
        <f>F628*G628</f>
        <v>64559389.055999994</v>
      </c>
      <c r="I628" s="878"/>
      <c r="J628" s="68">
        <v>249164</v>
      </c>
      <c r="K628" s="878"/>
      <c r="L628" s="880">
        <v>8.6367999999999991</v>
      </c>
    </row>
    <row r="629" spans="1:13" s="835" customFormat="1" ht="18.75" customHeight="1" x14ac:dyDescent="0.4">
      <c r="A629" s="485">
        <v>46288</v>
      </c>
      <c r="B629" s="855" t="s">
        <v>395</v>
      </c>
      <c r="C629" s="854" t="s">
        <v>1032</v>
      </c>
      <c r="D629" s="871" t="s">
        <v>1033</v>
      </c>
      <c r="E629" s="878"/>
      <c r="F629" s="853">
        <v>21</v>
      </c>
      <c r="G629" s="854">
        <f>J629*L629</f>
        <v>2145999.6992000001</v>
      </c>
      <c r="H629" s="860">
        <f>F629*G629</f>
        <v>45065993.683200002</v>
      </c>
      <c r="I629" s="878" t="s">
        <v>1940</v>
      </c>
      <c r="J629" s="68">
        <v>249164</v>
      </c>
      <c r="K629" s="878"/>
      <c r="L629" s="880">
        <v>8.6128</v>
      </c>
    </row>
    <row r="630" spans="1:13" s="3" customFormat="1" ht="18.75" customHeight="1" x14ac:dyDescent="0.4">
      <c r="A630" s="888"/>
      <c r="B630" s="889"/>
      <c r="C630" s="849"/>
      <c r="D630" s="889"/>
      <c r="E630" s="889"/>
      <c r="F630" s="890"/>
      <c r="G630" s="891"/>
      <c r="H630" s="891">
        <f>SUM(H627:H628)-1</f>
        <v>129745922.89999999</v>
      </c>
      <c r="I630" s="891"/>
      <c r="J630" s="892"/>
      <c r="K630" s="893"/>
      <c r="L630" s="894"/>
      <c r="M630" s="857"/>
    </row>
    <row r="631" spans="1:13" s="19" customFormat="1" ht="18.75" customHeight="1" x14ac:dyDescent="0.4">
      <c r="A631" s="501">
        <v>46265</v>
      </c>
      <c r="B631" s="7" t="s">
        <v>164</v>
      </c>
      <c r="C631" s="6" t="s">
        <v>170</v>
      </c>
      <c r="D631" s="42" t="s">
        <v>511</v>
      </c>
      <c r="E631" s="1" t="s">
        <v>13</v>
      </c>
      <c r="F631" s="36">
        <v>7</v>
      </c>
      <c r="G631" s="8">
        <v>1300000</v>
      </c>
      <c r="H631" s="36">
        <f t="shared" ref="H631:H639" si="19">F631*G631</f>
        <v>9100000</v>
      </c>
      <c r="I631" s="61"/>
      <c r="J631" s="43"/>
      <c r="K631" s="81"/>
      <c r="L631" s="405"/>
    </row>
    <row r="632" spans="1:13" s="19" customFormat="1" ht="18.75" customHeight="1" x14ac:dyDescent="0.4">
      <c r="A632" s="501">
        <v>46269</v>
      </c>
      <c r="B632" s="838" t="s">
        <v>164</v>
      </c>
      <c r="C632" s="858" t="s">
        <v>512</v>
      </c>
      <c r="D632" s="42" t="s">
        <v>551</v>
      </c>
      <c r="E632" s="1" t="s">
        <v>13</v>
      </c>
      <c r="F632" s="898">
        <v>4</v>
      </c>
      <c r="G632" s="855">
        <v>1270000</v>
      </c>
      <c r="H632" s="855">
        <f t="shared" si="19"/>
        <v>5080000</v>
      </c>
      <c r="I632" s="869"/>
      <c r="J632" s="43"/>
      <c r="K632" s="853"/>
      <c r="L632" s="405"/>
    </row>
    <row r="633" spans="1:13" s="19" customFormat="1" ht="18.75" customHeight="1" x14ac:dyDescent="0.4">
      <c r="A633" s="501">
        <v>46269</v>
      </c>
      <c r="B633" s="838" t="s">
        <v>164</v>
      </c>
      <c r="C633" s="858" t="s">
        <v>166</v>
      </c>
      <c r="D633" s="42" t="s">
        <v>167</v>
      </c>
      <c r="E633" s="1" t="s">
        <v>13</v>
      </c>
      <c r="F633" s="898">
        <v>6</v>
      </c>
      <c r="G633" s="855">
        <v>650000</v>
      </c>
      <c r="H633" s="860">
        <f t="shared" si="19"/>
        <v>3900000</v>
      </c>
      <c r="I633" s="869"/>
      <c r="J633" s="43"/>
      <c r="K633" s="853"/>
      <c r="L633" s="405"/>
    </row>
    <row r="634" spans="1:13" s="19" customFormat="1" ht="18.75" customHeight="1" x14ac:dyDescent="0.4">
      <c r="A634" s="501">
        <v>46269</v>
      </c>
      <c r="B634" s="838" t="s">
        <v>164</v>
      </c>
      <c r="C634" s="858" t="s">
        <v>170</v>
      </c>
      <c r="D634" s="42" t="s">
        <v>511</v>
      </c>
      <c r="E634" s="1" t="s">
        <v>13</v>
      </c>
      <c r="F634" s="860">
        <v>2</v>
      </c>
      <c r="G634" s="855">
        <v>1300000</v>
      </c>
      <c r="H634" s="860">
        <f t="shared" si="19"/>
        <v>2600000</v>
      </c>
      <c r="I634" s="860"/>
      <c r="J634" s="43"/>
      <c r="K634" s="853"/>
      <c r="L634" s="405"/>
    </row>
    <row r="635" spans="1:13" s="19" customFormat="1" ht="18.75" customHeight="1" x14ac:dyDescent="0.4">
      <c r="A635" s="501">
        <v>46269</v>
      </c>
      <c r="B635" s="838" t="s">
        <v>164</v>
      </c>
      <c r="C635" s="858" t="s">
        <v>277</v>
      </c>
      <c r="D635" s="42" t="s">
        <v>278</v>
      </c>
      <c r="E635" s="1" t="s">
        <v>13</v>
      </c>
      <c r="F635" s="898">
        <v>10</v>
      </c>
      <c r="G635" s="855">
        <v>240000</v>
      </c>
      <c r="H635" s="860">
        <f t="shared" si="19"/>
        <v>2400000</v>
      </c>
      <c r="I635" s="867"/>
      <c r="J635" s="43"/>
      <c r="K635" s="853"/>
      <c r="L635" s="73"/>
    </row>
    <row r="636" spans="1:13" s="19" customFormat="1" ht="18.75" customHeight="1" x14ac:dyDescent="0.4">
      <c r="A636" s="501">
        <v>46279</v>
      </c>
      <c r="B636" s="838" t="s">
        <v>164</v>
      </c>
      <c r="C636" s="879" t="s">
        <v>165</v>
      </c>
      <c r="D636" s="863" t="s">
        <v>510</v>
      </c>
      <c r="E636" s="838" t="s">
        <v>13</v>
      </c>
      <c r="F636" s="838">
        <v>1</v>
      </c>
      <c r="G636" s="864">
        <v>3720000</v>
      </c>
      <c r="H636" s="860">
        <f t="shared" si="19"/>
        <v>3720000</v>
      </c>
      <c r="I636" s="869"/>
      <c r="J636" s="43"/>
      <c r="K636" s="853"/>
      <c r="L636" s="405"/>
    </row>
    <row r="637" spans="1:13" s="19" customFormat="1" ht="18.75" customHeight="1" x14ac:dyDescent="0.4">
      <c r="A637" s="501">
        <v>46279</v>
      </c>
      <c r="B637" s="838" t="s">
        <v>164</v>
      </c>
      <c r="C637" s="858" t="s">
        <v>170</v>
      </c>
      <c r="D637" s="42" t="s">
        <v>511</v>
      </c>
      <c r="E637" s="1" t="s">
        <v>13</v>
      </c>
      <c r="F637" s="860">
        <v>1</v>
      </c>
      <c r="G637" s="855">
        <v>1300000</v>
      </c>
      <c r="H637" s="860">
        <f t="shared" si="19"/>
        <v>1300000</v>
      </c>
      <c r="I637" s="860"/>
      <c r="J637" s="43"/>
      <c r="K637" s="853"/>
      <c r="L637" s="405"/>
    </row>
    <row r="638" spans="1:13" s="19" customFormat="1" ht="18.75" customHeight="1" x14ac:dyDescent="0.4">
      <c r="A638" s="501">
        <v>46279</v>
      </c>
      <c r="B638" s="838" t="s">
        <v>164</v>
      </c>
      <c r="C638" s="858" t="s">
        <v>166</v>
      </c>
      <c r="D638" s="42" t="s">
        <v>167</v>
      </c>
      <c r="E638" s="1" t="s">
        <v>13</v>
      </c>
      <c r="F638" s="898">
        <v>2</v>
      </c>
      <c r="G638" s="855">
        <v>650000</v>
      </c>
      <c r="H638" s="860">
        <f t="shared" si="19"/>
        <v>1300000</v>
      </c>
      <c r="I638" s="869"/>
      <c r="J638" s="43"/>
      <c r="K638" s="853"/>
      <c r="L638" s="405"/>
    </row>
    <row r="639" spans="1:13" s="19" customFormat="1" ht="18.75" customHeight="1" x14ac:dyDescent="0.4">
      <c r="A639" s="598">
        <v>46295</v>
      </c>
      <c r="B639" s="921" t="s">
        <v>164</v>
      </c>
      <c r="C639" s="922" t="s">
        <v>512</v>
      </c>
      <c r="D639" s="461" t="s">
        <v>551</v>
      </c>
      <c r="E639" s="574" t="s">
        <v>13</v>
      </c>
      <c r="F639" s="923">
        <v>2</v>
      </c>
      <c r="G639" s="913">
        <v>1270000</v>
      </c>
      <c r="H639" s="913">
        <f t="shared" si="19"/>
        <v>2540000</v>
      </c>
      <c r="I639" s="464" t="s">
        <v>1949</v>
      </c>
      <c r="J639" s="577"/>
      <c r="K639" s="914"/>
      <c r="L639" s="688"/>
    </row>
    <row r="640" spans="1:13" s="19" customFormat="1" ht="18.75" customHeight="1" x14ac:dyDescent="0.4">
      <c r="A640" s="598">
        <v>46295</v>
      </c>
      <c r="B640" s="921" t="s">
        <v>164</v>
      </c>
      <c r="C640" s="924" t="s">
        <v>165</v>
      </c>
      <c r="D640" s="925" t="s">
        <v>510</v>
      </c>
      <c r="E640" s="921" t="s">
        <v>13</v>
      </c>
      <c r="F640" s="921">
        <v>2</v>
      </c>
      <c r="G640" s="926">
        <v>3720000</v>
      </c>
      <c r="H640" s="927">
        <f>F640*G640</f>
        <v>7440000</v>
      </c>
      <c r="I640" s="464" t="s">
        <v>1949</v>
      </c>
      <c r="J640" s="577"/>
      <c r="K640" s="914"/>
      <c r="L640" s="688"/>
    </row>
    <row r="641" spans="1:12" s="19" customFormat="1" ht="18.75" customHeight="1" x14ac:dyDescent="0.4">
      <c r="A641" s="598">
        <v>46295</v>
      </c>
      <c r="B641" s="921" t="s">
        <v>164</v>
      </c>
      <c r="C641" s="922" t="s">
        <v>170</v>
      </c>
      <c r="D641" s="461" t="s">
        <v>511</v>
      </c>
      <c r="E641" s="574" t="s">
        <v>13</v>
      </c>
      <c r="F641" s="927">
        <v>5</v>
      </c>
      <c r="G641" s="913">
        <v>1300000</v>
      </c>
      <c r="H641" s="927">
        <f>F641*G641</f>
        <v>6500000</v>
      </c>
      <c r="I641" s="464" t="s">
        <v>1949</v>
      </c>
      <c r="J641" s="577"/>
      <c r="K641" s="914"/>
      <c r="L641" s="688"/>
    </row>
    <row r="642" spans="1:12" s="19" customFormat="1" ht="18.75" customHeight="1" x14ac:dyDescent="0.4">
      <c r="A642" s="598">
        <v>46295</v>
      </c>
      <c r="B642" s="921" t="s">
        <v>164</v>
      </c>
      <c r="C642" s="922" t="s">
        <v>166</v>
      </c>
      <c r="D642" s="461" t="s">
        <v>167</v>
      </c>
      <c r="E642" s="574" t="s">
        <v>13</v>
      </c>
      <c r="F642" s="923">
        <v>10</v>
      </c>
      <c r="G642" s="913">
        <v>650000</v>
      </c>
      <c r="H642" s="927">
        <f>F642*G642</f>
        <v>6500000</v>
      </c>
      <c r="I642" s="464" t="s">
        <v>1949</v>
      </c>
      <c r="J642" s="577"/>
      <c r="K642" s="914"/>
      <c r="L642" s="688"/>
    </row>
    <row r="643" spans="1:12" s="19" customFormat="1" ht="18.75" customHeight="1" x14ac:dyDescent="0.4">
      <c r="A643" s="622"/>
      <c r="B643" s="842"/>
      <c r="C643" s="843"/>
      <c r="D643" s="844"/>
      <c r="E643" s="842"/>
      <c r="F643" s="842"/>
      <c r="G643" s="845"/>
      <c r="H643" s="846">
        <f>SUM(H631:H638)</f>
        <v>29400000</v>
      </c>
      <c r="I643" s="847"/>
      <c r="J643" s="848"/>
      <c r="K643" s="849"/>
      <c r="L643" s="696"/>
    </row>
    <row r="644" spans="1:12" s="50" customFormat="1" ht="18.75" customHeight="1" x14ac:dyDescent="0.4">
      <c r="A644" s="953">
        <v>46262</v>
      </c>
      <c r="B644" s="659" t="s">
        <v>483</v>
      </c>
      <c r="C644" s="962" t="s">
        <v>486</v>
      </c>
      <c r="D644" s="963" t="s">
        <v>513</v>
      </c>
      <c r="E644" s="658" t="s">
        <v>13</v>
      </c>
      <c r="F644" s="659">
        <v>1</v>
      </c>
      <c r="G644" s="964">
        <v>9741800</v>
      </c>
      <c r="H644" s="659">
        <f t="shared" ref="H644:H656" si="20">F644*G644</f>
        <v>9741800</v>
      </c>
      <c r="I644" s="945" t="s">
        <v>1950</v>
      </c>
      <c r="J644" s="757" t="s">
        <v>1247</v>
      </c>
      <c r="K644" s="67"/>
      <c r="L644" s="67"/>
    </row>
    <row r="645" spans="1:12" s="113" customFormat="1" ht="18.75" customHeight="1" x14ac:dyDescent="0.4">
      <c r="A645" s="953">
        <v>46262</v>
      </c>
      <c r="B645" s="658" t="s">
        <v>483</v>
      </c>
      <c r="C645" s="942" t="s">
        <v>1840</v>
      </c>
      <c r="D645" s="969" t="s">
        <v>1841</v>
      </c>
      <c r="E645" s="658" t="s">
        <v>13</v>
      </c>
      <c r="F645" s="658">
        <v>1</v>
      </c>
      <c r="G645" s="961">
        <v>3100000</v>
      </c>
      <c r="H645" s="658">
        <f t="shared" si="20"/>
        <v>3100000</v>
      </c>
      <c r="I645" s="970" t="s">
        <v>1950</v>
      </c>
      <c r="J645" s="971" t="s">
        <v>1247</v>
      </c>
      <c r="K645" s="111"/>
      <c r="L645" s="111"/>
    </row>
    <row r="646" spans="1:12" s="50" customFormat="1" ht="18.75" customHeight="1" x14ac:dyDescent="0.4">
      <c r="A646" s="953">
        <v>46263</v>
      </c>
      <c r="B646" s="659" t="s">
        <v>483</v>
      </c>
      <c r="C646" s="962" t="s">
        <v>486</v>
      </c>
      <c r="D646" s="963" t="s">
        <v>513</v>
      </c>
      <c r="E646" s="658" t="s">
        <v>13</v>
      </c>
      <c r="F646" s="659">
        <v>1</v>
      </c>
      <c r="G646" s="964">
        <v>9741800</v>
      </c>
      <c r="H646" s="659">
        <f t="shared" si="20"/>
        <v>9741800</v>
      </c>
      <c r="I646" s="945" t="s">
        <v>1950</v>
      </c>
      <c r="J646" s="757" t="s">
        <v>1247</v>
      </c>
      <c r="K646" s="67"/>
      <c r="L646" s="67"/>
    </row>
    <row r="647" spans="1:12" s="19" customFormat="1" ht="18.75" customHeight="1" x14ac:dyDescent="0.4">
      <c r="A647" s="953">
        <v>46267</v>
      </c>
      <c r="B647" s="929" t="s">
        <v>483</v>
      </c>
      <c r="C647" s="930" t="s">
        <v>489</v>
      </c>
      <c r="D647" s="965" t="s">
        <v>1034</v>
      </c>
      <c r="E647" s="929" t="s">
        <v>13</v>
      </c>
      <c r="F647" s="929">
        <v>1</v>
      </c>
      <c r="G647" s="933">
        <v>9379400</v>
      </c>
      <c r="H647" s="933">
        <f t="shared" si="20"/>
        <v>9379400</v>
      </c>
      <c r="I647" s="945" t="s">
        <v>1950</v>
      </c>
      <c r="J647" s="883" t="s">
        <v>1247</v>
      </c>
      <c r="K647" s="852"/>
      <c r="L647" s="854"/>
    </row>
    <row r="648" spans="1:12" s="19" customFormat="1" ht="18.75" customHeight="1" x14ac:dyDescent="0.4">
      <c r="A648" s="953">
        <v>46267</v>
      </c>
      <c r="B648" s="929" t="s">
        <v>483</v>
      </c>
      <c r="C648" s="930" t="s">
        <v>489</v>
      </c>
      <c r="D648" s="965" t="s">
        <v>1034</v>
      </c>
      <c r="E648" s="929" t="s">
        <v>13</v>
      </c>
      <c r="F648" s="929">
        <v>1</v>
      </c>
      <c r="G648" s="933">
        <v>9379400</v>
      </c>
      <c r="H648" s="933">
        <f t="shared" si="20"/>
        <v>9379400</v>
      </c>
      <c r="I648" s="945" t="s">
        <v>1950</v>
      </c>
      <c r="J648" s="883" t="s">
        <v>1247</v>
      </c>
      <c r="K648" s="852"/>
      <c r="L648" s="854"/>
    </row>
    <row r="649" spans="1:12" s="19" customFormat="1" ht="18.75" customHeight="1" x14ac:dyDescent="0.4">
      <c r="A649" s="928">
        <v>46273</v>
      </c>
      <c r="B649" s="934" t="s">
        <v>483</v>
      </c>
      <c r="C649" s="935" t="s">
        <v>486</v>
      </c>
      <c r="D649" s="966" t="s">
        <v>513</v>
      </c>
      <c r="E649" s="929" t="s">
        <v>13</v>
      </c>
      <c r="F649" s="934">
        <v>1</v>
      </c>
      <c r="G649" s="967">
        <v>9741800</v>
      </c>
      <c r="H649" s="934">
        <f t="shared" si="20"/>
        <v>9741800</v>
      </c>
      <c r="I649" s="945" t="s">
        <v>1950</v>
      </c>
      <c r="J649" s="883" t="s">
        <v>1247</v>
      </c>
      <c r="K649" s="852"/>
      <c r="L649" s="854"/>
    </row>
    <row r="650" spans="1:12" s="19" customFormat="1" ht="18.75" customHeight="1" x14ac:dyDescent="0.4">
      <c r="A650" s="928">
        <v>46274</v>
      </c>
      <c r="B650" s="934" t="s">
        <v>483</v>
      </c>
      <c r="C650" s="935" t="s">
        <v>486</v>
      </c>
      <c r="D650" s="966" t="s">
        <v>513</v>
      </c>
      <c r="E650" s="929" t="s">
        <v>13</v>
      </c>
      <c r="F650" s="934">
        <v>1</v>
      </c>
      <c r="G650" s="967">
        <v>9741800</v>
      </c>
      <c r="H650" s="934">
        <f t="shared" si="20"/>
        <v>9741800</v>
      </c>
      <c r="I650" s="945" t="s">
        <v>1950</v>
      </c>
      <c r="J650" s="883" t="s">
        <v>1247</v>
      </c>
      <c r="K650" s="852"/>
      <c r="L650" s="854"/>
    </row>
    <row r="651" spans="1:12" s="19" customFormat="1" ht="18.75" customHeight="1" x14ac:dyDescent="0.4">
      <c r="A651" s="953">
        <v>46276</v>
      </c>
      <c r="B651" s="929" t="s">
        <v>483</v>
      </c>
      <c r="C651" s="930" t="s">
        <v>489</v>
      </c>
      <c r="D651" s="965" t="s">
        <v>1034</v>
      </c>
      <c r="E651" s="929" t="s">
        <v>13</v>
      </c>
      <c r="F651" s="929">
        <v>1</v>
      </c>
      <c r="G651" s="933">
        <v>9379400</v>
      </c>
      <c r="H651" s="933">
        <f t="shared" si="20"/>
        <v>9379400</v>
      </c>
      <c r="I651" s="945" t="s">
        <v>1950</v>
      </c>
      <c r="J651" s="883"/>
      <c r="K651" s="852"/>
      <c r="L651" s="854"/>
    </row>
    <row r="652" spans="1:12" s="19" customFormat="1" ht="18.75" customHeight="1" x14ac:dyDescent="0.4">
      <c r="A652" s="872">
        <v>46282</v>
      </c>
      <c r="B652" s="838" t="s">
        <v>483</v>
      </c>
      <c r="C652" s="879" t="s">
        <v>486</v>
      </c>
      <c r="D652" s="863" t="s">
        <v>513</v>
      </c>
      <c r="E652" s="855" t="s">
        <v>13</v>
      </c>
      <c r="F652" s="838">
        <v>1</v>
      </c>
      <c r="G652" s="864">
        <v>9741800</v>
      </c>
      <c r="H652" s="838">
        <f t="shared" si="20"/>
        <v>9741800</v>
      </c>
      <c r="I652" s="880" t="s">
        <v>1931</v>
      </c>
      <c r="J652" s="878" t="s">
        <v>1247</v>
      </c>
      <c r="K652" s="852"/>
      <c r="L652" s="854"/>
    </row>
    <row r="653" spans="1:12" s="19" customFormat="1" ht="18.75" customHeight="1" x14ac:dyDescent="0.4">
      <c r="A653" s="872">
        <v>46284</v>
      </c>
      <c r="B653" s="838" t="s">
        <v>483</v>
      </c>
      <c r="C653" s="879" t="s">
        <v>486</v>
      </c>
      <c r="D653" s="863" t="s">
        <v>513</v>
      </c>
      <c r="E653" s="855" t="s">
        <v>13</v>
      </c>
      <c r="F653" s="838">
        <v>1</v>
      </c>
      <c r="G653" s="864">
        <v>9741800</v>
      </c>
      <c r="H653" s="838">
        <f t="shared" si="20"/>
        <v>9741800</v>
      </c>
      <c r="I653" s="880" t="s">
        <v>1931</v>
      </c>
      <c r="J653" s="878" t="s">
        <v>1247</v>
      </c>
      <c r="K653" s="852"/>
      <c r="L653" s="854"/>
    </row>
    <row r="654" spans="1:12" s="19" customFormat="1" ht="18.75" customHeight="1" x14ac:dyDescent="0.4">
      <c r="A654" s="872">
        <v>46286</v>
      </c>
      <c r="B654" s="838" t="s">
        <v>483</v>
      </c>
      <c r="C654" s="879" t="s">
        <v>486</v>
      </c>
      <c r="D654" s="863" t="s">
        <v>513</v>
      </c>
      <c r="E654" s="855" t="s">
        <v>13</v>
      </c>
      <c r="F654" s="838">
        <v>1</v>
      </c>
      <c r="G654" s="864">
        <v>9741800</v>
      </c>
      <c r="H654" s="838">
        <f t="shared" si="20"/>
        <v>9741800</v>
      </c>
      <c r="I654" s="880" t="s">
        <v>1931</v>
      </c>
      <c r="J654" s="878" t="s">
        <v>1247</v>
      </c>
      <c r="K654" s="852"/>
      <c r="L654" s="854"/>
    </row>
    <row r="655" spans="1:12" s="19" customFormat="1" ht="18.75" customHeight="1" x14ac:dyDescent="0.4">
      <c r="A655" s="872">
        <v>46288</v>
      </c>
      <c r="B655" s="838" t="s">
        <v>483</v>
      </c>
      <c r="C655" s="879" t="s">
        <v>486</v>
      </c>
      <c r="D655" s="863" t="s">
        <v>513</v>
      </c>
      <c r="E655" s="855" t="s">
        <v>13</v>
      </c>
      <c r="F655" s="838">
        <v>1</v>
      </c>
      <c r="G655" s="864">
        <v>9741800</v>
      </c>
      <c r="H655" s="838">
        <f t="shared" si="20"/>
        <v>9741800</v>
      </c>
      <c r="I655" s="880" t="s">
        <v>1931</v>
      </c>
      <c r="J655" s="878" t="s">
        <v>1247</v>
      </c>
      <c r="K655" s="852"/>
      <c r="L655" s="854"/>
    </row>
    <row r="656" spans="1:12" s="19" customFormat="1" ht="18.75" customHeight="1" x14ac:dyDescent="0.4">
      <c r="A656" s="485">
        <v>46295</v>
      </c>
      <c r="B656" s="855" t="s">
        <v>483</v>
      </c>
      <c r="C656" s="858" t="s">
        <v>489</v>
      </c>
      <c r="D656" s="859" t="s">
        <v>1034</v>
      </c>
      <c r="E656" s="855" t="s">
        <v>13</v>
      </c>
      <c r="F656" s="855">
        <v>1</v>
      </c>
      <c r="G656" s="860">
        <v>9379400</v>
      </c>
      <c r="H656" s="860">
        <f t="shared" si="20"/>
        <v>9379400</v>
      </c>
      <c r="I656" s="880" t="s">
        <v>1931</v>
      </c>
      <c r="J656" s="878"/>
      <c r="K656" s="852"/>
      <c r="L656" s="854"/>
    </row>
    <row r="657" spans="1:14" s="19" customFormat="1" ht="18.75" customHeight="1" x14ac:dyDescent="0.4">
      <c r="A657" s="622"/>
      <c r="B657" s="842"/>
      <c r="C657" s="843"/>
      <c r="D657" s="844"/>
      <c r="E657" s="842"/>
      <c r="F657" s="842"/>
      <c r="G657" s="845"/>
      <c r="H657" s="846">
        <f>SUM(H644:H651)</f>
        <v>70205400</v>
      </c>
      <c r="I657" s="847"/>
      <c r="J657" s="848"/>
      <c r="K657" s="849"/>
      <c r="L657" s="437"/>
      <c r="N657" s="835"/>
    </row>
    <row r="658" spans="1:14" s="835" customFormat="1" ht="18.75" customHeight="1" x14ac:dyDescent="0.4">
      <c r="A658" s="711"/>
      <c r="B658" s="712"/>
      <c r="C658" s="899"/>
      <c r="D658" s="714"/>
      <c r="E658" s="714"/>
      <c r="F658" s="900"/>
      <c r="G658" s="901"/>
      <c r="H658" s="901">
        <f>SUM(H4,H18,H27,H98,H106,H136,H331,H333,H383,H410,H518,H525,H528,H532,H618,H621,H626,H630,H643,H657)</f>
        <v>3059651852.0372882</v>
      </c>
      <c r="I658" s="902"/>
      <c r="J658" s="902"/>
      <c r="K658" s="902"/>
      <c r="L658" s="902"/>
    </row>
    <row r="659" spans="1:14" ht="18.75" customHeight="1" x14ac:dyDescent="0.4">
      <c r="H659" s="905"/>
    </row>
    <row r="660" spans="1:14" ht="18.75" customHeight="1" x14ac:dyDescent="0.4">
      <c r="F660" s="905"/>
      <c r="H660" s="905"/>
    </row>
    <row r="661" spans="1:14" ht="18.75" customHeight="1" x14ac:dyDescent="0.4">
      <c r="H661" s="906"/>
    </row>
  </sheetData>
  <autoFilter ref="A1:M658" xr:uid="{68D9481C-7616-48F6-9798-8AB8F1BD3869}"/>
  <sortState ref="A606:N617">
    <sortCondition ref="L606:L617"/>
  </sortState>
  <phoneticPr fontId="2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8607-D7D3-48B2-93B3-13495B054FA1}">
  <dimension ref="A2:O9"/>
  <sheetViews>
    <sheetView workbookViewId="0">
      <selection activeCell="P25" sqref="P25"/>
    </sheetView>
  </sheetViews>
  <sheetFormatPr defaultRowHeight="17.399999999999999" x14ac:dyDescent="0.4"/>
  <cols>
    <col min="1" max="1" width="9.69921875" bestFit="1" customWidth="1"/>
    <col min="2" max="2" width="12.19921875" bestFit="1" customWidth="1"/>
    <col min="3" max="3" width="9.3984375" bestFit="1" customWidth="1"/>
    <col min="4" max="4" width="8.5" bestFit="1" customWidth="1"/>
    <col min="5" max="5" width="4.5" bestFit="1" customWidth="1"/>
    <col min="6" max="6" width="5" bestFit="1" customWidth="1"/>
    <col min="7" max="7" width="8.3984375" bestFit="1" customWidth="1"/>
    <col min="8" max="9" width="8.3984375" customWidth="1"/>
    <col min="10" max="10" width="10.8984375" bestFit="1" customWidth="1"/>
    <col min="11" max="11" width="16.5" bestFit="1" customWidth="1"/>
    <col min="12" max="12" width="11.8984375" bestFit="1" customWidth="1"/>
    <col min="14" max="14" width="10.5" bestFit="1" customWidth="1"/>
  </cols>
  <sheetData>
    <row r="2" spans="1:15" s="50" customFormat="1" ht="18" customHeight="1" x14ac:dyDescent="0.4">
      <c r="A2" s="481" t="s">
        <v>0</v>
      </c>
      <c r="B2" s="100" t="s">
        <v>1</v>
      </c>
      <c r="C2" s="101" t="s">
        <v>2</v>
      </c>
      <c r="D2" s="102" t="s">
        <v>3</v>
      </c>
      <c r="E2" s="102" t="s">
        <v>4</v>
      </c>
      <c r="F2" s="120" t="s">
        <v>5</v>
      </c>
      <c r="G2" s="87" t="s">
        <v>1859</v>
      </c>
      <c r="H2" s="87" t="s">
        <v>1860</v>
      </c>
      <c r="I2" s="87" t="s">
        <v>1861</v>
      </c>
      <c r="J2" s="87" t="s">
        <v>1862</v>
      </c>
      <c r="K2" s="136" t="s">
        <v>1863</v>
      </c>
      <c r="L2" s="360"/>
      <c r="M2" s="87"/>
      <c r="N2" s="619" t="s">
        <v>9</v>
      </c>
    </row>
    <row r="3" spans="1:15" s="50" customFormat="1" ht="18.75" customHeight="1" x14ac:dyDescent="0.4">
      <c r="A3" s="484">
        <v>46192</v>
      </c>
      <c r="B3" s="59" t="s">
        <v>141</v>
      </c>
      <c r="C3" s="49" t="s">
        <v>142</v>
      </c>
      <c r="D3" s="59">
        <v>40220976</v>
      </c>
      <c r="E3" s="59" t="s">
        <v>17</v>
      </c>
      <c r="F3" s="7">
        <v>72</v>
      </c>
      <c r="G3" s="49">
        <v>176943</v>
      </c>
      <c r="H3" s="49">
        <v>217347</v>
      </c>
      <c r="I3" s="49">
        <f t="shared" ref="I3:I8" si="0">H3-G3</f>
        <v>40404</v>
      </c>
      <c r="J3" s="36">
        <f>I3*F3</f>
        <v>2909088</v>
      </c>
      <c r="K3" s="67"/>
      <c r="L3" s="67"/>
      <c r="M3" s="67"/>
      <c r="N3" s="409"/>
    </row>
    <row r="4" spans="1:15" s="50" customFormat="1" ht="18.75" customHeight="1" x14ac:dyDescent="0.4">
      <c r="A4" s="484">
        <v>46198</v>
      </c>
      <c r="B4" s="59" t="s">
        <v>141</v>
      </c>
      <c r="C4" s="49" t="s">
        <v>142</v>
      </c>
      <c r="D4" s="59">
        <v>40220976</v>
      </c>
      <c r="E4" s="59" t="s">
        <v>17</v>
      </c>
      <c r="F4" s="7">
        <v>36</v>
      </c>
      <c r="G4" s="49">
        <v>176943</v>
      </c>
      <c r="H4" s="49">
        <v>217347</v>
      </c>
      <c r="I4" s="49">
        <f t="shared" si="0"/>
        <v>40404</v>
      </c>
      <c r="J4" s="36">
        <f>I4*F4</f>
        <v>1454544</v>
      </c>
      <c r="K4" s="67"/>
      <c r="L4" s="67"/>
      <c r="M4" s="67"/>
      <c r="N4" s="409"/>
    </row>
    <row r="5" spans="1:15" s="50" customFormat="1" ht="18.75" customHeight="1" x14ac:dyDescent="0.4">
      <c r="A5" s="484">
        <v>46202</v>
      </c>
      <c r="B5" s="59" t="s">
        <v>141</v>
      </c>
      <c r="C5" s="49" t="s">
        <v>142</v>
      </c>
      <c r="D5" s="59">
        <v>40220976</v>
      </c>
      <c r="E5" s="59" t="s">
        <v>17</v>
      </c>
      <c r="F5" s="7">
        <v>36</v>
      </c>
      <c r="G5" s="49">
        <v>176943</v>
      </c>
      <c r="H5" s="49">
        <v>217347</v>
      </c>
      <c r="I5" s="49">
        <f t="shared" si="0"/>
        <v>40404</v>
      </c>
      <c r="J5" s="36">
        <f>I5*F5</f>
        <v>1454544</v>
      </c>
      <c r="K5" s="67"/>
      <c r="L5" s="67"/>
      <c r="M5" s="67"/>
      <c r="N5" s="409"/>
    </row>
    <row r="6" spans="1:15" s="50" customFormat="1" ht="18.75" customHeight="1" x14ac:dyDescent="0.4">
      <c r="A6" s="484">
        <v>46217</v>
      </c>
      <c r="B6" s="59" t="s">
        <v>141</v>
      </c>
      <c r="C6" s="49" t="s">
        <v>1695</v>
      </c>
      <c r="D6" s="59">
        <v>40220976</v>
      </c>
      <c r="E6" s="59" t="s">
        <v>17</v>
      </c>
      <c r="F6" s="7">
        <v>28</v>
      </c>
      <c r="G6" s="49">
        <v>176943</v>
      </c>
      <c r="H6" s="49">
        <v>217347</v>
      </c>
      <c r="I6" s="49">
        <f t="shared" si="0"/>
        <v>40404</v>
      </c>
      <c r="J6" s="36">
        <f>I6*F6</f>
        <v>1131312</v>
      </c>
      <c r="K6" s="67"/>
      <c r="L6" s="67"/>
      <c r="M6" s="67"/>
      <c r="N6" s="409"/>
    </row>
    <row r="7" spans="1:15" s="3" customFormat="1" ht="18.75" customHeight="1" x14ac:dyDescent="0.4">
      <c r="A7" s="482">
        <v>46258</v>
      </c>
      <c r="B7" s="110" t="s">
        <v>141</v>
      </c>
      <c r="C7" s="29" t="s">
        <v>984</v>
      </c>
      <c r="D7" s="110">
        <v>40220977</v>
      </c>
      <c r="E7" s="110" t="s">
        <v>17</v>
      </c>
      <c r="F7" s="533">
        <v>77</v>
      </c>
      <c r="G7" s="525">
        <v>46089</v>
      </c>
      <c r="H7" s="525">
        <v>56745</v>
      </c>
      <c r="I7" s="49">
        <f t="shared" si="0"/>
        <v>10656</v>
      </c>
      <c r="J7" s="7"/>
      <c r="K7" s="525">
        <f>H7*F7</f>
        <v>4369365</v>
      </c>
      <c r="L7" s="815"/>
      <c r="M7" s="144"/>
      <c r="N7" s="140"/>
      <c r="O7" s="89"/>
    </row>
    <row r="8" spans="1:15" s="3" customFormat="1" ht="18.75" customHeight="1" x14ac:dyDescent="0.4">
      <c r="A8" s="482">
        <v>46258</v>
      </c>
      <c r="B8" s="110" t="s">
        <v>141</v>
      </c>
      <c r="C8" s="29" t="s">
        <v>984</v>
      </c>
      <c r="D8" s="110">
        <v>40220977</v>
      </c>
      <c r="E8" s="110" t="s">
        <v>17</v>
      </c>
      <c r="F8" s="533">
        <v>102</v>
      </c>
      <c r="G8" s="525">
        <v>46089</v>
      </c>
      <c r="H8" s="525">
        <v>56745</v>
      </c>
      <c r="I8" s="49">
        <f t="shared" si="0"/>
        <v>10656</v>
      </c>
      <c r="J8" s="7"/>
      <c r="K8" s="525">
        <f>H8*F8</f>
        <v>5787990</v>
      </c>
      <c r="L8" s="815"/>
      <c r="M8" s="144"/>
      <c r="N8" s="140"/>
      <c r="O8" s="89"/>
    </row>
    <row r="9" spans="1:15" x14ac:dyDescent="0.4">
      <c r="J9" s="539">
        <f>SUM(J3:J8)</f>
        <v>6949488</v>
      </c>
      <c r="K9" s="539">
        <f>SUM(K3:K8)</f>
        <v>10157355</v>
      </c>
      <c r="L9" s="539">
        <f>SUM(J9:K9)</f>
        <v>17106843</v>
      </c>
    </row>
  </sheetData>
  <phoneticPr fontId="2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05A9-8156-41A9-87C9-A37BE1FFFF29}">
  <dimension ref="A1:O43"/>
  <sheetViews>
    <sheetView topLeftCell="A19" workbookViewId="0">
      <selection activeCell="C36" sqref="C36"/>
    </sheetView>
  </sheetViews>
  <sheetFormatPr defaultRowHeight="18.75" customHeight="1" x14ac:dyDescent="0.4"/>
  <cols>
    <col min="1" max="1" width="9.69921875" bestFit="1" customWidth="1"/>
    <col min="2" max="2" width="13.3984375" customWidth="1"/>
    <col min="3" max="3" width="25" bestFit="1" customWidth="1"/>
    <col min="4" max="4" width="15.8984375" customWidth="1"/>
    <col min="5" max="5" width="6" hidden="1" customWidth="1"/>
    <col min="6" max="6" width="8.19921875" customWidth="1"/>
    <col min="7" max="7" width="11.69921875" customWidth="1"/>
    <col min="8" max="8" width="13.59765625" customWidth="1"/>
    <col min="9" max="9" width="12.69921875" customWidth="1"/>
    <col min="12" max="12" width="11.09765625" bestFit="1" customWidth="1"/>
  </cols>
  <sheetData>
    <row r="1" spans="1:13" s="50" customFormat="1" ht="18.75" customHeight="1" x14ac:dyDescent="0.4">
      <c r="A1" s="99" t="s">
        <v>0</v>
      </c>
      <c r="B1" s="100" t="s">
        <v>1</v>
      </c>
      <c r="C1" s="101" t="s">
        <v>2</v>
      </c>
      <c r="D1" s="102" t="s">
        <v>3</v>
      </c>
      <c r="E1" s="102" t="s">
        <v>4</v>
      </c>
      <c r="F1" s="120" t="s">
        <v>5</v>
      </c>
      <c r="G1" s="87" t="s">
        <v>6</v>
      </c>
      <c r="H1" s="87" t="s">
        <v>7</v>
      </c>
      <c r="I1" s="136" t="s">
        <v>8</v>
      </c>
      <c r="J1" s="360"/>
      <c r="K1" s="87"/>
      <c r="L1" s="361" t="s">
        <v>9</v>
      </c>
    </row>
    <row r="2" spans="1:13" s="3" customFormat="1" ht="18.75" customHeight="1" x14ac:dyDescent="0.4">
      <c r="A2" s="190">
        <v>46050</v>
      </c>
      <c r="B2" s="110" t="s">
        <v>24</v>
      </c>
      <c r="C2" s="29" t="s">
        <v>716</v>
      </c>
      <c r="D2" s="110" t="s">
        <v>717</v>
      </c>
      <c r="E2" s="110" t="s">
        <v>17</v>
      </c>
      <c r="F2" s="81">
        <v>33</v>
      </c>
      <c r="G2" s="49">
        <v>122010</v>
      </c>
      <c r="H2" s="49" t="s">
        <v>186</v>
      </c>
      <c r="I2" s="49"/>
      <c r="J2" s="144"/>
      <c r="K2" s="144"/>
      <c r="L2" s="144"/>
      <c r="M2" s="89"/>
    </row>
    <row r="3" spans="1:13" s="3" customFormat="1" ht="18.75" customHeight="1" x14ac:dyDescent="0.4">
      <c r="A3" s="190">
        <v>46051</v>
      </c>
      <c r="B3" s="110" t="s">
        <v>24</v>
      </c>
      <c r="C3" s="29" t="s">
        <v>716</v>
      </c>
      <c r="D3" s="110" t="s">
        <v>717</v>
      </c>
      <c r="E3" s="110" t="s">
        <v>17</v>
      </c>
      <c r="F3" s="81">
        <v>17</v>
      </c>
      <c r="G3" s="49">
        <v>122010</v>
      </c>
      <c r="H3" s="49" t="s">
        <v>186</v>
      </c>
      <c r="I3" s="49"/>
      <c r="J3" s="144"/>
      <c r="K3" s="144"/>
      <c r="L3" s="144"/>
      <c r="M3" s="89"/>
    </row>
    <row r="4" spans="1:13" s="3" customFormat="1" ht="18.75" customHeight="1" x14ac:dyDescent="0.4">
      <c r="A4" s="190">
        <v>46052</v>
      </c>
      <c r="B4" s="110" t="s">
        <v>24</v>
      </c>
      <c r="C4" s="29" t="s">
        <v>716</v>
      </c>
      <c r="D4" s="110" t="s">
        <v>717</v>
      </c>
      <c r="E4" s="110" t="s">
        <v>17</v>
      </c>
      <c r="F4" s="81">
        <v>33</v>
      </c>
      <c r="G4" s="49">
        <v>122010</v>
      </c>
      <c r="H4" s="49" t="s">
        <v>186</v>
      </c>
      <c r="I4" s="49"/>
      <c r="J4" s="144"/>
      <c r="K4" s="144"/>
      <c r="L4" s="144"/>
      <c r="M4" s="89"/>
    </row>
    <row r="5" spans="1:13" s="3" customFormat="1" ht="18.75" customHeight="1" x14ac:dyDescent="0.4">
      <c r="A5" s="190">
        <v>46056</v>
      </c>
      <c r="B5" s="110" t="s">
        <v>24</v>
      </c>
      <c r="C5" s="29" t="s">
        <v>716</v>
      </c>
      <c r="D5" s="110" t="s">
        <v>717</v>
      </c>
      <c r="E5" s="110" t="s">
        <v>17</v>
      </c>
      <c r="F5" s="81">
        <v>25</v>
      </c>
      <c r="G5" s="49">
        <v>122010</v>
      </c>
      <c r="H5" s="49" t="s">
        <v>186</v>
      </c>
      <c r="I5" s="49"/>
      <c r="J5" s="144"/>
      <c r="K5" s="144"/>
      <c r="L5" s="144"/>
      <c r="M5" s="89"/>
    </row>
    <row r="6" spans="1:13" s="3" customFormat="1" ht="18.75" customHeight="1" x14ac:dyDescent="0.4">
      <c r="A6" s="190">
        <v>46078</v>
      </c>
      <c r="B6" s="110" t="s">
        <v>24</v>
      </c>
      <c r="C6" s="29" t="s">
        <v>716</v>
      </c>
      <c r="D6" s="110" t="s">
        <v>865</v>
      </c>
      <c r="E6" s="110" t="s">
        <v>17</v>
      </c>
      <c r="F6" s="81">
        <v>6</v>
      </c>
      <c r="G6" s="49">
        <v>122010</v>
      </c>
      <c r="H6" s="8">
        <f>F6*G6</f>
        <v>732060</v>
      </c>
      <c r="I6" s="49"/>
      <c r="J6" s="144"/>
      <c r="K6" s="144"/>
      <c r="L6" s="144"/>
      <c r="M6" s="89"/>
    </row>
    <row r="7" spans="1:13" s="3" customFormat="1" ht="18.75" customHeight="1" x14ac:dyDescent="0.4">
      <c r="A7" s="190">
        <v>46078</v>
      </c>
      <c r="B7" s="110" t="s">
        <v>24</v>
      </c>
      <c r="C7" s="29" t="s">
        <v>716</v>
      </c>
      <c r="D7" s="110" t="s">
        <v>865</v>
      </c>
      <c r="E7" s="110" t="s">
        <v>17</v>
      </c>
      <c r="F7" s="81">
        <v>99</v>
      </c>
      <c r="G7" s="49">
        <v>122010</v>
      </c>
      <c r="H7" s="8">
        <f>F7*G7</f>
        <v>12078990</v>
      </c>
      <c r="I7" s="49"/>
      <c r="J7" s="144"/>
      <c r="K7" s="144"/>
      <c r="L7" s="144"/>
      <c r="M7" s="89"/>
    </row>
    <row r="8" spans="1:13" s="3" customFormat="1" ht="18.75" customHeight="1" x14ac:dyDescent="0.4">
      <c r="A8" s="190">
        <v>46080</v>
      </c>
      <c r="B8" s="110" t="s">
        <v>24</v>
      </c>
      <c r="C8" s="29" t="s">
        <v>25</v>
      </c>
      <c r="D8" s="110" t="s">
        <v>26</v>
      </c>
      <c r="E8" s="110" t="s">
        <v>17</v>
      </c>
      <c r="F8" s="81">
        <v>-4</v>
      </c>
      <c r="G8" s="49">
        <v>122010</v>
      </c>
      <c r="H8" s="8">
        <f>F8*G8</f>
        <v>-488040</v>
      </c>
      <c r="I8" s="49"/>
      <c r="J8" s="144"/>
      <c r="K8" s="144"/>
      <c r="L8" s="144"/>
      <c r="M8" s="89"/>
    </row>
    <row r="9" spans="1:13" s="3" customFormat="1" ht="18.75" customHeight="1" x14ac:dyDescent="0.4">
      <c r="A9" s="190">
        <v>46080</v>
      </c>
      <c r="B9" s="110" t="s">
        <v>24</v>
      </c>
      <c r="C9" s="29" t="s">
        <v>27</v>
      </c>
      <c r="D9" s="110" t="s">
        <v>28</v>
      </c>
      <c r="E9" s="110" t="s">
        <v>11</v>
      </c>
      <c r="F9" s="81">
        <v>-19</v>
      </c>
      <c r="G9" s="49">
        <v>9081</v>
      </c>
      <c r="H9" s="8">
        <f>F9*G9</f>
        <v>-172539</v>
      </c>
      <c r="I9" s="49"/>
      <c r="J9" s="144"/>
      <c r="K9" s="144"/>
      <c r="L9" s="144"/>
      <c r="M9" s="89"/>
    </row>
    <row r="10" spans="1:13" s="19" customFormat="1" ht="18.75" customHeight="1" x14ac:dyDescent="0.4">
      <c r="A10" s="15">
        <v>46080</v>
      </c>
      <c r="B10" s="23" t="s">
        <v>24</v>
      </c>
      <c r="C10" s="24" t="s">
        <v>29</v>
      </c>
      <c r="D10" s="11" t="s">
        <v>30</v>
      </c>
      <c r="E10" s="11" t="s">
        <v>17</v>
      </c>
      <c r="F10" s="396">
        <v>-2</v>
      </c>
      <c r="G10" s="396">
        <v>206710</v>
      </c>
      <c r="H10" s="8">
        <f>F10*G10</f>
        <v>-413420</v>
      </c>
      <c r="I10" s="397"/>
      <c r="J10" s="398"/>
      <c r="K10" s="398"/>
      <c r="L10" s="104"/>
      <c r="M10" s="399"/>
    </row>
    <row r="11" spans="1:13" s="3" customFormat="1" ht="18.75" customHeight="1" x14ac:dyDescent="0.4">
      <c r="A11" s="442"/>
      <c r="B11" s="443"/>
      <c r="C11" s="444"/>
      <c r="D11" s="443"/>
      <c r="E11" s="443"/>
      <c r="F11" s="445"/>
      <c r="G11" s="446"/>
      <c r="H11" s="447">
        <f>SUM(H7:H10)</f>
        <v>11004991</v>
      </c>
      <c r="I11" s="446"/>
      <c r="J11" s="448"/>
      <c r="K11" s="448"/>
      <c r="L11" s="448"/>
      <c r="M11" s="89"/>
    </row>
    <row r="12" spans="1:13" s="456" customFormat="1" ht="18.75" customHeight="1" x14ac:dyDescent="0.4">
      <c r="A12" s="450">
        <v>46080</v>
      </c>
      <c r="B12" s="451" t="s">
        <v>24</v>
      </c>
      <c r="C12" s="452" t="s">
        <v>716</v>
      </c>
      <c r="D12" s="451" t="s">
        <v>865</v>
      </c>
      <c r="E12" s="451" t="s">
        <v>17</v>
      </c>
      <c r="F12" s="453">
        <v>-29</v>
      </c>
      <c r="G12" s="453">
        <v>122010</v>
      </c>
      <c r="H12" s="421">
        <v>-3538290</v>
      </c>
      <c r="I12" s="453"/>
      <c r="J12" s="454"/>
      <c r="K12" s="454"/>
      <c r="L12" s="454"/>
      <c r="M12" s="455"/>
    </row>
    <row r="13" spans="1:13" s="3" customFormat="1" ht="18.75" customHeight="1" x14ac:dyDescent="0.4">
      <c r="A13" s="190">
        <v>46083</v>
      </c>
      <c r="B13" s="110" t="s">
        <v>24</v>
      </c>
      <c r="C13" s="29" t="s">
        <v>716</v>
      </c>
      <c r="D13" s="110" t="s">
        <v>865</v>
      </c>
      <c r="E13" s="110" t="s">
        <v>17</v>
      </c>
      <c r="F13" s="81">
        <v>-42</v>
      </c>
      <c r="G13" s="49">
        <v>122010</v>
      </c>
      <c r="H13" s="421">
        <v>-3538290</v>
      </c>
      <c r="I13" s="49"/>
      <c r="J13" s="144"/>
      <c r="K13" s="144"/>
      <c r="L13" s="144"/>
      <c r="M13" s="89"/>
    </row>
    <row r="14" spans="1:13" s="3" customFormat="1" ht="18.75" customHeight="1" x14ac:dyDescent="0.4">
      <c r="A14" s="190">
        <v>46084</v>
      </c>
      <c r="B14" s="110" t="s">
        <v>24</v>
      </c>
      <c r="C14" s="29" t="s">
        <v>716</v>
      </c>
      <c r="D14" s="110" t="s">
        <v>865</v>
      </c>
      <c r="E14" s="110" t="s">
        <v>17</v>
      </c>
      <c r="F14" s="81">
        <v>10</v>
      </c>
      <c r="G14" s="49">
        <v>122010</v>
      </c>
      <c r="H14" s="8"/>
      <c r="I14" s="49" t="s">
        <v>1037</v>
      </c>
      <c r="J14" s="144"/>
      <c r="K14" s="144"/>
      <c r="L14" s="144"/>
      <c r="M14" s="89"/>
    </row>
    <row r="15" spans="1:13" s="3" customFormat="1" ht="18.75" customHeight="1" x14ac:dyDescent="0.4">
      <c r="A15" s="190">
        <v>46086</v>
      </c>
      <c r="B15" s="110" t="s">
        <v>24</v>
      </c>
      <c r="C15" s="29" t="s">
        <v>716</v>
      </c>
      <c r="D15" s="110" t="s">
        <v>865</v>
      </c>
      <c r="E15" s="110" t="s">
        <v>17</v>
      </c>
      <c r="F15" s="81">
        <v>5</v>
      </c>
      <c r="G15" s="49">
        <v>122010</v>
      </c>
      <c r="H15" s="8"/>
      <c r="I15" s="49" t="s">
        <v>1037</v>
      </c>
      <c r="J15" s="144"/>
      <c r="K15" s="144"/>
      <c r="L15" s="144"/>
      <c r="M15" s="89"/>
    </row>
    <row r="16" spans="1:13" ht="18.75" customHeight="1" x14ac:dyDescent="0.4">
      <c r="F16" s="449">
        <v>27</v>
      </c>
    </row>
    <row r="20" spans="1:13" s="50" customFormat="1" ht="18.75" customHeight="1" x14ac:dyDescent="0.4">
      <c r="A20" s="481" t="s">
        <v>0</v>
      </c>
      <c r="B20" s="100" t="s">
        <v>1</v>
      </c>
      <c r="C20" s="101" t="s">
        <v>2</v>
      </c>
      <c r="D20" s="102" t="s">
        <v>3</v>
      </c>
      <c r="E20" s="102" t="s">
        <v>4</v>
      </c>
      <c r="F20" s="120" t="s">
        <v>5</v>
      </c>
      <c r="G20" s="87" t="s">
        <v>6</v>
      </c>
      <c r="H20" s="87" t="s">
        <v>7</v>
      </c>
      <c r="I20" s="136" t="s">
        <v>8</v>
      </c>
      <c r="J20" s="360"/>
      <c r="K20" s="87"/>
      <c r="L20" s="361" t="s">
        <v>9</v>
      </c>
    </row>
    <row r="21" spans="1:13" s="3" customFormat="1" ht="18.75" customHeight="1" x14ac:dyDescent="0.4">
      <c r="A21" s="482">
        <v>46104</v>
      </c>
      <c r="B21" s="110" t="s">
        <v>24</v>
      </c>
      <c r="C21" s="29" t="s">
        <v>716</v>
      </c>
      <c r="D21" s="110" t="s">
        <v>865</v>
      </c>
      <c r="E21" s="110" t="s">
        <v>17</v>
      </c>
      <c r="F21" s="81">
        <v>54</v>
      </c>
      <c r="G21" s="49">
        <v>122010</v>
      </c>
      <c r="H21" s="8">
        <f>+G21*F21</f>
        <v>6588540</v>
      </c>
      <c r="I21" s="49"/>
      <c r="J21" s="144"/>
      <c r="K21" s="144"/>
      <c r="L21" s="144"/>
      <c r="M21" s="89"/>
    </row>
    <row r="22" spans="1:13" s="3" customFormat="1" ht="18.75" customHeight="1" x14ac:dyDescent="0.4">
      <c r="A22" s="482">
        <v>46112</v>
      </c>
      <c r="B22" s="110" t="s">
        <v>24</v>
      </c>
      <c r="C22" s="29" t="s">
        <v>27</v>
      </c>
      <c r="D22" s="110" t="s">
        <v>28</v>
      </c>
      <c r="E22" s="110" t="s">
        <v>11</v>
      </c>
      <c r="F22" s="81">
        <v>-15</v>
      </c>
      <c r="G22" s="49">
        <v>9081</v>
      </c>
      <c r="H22" s="8">
        <f>+G22*F22</f>
        <v>-136215</v>
      </c>
      <c r="I22" s="49"/>
      <c r="J22" s="144"/>
      <c r="K22" s="144"/>
      <c r="L22" s="144"/>
      <c r="M22" s="89"/>
    </row>
    <row r="23" spans="1:13" s="456" customFormat="1" ht="18.75" customHeight="1" x14ac:dyDescent="0.4">
      <c r="A23" s="482">
        <v>46112</v>
      </c>
      <c r="B23" s="110" t="s">
        <v>24</v>
      </c>
      <c r="C23" s="29" t="s">
        <v>716</v>
      </c>
      <c r="D23" s="110" t="s">
        <v>865</v>
      </c>
      <c r="E23" s="110" t="s">
        <v>17</v>
      </c>
      <c r="F23" s="81">
        <v>-18</v>
      </c>
      <c r="G23" s="81">
        <v>122010</v>
      </c>
      <c r="H23" s="8">
        <f>+G23*F23</f>
        <v>-2196180</v>
      </c>
      <c r="I23" s="49"/>
      <c r="J23" s="454"/>
      <c r="K23" s="454"/>
      <c r="L23" s="454"/>
      <c r="M23" s="455"/>
    </row>
    <row r="24" spans="1:13" s="3" customFormat="1" ht="18.75" customHeight="1" x14ac:dyDescent="0.4">
      <c r="A24" s="482">
        <v>46112</v>
      </c>
      <c r="B24" s="110" t="s">
        <v>24</v>
      </c>
      <c r="C24" s="29" t="s">
        <v>25</v>
      </c>
      <c r="D24" s="110" t="s">
        <v>26</v>
      </c>
      <c r="E24" s="110" t="s">
        <v>17</v>
      </c>
      <c r="F24" s="81">
        <v>-3</v>
      </c>
      <c r="G24" s="49">
        <v>122010</v>
      </c>
      <c r="H24" s="8">
        <f>+G24*F24</f>
        <v>-366030</v>
      </c>
      <c r="I24" s="49"/>
      <c r="J24" s="144"/>
      <c r="K24" s="144"/>
      <c r="L24" s="144"/>
      <c r="M24" s="89"/>
    </row>
    <row r="25" spans="1:13" s="3" customFormat="1" ht="18.75" customHeight="1" x14ac:dyDescent="0.4">
      <c r="A25" s="482">
        <v>46112</v>
      </c>
      <c r="B25" s="110" t="s">
        <v>24</v>
      </c>
      <c r="C25" s="29" t="s">
        <v>25</v>
      </c>
      <c r="D25" s="110" t="s">
        <v>26</v>
      </c>
      <c r="E25" s="110" t="s">
        <v>17</v>
      </c>
      <c r="F25" s="81">
        <v>-13</v>
      </c>
      <c r="G25" s="49">
        <v>122010</v>
      </c>
      <c r="H25" s="8">
        <f>+G25*F25</f>
        <v>-1586130</v>
      </c>
      <c r="I25" s="49"/>
      <c r="J25" s="144"/>
      <c r="K25" s="144"/>
      <c r="L25" s="144"/>
      <c r="M25" s="89"/>
    </row>
    <row r="26" spans="1:13" s="3" customFormat="1" ht="18.75" customHeight="1" x14ac:dyDescent="0.4">
      <c r="A26" s="483"/>
      <c r="B26" s="194"/>
      <c r="C26" s="40"/>
      <c r="D26" s="194"/>
      <c r="E26" s="194"/>
      <c r="F26" s="91">
        <v>96</v>
      </c>
      <c r="G26" s="138"/>
      <c r="H26" s="138">
        <f>SUM(H21:H25)</f>
        <v>2303985</v>
      </c>
      <c r="I26" s="138"/>
      <c r="J26" s="145"/>
      <c r="K26" s="145"/>
      <c r="L26" s="145"/>
      <c r="M26" s="89"/>
    </row>
    <row r="28" spans="1:13" s="50" customFormat="1" ht="18.75" customHeight="1" x14ac:dyDescent="0.4">
      <c r="A28" s="481" t="s">
        <v>0</v>
      </c>
      <c r="B28" s="100" t="s">
        <v>1</v>
      </c>
      <c r="C28" s="101" t="s">
        <v>2</v>
      </c>
      <c r="D28" s="102" t="s">
        <v>3</v>
      </c>
      <c r="E28" s="102" t="s">
        <v>4</v>
      </c>
      <c r="F28" s="120" t="s">
        <v>5</v>
      </c>
      <c r="G28" s="87" t="s">
        <v>6</v>
      </c>
      <c r="H28" s="87" t="s">
        <v>7</v>
      </c>
      <c r="I28" s="136" t="s">
        <v>8</v>
      </c>
      <c r="J28" s="360"/>
      <c r="K28" s="87"/>
      <c r="L28" s="361" t="s">
        <v>9</v>
      </c>
    </row>
    <row r="29" spans="1:13" ht="18.75" customHeight="1" x14ac:dyDescent="0.4">
      <c r="A29" s="482">
        <v>46161</v>
      </c>
      <c r="B29" s="110" t="s">
        <v>24</v>
      </c>
      <c r="C29" s="29" t="s">
        <v>29</v>
      </c>
      <c r="D29" s="110" t="s">
        <v>30</v>
      </c>
      <c r="E29" s="110" t="s">
        <v>17</v>
      </c>
      <c r="F29" s="81">
        <f>27*4</f>
        <v>108</v>
      </c>
      <c r="G29" s="49">
        <v>206710</v>
      </c>
      <c r="H29" s="8">
        <f>+G29*F29</f>
        <v>22324680</v>
      </c>
      <c r="I29" s="49"/>
      <c r="J29" s="109"/>
      <c r="K29" s="144"/>
      <c r="L29" s="409">
        <v>0</v>
      </c>
    </row>
    <row r="30" spans="1:13" ht="18.75" customHeight="1" x14ac:dyDescent="0.4">
      <c r="A30" s="482">
        <v>46161</v>
      </c>
      <c r="B30" s="110" t="s">
        <v>24</v>
      </c>
      <c r="C30" s="29" t="s">
        <v>716</v>
      </c>
      <c r="D30" s="110" t="s">
        <v>717</v>
      </c>
      <c r="E30" s="110" t="s">
        <v>17</v>
      </c>
      <c r="F30" s="81">
        <v>65</v>
      </c>
      <c r="G30" s="49">
        <v>122010</v>
      </c>
      <c r="H30" s="8">
        <f>+G30*F30</f>
        <v>7930650</v>
      </c>
      <c r="I30" s="49"/>
      <c r="J30" s="109"/>
      <c r="K30" s="144"/>
      <c r="L30" s="409">
        <v>0</v>
      </c>
    </row>
    <row r="31" spans="1:13" ht="18.75" customHeight="1" x14ac:dyDescent="0.4">
      <c r="A31" s="482">
        <v>46171</v>
      </c>
      <c r="B31" s="110" t="s">
        <v>24</v>
      </c>
      <c r="C31" s="29" t="s">
        <v>29</v>
      </c>
      <c r="D31" s="110" t="s">
        <v>30</v>
      </c>
      <c r="E31" s="110" t="s">
        <v>17</v>
      </c>
      <c r="F31" s="81">
        <v>-6</v>
      </c>
      <c r="G31" s="49">
        <v>206710</v>
      </c>
      <c r="H31" s="8">
        <f>+G31*F31</f>
        <v>-1240260</v>
      </c>
      <c r="I31" s="49"/>
      <c r="J31" s="109"/>
      <c r="K31" s="144"/>
      <c r="L31" s="409">
        <v>0</v>
      </c>
    </row>
    <row r="32" spans="1:13" s="19" customFormat="1" ht="18.75" customHeight="1" x14ac:dyDescent="0.3">
      <c r="A32" s="482">
        <v>46171</v>
      </c>
      <c r="B32" s="5" t="s">
        <v>24</v>
      </c>
      <c r="C32" s="401" t="s">
        <v>27</v>
      </c>
      <c r="D32" s="1" t="s">
        <v>839</v>
      </c>
      <c r="E32" s="1" t="s">
        <v>840</v>
      </c>
      <c r="F32" s="402">
        <v>-10</v>
      </c>
      <c r="G32" s="403" ph="1">
        <v>9149</v>
      </c>
      <c r="H32" s="7">
        <f>F32*G32</f>
        <v>-91490</v>
      </c>
      <c r="I32" s="404"/>
      <c r="J32" s="398"/>
      <c r="K32" s="400"/>
      <c r="L32" s="405"/>
      <c r="M32" s="406"/>
    </row>
    <row r="33" spans="1:15" s="19" customFormat="1" ht="18.75" customHeight="1" x14ac:dyDescent="0.4">
      <c r="A33" s="482">
        <v>46171</v>
      </c>
      <c r="B33" s="5" t="s">
        <v>24</v>
      </c>
      <c r="C33" s="401" t="s">
        <v>841</v>
      </c>
      <c r="D33" s="1" t="s">
        <v>28</v>
      </c>
      <c r="E33" s="1" t="s">
        <v>840</v>
      </c>
      <c r="F33" s="402">
        <v>-17</v>
      </c>
      <c r="G33" s="403">
        <v>9081</v>
      </c>
      <c r="H33" s="7">
        <f>F33*G33</f>
        <v>-154377</v>
      </c>
      <c r="I33" s="404"/>
      <c r="J33" s="398"/>
      <c r="K33" s="400"/>
      <c r="L33" s="405"/>
      <c r="M33" s="406"/>
    </row>
    <row r="34" spans="1:15" s="19" customFormat="1" ht="18.75" customHeight="1" x14ac:dyDescent="0.4">
      <c r="A34" s="482">
        <v>46171</v>
      </c>
      <c r="B34" s="23" t="s">
        <v>24</v>
      </c>
      <c r="C34" s="24" t="s">
        <v>29</v>
      </c>
      <c r="D34" s="11" t="s">
        <v>30</v>
      </c>
      <c r="E34" s="11" t="s">
        <v>17</v>
      </c>
      <c r="F34" s="396">
        <v>-7</v>
      </c>
      <c r="G34" s="396">
        <v>206710</v>
      </c>
      <c r="H34" s="7">
        <f>F34*G34</f>
        <v>-1446970</v>
      </c>
      <c r="I34" s="397"/>
      <c r="J34" s="398"/>
      <c r="K34" s="398"/>
      <c r="L34" s="104"/>
      <c r="M34" s="399"/>
    </row>
    <row r="35" spans="1:15" s="3" customFormat="1" ht="18.75" customHeight="1" x14ac:dyDescent="0.4">
      <c r="A35" s="482">
        <v>46171</v>
      </c>
      <c r="B35" s="110" t="s">
        <v>24</v>
      </c>
      <c r="C35" s="29" t="s">
        <v>25</v>
      </c>
      <c r="D35" s="110" t="s">
        <v>26</v>
      </c>
      <c r="E35" s="110" t="s">
        <v>17</v>
      </c>
      <c r="F35" s="81">
        <v>-10</v>
      </c>
      <c r="G35" s="49">
        <v>122010</v>
      </c>
      <c r="H35" s="8">
        <f>+G35*F35</f>
        <v>-1220100</v>
      </c>
      <c r="I35" s="49"/>
      <c r="J35" s="144"/>
      <c r="K35" s="144"/>
      <c r="L35" s="144"/>
      <c r="M35" s="89"/>
    </row>
    <row r="36" spans="1:15" s="3" customFormat="1" ht="18.75" customHeight="1" x14ac:dyDescent="0.4">
      <c r="A36" s="482">
        <v>46171</v>
      </c>
      <c r="B36" s="110" t="s">
        <v>24</v>
      </c>
      <c r="C36" s="29" t="s">
        <v>716</v>
      </c>
      <c r="D36" s="110" t="s">
        <v>865</v>
      </c>
      <c r="E36" s="110" t="s">
        <v>17</v>
      </c>
      <c r="F36" s="81">
        <v>-7</v>
      </c>
      <c r="G36" s="49">
        <v>122010</v>
      </c>
      <c r="H36" s="8">
        <f>+G36*F36</f>
        <v>-854070</v>
      </c>
      <c r="I36" s="49"/>
      <c r="J36" s="144"/>
      <c r="K36" s="144"/>
      <c r="L36" s="144"/>
      <c r="M36" s="89"/>
    </row>
    <row r="37" spans="1:15" ht="18.75" customHeight="1" x14ac:dyDescent="0.4">
      <c r="A37" s="483"/>
      <c r="B37" s="194"/>
      <c r="C37" s="40"/>
      <c r="D37" s="194"/>
      <c r="E37" s="194"/>
      <c r="F37" s="91"/>
      <c r="G37" s="138"/>
      <c r="H37" s="138">
        <f>SUM(H29:H36)</f>
        <v>25248063</v>
      </c>
      <c r="I37" s="138"/>
      <c r="J37" s="620"/>
      <c r="K37" s="145"/>
      <c r="L37" s="621"/>
      <c r="O37">
        <f>291-204</f>
        <v>87</v>
      </c>
    </row>
    <row r="39" spans="1:15" s="50" customFormat="1" ht="18" customHeight="1" x14ac:dyDescent="0.4">
      <c r="A39" s="481" t="s">
        <v>0</v>
      </c>
      <c r="B39" s="100" t="s">
        <v>1</v>
      </c>
      <c r="C39" s="101" t="s">
        <v>2</v>
      </c>
      <c r="D39" s="102" t="s">
        <v>3</v>
      </c>
      <c r="E39" s="102" t="s">
        <v>4</v>
      </c>
      <c r="F39" s="120" t="s">
        <v>5</v>
      </c>
      <c r="G39" s="87" t="s">
        <v>6</v>
      </c>
      <c r="H39" s="87" t="s">
        <v>7</v>
      </c>
      <c r="I39" s="136" t="s">
        <v>8</v>
      </c>
      <c r="J39" s="360"/>
      <c r="K39" s="87"/>
      <c r="L39" s="619" t="s">
        <v>9</v>
      </c>
    </row>
    <row r="40" spans="1:15" s="19" customFormat="1" ht="18.75" customHeight="1" x14ac:dyDescent="0.4">
      <c r="A40" s="484">
        <v>46182</v>
      </c>
      <c r="B40" s="110" t="s">
        <v>24</v>
      </c>
      <c r="C40" s="68" t="s">
        <v>29</v>
      </c>
      <c r="D40" s="42" t="s">
        <v>30</v>
      </c>
      <c r="E40" s="1" t="s">
        <v>17</v>
      </c>
      <c r="F40" s="36">
        <v>87</v>
      </c>
      <c r="G40" s="7">
        <v>206710</v>
      </c>
      <c r="H40" s="36">
        <f>F40*G40</f>
        <v>17983770</v>
      </c>
      <c r="I40" s="150"/>
      <c r="J40" s="70"/>
      <c r="K40" s="29"/>
      <c r="L40" s="698">
        <v>0</v>
      </c>
    </row>
    <row r="41" spans="1:15" s="3" customFormat="1" ht="19.5" customHeight="1" x14ac:dyDescent="0.4">
      <c r="A41" s="482">
        <v>46203</v>
      </c>
      <c r="B41" s="110" t="s">
        <v>24</v>
      </c>
      <c r="C41" s="29" t="s">
        <v>25</v>
      </c>
      <c r="D41" s="110" t="s">
        <v>26</v>
      </c>
      <c r="E41" s="110" t="s">
        <v>17</v>
      </c>
      <c r="F41" s="81">
        <v>-13</v>
      </c>
      <c r="G41" s="49">
        <v>122010</v>
      </c>
      <c r="H41" s="36">
        <f>F41*G41</f>
        <v>-1586130</v>
      </c>
      <c r="I41" s="49"/>
      <c r="J41" s="144"/>
      <c r="K41" s="144"/>
      <c r="L41" s="144"/>
      <c r="M41" s="89"/>
    </row>
    <row r="42" spans="1:15" s="19" customFormat="1" ht="19.5" customHeight="1" x14ac:dyDescent="0.3">
      <c r="A42" s="482">
        <v>46203</v>
      </c>
      <c r="B42" s="5" t="s">
        <v>24</v>
      </c>
      <c r="C42" s="401" t="s">
        <v>27</v>
      </c>
      <c r="D42" s="1" t="s">
        <v>839</v>
      </c>
      <c r="E42" s="1" t="s">
        <v>840</v>
      </c>
      <c r="F42" s="402">
        <v>-14</v>
      </c>
      <c r="G42" s="403" ph="1">
        <v>9149</v>
      </c>
      <c r="H42" s="36">
        <f>F42*G42</f>
        <v>-128086</v>
      </c>
      <c r="I42" s="404"/>
      <c r="J42" s="398"/>
      <c r="K42" s="400"/>
      <c r="L42" s="405"/>
      <c r="M42" s="406"/>
    </row>
    <row r="43" spans="1:15" s="19" customFormat="1" ht="18.75" customHeight="1" x14ac:dyDescent="0.4">
      <c r="A43" s="622"/>
      <c r="B43" s="39"/>
      <c r="C43" s="88"/>
      <c r="D43" s="434"/>
      <c r="E43" s="39"/>
      <c r="F43" s="39"/>
      <c r="G43" s="98"/>
      <c r="H43" s="138">
        <f>SUM(H40:H42)</f>
        <v>16269554</v>
      </c>
      <c r="I43" s="435"/>
      <c r="J43" s="436"/>
      <c r="K43" s="40"/>
      <c r="L43" s="696"/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2512</vt:lpstr>
      <vt:lpstr>2601</vt:lpstr>
      <vt:lpstr>2602</vt:lpstr>
      <vt:lpstr>2603</vt:lpstr>
      <vt:lpstr>2604</vt:lpstr>
      <vt:lpstr>2605</vt:lpstr>
      <vt:lpstr>2606</vt:lpstr>
      <vt:lpstr>2607</vt:lpstr>
      <vt:lpstr>2608</vt:lpstr>
      <vt:lpstr>2609</vt:lpstr>
      <vt:lpstr>엠트론소급계산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금속 대신</dc:creator>
  <cp:lastModifiedBy>user</cp:lastModifiedBy>
  <cp:lastPrinted>2025-10-02T05:38:14Z</cp:lastPrinted>
  <dcterms:created xsi:type="dcterms:W3CDTF">2025-02-03T09:48:35Z</dcterms:created>
  <dcterms:modified xsi:type="dcterms:W3CDTF">2026-10-28T04:25:46Z</dcterms:modified>
</cp:coreProperties>
</file>