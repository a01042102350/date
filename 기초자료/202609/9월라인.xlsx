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ai\기초자료\"/>
    </mc:Choice>
  </mc:AlternateContent>
  <xr:revisionPtr revIDLastSave="0" documentId="13_ncr:1_{5038B587-D8A3-473B-9F15-17C6FF714742}" xr6:coauthVersionLast="36" xr6:coauthVersionMax="47" xr10:uidLastSave="{00000000-0000-0000-0000-000000000000}"/>
  <bookViews>
    <workbookView minimized="1" xWindow="-120" yWindow="-120" windowWidth="29040" windowHeight="15720" tabRatio="997" activeTab="3" xr2:uid="{00000000-000D-0000-FFFF-FFFF00000000}"/>
  </bookViews>
  <sheets>
    <sheet name="툴링비+PPAP" sheetId="39" r:id="rId1"/>
    <sheet name="ALLISON 관세" sheetId="40" r:id="rId2"/>
    <sheet name="ALLISON" sheetId="33" r:id="rId3"/>
    <sheet name="MERCURY" sheetId="35" r:id="rId4"/>
    <sheet name="POLARIS" sheetId="37" r:id="rId5"/>
    <sheet name="EMERSON" sheetId="25" r:id="rId6"/>
    <sheet name="AMAT" sheetId="32" r:id="rId7"/>
    <sheet name="SAM" sheetId="34" r:id="rId8"/>
    <sheet name="ATLAS COPCO" sheetId="31" r:id="rId9"/>
    <sheet name="BERGEN ENGINE" sheetId="36" r:id="rId10"/>
    <sheet name="DOMETIC" sheetId="2" r:id="rId11"/>
  </sheets>
  <externalReferences>
    <externalReference r:id="rId12"/>
  </externalReferences>
  <definedNames>
    <definedName name="_xlnm.Print_Area" localSheetId="2">ALLISON!$A$1:$N$29</definedName>
    <definedName name="_xlnm.Print_Area" localSheetId="1">'ALLISON 관세'!$A$1:$N$29</definedName>
    <definedName name="_xlnm.Print_Area" localSheetId="6">AMAT!$A$1:$N$29</definedName>
    <definedName name="_xlnm.Print_Area" localSheetId="8">'ATLAS COPCO'!$A$1:$N$29</definedName>
    <definedName name="_xlnm.Print_Area" localSheetId="9">'BERGEN ENGINE'!$A$1:$N$29</definedName>
    <definedName name="_xlnm.Print_Area" localSheetId="10">DOMETIC!$A$1:$N$29</definedName>
    <definedName name="_xlnm.Print_Area" localSheetId="5">EMERSON!$A$1:$N$29</definedName>
    <definedName name="_xlnm.Print_Area" localSheetId="3">MERCURY!$A$1:$N$41</definedName>
    <definedName name="_xlnm.Print_Area" localSheetId="4">POLARIS!$A$1:$N$29</definedName>
    <definedName name="_xlnm.Print_Area" localSheetId="7">SAM!$A$1:$N$29</definedName>
    <definedName name="_xlnm.Print_Area" localSheetId="0">'툴링비+PPAP'!$A$1:$N$29</definedName>
  </definedNames>
  <calcPr calcId="191029"/>
</workbook>
</file>

<file path=xl/calcChain.xml><?xml version="1.0" encoding="utf-8"?>
<calcChain xmlns="http://schemas.openxmlformats.org/spreadsheetml/2006/main">
  <c r="AA9" i="35" l="1"/>
  <c r="AA11" i="35"/>
  <c r="Y17" i="25"/>
  <c r="Z17" i="25" s="1"/>
  <c r="V19" i="40"/>
  <c r="V18" i="40"/>
  <c r="V17" i="40"/>
  <c r="W17" i="40" s="1"/>
  <c r="V16" i="40"/>
  <c r="V15" i="40"/>
  <c r="W15" i="40" s="1"/>
  <c r="W19" i="40"/>
  <c r="V14" i="40"/>
  <c r="W14" i="40" s="1"/>
  <c r="V13" i="40"/>
  <c r="W13" i="40" s="1"/>
  <c r="V12" i="40"/>
  <c r="W18" i="40"/>
  <c r="W16" i="40"/>
  <c r="W13" i="33"/>
  <c r="W14" i="33"/>
  <c r="W15" i="33"/>
  <c r="W16" i="33"/>
  <c r="W17" i="33"/>
  <c r="W18" i="33"/>
  <c r="Y13" i="34"/>
  <c r="Z13" i="34" s="1"/>
  <c r="T17" i="32" l="1"/>
  <c r="S17" i="32"/>
  <c r="R17" i="32"/>
  <c r="Y14" i="32"/>
  <c r="Z14" i="32" s="1"/>
  <c r="Y13" i="32"/>
  <c r="Z13" i="32" s="1"/>
  <c r="Y12" i="32"/>
  <c r="Z12" i="32" s="1"/>
  <c r="W22" i="35"/>
  <c r="X34" i="35" l="1"/>
  <c r="X33" i="35"/>
  <c r="X30" i="35"/>
  <c r="W28" i="35"/>
  <c r="Z28" i="35" s="1"/>
  <c r="W25" i="35"/>
  <c r="W23" i="35"/>
  <c r="W10" i="35"/>
  <c r="X21" i="35"/>
  <c r="Z21" i="35" s="1"/>
  <c r="W19" i="35"/>
  <c r="Z19" i="35" s="1"/>
  <c r="W18" i="35"/>
  <c r="W17" i="35"/>
  <c r="W16" i="35"/>
  <c r="X15" i="35"/>
  <c r="W13" i="35"/>
  <c r="W12" i="35"/>
  <c r="X11" i="35"/>
  <c r="X20" i="35"/>
  <c r="Z20" i="35" s="1"/>
  <c r="Z22" i="35"/>
  <c r="Z23" i="35"/>
  <c r="Z25" i="35"/>
  <c r="X26" i="35"/>
  <c r="Z26" i="35" s="1"/>
  <c r="X35" i="35"/>
  <c r="X36" i="35"/>
  <c r="X37" i="35"/>
  <c r="X24" i="35"/>
  <c r="Z19" i="40"/>
  <c r="Z18" i="40"/>
  <c r="Z17" i="40"/>
  <c r="Z16" i="40"/>
  <c r="Z15" i="40"/>
  <c r="Z14" i="40"/>
  <c r="Z13" i="40"/>
  <c r="X27" i="35" l="1"/>
  <c r="Z27" i="35" s="1"/>
  <c r="Z24" i="35"/>
  <c r="W12" i="40"/>
  <c r="Z12" i="40" s="1"/>
  <c r="X12" i="2"/>
  <c r="X13" i="31"/>
  <c r="Y13" i="25"/>
  <c r="Y14" i="25"/>
  <c r="Y15" i="25"/>
  <c r="Y16" i="25"/>
  <c r="Y18" i="25"/>
  <c r="Z18" i="25" s="1"/>
  <c r="Y12" i="25"/>
  <c r="V17" i="37"/>
  <c r="S17" i="37"/>
  <c r="R17" i="37"/>
  <c r="X16" i="37"/>
  <c r="Z16" i="37" s="1"/>
  <c r="X15" i="37"/>
  <c r="Z15" i="37" s="1"/>
  <c r="X14" i="37"/>
  <c r="Z14" i="37" s="1"/>
  <c r="X13" i="37"/>
  <c r="Z13" i="37" s="1"/>
  <c r="X12" i="37"/>
  <c r="Z12" i="37" s="1"/>
  <c r="X32" i="35"/>
  <c r="W31" i="35"/>
  <c r="W29" i="35"/>
  <c r="X9" i="35"/>
  <c r="W13" i="39"/>
  <c r="X13" i="39" s="1"/>
  <c r="W14" i="39"/>
  <c r="X14" i="39" s="1"/>
  <c r="W15" i="39"/>
  <c r="X15" i="39" s="1"/>
  <c r="W16" i="39"/>
  <c r="W17" i="39"/>
  <c r="W12" i="39"/>
  <c r="U18" i="39"/>
  <c r="S18" i="39"/>
  <c r="X17" i="37" l="1"/>
  <c r="Z17" i="37" s="1"/>
  <c r="T18" i="39"/>
  <c r="X12" i="39" l="1"/>
  <c r="Z16" i="33"/>
  <c r="X14" i="35" l="1"/>
  <c r="W18" i="39" l="1"/>
  <c r="X18" i="39" s="1"/>
  <c r="Z16" i="25"/>
  <c r="Z15" i="25"/>
  <c r="X16" i="39" l="1"/>
  <c r="X17" i="39"/>
  <c r="V19" i="33"/>
  <c r="R19" i="33"/>
  <c r="Y16" i="32"/>
  <c r="S19" i="33" l="1"/>
  <c r="E23" i="33" s="1"/>
  <c r="W12" i="33" l="1"/>
  <c r="W19" i="33" s="1"/>
  <c r="S20" i="40" l="1"/>
  <c r="R20" i="40"/>
  <c r="Z16" i="32" l="1"/>
  <c r="V19" i="25"/>
  <c r="S19" i="25"/>
  <c r="R19" i="25"/>
  <c r="Z19" i="33" l="1"/>
  <c r="Q13" i="36"/>
  <c r="S13" i="36"/>
  <c r="R13" i="36"/>
  <c r="W14" i="31"/>
  <c r="R14" i="31"/>
  <c r="Q14" i="31"/>
  <c r="X14" i="31" l="1"/>
  <c r="E23" i="31" s="1"/>
  <c r="W20" i="40"/>
  <c r="W12" i="36"/>
  <c r="Y14" i="34"/>
  <c r="Y12" i="34"/>
  <c r="Y15" i="32"/>
  <c r="Y17" i="32" s="1"/>
  <c r="V20" i="40" l="1"/>
  <c r="Z20" i="40" s="1"/>
  <c r="Y19" i="25"/>
  <c r="W13" i="36"/>
  <c r="W38" i="35" l="1"/>
  <c r="Y15" i="34"/>
  <c r="T15" i="34"/>
  <c r="S15" i="34"/>
  <c r="X12" i="36"/>
  <c r="X12" i="31"/>
  <c r="Z14" i="25"/>
  <c r="Z13" i="25"/>
  <c r="Z12" i="25"/>
  <c r="R15" i="34"/>
  <c r="E23" i="39"/>
  <c r="Z19" i="25" l="1"/>
  <c r="Z15" i="34"/>
  <c r="Z17" i="32"/>
  <c r="U38" i="35"/>
  <c r="Z10" i="35"/>
  <c r="Z11" i="35"/>
  <c r="Z12" i="35"/>
  <c r="Z13" i="35"/>
  <c r="Z14" i="35"/>
  <c r="Z15" i="35"/>
  <c r="Z16" i="35"/>
  <c r="Z17" i="35"/>
  <c r="Z18" i="35"/>
  <c r="Z29" i="35"/>
  <c r="Z31" i="35"/>
  <c r="Z32" i="35"/>
  <c r="Z33" i="35"/>
  <c r="Z34" i="35"/>
  <c r="Z35" i="35"/>
  <c r="Z36" i="35"/>
  <c r="Z37" i="35"/>
  <c r="Z9" i="35"/>
  <c r="S38" i="35"/>
  <c r="E35" i="35" s="1"/>
  <c r="Z15" i="33"/>
  <c r="Z14" i="33"/>
  <c r="Z17" i="33"/>
  <c r="Z18" i="33"/>
  <c r="Z12" i="33"/>
  <c r="E23" i="2"/>
  <c r="E23" i="34"/>
  <c r="E23" i="32"/>
  <c r="E23" i="25"/>
  <c r="E23" i="37"/>
  <c r="S46" i="25"/>
  <c r="S44" i="37"/>
  <c r="R38" i="35"/>
  <c r="Z30" i="35" l="1"/>
  <c r="Z14" i="34" l="1"/>
  <c r="Z12" i="34"/>
  <c r="X38" i="35"/>
  <c r="V38" i="35"/>
  <c r="Z38" i="35" l="1"/>
  <c r="E23" i="40"/>
  <c r="I24" i="40" s="1"/>
  <c r="K26" i="40" s="1"/>
  <c r="A43" i="40"/>
  <c r="C26" i="40" l="1"/>
  <c r="I24" i="39"/>
  <c r="A43" i="39"/>
  <c r="C26" i="39" l="1"/>
  <c r="K26" i="39"/>
  <c r="I36" i="35"/>
  <c r="Z15" i="32" l="1"/>
  <c r="Z12" i="2"/>
  <c r="A43" i="37" l="1"/>
  <c r="I24" i="37"/>
  <c r="K26" i="37" s="1"/>
  <c r="A43" i="36"/>
  <c r="A55" i="35"/>
  <c r="K38" i="35"/>
  <c r="A43" i="34"/>
  <c r="I24" i="34"/>
  <c r="A43" i="33"/>
  <c r="I24" i="33"/>
  <c r="C26" i="33" s="1"/>
  <c r="A43" i="32"/>
  <c r="I24" i="32"/>
  <c r="K26" i="32" s="1"/>
  <c r="A43" i="31"/>
  <c r="I24" i="31"/>
  <c r="K26" i="31" s="1"/>
  <c r="A43" i="25"/>
  <c r="I24" i="25"/>
  <c r="C26" i="31" l="1"/>
  <c r="K26" i="33"/>
  <c r="C26" i="37"/>
  <c r="C38" i="35"/>
  <c r="C26" i="34"/>
  <c r="K26" i="34"/>
  <c r="C26" i="32"/>
  <c r="K26" i="25"/>
  <c r="C26" i="25"/>
  <c r="I24" i="2"/>
  <c r="K26" i="2" l="1"/>
  <c r="A43" i="2" l="1"/>
  <c r="C26" i="2" l="1"/>
  <c r="X13" i="36" l="1"/>
  <c r="E23" i="36" s="1"/>
  <c r="I24" i="36" s="1"/>
  <c r="K26" i="36" l="1"/>
  <c r="C26" i="36"/>
  <c r="Z13" i="33" l="1"/>
</calcChain>
</file>

<file path=xl/sharedStrings.xml><?xml version="1.0" encoding="utf-8"?>
<sst xmlns="http://schemas.openxmlformats.org/spreadsheetml/2006/main" count="667" uniqueCount="138">
  <si>
    <t>청 구 과</t>
    <phoneticPr fontId="6" type="noConversion"/>
  </si>
  <si>
    <t>팀 장</t>
    <phoneticPr fontId="6" type="noConversion"/>
  </si>
  <si>
    <t>경 리 과</t>
    <phoneticPr fontId="6" type="noConversion"/>
  </si>
  <si>
    <t>/</t>
    <phoneticPr fontId="6" type="noConversion"/>
  </si>
  <si>
    <t>증   빙   첨   부   란</t>
    <phoneticPr fontId="6" type="noConversion"/>
  </si>
  <si>
    <t>세 금 계 산 서 확 인 필</t>
    <phoneticPr fontId="6" type="noConversion"/>
  </si>
  <si>
    <t>사업자등록번호</t>
    <phoneticPr fontId="6" type="noConversion"/>
  </si>
  <si>
    <t>상          호</t>
    <phoneticPr fontId="6" type="noConversion"/>
  </si>
  <si>
    <t>코  드</t>
    <phoneticPr fontId="6" type="noConversion"/>
  </si>
  <si>
    <t>공  급  가  액</t>
    <phoneticPr fontId="6" type="noConversion"/>
  </si>
  <si>
    <t>부가세</t>
    <phoneticPr fontId="6" type="noConversion"/>
  </si>
  <si>
    <t>발  행  일  자</t>
    <phoneticPr fontId="6" type="noConversion"/>
  </si>
  <si>
    <t>일 금</t>
    <phoneticPr fontId="6" type="noConversion"/>
  </si>
  <si>
    <t>원정</t>
    <phoneticPr fontId="6" type="noConversion"/>
  </si>
  <si>
    <t>지  출    사  유</t>
    <phoneticPr fontId="6" type="noConversion"/>
  </si>
  <si>
    <t>참석인원</t>
    <phoneticPr fontId="6" type="noConversion"/>
  </si>
  <si>
    <t>사     용     자</t>
    <phoneticPr fontId="6" type="noConversion"/>
  </si>
  <si>
    <t>수     령     자</t>
    <phoneticPr fontId="6" type="noConversion"/>
  </si>
  <si>
    <t>(인)</t>
    <phoneticPr fontId="6" type="noConversion"/>
  </si>
  <si>
    <t>비     고
(일련번호)</t>
    <phoneticPr fontId="6" type="noConversion"/>
  </si>
  <si>
    <t>대신금속주식회사</t>
    <phoneticPr fontId="6" type="noConversion"/>
  </si>
  <si>
    <t>합계</t>
    <phoneticPr fontId="6" type="noConversion"/>
  </si>
  <si>
    <t>대표이사</t>
    <phoneticPr fontId="6" type="noConversion"/>
  </si>
  <si>
    <t>사 원</t>
    <phoneticPr fontId="6" type="noConversion"/>
  </si>
  <si>
    <t>선 임</t>
    <phoneticPr fontId="6" type="noConversion"/>
  </si>
  <si>
    <t>매  출  내  역  서</t>
    <phoneticPr fontId="6" type="noConversion"/>
  </si>
  <si>
    <t>실장</t>
    <phoneticPr fontId="6" type="noConversion"/>
  </si>
  <si>
    <t>물품대</t>
    <phoneticPr fontId="5" type="noConversion"/>
  </si>
  <si>
    <t>사형</t>
    <phoneticPr fontId="48" type="noConversion"/>
  </si>
  <si>
    <t>자동</t>
    <phoneticPr fontId="48" type="noConversion"/>
  </si>
  <si>
    <t>금형 주조</t>
    <phoneticPr fontId="48" type="noConversion"/>
  </si>
  <si>
    <t>인보이스</t>
    <phoneticPr fontId="5" type="noConversion"/>
  </si>
  <si>
    <t>bl 날짜</t>
    <phoneticPr fontId="5" type="noConversion"/>
  </si>
  <si>
    <t>환율</t>
    <phoneticPr fontId="5" type="noConversion"/>
  </si>
  <si>
    <t>달러</t>
    <phoneticPr fontId="5" type="noConversion"/>
  </si>
  <si>
    <t>계</t>
    <phoneticPr fontId="5" type="noConversion"/>
  </si>
  <si>
    <t xml:space="preserve">해외영업팀                             김빈아    (인)  </t>
    <phoneticPr fontId="5" type="noConversion"/>
  </si>
  <si>
    <t xml:space="preserve">해외영업팀                              김빈아    (인)  </t>
  </si>
  <si>
    <t>원화</t>
    <phoneticPr fontId="5" type="noConversion"/>
  </si>
  <si>
    <t>거래처</t>
    <phoneticPr fontId="48" type="noConversion"/>
  </si>
  <si>
    <t>툴링비</t>
    <phoneticPr fontId="5" type="noConversion"/>
  </si>
  <si>
    <t>앨리슨 관세</t>
    <phoneticPr fontId="5" type="noConversion"/>
  </si>
  <si>
    <t>금형</t>
    <phoneticPr fontId="5" type="noConversion"/>
  </si>
  <si>
    <t>원화</t>
    <phoneticPr fontId="48" type="noConversion"/>
  </si>
  <si>
    <t>총</t>
    <phoneticPr fontId="48" type="noConversion"/>
  </si>
  <si>
    <t>ALLISON</t>
    <phoneticPr fontId="5" type="noConversion"/>
  </si>
  <si>
    <t>MERCURY</t>
    <phoneticPr fontId="5" type="noConversion"/>
  </si>
  <si>
    <t>POLARIS</t>
    <phoneticPr fontId="5" type="noConversion"/>
  </si>
  <si>
    <t>EMERSON</t>
    <phoneticPr fontId="5" type="noConversion"/>
  </si>
  <si>
    <t>MIC(AMAT)</t>
    <phoneticPr fontId="5" type="noConversion"/>
  </si>
  <si>
    <t>SAM</t>
    <phoneticPr fontId="5" type="noConversion"/>
  </si>
  <si>
    <t>ATLAS COPCO</t>
    <phoneticPr fontId="5" type="noConversion"/>
  </si>
  <si>
    <t>BERGEN ENGINE</t>
    <phoneticPr fontId="5" type="noConversion"/>
  </si>
  <si>
    <t>DOMETIC</t>
    <phoneticPr fontId="5" type="noConversion"/>
  </si>
  <si>
    <t>전자세금계산서
발행일</t>
    <phoneticPr fontId="5" type="noConversion"/>
  </si>
  <si>
    <t>가공2(5공장)</t>
    <phoneticPr fontId="53" type="noConversion"/>
  </si>
  <si>
    <t>가공1(2공장)</t>
    <phoneticPr fontId="48" type="noConversion"/>
  </si>
  <si>
    <t>가공1(2공장)</t>
    <phoneticPr fontId="5" type="noConversion"/>
  </si>
  <si>
    <t>가공2(5공장)</t>
    <phoneticPr fontId="5" type="noConversion"/>
  </si>
  <si>
    <t>가공3(3공장)</t>
    <phoneticPr fontId="5" type="noConversion"/>
  </si>
  <si>
    <t>Mercury</t>
    <phoneticPr fontId="53" type="noConversion"/>
  </si>
  <si>
    <t xml:space="preserve">해외영업팀                              하구현    (인)  </t>
    <phoneticPr fontId="5" type="noConversion"/>
  </si>
  <si>
    <t xml:space="preserve">해외영업팀                              김빈아   (인)  </t>
    <phoneticPr fontId="53" type="noConversion"/>
  </si>
  <si>
    <t>Polaris</t>
    <phoneticPr fontId="53" type="noConversion"/>
  </si>
  <si>
    <t>2608T01</t>
  </si>
  <si>
    <t>DSM2608-AL01TA</t>
  </si>
  <si>
    <t>DSM2608-AL02TA</t>
  </si>
  <si>
    <t>DSM2608-AL03TA</t>
  </si>
  <si>
    <t>DSM2608-AL04TA</t>
  </si>
  <si>
    <t>DSM2608-AL05TA</t>
  </si>
  <si>
    <t>DSM2608-AL03(관세)</t>
  </si>
  <si>
    <t>DSM2608-AL05(관세)</t>
  </si>
  <si>
    <t>DSM2609-AL01(관세)</t>
  </si>
  <si>
    <t>DSM2609-AL02(관세)</t>
  </si>
  <si>
    <t>DSM2609-AL03(관세)</t>
  </si>
  <si>
    <t>DSM2609-AL04(관세)</t>
  </si>
  <si>
    <t>DSM2609-AL06(관세)</t>
  </si>
  <si>
    <t>DSM2609-AL07(관세)</t>
  </si>
  <si>
    <t>DSM2608-04</t>
  </si>
  <si>
    <t>DSM2608-05</t>
  </si>
  <si>
    <t>DSM2608-06</t>
  </si>
  <si>
    <t>DSM2608-07</t>
  </si>
  <si>
    <t>DSM2608-08</t>
  </si>
  <si>
    <t>DSM2608-09</t>
  </si>
  <si>
    <t>DSM2608-10</t>
  </si>
  <si>
    <t>DSM2608-11</t>
  </si>
  <si>
    <t>DSM2608-12</t>
  </si>
  <si>
    <t>DSM2608-13</t>
  </si>
  <si>
    <t>DSM2608-14</t>
  </si>
  <si>
    <t>DSM2608-15</t>
  </si>
  <si>
    <t>DSM2608-16</t>
  </si>
  <si>
    <t>DSM2608-17</t>
  </si>
  <si>
    <t>DSM2608-18</t>
  </si>
  <si>
    <t>DSM2608-19</t>
  </si>
  <si>
    <t>DSM2608-20</t>
  </si>
  <si>
    <t>DSM2608-21</t>
  </si>
  <si>
    <t>DSM2609-02</t>
  </si>
  <si>
    <t>DSM2609-03</t>
  </si>
  <si>
    <t>DSM2609-04</t>
  </si>
  <si>
    <t>DSM2609-08</t>
  </si>
  <si>
    <t>DSM2609-09</t>
  </si>
  <si>
    <t>DSM2609-12</t>
  </si>
  <si>
    <t>DSM2609-21</t>
  </si>
  <si>
    <t>DSM2609-MC01</t>
  </si>
  <si>
    <t>DSM2609-MC02</t>
  </si>
  <si>
    <t>DSM2609-MC03</t>
  </si>
  <si>
    <t>DSM2609-01</t>
  </si>
  <si>
    <t>2608P02</t>
  </si>
  <si>
    <t>2608P04</t>
  </si>
  <si>
    <t>2609P02</t>
  </si>
  <si>
    <t>2609P04</t>
  </si>
  <si>
    <t>2608P06</t>
  </si>
  <si>
    <t>DSM2608-AM02</t>
  </si>
  <si>
    <t>DSM2608-AM03</t>
  </si>
  <si>
    <t>DSM2609-AM01</t>
  </si>
  <si>
    <t>DSM2609-AM02</t>
  </si>
  <si>
    <t>DSM2609-AM03</t>
  </si>
  <si>
    <t>DSM2608-SM02</t>
  </si>
  <si>
    <t>DSM2609-SM01</t>
  </si>
  <si>
    <t>DSM2609-SM03</t>
  </si>
  <si>
    <t>DSM2609-AT02</t>
  </si>
  <si>
    <t>DSM2609-AT01</t>
  </si>
  <si>
    <t>DSM2608-AL05</t>
  </si>
  <si>
    <t>DSM2609-AL02</t>
  </si>
  <si>
    <t>DSM2609-AL03</t>
  </si>
  <si>
    <t>DSM2609-AL04</t>
  </si>
  <si>
    <t>DSM2609-AL06</t>
  </si>
  <si>
    <t>DSM2609-AL07</t>
  </si>
  <si>
    <t>DSM2609-AL01</t>
  </si>
  <si>
    <t>DSM2609-R01</t>
  </si>
  <si>
    <t xml:space="preserve">DSM2609-SE01 </t>
  </si>
  <si>
    <t>DSM2609-EM03</t>
  </si>
  <si>
    <t>DSM2609-EM04</t>
  </si>
  <si>
    <t>DSM2609-EM05</t>
  </si>
  <si>
    <t>DSM2609-EM06</t>
  </si>
  <si>
    <t>DSM2609-EM08</t>
  </si>
  <si>
    <t>DSM2609-EM01</t>
  </si>
  <si>
    <t>DSM2609-EM02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</si>
</sst>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&quot;₩&quot;#,##0"/>
    <numFmt numFmtId="177" formatCode="&quot;₩&quot;#,##0_);[Red]\(&quot;₩&quot;#,##0\)"/>
    <numFmt numFmtId="178" formatCode="_-* #,##0.00_-;\-* #,##0.00_-;_-* &quot;-&quot;_-;_-@_-"/>
    <numFmt numFmtId="179" formatCode="_ * #,##0_ ;_ * \-#,##0_ ;_ * &quot;-&quot;_ ;_ @_ "/>
    <numFmt numFmtId="180" formatCode="_(* #,##0_);_(* \(#,##0\);_(* &quot;-&quot;_);_(@_)"/>
    <numFmt numFmtId="181" formatCode="mm&quot;월&quot;\ dd&quot;일&quot;"/>
    <numFmt numFmtId="182" formatCode="\$#,##0.00;[Red]\-\$#,##0.00"/>
    <numFmt numFmtId="183" formatCode="#,##0_);[Red]\(#,##0\)"/>
    <numFmt numFmtId="184" formatCode="&quot;$&quot;#,##0.00_);\(&quot;$&quot;#,##0.00\)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&quot;₩&quot;#,##0;&quot;₩&quot;\-#,##0"/>
    <numFmt numFmtId="188" formatCode="&quot;₩&quot;#,##0.00\ ;\(&quot;₩&quot;#,##0.00\)"/>
    <numFmt numFmtId="189" formatCode="#,##0;[Red]&quot;-&quot;#,##0"/>
    <numFmt numFmtId="190" formatCode="#,##0_-;&quot;△&quot;#,##0_-"/>
    <numFmt numFmtId="191" formatCode="&quot;₩&quot;#,##0.00;[Red]&quot;₩&quot;\-#,##0.00"/>
    <numFmt numFmtId="192" formatCode="@\ \ \ \ \ \ \ \ \ \ \ \ \ \ \ "/>
    <numFmt numFmtId="193" formatCode="#,##0%;[Red]\(#,##0%\)"/>
    <numFmt numFmtId="194" formatCode="#,##0;[Red]&quot;△&quot;#,##0"/>
    <numFmt numFmtId="195" formatCode="#,##0.0"/>
    <numFmt numFmtId="196" formatCode="_-[$€-2]* #,##0.00_-;\-[$€-2]* #,##0.00_-;_-[$€-2]* &quot;-&quot;??_-"/>
    <numFmt numFmtId="197" formatCode="#,##0\ &quot;F&quot;;[Red]\-#,##0\ &quot;F&quot;"/>
    <numFmt numFmtId="198" formatCode="#,##0.00;[Red]&quot;-&quot;#,##0.00"/>
    <numFmt numFmtId="199" formatCode="_ &quot;₩&quot;* #,##0.00_ ;_ &quot;₩&quot;* &quot;₩&quot;&quot;₩&quot;&quot;₩&quot;&quot;₩&quot;&quot;₩&quot;&quot;₩&quot;&quot;₩&quot;\-#,##0.00_ ;_ &quot;₩&quot;* &quot;-&quot;??_ ;_ @_ "/>
    <numFmt numFmtId="200" formatCode="&quot;₩&quot;#,##0;&quot;₩&quot;&quot;₩&quot;&quot;₩&quot;&quot;₩&quot;&quot;₩&quot;&quot;₩&quot;&quot;₩&quot;&quot;₩&quot;&quot;₩&quot;\-#,##0"/>
    <numFmt numFmtId="201" formatCode="&quot;₩&quot;#,##0;[Red]&quot;₩&quot;\-#,##0"/>
    <numFmt numFmtId="202" formatCode="&quot;₩&quot;#,##0.00;&quot;₩&quot;\-#,##0.00"/>
    <numFmt numFmtId="203" formatCode="&quot;$&quot;\ #,##0"/>
    <numFmt numFmtId="204" formatCode="&quot;₩&quot;#,##0;&quot;₩&quot;&quot;₩&quot;&quot;₩&quot;&quot;₩&quot;&quot;₩&quot;&quot;₩&quot;&quot;₩&quot;&quot;₩&quot;\-#,##0"/>
    <numFmt numFmtId="205" formatCode="_ * #,##0.00_ ;_ * &quot;₩&quot;&quot;₩&quot;&quot;₩&quot;&quot;₩&quot;&quot;₩&quot;&quot;₩&quot;&quot;₩&quot;&quot;₩&quot;&quot;₩&quot;&quot;₩&quot;\-#,##0.00_ ;_ * &quot;-&quot;??_ ;_ @_ "/>
    <numFmt numFmtId="206" formatCode="_ * #,##0_ ;_ * &quot;₩&quot;&quot;₩&quot;&quot;₩&quot;&quot;₩&quot;&quot;₩&quot;&quot;₩&quot;\-#,##0_ ;_ * &quot;-&quot;_ ;_ @_ "/>
    <numFmt numFmtId="207" formatCode="_ &quot;₩&quot;* #,##0_ ;_ &quot;₩&quot;* &quot;₩&quot;\-#,##0_ ;_ &quot;₩&quot;* &quot;-&quot;_ ;_ @_ "/>
    <numFmt numFmtId="208" formatCode="#."/>
    <numFmt numFmtId="209" formatCode="#,##0.00_);[Red]\(#,##0.00\)"/>
    <numFmt numFmtId="210" formatCode="\$#,##0.00"/>
  </numFmts>
  <fonts count="176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 val="double"/>
      <sz val="25"/>
      <color theme="1"/>
      <name val="윤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바탕체"/>
      <family val="1"/>
      <charset val="129"/>
    </font>
    <font>
      <sz val="15"/>
      <color theme="1"/>
      <name val="윤명조"/>
      <family val="3"/>
      <charset val="129"/>
    </font>
    <font>
      <sz val="11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4"/>
      <name val="윤명조"/>
      <family val="3"/>
      <charset val="129"/>
    </font>
    <font>
      <sz val="11"/>
      <name val="윤명조"/>
      <family val="3"/>
      <charset val="129"/>
    </font>
    <font>
      <sz val="12"/>
      <name val="윤명조"/>
      <family val="3"/>
      <charset val="129"/>
    </font>
    <font>
      <sz val="9"/>
      <name val="바탕체"/>
      <family val="1"/>
      <charset val="129"/>
    </font>
    <font>
      <sz val="13"/>
      <name val="바탕"/>
      <family val="1"/>
      <charset val="129"/>
    </font>
    <font>
      <sz val="11"/>
      <name val="바탕"/>
      <family val="1"/>
      <charset val="129"/>
    </font>
    <font>
      <sz val="11"/>
      <color theme="1"/>
      <name val="바탕"/>
      <family val="1"/>
      <charset val="129"/>
    </font>
    <font>
      <sz val="10"/>
      <name val="바탕"/>
      <family val="1"/>
      <charset val="129"/>
    </font>
    <font>
      <sz val="11"/>
      <name val="돋움"/>
      <family val="3"/>
      <charset val="129"/>
    </font>
    <font>
      <sz val="10"/>
      <color theme="1"/>
      <name val="윤명조"/>
      <family val="3"/>
      <charset val="129"/>
    </font>
    <font>
      <sz val="10"/>
      <color theme="1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b/>
      <sz val="11"/>
      <name val="윤명조"/>
      <family val="3"/>
      <charset val="129"/>
    </font>
    <font>
      <b/>
      <sz val="11"/>
      <name val="바탕"/>
      <family val="1"/>
      <charset val="129"/>
    </font>
    <font>
      <b/>
      <sz val="12"/>
      <name val="바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??"/>
      <family val="3"/>
      <charset val="129"/>
    </font>
    <font>
      <sz val="11"/>
      <color indexed="8"/>
      <name val="맑은 고딕"/>
      <family val="3"/>
      <charset val="129"/>
    </font>
    <font>
      <sz val="12"/>
      <name val="돋움"/>
      <family val="3"/>
      <charset val="129"/>
    </font>
    <font>
      <sz val="10"/>
      <name val="Bookman Old Style"/>
      <family val="1"/>
    </font>
    <font>
      <u/>
      <sz val="10"/>
      <color indexed="12"/>
      <name val="Bookman Old Style"/>
      <family val="1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b/>
      <i/>
      <sz val="10"/>
      <name val="Arial"/>
      <family val="2"/>
    </font>
    <font>
      <sz val="9"/>
      <color indexed="8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0"/>
      <color rgb="FF000000"/>
      <name val="Times New Roman"/>
      <family val="1"/>
    </font>
    <font>
      <sz val="11"/>
      <color indexed="8"/>
      <name val="맑은 고딕"/>
      <family val="3"/>
      <charset val="129"/>
      <scheme val="minor"/>
    </font>
    <font>
      <sz val="9"/>
      <name val="Times New Roman"/>
      <family val="1"/>
    </font>
    <font>
      <sz val="10"/>
      <name val="돋움"/>
      <family val="3"/>
      <charset val="129"/>
    </font>
    <font>
      <sz val="11"/>
      <color indexed="20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2"/>
      <name val="Arial"/>
      <family val="2"/>
    </font>
    <font>
      <sz val="8"/>
      <name val="Arial"/>
      <family val="2"/>
    </font>
    <font>
      <sz val="9"/>
      <name val="굴림"/>
      <family val="3"/>
      <charset val="129"/>
    </font>
    <font>
      <b/>
      <sz val="9"/>
      <name val="Times New Roman"/>
      <family val="1"/>
    </font>
    <font>
      <sz val="12"/>
      <name val="Times New Roman"/>
      <family val="1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2"/>
      <name val="¹UAAA¼"/>
      <family val="1"/>
      <charset val="129"/>
    </font>
    <font>
      <sz val="11"/>
      <name val="μ¸¿o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7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b/>
      <sz val="12"/>
      <color indexed="16"/>
      <name val="굴림체"/>
      <family val="3"/>
      <charset val="129"/>
    </font>
    <font>
      <b/>
      <sz val="18"/>
      <name val="궁서체"/>
      <family val="1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1"/>
      <name val="돋움체"/>
      <family val="3"/>
      <charset val="129"/>
    </font>
    <font>
      <sz val="12"/>
      <name val="©öUAAA¨ù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4"/>
      <name val="¾©"/>
      <family val="1"/>
      <charset val="129"/>
    </font>
    <font>
      <sz val="12"/>
      <name val="±¼¸²A¼"/>
      <family val="3"/>
      <charset val="129"/>
    </font>
    <font>
      <sz val="12"/>
      <color indexed="32"/>
      <name val="MIN 훈민08체"/>
      <family val="3"/>
      <charset val="129"/>
    </font>
    <font>
      <sz val="12"/>
      <name val="System"/>
      <family val="2"/>
      <charset val="129"/>
    </font>
    <font>
      <sz val="18"/>
      <name val="HY견고딕"/>
      <family val="1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i/>
      <sz val="14"/>
      <name val="HY헤드라인M"/>
      <family val="1"/>
      <charset val="129"/>
    </font>
    <font>
      <u/>
      <sz val="9"/>
      <color indexed="36"/>
      <name val="바탕체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sz val="10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0"/>
      <color indexed="8"/>
      <name val="Arial"/>
      <family val="2"/>
    </font>
    <font>
      <sz val="14"/>
      <name val="–¾’©"/>
      <family val="3"/>
      <charset val="129"/>
    </font>
    <font>
      <sz val="12"/>
      <color indexed="32"/>
      <name val="모음디"/>
      <family val="1"/>
      <charset val="129"/>
    </font>
    <font>
      <sz val="12"/>
      <name val="¾©"/>
      <family val="1"/>
      <charset val="129"/>
    </font>
    <font>
      <sz val="12"/>
      <name val="¨?¨Ï"/>
      <family val="1"/>
      <charset val="129"/>
    </font>
    <font>
      <sz val="11"/>
      <color indexed="8"/>
      <name val="宋体"/>
      <family val="3"/>
      <charset val="255"/>
    </font>
    <font>
      <sz val="11"/>
      <color indexed="9"/>
      <name val="宋体"/>
      <family val="3"/>
      <charset val="255"/>
    </font>
    <font>
      <sz val="12"/>
      <name val="¨IoUAAA¡§u"/>
      <family val="1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10"/>
      <color indexed="12"/>
      <name val="Arial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b/>
      <sz val="18"/>
      <color indexed="56"/>
      <name val="宋体"/>
      <family val="3"/>
      <charset val="255"/>
    </font>
    <font>
      <b/>
      <sz val="11"/>
      <color indexed="9"/>
      <name val="宋体"/>
      <family val="3"/>
      <charset val="255"/>
    </font>
    <font>
      <sz val="11"/>
      <color indexed="60"/>
      <name val="宋体"/>
      <family val="3"/>
      <charset val="255"/>
    </font>
    <font>
      <sz val="11"/>
      <color indexed="52"/>
      <name val="宋体"/>
      <family val="3"/>
      <charset val="255"/>
    </font>
    <font>
      <b/>
      <sz val="15"/>
      <color indexed="56"/>
      <name val="宋体"/>
      <family val="3"/>
      <charset val="255"/>
    </font>
    <font>
      <b/>
      <sz val="13"/>
      <color indexed="56"/>
      <name val="宋体"/>
      <family val="3"/>
      <charset val="255"/>
    </font>
    <font>
      <b/>
      <sz val="11"/>
      <color indexed="56"/>
      <name val="宋体"/>
      <family val="3"/>
      <charset val="255"/>
    </font>
    <font>
      <sz val="11"/>
      <color indexed="10"/>
      <name val="宋体"/>
      <family val="3"/>
      <charset val="255"/>
    </font>
    <font>
      <b/>
      <sz val="11"/>
      <color indexed="52"/>
      <name val="宋体"/>
      <family val="3"/>
      <charset val="255"/>
    </font>
    <font>
      <sz val="11"/>
      <color indexed="17"/>
      <name val="宋体"/>
      <family val="3"/>
      <charset val="255"/>
    </font>
    <font>
      <sz val="12"/>
      <name val="宋体"/>
      <family val="3"/>
      <charset val="255"/>
    </font>
    <font>
      <i/>
      <sz val="11"/>
      <color indexed="23"/>
      <name val="宋体"/>
      <family val="3"/>
      <charset val="255"/>
    </font>
    <font>
      <sz val="11"/>
      <color indexed="62"/>
      <name val="宋体"/>
      <family val="3"/>
      <charset val="255"/>
    </font>
    <font>
      <b/>
      <sz val="11"/>
      <color indexed="63"/>
      <name val="宋体"/>
      <family val="3"/>
      <charset val="255"/>
    </font>
    <font>
      <sz val="11"/>
      <color indexed="20"/>
      <name val="宋体"/>
      <family val="3"/>
      <charset val="255"/>
    </font>
    <font>
      <sz val="12"/>
      <name val="新細明體"/>
      <family val="1"/>
      <charset val="134"/>
    </font>
    <font>
      <b/>
      <sz val="11"/>
      <color indexed="8"/>
      <name val="宋体"/>
      <family val="3"/>
      <charset val="255"/>
    </font>
    <font>
      <sz val="11"/>
      <name val="ＭＳ Ｐゴシック"/>
      <family val="2"/>
      <charset val="128"/>
    </font>
    <font>
      <sz val="11"/>
      <name val="明朝"/>
      <family val="1"/>
      <charset val="128"/>
    </font>
    <font>
      <sz val="10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"/>
      <color indexed="0"/>
      <name val="Courier"/>
      <family val="3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돋움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gray0625">
        <fgColor indexed="15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indexed="43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3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" fillId="8" borderId="32" applyNumberFormat="0" applyFont="0" applyAlignment="0" applyProtection="0">
      <alignment vertical="center"/>
    </xf>
    <xf numFmtId="0" fontId="29" fillId="8" borderId="32" applyNumberFormat="0" applyFont="0" applyAlignment="0" applyProtection="0">
      <alignment vertical="center"/>
    </xf>
    <xf numFmtId="0" fontId="3" fillId="8" borderId="32" applyNumberFormat="0" applyFont="0" applyAlignment="0" applyProtection="0">
      <alignment vertical="center"/>
    </xf>
    <xf numFmtId="0" fontId="29" fillId="8" borderId="32" applyNumberFormat="0" applyFont="0" applyAlignment="0" applyProtection="0">
      <alignment vertical="center"/>
    </xf>
    <xf numFmtId="0" fontId="3" fillId="8" borderId="32" applyNumberFormat="0" applyFont="0" applyAlignment="0" applyProtection="0">
      <alignment vertical="center"/>
    </xf>
    <xf numFmtId="0" fontId="29" fillId="8" borderId="32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31" applyNumberFormat="0" applyAlignment="0" applyProtection="0">
      <alignment vertical="center"/>
    </xf>
    <xf numFmtId="0" fontId="39" fillId="7" borderId="31" applyNumberFormat="0" applyAlignment="0" applyProtection="0">
      <alignment vertical="center"/>
    </xf>
    <xf numFmtId="0" fontId="39" fillId="7" borderId="31" applyNumberFormat="0" applyAlignment="0" applyProtection="0">
      <alignment vertical="center"/>
    </xf>
    <xf numFmtId="41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40" fillId="0" borderId="30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41" fillId="5" borderId="28" applyNumberFormat="0" applyAlignment="0" applyProtection="0">
      <alignment vertical="center"/>
    </xf>
    <xf numFmtId="0" fontId="41" fillId="5" borderId="28" applyNumberFormat="0" applyAlignment="0" applyProtection="0">
      <alignment vertical="center"/>
    </xf>
    <xf numFmtId="0" fontId="41" fillId="5" borderId="28" applyNumberFormat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5" fillId="0" borderId="2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6" borderId="29" applyNumberFormat="0" applyAlignment="0" applyProtection="0">
      <alignment vertical="center"/>
    </xf>
    <xf numFmtId="0" fontId="47" fillId="6" borderId="29" applyNumberFormat="0" applyAlignment="0" applyProtection="0">
      <alignment vertical="center"/>
    </xf>
    <xf numFmtId="0" fontId="47" fillId="6" borderId="29" applyNumberFormat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19" fillId="0" borderId="0">
      <alignment vertical="center"/>
    </xf>
    <xf numFmtId="0" fontId="30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0" borderId="0"/>
    <xf numFmtId="0" fontId="19" fillId="0" borderId="0"/>
    <xf numFmtId="0" fontId="19" fillId="0" borderId="0">
      <alignment vertical="center"/>
    </xf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1" fillId="0" borderId="0"/>
    <xf numFmtId="41" fontId="62" fillId="0" borderId="0" applyFont="0" applyFill="0" applyBorder="0" applyAlignment="0" applyProtection="0"/>
    <xf numFmtId="0" fontId="63" fillId="0" borderId="0"/>
    <xf numFmtId="0" fontId="61" fillId="0" borderId="0"/>
    <xf numFmtId="0" fontId="64" fillId="0" borderId="0">
      <alignment vertical="center"/>
    </xf>
    <xf numFmtId="0" fontId="65" fillId="0" borderId="0"/>
    <xf numFmtId="0" fontId="59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66" fillId="0" borderId="0"/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0" fontId="65" fillId="0" borderId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61" fillId="0" borderId="0"/>
    <xf numFmtId="179" fontId="1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1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189" fontId="79" fillId="0" borderId="0"/>
    <xf numFmtId="189" fontId="79" fillId="0" borderId="0"/>
    <xf numFmtId="0" fontId="79" fillId="0" borderId="0"/>
    <xf numFmtId="0" fontId="79" fillId="0" borderId="0"/>
    <xf numFmtId="0" fontId="79" fillId="0" borderId="0"/>
    <xf numFmtId="0" fontId="83" fillId="0" borderId="0"/>
    <xf numFmtId="0" fontId="8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1" fillId="0" borderId="0"/>
    <xf numFmtId="0" fontId="61" fillId="0" borderId="0"/>
    <xf numFmtId="0" fontId="77" fillId="0" borderId="0"/>
    <xf numFmtId="0" fontId="77" fillId="0" borderId="0"/>
    <xf numFmtId="40" fontId="102" fillId="0" borderId="0" applyFont="0" applyFill="0" applyBorder="0" applyAlignment="0" applyProtection="0"/>
    <xf numFmtId="38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24" fillId="0" borderId="0"/>
    <xf numFmtId="0" fontId="123" fillId="0" borderId="0"/>
    <xf numFmtId="0" fontId="77" fillId="0" borderId="0"/>
    <xf numFmtId="189" fontId="79" fillId="0" borderId="0"/>
    <xf numFmtId="0" fontId="61" fillId="0" borderId="0"/>
    <xf numFmtId="0" fontId="81" fillId="0" borderId="0" applyFont="0" applyFill="0" applyBorder="0" applyAlignment="0" applyProtection="0"/>
    <xf numFmtId="0" fontId="82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0" fontId="83" fillId="36" borderId="0">
      <protection locked="0"/>
    </xf>
    <xf numFmtId="4" fontId="84" fillId="0" borderId="37">
      <alignment vertical="center"/>
    </xf>
    <xf numFmtId="4" fontId="84" fillId="0" borderId="37">
      <alignment vertical="center"/>
    </xf>
    <xf numFmtId="4" fontId="84" fillId="0" borderId="37">
      <alignment vertical="center"/>
    </xf>
    <xf numFmtId="0" fontId="157" fillId="37" borderId="0" applyNumberFormat="0" applyBorder="0" applyAlignment="0" applyProtection="0">
      <alignment vertical="center"/>
    </xf>
    <xf numFmtId="0" fontId="157" fillId="38" borderId="0" applyNumberFormat="0" applyBorder="0" applyAlignment="0" applyProtection="0">
      <alignment vertical="center"/>
    </xf>
    <xf numFmtId="0" fontId="157" fillId="39" borderId="0" applyNumberFormat="0" applyBorder="0" applyAlignment="0" applyProtection="0">
      <alignment vertical="center"/>
    </xf>
    <xf numFmtId="0" fontId="157" fillId="40" borderId="0" applyNumberFormat="0" applyBorder="0" applyAlignment="0" applyProtection="0">
      <alignment vertical="center"/>
    </xf>
    <xf numFmtId="0" fontId="157" fillId="41" borderId="0" applyNumberFormat="0" applyBorder="0" applyAlignment="0" applyProtection="0">
      <alignment vertical="center"/>
    </xf>
    <xf numFmtId="0" fontId="157" fillId="42" borderId="0" applyNumberFormat="0" applyBorder="0" applyAlignment="0" applyProtection="0">
      <alignment vertical="center"/>
    </xf>
    <xf numFmtId="0" fontId="125" fillId="37" borderId="0" applyNumberFormat="0" applyBorder="0" applyAlignment="0" applyProtection="0">
      <alignment vertical="center"/>
    </xf>
    <xf numFmtId="0" fontId="125" fillId="37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25" fillId="39" borderId="0" applyNumberFormat="0" applyBorder="0" applyAlignment="0" applyProtection="0">
      <alignment vertical="center"/>
    </xf>
    <xf numFmtId="0" fontId="125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37" borderId="0" applyNumberFormat="0" applyBorder="0" applyAlignment="0" applyProtection="0">
      <alignment vertical="center"/>
    </xf>
    <xf numFmtId="0" fontId="125" fillId="37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25" fillId="38" borderId="0" applyNumberFormat="0" applyBorder="0" applyAlignment="0" applyProtection="0">
      <alignment vertical="center"/>
    </xf>
    <xf numFmtId="0" fontId="125" fillId="39" borderId="0" applyNumberFormat="0" applyBorder="0" applyAlignment="0" applyProtection="0">
      <alignment vertical="center"/>
    </xf>
    <xf numFmtId="0" fontId="125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57" fillId="43" borderId="0" applyNumberFormat="0" applyBorder="0" applyAlignment="0" applyProtection="0">
      <alignment vertical="center"/>
    </xf>
    <xf numFmtId="0" fontId="157" fillId="44" borderId="0" applyNumberFormat="0" applyBorder="0" applyAlignment="0" applyProtection="0">
      <alignment vertical="center"/>
    </xf>
    <xf numFmtId="0" fontId="157" fillId="45" borderId="0" applyNumberFormat="0" applyBorder="0" applyAlignment="0" applyProtection="0">
      <alignment vertical="center"/>
    </xf>
    <xf numFmtId="0" fontId="157" fillId="40" borderId="0" applyNumberFormat="0" applyBorder="0" applyAlignment="0" applyProtection="0">
      <alignment vertical="center"/>
    </xf>
    <xf numFmtId="0" fontId="157" fillId="43" borderId="0" applyNumberFormat="0" applyBorder="0" applyAlignment="0" applyProtection="0">
      <alignment vertical="center"/>
    </xf>
    <xf numFmtId="0" fontId="157" fillId="46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4" borderId="0" applyNumberFormat="0" applyBorder="0" applyAlignment="0" applyProtection="0">
      <alignment vertical="center"/>
    </xf>
    <xf numFmtId="0" fontId="125" fillId="44" borderId="0" applyNumberFormat="0" applyBorder="0" applyAlignment="0" applyProtection="0">
      <alignment vertical="center"/>
    </xf>
    <xf numFmtId="0" fontId="125" fillId="45" borderId="0" applyNumberFormat="0" applyBorder="0" applyAlignment="0" applyProtection="0">
      <alignment vertical="center"/>
    </xf>
    <xf numFmtId="0" fontId="125" fillId="45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6" borderId="0" applyNumberFormat="0" applyBorder="0" applyAlignment="0" applyProtection="0">
      <alignment vertical="center"/>
    </xf>
    <xf numFmtId="0" fontId="125" fillId="46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4" borderId="0" applyNumberFormat="0" applyBorder="0" applyAlignment="0" applyProtection="0">
      <alignment vertical="center"/>
    </xf>
    <xf numFmtId="0" fontId="125" fillId="44" borderId="0" applyNumberFormat="0" applyBorder="0" applyAlignment="0" applyProtection="0">
      <alignment vertical="center"/>
    </xf>
    <xf numFmtId="0" fontId="125" fillId="45" borderId="0" applyNumberFormat="0" applyBorder="0" applyAlignment="0" applyProtection="0">
      <alignment vertical="center"/>
    </xf>
    <xf numFmtId="0" fontId="125" fillId="45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3" borderId="0" applyNumberFormat="0" applyBorder="0" applyAlignment="0" applyProtection="0">
      <alignment vertical="center"/>
    </xf>
    <xf numFmtId="0" fontId="125" fillId="46" borderId="0" applyNumberFormat="0" applyBorder="0" applyAlignment="0" applyProtection="0">
      <alignment vertical="center"/>
    </xf>
    <xf numFmtId="0" fontId="125" fillId="46" borderId="0" applyNumberFormat="0" applyBorder="0" applyAlignment="0" applyProtection="0">
      <alignment vertical="center"/>
    </xf>
    <xf numFmtId="0" fontId="158" fillId="47" borderId="0" applyNumberFormat="0" applyBorder="0" applyAlignment="0" applyProtection="0">
      <alignment vertical="center"/>
    </xf>
    <xf numFmtId="0" fontId="158" fillId="44" borderId="0" applyNumberFormat="0" applyBorder="0" applyAlignment="0" applyProtection="0">
      <alignment vertical="center"/>
    </xf>
    <xf numFmtId="0" fontId="158" fillId="45" borderId="0" applyNumberFormat="0" applyBorder="0" applyAlignment="0" applyProtection="0">
      <alignment vertical="center"/>
    </xf>
    <xf numFmtId="0" fontId="158" fillId="48" borderId="0" applyNumberFormat="0" applyBorder="0" applyAlignment="0" applyProtection="0">
      <alignment vertical="center"/>
    </xf>
    <xf numFmtId="0" fontId="158" fillId="49" borderId="0" applyNumberFormat="0" applyBorder="0" applyAlignment="0" applyProtection="0">
      <alignment vertical="center"/>
    </xf>
    <xf numFmtId="0" fontId="158" fillId="50" borderId="0" applyNumberFormat="0" applyBorder="0" applyAlignment="0" applyProtection="0">
      <alignment vertical="center"/>
    </xf>
    <xf numFmtId="0" fontId="126" fillId="47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5" borderId="0" applyNumberFormat="0" applyBorder="0" applyAlignment="0" applyProtection="0">
      <alignment vertical="center"/>
    </xf>
    <xf numFmtId="0" fontId="126" fillId="48" borderId="0" applyNumberFormat="0" applyBorder="0" applyAlignment="0" applyProtection="0">
      <alignment vertical="center"/>
    </xf>
    <xf numFmtId="0" fontId="126" fillId="49" borderId="0" applyNumberFormat="0" applyBorder="0" applyAlignment="0" applyProtection="0">
      <alignment vertical="center"/>
    </xf>
    <xf numFmtId="0" fontId="126" fillId="50" borderId="0" applyNumberFormat="0" applyBorder="0" applyAlignment="0" applyProtection="0">
      <alignment vertical="center"/>
    </xf>
    <xf numFmtId="0" fontId="126" fillId="47" borderId="0" applyNumberFormat="0" applyBorder="0" applyAlignment="0" applyProtection="0">
      <alignment vertical="center"/>
    </xf>
    <xf numFmtId="0" fontId="126" fillId="44" borderId="0" applyNumberFormat="0" applyBorder="0" applyAlignment="0" applyProtection="0">
      <alignment vertical="center"/>
    </xf>
    <xf numFmtId="0" fontId="126" fillId="45" borderId="0" applyNumberFormat="0" applyBorder="0" applyAlignment="0" applyProtection="0">
      <alignment vertical="center"/>
    </xf>
    <xf numFmtId="0" fontId="126" fillId="48" borderId="0" applyNumberFormat="0" applyBorder="0" applyAlignment="0" applyProtection="0">
      <alignment vertical="center"/>
    </xf>
    <xf numFmtId="0" fontId="126" fillId="49" borderId="0" applyNumberFormat="0" applyBorder="0" applyAlignment="0" applyProtection="0">
      <alignment vertical="center"/>
    </xf>
    <xf numFmtId="0" fontId="126" fillId="50" borderId="0" applyNumberFormat="0" applyBorder="0" applyAlignment="0" applyProtection="0">
      <alignment vertical="center"/>
    </xf>
    <xf numFmtId="0" fontId="7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127" fillId="0" borderId="0" applyFont="0" applyFill="0" applyBorder="0" applyAlignment="0" applyProtection="0"/>
    <xf numFmtId="189" fontId="11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6" fillId="0" borderId="0" applyFont="0" applyFill="0" applyBorder="0" applyAlignment="0" applyProtection="0"/>
    <xf numFmtId="198" fontId="11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58" fillId="51" borderId="0" applyNumberFormat="0" applyBorder="0" applyAlignment="0" applyProtection="0">
      <alignment vertical="center"/>
    </xf>
    <xf numFmtId="0" fontId="158" fillId="52" borderId="0" applyNumberFormat="0" applyBorder="0" applyAlignment="0" applyProtection="0">
      <alignment vertical="center"/>
    </xf>
    <xf numFmtId="0" fontId="158" fillId="53" borderId="0" applyNumberFormat="0" applyBorder="0" applyAlignment="0" applyProtection="0">
      <alignment vertical="center"/>
    </xf>
    <xf numFmtId="0" fontId="158" fillId="48" borderId="0" applyNumberFormat="0" applyBorder="0" applyAlignment="0" applyProtection="0">
      <alignment vertical="center"/>
    </xf>
    <xf numFmtId="0" fontId="158" fillId="49" borderId="0" applyNumberFormat="0" applyBorder="0" applyAlignment="0" applyProtection="0">
      <alignment vertical="center"/>
    </xf>
    <xf numFmtId="0" fontId="158" fillId="54" borderId="0" applyNumberFormat="0" applyBorder="0" applyAlignment="0" applyProtection="0">
      <alignment vertical="center"/>
    </xf>
    <xf numFmtId="184" fontId="93" fillId="55" borderId="39">
      <alignment horizontal="center" vertical="center"/>
    </xf>
    <xf numFmtId="0" fontId="97" fillId="0" borderId="0" applyFont="0" applyFill="0" applyBorder="0" applyAlignment="0" applyProtection="0"/>
    <xf numFmtId="185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199" fontId="8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7" fillId="0" borderId="0" applyFont="0" applyFill="0" applyBorder="0" applyAlignment="0" applyProtection="0"/>
    <xf numFmtId="186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20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201" fontId="117" fillId="0" borderId="0" applyFont="0" applyFill="0" applyBorder="0" applyAlignment="0" applyProtection="0"/>
    <xf numFmtId="201" fontId="117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97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97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10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60" fillId="38" borderId="0" applyNumberFormat="0" applyBorder="0" applyAlignment="0" applyProtection="0">
      <alignment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04" fillId="56" borderId="5">
      <alignment horizontal="center" vertical="center"/>
    </xf>
    <xf numFmtId="0" fontId="117" fillId="0" borderId="0"/>
    <xf numFmtId="0" fontId="101" fillId="0" borderId="0"/>
    <xf numFmtId="0" fontId="105" fillId="0" borderId="0"/>
    <xf numFmtId="0" fontId="106" fillId="0" borderId="0"/>
    <xf numFmtId="0" fontId="105" fillId="0" borderId="0"/>
    <xf numFmtId="0" fontId="110" fillId="0" borderId="0"/>
    <xf numFmtId="0" fontId="97" fillId="0" borderId="0"/>
    <xf numFmtId="0" fontId="80" fillId="0" borderId="0"/>
    <xf numFmtId="0" fontId="97" fillId="0" borderId="0"/>
    <xf numFmtId="0" fontId="80" fillId="0" borderId="0"/>
    <xf numFmtId="0" fontId="97" fillId="0" borderId="0"/>
    <xf numFmtId="0" fontId="81" fillId="0" borderId="0"/>
    <xf numFmtId="0" fontId="97" fillId="0" borderId="0"/>
    <xf numFmtId="0" fontId="105" fillId="0" borderId="0"/>
    <xf numFmtId="0" fontId="97" fillId="0" borderId="0"/>
    <xf numFmtId="0" fontId="80" fillId="0" borderId="0"/>
    <xf numFmtId="0" fontId="107" fillId="0" borderId="0"/>
    <xf numFmtId="0" fontId="108" fillId="0" borderId="0"/>
    <xf numFmtId="0" fontId="107" fillId="0" borderId="0"/>
    <xf numFmtId="0" fontId="81" fillId="0" borderId="0"/>
    <xf numFmtId="0" fontId="98" fillId="0" borderId="0"/>
    <xf numFmtId="0" fontId="81" fillId="0" borderId="0"/>
    <xf numFmtId="0" fontId="98" fillId="0" borderId="0"/>
    <xf numFmtId="0" fontId="80" fillId="0" borderId="0"/>
    <xf numFmtId="0" fontId="98" fillId="0" borderId="0"/>
    <xf numFmtId="0" fontId="81" fillId="0" borderId="0"/>
    <xf numFmtId="0" fontId="98" fillId="0" borderId="0"/>
    <xf numFmtId="0" fontId="99" fillId="0" borderId="0"/>
    <xf numFmtId="0" fontId="100" fillId="0" borderId="0"/>
    <xf numFmtId="0" fontId="80" fillId="0" borderId="0"/>
    <xf numFmtId="0" fontId="97" fillId="0" borderId="0"/>
    <xf numFmtId="0" fontId="80" fillId="0" borderId="0"/>
    <xf numFmtId="0" fontId="97" fillId="0" borderId="0"/>
    <xf numFmtId="0" fontId="81" fillId="0" borderId="0"/>
    <xf numFmtId="0" fontId="98" fillId="0" borderId="0"/>
    <xf numFmtId="0" fontId="80" fillId="0" borderId="0"/>
    <xf numFmtId="0" fontId="97" fillId="0" borderId="0"/>
    <xf numFmtId="0" fontId="80" fillId="0" borderId="0"/>
    <xf numFmtId="0" fontId="97" fillId="0" borderId="0"/>
    <xf numFmtId="0" fontId="103" fillId="0" borderId="0"/>
    <xf numFmtId="0" fontId="109" fillId="0" borderId="0"/>
    <xf numFmtId="0" fontId="81" fillId="0" borderId="0"/>
    <xf numFmtId="0" fontId="97" fillId="0" borderId="0"/>
    <xf numFmtId="0" fontId="99" fillId="0" borderId="0"/>
    <xf numFmtId="0" fontId="100" fillId="0" borderId="0"/>
    <xf numFmtId="0" fontId="110" fillId="0" borderId="0"/>
    <xf numFmtId="0" fontId="97" fillId="0" borderId="0"/>
    <xf numFmtId="0" fontId="80" fillId="0" borderId="0"/>
    <xf numFmtId="0" fontId="97" fillId="0" borderId="0"/>
    <xf numFmtId="0" fontId="81" fillId="0" borderId="0"/>
    <xf numFmtId="0" fontId="98" fillId="0" borderId="0"/>
    <xf numFmtId="0" fontId="80" fillId="0" borderId="0"/>
    <xf numFmtId="0" fontId="97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11" fillId="0" borderId="0"/>
    <xf numFmtId="0" fontId="112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3" fillId="0" borderId="0"/>
    <xf numFmtId="0" fontId="109" fillId="0" borderId="0"/>
    <xf numFmtId="0" fontId="105" fillId="0" borderId="0"/>
    <xf numFmtId="0" fontId="105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80" fillId="0" borderId="0" applyBorder="0"/>
    <xf numFmtId="0" fontId="97" fillId="0" borderId="0" applyBorder="0"/>
    <xf numFmtId="0" fontId="81" fillId="0" borderId="0"/>
    <xf numFmtId="0" fontId="98" fillId="0" borderId="0"/>
    <xf numFmtId="0" fontId="80" fillId="0" borderId="0"/>
    <xf numFmtId="0" fontId="97" fillId="0" borderId="0"/>
    <xf numFmtId="0" fontId="80" fillId="0" borderId="0"/>
    <xf numFmtId="0" fontId="79" fillId="0" borderId="0" applyFill="0" applyBorder="0" applyAlignment="0"/>
    <xf numFmtId="0" fontId="161" fillId="34" borderId="40" applyNumberFormat="0" applyAlignment="0" applyProtection="0">
      <alignment vertical="center"/>
    </xf>
    <xf numFmtId="0" fontId="115" fillId="0" borderId="0"/>
    <xf numFmtId="0" fontId="162" fillId="57" borderId="41" applyNumberFormat="0" applyAlignment="0" applyProtection="0">
      <alignment vertical="center"/>
    </xf>
    <xf numFmtId="38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8" fillId="0" borderId="0" applyNumberFormat="0" applyAlignment="0">
      <alignment horizontal="left"/>
    </xf>
    <xf numFmtId="0" fontId="8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2" fontId="19" fillId="0" borderId="0" applyFont="0" applyFill="0" applyBorder="0" applyAlignment="0" applyProtection="0"/>
    <xf numFmtId="0" fontId="19" fillId="0" borderId="0"/>
    <xf numFmtId="195" fontId="19" fillId="0" borderId="0">
      <protection locked="0"/>
    </xf>
    <xf numFmtId="0" fontId="129" fillId="0" borderId="0" applyNumberFormat="0" applyAlignment="0">
      <alignment horizontal="left"/>
    </xf>
    <xf numFmtId="0" fontId="68" fillId="0" borderId="0">
      <alignment horizontal="left"/>
    </xf>
    <xf numFmtId="196" fontId="19" fillId="0" borderId="0" applyFont="0" applyFill="0" applyBorder="0" applyAlignment="0" applyProtection="0"/>
    <xf numFmtId="0" fontId="163" fillId="0" borderId="0" applyNumberFormat="0" applyFill="0" applyBorder="0" applyAlignment="0" applyProtection="0">
      <alignment vertical="center"/>
    </xf>
    <xf numFmtId="195" fontId="19" fillId="0" borderId="0">
      <protection locked="0"/>
    </xf>
    <xf numFmtId="0" fontId="164" fillId="39" borderId="0" applyNumberFormat="0" applyBorder="0" applyAlignment="0" applyProtection="0">
      <alignment vertical="center"/>
    </xf>
    <xf numFmtId="38" fontId="74" fillId="35" borderId="0" applyNumberFormat="0" applyBorder="0" applyAlignment="0" applyProtection="0"/>
    <xf numFmtId="0" fontId="116" fillId="0" borderId="0">
      <alignment horizontal="left"/>
    </xf>
    <xf numFmtId="0" fontId="73" fillId="0" borderId="36" applyNumberFormat="0" applyAlignment="0" applyProtection="0">
      <alignment horizontal="left" vertical="center"/>
    </xf>
    <xf numFmtId="0" fontId="73" fillId="0" borderId="23">
      <alignment horizontal="left" vertical="center"/>
    </xf>
    <xf numFmtId="0" fontId="73" fillId="0" borderId="23">
      <alignment horizontal="left" vertical="center"/>
    </xf>
    <xf numFmtId="0" fontId="130" fillId="0" borderId="0" applyNumberFormat="0" applyFill="0" applyBorder="0" applyAlignment="0" applyProtection="0"/>
    <xf numFmtId="0" fontId="165" fillId="0" borderId="42" applyNumberFormat="0" applyFill="0" applyAlignment="0" applyProtection="0">
      <alignment vertical="center"/>
    </xf>
    <xf numFmtId="0" fontId="73" fillId="0" borderId="0" applyNumberFormat="0" applyFill="0" applyBorder="0" applyAlignment="0" applyProtection="0"/>
    <xf numFmtId="0" fontId="166" fillId="0" borderId="43" applyNumberFormat="0" applyFill="0" applyAlignment="0" applyProtection="0">
      <alignment vertical="center"/>
    </xf>
    <xf numFmtId="0" fontId="167" fillId="0" borderId="44" applyNumberFormat="0" applyFill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195" fontId="19" fillId="0" borderId="0">
      <protection locked="0"/>
    </xf>
    <xf numFmtId="195" fontId="19" fillId="0" borderId="0">
      <protection locked="0"/>
    </xf>
    <xf numFmtId="0" fontId="131" fillId="0" borderId="45" applyNumberFormat="0" applyFill="0" applyAlignment="0" applyProtection="0"/>
    <xf numFmtId="0" fontId="79" fillId="0" borderId="0" applyFont="0" applyFill="0" applyBorder="0" applyAlignment="0" applyProtection="0"/>
    <xf numFmtId="0" fontId="168" fillId="42" borderId="40" applyNumberFormat="0" applyAlignment="0" applyProtection="0">
      <alignment vertical="center"/>
    </xf>
    <xf numFmtId="10" fontId="74" fillId="35" borderId="1" applyNumberFormat="0" applyBorder="0" applyAlignment="0" applyProtection="0"/>
    <xf numFmtId="10" fontId="74" fillId="35" borderId="1" applyNumberFormat="0" applyBorder="0" applyAlignment="0" applyProtection="0"/>
    <xf numFmtId="10" fontId="74" fillId="35" borderId="1" applyNumberFormat="0" applyBorder="0" applyAlignment="0" applyProtection="0"/>
    <xf numFmtId="10" fontId="74" fillId="35" borderId="1" applyNumberFormat="0" applyBorder="0" applyAlignment="0" applyProtection="0"/>
    <xf numFmtId="0" fontId="79" fillId="0" borderId="0" applyFont="0" applyFill="0" applyBorder="0" applyAlignment="0" applyProtection="0"/>
    <xf numFmtId="0" fontId="169" fillId="0" borderId="46" applyNumberFormat="0" applyFill="0" applyAlignment="0" applyProtection="0">
      <alignment vertical="center"/>
    </xf>
    <xf numFmtId="38" fontId="117" fillId="0" borderId="0" applyFont="0" applyFill="0" applyBorder="0" applyAlignment="0" applyProtection="0"/>
    <xf numFmtId="40" fontId="117" fillId="0" borderId="0" applyFont="0" applyFill="0" applyBorder="0" applyAlignment="0" applyProtection="0"/>
    <xf numFmtId="0" fontId="118" fillId="0" borderId="35"/>
    <xf numFmtId="0" fontId="118" fillId="0" borderId="35"/>
    <xf numFmtId="0" fontId="118" fillId="0" borderId="35"/>
    <xf numFmtId="197" fontId="117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170" fillId="58" borderId="0" applyNumberFormat="0" applyBorder="0" applyAlignment="0" applyProtection="0">
      <alignment vertical="center"/>
    </xf>
    <xf numFmtId="37" fontId="119" fillId="0" borderId="0"/>
    <xf numFmtId="0" fontId="79" fillId="0" borderId="0"/>
    <xf numFmtId="0" fontId="61" fillId="0" borderId="0"/>
    <xf numFmtId="0" fontId="19" fillId="59" borderId="47" applyNumberFormat="0" applyFont="0" applyAlignment="0" applyProtection="0">
      <alignment vertical="center"/>
    </xf>
    <xf numFmtId="194" fontId="120" fillId="60" borderId="0">
      <alignment vertical="center"/>
    </xf>
    <xf numFmtId="40" fontId="89" fillId="0" borderId="0" applyFont="0" applyFill="0" applyBorder="0" applyAlignment="0" applyProtection="0"/>
    <xf numFmtId="40" fontId="121" fillId="0" borderId="0" applyFont="0" applyFill="0" applyBorder="0" applyAlignment="0" applyProtection="0"/>
    <xf numFmtId="38" fontId="121" fillId="0" borderId="0" applyFont="0" applyFill="0" applyBorder="0" applyAlignment="0" applyProtection="0"/>
    <xf numFmtId="0" fontId="171" fillId="34" borderId="48" applyNumberFormat="0" applyAlignment="0" applyProtection="0">
      <alignment vertical="center"/>
    </xf>
    <xf numFmtId="10" fontId="61" fillId="0" borderId="0" applyFont="0" applyFill="0" applyBorder="0" applyAlignment="0" applyProtection="0"/>
    <xf numFmtId="9" fontId="61" fillId="0" borderId="0" applyFont="0" applyFill="0" applyProtection="0"/>
    <xf numFmtId="4" fontId="68" fillId="0" borderId="0">
      <alignment horizontal="right"/>
    </xf>
    <xf numFmtId="0" fontId="80" fillId="0" borderId="0" applyFont="0" applyFill="0" applyBorder="0" applyAlignment="0" applyProtection="0"/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0" fontId="122" fillId="61" borderId="5">
      <alignment horizontal="center" vertical="center"/>
    </xf>
    <xf numFmtId="4" fontId="132" fillId="0" borderId="0">
      <alignment horizontal="right"/>
    </xf>
    <xf numFmtId="30" fontId="133" fillId="0" borderId="0" applyNumberFormat="0" applyFill="0" applyBorder="0" applyAlignment="0" applyProtection="0">
      <alignment horizontal="left"/>
    </xf>
    <xf numFmtId="0" fontId="1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34" fillId="0" borderId="0">
      <alignment horizontal="left"/>
    </xf>
    <xf numFmtId="201" fontId="69" fillId="0" borderId="0">
      <alignment horizontal="center"/>
    </xf>
    <xf numFmtId="0" fontId="118" fillId="0" borderId="0"/>
    <xf numFmtId="40" fontId="135" fillId="0" borderId="0" applyBorder="0">
      <alignment horizontal="right"/>
    </xf>
    <xf numFmtId="0" fontId="80" fillId="0" borderId="0"/>
    <xf numFmtId="0" fontId="76" fillId="0" borderId="0">
      <alignment horizontal="center"/>
    </xf>
    <xf numFmtId="0" fontId="172" fillId="0" borderId="0" applyNumberFormat="0" applyFill="0" applyBorder="0" applyAlignment="0" applyProtection="0">
      <alignment vertical="center"/>
    </xf>
    <xf numFmtId="195" fontId="19" fillId="0" borderId="38">
      <protection locked="0"/>
    </xf>
    <xf numFmtId="0" fontId="173" fillId="0" borderId="49" applyNumberFormat="0" applyFill="0" applyAlignment="0" applyProtection="0">
      <alignment vertical="center"/>
    </xf>
    <xf numFmtId="37" fontId="74" fillId="62" borderId="0" applyNumberFormat="0" applyBorder="0" applyAlignment="0" applyProtection="0"/>
    <xf numFmtId="37" fontId="74" fillId="0" borderId="0"/>
    <xf numFmtId="3" fontId="136" fillId="0" borderId="45" applyProtection="0"/>
    <xf numFmtId="0" fontId="174" fillId="0" borderId="0" applyNumberFormat="0" applyFill="0" applyBorder="0" applyAlignment="0" applyProtection="0">
      <alignment vertical="center"/>
    </xf>
    <xf numFmtId="0" fontId="80" fillId="0" borderId="0" applyFont="0" applyFill="0" applyBorder="0" applyAlignment="0" applyProtection="0"/>
    <xf numFmtId="0" fontId="126" fillId="51" borderId="0" applyNumberFormat="0" applyBorder="0" applyAlignment="0" applyProtection="0">
      <alignment vertical="center"/>
    </xf>
    <xf numFmtId="0" fontId="126" fillId="52" borderId="0" applyNumberFormat="0" applyBorder="0" applyAlignment="0" applyProtection="0">
      <alignment vertical="center"/>
    </xf>
    <xf numFmtId="0" fontId="126" fillId="53" borderId="0" applyNumberFormat="0" applyBorder="0" applyAlignment="0" applyProtection="0">
      <alignment vertical="center"/>
    </xf>
    <xf numFmtId="0" fontId="126" fillId="48" borderId="0" applyNumberFormat="0" applyBorder="0" applyAlignment="0" applyProtection="0">
      <alignment vertical="center"/>
    </xf>
    <xf numFmtId="0" fontId="126" fillId="49" borderId="0" applyNumberFormat="0" applyBorder="0" applyAlignment="0" applyProtection="0">
      <alignment vertical="center"/>
    </xf>
    <xf numFmtId="0" fontId="126" fillId="54" borderId="0" applyNumberFormat="0" applyBorder="0" applyAlignment="0" applyProtection="0">
      <alignment vertical="center"/>
    </xf>
    <xf numFmtId="0" fontId="6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center"/>
    </xf>
    <xf numFmtId="0" fontId="138" fillId="57" borderId="41" applyNumberFormat="0" applyAlignment="0" applyProtection="0">
      <alignment vertical="center"/>
    </xf>
    <xf numFmtId="0" fontId="139" fillId="58" borderId="0" applyNumberFormat="0" applyBorder="0" applyAlignment="0" applyProtection="0">
      <alignment vertical="center"/>
    </xf>
    <xf numFmtId="0" fontId="19" fillId="59" borderId="47" applyNumberFormat="0" applyFont="0" applyAlignment="0" applyProtection="0">
      <alignment vertical="center"/>
    </xf>
    <xf numFmtId="0" fontId="19" fillId="59" borderId="47" applyNumberFormat="0" applyFont="0" applyAlignment="0" applyProtection="0">
      <alignment vertical="center"/>
    </xf>
    <xf numFmtId="0" fontId="140" fillId="0" borderId="46" applyNumberFormat="0" applyFill="0" applyAlignment="0" applyProtection="0">
      <alignment vertical="center"/>
    </xf>
    <xf numFmtId="0" fontId="126" fillId="51" borderId="0" applyNumberFormat="0" applyBorder="0" applyAlignment="0" applyProtection="0">
      <alignment vertical="center"/>
    </xf>
    <xf numFmtId="0" fontId="126" fillId="52" borderId="0" applyNumberFormat="0" applyBorder="0" applyAlignment="0" applyProtection="0">
      <alignment vertical="center"/>
    </xf>
    <xf numFmtId="0" fontId="126" fillId="53" borderId="0" applyNumberFormat="0" applyBorder="0" applyAlignment="0" applyProtection="0">
      <alignment vertical="center"/>
    </xf>
    <xf numFmtId="0" fontId="126" fillId="48" borderId="0" applyNumberFormat="0" applyBorder="0" applyAlignment="0" applyProtection="0">
      <alignment vertical="center"/>
    </xf>
    <xf numFmtId="0" fontId="126" fillId="49" borderId="0" applyNumberFormat="0" applyBorder="0" applyAlignment="0" applyProtection="0">
      <alignment vertical="center"/>
    </xf>
    <xf numFmtId="0" fontId="126" fillId="54" borderId="0" applyNumberFormat="0" applyBorder="0" applyAlignment="0" applyProtection="0">
      <alignment vertical="center"/>
    </xf>
    <xf numFmtId="0" fontId="138" fillId="57" borderId="41" applyNumberFormat="0" applyAlignment="0" applyProtection="0">
      <alignment vertical="center"/>
    </xf>
    <xf numFmtId="0" fontId="141" fillId="0" borderId="42" applyNumberFormat="0" applyFill="0" applyAlignment="0" applyProtection="0">
      <alignment vertical="center"/>
    </xf>
    <xf numFmtId="0" fontId="142" fillId="0" borderId="43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34" borderId="40" applyNumberFormat="0" applyAlignment="0" applyProtection="0">
      <alignment vertical="center"/>
    </xf>
    <xf numFmtId="0" fontId="145" fillId="34" borderId="40" applyNumberFormat="0" applyAlignment="0" applyProtection="0">
      <alignment vertical="center"/>
    </xf>
    <xf numFmtId="0" fontId="145" fillId="34" borderId="40" applyNumberFormat="0" applyAlignment="0" applyProtection="0">
      <alignment vertical="center"/>
    </xf>
    <xf numFmtId="0" fontId="145" fillId="34" borderId="40" applyNumberFormat="0" applyAlignment="0" applyProtection="0">
      <alignment vertical="center"/>
    </xf>
    <xf numFmtId="2" fontId="85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39" fillId="58" borderId="0" applyNumberFormat="0" applyBorder="0" applyAlignment="0" applyProtection="0">
      <alignment vertical="center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8" fillId="0" borderId="0" applyNumberFormat="0" applyFill="0" applyBorder="0" applyAlignment="0" applyProtection="0"/>
    <xf numFmtId="203" fontId="1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46" fillId="39" borderId="0" applyNumberFormat="0" applyBorder="0" applyAlignment="0" applyProtection="0">
      <alignment vertical="center"/>
    </xf>
    <xf numFmtId="0" fontId="140" fillId="0" borderId="46" applyNumberFormat="0" applyFill="0" applyAlignment="0" applyProtection="0">
      <alignment vertical="center"/>
    </xf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208" fontId="159" fillId="0" borderId="0">
      <protection locked="0"/>
    </xf>
    <xf numFmtId="208" fontId="159" fillId="0" borderId="0">
      <protection locked="0"/>
    </xf>
    <xf numFmtId="208" fontId="159" fillId="0" borderId="0">
      <protection locked="0"/>
    </xf>
    <xf numFmtId="9" fontId="75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90" fillId="0" borderId="0"/>
    <xf numFmtId="0" fontId="147" fillId="0" borderId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149" fillId="42" borderId="40" applyNumberFormat="0" applyAlignment="0" applyProtection="0">
      <alignment vertical="center"/>
    </xf>
    <xf numFmtId="0" fontId="149" fillId="42" borderId="40" applyNumberFormat="0" applyAlignment="0" applyProtection="0">
      <alignment vertical="center"/>
    </xf>
    <xf numFmtId="0" fontId="150" fillId="34" borderId="48" applyNumberFormat="0" applyAlignment="0" applyProtection="0">
      <alignment vertical="center"/>
    </xf>
    <xf numFmtId="0" fontId="150" fillId="34" borderId="48" applyNumberFormat="0" applyAlignment="0" applyProtection="0">
      <alignment vertical="center"/>
    </xf>
    <xf numFmtId="190" fontId="61" fillId="0" borderId="0">
      <alignment horizontal="right" vertical="center"/>
    </xf>
    <xf numFmtId="189" fontId="91" fillId="0" borderId="0">
      <alignment vertical="center"/>
    </xf>
    <xf numFmtId="3" fontId="7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0" fontId="19" fillId="0" borderId="0" applyFont="0" applyFill="0" applyBorder="0" applyAlignment="0" applyProtection="0"/>
    <xf numFmtId="0" fontId="61" fillId="0" borderId="0"/>
    <xf numFmtId="0" fontId="19" fillId="0" borderId="0" applyFont="0" applyFill="0" applyBorder="0" applyAlignment="0" applyProtection="0"/>
    <xf numFmtId="204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61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6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79" fillId="0" borderId="0"/>
    <xf numFmtId="0" fontId="7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9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6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4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205" fontId="9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51" fillId="38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2" fillId="0" borderId="0"/>
    <xf numFmtId="41" fontId="19" fillId="0" borderId="0" applyFont="0" applyFill="0" applyBorder="0" applyAlignment="0" applyProtection="0"/>
    <xf numFmtId="0" fontId="149" fillId="42" borderId="40" applyNumberFormat="0" applyAlignment="0" applyProtection="0">
      <alignment vertical="center"/>
    </xf>
    <xf numFmtId="0" fontId="149" fillId="42" borderId="40" applyNumberFormat="0" applyAlignment="0" applyProtection="0">
      <alignment vertical="center"/>
    </xf>
    <xf numFmtId="4" fontId="85" fillId="0" borderId="0" applyFont="0" applyFill="0" applyBorder="0" applyAlignment="0" applyProtection="0"/>
    <xf numFmtId="3" fontId="85" fillId="0" borderId="0" applyFont="0" applyFill="0" applyBorder="0" applyAlignment="0" applyProtection="0"/>
    <xf numFmtId="0" fontId="19" fillId="59" borderId="47" applyNumberFormat="0" applyFont="0" applyAlignment="0" applyProtection="0">
      <alignment vertical="center"/>
    </xf>
    <xf numFmtId="0" fontId="19" fillId="59" borderId="47" applyNumberFormat="0" applyFont="0" applyAlignment="0" applyProtection="0">
      <alignment vertical="center"/>
    </xf>
    <xf numFmtId="0" fontId="153" fillId="0" borderId="49" applyNumberFormat="0" applyFill="0" applyAlignment="0" applyProtection="0">
      <alignment vertical="center"/>
    </xf>
    <xf numFmtId="0" fontId="153" fillId="0" borderId="49" applyNumberFormat="0" applyFill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0" fontId="151" fillId="38" borderId="0" applyNumberFormat="0" applyBorder="0" applyAlignment="0" applyProtection="0">
      <alignment vertical="center"/>
    </xf>
    <xf numFmtId="43" fontId="152" fillId="0" borderId="0" applyFont="0" applyFill="0" applyBorder="0" applyAlignment="0" applyProtection="0"/>
    <xf numFmtId="190" fontId="92" fillId="0" borderId="0">
      <alignment vertical="center"/>
    </xf>
    <xf numFmtId="0" fontId="150" fillId="34" borderId="48" applyNumberFormat="0" applyAlignment="0" applyProtection="0">
      <alignment vertical="center"/>
    </xf>
    <xf numFmtId="0" fontId="150" fillId="34" borderId="48" applyNumberFormat="0" applyAlignment="0" applyProtection="0">
      <alignment vertical="center"/>
    </xf>
    <xf numFmtId="208" fontId="159" fillId="0" borderId="0">
      <protection locked="0"/>
    </xf>
    <xf numFmtId="208" fontId="159" fillId="0" borderId="0">
      <protection locked="0"/>
    </xf>
    <xf numFmtId="208" fontId="159" fillId="0" borderId="0">
      <protection locked="0"/>
    </xf>
    <xf numFmtId="0" fontId="79" fillId="0" borderId="0" applyFont="0" applyFill="0" applyBorder="0" applyAlignment="0" applyProtection="0"/>
    <xf numFmtId="208" fontId="159" fillId="0" borderId="0">
      <protection locked="0"/>
    </xf>
    <xf numFmtId="0" fontId="79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79" fillId="0" borderId="0" applyFont="0" applyFill="0" applyBorder="0" applyAlignment="0" applyProtection="0"/>
    <xf numFmtId="42" fontId="94" fillId="0" borderId="0" applyFont="0" applyFill="0" applyBorder="0" applyAlignment="0" applyProtection="0"/>
    <xf numFmtId="208" fontId="159" fillId="0" borderId="0">
      <protection locked="0"/>
    </xf>
    <xf numFmtId="208" fontId="159" fillId="0" borderId="0">
      <protection locked="0"/>
    </xf>
    <xf numFmtId="208" fontId="159" fillId="0" borderId="0">
      <protection locked="0"/>
    </xf>
    <xf numFmtId="191" fontId="79" fillId="0" borderId="0" applyFont="0" applyFill="0" applyBorder="0" applyAlignment="0" applyProtection="0"/>
    <xf numFmtId="186" fontId="79" fillId="0" borderId="0" applyFont="0" applyFill="0" applyBorder="0" applyAlignment="0" applyProtection="0"/>
    <xf numFmtId="193" fontId="19" fillId="0" borderId="0" applyFont="0" applyFill="0" applyBorder="0" applyAlignment="0" applyProtection="0"/>
    <xf numFmtId="191" fontId="79" fillId="0" borderId="0" applyFont="0" applyFill="0" applyBorder="0" applyAlignment="0" applyProtection="0"/>
    <xf numFmtId="186" fontId="82" fillId="0" borderId="0" applyFont="0" applyFill="0" applyBorder="0" applyAlignment="0" applyProtection="0"/>
    <xf numFmtId="192" fontId="19" fillId="0" borderId="0" applyFont="0" applyFill="0" applyBorder="0" applyAlignment="0" applyProtection="0"/>
    <xf numFmtId="42" fontId="78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95" fillId="0" borderId="0" applyFont="0" applyFill="0" applyBorder="0" applyAlignment="0" applyProtection="0"/>
    <xf numFmtId="208" fontId="159" fillId="0" borderId="0">
      <protection locked="0"/>
    </xf>
    <xf numFmtId="191" fontId="15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6" fontId="155" fillId="0" borderId="0" applyFont="0" applyFill="0" applyBorder="0" applyAlignment="0" applyProtection="0"/>
    <xf numFmtId="10" fontId="85" fillId="0" borderId="0" applyFont="0" applyFill="0" applyBorder="0" applyAlignment="0" applyProtection="0"/>
    <xf numFmtId="0" fontId="19" fillId="0" borderId="0">
      <alignment vertical="center"/>
    </xf>
    <xf numFmtId="208" fontId="159" fillId="0" borderId="0">
      <protection locked="0"/>
    </xf>
    <xf numFmtId="208" fontId="159" fillId="0" borderId="0">
      <protection locked="0"/>
    </xf>
    <xf numFmtId="208" fontId="159" fillId="0" borderId="0">
      <protection locked="0"/>
    </xf>
    <xf numFmtId="194" fontId="61" fillId="0" borderId="5">
      <alignment vertical="center"/>
    </xf>
    <xf numFmtId="0" fontId="137" fillId="0" borderId="0" applyNumberFormat="0" applyFill="0" applyBorder="0" applyAlignment="0" applyProtection="0">
      <alignment vertical="center"/>
    </xf>
    <xf numFmtId="0" fontId="141" fillId="0" borderId="42" applyNumberFormat="0" applyFill="0" applyAlignment="0" applyProtection="0">
      <alignment vertical="center"/>
    </xf>
    <xf numFmtId="0" fontId="142" fillId="0" borderId="43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44" applyNumberFormat="0" applyFill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/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0" fillId="0" borderId="0"/>
    <xf numFmtId="0" fontId="3" fillId="0" borderId="0">
      <alignment vertical="center"/>
    </xf>
    <xf numFmtId="0" fontId="31" fillId="0" borderId="0"/>
    <xf numFmtId="0" fontId="19" fillId="0" borderId="0">
      <alignment vertical="center"/>
    </xf>
    <xf numFmtId="0" fontId="3" fillId="0" borderId="0">
      <alignment vertical="center"/>
    </xf>
    <xf numFmtId="0" fontId="3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0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61" fillId="0" borderId="0"/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9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19" fillId="0" borderId="0"/>
    <xf numFmtId="0" fontId="156" fillId="0" borderId="0"/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85" fillId="0" borderId="50" applyNumberFormat="0" applyFont="0" applyFill="0" applyAlignment="0" applyProtection="0"/>
    <xf numFmtId="40" fontId="154" fillId="0" borderId="0" applyFont="0" applyFill="0" applyBorder="0" applyAlignment="0" applyProtection="0"/>
    <xf numFmtId="38" fontId="154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0" fontId="146" fillId="39" borderId="0" applyNumberFormat="0" applyBorder="0" applyAlignment="0" applyProtection="0">
      <alignment vertical="center"/>
    </xf>
    <xf numFmtId="188" fontId="85" fillId="0" borderId="0" applyFont="0" applyFill="0" applyBorder="0" applyAlignment="0" applyProtection="0"/>
    <xf numFmtId="187" fontId="85" fillId="0" borderId="0" applyFont="0" applyFill="0" applyBorder="0" applyAlignment="0" applyProtection="0"/>
    <xf numFmtId="0" fontId="153" fillId="0" borderId="49" applyNumberFormat="0" applyFill="0" applyAlignment="0" applyProtection="0">
      <alignment vertical="center"/>
    </xf>
    <xf numFmtId="0" fontId="153" fillId="0" borderId="49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30" fillId="0" borderId="0"/>
    <xf numFmtId="0" fontId="30" fillId="0" borderId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0" fontId="65" fillId="0" borderId="0"/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61" fillId="0" borderId="0"/>
    <xf numFmtId="179" fontId="19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61" fillId="0" borderId="0"/>
    <xf numFmtId="0" fontId="61" fillId="0" borderId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30" fillId="0" borderId="0"/>
    <xf numFmtId="0" fontId="3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0"/>
    <xf numFmtId="0" fontId="63" fillId="0" borderId="0"/>
    <xf numFmtId="0" fontId="67" fillId="0" borderId="0">
      <alignment vertical="center"/>
    </xf>
    <xf numFmtId="0" fontId="65" fillId="0" borderId="0"/>
    <xf numFmtId="42" fontId="19" fillId="0" borderId="0" applyFont="0" applyFill="0" applyBorder="0" applyAlignment="0" applyProtection="0"/>
    <xf numFmtId="0" fontId="30" fillId="0" borderId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18" fillId="0" borderId="35"/>
    <xf numFmtId="0" fontId="118" fillId="0" borderId="35"/>
    <xf numFmtId="0" fontId="118" fillId="0" borderId="35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66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/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1" fillId="0" borderId="0">
      <alignment vertical="center"/>
    </xf>
    <xf numFmtId="42" fontId="19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42" fontId="94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/>
    <xf numFmtId="0" fontId="1" fillId="0" borderId="0">
      <alignment vertical="center"/>
    </xf>
    <xf numFmtId="42" fontId="19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>
      <alignment vertical="center"/>
    </xf>
    <xf numFmtId="0" fontId="7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13" fillId="0" borderId="13" xfId="0" quotePrefix="1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41" fontId="49" fillId="0" borderId="1" xfId="103" applyFont="1" applyFill="1" applyBorder="1" applyAlignment="1" applyProtection="1">
      <alignment horizontal="center" vertical="center"/>
      <protection locked="0"/>
    </xf>
    <xf numFmtId="177" fontId="49" fillId="0" borderId="1" xfId="103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left" vertical="center"/>
    </xf>
    <xf numFmtId="17" fontId="51" fillId="33" borderId="1" xfId="3" applyNumberFormat="1" applyFont="1" applyFill="1" applyBorder="1" applyAlignment="1">
      <alignment horizontal="center" vertical="center"/>
    </xf>
    <xf numFmtId="181" fontId="50" fillId="33" borderId="1" xfId="3" applyNumberFormat="1" applyFont="1" applyFill="1" applyBorder="1" applyAlignment="1">
      <alignment horizontal="center" vertical="center"/>
    </xf>
    <xf numFmtId="178" fontId="51" fillId="33" borderId="1" xfId="2" applyNumberFormat="1" applyFont="1" applyFill="1" applyBorder="1" applyAlignment="1">
      <alignment horizontal="center" vertical="center"/>
    </xf>
    <xf numFmtId="182" fontId="50" fillId="33" borderId="1" xfId="143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52" fillId="0" borderId="1" xfId="1" applyFont="1" applyFill="1" applyBorder="1" applyAlignment="1">
      <alignment horizontal="center" vertical="center"/>
    </xf>
    <xf numFmtId="181" fontId="51" fillId="0" borderId="1" xfId="3" applyNumberFormat="1" applyFont="1" applyBorder="1" applyAlignment="1">
      <alignment horizontal="center" vertical="center"/>
    </xf>
    <xf numFmtId="181" fontId="51" fillId="33" borderId="1" xfId="3" applyNumberFormat="1" applyFont="1" applyFill="1" applyBorder="1" applyAlignment="1">
      <alignment horizontal="center" vertical="center"/>
    </xf>
    <xf numFmtId="6" fontId="51" fillId="33" borderId="1" xfId="3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82" fontId="50" fillId="0" borderId="1" xfId="143" applyNumberFormat="1" applyFont="1" applyFill="1" applyBorder="1" applyAlignment="1">
      <alignment horizontal="right" vertical="center"/>
    </xf>
    <xf numFmtId="17" fontId="51" fillId="0" borderId="1" xfId="3" applyNumberFormat="1" applyFont="1" applyBorder="1" applyAlignment="1">
      <alignment horizontal="center" vertical="center"/>
    </xf>
    <xf numFmtId="183" fontId="50" fillId="0" borderId="1" xfId="143" applyNumberFormat="1" applyFont="1" applyFill="1" applyBorder="1" applyAlignment="1">
      <alignment horizontal="right" vertical="center"/>
    </xf>
    <xf numFmtId="183" fontId="22" fillId="0" borderId="1" xfId="0" applyNumberFormat="1" applyFont="1" applyBorder="1" applyAlignment="1">
      <alignment horizontal="center" vertical="center"/>
    </xf>
    <xf numFmtId="183" fontId="22" fillId="0" borderId="1" xfId="0" applyNumberFormat="1" applyFont="1" applyBorder="1" applyAlignment="1">
      <alignment horizontal="right" vertical="center"/>
    </xf>
    <xf numFmtId="183" fontId="55" fillId="0" borderId="1" xfId="0" applyNumberFormat="1" applyFont="1" applyBorder="1" applyAlignment="1">
      <alignment horizontal="right" vertical="center"/>
    </xf>
    <xf numFmtId="183" fontId="56" fillId="0" borderId="1" xfId="1" applyNumberFormat="1" applyFont="1" applyFill="1" applyBorder="1" applyAlignment="1">
      <alignment horizontal="right" vertical="center"/>
    </xf>
    <xf numFmtId="183" fontId="51" fillId="33" borderId="1" xfId="2" applyNumberFormat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78" fontId="51" fillId="0" borderId="1" xfId="2" applyNumberFormat="1" applyFont="1" applyFill="1" applyBorder="1" applyAlignment="1">
      <alignment horizontal="right" vertical="center"/>
    </xf>
    <xf numFmtId="178" fontId="51" fillId="33" borderId="1" xfId="2" applyNumberFormat="1" applyFont="1" applyFill="1" applyBorder="1" applyAlignment="1">
      <alignment horizontal="right" vertical="center"/>
    </xf>
    <xf numFmtId="183" fontId="54" fillId="0" borderId="1" xfId="1" applyNumberFormat="1" applyFont="1" applyBorder="1" applyAlignment="1">
      <alignment horizontal="right" vertical="center"/>
    </xf>
    <xf numFmtId="183" fontId="49" fillId="0" borderId="1" xfId="103" applyNumberFormat="1" applyFont="1" applyFill="1" applyBorder="1" applyAlignment="1" applyProtection="1">
      <alignment horizontal="center" vertical="center"/>
      <protection locked="0"/>
    </xf>
    <xf numFmtId="183" fontId="55" fillId="0" borderId="1" xfId="0" applyNumberFormat="1" applyFont="1" applyBorder="1" applyAlignment="1">
      <alignment horizontal="center" vertical="center"/>
    </xf>
    <xf numFmtId="183" fontId="22" fillId="0" borderId="1" xfId="1" applyNumberFormat="1" applyFont="1" applyBorder="1" applyAlignment="1">
      <alignment horizontal="right" vertical="center"/>
    </xf>
    <xf numFmtId="183" fontId="51" fillId="0" borderId="1" xfId="3" applyNumberFormat="1" applyFont="1" applyBorder="1" applyAlignment="1">
      <alignment horizontal="center" vertical="center"/>
    </xf>
    <xf numFmtId="183" fontId="51" fillId="33" borderId="1" xfId="3" applyNumberFormat="1" applyFont="1" applyFill="1" applyBorder="1" applyAlignment="1">
      <alignment horizontal="center" vertical="center"/>
    </xf>
    <xf numFmtId="181" fontId="50" fillId="0" borderId="1" xfId="3" applyNumberFormat="1" applyFont="1" applyBorder="1" applyAlignment="1">
      <alignment horizontal="center" vertical="center"/>
    </xf>
    <xf numFmtId="183" fontId="57" fillId="0" borderId="1" xfId="0" applyNumberFormat="1" applyFont="1" applyBorder="1" applyAlignment="1">
      <alignment horizontal="right" vertical="center"/>
    </xf>
    <xf numFmtId="183" fontId="57" fillId="0" borderId="0" xfId="0" applyNumberFormat="1" applyFont="1" applyAlignment="1">
      <alignment horizontal="right" vertical="center"/>
    </xf>
    <xf numFmtId="0" fontId="50" fillId="33" borderId="1" xfId="3" applyFont="1" applyFill="1" applyBorder="1" applyAlignment="1">
      <alignment horizontal="center" vertical="center"/>
    </xf>
    <xf numFmtId="26" fontId="22" fillId="0" borderId="1" xfId="0" applyNumberFormat="1" applyFont="1" applyBorder="1" applyAlignment="1">
      <alignment horizontal="right" vertical="center"/>
    </xf>
    <xf numFmtId="177" fontId="22" fillId="0" borderId="1" xfId="0" applyNumberFormat="1" applyFont="1" applyBorder="1" applyAlignment="1">
      <alignment horizontal="right" vertical="center"/>
    </xf>
    <xf numFmtId="0" fontId="58" fillId="0" borderId="1" xfId="3" applyFont="1" applyBorder="1" applyAlignment="1">
      <alignment horizontal="center" vertical="center" wrapText="1"/>
    </xf>
    <xf numFmtId="26" fontId="50" fillId="0" borderId="1" xfId="143" applyNumberFormat="1" applyFont="1" applyFill="1" applyBorder="1" applyAlignment="1">
      <alignment horizontal="right" vertical="center"/>
    </xf>
    <xf numFmtId="41" fontId="50" fillId="33" borderId="1" xfId="143" applyNumberFormat="1" applyFont="1" applyFill="1" applyBorder="1" applyAlignment="1">
      <alignment horizontal="right" vertical="center"/>
    </xf>
    <xf numFmtId="41" fontId="22" fillId="0" borderId="1" xfId="0" applyNumberFormat="1" applyFont="1" applyBorder="1" applyAlignment="1">
      <alignment horizontal="center" vertical="center"/>
    </xf>
    <xf numFmtId="3" fontId="55" fillId="0" borderId="1" xfId="0" applyNumberFormat="1" applyFont="1" applyBorder="1" applyAlignment="1">
      <alignment horizontal="center" vertical="center"/>
    </xf>
    <xf numFmtId="3" fontId="49" fillId="0" borderId="1" xfId="103" applyNumberFormat="1" applyFont="1" applyFill="1" applyBorder="1" applyAlignment="1" applyProtection="1">
      <alignment horizontal="center" vertical="center"/>
      <protection locked="0"/>
    </xf>
    <xf numFmtId="3" fontId="55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3" fontId="22" fillId="0" borderId="1" xfId="1" applyNumberFormat="1" applyFont="1" applyBorder="1" applyAlignment="1">
      <alignment horizontal="right" vertical="center"/>
    </xf>
    <xf numFmtId="3" fontId="52" fillId="0" borderId="1" xfId="1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56" fillId="0" borderId="1" xfId="1" applyNumberFormat="1" applyFont="1" applyFill="1" applyBorder="1" applyAlignment="1">
      <alignment horizontal="right" vertical="center"/>
    </xf>
    <xf numFmtId="182" fontId="50" fillId="0" borderId="1" xfId="143" applyNumberFormat="1" applyFont="1" applyFill="1" applyBorder="1" applyAlignment="1">
      <alignment vertical="center"/>
    </xf>
    <xf numFmtId="41" fontId="52" fillId="0" borderId="1" xfId="1" applyFont="1" applyFill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26" fontId="2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6" fontId="22" fillId="0" borderId="1" xfId="0" applyNumberFormat="1" applyFont="1" applyBorder="1" applyAlignment="1">
      <alignment horizontal="center" vertical="center"/>
    </xf>
    <xf numFmtId="6" fontId="50" fillId="0" borderId="1" xfId="143" applyNumberFormat="1" applyFont="1" applyFill="1" applyBorder="1" applyAlignment="1">
      <alignment horizontal="right" vertical="center"/>
    </xf>
    <xf numFmtId="209" fontId="51" fillId="0" borderId="1" xfId="2" applyNumberFormat="1" applyFont="1" applyFill="1" applyBorder="1" applyAlignment="1">
      <alignment horizontal="center" vertical="center"/>
    </xf>
    <xf numFmtId="209" fontId="50" fillId="0" borderId="1" xfId="143" applyNumberFormat="1" applyFont="1" applyFill="1" applyBorder="1" applyAlignment="1">
      <alignment horizontal="right" vertical="center"/>
    </xf>
    <xf numFmtId="209" fontId="51" fillId="0" borderId="1" xfId="2" applyNumberFormat="1" applyFont="1" applyFill="1" applyBorder="1" applyAlignment="1">
      <alignment horizontal="right" vertical="center"/>
    </xf>
    <xf numFmtId="209" fontId="50" fillId="33" borderId="1" xfId="143" applyNumberFormat="1" applyFont="1" applyFill="1" applyBorder="1" applyAlignment="1">
      <alignment horizontal="right" vertical="center"/>
    </xf>
    <xf numFmtId="209" fontId="51" fillId="33" borderId="1" xfId="2" applyNumberFormat="1" applyFont="1" applyFill="1" applyBorder="1" applyAlignment="1">
      <alignment horizontal="right" vertical="center"/>
    </xf>
    <xf numFmtId="178" fontId="50" fillId="0" borderId="1" xfId="143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/>
    </xf>
    <xf numFmtId="183" fontId="51" fillId="0" borderId="1" xfId="3" applyNumberFormat="1" applyFont="1" applyBorder="1" applyAlignment="1">
      <alignment horizontal="right" vertical="center"/>
    </xf>
    <xf numFmtId="17" fontId="51" fillId="0" borderId="1" xfId="3" applyNumberFormat="1" applyFont="1" applyBorder="1" applyAlignment="1">
      <alignment horizontal="right" vertical="center"/>
    </xf>
    <xf numFmtId="183" fontId="52" fillId="0" borderId="1" xfId="1" applyNumberFormat="1" applyFont="1" applyFill="1" applyBorder="1" applyAlignment="1">
      <alignment horizontal="right" vertical="center"/>
    </xf>
    <xf numFmtId="6" fontId="22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210" fontId="22" fillId="0" borderId="1" xfId="0" applyNumberFormat="1" applyFont="1" applyBorder="1" applyAlignment="1">
      <alignment horizontal="right" vertical="center"/>
    </xf>
    <xf numFmtId="0" fontId="16" fillId="0" borderId="23" xfId="0" applyFont="1" applyBorder="1" applyAlignment="1">
      <alignment horizontal="left" vertical="center"/>
    </xf>
    <xf numFmtId="0" fontId="16" fillId="0" borderId="23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2" xfId="0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16" fillId="0" borderId="24" xfId="0" applyFont="1" applyBorder="1" applyAlignment="1">
      <alignment horizontal="right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4" fontId="24" fillId="0" borderId="17" xfId="0" quotePrefix="1" applyNumberFormat="1" applyFont="1" applyBorder="1" applyAlignment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right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176" fontId="26" fillId="0" borderId="23" xfId="0" applyNumberFormat="1" applyFont="1" applyBorder="1" applyAlignment="1">
      <alignment horizontal="center" vertical="center"/>
    </xf>
    <xf numFmtId="176" fontId="26" fillId="0" borderId="2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 shrinkToFit="1"/>
    </xf>
    <xf numFmtId="0" fontId="24" fillId="0" borderId="13" xfId="0" applyFont="1" applyBorder="1" applyAlignment="1">
      <alignment horizontal="center" vertical="center" shrinkToFit="1"/>
    </xf>
    <xf numFmtId="0" fontId="24" fillId="0" borderId="15" xfId="0" applyFont="1" applyBorder="1" applyAlignment="1">
      <alignment horizontal="center" vertical="center" shrinkToFit="1"/>
    </xf>
    <xf numFmtId="0" fontId="13" fillId="0" borderId="12" xfId="0" quotePrefix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176" fontId="12" fillId="0" borderId="15" xfId="0" applyNumberFormat="1" applyFont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41" fontId="7" fillId="0" borderId="0" xfId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textRotation="255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4" fontId="24" fillId="0" borderId="18" xfId="0" quotePrefix="1" applyNumberFormat="1" applyFont="1" applyBorder="1" applyAlignment="1">
      <alignment horizontal="center" vertical="center"/>
    </xf>
    <xf numFmtId="14" fontId="24" fillId="0" borderId="19" xfId="0" quotePrefix="1" applyNumberFormat="1" applyFont="1" applyBorder="1" applyAlignment="1">
      <alignment horizontal="center" vertical="center"/>
    </xf>
    <xf numFmtId="14" fontId="24" fillId="0" borderId="34" xfId="0" quotePrefix="1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left" vertical="center"/>
    </xf>
  </cellXfs>
  <cellStyles count="4833">
    <cellStyle name="_x0005__x0010__x0010_" xfId="319" xr:uid="{C5FDB5EB-5ACD-4E07-9D80-45D6FE898A1B}"/>
    <cellStyle name="_x0007__x0011__x0011_" xfId="320" xr:uid="{8D5617EB-B0CC-4360-A9EE-D9C763768070}"/>
    <cellStyle name="          _x000d__x000a_mouse.drv=lmouse.drv" xfId="321" xr:uid="{C714F9F6-68F1-4A6C-A060-966090E601AE}"/>
    <cellStyle name="_x0005__x0010__x0010_ 10" xfId="3586" xr:uid="{BD9F65D6-F612-49D7-862C-1159FA3AC357}"/>
    <cellStyle name="_x0005__x0010__x0010_ 11" xfId="4826" xr:uid="{4CB71F94-F28C-4198-B8F7-5EB5CC7C6DA9}"/>
    <cellStyle name="_x0005__x0010__x0010_ 2" xfId="2362" xr:uid="{91AC8651-FCA0-4276-ACA7-ACF9737D2F43}"/>
    <cellStyle name="_x0005__x0010__x0010_ 2 2" xfId="2699" xr:uid="{FB86E925-BE2F-441B-9DC7-E25B36181230}"/>
    <cellStyle name="_x0005__x0010__x0010_ 2 2 2" xfId="3356" xr:uid="{C5180BC4-BE72-4133-A2DE-B72276D44BC9}"/>
    <cellStyle name="_x0005__x0010__x0010_ 2 2 2 2" xfId="4727" xr:uid="{E5200DD3-5961-4B48-B92C-500D75B0EAF6}"/>
    <cellStyle name="_x0005__x0010__x0010_ 2 2 3" xfId="4073" xr:uid="{001870E6-2CA9-4EEF-8BC5-50C5F70A3C18}"/>
    <cellStyle name="_x0005__x0010__x0010_ 2 3" xfId="3029" xr:uid="{C135EAFE-A7A3-45F8-AD45-47CFF6E1F8AD}"/>
    <cellStyle name="_x0005__x0010__x0010_ 2 3 2" xfId="4400" xr:uid="{9E67B5DF-319D-4D1C-89D2-C1DA480937F7}"/>
    <cellStyle name="_x0005__x0010__x0010_ 2 4" xfId="3746" xr:uid="{5671FA0D-3BC7-43CA-97DC-036A67DA95E3}"/>
    <cellStyle name="_x0005__x0010__x0010_ 3" xfId="2465" xr:uid="{069B3CEB-15E9-47E0-993A-F5FB6CEEEDF8}"/>
    <cellStyle name="_x0005__x0010__x0010_ 3 2" xfId="2793" xr:uid="{8D7DD5DA-FB17-4FB5-A185-45C634EF3117}"/>
    <cellStyle name="_x0005__x0010__x0010_ 3 2 2" xfId="3450" xr:uid="{EAED6845-4786-45F4-ABF9-4B8B509C0D6F}"/>
    <cellStyle name="_x0005__x0010__x0010_ 3 2 2 2" xfId="4821" xr:uid="{7205B5F3-7DB2-4A8A-B96A-66EFB0156669}"/>
    <cellStyle name="_x0005__x0010__x0010_ 3 2 3" xfId="4167" xr:uid="{E0968E2F-735C-43E8-A90B-49439E83B377}"/>
    <cellStyle name="_x0005__x0010__x0010_ 3 3" xfId="3123" xr:uid="{41841F9E-E6F6-4086-B403-5AC4D987CD76}"/>
    <cellStyle name="_x0005__x0010__x0010_ 3 3 2" xfId="4494" xr:uid="{FFA6D869-3C25-43FB-92A6-8467772BCE1B}"/>
    <cellStyle name="_x0005__x0010__x0010_ 3 4" xfId="3840" xr:uid="{6F7BB8CA-A36C-4789-AD1E-876C1B303AEF}"/>
    <cellStyle name="_x0005__x0010__x0010_ 4" xfId="2467" xr:uid="{B48A5650-5DEB-4B06-BF17-4769BFD71C41}"/>
    <cellStyle name="_x0005__x0010__x0010_ 4 2" xfId="2794" xr:uid="{73A218C0-7693-4EF1-8ED8-50A00930AF89}"/>
    <cellStyle name="_x0005__x0010__x0010_ 4 2 2" xfId="3451" xr:uid="{5D256370-0256-4EFE-91C5-64705C7471B8}"/>
    <cellStyle name="_x0005__x0010__x0010_ 4 2 2 2" xfId="4822" xr:uid="{64E2A8F0-1512-4375-B5AE-E9E5CE14FD5F}"/>
    <cellStyle name="_x0005__x0010__x0010_ 4 2 3" xfId="4168" xr:uid="{78C2FDCA-3B00-4DE7-93B5-C74EEAE6A00A}"/>
    <cellStyle name="_x0005__x0010__x0010_ 4 3" xfId="3124" xr:uid="{1E83A8D1-BA05-45A1-B4B2-7D6FCAC21E00}"/>
    <cellStyle name="_x0005__x0010__x0010_ 4 3 2" xfId="4495" xr:uid="{456298EB-ABE2-4611-BC00-E0D5012878AA}"/>
    <cellStyle name="_x0005__x0010__x0010_ 4 4" xfId="3841" xr:uid="{EA9608A6-6B08-44E5-9115-43F245A3F0AC}"/>
    <cellStyle name="_x0005__x0010__x0010_ 5" xfId="2506" xr:uid="{2E4DFE0E-F9FA-4A6E-8F11-F7DB904EB6C7}"/>
    <cellStyle name="_x0005__x0010__x0010_ 5 2" xfId="3163" xr:uid="{488B35CB-1982-43A1-AE43-162AA65DFB3A}"/>
    <cellStyle name="_x0005__x0010__x0010_ 5 2 2" xfId="4534" xr:uid="{2A58AE72-34F0-4215-A81F-F22BD08EF123}"/>
    <cellStyle name="_x0005__x0010__x0010_ 5 3" xfId="3880" xr:uid="{A127B17F-D963-46F8-A6AC-0E49DF07C908}"/>
    <cellStyle name="_x0005__x0010__x0010_ 6" xfId="2833" xr:uid="{22D00E9A-0982-4187-A7B0-F1CD4BCBE64A}"/>
    <cellStyle name="_x0005__x0010__x0010_ 6 2" xfId="4207" xr:uid="{836D0857-EB48-43C5-B96B-46286D4C6FB4}"/>
    <cellStyle name="_x0005__x0010__x0010_ 7" xfId="3540" xr:uid="{A85B1A74-B0B3-4F6D-9F5C-C457F2C36CFD}"/>
    <cellStyle name="_x0005__x0010__x0010_ 8" xfId="3642" xr:uid="{1A929EE5-60FC-49A7-9DBF-65B6AE4516D2}"/>
    <cellStyle name="_x0005__x0010__x0010_ 9" xfId="4824" xr:uid="{548048DD-B205-46EB-BE74-847301B5032C}"/>
    <cellStyle name="_x000d_$" xfId="322" xr:uid="{57900440-4F23-4DA1-A272-5F71A49961EE}"/>
    <cellStyle name="_x000d_;&amp;?;" xfId="323" xr:uid="{9E260055-7DDE-4E0D-A59B-87E900391C73}"/>
    <cellStyle name="_x000d_蛜Ǿ[0" xfId="324" xr:uid="{3A41BE77-A902-46D9-AE40-C5F213352A25}"/>
    <cellStyle name="_x000d_蛜Ǿ[0 2" xfId="2363" xr:uid="{88D6C1D7-F9ED-4988-9646-99F0BEC5313F}"/>
    <cellStyle name="_x000d_蛜Ǿ[0 2 2" xfId="2700" xr:uid="{7D97B4BF-F606-481F-842F-6CEBC7E631F9}"/>
    <cellStyle name="_x000d_蛜Ǿ[0 2 2 2" xfId="3357" xr:uid="{ED97887F-F289-498F-9B4A-78F8CBC53E9E}"/>
    <cellStyle name="_x000d_蛜Ǿ[0 2 2 2 2" xfId="4728" xr:uid="{B53D2CC1-5CA6-4050-8D9D-AD609A1E1F13}"/>
    <cellStyle name="_x000d_蛜Ǿ[0 2 2 3" xfId="4074" xr:uid="{6A292784-D031-41B8-8520-BAA91AE48BE1}"/>
    <cellStyle name="_x000d_蛜Ǿ[0 2 3" xfId="3030" xr:uid="{EB4050A3-09FA-4162-B190-C099BFE38653}"/>
    <cellStyle name="_x000d_蛜Ǿ[0 2 3 2" xfId="4401" xr:uid="{1001ADB4-60F9-41BD-8FD4-B83F2429928E}"/>
    <cellStyle name="_x000d_蛜Ǿ[0 2 4" xfId="3747" xr:uid="{EBD751EC-1A7F-4C26-8066-824FCBF372CC}"/>
    <cellStyle name="_x000d_蛜Ǿ[0 3" xfId="2507" xr:uid="{E3A90502-F03F-4746-90DD-9F30A4B0FB5C}"/>
    <cellStyle name="_x000d_蛜Ǿ[0 3 2" xfId="3164" xr:uid="{6F5E0273-BBC8-4994-9851-D0AEF4A9DA78}"/>
    <cellStyle name="_x000d_蛜Ǿ[0 3 2 2" xfId="4535" xr:uid="{5E5EC6CE-052C-45E5-9997-D3F050BC828B}"/>
    <cellStyle name="_x000d_蛜Ǿ[0 3 3" xfId="3881" xr:uid="{86D5A292-5E14-4019-A126-829D42C55711}"/>
    <cellStyle name="_x000d_蛜Ǿ[0 4" xfId="2834" xr:uid="{C325AB44-C1A5-4973-B193-3A4A4A51D5FA}"/>
    <cellStyle name="_x000d_蛜Ǿ[0 4 2" xfId="4208" xr:uid="{5E33605C-3928-421D-A318-24D11D242298}"/>
    <cellStyle name="_x000d_蛜Ǿ[0 5" xfId="3541" xr:uid="{3BCB9B7C-13D6-4E8E-A9AF-95A81B8DEC89}"/>
    <cellStyle name="#.0" xfId="325" xr:uid="{6FA392F1-D0FA-4AF3-97E8-17CDE04B703F}"/>
    <cellStyle name=".0" xfId="326" xr:uid="{3449209D-1967-4C65-824D-618BB2D7B16F}"/>
    <cellStyle name="??&amp;O?&amp;H?_x0008__x000f__x0007_?_x0007__x0001__x0001_" xfId="327" xr:uid="{63436E5E-7E00-4833-A9F8-767751354DA1}"/>
    <cellStyle name="??&amp;O?&amp;H?_x0008_??_x0007__x0001__x0001_" xfId="328" xr:uid="{E5247473-467D-4F04-B4A8-3B3FE895F51C}"/>
    <cellStyle name="_B4 Vendor List-20090901CY" xfId="329" xr:uid="{9A8109E4-34EB-401F-9F52-A9DE2F81C73D}"/>
    <cellStyle name="_Bidding_WH_status_check_090615" xfId="330" xr:uid="{E501A128-32A0-4FA7-930A-9D105ED5F1B7}"/>
    <cellStyle name="_BOE B3 Rework system utility(090706)" xfId="331" xr:uid="{4E2BD254-E06A-4956-92B5-554B5E6F4F5D}"/>
    <cellStyle name="_Book2" xfId="332" xr:uid="{3151B88B-2D4A-4C4C-A5F4-4CFF550F8622}"/>
    <cellStyle name="_EMD외자재수급(4,5,6월)" xfId="333" xr:uid="{B341A305-3D6E-4058-A929-8E58F7B70F7F}"/>
    <cellStyle name="_KCT C_F U_T(05.03.14)" xfId="334" xr:uid="{94E5BEE4-8740-4EB3-B54C-E6A425F75189}"/>
    <cellStyle name="|: 获取数据 ..." xfId="335" xr:uid="{AD758BE2-78CC-4EA4-AC00-A2588D3C28CD}"/>
    <cellStyle name="¤@?e_TEST-1 " xfId="336" xr:uid="{C6EECE72-2DC6-4064-93BE-BF68762CC24D}"/>
    <cellStyle name="æØè [0.00]_PRODUCT DETAIL Q1" xfId="337" xr:uid="{2E01636B-B2FB-4C1D-8DCC-035878860D41}"/>
    <cellStyle name="æØè_PRODUCT DETAIL Q1" xfId="338" xr:uid="{571D413B-D129-4694-B2A5-24EDEDA3EEEC}"/>
    <cellStyle name="ÊÝ [0.00]_PRODUCT DETAIL Q1" xfId="339" xr:uid="{7B561444-91F9-4ECC-9C3D-00BCBEE1A61F}"/>
    <cellStyle name="ÊÝ_PRODUCT DETAIL Q1" xfId="340" xr:uid="{59E389F0-D464-4192-9234-BF26F2946600}"/>
    <cellStyle name="W?_BOOKSHIP_¨öCAuCoE©÷ " xfId="341" xr:uid="{6113C759-63AB-4601-B829-4D61EBDBE630}"/>
    <cellStyle name="W_BOOKSHIP" xfId="342" xr:uid="{D443CC04-787D-41C4-BAFC-3C32C2AA6EFB}"/>
    <cellStyle name="0,0_x000d__x000a_NA_x000d__x000a_" xfId="343" xr:uid="{223656FB-1F0D-412E-B4C0-4661AFEED4BA}"/>
    <cellStyle name="0.0" xfId="344" xr:uid="{C6914D67-90F9-4B00-A6CC-1BF5EDBD8518}"/>
    <cellStyle name="0뾍R_x0005_?뾍b_x0005_" xfId="345" xr:uid="{8CCA31CC-1F5F-4B35-8D53-93C99B2839B5}"/>
    <cellStyle name="¼AU≫?XLS!check_filesche|_x0005_" xfId="346" xr:uid="{F410BDC9-06F2-40A3-B6A8-6630184D2297}"/>
    <cellStyle name="1" xfId="347" xr:uid="{EFE28B33-CC7F-4CD9-8E91-02EA2B82E42E}"/>
    <cellStyle name="1_1127PHM (2)" xfId="348" xr:uid="{BE0D8FEF-5DAA-450D-A011-1A1BC3A26475}"/>
    <cellStyle name="1_1127PHM (4)" xfId="349" xr:uid="{47F8E9D4-4299-4A93-A009-5CDE16FB510E}"/>
    <cellStyle name="1_2000PN지침" xfId="350" xr:uid="{CF764B4B-2DD0-4F50-9ACD-D929026ED03F}"/>
    <cellStyle name="1_918PHM (2)" xfId="351" xr:uid="{854C3A75-12F1-4D93-B3F8-3CF5989383E5}"/>
    <cellStyle name="1_97년PI333종합" xfId="352" xr:uid="{02FC64AA-11F9-4665-B2FF-B4C486427CF6}"/>
    <cellStyle name="1_CRD판매 (2)" xfId="353" xr:uid="{021D9642-8619-4A9D-990D-7901316382C0}"/>
    <cellStyle name="1_MC&amp;다변화" xfId="354" xr:uid="{76760E34-8085-4D37-B58A-9AF647C11D37}"/>
    <cellStyle name="100" xfId="355" xr:uid="{9578024E-8AD2-4856-B115-465080116F20}"/>
    <cellStyle name="100 2" xfId="356" xr:uid="{975882BF-2F91-49B2-B3F6-6F843BC3750E}"/>
    <cellStyle name="100 2 2" xfId="357" xr:uid="{7F4F572B-B755-460B-AE0B-57AEA12DAF43}"/>
    <cellStyle name="20% - Accent1" xfId="358" xr:uid="{B7A7365D-FFAC-4C26-8FC2-EC1D19DE4F3D}"/>
    <cellStyle name="20% - Accent2" xfId="359" xr:uid="{0FB2187B-B7AC-401B-A432-10C5B573D006}"/>
    <cellStyle name="20% - Accent3" xfId="360" xr:uid="{9E7EBCCD-148D-457C-B3FB-CB18BCB730C2}"/>
    <cellStyle name="20% - Accent4" xfId="361" xr:uid="{6CF30125-A04E-4FB8-8129-1E8E357D9159}"/>
    <cellStyle name="20% - Accent5" xfId="362" xr:uid="{269392E7-333A-4447-950B-54BCC7AF8158}"/>
    <cellStyle name="20% - Accent6" xfId="363" xr:uid="{437213F0-E57F-4F76-8FBD-A1830F1C1E82}"/>
    <cellStyle name="20% - アクセント 1" xfId="364" xr:uid="{15FE63AE-202B-448A-A37A-F620CD10A335}"/>
    <cellStyle name="20% - アクセント 1 2" xfId="365" xr:uid="{7B2CAF60-6B96-480D-B477-2C4CA9D4B821}"/>
    <cellStyle name="20% - アクセント 2" xfId="366" xr:uid="{AED04A34-20DA-4766-A451-E03C101D5792}"/>
    <cellStyle name="20% - アクセント 2 2" xfId="367" xr:uid="{06E124DC-EE45-4510-8E07-BFD393EB7F40}"/>
    <cellStyle name="20% - アクセント 3" xfId="368" xr:uid="{45256915-5C54-4A32-8737-A5540873C55D}"/>
    <cellStyle name="20% - アクセント 3 2" xfId="369" xr:uid="{D8C98568-DBA3-428C-AF70-7F809125C8A1}"/>
    <cellStyle name="20% - アクセント 4" xfId="370" xr:uid="{C5D84E21-9F06-4BC6-90C3-33D94FAD2B9D}"/>
    <cellStyle name="20% - アクセント 4 2" xfId="371" xr:uid="{B7F74708-9028-4D80-84AE-021D269CA67B}"/>
    <cellStyle name="20% - アクセント 5" xfId="372" xr:uid="{636C26E6-BA1D-44EF-BFB4-72D468498706}"/>
    <cellStyle name="20% - アクセント 5 2" xfId="373" xr:uid="{7ABB9950-E862-4B14-B8B1-23D8E87C1C3F}"/>
    <cellStyle name="20% - アクセント 6" xfId="374" xr:uid="{F31694AD-F01B-480C-B802-0273B8AD11F5}"/>
    <cellStyle name="20% - アクセント 6 2" xfId="375" xr:uid="{931EEF4E-2A41-48FC-99D1-BB98735DB367}"/>
    <cellStyle name="20% - 强调文字颜色 1" xfId="376" xr:uid="{819AF827-95FC-4858-AEBD-8B7C10D75EDA}"/>
    <cellStyle name="20% - 强调文字颜色 1 2" xfId="377" xr:uid="{B16BF921-A9BB-4D33-AB35-334FC05703CD}"/>
    <cellStyle name="20% - 强调文字颜色 2" xfId="378" xr:uid="{6E014479-E1CA-4D82-B4A9-0880513DCE35}"/>
    <cellStyle name="20% - 强调文字颜色 2 2" xfId="379" xr:uid="{CE45647E-28A7-4579-9AFA-145BC82A3B7A}"/>
    <cellStyle name="20% - 强调文字颜色 3" xfId="380" xr:uid="{93D808AD-D6B2-4F33-B631-7C03D3E34E4D}"/>
    <cellStyle name="20% - 强调文字颜色 3 2" xfId="381" xr:uid="{537D1DD8-95EC-4B01-9B03-443147331B38}"/>
    <cellStyle name="20% - 强调文字颜色 4" xfId="382" xr:uid="{F4261DDB-09BC-44E4-A423-9915CEF8BFF5}"/>
    <cellStyle name="20% - 强调文字颜色 4 2" xfId="383" xr:uid="{A38AC5B2-AD72-4D53-A3E8-8EDF2270ACE1}"/>
    <cellStyle name="20% - 强调文字颜色 5" xfId="384" xr:uid="{7FE2EF62-A6D0-4B95-B9D2-2ACE42E0B87C}"/>
    <cellStyle name="20% - 强调文字颜色 5 2" xfId="385" xr:uid="{4D96C2DA-BCC9-4562-A451-89C4F169C1B2}"/>
    <cellStyle name="20% - 强调文字颜色 6" xfId="386" xr:uid="{CBBBACBE-7C15-42D3-90B0-BB73ECD85323}"/>
    <cellStyle name="20% - 强调文字颜色 6 2" xfId="387" xr:uid="{41258F4D-F6AA-4B92-86DB-794583CDF28D}"/>
    <cellStyle name="20% - 강조색1 2" xfId="4" xr:uid="{00000000-0005-0000-0000-000000000000}"/>
    <cellStyle name="20% - 강조색1 3" xfId="5" xr:uid="{00000000-0005-0000-0000-000001000000}"/>
    <cellStyle name="20% - 강조색1 4" xfId="6" xr:uid="{00000000-0005-0000-0000-000002000000}"/>
    <cellStyle name="20% - 강조색2 2" xfId="7" xr:uid="{00000000-0005-0000-0000-000003000000}"/>
    <cellStyle name="20% - 강조색2 3" xfId="8" xr:uid="{00000000-0005-0000-0000-000004000000}"/>
    <cellStyle name="20% - 강조색2 4" xfId="9" xr:uid="{00000000-0005-0000-0000-000005000000}"/>
    <cellStyle name="20% - 강조색3 2" xfId="10" xr:uid="{00000000-0005-0000-0000-000006000000}"/>
    <cellStyle name="20% - 강조색3 3" xfId="11" xr:uid="{00000000-0005-0000-0000-000007000000}"/>
    <cellStyle name="20% - 강조색3 4" xfId="12" xr:uid="{00000000-0005-0000-0000-000008000000}"/>
    <cellStyle name="20% - 강조색4 2" xfId="13" xr:uid="{00000000-0005-0000-0000-000009000000}"/>
    <cellStyle name="20% - 강조색4 3" xfId="14" xr:uid="{00000000-0005-0000-0000-00000A000000}"/>
    <cellStyle name="20% - 강조색4 4" xfId="15" xr:uid="{00000000-0005-0000-0000-00000B000000}"/>
    <cellStyle name="20% - 강조색5 2" xfId="16" xr:uid="{00000000-0005-0000-0000-00000C000000}"/>
    <cellStyle name="20% - 강조색5 3" xfId="17" xr:uid="{00000000-0005-0000-0000-00000D000000}"/>
    <cellStyle name="20% - 강조색5 4" xfId="18" xr:uid="{00000000-0005-0000-0000-00000E000000}"/>
    <cellStyle name="20% - 강조색6 2" xfId="19" xr:uid="{00000000-0005-0000-0000-00000F000000}"/>
    <cellStyle name="20% - 강조색6 3" xfId="20" xr:uid="{00000000-0005-0000-0000-000010000000}"/>
    <cellStyle name="20% - 강조색6 4" xfId="21" xr:uid="{00000000-0005-0000-0000-000011000000}"/>
    <cellStyle name="40% - Accent1" xfId="388" xr:uid="{EB9482C1-4CB3-4E3F-A70D-71DBE7CCBFB9}"/>
    <cellStyle name="40% - Accent2" xfId="389" xr:uid="{2FBF90D8-87ED-48C2-9365-69AFEDE29A1B}"/>
    <cellStyle name="40% - Accent3" xfId="390" xr:uid="{4C69E377-4417-4789-AF54-C4E38C7762FB}"/>
    <cellStyle name="40% - Accent4" xfId="391" xr:uid="{CDB728A3-DA06-4621-ADC9-E0E7FA333B50}"/>
    <cellStyle name="40% - Accent5" xfId="392" xr:uid="{473C8B39-80BD-4F51-A432-ECB093093A5D}"/>
    <cellStyle name="40% - Accent6" xfId="393" xr:uid="{8E4ABF5D-09E0-45D5-92FB-974978922BD4}"/>
    <cellStyle name="40% - アクセント 1" xfId="394" xr:uid="{46962A7A-00D4-4FB5-85FA-297F2BE9906D}"/>
    <cellStyle name="40% - アクセント 1 2" xfId="395" xr:uid="{196F8042-A461-418D-80E8-53736D56F4AF}"/>
    <cellStyle name="40% - アクセント 2" xfId="396" xr:uid="{ED084783-8443-4D1F-994B-5DAA99B2D27C}"/>
    <cellStyle name="40% - アクセント 2 2" xfId="397" xr:uid="{A793795C-3E52-4605-95D2-E3FB2EBD55D8}"/>
    <cellStyle name="40% - アクセント 3" xfId="398" xr:uid="{3B8A2EEC-F5D5-4F2A-8BD0-157740A95DE2}"/>
    <cellStyle name="40% - アクセント 3 2" xfId="399" xr:uid="{5A466385-7A78-4344-B6D0-71FA80FC9932}"/>
    <cellStyle name="40% - アクセント 4" xfId="400" xr:uid="{31CD67F5-5CC0-4352-9425-3A2113FD5760}"/>
    <cellStyle name="40% - アクセント 4 2" xfId="401" xr:uid="{D4BC0DA4-B434-4C88-99FD-976CDCDE13DD}"/>
    <cellStyle name="40% - アクセント 5" xfId="402" xr:uid="{08170F12-1EA6-487A-9B50-949A57F3E737}"/>
    <cellStyle name="40% - アクセント 5 2" xfId="403" xr:uid="{84FD8EC3-B309-4356-B0E4-7D8AC0000F82}"/>
    <cellStyle name="40% - アクセント 6" xfId="404" xr:uid="{8D95801B-BDA5-426B-88F0-0F554C5DFE5B}"/>
    <cellStyle name="40% - アクセント 6 2" xfId="405" xr:uid="{4CB76ED1-705A-4496-ABBF-609CD9E83E1A}"/>
    <cellStyle name="40% - 强调文字颜色 1" xfId="406" xr:uid="{E7D4ADF9-7593-408A-8A88-A23767284618}"/>
    <cellStyle name="40% - 强调文字颜色 1 2" xfId="407" xr:uid="{3CE89064-3CC0-4FB5-8344-D47B3E6256AC}"/>
    <cellStyle name="40% - 强调文字颜色 2" xfId="408" xr:uid="{43C3FA09-8C67-42FE-ACEF-6BF3E17F43AC}"/>
    <cellStyle name="40% - 强调文字颜色 2 2" xfId="409" xr:uid="{A8760AE7-D45A-40F1-9101-86F4215A10F7}"/>
    <cellStyle name="40% - 强调文字颜色 3" xfId="410" xr:uid="{5B8530DA-D73E-4C40-8B30-B9587855CA42}"/>
    <cellStyle name="40% - 强调文字颜色 3 2" xfId="411" xr:uid="{3519D48C-47DC-4783-87A8-BD6A73289072}"/>
    <cellStyle name="40% - 强调文字颜色 4" xfId="412" xr:uid="{81F0BF0E-F240-42AD-B917-916AAA5BEA55}"/>
    <cellStyle name="40% - 强调文字颜色 4 2" xfId="413" xr:uid="{715A8E09-7EE4-4427-8317-C74C8B9E4573}"/>
    <cellStyle name="40% - 强调文字颜色 5" xfId="414" xr:uid="{C5FA022A-E8FF-4CFC-8062-CAAEB941F859}"/>
    <cellStyle name="40% - 强调文字颜色 5 2" xfId="415" xr:uid="{1A2037AC-AB72-4C73-8FAD-5EDBE2F9B4D9}"/>
    <cellStyle name="40% - 强调文字颜色 6" xfId="416" xr:uid="{BF3BA058-5C52-470F-B002-267AA765DD0E}"/>
    <cellStyle name="40% - 强调文字颜色 6 2" xfId="417" xr:uid="{FFCA9ED9-2006-4867-8C1E-47CAFE05DD7D}"/>
    <cellStyle name="40% - 강조색1 2" xfId="22" xr:uid="{00000000-0005-0000-0000-000012000000}"/>
    <cellStyle name="40% - 강조색1 3" xfId="23" xr:uid="{00000000-0005-0000-0000-000013000000}"/>
    <cellStyle name="40% - 강조색1 4" xfId="24" xr:uid="{00000000-0005-0000-0000-000014000000}"/>
    <cellStyle name="40% - 강조색2 2" xfId="25" xr:uid="{00000000-0005-0000-0000-000015000000}"/>
    <cellStyle name="40% - 강조색2 3" xfId="26" xr:uid="{00000000-0005-0000-0000-000016000000}"/>
    <cellStyle name="40% - 강조색2 4" xfId="27" xr:uid="{00000000-0005-0000-0000-000017000000}"/>
    <cellStyle name="40% - 강조색3 2" xfId="28" xr:uid="{00000000-0005-0000-0000-000018000000}"/>
    <cellStyle name="40% - 강조색3 3" xfId="29" xr:uid="{00000000-0005-0000-0000-000019000000}"/>
    <cellStyle name="40% - 강조색3 4" xfId="30" xr:uid="{00000000-0005-0000-0000-00001A000000}"/>
    <cellStyle name="40% - 강조색4 2" xfId="31" xr:uid="{00000000-0005-0000-0000-00001B000000}"/>
    <cellStyle name="40% - 강조색4 3" xfId="32" xr:uid="{00000000-0005-0000-0000-00001C000000}"/>
    <cellStyle name="40% - 강조색4 4" xfId="33" xr:uid="{00000000-0005-0000-0000-00001D000000}"/>
    <cellStyle name="40% - 강조색5 2" xfId="34" xr:uid="{00000000-0005-0000-0000-00001E000000}"/>
    <cellStyle name="40% - 강조색5 3" xfId="35" xr:uid="{00000000-0005-0000-0000-00001F000000}"/>
    <cellStyle name="40% - 강조색5 4" xfId="36" xr:uid="{00000000-0005-0000-0000-000020000000}"/>
    <cellStyle name="40% - 강조색6 2" xfId="37" xr:uid="{00000000-0005-0000-0000-000021000000}"/>
    <cellStyle name="40% - 강조색6 3" xfId="38" xr:uid="{00000000-0005-0000-0000-000022000000}"/>
    <cellStyle name="40% - 강조색6 4" xfId="39" xr:uid="{00000000-0005-0000-0000-000023000000}"/>
    <cellStyle name="60% - Accent1" xfId="418" xr:uid="{882559D0-C950-482A-94D5-E45E79F6783F}"/>
    <cellStyle name="60% - Accent2" xfId="419" xr:uid="{0AC63FB7-8DAD-4DEA-9DE4-55025C903EE9}"/>
    <cellStyle name="60% - Accent3" xfId="420" xr:uid="{27C80D42-8E0E-41D8-9A97-CB49E35EF357}"/>
    <cellStyle name="60% - Accent4" xfId="421" xr:uid="{30999533-1033-45B8-AE78-209596A20F13}"/>
    <cellStyle name="60% - Accent5" xfId="422" xr:uid="{BA77CCC3-B190-44E3-82DD-E3202877B4EE}"/>
    <cellStyle name="60% - Accent6" xfId="423" xr:uid="{C88EE7A5-C808-42CB-9C0F-460418F327A7}"/>
    <cellStyle name="60% - アクセント 1" xfId="424" xr:uid="{DF6C0BB9-2A50-447E-B116-47776B21DEAA}"/>
    <cellStyle name="60% - アクセント 2" xfId="425" xr:uid="{284BC8C1-1C12-4E2C-9E5D-C98BF39A1E88}"/>
    <cellStyle name="60% - アクセント 3" xfId="426" xr:uid="{DB7A9079-92B8-47FE-BD41-41C631E1EF58}"/>
    <cellStyle name="60% - アクセント 4" xfId="427" xr:uid="{29004E97-7956-4C9C-8A9B-BB6556CD92F8}"/>
    <cellStyle name="60% - アクセント 5" xfId="428" xr:uid="{7EFE3AB8-E31E-43D9-B3B1-BFD507C46AAE}"/>
    <cellStyle name="60% - アクセント 6" xfId="429" xr:uid="{EE58BE36-B0A2-48D7-95E8-4A363EFD895D}"/>
    <cellStyle name="60% - 强调文字颜色 1" xfId="430" xr:uid="{675565EF-78AC-48BD-A2D7-3547C8BBF901}"/>
    <cellStyle name="60% - 强调文字颜色 2" xfId="431" xr:uid="{A37F296B-8216-4659-9C1D-C4B0BEDD3E86}"/>
    <cellStyle name="60% - 强调文字颜色 3" xfId="432" xr:uid="{0AA9CA4B-4BA8-4214-B798-64A8A78BBB71}"/>
    <cellStyle name="60% - 强调文字颜色 4" xfId="433" xr:uid="{A6998808-2460-4680-980F-7C9F698E6E5C}"/>
    <cellStyle name="60% - 强调文字颜色 5" xfId="434" xr:uid="{32835289-4BC9-41D7-A7B3-7AA28338984A}"/>
    <cellStyle name="60% - 强调文字颜色 6" xfId="435" xr:uid="{3B815B3E-18D9-4417-B1CD-B550A40ED5C6}"/>
    <cellStyle name="60% - 강조색1 2" xfId="40" xr:uid="{00000000-0005-0000-0000-000024000000}"/>
    <cellStyle name="60% - 강조색1 3" xfId="41" xr:uid="{00000000-0005-0000-0000-000025000000}"/>
    <cellStyle name="60% - 강조색1 4" xfId="42" xr:uid="{00000000-0005-0000-0000-000026000000}"/>
    <cellStyle name="60% - 강조색2 2" xfId="43" xr:uid="{00000000-0005-0000-0000-000027000000}"/>
    <cellStyle name="60% - 강조색2 3" xfId="44" xr:uid="{00000000-0005-0000-0000-000028000000}"/>
    <cellStyle name="60% - 강조색2 4" xfId="45" xr:uid="{00000000-0005-0000-0000-000029000000}"/>
    <cellStyle name="60% - 강조색3 2" xfId="46" xr:uid="{00000000-0005-0000-0000-00002A000000}"/>
    <cellStyle name="60% - 강조색3 3" xfId="47" xr:uid="{00000000-0005-0000-0000-00002B000000}"/>
    <cellStyle name="60% - 강조색3 4" xfId="48" xr:uid="{00000000-0005-0000-0000-00002C000000}"/>
    <cellStyle name="60% - 강조색4 2" xfId="49" xr:uid="{00000000-0005-0000-0000-00002D000000}"/>
    <cellStyle name="60% - 강조색4 3" xfId="50" xr:uid="{00000000-0005-0000-0000-00002E000000}"/>
    <cellStyle name="60% - 강조색4 4" xfId="51" xr:uid="{00000000-0005-0000-0000-00002F000000}"/>
    <cellStyle name="60% - 강조색5 2" xfId="52" xr:uid="{00000000-0005-0000-0000-000030000000}"/>
    <cellStyle name="60% - 강조색5 3" xfId="53" xr:uid="{00000000-0005-0000-0000-000031000000}"/>
    <cellStyle name="60% - 강조색5 4" xfId="54" xr:uid="{00000000-0005-0000-0000-000032000000}"/>
    <cellStyle name="60% - 강조색6 2" xfId="55" xr:uid="{00000000-0005-0000-0000-000033000000}"/>
    <cellStyle name="60% - 강조색6 3" xfId="56" xr:uid="{00000000-0005-0000-0000-000034000000}"/>
    <cellStyle name="60% - 강조색6 4" xfId="57" xr:uid="{00000000-0005-0000-0000-000035000000}"/>
    <cellStyle name="a_Q2 FY96" xfId="436" xr:uid="{EA41E4BB-01B8-428B-AB9B-C900F018AA94}"/>
    <cellStyle name="A¡§¡ⓒ¡E¡þ¡EO [0]_¡§oCAuCoE¨I¡A " xfId="437" xr:uid="{90648425-DBD4-4DAF-B2B8-581C7B0636F3}"/>
    <cellStyle name="A¡§¡ⓒ¡E¡þ¡EO_¡§oCAuCoE¨I¡A " xfId="438" xr:uid="{35D3808D-48A8-4B40-A779-F62EA9F786E5}"/>
    <cellStyle name="A¨­¢¬¢Ò [0]_¡Æ¨ÏAo" xfId="439" xr:uid="{D4947F5F-E978-4445-8F39-9E80806F575F}"/>
    <cellStyle name="A¨­￠￢￠O [0]_¨oCAuCoEⓒ÷ " xfId="440" xr:uid="{32FFED32-4B36-4CC0-9DEE-AC1A95875D79}"/>
    <cellStyle name="A¨­¢¬¢Ò [0]_INQUIRY ¢¯¥ì¨ú¡ÀA©¬A©ª " xfId="441" xr:uid="{DEB4355B-9738-41DF-AD95-52F0B71A3282}"/>
    <cellStyle name="A¨­¢¬¢Ò_¡Æ¨ÏAo" xfId="442" xr:uid="{2BB98BF8-A8DA-45AF-B9DF-409782C5CD17}"/>
    <cellStyle name="A¨­￠￢￠O_¨oCAuCoEⓒ÷ " xfId="443" xr:uid="{998B6B60-AFDA-471C-B8AF-A2FF0FEC8C33}"/>
    <cellStyle name="A¨­¢¬¢Ò_INQUIRY ¢¯¥ì¨ú¡ÀA©¬A©ª " xfId="444" xr:uid="{AF9A92B4-30E0-4DDE-8C2B-66CFEBF5A9A1}"/>
    <cellStyle name="Accent1" xfId="445" xr:uid="{A946FCC4-5C62-4E9F-AD30-FB73118FCD0D}"/>
    <cellStyle name="Accent2" xfId="446" xr:uid="{816CE314-1AD8-4B5D-A658-848485FFACA4}"/>
    <cellStyle name="Accent3" xfId="447" xr:uid="{1ABB2EFA-1ADD-4075-BFBF-0A362292AA40}"/>
    <cellStyle name="Accent4" xfId="448" xr:uid="{238A6458-13B2-47EA-B2C5-1CE3C4B74770}"/>
    <cellStyle name="Accent5" xfId="449" xr:uid="{70D661BF-7962-4420-8186-746EA0957AB6}"/>
    <cellStyle name="Accent6" xfId="450" xr:uid="{BD54623C-3CC3-45F3-B971-58B9F301E45D}"/>
    <cellStyle name="Actual Date" xfId="451" xr:uid="{F85D4187-E128-40ED-A836-48A50863BEE6}"/>
    <cellStyle name="ÅëÈ­ [0]_ ´ë    Çü " xfId="452" xr:uid="{64F51D45-E527-4CB7-BBF5-156152F14A53}"/>
    <cellStyle name="AeE­ [0]_ ¸n A÷_V100 ºI¹I,³≫¼o 2.2 PILOT " xfId="453" xr:uid="{4D5BC149-97D8-40BB-B4C8-9682B454F49E}"/>
    <cellStyle name="ÅëÈ­ [0]_¡Ú¾ÈÜ¬ Á¾ÇÕºñ±³ " xfId="454" xr:uid="{DB551216-E88D-4B3A-8D1A-871429B29094}"/>
    <cellStyle name="AeE­ [0]_¸AAa" xfId="455" xr:uid="{EA1C3C89-B41F-4D53-A5CE-59DF7945CE03}"/>
    <cellStyle name="ÅëÈ­ [0]_¼­½ÄÃ¼01_ÅõÀÔ°èÈ¹ " xfId="456" xr:uid="{BC0D5C9A-626F-445F-888C-4F8147EEDBF7}"/>
    <cellStyle name="AeE­ [0]_¼­½AAI¶÷_AoAO°eE¹ " xfId="457" xr:uid="{C5DD7B56-5D55-49DC-8F83-FA796145CB84}"/>
    <cellStyle name="ÅëÈ­ [0]_¼­½ÄÀÏ¶÷_ÅõÀÔ°èÈ¹ " xfId="458" xr:uid="{6B82C1FC-3728-47D4-8DEF-1D17558DB3C5}"/>
    <cellStyle name="AeE­ [0]_1.ÆC¸A½CAu " xfId="459" xr:uid="{752C4073-5BA7-473E-BE2D-DAEDDB55459E}"/>
    <cellStyle name="ÅëÈ­ [0]_1.ÆÇ¸Å½ÇÀû " xfId="460" xr:uid="{9ACB4F6A-C17A-4F3F-AFB8-533BA2E2C8F4}"/>
    <cellStyle name="AeE­ [0]_1.SUMMARY " xfId="461" xr:uid="{CE40CC98-0603-4FF1-AE21-C4D3DCB1C441}"/>
    <cellStyle name="ÅëÈ­ [0]_1.SUMMARY " xfId="462" xr:uid="{41E6336A-6843-439D-9812-5F8D99FBD1CD}"/>
    <cellStyle name="AeE­ [0]_2.CONCEPT " xfId="463" xr:uid="{0A3830DF-F890-42C9-8E0D-6AC0F4788BFC}"/>
    <cellStyle name="ÅëÈ­ [0]_2.CONCEPT " xfId="464" xr:uid="{E55B6F35-1EA8-4DB7-B627-AAFB1CD80C85}"/>
    <cellStyle name="AeE­ [0]_3.MSCHEDULE¿μ¹R " xfId="465" xr:uid="{1F245511-34D9-49F4-9738-95FD4B1853AD}"/>
    <cellStyle name="ÅëÈ­ [0]_3PJTR°èÈ¹ " xfId="466" xr:uid="{91B65A33-2C36-4AC7-9661-338B9099CC0D}"/>
    <cellStyle name="AeE­ [0]_4 " xfId="467" xr:uid="{997859E0-E6CF-4455-B0C7-4DC34E0342D7}"/>
    <cellStyle name="ÅëÈ­ [0]_4 " xfId="468" xr:uid="{4730CA7D-8B3D-4C66-9AB0-5CA9741ED927}"/>
    <cellStyle name="AeE­ [0]_6-3°æAi·A " xfId="469" xr:uid="{9FB88B4B-4743-4B01-9DFD-4EB7920DF046}"/>
    <cellStyle name="ÅëÈ­ [0]_6-3°æÀï·Â " xfId="470" xr:uid="{CAEE9CF5-6895-4A19-B890-7696658ADCAB}"/>
    <cellStyle name="AeE­ [0]_7.MASTER SCHEDULE " xfId="471" xr:uid="{154F7B30-39A9-411E-9B91-BE3F5ADB691E}"/>
    <cellStyle name="ÅëÈ­ [0]_7.MASTER SCHEDULE " xfId="472" xr:uid="{B2A56DFA-726E-45FC-9EB5-6EB485670F07}"/>
    <cellStyle name="AeE­ [0]_AI¿ø°eE¹ " xfId="473" xr:uid="{63E2A734-A33B-4233-9E6D-546C5509B75E}"/>
    <cellStyle name="ÅëÈ­ [0]_ÀÎ¿ø°èÈ¹ " xfId="474" xr:uid="{C7FD4E2C-E2BF-4708-92DD-B937503F86DF}"/>
    <cellStyle name="AeE­ [0]_AOA¾AIA¤ " xfId="475" xr:uid="{8E1BEF29-38E9-4722-8E3C-A1C62ACE0045}"/>
    <cellStyle name="ÅëÈ­ [0]_ÃÖÁ¾ÀÏÁ¤ " xfId="476" xr:uid="{94B84754-71C3-46F3-A63B-5245B2F01B3B}"/>
    <cellStyle name="AeE­ [0]_INQUIRY ¿μ¾÷AßAø " xfId="477" xr:uid="{70EF16E4-5AE6-4A7B-8AF4-1AFE121318AE}"/>
    <cellStyle name="ÅëÈ­ [0]_MKN-M1.1 " xfId="478" xr:uid="{7CAE3F7A-5F7F-4619-9C1E-91E59A81556A}"/>
    <cellStyle name="AeE­ [0]_ºÐ·u±a01_AoAO°eE¹ " xfId="479" xr:uid="{40A68A42-E769-44C7-9729-847B903E6B6F}"/>
    <cellStyle name="ÅëÈ­ [0]_ºÐ·ù±â01_ÅõÀÔ°èÈ¹ " xfId="480" xr:uid="{5C751054-DAA5-4951-9456-2AA18D667C62}"/>
    <cellStyle name="AeE­ [0]_ºÐ·u±a02_AoAO°eE¹ " xfId="481" xr:uid="{18C472A3-3F98-42EE-9A34-BC2B13A06094}"/>
    <cellStyle name="ÅëÈ­ [0]_ºÐ·ù±â02_ÅõÀÔ°èÈ¹ " xfId="482" xr:uid="{5A6CD0B9-F365-4CE7-8DE5-10F5B1DA5D28}"/>
    <cellStyle name="AeE­ [0]_ºÐ·u±a03_AoAO°eE¹ " xfId="483" xr:uid="{BE5B5C4E-3106-4094-9D9A-2CB5874D4B5E}"/>
    <cellStyle name="ÅëÈ­ [0]_ºÐ·ù±â03_ÅõÀÔ°èÈ¹ " xfId="484" xr:uid="{095478A8-2988-4FF1-81CD-A129FB110069}"/>
    <cellStyle name="AeE­ [0]_ºÐ·u±aAØ_AoAO°eE¹ " xfId="485" xr:uid="{A3F0ED05-4EBB-4F99-84AB-4A2353801361}"/>
    <cellStyle name="ÅëÈ­ [0]_ºÐ·ù±âÁØ_ÅõÀÔ°èÈ¹ " xfId="486" xr:uid="{30E55E12-BFAB-4511-8152-F10CD12A4F73}"/>
    <cellStyle name="AeE­ [0]_ºÐ·u±aE￡_AoAO°eE¹ " xfId="487" xr:uid="{7B8DDCC7-1255-47A1-8E4A-08D92A05F7CF}"/>
    <cellStyle name="ÅëÈ­ [0]_ºÐ·ù±âÈ£_ÅõÀÔ°èÈ¹ " xfId="488" xr:uid="{20DD1027-90C3-4E76-B793-76D5FB876BBD}"/>
    <cellStyle name="AeE­ [0]_SAMPLE " xfId="489" xr:uid="{E2F48280-FF34-4BAD-84EA-87146F48EB55}"/>
    <cellStyle name="ÅëÈ­ [0]_SAMPLE " xfId="490" xr:uid="{099183BC-6245-4C23-872C-482AF172DB40}"/>
    <cellStyle name="AeE­ [0]_Sheet1 (2)_1.SUMMARY " xfId="491" xr:uid="{1D6E38A8-C236-4887-95C4-23C6BD11D036}"/>
    <cellStyle name="ÅëÈ­ [0]_Sheet1 (2)_1.SUMMARY " xfId="492" xr:uid="{5ADBF6A6-39B5-4826-95E6-D10B5708C72B}"/>
    <cellStyle name="AeE­ [0]_Sheet1_XD AOA¾AIA¤ " xfId="493" xr:uid="{04611CD1-B9D1-4B84-8FC4-48563C50CD78}"/>
    <cellStyle name="ÅëÈ­ [0]_Sheet1_XD ÃÖÁ¾ÀÏÁ¤ " xfId="494" xr:uid="{AB7544B3-7187-4E95-AB33-733AFFDA5513}"/>
    <cellStyle name="AeE­ [0]_SMG-CKD-d1.1 " xfId="495" xr:uid="{A619A7E2-337D-42D2-8796-E71564E117EA}"/>
    <cellStyle name="ÅëÈ­ [0]_SMG-CKD-d1.1 " xfId="496" xr:uid="{B5EF104B-8DC1-4C00-B0D1-D64A0017E685}"/>
    <cellStyle name="ÅëÈ­_ ´ë    Çü " xfId="497" xr:uid="{F1933011-6E05-4485-A57E-BA7E2183BCE6}"/>
    <cellStyle name="AeE­_ ¸n A÷_V100 ºI¹I,³≫¼o 2.2 PILOT " xfId="498" xr:uid="{CC973C2C-DB60-4F1E-A13B-8707D45693BB}"/>
    <cellStyle name="ÅëÈ­_¡Ú¾ÈÜ¬ Á¾ÇÕºñ±³ " xfId="499" xr:uid="{87A055C0-C987-4581-860C-4F14F54CD3C7}"/>
    <cellStyle name="AeE­_¸AAa" xfId="500" xr:uid="{A2291434-7420-4580-B221-C35D7339EE9D}"/>
    <cellStyle name="ÅëÈ­_¼­½ÄÃ¼01_ÅõÀÔ°èÈ¹ " xfId="501" xr:uid="{73917052-91C4-450A-AAC9-B38D3BE0DE34}"/>
    <cellStyle name="AeE­_¼­½AAI¶÷_AoAO°eE¹ " xfId="502" xr:uid="{66EE6E53-E608-44C8-A469-E492650FD9C1}"/>
    <cellStyle name="ÅëÈ­_¼­½ÄÀÏ¶÷_ÅõÀÔ°èÈ¹ " xfId="503" xr:uid="{F339D233-CE9F-47A8-95FC-695D73CC4FB1}"/>
    <cellStyle name="AeE­_1.ÆC¸A½CAu " xfId="504" xr:uid="{F49EBBEC-410E-41DD-AEAC-00CC5C65EF4D}"/>
    <cellStyle name="ÅëÈ­_1.ÆÇ¸Å½ÇÀû " xfId="505" xr:uid="{B7403DAC-8DB9-4060-B165-8D3A5437C27E}"/>
    <cellStyle name="AeE­_1.SUMMARY " xfId="506" xr:uid="{C17ACEAD-FCB0-483B-9B3F-C47CCAB6DCEB}"/>
    <cellStyle name="ÅëÈ­_1.SUMMARY " xfId="507" xr:uid="{AF30AB46-35CF-42F3-B2F4-7729B3B3C543}"/>
    <cellStyle name="AeE­_2.CONCEPT " xfId="508" xr:uid="{A40EFF11-221A-4328-A81C-F18F420615EF}"/>
    <cellStyle name="ÅëÈ­_2.CONCEPT " xfId="509" xr:uid="{B2B4D8D5-B9CF-478B-A775-2085E1DE5FC8}"/>
    <cellStyle name="AeE­_3.MSCHEDULE¿μ¹R " xfId="510" xr:uid="{D035DD8B-DEF3-4606-882F-205D2EAB0496}"/>
    <cellStyle name="ÅëÈ­_3PJTR°èÈ¹ " xfId="511" xr:uid="{E956B871-DB0B-48BA-85EE-F496C7120BC0}"/>
    <cellStyle name="AeE­_4 " xfId="512" xr:uid="{F23DF2E9-1A5A-43EB-A386-3F34E7BA35D0}"/>
    <cellStyle name="ÅëÈ­_4 " xfId="513" xr:uid="{A85787CC-44D2-4248-929C-5FF3CC8D3216}"/>
    <cellStyle name="AeE­_6-3°æAi·A " xfId="514" xr:uid="{EE3E40D3-BF85-4F4F-B2EA-48C7A03C73E6}"/>
    <cellStyle name="ÅëÈ­_6-3°æÀï·Â " xfId="515" xr:uid="{24C4B34D-88DB-4339-B2A8-84103DFF691B}"/>
    <cellStyle name="AeE­_7.MASTER SCHEDULE " xfId="516" xr:uid="{A5F42F13-95BF-4165-9F7F-86D8A995EC03}"/>
    <cellStyle name="ÅëÈ­_7.MASTER SCHEDULE " xfId="517" xr:uid="{3E20BB03-C061-470F-8B04-B4D3FEF4D80A}"/>
    <cellStyle name="AeE­_AI¿ø°eE¹ " xfId="518" xr:uid="{CCB83F2D-FF3D-409B-A2F7-494D4070E1F8}"/>
    <cellStyle name="ÅëÈ­_ÀÎ¿ø°èÈ¹ " xfId="519" xr:uid="{A192148E-0745-435B-90A2-D89DB9191334}"/>
    <cellStyle name="AeE­_AOA¾AIA¤ " xfId="520" xr:uid="{4FE2BE52-D413-4E23-9B51-7519EF851C22}"/>
    <cellStyle name="ÅëÈ­_ÃÖÁ¾ÀÏÁ¤ " xfId="521" xr:uid="{DD52A825-729B-4E8A-ABFA-7E2FB8FB0F77}"/>
    <cellStyle name="AeE­_INQUIRY ¿μ¾÷AßAø " xfId="522" xr:uid="{796E345A-5AEF-4686-80AF-FD8AC2C4C717}"/>
    <cellStyle name="ÅëÈ­_MKN-M1.1 " xfId="523" xr:uid="{77A53926-0534-42D1-AC89-D88BC2F4F37F}"/>
    <cellStyle name="AeE­_ºÐ·u±a01_AoAO°eE¹ " xfId="524" xr:uid="{F90144BE-B370-4F18-B798-018E7BB06C4F}"/>
    <cellStyle name="ÅëÈ­_ºÐ·ù±â01_ÅõÀÔ°èÈ¹ " xfId="525" xr:uid="{D2A64B9A-366C-4BF1-8037-C3F629572F52}"/>
    <cellStyle name="AeE­_ºÐ·u±a02_AoAO°eE¹ " xfId="526" xr:uid="{AA022871-06DE-4847-BEF2-B2B677E6C85B}"/>
    <cellStyle name="ÅëÈ­_ºÐ·ù±â02_ÅõÀÔ°èÈ¹ " xfId="527" xr:uid="{89EBB863-E88F-4733-87FD-9A9FF2CD81E8}"/>
    <cellStyle name="AeE­_ºÐ·u±a03_AoAO°eE¹ " xfId="528" xr:uid="{85736E0B-8A63-44A2-A92A-F4202C1D6056}"/>
    <cellStyle name="ÅëÈ­_ºÐ·ù±â03_ÅõÀÔ°èÈ¹ " xfId="529" xr:uid="{D59B4074-E3B7-4DD0-BD4D-918272001D48}"/>
    <cellStyle name="AeE­_ºÐ·u±aAØ_AoAO°eE¹ " xfId="530" xr:uid="{0D487AC6-55CB-410F-AE35-9067E1FEB8F1}"/>
    <cellStyle name="ÅëÈ­_ºÐ·ù±âÁØ_ÅõÀÔ°èÈ¹ " xfId="531" xr:uid="{54E1053C-3C29-4A80-8757-222E7ACDF955}"/>
    <cellStyle name="AeE­_ºÐ·u±aE￡_AoAO°eE¹ " xfId="532" xr:uid="{C5AFEAFA-411A-4A62-A2CD-6CF6B5FF7BFB}"/>
    <cellStyle name="ÅëÈ­_ºÐ·ù±âÈ£_ÅõÀÔ°èÈ¹ " xfId="533" xr:uid="{991F4769-72F8-4614-85D7-7B50B248F6D1}"/>
    <cellStyle name="AeE­_SAMPLE " xfId="534" xr:uid="{BDA79560-6242-4F48-B84E-FFD11EAA55A8}"/>
    <cellStyle name="ÅëÈ­_SAMPLE " xfId="535" xr:uid="{96AAFB29-6E1A-4199-8D7F-4C93E239BAE9}"/>
    <cellStyle name="AeE­_Sheet1 (2)_1.SUMMARY " xfId="536" xr:uid="{0F0669C3-205B-4901-8927-093C5FA72DB8}"/>
    <cellStyle name="ÅëÈ­_Sheet1 (2)_1.SUMMARY " xfId="537" xr:uid="{607FBB39-4819-49F1-84C2-D4A0F1690335}"/>
    <cellStyle name="AeE­_Sheet1_XD AOA¾AIA¤ " xfId="538" xr:uid="{519B8E41-6B73-4CB7-B08B-49DFA4509CC1}"/>
    <cellStyle name="ÅëÈ­_Sheet1_XD ÃÖÁ¾ÀÏÁ¤ " xfId="539" xr:uid="{A844A544-D334-4393-90EA-783CB9F649F9}"/>
    <cellStyle name="AeE­_SMG-CKD-d1.1 " xfId="540" xr:uid="{F333F1AA-8010-409A-8954-08586E3CFB89}"/>
    <cellStyle name="ÅëÈ­_SMG-CKD-d1.1 " xfId="541" xr:uid="{981D04E0-A495-41C4-AC49-42FA56AEA3BB}"/>
    <cellStyle name="AeE¡© [0]_¡Æ¨ÏAo" xfId="542" xr:uid="{A146E269-84AC-49E0-BDE6-6B74F52EC84E}"/>
    <cellStyle name="AeE¡©_¡Æ¨ÏAo" xfId="543" xr:uid="{CB2712E0-0E1B-4DB0-AAF2-B36DD81D9DC4}"/>
    <cellStyle name="AeE¡ⓒ [0]_¨oCAuCoEⓒ÷ " xfId="544" xr:uid="{82C49059-9D3E-45BC-9694-BBFBFDFDD26A}"/>
    <cellStyle name="AeE¡ⓒ_¨oCAuCoEⓒ÷ " xfId="545" xr:uid="{E29E8571-3242-4D35-B121-C882A80D22CF}"/>
    <cellStyle name="AeE￠R¨I [0]_¡§oCAuCoE¨I¡A " xfId="546" xr:uid="{D5C226FC-C698-438D-ADD8-A31335528F33}"/>
    <cellStyle name="AeE￠R¨I_¡§oCAuCoE¨I¡A " xfId="547" xr:uid="{65BCF7CE-2495-4305-A071-ACC8B5526E5C}"/>
    <cellStyle name="ÄÞ¸¶ [0]_ ´ë    Çü " xfId="548" xr:uid="{6FE6A681-2776-4561-ACCC-41650FD3FF7B}"/>
    <cellStyle name="AÞ¸¶ [0]_ ¸n A÷_V100 ºI¹I,³≫¼o 2.2 PILOT " xfId="549" xr:uid="{86B1C616-E18F-4242-AB7E-5E819E0CDA44}"/>
    <cellStyle name="ÄÞ¸¶ [0]_¡Ú¾ÈÜ¬ Á¾ÇÕºñ±³ " xfId="550" xr:uid="{3D1B05BE-1519-406D-BCEA-FD434D7F8FC8}"/>
    <cellStyle name="AÞ¸¶ [0]_¿i¿μ¾E " xfId="551" xr:uid="{2BBD20CC-FFD0-4A8A-8A98-63B65C52357D}"/>
    <cellStyle name="ÄÞ¸¶ [0]_½ÇÀûÇöÈ² " xfId="552" xr:uid="{E6044EFD-1B5A-47AA-89EE-F19AB94DB1A6}"/>
    <cellStyle name="AÞ¸¶ [0]_½CAuCoE² _01하반기上" xfId="553" xr:uid="{C2CA9A60-8172-424E-B687-DD4ECDFBAE27}"/>
    <cellStyle name="ÄÞ¸¶ [0]_1.SUMMARY " xfId="554" xr:uid="{155B11EC-43A5-4E67-AC61-D9609C044819}"/>
    <cellStyle name="AÞ¸¶ [0]_2.CONCEPT " xfId="555" xr:uid="{23D89FF6-31FB-4BA1-B420-D0F34206375A}"/>
    <cellStyle name="ÄÞ¸¶ [0]_2.CONCEPT " xfId="556" xr:uid="{61AC91D5-5338-4930-8EB8-E378F9DD1E22}"/>
    <cellStyle name="AÞ¸¶ [0]_3.MSCHEDULE¿μ¹R " xfId="557" xr:uid="{EFA19A11-DB56-43C4-97BF-F272E5AD9940}"/>
    <cellStyle name="ÄÞ¸¶ [0]_3PJTR°èÈ¹ " xfId="558" xr:uid="{F52CC5CF-EFD4-4108-B441-103EA4D97552}"/>
    <cellStyle name="AÞ¸¶ [0]_4 " xfId="559" xr:uid="{4754C2E2-C351-4DA6-B541-C9274F94254A}"/>
    <cellStyle name="ÄÞ¸¶ [0]_4 " xfId="560" xr:uid="{DE5D96C1-FD42-4340-9EAB-D32736C9F735}"/>
    <cellStyle name="AÞ¸¶ [0]_6-3°æAi·A " xfId="561" xr:uid="{62288109-C8CB-46DB-B5DB-4FDFA0F7E114}"/>
    <cellStyle name="ÄÞ¸¶ [0]_6-3°æÀï·Â " xfId="562" xr:uid="{E07F1C40-CB9C-48B4-A9FD-EA5B23F767DC}"/>
    <cellStyle name="AÞ¸¶ [0]_7.MASTER SCHEDULE " xfId="563" xr:uid="{6D7E6E80-D59B-4A2C-BD0F-24281A8216D7}"/>
    <cellStyle name="ÄÞ¸¶ [0]_7.MASTER SCHEDULE " xfId="564" xr:uid="{12A78453-8E55-4CF2-88A6-AFFF3A055FAB}"/>
    <cellStyle name="AÞ¸¶ [0]_AI¿ø°eE¹ " xfId="565" xr:uid="{9EA623A2-7FA2-47BF-B7C8-79377C36329D}"/>
    <cellStyle name="ÄÞ¸¶ [0]_ÀÎ¿ø°èÈ¹ " xfId="566" xr:uid="{592D7267-6F4A-4839-9AD1-8FC60FE4BF85}"/>
    <cellStyle name="AÞ¸¶ [0]_AOA¾AIA¤ " xfId="567" xr:uid="{51D57376-691B-4D54-9C67-F4BA0936632B}"/>
    <cellStyle name="ÄÞ¸¶ [0]_ÃÖÁ¾ÀÏÁ¤ " xfId="568" xr:uid="{0184A36F-3BF7-4987-A907-5C37087C5CC0}"/>
    <cellStyle name="AÞ¸¶ [0]_INQUIRY ¿μ¾÷AßAø " xfId="569" xr:uid="{4AC42305-8D6D-4DF5-BA48-1444D6D79025}"/>
    <cellStyle name="ÄÞ¸¶ [0]_MKN-M1.1 " xfId="570" xr:uid="{D4717F58-DB5F-4B4F-8F74-CE8B877D6D07}"/>
    <cellStyle name="AÞ¸¶ [0]_SAMPLE " xfId="571" xr:uid="{C117F5A3-BBE0-4E26-B1D4-1B5BDE2DDE9F}"/>
    <cellStyle name="ÄÞ¸¶ [0]_SAMPLE " xfId="572" xr:uid="{664C294F-3767-4835-B190-4AFE77D4829F}"/>
    <cellStyle name="AÞ¸¶ [0]_Sheet1 (2)_1.SUMMARY " xfId="573" xr:uid="{7001F7CD-D47F-4853-891A-BD02C92EAC2E}"/>
    <cellStyle name="ÄÞ¸¶ [0]_Sheet1 (2)_1.SUMMARY " xfId="574" xr:uid="{7135CA71-9A02-4DA6-9DA6-A7A31E697AE0}"/>
    <cellStyle name="AÞ¸¶ [0]_Sheet1_XD AOA¾AIA¤ " xfId="575" xr:uid="{7B9E6F87-346A-4031-9807-EB702E885C43}"/>
    <cellStyle name="ÄÞ¸¶ [0]_Sheet1_XD ÃÖÁ¾ÀÏÁ¤ " xfId="576" xr:uid="{FDEEFE7A-68C4-4027-A4C2-AC7B63969AB9}"/>
    <cellStyle name="AÞ¸¶ [0]_SMG-CKD-d1.1 " xfId="577" xr:uid="{31F91640-FE23-420D-A54F-5115AF491776}"/>
    <cellStyle name="ÄÞ¸¶ [0]_SMG-CKD-d1.1 " xfId="578" xr:uid="{5FAD0570-92DD-4094-93E1-5924708F31BA}"/>
    <cellStyle name="AÞ¸¶,_x0005__x0014_" xfId="579" xr:uid="{576DAD98-48AD-4FFF-934A-5F878CC7B2EB}"/>
    <cellStyle name="ÄÞ¸¶_ ´ë    Çü " xfId="580" xr:uid="{837F0588-A8A1-4A44-A219-DEFE5D056529}"/>
    <cellStyle name="AÞ¸¶_!!!GO" xfId="581" xr:uid="{DCA99C8B-2D23-4258-8C77-5F50F88C1237}"/>
    <cellStyle name="ÄÞ¸¶_¡Ú¾ÈÜ¬ Á¾ÇÕºñ±³ " xfId="582" xr:uid="{136ABE23-2D73-4F67-AB05-1671F8ED46F2}"/>
    <cellStyle name="AÞ¸¶_¿i¿μ¾E " xfId="583" xr:uid="{782EA673-E264-4DD4-8F44-238DA3CA35F7}"/>
    <cellStyle name="ÄÞ¸¶_½ÇÀûÇöÈ² " xfId="584" xr:uid="{EF14808B-A48F-475F-9F77-04FD259F3377}"/>
    <cellStyle name="AÞ¸¶_2.CONCEPT " xfId="585" xr:uid="{31BE426E-B04B-41BE-865F-38F5F428D0EE}"/>
    <cellStyle name="ÄÞ¸¶_2.CONCEPT " xfId="586" xr:uid="{177F4E8D-0659-4340-AEE4-6FBF6C74CE89}"/>
    <cellStyle name="AÞ¸¶_3.MSCHEDULE¿μ¹R " xfId="587" xr:uid="{3A1715C7-93F8-4A2E-9947-78CB55DA763B}"/>
    <cellStyle name="ÄÞ¸¶_3PJTR°èÈ¹ " xfId="588" xr:uid="{3C381597-2096-4314-B640-2456428CDA11}"/>
    <cellStyle name="AÞ¸¶_4 " xfId="589" xr:uid="{21412349-F240-43D7-A2B1-4000B370A268}"/>
    <cellStyle name="ÄÞ¸¶_4 " xfId="590" xr:uid="{FD5F6F5A-397A-4B37-9514-C0E5D87A66AB}"/>
    <cellStyle name="AÞ¸¶_6-3°æAi·A " xfId="591" xr:uid="{6D222EFA-5AD5-42ED-B076-70AFAD0A4B61}"/>
    <cellStyle name="ÄÞ¸¶_6-3°æÀï·Â " xfId="592" xr:uid="{A8C8E7FC-DCBC-49D9-A71B-82DFF17AA407}"/>
    <cellStyle name="AÞ¸¶_7.MASTER SCHEDULE " xfId="593" xr:uid="{A53D1C33-B2E2-4F27-9A7A-07966E348279}"/>
    <cellStyle name="ÄÞ¸¶_7.MASTER SCHEDULE " xfId="594" xr:uid="{8B5D319A-1049-445E-89D4-13A58FFD9FDE}"/>
    <cellStyle name="AÞ¸¶_AI¿ø°eE¹ " xfId="595" xr:uid="{8E7E7632-073D-470C-8935-00E58E9F0D5E}"/>
    <cellStyle name="ÄÞ¸¶_ÀÎ¿ø°èÈ¹ " xfId="596" xr:uid="{11841D3D-B423-46DB-B1B0-DC8800285D71}"/>
    <cellStyle name="AÞ¸¶_AOA¾AIA¤ " xfId="597" xr:uid="{2E44C01E-1698-4576-B387-14C814DFD3C7}"/>
    <cellStyle name="ÄÞ¸¶_ÃÖÁ¾ÀÏÁ¤ " xfId="598" xr:uid="{8F9349A0-3425-44B1-BB82-7F32DFCD4DC7}"/>
    <cellStyle name="AÞ¸¶_INQUIRY ¿μ¾÷AßAø " xfId="599" xr:uid="{047E94FF-820F-4947-B176-A8812239D59F}"/>
    <cellStyle name="ÄÞ¸¶_MKN-M1.1 " xfId="600" xr:uid="{F3A7E1FB-6E7B-4E76-8773-30A90597DF50}"/>
    <cellStyle name="AÞ¸¶_SAMPLE " xfId="601" xr:uid="{63384896-72E6-4F17-97D9-E45207A2A85B}"/>
    <cellStyle name="ÄÞ¸¶_SAMPLE " xfId="602" xr:uid="{C6B8D198-497A-4004-9CC8-97D07B926718}"/>
    <cellStyle name="AÞ¸¶_Sheet1 (2)_1.SUMMARY " xfId="603" xr:uid="{F6D9A043-EB0C-41C3-9834-DD96888CE379}"/>
    <cellStyle name="ÄÞ¸¶_Sheet1 (2)_1.SUMMARY " xfId="604" xr:uid="{A56E9739-D1EB-4435-8CD7-2FC05339DAB0}"/>
    <cellStyle name="AÞ¸¶_Sheet1_XD AOA¾AIA¤ " xfId="605" xr:uid="{04B86A41-4EA4-4D25-BB07-7A9CAD6EB7C8}"/>
    <cellStyle name="ÄÞ¸¶_Sheet1_XD ÃÖÁ¾ÀÏÁ¤ " xfId="606" xr:uid="{C7991C68-A339-4EAA-8E7F-05868D8DEAE1}"/>
    <cellStyle name="AÞ¸¶_SMG-CKD-d1.1 " xfId="607" xr:uid="{882C74D8-0051-46CC-BC3D-E030FA8D4745}"/>
    <cellStyle name="ÄÞ¸¶_SMG-CKD-d1.1 " xfId="608" xr:uid="{0AADA535-9695-4F3F-ABA1-D2FF5C4015D4}"/>
    <cellStyle name="_x0002_b" xfId="609" xr:uid="{31F721E8-7DF6-4AF1-8C20-D5292FF69883}"/>
    <cellStyle name="_x0002_b 2" xfId="2364" xr:uid="{473C09EC-AB81-48DF-8F56-D0327DC52690}"/>
    <cellStyle name="_x0002_b 2 2" xfId="2701" xr:uid="{793B6AF5-2409-4D6A-BDFC-92425F7F80FB}"/>
    <cellStyle name="_x0002_b 2 2 2" xfId="3358" xr:uid="{BB680042-1C4B-46C6-B74A-EDF27B8F1520}"/>
    <cellStyle name="_x0002_b 2 2 2 2" xfId="4729" xr:uid="{DB227565-28FD-4AC6-9037-3288451EB998}"/>
    <cellStyle name="_x0002_b 2 2 3" xfId="4075" xr:uid="{68D14FF1-953B-4625-AA72-B583A2BB5A68}"/>
    <cellStyle name="_x0002_b 2 3" xfId="3031" xr:uid="{A74C0401-F6FB-4926-A77D-ACCFD6DDB7A4}"/>
    <cellStyle name="_x0002_b 2 3 2" xfId="4402" xr:uid="{78020FD1-5084-4638-900D-89D1E7227CD5}"/>
    <cellStyle name="_x0002_b 2 4" xfId="3748" xr:uid="{C577A5B0-7346-4156-92BE-534C20E96609}"/>
    <cellStyle name="_x0002_b 3" xfId="2508" xr:uid="{95DBA8D7-F86C-4344-B63E-48FD726BF225}"/>
    <cellStyle name="_x0002_b 3 2" xfId="3165" xr:uid="{0F3189B2-8BC9-45B1-B77C-347A206E7A89}"/>
    <cellStyle name="_x0002_b 3 2 2" xfId="4536" xr:uid="{540C6495-9F5A-4281-9046-2D8009044EEE}"/>
    <cellStyle name="_x0002_b 3 3" xfId="3882" xr:uid="{CE382D27-0948-47EF-BB1A-5D7A45C08019}"/>
    <cellStyle name="_x0002_b 4" xfId="2835" xr:uid="{E5ABF6E0-6F70-4738-AFC9-C967E3483622}"/>
    <cellStyle name="_x0002_b 4 2" xfId="4209" xr:uid="{2D22538B-75FA-43C5-A032-73E85D2D9463}"/>
    <cellStyle name="_x0002_b 5" xfId="3547" xr:uid="{D85312F7-6B7F-47A8-BFBA-FE69B3C55D8D}"/>
    <cellStyle name="Bad" xfId="610" xr:uid="{5888A01C-52DE-45FB-B9BD-A44C73BF0992}"/>
    <cellStyle name="C_TITLE" xfId="611" xr:uid="{7D8B4E52-4C0B-4A09-BA14-5ACC3CCB67CD}"/>
    <cellStyle name="C_TITLE_10월생산계획" xfId="612" xr:uid="{24637A30-18F8-44A5-8158-D8583CB8B3B6}"/>
    <cellStyle name="C_TITLE_6월생산계획" xfId="613" xr:uid="{31045B42-5242-49DB-BA34-672F71AC036C}"/>
    <cellStyle name="C_TITLE_6월생산계획_2011년 10월 생산계획" xfId="614" xr:uid="{070E007F-F94D-4A74-98D4-02FF0261EA1E}"/>
    <cellStyle name="C_TITLE_6월생산계획_2011년 8월 생산계획-수정" xfId="615" xr:uid="{91671DA6-FB2D-40F1-B738-A4255BA6B068}"/>
    <cellStyle name="C_TITLE_6월생산계획_2011년 9월 생산계획" xfId="616" xr:uid="{03629F8E-2CFE-4CAA-8BF1-3B87861B61F5}"/>
    <cellStyle name="C_TITLE_8월생산계획(1)" xfId="617" xr:uid="{A83C54B1-52A6-45C6-8F10-B6A78FA68A5B}"/>
    <cellStyle name="C_TITLE_8월생산계획110805" xfId="618" xr:uid="{45440F9F-A6BE-4732-B75A-7CABB6FF8BAB}"/>
    <cellStyle name="C¡ÍA¨ª_¡Æ¨ÏAo" xfId="619" xr:uid="{A0D50E4B-81F3-4D54-9DC1-4D3284B87583}"/>
    <cellStyle name="C¡IA¨ª_¡Æ￠R¨uO￠￢¡ÆAIA￠´_￥iⓒ￡A¨IAIA￠´ " xfId="620" xr:uid="{B5C10121-179C-4414-B2CC-A053BFC99F65}"/>
    <cellStyle name="C¡ÍA¨ª_¡íc¨ú¡À¨¬I¨¬¡Æ AN¡Æe " xfId="621" xr:uid="{F7F2B791-182D-4CFC-8070-3C8D4D7F0709}"/>
    <cellStyle name="C¡IA¨ª_¡ic¨u¡A¨￢I¨￢¡Æ AN¡Æe _철도청 전동차 개조 14량 생산 계획(2002.3.26)" xfId="622" xr:uid="{8689C1D6-E82B-4FAB-B441-C546D43F9CA7}"/>
    <cellStyle name="C￠RIA¡§¨￡_￠Ric¡§u￠RA¡§¡þI¡§¡þ￠R¨¡ AN￠R¨¡e " xfId="623" xr:uid="{EFAB2332-AFC7-436D-B2A9-35DB6C2F447F}"/>
    <cellStyle name="C￥AØ_  FAB AIA¤  " xfId="624" xr:uid="{C976AAFF-2887-44BB-A6C2-CF0898F941C7}"/>
    <cellStyle name="Ç¥ÁØ_ ´ë    Çü " xfId="625" xr:uid="{AC689C30-96DA-424F-B528-30D44813EB72}"/>
    <cellStyle name="C￥AØ_¡ßFO AoAUºnºn±³ " xfId="626" xr:uid="{77F29AD9-7CB9-487F-94C4-964DF6AFC915}"/>
    <cellStyle name="Ç¥ÁØ_¡ßFO ÅõÀÚºñºñ±³ " xfId="627" xr:uid="{2A0A4A8F-8B0D-4395-BBC3-F9D6B3B4B10E}"/>
    <cellStyle name="C￥AØ_¿￢±¸¼O °ø≫cCoE² " xfId="628" xr:uid="{47C0B490-0C97-4378-9EA3-2F386DBF91AF}"/>
    <cellStyle name="Ç¥ÁØ_¿µ¾÷ÇöÈ² " xfId="629" xr:uid="{1F3D46AE-979B-4FF5-A997-70E55919C6C6}"/>
    <cellStyle name="C￥AØ_¿i¿μ¾E " xfId="630" xr:uid="{EEDB8B8E-8013-4F9B-AF0B-E29AD75DA385}"/>
    <cellStyle name="Ç¥ÁØ_±â¾È " xfId="631" xr:uid="{89C37625-270F-4AAE-9C02-F6A3C9414A8F}"/>
    <cellStyle name="C￥AØ_≫c¾÷ºIº° AN°e " xfId="632" xr:uid="{73217EDE-5980-42E8-BFCB-FA7D2A5BBABD}"/>
    <cellStyle name="Ç¥ÁØ_°¡¼Ö¸°ÀÏÁ¤_µðÁ©ÀÏÁ¤ " xfId="633" xr:uid="{2093A6EE-1B1B-4A72-96D3-C561DFC04C60}"/>
    <cellStyle name="C￥AØ_°¡¼O¸°AIA¤_μðAⓒAIA¤ " xfId="634" xr:uid="{93BD7928-79C8-4B90-A65B-65FDDF8100A6}"/>
    <cellStyle name="Ç¥ÁØ_°³¹ßÀÏÁ¤ " xfId="635" xr:uid="{68440C6E-75AD-41BE-AA8E-C48AEA1B7901}"/>
    <cellStyle name="C￥AØ_°³¹ßAIA¤  (2)_°³¹ßAIA¤ " xfId="636" xr:uid="{04C610CB-2B6C-4DF5-957E-A4458BE77CC6}"/>
    <cellStyle name="Ç¥ÁØ_°³¹ßÀÏÁ¤  (2)_°³¹ßÀÏÁ¤ " xfId="637" xr:uid="{155D0808-94E0-4ED0-925F-7DFD86B8879F}"/>
    <cellStyle name="C￥AØ_°u¸RC×¸n_¾÷A¾º° " xfId="638" xr:uid="{3FD02976-1A97-440F-B085-8159F169C3A9}"/>
    <cellStyle name="Ç¥ÁØ_1.ÆÇ¸Å½ÇÀû " xfId="639" xr:uid="{EAF47F7C-C11F-4C6B-8D00-BD1CD1AB2B66}"/>
    <cellStyle name="C￥AØ_1.SUMMARY " xfId="640" xr:uid="{B0BB29ED-FA3A-4A35-8DD0-B13628300A69}"/>
    <cellStyle name="Ç¥ÁØ_1.SUMMARY " xfId="641" xr:uid="{EE09C4F3-1446-4887-95CD-F9B877A68D79}"/>
    <cellStyle name="C￥AØ_10+10 " xfId="642" xr:uid="{AB9B682D-3880-40E2-867F-3D7FD2335ECB}"/>
    <cellStyle name="Ç¥ÁØ_2.CONCEPT " xfId="643" xr:uid="{FF166722-627A-4D95-B91D-7CC603E44232}"/>
    <cellStyle name="C￥AØ_3.MSCHEDULE¿μ¹R " xfId="644" xr:uid="{9EDE4F7D-37C4-44BC-9611-8CD038C04CE2}"/>
    <cellStyle name="Ç¥ÁØ_3PJTR°èÈ¹ " xfId="645" xr:uid="{32137447-79D4-4C53-AB93-E1B26E832A76}"/>
    <cellStyle name="C￥AØ_4 " xfId="646" xr:uid="{D5E16F93-D898-4CBB-ADA4-2E40BEEAA7E2}"/>
    <cellStyle name="Ç¥ÁØ_4 " xfId="647" xr:uid="{017C2E44-B438-48CA-B4D5-259672E12A1B}"/>
    <cellStyle name="C￥AØ_5-1±¤°i " xfId="648" xr:uid="{914FA0A6-B9AF-43DC-9D13-ADEC033FA90D}"/>
    <cellStyle name="Ç¥ÁØ_5-1±¤°í " xfId="649" xr:uid="{4B39FBCD-4118-4C7D-87A9-C1F059C27E53}"/>
    <cellStyle name="C￥AØ_6-3°æAi·A " xfId="650" xr:uid="{E5C3D374-CB2C-4368-8BB9-099F2322A9F9}"/>
    <cellStyle name="Ç¥ÁØ_6-3°æÀï·Â " xfId="651" xr:uid="{B4217A7C-3F9D-4040-AB0B-05F520386E3D}"/>
    <cellStyle name="C￥AØ_7.MASTER SCHEDULE " xfId="652" xr:uid="{19839D9D-4DB5-4E79-BCB3-4D8FB857153F}"/>
    <cellStyle name="Ç¥ÁØ_7.MASTER SCHEDULE " xfId="653" xr:uid="{078F9D4C-11F7-4113-8520-7C6BFB964B0A}"/>
    <cellStyle name="C￥AØ_96AI¿ø°e2 " xfId="654" xr:uid="{7547FD87-3CDC-4022-8B55-5EA1FB77E735}"/>
    <cellStyle name="Ç¥ÁØ_96ÀÎ¿ø°è2 " xfId="655" xr:uid="{2703D85C-EDA7-4307-8549-44599988A565}"/>
    <cellStyle name="C￥AØ_96AI¿ø°O 3 " xfId="656" xr:uid="{AC3A0C90-7E6D-4CD6-9878-73CB485DA705}"/>
    <cellStyle name="Ç¥ÁØ_96ÀÎ¿ø°Ô 3 " xfId="657" xr:uid="{A74E556A-6728-457E-9813-D3FD7F446B30}"/>
    <cellStyle name="C￥AØ_A·ºI2 " xfId="658" xr:uid="{EC26489E-C35A-4F78-8A70-DE41141A917B}"/>
    <cellStyle name="Ç¥ÁØ_Ã·ºÎ2 " xfId="659" xr:uid="{ECFAA36F-DCAC-4F1D-B2C4-84377C025DF8}"/>
    <cellStyle name="C￥AØ_Æi¼º¸RCA " xfId="660" xr:uid="{A5655BC5-6CBB-4FD2-9DC6-8542282830B2}"/>
    <cellStyle name="Ç¥ÁØ_ÃÖÁ¾ÀÏÁ¤ " xfId="661" xr:uid="{7A4CF5D2-65D4-4F54-91B3-5B9866DCFEDC}"/>
    <cellStyle name="C￥AØ_AoAUºn(ºI¼­º°,°eA¤º°) " xfId="662" xr:uid="{8F49748C-97E1-4DF1-ABF0-235F27C5ECA6}"/>
    <cellStyle name="Ç¥ÁØ_ÅõÀÚºñ(ºÎ¼­º°,°èÁ¤º°) " xfId="663" xr:uid="{85E0B6BE-20AD-4177-9DAE-970DE2F5A8D5}"/>
    <cellStyle name="C￥AØ_Aß±a≫y≫e°eE¹ " xfId="664" xr:uid="{01B71B08-90C4-4AB3-BFE6-F61206A28498}"/>
    <cellStyle name="Ç¥ÁØ_Áý°èÇ¥(2¿ù) " xfId="665" xr:uid="{3F0399B4-BA45-4E01-92C0-087BC573E9E6}"/>
    <cellStyle name="C￥AØ_C￥Ao " xfId="666" xr:uid="{3BD5D229-4048-465A-A2BD-E4F893EBD8F6}"/>
    <cellStyle name="Ç¥ÁØ_ÇùÁ¶Àü_ÅõÀÔ°èÈ¹ " xfId="667" xr:uid="{E830F60C-D0BA-4962-BBD3-2B501DEDFC41}"/>
    <cellStyle name="C￥AØ_lx-taxi " xfId="668" xr:uid="{74654407-B809-4903-BA85-2CAEDD551B21}"/>
    <cellStyle name="Ç¥ÁØ_lx-taxi " xfId="669" xr:uid="{8B872D94-99A4-4E27-AF4F-5200B480938A}"/>
    <cellStyle name="C￥AØ_M105CDT " xfId="670" xr:uid="{D6733EA7-8147-4D94-95CB-BE75BB96E208}"/>
    <cellStyle name="Ç¥ÁØ_MKN-M1.1 " xfId="671" xr:uid="{21662C31-AEE7-4758-AC42-D868E42DD137}"/>
    <cellStyle name="C￥AØ_page 2 " xfId="672" xr:uid="{5A86A360-102E-49E4-84BE-E38420948E21}"/>
    <cellStyle name="Ç¥ÁØ_page 2 " xfId="673" xr:uid="{F663D4A5-4D4A-4361-AD7E-2F8D70473FB0}"/>
    <cellStyle name="C￥AØ_page 2  2" xfId="674" xr:uid="{5909E326-B077-4814-93A0-B0390D93A5BE}"/>
    <cellStyle name="Ç¥ÁØ_page 2  2" xfId="675" xr:uid="{7BF4B675-A00E-460B-9BCB-E488E295764A}"/>
    <cellStyle name="C￥AØ_page 2  3" xfId="676" xr:uid="{533CAE8B-18A2-44F8-8477-E2B1C473B909}"/>
    <cellStyle name="Ç¥ÁØ_page 2  3" xfId="677" xr:uid="{54071F6B-D56E-4FCE-99FB-02A930A4D6DE}"/>
    <cellStyle name="C￥AØ_page 2  4" xfId="678" xr:uid="{84174713-CD67-4B15-9921-0AEED852424E}"/>
    <cellStyle name="Ç¥ÁØ_page 2  4" xfId="679" xr:uid="{EFA9EC04-2CC3-4EA8-A813-05C213B6BCC1}"/>
    <cellStyle name="C￥AØ_page 2  5" xfId="680" xr:uid="{828A25E5-9C76-44DB-9D5F-69CFBE0435C0}"/>
    <cellStyle name="Ç¥ÁØ_page 2  5" xfId="681" xr:uid="{C652E15E-B548-414C-8929-38BE0B2A3574}"/>
    <cellStyle name="C￥AØ_page 2  6" xfId="682" xr:uid="{74FC8565-9439-435E-87DF-06E16D61FA5D}"/>
    <cellStyle name="Ç¥ÁØ_page 2  6" xfId="683" xr:uid="{73549841-95EA-4407-8AFB-6DA7513FB7C7}"/>
    <cellStyle name="C￥AØ_page 2 _030514-생산팀 감사자료" xfId="684" xr:uid="{12DD4EEE-29AD-4930-93C4-434803009978}"/>
    <cellStyle name="Ç¥ÁØ_page 2 _030514-생산팀 감사자료" xfId="685" xr:uid="{F4889DF9-3F8A-4DDE-A5BF-48111EDF4DCE}"/>
    <cellStyle name="C￥AØ_page 2 _030514-생산팀 감사자료 2" xfId="686" xr:uid="{3E59AFE9-E409-4ECD-8F59-54FA29A093BE}"/>
    <cellStyle name="Ç¥ÁØ_page 2 _030514-생산팀 감사자료 2" xfId="687" xr:uid="{6A146FE2-E3D5-43A0-A8D0-B202D672CBB2}"/>
    <cellStyle name="C￥AØ_page 2 _030514-생산팀 감사자료 3" xfId="688" xr:uid="{A7EF2AD2-F617-4D67-9E8B-7E64374FDDE1}"/>
    <cellStyle name="Ç¥ÁØ_page 2 _030514-생산팀 감사자료 3" xfId="689" xr:uid="{3F99D527-8571-498A-A6AF-A890E7473407}"/>
    <cellStyle name="C￥AØ_page 2 _030514-생산팀 감사자료 4" xfId="690" xr:uid="{D471877D-C6CA-4148-8F99-13A6A4740489}"/>
    <cellStyle name="Ç¥ÁØ_page 2 _030514-생산팀 감사자료 4" xfId="691" xr:uid="{25E6BE26-53B1-4686-84CA-D5CB23A4387D}"/>
    <cellStyle name="C￥AØ_page 2 _030514-생산팀 감사자료 5" xfId="692" xr:uid="{3E727BB4-1D52-479D-9160-7397E1531DC5}"/>
    <cellStyle name="Ç¥ÁØ_page 2 _030514-생산팀 감사자료 5" xfId="693" xr:uid="{1BA99869-3384-43ED-B5BF-DF64065EE236}"/>
    <cellStyle name="C￥AØ_page 2 _030514-생산팀 감사자료 6" xfId="694" xr:uid="{0F86BCC3-A1A5-44DC-88FA-DCC02E170CDD}"/>
    <cellStyle name="Ç¥ÁØ_page 2 _030514-생산팀 감사자료 6" xfId="695" xr:uid="{14C7E7D6-2C3B-4212-BB8A-D42CDA5DF9A2}"/>
    <cellStyle name="C￥AØ_page 2 _030514-생산팀 감사자료_10월생산계획" xfId="696" xr:uid="{CEB36DAD-B0A5-44FB-BBA1-28AF21889B09}"/>
    <cellStyle name="Ç¥ÁØ_page 2 _030514-생산팀 감사자료_10월생산계획" xfId="697" xr:uid="{1A4C002E-652C-471D-A9D4-FEBE40A4658A}"/>
    <cellStyle name="C￥AØ_page 2 _030514-생산팀 감사자료_6월생산계획" xfId="698" xr:uid="{9AEA424D-538F-4554-9FFC-9D3E1011D7A3}"/>
    <cellStyle name="Ç¥ÁØ_page 2 _030514-생산팀 감사자료_6월생산계획" xfId="699" xr:uid="{F5487F04-D822-4C9C-89D5-3C9AFF659EA0}"/>
    <cellStyle name="C￥AØ_page 2 _030514-생산팀 감사자료_8월생산계획(1)" xfId="700" xr:uid="{AE7F3DFE-0D9D-4D33-B894-51B307B6DBA6}"/>
    <cellStyle name="Ç¥ÁØ_page 2 _030514-생산팀 감사자료_8월생산계획(1)" xfId="701" xr:uid="{A868F9F2-03A3-44DD-B383-8E2EE2514455}"/>
    <cellStyle name="C￥AØ_page 2 _030514-생산팀 감사자료_8월생산계획110805" xfId="702" xr:uid="{A7F50DF8-500A-44CF-9A26-683094E8C68A}"/>
    <cellStyle name="Ç¥ÁØ_page 2 _030514-생산팀 감사자료_8월생산계획110805" xfId="703" xr:uid="{BB94EF48-EB9B-447D-BA48-BF3E2ABBF7FB}"/>
    <cellStyle name="C￥AØ_page 2 _030516-0516생산효율반보고자료통보" xfId="704" xr:uid="{BB900BE3-ABFA-43BC-A3D9-056C40F18199}"/>
    <cellStyle name="Ç¥ÁØ_page 2 _030516-0516생산효율반보고자료통보" xfId="705" xr:uid="{384435B4-A239-4F23-B2F7-A0A339E11164}"/>
    <cellStyle name="C￥AØ_page 2 _030929-사무실 조직도 및 현장조직도-2003930" xfId="706" xr:uid="{379A96F4-541C-497A-9AD3-854115D5DD05}"/>
    <cellStyle name="Ç¥ÁØ_page 2 _030929-사무실 조직도 및 현장조직도-2003930" xfId="707" xr:uid="{340A0CCC-1B01-4C9D-93F9-D5EF62A0599A}"/>
    <cellStyle name="C￥AØ_page 2 _03년도 기술연기소(중기부문) 투자계획" xfId="708" xr:uid="{D9D866EC-3CB3-43B5-BBE6-DDEB1AE3B9EC}"/>
    <cellStyle name="Ç¥ÁØ_page 2 _03년도 기술연기소(중기부문) 투자계획" xfId="709" xr:uid="{82D6B89B-8D4D-44D3-A38C-457C17048437}"/>
    <cellStyle name="C￥AØ_page 2 _06년,07년 대일일계획-060616-2006616" xfId="710" xr:uid="{BFBFDD23-03B6-4632-A065-6C37417F4A17}"/>
    <cellStyle name="Ç¥ÁØ_page 2 _06년,07년 대일일계획-060616-2006616" xfId="711" xr:uid="{D16F1848-DA5C-4E70-B6D4-8A459739ED9A}"/>
    <cellStyle name="C￥AØ_page 2 _06년,07년 대일일계획-060616-2006616 2" xfId="712" xr:uid="{338982A7-5715-481E-9346-24BEE0F425B7}"/>
    <cellStyle name="Ç¥ÁØ_page 2 _06년,07년 대일일계획-060616-2006616 2" xfId="713" xr:uid="{585DFBCB-94BB-43BD-8562-BE484EFC4F50}"/>
    <cellStyle name="C￥AØ_page 2 _06년,07년 대일일계획-060616-2006616 3" xfId="714" xr:uid="{1971A4E1-5DEA-4756-8419-C5A741602265}"/>
    <cellStyle name="Ç¥ÁØ_page 2 _06년,07년 대일일계획-060616-2006616 3" xfId="715" xr:uid="{31DC60E5-CC13-489F-9726-33D9E419E463}"/>
    <cellStyle name="C￥AØ_page 2 _06년,07년 대일일계획-060616-2006616 4" xfId="716" xr:uid="{EE40FEA6-E18A-4474-9084-5312DBC488A2}"/>
    <cellStyle name="Ç¥ÁØ_page 2 _06년,07년 대일일계획-060616-2006616 4" xfId="717" xr:uid="{9DB79E1A-9571-471E-ADD2-A89B9815758C}"/>
    <cellStyle name="C￥AØ_page 2 _06년,07년 대일일계획-060616-2006616 5" xfId="718" xr:uid="{9F943B1B-3EA1-428E-B096-6DD5BD6BE0EA}"/>
    <cellStyle name="Ç¥ÁØ_page 2 _06년,07년 대일일계획-060616-2006616 5" xfId="719" xr:uid="{8620EC88-7869-4566-A250-A73461DEEA32}"/>
    <cellStyle name="C￥AØ_page 2 _06년,07년 대일일계획-060616-2006616 6" xfId="720" xr:uid="{9E79B98F-4EBA-4854-9350-E725438D0CB9}"/>
    <cellStyle name="Ç¥ÁØ_page 2 _06년,07년 대일일계획-060616-2006616 6" xfId="721" xr:uid="{ACEA678F-BF6C-4F7C-95A8-48F6E223AA40}"/>
    <cellStyle name="C￥AØ_page 2 _06년,07년 대일일계획-060616-2006616_10월생산계획" xfId="722" xr:uid="{AD768EC2-31EF-43AF-8CD8-8706A107AE94}"/>
    <cellStyle name="Ç¥ÁØ_page 2 _06년,07년 대일일계획-060616-2006616_10월생산계획" xfId="723" xr:uid="{7250A1BF-9F5C-4F1A-A39F-E5B69423E48F}"/>
    <cellStyle name="C￥AØ_page 2 _06년,07년 대일일계획-060616-2006616_6월생산계획" xfId="724" xr:uid="{F92FA527-3F2E-4E8F-8B7C-D97899E0C29C}"/>
    <cellStyle name="Ç¥ÁØ_page 2 _06년,07년 대일일계획-060616-2006616_6월생산계획" xfId="725" xr:uid="{1FC81F0F-6518-4051-AEF0-D314C21E358F}"/>
    <cellStyle name="C￥AØ_page 2 _06년,07년 대일일계획-060616-2006616_8월생산계획(1)" xfId="726" xr:uid="{4FFDF8FC-94A5-4130-86C7-192F54994E65}"/>
    <cellStyle name="Ç¥ÁØ_page 2 _06년,07년 대일일계획-060616-2006616_8월생산계획(1)" xfId="727" xr:uid="{3D19EF36-4D1F-4E08-BE75-3D400D143045}"/>
    <cellStyle name="C￥AØ_page 2 _06년,07년 대일일계획-060616-2006616_8월생산계획110805" xfId="728" xr:uid="{7599186D-E417-456B-B925-EF5FF64EC89E}"/>
    <cellStyle name="Ç¥ÁØ_page 2 _06년,07년 대일일계획-060616-2006616_8월생산계획110805" xfId="729" xr:uid="{0727073B-7964-4C26-A7FB-495BC37CC14C}"/>
    <cellStyle name="C￥AØ_page 2 _06년,07년 대일일계획-2006614" xfId="730" xr:uid="{46738875-44F1-4E82-BAF5-6F9E4049B5A7}"/>
    <cellStyle name="Ç¥ÁØ_page 2 _06년,07년 대일일계획-2006614" xfId="731" xr:uid="{E866BC4F-B7A1-44F1-848F-AC62013132AC}"/>
    <cellStyle name="C￥AØ_page 2 _06년,07년 대일일계획-2006614 2" xfId="732" xr:uid="{5FE09F11-CCDD-467C-9E50-4238D256EDED}"/>
    <cellStyle name="Ç¥ÁØ_page 2 _06년,07년 대일일계획-2006614 2" xfId="733" xr:uid="{79D0EFE6-DA32-4078-B22F-A64C62D2C3F2}"/>
    <cellStyle name="C￥AØ_page 2 _06년,07년 대일일계획-2006614 3" xfId="734" xr:uid="{56F1B1D3-162F-46BF-BC97-9869D45EAE73}"/>
    <cellStyle name="Ç¥ÁØ_page 2 _06년,07년 대일일계획-2006614 3" xfId="735" xr:uid="{797E92A4-49F1-45FE-9999-8B2A48EE5D1A}"/>
    <cellStyle name="C￥AØ_page 2 _06년,07년 대일일계획-2006614 4" xfId="736" xr:uid="{BED35D0B-6283-478E-AE15-34FEC04F2375}"/>
    <cellStyle name="Ç¥ÁØ_page 2 _06년,07년 대일일계획-2006614 4" xfId="737" xr:uid="{D2F9A3FF-DB30-4DB2-87C7-3F1723EF13AF}"/>
    <cellStyle name="C￥AØ_page 2 _06년,07년 대일일계획-2006614 5" xfId="738" xr:uid="{93DFD62D-8541-4D08-B8B4-E5CD5A9813ED}"/>
    <cellStyle name="Ç¥ÁØ_page 2 _06년,07년 대일일계획-2006614 5" xfId="739" xr:uid="{98F7FCC7-C9F5-440F-A000-02F9258080D8}"/>
    <cellStyle name="C￥AØ_page 2 _06년,07년 대일일계획-2006614 6" xfId="740" xr:uid="{E5823E42-10DF-4E2C-A3CA-33B3A7D883B9}"/>
    <cellStyle name="Ç¥ÁØ_page 2 _06년,07년 대일일계획-2006614 6" xfId="741" xr:uid="{70E1025B-FC6B-4793-A716-BAE8BFE01E8D}"/>
    <cellStyle name="C￥AØ_page 2 _06년,07년 대일일계획-2006614_10월생산계획" xfId="742" xr:uid="{1AD3A12A-9A75-4EEB-AE2F-2497A84AE186}"/>
    <cellStyle name="Ç¥ÁØ_page 2 _06년,07년 대일일계획-2006614_10월생산계획" xfId="743" xr:uid="{6FBC70D8-8A32-452E-827F-B4539D375BC1}"/>
    <cellStyle name="C￥AØ_page 2 _06년,07년 대일일계획-2006614_6월생산계획" xfId="744" xr:uid="{0B27D805-15F8-447C-B354-88C4B1AF2873}"/>
    <cellStyle name="Ç¥ÁØ_page 2 _06년,07년 대일일계획-2006614_6월생산계획" xfId="745" xr:uid="{0968B328-3D5B-491A-B5BD-12EFFEF9DACB}"/>
    <cellStyle name="C￥AØ_page 2 _06년,07년 대일일계획-2006614_8월생산계획(1)" xfId="746" xr:uid="{F0AD60FD-6B6D-4ED8-BE5C-9B9D02D296A7}"/>
    <cellStyle name="Ç¥ÁØ_page 2 _06년,07년 대일일계획-2006614_8월생산계획(1)" xfId="747" xr:uid="{78499643-1306-4D4C-85C1-C46026FF0D3C}"/>
    <cellStyle name="C￥AØ_page 2 _06년,07년 대일일계획-2006614_8월생산계획110805" xfId="748" xr:uid="{0CA4FE51-32E7-4345-B74A-476E7F0885BC}"/>
    <cellStyle name="Ç¥ÁØ_page 2 _06년,07년 대일일계획-2006614_8월생산계획110805" xfId="749" xr:uid="{E713FFCF-ED9F-4D26-BE62-66E353CCB9D9}"/>
    <cellStyle name="C￥AØ_page 2 _06년,07년 대일일계획-2006615" xfId="750" xr:uid="{C448EC95-7260-46FB-B368-6DB2DBE09534}"/>
    <cellStyle name="Ç¥ÁØ_page 2 _06년,07년 대일일계획-2006615" xfId="751" xr:uid="{DB953395-25A5-4CD7-8766-6B59D4A0BC24}"/>
    <cellStyle name="C￥AØ_page 2 _06년,07년 대일일계획-2006615 2" xfId="752" xr:uid="{6BCAA79E-67DA-4EEE-B0B7-5394E8BC75D3}"/>
    <cellStyle name="Ç¥ÁØ_page 2 _06년,07년 대일일계획-2006615 2" xfId="753" xr:uid="{95DE977D-B2A0-4EE0-B8EE-5A3B7A54E323}"/>
    <cellStyle name="C￥AØ_page 2 _06년,07년 대일일계획-2006615 3" xfId="754" xr:uid="{C569C715-C6E3-4FD2-B48A-FC54A946B92C}"/>
    <cellStyle name="Ç¥ÁØ_page 2 _06년,07년 대일일계획-2006615 3" xfId="755" xr:uid="{A6936E9F-8550-4178-A6EA-AED9584C052A}"/>
    <cellStyle name="C￥AØ_page 2 _06년,07년 대일일계획-2006615 4" xfId="756" xr:uid="{38FE1FB3-D70E-4108-B735-55ED7E8254A5}"/>
    <cellStyle name="Ç¥ÁØ_page 2 _06년,07년 대일일계획-2006615 4" xfId="757" xr:uid="{B47F8FAE-F846-462B-9531-06FF3F38D23E}"/>
    <cellStyle name="C￥AØ_page 2 _06년,07년 대일일계획-2006615 5" xfId="758" xr:uid="{47CC1C0E-D1E9-481D-8F55-7659F54C9477}"/>
    <cellStyle name="Ç¥ÁØ_page 2 _06년,07년 대일일계획-2006615 5" xfId="759" xr:uid="{C727C352-947E-477B-8C31-A7FCA0DD1A2A}"/>
    <cellStyle name="C￥AØ_page 2 _06년,07년 대일일계획-2006615 6" xfId="760" xr:uid="{05D5C0A0-0267-4BCC-9362-F686029DAD0D}"/>
    <cellStyle name="Ç¥ÁØ_page 2 _06년,07년 대일일계획-2006615 6" xfId="761" xr:uid="{336737F7-98A8-4DEB-A311-F851FFC51908}"/>
    <cellStyle name="C￥AØ_page 2 _06년,07년 대일일계획-2006615_10월생산계획" xfId="762" xr:uid="{060BAD91-FDAA-4B97-9CEF-0C28297C5923}"/>
    <cellStyle name="Ç¥ÁØ_page 2 _06년,07년 대일일계획-2006615_10월생산계획" xfId="763" xr:uid="{999DBB97-1114-4AFF-BDAB-60A7E0C4E02F}"/>
    <cellStyle name="C￥AØ_page 2 _06년,07년 대일일계획-2006615_6월생산계획" xfId="764" xr:uid="{1681FC3F-6082-41EB-BD3F-CD9444757B2B}"/>
    <cellStyle name="Ç¥ÁØ_page 2 _06년,07년 대일일계획-2006615_6월생산계획" xfId="765" xr:uid="{77ABB593-8B15-41DB-806A-4C07896D5623}"/>
    <cellStyle name="C￥AØ_page 2 _06년,07년 대일일계획-2006615_8월생산계획(1)" xfId="766" xr:uid="{DDFA4810-C4BE-4D43-95E7-7F801BC796FB}"/>
    <cellStyle name="Ç¥ÁØ_page 2 _06년,07년 대일일계획-2006615_8월생산계획(1)" xfId="767" xr:uid="{2267E523-0ADD-4A64-B4CC-C8D834D91B9E}"/>
    <cellStyle name="C￥AØ_page 2 _06년,07년 대일일계획-2006615_8월생산계획110805" xfId="768" xr:uid="{CF67BD27-A8EB-4A60-BF45-C57B3DBB0A55}"/>
    <cellStyle name="Ç¥ÁØ_page 2 _06년,07년 대일일계획-2006615_8월생산계획110805" xfId="769" xr:uid="{5E918819-CA39-4A38-A023-E22A9FD026BF}"/>
    <cellStyle name="C￥AØ_page 2 _06년,07년 대일정계획(REV.1)-060706-200677" xfId="770" xr:uid="{25DCAB58-487B-479A-9A2E-40D715CDE570}"/>
    <cellStyle name="Ç¥ÁØ_page 2 _06년,07년 대일정계획(REV.1)-060706-200677" xfId="771" xr:uid="{04C9B413-4123-4EBC-812D-B452209B524A}"/>
    <cellStyle name="C￥AØ_page 2 _06년,07년 대일정계획(REV.1)-060706-200677 2" xfId="772" xr:uid="{813F5994-48DF-43A4-880C-A2B208D9E1D9}"/>
    <cellStyle name="Ç¥ÁØ_page 2 _06년,07년 대일정계획(REV.1)-060706-200677 2" xfId="773" xr:uid="{C62B600F-EA9B-466D-99E7-E781BA0F623F}"/>
    <cellStyle name="C￥AØ_page 2 _06년,07년 대일정계획(REV.1)-060706-200677 3" xfId="774" xr:uid="{1574E811-553D-4112-803B-4201755284A7}"/>
    <cellStyle name="Ç¥ÁØ_page 2 _06년,07년 대일정계획(REV.1)-060706-200677 3" xfId="775" xr:uid="{386CB40A-CB6E-4E91-ACB4-33370D2E74A0}"/>
    <cellStyle name="C￥AØ_page 2 _06년,07년 대일정계획(REV.1)-060706-200677 4" xfId="776" xr:uid="{EE168AAE-3E81-4692-BB4E-66F16F838632}"/>
    <cellStyle name="Ç¥ÁØ_page 2 _06년,07년 대일정계획(REV.1)-060706-200677 4" xfId="777" xr:uid="{FFB273D8-835A-4606-BB99-09772BBD4C8A}"/>
    <cellStyle name="C￥AØ_page 2 _06년,07년 대일정계획(REV.1)-060706-200677 5" xfId="778" xr:uid="{D0AD95AB-243F-407E-8EC4-14E289F2705A}"/>
    <cellStyle name="Ç¥ÁØ_page 2 _06년,07년 대일정계획(REV.1)-060706-200677 5" xfId="779" xr:uid="{065260E5-EBC4-4005-99E4-BC85E753E1F0}"/>
    <cellStyle name="C￥AØ_page 2 _06년,07년 대일정계획(REV.1)-060706-200677 6" xfId="780" xr:uid="{DC2055F0-C5BA-414B-B5B7-BCAA610B1034}"/>
    <cellStyle name="Ç¥ÁØ_page 2 _06년,07년 대일정계획(REV.1)-060706-200677 6" xfId="781" xr:uid="{23ED3A89-CE98-411C-A80B-5859764DD7D5}"/>
    <cellStyle name="C￥AØ_page 2 _06년,07년 대일정계획(REV.1)-060706-200677_10월생산계획" xfId="782" xr:uid="{3A0CDE23-6D9F-4A38-A471-FB376DFBD9EF}"/>
    <cellStyle name="Ç¥ÁØ_page 2 _06년,07년 대일정계획(REV.1)-060706-200677_10월생산계획" xfId="783" xr:uid="{6EC0008F-B342-4FB5-9601-885D09C5F30F}"/>
    <cellStyle name="C￥AØ_page 2 _06년,07년 대일정계획(REV.1)-060706-200677_6월생산계획" xfId="784" xr:uid="{F57ABF74-3DC6-4E9C-833B-5F695CF4608A}"/>
    <cellStyle name="Ç¥ÁØ_page 2 _06년,07년 대일정계획(REV.1)-060706-200677_6월생산계획" xfId="785" xr:uid="{95E416CB-7D73-4A8E-86AC-7F12B7DE8006}"/>
    <cellStyle name="C￥AØ_page 2 _06년,07년 대일정계획(REV.1)-060706-200677_8월생산계획(1)" xfId="786" xr:uid="{118CAE97-8250-4EB8-8FD5-237BDB45520D}"/>
    <cellStyle name="Ç¥ÁØ_page 2 _06년,07년 대일정계획(REV.1)-060706-200677_8월생산계획(1)" xfId="787" xr:uid="{7D8B8889-E038-4B83-B958-27398C6C78A8}"/>
    <cellStyle name="C￥AØ_page 2 _06년,07년 대일정계획(REV.1)-060706-200677_8월생산계획110805" xfId="788" xr:uid="{D75311A8-5232-49DB-A7AD-33914763590E}"/>
    <cellStyle name="Ç¥ÁØ_page 2 _06년,07년 대일정계획(REV.1)-060706-200677_8월생산계획110805" xfId="789" xr:uid="{24830C3D-5D27-40D1-8555-4B2A0CB4D61A}"/>
    <cellStyle name="C￥AØ_page 2 _10월생산계획" xfId="790" xr:uid="{B06769B2-DDC1-4F6A-B425-55825B5882E4}"/>
    <cellStyle name="Ç¥ÁØ_page 2 _10월생산계획" xfId="791" xr:uid="{502DF5C4-EECF-45D1-8923-68E85B0F18E6}"/>
    <cellStyle name="C￥AØ_page 2 _1차 종합보고(030221)" xfId="792" xr:uid="{B1B7B80A-E069-4491-B9C9-E4E95FF99C29}"/>
    <cellStyle name="Ç¥ÁØ_page 2 _1차 종합보고(030221)" xfId="793" xr:uid="{9B519CDD-6EEA-4987-BBAE-2293BE3F99FA}"/>
    <cellStyle name="C￥AØ_page 2 _1차 종합보고(030221) 2" xfId="794" xr:uid="{11E06643-E8CC-401E-86E7-28DAA6448D65}"/>
    <cellStyle name="Ç¥ÁØ_page 2 _1차 종합보고(030221) 2" xfId="795" xr:uid="{E250A41D-3F80-4A8A-98EF-85F3FB94731E}"/>
    <cellStyle name="C￥AØ_page 2 _1차 종합보고(030221) 3" xfId="796" xr:uid="{F9D98DC7-33AA-460C-B5C4-012CE40E8FE0}"/>
    <cellStyle name="Ç¥ÁØ_page 2 _1차 종합보고(030221) 3" xfId="797" xr:uid="{36A2110A-C867-4522-9DF9-8F12873DC420}"/>
    <cellStyle name="C￥AØ_page 2 _1차 종합보고(030221) 4" xfId="798" xr:uid="{639ED7C4-D86C-4089-8845-E0B1E5CDCE8D}"/>
    <cellStyle name="Ç¥ÁØ_page 2 _1차 종합보고(030221) 4" xfId="799" xr:uid="{DA6C0530-3ECB-4E60-AA41-8159CC7EF7DF}"/>
    <cellStyle name="C￥AØ_page 2 _1차 종합보고(030221) 5" xfId="800" xr:uid="{A44865DD-E1EE-4D47-AEDB-A757B1668049}"/>
    <cellStyle name="Ç¥ÁØ_page 2 _1차 종합보고(030221) 5" xfId="801" xr:uid="{57EC9C0D-FFD8-4DB9-AAA1-9B0D2BFE24B1}"/>
    <cellStyle name="C￥AØ_page 2 _1차 종합보고(030221) 6" xfId="802" xr:uid="{B98BAAD3-D8A1-4B8C-874F-880C59046B5C}"/>
    <cellStyle name="Ç¥ÁØ_page 2 _1차 종합보고(030221) 6" xfId="803" xr:uid="{70CC3D35-5B81-43DE-AC4F-22D71CC3FCAE}"/>
    <cellStyle name="C￥AØ_page 2 _1차 종합보고(030221)_10월생산계획" xfId="804" xr:uid="{492B4ED5-5FB2-42B0-9163-D0AE1710298F}"/>
    <cellStyle name="Ç¥ÁØ_page 2 _1차 종합보고(030221)_10월생산계획" xfId="805" xr:uid="{99859E0B-0E0C-4994-9078-1F0F12BA5D45}"/>
    <cellStyle name="C￥AØ_page 2 _1차 종합보고(030221)_6월생산계획" xfId="806" xr:uid="{3F8E77B2-6307-4523-9D58-807C7E59A14C}"/>
    <cellStyle name="Ç¥ÁØ_page 2 _1차 종합보고(030221)_6월생산계획" xfId="807" xr:uid="{CFA1A206-2DFC-4EE8-94FE-A19FB85B6386}"/>
    <cellStyle name="C￥AØ_page 2 _1차 종합보고(030221)_8월생산계획(1)" xfId="808" xr:uid="{EC113351-AFE8-407E-8C33-B91D6195E6E8}"/>
    <cellStyle name="Ç¥ÁØ_page 2 _1차 종합보고(030221)_8월생산계획(1)" xfId="809" xr:uid="{1B6C3B75-C37F-4841-971E-13C3C0AF187D}"/>
    <cellStyle name="C￥AØ_page 2 _1차 종합보고(030221)_8월생산계획110805" xfId="810" xr:uid="{D41431AB-F613-48FF-ABC0-FDB3A3E044B2}"/>
    <cellStyle name="Ç¥ÁØ_page 2 _1차 종합보고(030221)_8월생산계획110805" xfId="811" xr:uid="{E5093A6D-529D-4E8D-BA26-E2126D7A48FE}"/>
    <cellStyle name="C￥AØ_page 2 _2002 투자 미집행내역" xfId="812" xr:uid="{F60B59C5-DA7F-4D56-A02C-A09A336B39E3}"/>
    <cellStyle name="Ç¥ÁØ_page 2 _2002 투자 미집행내역" xfId="813" xr:uid="{D6001F0F-60EF-4812-83DC-E07DE5ED4515}"/>
    <cellStyle name="C￥AØ_page 2 _2002년 철차부문투자예상실적1114" xfId="814" xr:uid="{26B5BEAA-D481-4621-9AAB-48A046866718}"/>
    <cellStyle name="Ç¥ÁØ_page 2 _2002년 철차부문투자예상실적1114" xfId="815" xr:uid="{25AA9AD8-6A5B-4454-A8DE-D1E5717ABC6B}"/>
    <cellStyle name="C￥AØ_page 2 _2003년 시설투자 계획_TPI " xfId="816" xr:uid="{850A5DE5-BB40-4083-A89D-1044FBDC9326}"/>
    <cellStyle name="Ç¥ÁØ_page 2 _2003년 시설투자 계획_TPI " xfId="817" xr:uid="{4AE6B7A8-AEF5-464A-8FA0-7F3301220FB1}"/>
    <cellStyle name="C￥AØ_page 2 _2003년 시설투자 계획_TPI  2" xfId="818" xr:uid="{1EF1227D-8560-4243-999D-CD9E7637B3B7}"/>
    <cellStyle name="Ç¥ÁØ_page 2 _2003년 시설투자 계획_TPI  2" xfId="819" xr:uid="{73C4AA7C-D817-4732-A6A6-1D57A0A3D6A2}"/>
    <cellStyle name="C￥AØ_page 2 _2003년 시설투자 계획_TPI  3" xfId="820" xr:uid="{07CC8B8A-C7E3-4765-BFEC-0C391D851B4D}"/>
    <cellStyle name="Ç¥ÁØ_page 2 _2003년 시설투자 계획_TPI  3" xfId="821" xr:uid="{0FCCCDF1-E94E-4715-B1F6-3D419C846DC3}"/>
    <cellStyle name="C￥AØ_page 2 _2003년 시설투자 계획_TPI  4" xfId="822" xr:uid="{759B4622-EA16-42C2-A71A-9DC11DEC69CE}"/>
    <cellStyle name="Ç¥ÁØ_page 2 _2003년 시설투자 계획_TPI  4" xfId="823" xr:uid="{F9BE9FD2-201C-4392-84A2-960CAB155824}"/>
    <cellStyle name="C￥AØ_page 2 _2003년 시설투자 계획_TPI  5" xfId="824" xr:uid="{79E33206-BD7A-40EB-9383-71BF0636DEB0}"/>
    <cellStyle name="Ç¥ÁØ_page 2 _2003년 시설투자 계획_TPI  5" xfId="825" xr:uid="{27634D89-FB36-4CE7-8DA5-A17803BFEACB}"/>
    <cellStyle name="C￥AØ_page 2 _2003년 시설투자 계획_TPI  6" xfId="826" xr:uid="{1F2541D7-BAFA-4491-A27B-F6C1B31DDA47}"/>
    <cellStyle name="Ç¥ÁØ_page 2 _2003년 시설투자 계획_TPI  6" xfId="827" xr:uid="{94F6E430-CF2E-43DD-9A06-3818C56D39F0}"/>
    <cellStyle name="C￥AØ_page 2 _2003년 시설투자 계획_TPI _10월생산계획" xfId="828" xr:uid="{1A106C4F-5B08-45B0-878E-F54559A271A2}"/>
    <cellStyle name="Ç¥ÁØ_page 2 _2003년 시설투자 계획_TPI _10월생산계획" xfId="829" xr:uid="{0DEF3CED-05E6-4672-A6BA-4D85A6EA87D7}"/>
    <cellStyle name="C￥AØ_page 2 _2003년 시설투자 계획_TPI _6월생산계획" xfId="830" xr:uid="{2F1E3008-E3D3-44AC-AA22-5EC250D77E03}"/>
    <cellStyle name="Ç¥ÁØ_page 2 _2003년 시설투자 계획_TPI _6월생산계획" xfId="831" xr:uid="{1C0A4A20-9F47-49FA-A408-D40755683D64}"/>
    <cellStyle name="C￥AØ_page 2 _2003년 시설투자 계획_TPI _8월생산계획(1)" xfId="832" xr:uid="{EEC5EB02-8DA6-4767-BA08-C493E620B19A}"/>
    <cellStyle name="Ç¥ÁØ_page 2 _2003년 시설투자 계획_TPI _8월생산계획(1)" xfId="833" xr:uid="{0F8B8A86-58C8-4419-9C92-B77F0FB2AC88}"/>
    <cellStyle name="C￥AØ_page 2 _2003년 시설투자 계획_TPI _8월생산계획110805" xfId="834" xr:uid="{F43ADEB8-443C-488D-B867-6647B231E94E}"/>
    <cellStyle name="Ç¥ÁØ_page 2 _2003년 시설투자 계획_TPI _8월생산계획110805" xfId="835" xr:uid="{09857F1F-90C3-4CD9-A7B9-88AD5F19C713}"/>
    <cellStyle name="C￥AØ_page 2 _2003년및중장기투자계획_중앙연구소_020926" xfId="836" xr:uid="{B98E3C64-935E-4BB1-B073-00F99B6926B7}"/>
    <cellStyle name="Ç¥ÁØ_page 2 _2003년및중장기투자계획_중앙연구소_020926" xfId="837" xr:uid="{11EEA826-4926-44F9-9E42-DE4124E5F224}"/>
    <cellStyle name="C￥AØ_page 2 _2003년투자계획수정최종0106" xfId="838" xr:uid="{6F0C5E06-3451-4915-9562-EA106972C3B4}"/>
    <cellStyle name="Ç¥ÁØ_page 2 _2003년투자계획수정최종0106" xfId="839" xr:uid="{3AFE4FD9-AD56-4E59-B4D2-4345EF767C1B}"/>
    <cellStyle name="C￥AØ_page 2 _2003년투자종합최종(0106)R2_code" xfId="840" xr:uid="{88EA4B12-C37A-479D-94EF-4E24759632CA}"/>
    <cellStyle name="Ç¥ÁØ_page 2 _2003년투자종합최종(0106)R2_code" xfId="841" xr:uid="{8B24EAD3-6B12-4D56-9ED9-CB98BF532A6A}"/>
    <cellStyle name="C￥AØ_page 2 _2003년투자종합최종(0106)R2_code 2" xfId="842" xr:uid="{83FD4B3A-DD0A-46C1-BF91-768BAB0C2447}"/>
    <cellStyle name="Ç¥ÁØ_page 2 _2003년투자종합최종(0106)R2_code 2" xfId="843" xr:uid="{FFE5103C-A6A8-459F-8DDB-C32B3A01DE34}"/>
    <cellStyle name="C￥AØ_page 2 _2003년투자종합최종(0106)R2_code 3" xfId="844" xr:uid="{C50E3651-42A0-4969-AEE4-640948225FC3}"/>
    <cellStyle name="Ç¥ÁØ_page 2 _2003년투자종합최종(0106)R2_code 3" xfId="845" xr:uid="{DFE309EB-B46D-4273-B97C-55BB70339543}"/>
    <cellStyle name="C￥AØ_page 2 _2003년투자종합최종(0106)R2_code 4" xfId="846" xr:uid="{CFE87A16-FF0D-476C-B64E-D10ADE63A014}"/>
    <cellStyle name="Ç¥ÁØ_page 2 _2003년투자종합최종(0106)R2_code 4" xfId="847" xr:uid="{57635627-F4E5-46A7-BF76-8DE36828C123}"/>
    <cellStyle name="C￥AØ_page 2 _2003년투자종합최종(0106)R2_code 5" xfId="848" xr:uid="{25435EBE-A485-4556-B72D-79682A04595A}"/>
    <cellStyle name="Ç¥ÁØ_page 2 _2003년투자종합최종(0106)R2_code 5" xfId="849" xr:uid="{19B232ED-0D82-4FD8-AC71-53E89E1EBF1E}"/>
    <cellStyle name="C￥AØ_page 2 _2003년투자종합최종(0106)R2_code 6" xfId="850" xr:uid="{78AD505E-E221-4B87-9E97-05C61B124002}"/>
    <cellStyle name="Ç¥ÁØ_page 2 _2003년투자종합최종(0106)R2_code 6" xfId="851" xr:uid="{6D7B2B6E-FB43-4FF1-BCFA-981F5242927D}"/>
    <cellStyle name="C￥AØ_page 2 _2003년투자종합최종(0106)R2_code_10월생산계획" xfId="852" xr:uid="{FE26847D-3715-4951-BCFB-9F97EB90896E}"/>
    <cellStyle name="Ç¥ÁØ_page 2 _2003년투자종합최종(0106)R2_code_10월생산계획" xfId="853" xr:uid="{E9D47DFE-AF80-4606-98B0-A08AAC6D5E7A}"/>
    <cellStyle name="C￥AØ_page 2 _2003년투자종합최종(0106)R2_code_6월생산계획" xfId="854" xr:uid="{7AA77919-8A64-4E05-9F7F-2722E5C0698B}"/>
    <cellStyle name="Ç¥ÁØ_page 2 _2003년투자종합최종(0106)R2_code_6월생산계획" xfId="855" xr:uid="{CA388D63-F8EE-4E1D-B079-0A3F193DC126}"/>
    <cellStyle name="C￥AØ_page 2 _2003년투자종합최종(0106)R2_code_8월생산계획(1)" xfId="856" xr:uid="{0E7CE63D-403D-4020-BBE0-C8E5A066AA25}"/>
    <cellStyle name="Ç¥ÁØ_page 2 _2003년투자종합최종(0106)R2_code_8월생산계획(1)" xfId="857" xr:uid="{1A45C09A-BAC2-4A6B-B280-EB38CFE05333}"/>
    <cellStyle name="C￥AØ_page 2 _2003년투자종합최종(0106)R2_code_8월생산계획110805" xfId="858" xr:uid="{F39545DC-B11C-4236-B88B-58CEF461414B}"/>
    <cellStyle name="Ç¥ÁØ_page 2 _2003년투자종합최종(0106)R2_code_8월생산계획110805" xfId="859" xr:uid="{97069DCC-4BD6-4420-ACD8-055C0749DA58}"/>
    <cellStyle name="C￥AØ_page 2 _2003년투자종합최종(0109)" xfId="860" xr:uid="{D0210EAA-6500-433F-BC62-63BC7CD58E48}"/>
    <cellStyle name="Ç¥ÁØ_page 2 _2003년투자종합최종(0109)" xfId="861" xr:uid="{4CAFFC80-9052-40F2-84F0-7FD7CB875E57}"/>
    <cellStyle name="C￥AØ_page 2 _2003년투자종합최종(0109) 2" xfId="862" xr:uid="{B29E4C00-7CC2-442A-85F2-64F65A206E60}"/>
    <cellStyle name="Ç¥ÁØ_page 2 _2003년투자종합최종(0109) 2" xfId="863" xr:uid="{AF891009-8D0A-4952-8327-959C8E19E8F5}"/>
    <cellStyle name="C￥AØ_page 2 _2003년투자종합최종(0109) 3" xfId="864" xr:uid="{31B65AF2-031D-4443-9E9C-FE9845471E0B}"/>
    <cellStyle name="Ç¥ÁØ_page 2 _2003년투자종합최종(0109) 3" xfId="865" xr:uid="{B580658F-B0A9-463A-AA37-6B41CFC59DCC}"/>
    <cellStyle name="C￥AØ_page 2 _2003년투자종합최종(0109) 4" xfId="866" xr:uid="{3CAB4779-9116-4C2F-B0AE-0CC2D14703F6}"/>
    <cellStyle name="Ç¥ÁØ_page 2 _2003년투자종합최종(0109) 4" xfId="867" xr:uid="{DB9ED4AB-BC89-46F2-8A83-BC03E20B1DC0}"/>
    <cellStyle name="C￥AØ_page 2 _2003년투자종합최종(0109) 5" xfId="868" xr:uid="{13F1E6B3-D0BE-4071-BE2E-D32501AB3780}"/>
    <cellStyle name="Ç¥ÁØ_page 2 _2003년투자종합최종(0109) 5" xfId="869" xr:uid="{33F4D979-9237-40CE-9AED-5A5A668E1092}"/>
    <cellStyle name="C￥AØ_page 2 _2003년투자종합최종(0109) 6" xfId="870" xr:uid="{92D2C570-53B4-44B4-BE0A-8E03C0BC2107}"/>
    <cellStyle name="Ç¥ÁØ_page 2 _2003년투자종합최종(0109) 6" xfId="871" xr:uid="{A02AB526-4FE9-4465-B504-615F2C7F5E2B}"/>
    <cellStyle name="C￥AØ_page 2 _2003년투자종합최종(0109)_10월생산계획" xfId="872" xr:uid="{E86B601B-3EB4-418D-8739-A095C7E2409E}"/>
    <cellStyle name="Ç¥ÁØ_page 2 _2003년투자종합최종(0109)_10월생산계획" xfId="873" xr:uid="{ADAE1E38-E67E-4EBC-A20C-7D6548A07189}"/>
    <cellStyle name="C￥AØ_page 2 _2003년투자종합최종(0109)_6월생산계획" xfId="874" xr:uid="{72214DE3-EC2B-43A8-9DDA-6432B6CCED1C}"/>
    <cellStyle name="Ç¥ÁØ_page 2 _2003년투자종합최종(0109)_6월생산계획" xfId="875" xr:uid="{2E242491-9083-41EC-BAD4-A39815B7A590}"/>
    <cellStyle name="C￥AØ_page 2 _2003년투자종합최종(0109)_8월생산계획(1)" xfId="876" xr:uid="{6F2BF6D1-3897-4A0A-8DDF-F75158F0745A}"/>
    <cellStyle name="Ç¥ÁØ_page 2 _2003년투자종합최종(0109)_8월생산계획(1)" xfId="877" xr:uid="{94ABDD20-419F-40C5-8EA2-BEFD779A31E5}"/>
    <cellStyle name="C￥AØ_page 2 _2003년투자종합최종(0109)_8월생산계획110805" xfId="878" xr:uid="{10911EF8-CEA7-43D9-B00B-1A0694D5E4C5}"/>
    <cellStyle name="Ç¥ÁØ_page 2 _2003년투자종합최종(0109)_8월생산계획110805" xfId="879" xr:uid="{FB9204AD-2CE4-4FBA-B738-E75806C53B2F}"/>
    <cellStyle name="C￥AØ_page 2 _2003년투자종합최종(12.18)사장님결재_통보용" xfId="880" xr:uid="{3976F1BE-F5CB-46D8-9F80-365828A5FA3A}"/>
    <cellStyle name="Ç¥ÁØ_page 2 _2003년투자종합최종(12.18)사장님결재_통보용" xfId="881" xr:uid="{35ABD0D9-E75B-4730-9965-445D3F9D26E6}"/>
    <cellStyle name="C￥AØ_page 2 _2003년투자종합최종(12.18)사장님결재_통보용 2" xfId="882" xr:uid="{9E56D9DD-E964-46F2-96EF-7DD7154BF72A}"/>
    <cellStyle name="Ç¥ÁØ_page 2 _2003년투자종합최종(12.18)사장님결재_통보용 2" xfId="883" xr:uid="{8FB18254-1DB3-46EB-8DCE-1AF887E22D85}"/>
    <cellStyle name="C￥AØ_page 2 _2003년투자종합최종(12.18)사장님결재_통보용 3" xfId="884" xr:uid="{EEA4CB29-A427-4EF0-9BE7-10D812D909DC}"/>
    <cellStyle name="Ç¥ÁØ_page 2 _2003년투자종합최종(12.18)사장님결재_통보용 3" xfId="885" xr:uid="{738AB0B0-B8B2-4377-8858-6FD90801AC41}"/>
    <cellStyle name="C￥AØ_page 2 _2003년투자종합최종(12.18)사장님결재_통보용 4" xfId="886" xr:uid="{48900FA7-A739-46AB-8C48-093A821C4FB7}"/>
    <cellStyle name="Ç¥ÁØ_page 2 _2003년투자종합최종(12.18)사장님결재_통보용 4" xfId="887" xr:uid="{F0A82D53-28AD-430C-BE63-4103474FD167}"/>
    <cellStyle name="C￥AØ_page 2 _2003년투자종합최종(12.18)사장님결재_통보용 5" xfId="888" xr:uid="{5B5F4A38-0776-4DD0-94E0-9B72BCAC0B84}"/>
    <cellStyle name="Ç¥ÁØ_page 2 _2003년투자종합최종(12.18)사장님결재_통보용 5" xfId="889" xr:uid="{E80A6FC1-8060-47E7-81EF-7513C29DE31A}"/>
    <cellStyle name="C￥AØ_page 2 _2003년투자종합최종(12.18)사장님결재_통보용 6" xfId="890" xr:uid="{F2F00121-E4A8-4085-807A-E976A025D376}"/>
    <cellStyle name="Ç¥ÁØ_page 2 _2003년투자종합최종(12.18)사장님결재_통보용 6" xfId="891" xr:uid="{E05DDF3C-B097-4F5C-A74A-782FC17414BB}"/>
    <cellStyle name="C￥AØ_page 2 _2003년투자종합최종(12.18)사장님결재_통보용_10월생산계획" xfId="892" xr:uid="{5AD2718A-D8E2-4631-8FC5-42761B8129F1}"/>
    <cellStyle name="Ç¥ÁØ_page 2 _2003년투자종합최종(12.18)사장님결재_통보용_10월생산계획" xfId="893" xr:uid="{E5267AF8-1224-41DC-880A-8932256C2610}"/>
    <cellStyle name="C￥AØ_page 2 _2003년투자종합최종(12.18)사장님결재_통보용_6월생산계획" xfId="894" xr:uid="{27427E2A-1330-41A6-83B1-5E242A5C8195}"/>
    <cellStyle name="Ç¥ÁØ_page 2 _2003년투자종합최종(12.18)사장님결재_통보용_6월생산계획" xfId="895" xr:uid="{926EFDB4-A1C1-4F1F-928E-7499E285E90D}"/>
    <cellStyle name="C￥AØ_page 2 _2003년투자종합최종(12.18)사장님결재_통보용_8월생산계획(1)" xfId="896" xr:uid="{C22D3FE1-58D1-4D4A-B839-D2F7FC6F3A8B}"/>
    <cellStyle name="Ç¥ÁØ_page 2 _2003년투자종합최종(12.18)사장님결재_통보용_8월생산계획(1)" xfId="897" xr:uid="{5E75E341-CA20-465C-9098-3A50AAF88CEB}"/>
    <cellStyle name="C￥AØ_page 2 _2003년투자종합최종(12.18)사장님결재_통보용_8월생산계획110805" xfId="898" xr:uid="{722DEBEC-55DE-4765-BDA2-BACDE7B88E5A}"/>
    <cellStyle name="Ç¥ÁØ_page 2 _2003년투자종합최종(12.18)사장님결재_통보용_8월생산계획110805" xfId="899" xr:uid="{C12CFEE9-7F56-4064-9E39-13230E639A2B}"/>
    <cellStyle name="C￥AØ_page 2 _2003시설투자실적집계(03.08.18)대금지불기준(작업용-2)" xfId="900" xr:uid="{67AFD78B-4F86-46DB-B2A7-86EA2779C458}"/>
    <cellStyle name="Ç¥ÁØ_page 2 _2003시설투자실적집계(03.08.18)대금지불기준(작업용-2)" xfId="901" xr:uid="{E410A843-7C2E-4E01-B40B-40E5FCA13B85}"/>
    <cellStyle name="C￥AØ_page 2 _2004 기관차  생산량 검토" xfId="902" xr:uid="{60B9C7F4-7A56-45C4-902F-8960C1F788DD}"/>
    <cellStyle name="Ç¥ÁØ_page 2 _2004 기관차  생산량 검토" xfId="903" xr:uid="{8F410EC9-8EEF-4205-921D-44AD798E0F5F}"/>
    <cellStyle name="C￥AØ_page 2 _2004 기관차  생산량 검토 2" xfId="904" xr:uid="{361B3461-A0E2-4B47-AC6A-4ABEA0D76B61}"/>
    <cellStyle name="Ç¥ÁØ_page 2 _2004 기관차  생산량 검토 2" xfId="905" xr:uid="{BA972E8F-5D58-4F99-9AE9-ABD559416A54}"/>
    <cellStyle name="C￥AØ_page 2 _2004 기관차  생산량 검토 3" xfId="906" xr:uid="{0E6698CF-FC48-469E-9FE3-9C2F3782E719}"/>
    <cellStyle name="Ç¥ÁØ_page 2 _2004 기관차  생산량 검토 3" xfId="907" xr:uid="{111B4955-42B2-4520-BEFF-E6FD4303C770}"/>
    <cellStyle name="C￥AØ_page 2 _2004 기관차  생산량 검토 4" xfId="908" xr:uid="{5369BCDD-B467-4DBB-9AD3-332480D07962}"/>
    <cellStyle name="Ç¥ÁØ_page 2 _2004 기관차  생산량 검토 4" xfId="909" xr:uid="{E7D58C4F-6F97-4430-8EE5-2ED7125FE4C9}"/>
    <cellStyle name="C￥AØ_page 2 _2004 기관차  생산량 검토 5" xfId="910" xr:uid="{51ECC423-3FEA-4745-9D7A-4759B0B82D12}"/>
    <cellStyle name="Ç¥ÁØ_page 2 _2004 기관차  생산량 검토 5" xfId="911" xr:uid="{0D8DF013-C9EF-4502-9AD5-863074CA6773}"/>
    <cellStyle name="C￥AØ_page 2 _2004 기관차  생산량 검토 6" xfId="912" xr:uid="{EE52A88C-EC6C-4278-AA0A-7B26CC53292D}"/>
    <cellStyle name="Ç¥ÁØ_page 2 _2004 기관차  생산량 검토 6" xfId="913" xr:uid="{E521B6A9-33CB-46F3-88E9-B2218F14173F}"/>
    <cellStyle name="C￥AØ_page 2 _2004 기관차  생산량 검토_10월생산계획" xfId="914" xr:uid="{8CCF8811-439E-462F-BFAA-68B22D12815A}"/>
    <cellStyle name="Ç¥ÁØ_page 2 _2004 기관차  생산량 검토_10월생산계획" xfId="915" xr:uid="{E9BCC9FB-EF19-4099-BFB0-D0F85498C2BD}"/>
    <cellStyle name="C￥AØ_page 2 _2004 기관차  생산량 검토_6월생산계획" xfId="916" xr:uid="{9AF7E265-4FF1-46CE-BAE9-A36F1E1644FA}"/>
    <cellStyle name="Ç¥ÁØ_page 2 _2004 기관차  생산량 검토_6월생산계획" xfId="917" xr:uid="{633BE22B-D0C3-4F93-A67B-44D3EB930710}"/>
    <cellStyle name="C￥AØ_page 2 _2004 기관차  생산량 검토_8월생산계획(1)" xfId="918" xr:uid="{3EAA80BD-EE11-429E-A72A-A2CB1E87798B}"/>
    <cellStyle name="Ç¥ÁØ_page 2 _2004 기관차  생산량 검토_8월생산계획(1)" xfId="919" xr:uid="{8045DF00-1C11-4E83-95E6-D15891396389}"/>
    <cellStyle name="C￥AØ_page 2 _2004 기관차  생산량 검토_8월생산계획110805" xfId="920" xr:uid="{74532FE3-5863-496E-BC52-600D5FDE931E}"/>
    <cellStyle name="Ç¥ÁØ_page 2 _2004 기관차  생산량 검토_8월생산계획110805" xfId="921" xr:uid="{15B96749-EC5A-4AD8-BC63-EE35316AF4F3}"/>
    <cellStyle name="C￥AØ_page 2 _2004기관차 생산계획 보고-040212" xfId="922" xr:uid="{CF5D9F4D-3BFE-4425-B9C0-CCC695200C67}"/>
    <cellStyle name="Ç¥ÁØ_page 2 _2004기관차 생산계획 보고-040212" xfId="923" xr:uid="{F45D4782-31C5-4F91-A47C-BD767290F2C5}"/>
    <cellStyle name="C￥AØ_page 2 _6월생산계획" xfId="924" xr:uid="{817B865F-3DFB-42F4-9C51-4EC44945FF59}"/>
    <cellStyle name="Ç¥ÁØ_page 2 _6월생산계획" xfId="925" xr:uid="{103AF72E-EF56-44B6-83B3-436F70E5CA80}"/>
    <cellStyle name="C￥AØ_page 2 _8월생산계획(1)" xfId="926" xr:uid="{FF0819E2-4973-418A-8F2E-CB88F79D248E}"/>
    <cellStyle name="Ç¥ÁØ_page 2 _8월생산계획(1)" xfId="927" xr:uid="{0054A83F-64CB-43F3-9D7B-34C7124AC11D}"/>
    <cellStyle name="C￥AØ_page 2 _8월생산계획110805" xfId="928" xr:uid="{63B2A340-F204-42CE-BA71-4123D8717788}"/>
    <cellStyle name="Ç¥ÁØ_page 2 _8월생산계획110805" xfId="929" xr:uid="{5AE51482-E9EA-4B46-9181-E45B05AE85A8}"/>
    <cellStyle name="C￥AØ_page 2 _Book1" xfId="930" xr:uid="{6156C16D-DEA8-4A74-9F06-0652FF49B51E}"/>
    <cellStyle name="Ç¥ÁØ_page 2 _Book1" xfId="931" xr:uid="{0315F7F0-43DA-4464-8C92-9DE4A786927A}"/>
    <cellStyle name="C￥AØ_page 2 _Book2" xfId="932" xr:uid="{412A8F31-032D-44DB-B264-4AA3D62D1A2C}"/>
    <cellStyle name="Ç¥ÁØ_page 2 _Book2" xfId="933" xr:uid="{2A9C8158-086A-4DAA-B0FD-5C36B0E0C79F}"/>
    <cellStyle name="C￥AØ_page 2 _Book2 2" xfId="934" xr:uid="{D9D5C26C-60CA-495B-9AB5-649771C2785B}"/>
    <cellStyle name="Ç¥ÁØ_page 2 _Book2 2" xfId="935" xr:uid="{51A95340-BA88-4E2B-AF30-3564449721E2}"/>
    <cellStyle name="C￥AØ_page 2 _Book2 3" xfId="936" xr:uid="{16C75864-7CC8-40ED-8EE1-AAAA4397AF85}"/>
    <cellStyle name="Ç¥ÁØ_page 2 _Book2 3" xfId="937" xr:uid="{E8F30261-BC20-4335-BE45-2EF907F7BCB5}"/>
    <cellStyle name="C￥AØ_page 2 _Book2 4" xfId="938" xr:uid="{0B0F3C63-49A9-46D2-ADC1-EE775DB23503}"/>
    <cellStyle name="Ç¥ÁØ_page 2 _Book2 4" xfId="939" xr:uid="{F7764CC7-5358-4878-ADA8-1C12DFFF52B4}"/>
    <cellStyle name="C￥AØ_page 2 _Book2 5" xfId="940" xr:uid="{8A4E30BC-F1E3-4D24-9C7A-5905BD660420}"/>
    <cellStyle name="Ç¥ÁØ_page 2 _Book2 5" xfId="941" xr:uid="{9175F084-0EB4-4482-B090-9760E243B055}"/>
    <cellStyle name="C￥AØ_page 2 _Book2 6" xfId="942" xr:uid="{DDB77FAC-43E7-48EB-9477-BC6D5217B45F}"/>
    <cellStyle name="Ç¥ÁØ_page 2 _Book2 6" xfId="943" xr:uid="{5B764574-9892-4BD0-9E05-B15B14471C9B}"/>
    <cellStyle name="C￥AØ_page 2 _Book2_10월생산계획" xfId="944" xr:uid="{94BE8C14-AE21-447F-9ECF-6C578E2FBD4C}"/>
    <cellStyle name="Ç¥ÁØ_page 2 _Book2_10월생산계획" xfId="945" xr:uid="{022DF0C8-EBA9-42E6-AC93-352257058344}"/>
    <cellStyle name="C￥AØ_page 2 _Book2_6월생산계획" xfId="946" xr:uid="{E1FC7550-E205-4C78-8737-AA05B174C459}"/>
    <cellStyle name="Ç¥ÁØ_page 2 _Book2_6월생산계획" xfId="947" xr:uid="{A046B6A3-3A62-4189-8EAA-4109635810BD}"/>
    <cellStyle name="C￥AØ_page 2 _Book2_8월생산계획(1)" xfId="948" xr:uid="{F2962E54-61D4-449E-8066-D37EE16C64B9}"/>
    <cellStyle name="Ç¥ÁØ_page 2 _Book2_8월생산계획(1)" xfId="949" xr:uid="{D8E87EA8-B635-4CD8-9174-8A60BA945F25}"/>
    <cellStyle name="C￥AØ_page 2 _Book2_8월생산계획110805" xfId="950" xr:uid="{74B7D9BC-6069-4C80-AF05-2206E888C6FA}"/>
    <cellStyle name="Ç¥ÁØ_page 2 _Book2_8월생산계획110805" xfId="951" xr:uid="{4E421B20-CCFC-418A-8848-024AECCDF158}"/>
    <cellStyle name="C￥AØ_page 2 _J2-7003(생산효율개선계획(아테네전동차)" xfId="952" xr:uid="{535215A2-7CCB-4754-AC48-9FF1485A03B5}"/>
    <cellStyle name="Ç¥ÁØ_page 2 _J2-7003(생산효율개선계획(아테네전동차)" xfId="953" xr:uid="{7C576953-20D5-4F8D-B205-7B6DC7DB6A2B}"/>
    <cellStyle name="C￥AØ_page 2 _J4-7011(생산 효율개선계획 보고-200301)" xfId="954" xr:uid="{C8677C31-0264-44C7-863C-BCA8012A9334}"/>
    <cellStyle name="Ç¥ÁØ_page 2 _J4-7011(생산 효율개선계획 보고-200301)" xfId="955" xr:uid="{9829F861-7A64-48B9-861C-93135DF30BDC}"/>
    <cellStyle name="C￥AØ_page 2 _J4-7011(생산 효율개선계획 보고-200301) 2" xfId="956" xr:uid="{D21B2CC1-8519-4F18-9155-19762D64D3B9}"/>
    <cellStyle name="Ç¥ÁØ_page 2 _J4-7011(생산 효율개선계획 보고-200301) 2" xfId="957" xr:uid="{4223C0E5-1D78-404C-9C1F-F06DEF9C2C4C}"/>
    <cellStyle name="C￥AØ_page 2 _J4-7011(생산 효율개선계획 보고-200301) 3" xfId="958" xr:uid="{9CAB3F6D-05D7-416A-8603-39BF365D7F0F}"/>
    <cellStyle name="Ç¥ÁØ_page 2 _J4-7011(생산 효율개선계획 보고-200301) 3" xfId="959" xr:uid="{E3747150-A38E-46F4-9EF4-8ECFD8A17738}"/>
    <cellStyle name="C￥AØ_page 2 _J4-7011(생산 효율개선계획 보고-200301) 4" xfId="960" xr:uid="{AE341F21-9631-4AF1-881C-6D75B4373362}"/>
    <cellStyle name="Ç¥ÁØ_page 2 _J4-7011(생산 효율개선계획 보고-200301) 4" xfId="961" xr:uid="{B01AE459-F825-4F80-8816-DA64FF487396}"/>
    <cellStyle name="C￥AØ_page 2 _J4-7011(생산 효율개선계획 보고-200301) 5" xfId="962" xr:uid="{62346ECD-4403-42E9-9D96-E09556AF223C}"/>
    <cellStyle name="Ç¥ÁØ_page 2 _J4-7011(생산 효율개선계획 보고-200301) 5" xfId="963" xr:uid="{28A2067B-F6DC-4F71-8894-287D655BDA8C}"/>
    <cellStyle name="C￥AØ_page 2 _J4-7011(생산 효율개선계획 보고-200301) 6" xfId="964" xr:uid="{F9D26D27-A705-4FF7-86B8-0C07AE25640B}"/>
    <cellStyle name="Ç¥ÁØ_page 2 _J4-7011(생산 효율개선계획 보고-200301) 6" xfId="965" xr:uid="{F12171D3-06C2-4FFE-9829-C30C620A0E0B}"/>
    <cellStyle name="C￥AØ_page 2 _J4-7011(생산 효율개선계획 보고-200301)_10월생산계획" xfId="966" xr:uid="{438F958C-34EC-432B-91DF-E6F92A8080EB}"/>
    <cellStyle name="Ç¥ÁØ_page 2 _J4-7011(생산 효율개선계획 보고-200301)_10월생산계획" xfId="967" xr:uid="{F936F024-ADDB-4964-9BB2-DD502CAD2368}"/>
    <cellStyle name="C￥AØ_page 2 _J4-7011(생산 효율개선계획 보고-200301)_6월생산계획" xfId="968" xr:uid="{428097D7-FE40-4764-B7DB-C9FD3E728694}"/>
    <cellStyle name="Ç¥ÁØ_page 2 _J4-7011(생산 효율개선계획 보고-200301)_6월생산계획" xfId="969" xr:uid="{72C1F465-4D60-42FC-BC32-5D53F485FB80}"/>
    <cellStyle name="C￥AØ_page 2 _J4-7011(생산 효율개선계획 보고-200301)_8월생산계획(1)" xfId="970" xr:uid="{A39668C3-B7F8-49D0-9EA7-E09A29E74418}"/>
    <cellStyle name="Ç¥ÁØ_page 2 _J4-7011(생산 효율개선계획 보고-200301)_8월생산계획(1)" xfId="971" xr:uid="{7E0451E7-A060-4E15-958B-813EBE5EE393}"/>
    <cellStyle name="C￥AØ_page 2 _J4-7011(생산 효율개선계획 보고-200301)_8월생산계획110805" xfId="972" xr:uid="{3C75C7DC-BD26-422B-9A67-07E6717D66B7}"/>
    <cellStyle name="Ç¥ÁØ_page 2 _J4-7011(생산 효율개선계획 보고-200301)_8월생산계획110805" xfId="973" xr:uid="{B6A2C7C2-BCF2-426F-A8AD-64858EC1DCE1}"/>
    <cellStyle name="C￥AØ_page 2 _J4-7022(동력객차 생산효율향상 1차 보고자료(030221)" xfId="974" xr:uid="{8788F244-71E1-4B90-9709-4A153FE78CC1}"/>
    <cellStyle name="Ç¥ÁØ_page 2 _J4-7022(동력객차 생산효율향상 1차 보고자료(030221)" xfId="975" xr:uid="{7B43B478-BA80-4172-B4A1-BDAD706D6525}"/>
    <cellStyle name="C￥AØ_page 2 _J4-7022(동력객차 생산효율향상 1차 보고자료(030221) 2" xfId="976" xr:uid="{20CB950D-355F-41B4-A0E4-19FC68D2C550}"/>
    <cellStyle name="Ç¥ÁØ_page 2 _J4-7022(동력객차 생산효율향상 1차 보고자료(030221) 2" xfId="977" xr:uid="{5520E386-0222-4036-85F0-7FDE833E1B2D}"/>
    <cellStyle name="C￥AØ_page 2 _J4-7022(동력객차 생산효율향상 1차 보고자료(030221) 3" xfId="978" xr:uid="{6CE30D99-A82C-4A5F-B763-CC62074649AE}"/>
    <cellStyle name="Ç¥ÁØ_page 2 _J4-7022(동력객차 생산효율향상 1차 보고자료(030221) 3" xfId="979" xr:uid="{A3DC7E85-077E-4EFA-AA73-42E9479B17F9}"/>
    <cellStyle name="C￥AØ_page 2 _J4-7022(동력객차 생산효율향상 1차 보고자료(030221) 4" xfId="980" xr:uid="{FD62BD5C-121E-425F-8E77-C69F4E6081C2}"/>
    <cellStyle name="Ç¥ÁØ_page 2 _J4-7022(동력객차 생산효율향상 1차 보고자료(030221) 4" xfId="981" xr:uid="{514AC91D-51CD-47BD-B153-7D86A92EFC27}"/>
    <cellStyle name="C￥AØ_page 2 _J4-7022(동력객차 생산효율향상 1차 보고자료(030221) 5" xfId="982" xr:uid="{B43C30D8-37F9-4C1E-B265-F7C9CD4E0E9F}"/>
    <cellStyle name="Ç¥ÁØ_page 2 _J4-7022(동력객차 생산효율향상 1차 보고자료(030221) 5" xfId="983" xr:uid="{0C2FDF30-7ED5-462B-97EA-DC958EE969D6}"/>
    <cellStyle name="C￥AØ_page 2 _J4-7022(동력객차 생산효율향상 1차 보고자료(030221) 6" xfId="984" xr:uid="{9870D38E-2F97-41CD-8845-EEF3458DDEFC}"/>
    <cellStyle name="Ç¥ÁØ_page 2 _J4-7022(동력객차 생산효율향상 1차 보고자료(030221) 6" xfId="985" xr:uid="{7F47B469-426D-4990-95FD-F63498515640}"/>
    <cellStyle name="C￥AØ_page 2 _J4-7022(동력객차 생산효율향상 1차 보고자료(030221)_10월생산계획" xfId="986" xr:uid="{26C2CB35-FE26-4306-9F4E-2E1DA35190D0}"/>
    <cellStyle name="Ç¥ÁØ_page 2 _J4-7022(동력객차 생산효율향상 1차 보고자료(030221)_10월생산계획" xfId="987" xr:uid="{6C67401B-873B-4F50-8083-E09D0B8A3E4C}"/>
    <cellStyle name="C￥AØ_page 2 _J4-7022(동력객차 생산효율향상 1차 보고자료(030221)_6월생산계획" xfId="988" xr:uid="{A2A36AA7-1B0B-4F62-A68C-D985C8B1EA24}"/>
    <cellStyle name="Ç¥ÁØ_page 2 _J4-7022(동력객차 생산효율향상 1차 보고자료(030221)_6월생산계획" xfId="989" xr:uid="{7AFA3F48-7953-44D4-BD46-E57CAEEECA42}"/>
    <cellStyle name="C￥AØ_page 2 _J4-7022(동력객차 생산효율향상 1차 보고자료(030221)_8월생산계획(1)" xfId="990" xr:uid="{3928892D-0E8E-4236-AF24-68DE7458B864}"/>
    <cellStyle name="Ç¥ÁØ_page 2 _J4-7022(동력객차 생산효율향상 1차 보고자료(030221)_8월생산계획(1)" xfId="991" xr:uid="{1BCB100D-9527-43A4-9F93-B25DFE189A07}"/>
    <cellStyle name="C￥AØ_page 2 _J4-7022(동력객차 생산효율향상 1차 보고자료(030221)_8월생산계획110805" xfId="992" xr:uid="{153B9FD2-D992-45FE-9325-4FCCB01B4FBA}"/>
    <cellStyle name="Ç¥ÁØ_page 2 _J4-7022(동력객차 생산효율향상 1차 보고자료(030221)_8월생산계획110805" xfId="993" xr:uid="{2F1BA6F7-274F-45F3-A0AD-3241B34DA413}"/>
    <cellStyle name="C￥AØ_page 2 _J4-7023(생산 효율개선 1차수 종합보고(030221)" xfId="994" xr:uid="{3524E3FE-5B12-4F11-B63B-713A0222FBBD}"/>
    <cellStyle name="Ç¥ÁØ_page 2 _J4-7023(생산 효율개선 1차수 종합보고(030221)" xfId="995" xr:uid="{D8FFBF2C-671E-499C-9724-4692E500CA50}"/>
    <cellStyle name="C￥AØ_page 2 _J4-7024(생산 효율개선관련 팀별개선대책발표(030221))" xfId="996" xr:uid="{51E20869-E6E8-4CCA-9969-75CDD0F056F0}"/>
    <cellStyle name="Ç¥ÁØ_page 2 _J4-7024(생산 효율개선관련 팀별개선대책발표(030221))" xfId="997" xr:uid="{3B76FF47-3B7C-46AC-8E41-A6FBF56F5AF2}"/>
    <cellStyle name="C￥AØ_page 2 _J4-7024(생산 효율개선관련 팀별개선대책발표(030221)) 2" xfId="998" xr:uid="{9A75FCB0-8DFE-4F95-A45D-0A2146154EF2}"/>
    <cellStyle name="Ç¥ÁØ_page 2 _J4-7024(생산 효율개선관련 팀별개선대책발표(030221)) 2" xfId="999" xr:uid="{440AFF53-3E9C-4416-990D-821A836FFD6E}"/>
    <cellStyle name="C￥AØ_page 2 _J4-7024(생산 효율개선관련 팀별개선대책발표(030221)) 3" xfId="1000" xr:uid="{9EA3A69C-F51F-4E7C-9CEF-CF168DB8DD6E}"/>
    <cellStyle name="Ç¥ÁØ_page 2 _J4-7024(생산 효율개선관련 팀별개선대책발표(030221)) 3" xfId="1001" xr:uid="{DED87D7E-C6B6-4C87-95B5-963DFA36FDFE}"/>
    <cellStyle name="C￥AØ_page 2 _J4-7024(생산 효율개선관련 팀별개선대책발표(030221)) 4" xfId="1002" xr:uid="{05B6F96C-D5BD-46D7-A75F-871C723DE428}"/>
    <cellStyle name="Ç¥ÁØ_page 2 _J4-7024(생산 효율개선관련 팀별개선대책발표(030221)) 4" xfId="1003" xr:uid="{68830B48-D5D8-4C3B-B78A-B82D45F290C7}"/>
    <cellStyle name="C￥AØ_page 2 _J4-7024(생산 효율개선관련 팀별개선대책발표(030221)) 5" xfId="1004" xr:uid="{8AD8CECC-DF6A-448B-A747-12DA5230E548}"/>
    <cellStyle name="Ç¥ÁØ_page 2 _J4-7024(생산 효율개선관련 팀별개선대책발표(030221)) 5" xfId="1005" xr:uid="{84141280-ECAD-47E5-AA24-D41174A5F88F}"/>
    <cellStyle name="C￥AØ_page 2 _J4-7024(생산 효율개선관련 팀별개선대책발표(030221)) 6" xfId="1006" xr:uid="{F477CCAD-7AFF-4262-B40E-B241437BA801}"/>
    <cellStyle name="Ç¥ÁØ_page 2 _J4-7024(생산 효율개선관련 팀별개선대책발표(030221)) 6" xfId="1007" xr:uid="{DA87FADC-D56E-4297-8D24-D22A9EE08608}"/>
    <cellStyle name="C￥AØ_page 2 _J4-7024(생산 효율개선관련 팀별개선대책발표(030221))_10월생산계획" xfId="1008" xr:uid="{E97ECB2F-914F-40EF-BFB6-771E811C5313}"/>
    <cellStyle name="Ç¥ÁØ_page 2 _J4-7024(생산 효율개선관련 팀별개선대책발표(030221))_10월생산계획" xfId="1009" xr:uid="{C255590C-BD0D-4ECD-BFEA-6081A24644A0}"/>
    <cellStyle name="C￥AØ_page 2 _J4-7024(생산 효율개선관련 팀별개선대책발표(030221))_6월생산계획" xfId="1010" xr:uid="{839E41A7-95B7-4E79-B069-B23291FB8397}"/>
    <cellStyle name="Ç¥ÁØ_page 2 _J4-7024(생산 효율개선관련 팀별개선대책발표(030221))_6월생산계획" xfId="1011" xr:uid="{3462FD9D-C0F7-469D-899D-816ACC98FB9E}"/>
    <cellStyle name="C￥AØ_page 2 _J4-7024(생산 효율개선관련 팀별개선대책발표(030221))_8월생산계획(1)" xfId="1012" xr:uid="{52411238-6185-4F50-89AA-996A73A516B8}"/>
    <cellStyle name="Ç¥ÁØ_page 2 _J4-7024(생산 효율개선관련 팀별개선대책발표(030221))_8월생산계획(1)" xfId="1013" xr:uid="{ED9E9AC2-C2F4-42DF-9E1E-F818EA8D436D}"/>
    <cellStyle name="C￥AØ_page 2 _J4-7024(생산 효율개선관련 팀별개선대책발표(030221))_8월생산계획110805" xfId="1014" xr:uid="{FD610797-9934-4A3B-97CB-DF66C124D9E2}"/>
    <cellStyle name="Ç¥ÁØ_page 2 _J4-7024(생산 효율개선관련 팀별개선대책발표(030221))_8월생산계획110805" xfId="1015" xr:uid="{8F3B9D8C-9748-41B5-8D78-D74F82060923}"/>
    <cellStyle name="C￥AØ_page 2 _QC조직도030820-2003929" xfId="1016" xr:uid="{3AA3CC76-3A5C-4DB0-860D-F3D733A5833F}"/>
    <cellStyle name="Ç¥ÁØ_page 2 _QC조직도030820-2003929" xfId="1017" xr:uid="{E2D7C330-7DA2-427A-940E-42EE9DFDCF8F}"/>
    <cellStyle name="C￥AØ_page 2 _공장장회의-20040302" xfId="1018" xr:uid="{7084FF47-3D66-4316-835D-D59B36C5FDB1}"/>
    <cellStyle name="Ç¥ÁØ_page 2 _공장장회의-20040302" xfId="1019" xr:uid="{9B769913-4557-4C41-8C4E-BCFF55CBF553}"/>
    <cellStyle name="C￥AØ_page 2 _공장장회의-20040302 2" xfId="1020" xr:uid="{73C42E47-62A7-4EB0-9E2E-6D1864AAB1FF}"/>
    <cellStyle name="Ç¥ÁØ_page 2 _공장장회의-20040302 2" xfId="1021" xr:uid="{B6DFE2CA-5F24-475A-9FB0-EFE8870D902D}"/>
    <cellStyle name="C￥AØ_page 2 _공장장회의-20040302 3" xfId="1022" xr:uid="{14C340E6-0364-4B0E-8663-0C7FAAB764EE}"/>
    <cellStyle name="Ç¥ÁØ_page 2 _공장장회의-20040302 3" xfId="1023" xr:uid="{CE1613F4-94DE-45CD-8A34-0DD98234B848}"/>
    <cellStyle name="C￥AØ_page 2 _공장장회의-20040302 4" xfId="1024" xr:uid="{ECB22AB9-168B-4865-B295-FDCE53FC4E2D}"/>
    <cellStyle name="Ç¥ÁØ_page 2 _공장장회의-20040302 4" xfId="1025" xr:uid="{A32EAD8D-15A6-4914-9A15-100122D97D92}"/>
    <cellStyle name="C￥AØ_page 2 _공장장회의-20040302 5" xfId="1026" xr:uid="{62616A17-E96A-418B-B667-B30F806C187B}"/>
    <cellStyle name="Ç¥ÁØ_page 2 _공장장회의-20040302 5" xfId="1027" xr:uid="{402C4F13-1454-446A-A94B-3BAAC329EC0D}"/>
    <cellStyle name="C￥AØ_page 2 _공장장회의-20040302 6" xfId="1028" xr:uid="{2EA66AE0-DE4D-4286-A796-F4E5CC650659}"/>
    <cellStyle name="Ç¥ÁØ_page 2 _공장장회의-20040302 6" xfId="1029" xr:uid="{CE14CD85-CF00-434C-ABAD-6CB1BFFEAF62}"/>
    <cellStyle name="C￥AØ_page 2 _공장장회의-20040302_10월생산계획" xfId="1030" xr:uid="{D6A55DB5-5ED5-4F34-8475-717324115DF6}"/>
    <cellStyle name="Ç¥ÁØ_page 2 _공장장회의-20040302_10월생산계획" xfId="1031" xr:uid="{A53F2F28-6BFF-4DA7-BC9B-DDA05AA31AA3}"/>
    <cellStyle name="C￥AØ_page 2 _공장장회의-20040302_6월생산계획" xfId="1032" xr:uid="{095EBBF0-9E16-4FED-8036-C0616F4BE08D}"/>
    <cellStyle name="Ç¥ÁØ_page 2 _공장장회의-20040302_6월생산계획" xfId="1033" xr:uid="{6B34654C-B83A-433B-AC62-1838CF27CCA7}"/>
    <cellStyle name="C￥AØ_page 2 _공장장회의-20040302_8월생산계획(1)" xfId="1034" xr:uid="{3E426517-5619-487E-935E-6A1F801E6EC2}"/>
    <cellStyle name="Ç¥ÁØ_page 2 _공장장회의-20040302_8월생산계획(1)" xfId="1035" xr:uid="{42C3A682-A2B8-48CE-BB45-1E91D620C3A7}"/>
    <cellStyle name="C￥AØ_page 2 _공장장회의-20040302_8월생산계획110805" xfId="1036" xr:uid="{CE7C4837-8018-4D9C-B25A-A78816D1828F}"/>
    <cellStyle name="Ç¥ÁØ_page 2 _공장장회의-20040302_8월생산계획110805" xfId="1037" xr:uid="{79208C8B-2B54-47ED-9B2B-CEA625E8A177}"/>
    <cellStyle name="C￥AØ_page 2 _공장장회의-2004316" xfId="1038" xr:uid="{310DF42C-AC3F-466C-A3BF-A1F7BE31DB77}"/>
    <cellStyle name="Ç¥ÁØ_page 2 _공장장회의-2004316" xfId="1039" xr:uid="{650110D3-0A5A-4B52-A2DB-03A51D4DC587}"/>
    <cellStyle name="C￥AØ_page 2 _관리현장구분_제출현황_2003_2월_4주" xfId="1040" xr:uid="{4005EDE8-603D-4851-AE44-74A063813566}"/>
    <cellStyle name="Ç¥ÁØ_page 2 _관리현장구분_제출현황_2003_2월_4주" xfId="1041" xr:uid="{DA2F295F-B1D6-425D-980A-107F178A5B98}"/>
    <cellStyle name="C￥AØ_page 2 _관리현장구분_제출현황_2003_3월_1주-200337" xfId="1042" xr:uid="{EA1C2337-27CE-4ACE-93D2-918D92940FA8}"/>
    <cellStyle name="Ç¥ÁØ_page 2 _관리현장구분_제출현황_2003_3월_1주-200337" xfId="1043" xr:uid="{2822FAFA-D2CB-40A9-880E-21684B31A02A}"/>
    <cellStyle name="C￥AØ_page 2 _구체대차표준mh절감추진계획(사장님보고완)" xfId="1044" xr:uid="{8AD0E3CC-8D95-44DA-8A25-48A5512FB750}"/>
    <cellStyle name="Ç¥ÁØ_page 2 _구체대차표준mh절감추진계획(사장님보고완)" xfId="1045" xr:uid="{937FF33D-EA7C-498E-9124-6505B229BECD}"/>
    <cellStyle name="C￥AØ_page 2 _기관차 라인 부하(방8+3량)" xfId="1046" xr:uid="{D3C47642-3ECB-474F-93F2-3EE7D0FFB806}"/>
    <cellStyle name="Ç¥ÁØ_page 2 _기관차 라인 부하(방8+3량)" xfId="1047" xr:uid="{473A8473-6CA5-49E6-ADA7-3919506EBA14}"/>
    <cellStyle name="C￥AØ_page 2 _기관차 라인 부하(방8+3량) 2" xfId="1048" xr:uid="{88D4BA40-AF0E-4197-91F6-4FF42EAE59E9}"/>
    <cellStyle name="Ç¥ÁØ_page 2 _기관차 라인 부하(방8+3량) 2" xfId="1049" xr:uid="{EFFC5452-DC6D-4430-869D-64C33E9370EF}"/>
    <cellStyle name="C￥AØ_page 2 _기관차 라인 부하(방8+3량) 3" xfId="1050" xr:uid="{BED42320-D539-4258-9EB4-42694DFA76E8}"/>
    <cellStyle name="Ç¥ÁØ_page 2 _기관차 라인 부하(방8+3량) 3" xfId="1051" xr:uid="{E8A84A27-B507-4357-86BF-E89D768DCB93}"/>
    <cellStyle name="C￥AØ_page 2 _기관차 라인 부하(방8+3량) 4" xfId="1052" xr:uid="{9BF91C8C-BD91-44B3-A721-75F46C4D1265}"/>
    <cellStyle name="Ç¥ÁØ_page 2 _기관차 라인 부하(방8+3량) 4" xfId="1053" xr:uid="{9491BA3D-8D6F-495A-9C85-2F8204F2D7E9}"/>
    <cellStyle name="C￥AØ_page 2 _기관차 라인 부하(방8+3량) 5" xfId="1054" xr:uid="{E5940DE7-B54E-4603-A2CF-F4E85C92B653}"/>
    <cellStyle name="Ç¥ÁØ_page 2 _기관차 라인 부하(방8+3량) 5" xfId="1055" xr:uid="{13C3B223-9F92-43F3-BC43-6B1AC7253750}"/>
    <cellStyle name="C￥AØ_page 2 _기관차 라인 부하(방8+3량) 6" xfId="1056" xr:uid="{8820C761-ADBF-4CA4-8F0B-279CA816F66D}"/>
    <cellStyle name="Ç¥ÁØ_page 2 _기관차 라인 부하(방8+3량) 6" xfId="1057" xr:uid="{A8D252C4-42D8-42EB-81BE-872DD54EA327}"/>
    <cellStyle name="C￥AØ_page 2 _기관차 라인 부하(방8+3량)_10월생산계획" xfId="1058" xr:uid="{BB0DA3B7-0461-418F-BA20-1240C3509C1D}"/>
    <cellStyle name="Ç¥ÁØ_page 2 _기관차 라인 부하(방8+3량)_10월생산계획" xfId="1059" xr:uid="{5255D5FC-77E1-4D71-AC75-D41C37132C13}"/>
    <cellStyle name="C￥AØ_page 2 _기관차 라인 부하(방8+3량)_6월생산계획" xfId="1060" xr:uid="{A9601746-FA1C-4CB0-AA10-BC04A4AD915C}"/>
    <cellStyle name="Ç¥ÁØ_page 2 _기관차 라인 부하(방8+3량)_6월생산계획" xfId="1061" xr:uid="{1A26E2FD-D8D5-421D-BBA2-FA6638F4247A}"/>
    <cellStyle name="C￥AØ_page 2 _기관차 라인 부하(방8+3량)_8월생산계획(1)" xfId="1062" xr:uid="{3A26B3AD-B72A-4A72-A2C1-D6460635C552}"/>
    <cellStyle name="Ç¥ÁØ_page 2 _기관차 라인 부하(방8+3량)_8월생산계획(1)" xfId="1063" xr:uid="{E90ED167-7C2E-4F9D-958F-ABEC16FD5B6D}"/>
    <cellStyle name="C￥AØ_page 2 _기관차 라인 부하(방8+3량)_8월생산계획110805" xfId="1064" xr:uid="{8921515D-5D09-42A5-A097-162595A2C807}"/>
    <cellStyle name="Ç¥ÁØ_page 2 _기관차 라인 부하(방8+3량)_8월생산계획110805" xfId="1065" xr:uid="{97690D9F-CD78-4640-AD1B-9B4E5E814FC6}"/>
    <cellStyle name="C￥AØ_page 2 _도장진행-1.18" xfId="1066" xr:uid="{C29750F0-2F37-461A-A6E8-A10124A91964}"/>
    <cellStyle name="Ç¥ÁØ_page 2 _도장진행-1.18" xfId="1067" xr:uid="{E04BC2F0-FCF7-4D71-8227-E4FF4793EE06}"/>
    <cellStyle name="C￥AØ_page 2 _동력차생산팀 생산성저조검토0531-2003531" xfId="1068" xr:uid="{11377737-615A-46DB-89A3-6D84E25E4D26}"/>
    <cellStyle name="Ç¥ÁØ_page 2 _동력차생산팀 생산성저조검토0531-2003531" xfId="1069" xr:uid="{42B34DF4-4578-42C0-9C81-5F0B0932AE55}"/>
    <cellStyle name="C￥AØ_page 2 _동력차생산팀 생산성저조검토0531-200369" xfId="1070" xr:uid="{45594590-ED89-47B8-8216-753055DD674D}"/>
    <cellStyle name="Ç¥ÁØ_page 2 _동력차생산팀 생산성저조검토0531-200369" xfId="1071" xr:uid="{58F6BB73-DE9F-4E09-A8E9-95704315C56D}"/>
    <cellStyle name="C￥AØ_page 2 _로보트가동율 관련 자료r1" xfId="1072" xr:uid="{886E131E-F87B-4A7A-8AEB-6FCDD1981C5E}"/>
    <cellStyle name="Ç¥ÁØ_page 2 _로보트가동율 관련 자료r1" xfId="1073" xr:uid="{52BEAA83-4C83-414D-9C94-08A5A3254F5F}"/>
    <cellStyle name="C￥AØ_page 2 _민학기차장님(3월19일)J4-7028(생산 효율개선계획 보고(동력차 2차)-20030317)" xfId="1074" xr:uid="{1BD4B59A-35D6-41BC-9836-28871AD8E925}"/>
    <cellStyle name="Ç¥ÁØ_page 2 _민학기차장님(3월19일)J4-7028(생산 효율개선계획 보고(동력차 2차)-20030317)" xfId="1075" xr:uid="{ED4F65BD-8DCC-4073-8958-D2C544E50454}"/>
    <cellStyle name="C￥AØ_page 2 _방글라 기본계획" xfId="1076" xr:uid="{12815BCA-5E3C-4E40-A3E5-60956B9D6FD9}"/>
    <cellStyle name="Ç¥ÁØ_page 2 _방글라 기본계획" xfId="1077" xr:uid="{B751DF5C-6145-495C-BCF4-9DCE87E7CAE8}"/>
    <cellStyle name="C￥AØ_page 2 _배오민(uf)" xfId="1078" xr:uid="{266E5A4B-64A8-482B-944C-CADE70972789}"/>
    <cellStyle name="Ç¥ÁØ_page 2 _배오민(uf)" xfId="1079" xr:uid="{F0BEEF9E-D639-414B-B2AB-24A4BF9D45C1}"/>
    <cellStyle name="C￥AØ_page 2 _변대호-J2-7003(생산효율개선계획(아테네전동차)" xfId="1080" xr:uid="{5EF414A3-C2CA-433E-88E6-F7B9934DA4BE}"/>
    <cellStyle name="Ç¥ÁØ_page 2 _변대호-J2-7003(생산효율개선계획(아테네전동차)" xfId="1081" xr:uid="{1E0A385F-D8AC-4D45-886A-572C222F3289}"/>
    <cellStyle name="C￥AØ_page 2 _변대호-J4-7028(생산효율개선계획(인도전동차)" xfId="1082" xr:uid="{D33777A9-DA10-477B-ADA3-C86997D6A475}"/>
    <cellStyle name="Ç¥ÁØ_page 2 _변대호-J4-7028(생산효율개선계획(인도전동차)" xfId="1083" xr:uid="{C365747E-F753-4391-A05C-3F58D07D3CF2}"/>
    <cellStyle name="C￥AØ_page 2 _비상생산" xfId="1084" xr:uid="{1584BF97-4B2D-4238-9C63-8EF0808D40B9}"/>
    <cellStyle name="Ç¥ÁØ_page 2 _비상생산" xfId="1085" xr:uid="{903ED7B6-2EC4-4608-968F-8B598A16211B}"/>
    <cellStyle name="C￥AØ_page 2 _비상생산_경쟁력비교" xfId="1086" xr:uid="{0E5201C2-3FF9-41B8-A271-4768A2EDA9B7}"/>
    <cellStyle name="Ç¥ÁØ_page 2 _비상생산_경쟁력비교" xfId="1087" xr:uid="{B074B77B-EDAF-4C35-BEFE-4A9D736C82AD}"/>
    <cellStyle name="C￥AØ_page 2 _사내외주업체" xfId="1088" xr:uid="{401755B2-2FB5-4210-9342-A13902F93886}"/>
    <cellStyle name="Ç¥ÁØ_page 2 _사내외주업체" xfId="1089" xr:uid="{6211B6B2-28F7-4315-8031-B41F13423E3C}"/>
    <cellStyle name="C￥AØ_page 2 _사내외주업체_경쟁력비교" xfId="1090" xr:uid="{5B080ED7-C1CF-44F3-AF46-175C873B9724}"/>
    <cellStyle name="Ç¥ÁØ_page 2 _사내외주업체_경쟁력비교" xfId="1091" xr:uid="{25188300-D36F-46A7-9BAA-96192133C330}"/>
    <cellStyle name="C￥AØ_page 2 _사본 - 공장장회의-20040210-200429" xfId="1092" xr:uid="{544EF235-44FF-4056-8826-AB27311FEFAF}"/>
    <cellStyle name="Ç¥ÁØ_page 2 _사본 - 공장장회의-20040210-200429" xfId="1093" xr:uid="{11326926-4208-4F32-A948-6548B2308E9B}"/>
    <cellStyle name="C￥AØ_page 2 _사본 - 공장장회의-20040210-200429 2" xfId="1094" xr:uid="{FB06716A-9725-41A8-90A9-D668543FB27D}"/>
    <cellStyle name="Ç¥ÁØ_page 2 _사본 - 공장장회의-20040210-200429 2" xfId="1095" xr:uid="{4821402C-EE77-4594-BD39-9CBFFD8ECC21}"/>
    <cellStyle name="C￥AØ_page 2 _사본 - 공장장회의-20040210-200429 3" xfId="1096" xr:uid="{D0B2C586-C4A3-4C43-B5ED-8BF54EB5C2B7}"/>
    <cellStyle name="Ç¥ÁØ_page 2 _사본 - 공장장회의-20040210-200429 3" xfId="1097" xr:uid="{0E650DA8-2E7A-4D75-B969-17EE5CB2F703}"/>
    <cellStyle name="C￥AØ_page 2 _사본 - 공장장회의-20040210-200429 4" xfId="1098" xr:uid="{599D3F39-D97E-46EC-B045-363F56EA90AD}"/>
    <cellStyle name="Ç¥ÁØ_page 2 _사본 - 공장장회의-20040210-200429 4" xfId="1099" xr:uid="{1AEFE17B-E3F2-43C9-B318-C13115F17A84}"/>
    <cellStyle name="C￥AØ_page 2 _사본 - 공장장회의-20040210-200429 5" xfId="1100" xr:uid="{6EF5875C-21DC-45BB-AF75-047DF221FD83}"/>
    <cellStyle name="Ç¥ÁØ_page 2 _사본 - 공장장회의-20040210-200429 5" xfId="1101" xr:uid="{EFBD8C62-4E87-43E5-ACD6-AFFEC07EB9DC}"/>
    <cellStyle name="C￥AØ_page 2 _사본 - 공장장회의-20040210-200429 6" xfId="1102" xr:uid="{F5F3684D-FA0A-4DFE-B25D-C628900110BD}"/>
    <cellStyle name="Ç¥ÁØ_page 2 _사본 - 공장장회의-20040210-200429 6" xfId="1103" xr:uid="{D67968EF-32EB-446E-84A0-4BBED4059766}"/>
    <cellStyle name="C￥AØ_page 2 _사본 - 공장장회의-20040210-200429_10월생산계획" xfId="1104" xr:uid="{B3F8C159-AD3B-47D1-BB32-C3D32B595AE0}"/>
    <cellStyle name="Ç¥ÁØ_page 2 _사본 - 공장장회의-20040210-200429_10월생산계획" xfId="1105" xr:uid="{76CF3631-F19E-4D0C-ADFE-041B8A3E35A4}"/>
    <cellStyle name="C￥AØ_page 2 _사본 - 공장장회의-20040210-200429_6월생산계획" xfId="1106" xr:uid="{348371AD-6A6C-4954-8E1F-38649E71C301}"/>
    <cellStyle name="Ç¥ÁØ_page 2 _사본 - 공장장회의-20040210-200429_6월생산계획" xfId="1107" xr:uid="{6B0FD33C-1E36-4272-809B-4E694D4CF03F}"/>
    <cellStyle name="C￥AØ_page 2 _사본 - 공장장회의-20040210-200429_8월생산계획(1)" xfId="1108" xr:uid="{6D05B25B-AA41-4C1D-9100-61C2A5B99FC4}"/>
    <cellStyle name="Ç¥ÁØ_page 2 _사본 - 공장장회의-20040210-200429_8월생산계획(1)" xfId="1109" xr:uid="{ADD3EB36-286E-4545-8E04-50A1E6250568}"/>
    <cellStyle name="C￥AØ_page 2 _사본 - 공장장회의-20040210-200429_8월생산계획110805" xfId="1110" xr:uid="{99819AA0-2937-4D95-896B-B3153AC4BB00}"/>
    <cellStyle name="Ç¥ÁØ_page 2 _사본 - 공장장회의-20040210-200429_8월생산계획110805" xfId="1111" xr:uid="{D6723187-283C-4DFB-83AA-5A7213187F58}"/>
    <cellStyle name="C￥AØ_page 2 _생산계획(SE개선후)1203배포용-2003129" xfId="1112" xr:uid="{38F71F84-0642-456F-9C7C-5C6BBF2A3B83}"/>
    <cellStyle name="Ç¥ÁØ_page 2 _생산계획(SE개선후)1203배포용-2003129" xfId="1113" xr:uid="{B3DBDA32-BA00-481D-B065-DA194CBA92CA}"/>
    <cellStyle name="C￥AØ_page 2 _생산기술조직도-2003929" xfId="1114" xr:uid="{D2A72FE6-4A01-4114-99F9-1157788983BC}"/>
    <cellStyle name="Ç¥ÁØ_page 2 _생산기술조직도-2003929" xfId="1115" xr:uid="{C45253AF-FE06-43B2-A85F-AFED3D63E2DA}"/>
    <cellStyle name="C￥AØ_page 2 _생산효율개선 TFT 추진현황" xfId="1116" xr:uid="{BBD0E95C-59DA-480B-BE5C-9563F9B02383}"/>
    <cellStyle name="Ç¥ÁØ_page 2 _생산효율개선 TFT 추진현황" xfId="1117" xr:uid="{766E273A-5592-4B03-8908-F2CDB99F49CA}"/>
    <cellStyle name="C￥AØ_page 2 _유연계획(4월)-양식-2004322" xfId="1118" xr:uid="{7920C219-D46F-49E1-B97D-C9B2D7DBB0B3}"/>
    <cellStyle name="Ç¥ÁØ_page 2 _유연계획(4월)-양식-2004322" xfId="1119" xr:uid="{CFF8633F-FB44-4591-BF2B-6BECDE0D52A4}"/>
    <cellStyle name="C￥AØ_page 2 _이란MOCK_UP&amp;양산생산계획(1024 LEAD TIME포함)" xfId="1120" xr:uid="{E221C661-99C5-421E-AC78-0BFEFA21C6D7}"/>
    <cellStyle name="Ç¥ÁØ_page 2 _이란MOCK_UP&amp;양산생산계획(1024 LEAD TIME포함)" xfId="1121" xr:uid="{C71BD264-9D35-4A30-88A7-F004A62A4F38}"/>
    <cellStyle name="C￥AØ_page 2 _일일계획(MOCK UP)" xfId="1122" xr:uid="{E1EAC65F-BEF9-448D-A2F6-9E56F34FCA0F}"/>
    <cellStyle name="Ç¥ÁØ_page 2 _일일계획(MOCK UP)" xfId="1123" xr:uid="{1F3470AA-9C63-4F5A-B08A-2C0F81AF68C8}"/>
    <cellStyle name="C￥AØ_page 2 _자기부상 생산만회 계획 보고-200441-200447" xfId="1124" xr:uid="{E246DB71-7A15-4A8C-B88D-6F1D29CA477B}"/>
    <cellStyle name="Ç¥ÁØ_page 2 _자기부상 생산만회 계획 보고-200441-200447" xfId="1125" xr:uid="{162A777D-B20B-4B94-ACFB-AF2F017B2B2E}"/>
    <cellStyle name="C￥AØ_page 2 _장상길-사본 - 생산 효율개선계획 보고(Series-1차)-20030324-20030327" xfId="1126" xr:uid="{AA3535FC-2365-4C58-92C2-1295390EA1B8}"/>
    <cellStyle name="Ç¥ÁØ_page 2 _장상길-사본 - 생산 효율개선계획 보고(Series-1차)-20030324-20030327" xfId="1127" xr:uid="{1650EED4-5391-481B-940E-BB8031192B44}"/>
    <cellStyle name="C￥AØ_page 2 _장상길-생산 효율개선계획 보고(Series-1차)-20030324-20030327" xfId="1128" xr:uid="{20379C15-BF95-426B-B0B8-1D2AAF4FDEF6}"/>
    <cellStyle name="Ç¥ÁØ_page 2 _장상길-생산 효율개선계획 보고(Series-1차)-20030324-20030327" xfId="1129" xr:uid="{428DEBD3-2C1A-4C04-B46D-41382AE48B95}"/>
    <cellStyle name="C￥AØ_page 2 _장상길-생산 효율개선계획 보고(Series-2차)-20030324-20030327" xfId="1130" xr:uid="{FAC059C9-3523-4C8D-91BA-D8FBDB83997E}"/>
    <cellStyle name="Ç¥ÁØ_page 2 _장상길-생산 효율개선계획 보고(Series-2차)-20030324-20030327" xfId="1131" xr:uid="{2408E71C-249E-48FB-9353-8E7D8309B220}"/>
    <cellStyle name="C￥AØ_page 2 _전기기관차 18량 세부일정 협의-협조전 첨부용" xfId="1132" xr:uid="{6F516F5B-A898-4AED-91DD-4B650C35BE01}"/>
    <cellStyle name="Ç¥ÁØ_page 2 _전기기관차 18량 세부일정 협의-협조전 첨부용" xfId="1133" xr:uid="{63749431-753D-4891-AF82-B5B5F70D94AD}"/>
    <cellStyle name="C￥AØ_page 2 _전기기관차 18량 세부일정 협의-협조전 첨부용 2" xfId="1134" xr:uid="{967AEE97-D9EC-478E-9AA1-812AE602DB2D}"/>
    <cellStyle name="Ç¥ÁØ_page 2 _전기기관차 18량 세부일정 협의-협조전 첨부용 2" xfId="1135" xr:uid="{E1AE5BD6-B8E4-4DB2-8202-A3EAA3DA8C48}"/>
    <cellStyle name="C￥AØ_page 2 _전기기관차 18량 세부일정 협의-협조전 첨부용 3" xfId="1136" xr:uid="{B7211CB7-3FA5-4C7B-9362-6C4895146F2C}"/>
    <cellStyle name="Ç¥ÁØ_page 2 _전기기관차 18량 세부일정 협의-협조전 첨부용 3" xfId="1137" xr:uid="{91DDB392-02BC-4CF2-AA3C-53C17756DFD6}"/>
    <cellStyle name="C￥AØ_page 2 _전기기관차 18량 세부일정 협의-협조전 첨부용 4" xfId="1138" xr:uid="{8CB2B871-F73B-462F-849D-EDB0B6F03382}"/>
    <cellStyle name="Ç¥ÁØ_page 2 _전기기관차 18량 세부일정 협의-협조전 첨부용 4" xfId="1139" xr:uid="{20E6E4F0-B91D-482E-A044-ED6BC49EE7FD}"/>
    <cellStyle name="C￥AØ_page 2 _전기기관차 18량 세부일정 협의-협조전 첨부용 5" xfId="1140" xr:uid="{BEB9C05F-C050-4294-A5A2-1ADE5C758748}"/>
    <cellStyle name="Ç¥ÁØ_page 2 _전기기관차 18량 세부일정 협의-협조전 첨부용 5" xfId="1141" xr:uid="{4ED62463-EF4A-43F7-834D-EAA99E6319A5}"/>
    <cellStyle name="C￥AØ_page 2 _전기기관차 18량 세부일정 협의-협조전 첨부용 6" xfId="1142" xr:uid="{25673929-5689-4E74-81B4-A10D01C177CE}"/>
    <cellStyle name="Ç¥ÁØ_page 2 _전기기관차 18량 세부일정 협의-협조전 첨부용 6" xfId="1143" xr:uid="{0476F258-52A5-4AA4-A6B5-B6A2713DD656}"/>
    <cellStyle name="C￥AØ_page 2 _전기기관차 18량 세부일정 협의-협조전 첨부용_10월생산계획" xfId="1144" xr:uid="{38E00518-0F50-4F12-9ADB-8F79F8B3915C}"/>
    <cellStyle name="Ç¥ÁØ_page 2 _전기기관차 18량 세부일정 협의-협조전 첨부용_10월생산계획" xfId="1145" xr:uid="{5ECF9594-874D-4621-B3B4-BECC97CC80E1}"/>
    <cellStyle name="C￥AØ_page 2 _전기기관차 18량 세부일정 협의-협조전 첨부용_6월생산계획" xfId="1146" xr:uid="{E7FECBB3-B25E-4C8F-B211-7E9B715234FB}"/>
    <cellStyle name="Ç¥ÁØ_page 2 _전기기관차 18량 세부일정 협의-협조전 첨부용_6월생산계획" xfId="1147" xr:uid="{9965AA2D-6794-4E96-B7B4-BBC621C2FE90}"/>
    <cellStyle name="C￥AØ_page 2 _전기기관차 18량 세부일정 협의-협조전 첨부용_8월생산계획(1)" xfId="1148" xr:uid="{0BB78801-E4CE-484B-8126-7E3FB3F0295E}"/>
    <cellStyle name="Ç¥ÁØ_page 2 _전기기관차 18량 세부일정 협의-협조전 첨부용_8월생산계획(1)" xfId="1149" xr:uid="{D057A1A9-4CB8-4F3D-9B51-309B6E124BD3}"/>
    <cellStyle name="C￥AØ_page 2 _전기기관차 18량 세부일정 협의-협조전 첨부용_8월생산계획110805" xfId="1150" xr:uid="{884CCB1D-1D4D-44ED-973D-D92F4BB75EF6}"/>
    <cellStyle name="Ç¥ÁØ_page 2 _전기기관차 18량 세부일정 협의-협조전 첨부용_8월생산계획110805" xfId="1151" xr:uid="{D5D1D06C-C8C1-45D5-9EC5-7508CDD0F617}"/>
    <cellStyle name="C￥AØ_page 2 _전기기관차 문제점 보고" xfId="1152" xr:uid="{FDC5E320-F42D-424B-A07E-F0001E76B37D}"/>
    <cellStyle name="Ç¥ÁØ_page 2 _전기기관차 문제점 보고" xfId="1153" xr:uid="{1124F4E4-7DAA-4838-BD46-64909DFB73F2}"/>
    <cellStyle name="C￥AØ_page 2 _전기기관차 문제점 보고 2" xfId="1154" xr:uid="{0DF8B925-0967-49C2-BDDE-D852E6727A38}"/>
    <cellStyle name="Ç¥ÁØ_page 2 _전기기관차 문제점 보고 2" xfId="1155" xr:uid="{55C0BBAD-3190-48EA-BC2C-0777791D3450}"/>
    <cellStyle name="C￥AØ_page 2 _전기기관차 문제점 보고 3" xfId="1156" xr:uid="{5C8DC922-E206-4B90-9718-635089FAF7B2}"/>
    <cellStyle name="Ç¥ÁØ_page 2 _전기기관차 문제점 보고 3" xfId="1157" xr:uid="{70273DA4-04F8-45FC-9C20-4C7F16C482A0}"/>
    <cellStyle name="C￥AØ_page 2 _전기기관차 문제점 보고 4" xfId="1158" xr:uid="{398EDC87-D484-4AE3-AE52-2308AB0E19F3}"/>
    <cellStyle name="Ç¥ÁØ_page 2 _전기기관차 문제점 보고 4" xfId="1159" xr:uid="{539802B9-0C92-44E9-9A2A-A425DE5FE801}"/>
    <cellStyle name="C￥AØ_page 2 _전기기관차 문제점 보고 5" xfId="1160" xr:uid="{58A23EC8-D5F1-483B-8FA1-F433659646A1}"/>
    <cellStyle name="Ç¥ÁØ_page 2 _전기기관차 문제점 보고 5" xfId="1161" xr:uid="{1F6CEECB-C968-43A7-A9FA-E430F57C5CC7}"/>
    <cellStyle name="C￥AØ_page 2 _전기기관차 문제점 보고 6" xfId="1162" xr:uid="{AEF515BB-3499-4826-A7FB-F40BF121C1EA}"/>
    <cellStyle name="Ç¥ÁØ_page 2 _전기기관차 문제점 보고 6" xfId="1163" xr:uid="{CD2AFCE5-7A9D-4EBE-B983-92E85C52C522}"/>
    <cellStyle name="C￥AØ_page 2 _전기기관차 문제점 보고_10월생산계획" xfId="1164" xr:uid="{D6F725BF-62CD-4D00-879F-7AD84DAFF90F}"/>
    <cellStyle name="Ç¥ÁØ_page 2 _전기기관차 문제점 보고_10월생산계획" xfId="1165" xr:uid="{F9E2844B-D195-4BA9-8933-023FB2329044}"/>
    <cellStyle name="C￥AØ_page 2 _전기기관차 문제점 보고_6월생산계획" xfId="1166" xr:uid="{07B033C9-92A9-4EF1-A6FC-9D69EFD3C6DC}"/>
    <cellStyle name="Ç¥ÁØ_page 2 _전기기관차 문제점 보고_6월생산계획" xfId="1167" xr:uid="{F6E14871-10F6-4FC9-A646-F2121B28FF24}"/>
    <cellStyle name="C￥AØ_page 2 _전기기관차 문제점 보고_8월생산계획(1)" xfId="1168" xr:uid="{D9AE7E35-D215-4531-ADC8-5463247B178A}"/>
    <cellStyle name="Ç¥ÁØ_page 2 _전기기관차 문제점 보고_8월생산계획(1)" xfId="1169" xr:uid="{0C8F0D70-470F-4024-9B8A-EC16446AC372}"/>
    <cellStyle name="C￥AØ_page 2 _전기기관차 문제점 보고_8월생산계획110805" xfId="1170" xr:uid="{2239782B-8BD1-4C4F-9C9B-6A3898D8963E}"/>
    <cellStyle name="Ç¥ÁØ_page 2 _전기기관차 문제점 보고_8월생산계획110805" xfId="1171" xr:uid="{4E1939BB-75A9-4A19-8B7B-984DC2FF0D28}"/>
    <cellStyle name="C￥AØ_page 2 _전체 제작일정12.29" xfId="1172" xr:uid="{C4BAC380-E17A-4563-B316-5BE56A1F248D}"/>
    <cellStyle name="Ç¥ÁØ_page 2 _전체 제작일정12.29" xfId="1173" xr:uid="{D129884B-A79E-487D-900E-BF9F536D5742}"/>
    <cellStyle name="C￥AØ_page 2 _전체 제작일정12.29 2" xfId="1174" xr:uid="{EAAF8E24-0EF6-4ACF-911E-CDBED36D8C1E}"/>
    <cellStyle name="Ç¥ÁØ_page 2 _전체 제작일정12.29 2" xfId="1175" xr:uid="{54C289EF-1822-4157-B8C3-30958DBE03EB}"/>
    <cellStyle name="C￥AØ_page 2 _전체 제작일정12.29 3" xfId="1176" xr:uid="{6E7A4B38-29DC-4E9D-A500-727F49F61BA1}"/>
    <cellStyle name="Ç¥ÁØ_page 2 _전체 제작일정12.29 3" xfId="1177" xr:uid="{DF88F7EC-F30D-4D0A-9F10-E40661F276B5}"/>
    <cellStyle name="C￥AØ_page 2 _전체 제작일정12.29 4" xfId="1178" xr:uid="{0B4BCCE1-42C7-474E-B1E0-4E7B4F52060E}"/>
    <cellStyle name="Ç¥ÁØ_page 2 _전체 제작일정12.29 4" xfId="1179" xr:uid="{989569E7-4065-430A-8280-4628998693AA}"/>
    <cellStyle name="C￥AØ_page 2 _전체 제작일정12.29 5" xfId="1180" xr:uid="{3FB68649-6B50-4154-9F23-1710719AA57E}"/>
    <cellStyle name="Ç¥ÁØ_page 2 _전체 제작일정12.29 5" xfId="1181" xr:uid="{00327284-A50B-40B6-A646-BF641161D6E7}"/>
    <cellStyle name="C￥AØ_page 2 _전체 제작일정12.29 6" xfId="1182" xr:uid="{E5775603-94E6-4C45-860C-9680ED3890CA}"/>
    <cellStyle name="Ç¥ÁØ_page 2 _전체 제작일정12.29 6" xfId="1183" xr:uid="{78BDE59E-FC33-43B8-B237-E7151709DE6C}"/>
    <cellStyle name="C￥AØ_page 2 _전체 제작일정12.29_10월생산계획" xfId="1184" xr:uid="{FAE50172-F128-4FCA-BB63-439C5AF7A75C}"/>
    <cellStyle name="Ç¥ÁØ_page 2 _전체 제작일정12.29_10월생산계획" xfId="1185" xr:uid="{1FE76F4F-9670-4DB4-A329-404FE6B25DEF}"/>
    <cellStyle name="C￥AØ_page 2 _전체 제작일정12.29_6월생산계획" xfId="1186" xr:uid="{8DE0AEB7-7449-4BF0-B2FA-8A9D7D2A3059}"/>
    <cellStyle name="Ç¥ÁØ_page 2 _전체 제작일정12.29_6월생산계획" xfId="1187" xr:uid="{B4198A14-3B71-4894-8A4B-8207D86397BD}"/>
    <cellStyle name="C￥AØ_page 2 _전체 제작일정12.29_8월생산계획(1)" xfId="1188" xr:uid="{68E64802-9EC7-4895-99E0-664D35D349A6}"/>
    <cellStyle name="Ç¥ÁØ_page 2 _전체 제작일정12.29_8월생산계획(1)" xfId="1189" xr:uid="{226626A9-DA8A-4B68-96A9-68CE5E8924AC}"/>
    <cellStyle name="C￥AØ_page 2 _전체 제작일정12.29_8월생산계획110805" xfId="1190" xr:uid="{78BAB084-1C60-4622-A9C9-1C87C29FD597}"/>
    <cellStyle name="Ç¥ÁØ_page 2 _전체 제작일정12.29_8월생산계획110805" xfId="1191" xr:uid="{D09926D9-CC41-451D-BA6C-5D3CC4F9644C}"/>
    <cellStyle name="C￥AØ_page 2 _전체 제작일정2.3(8+3)" xfId="1192" xr:uid="{0BE66BB7-07AD-45CC-8513-2606F5152E48}"/>
    <cellStyle name="Ç¥ÁØ_page 2 _전체 제작일정2.3(8+3)" xfId="1193" xr:uid="{7FF7B081-603A-486C-84DE-E3B3035A6942}"/>
    <cellStyle name="C￥AØ_page 2 _전체 제작일정2.3(8+3) 2" xfId="1194" xr:uid="{8657D4FB-EDB6-4B6F-B11B-EFE0D0B86FC3}"/>
    <cellStyle name="Ç¥ÁØ_page 2 _전체 제작일정2.3(8+3) 2" xfId="1195" xr:uid="{5442FB5A-99C0-41A9-8B1A-540ECE7BA7B8}"/>
    <cellStyle name="C￥AØ_page 2 _전체 제작일정2.3(8+3) 3" xfId="1196" xr:uid="{B6AEC91E-818C-461E-B54A-7B48F0714F05}"/>
    <cellStyle name="Ç¥ÁØ_page 2 _전체 제작일정2.3(8+3) 3" xfId="1197" xr:uid="{6206EBDD-1FD7-4516-AB79-E9BDA5EC0E1E}"/>
    <cellStyle name="C￥AØ_page 2 _전체 제작일정2.3(8+3) 4" xfId="1198" xr:uid="{D042145D-C8D6-4F58-82BE-D0717B11036B}"/>
    <cellStyle name="Ç¥ÁØ_page 2 _전체 제작일정2.3(8+3) 4" xfId="1199" xr:uid="{757AB7F7-17D0-4DCD-90B3-E0DC76A24103}"/>
    <cellStyle name="C￥AØ_page 2 _전체 제작일정2.3(8+3) 5" xfId="1200" xr:uid="{8C4E224F-2B51-4DAE-B2EC-22290DCB4806}"/>
    <cellStyle name="Ç¥ÁØ_page 2 _전체 제작일정2.3(8+3) 5" xfId="1201" xr:uid="{0A4320BF-3664-4FF1-8A08-5FCC506EC8D4}"/>
    <cellStyle name="C￥AØ_page 2 _전체 제작일정2.3(8+3) 6" xfId="1202" xr:uid="{45D05588-4D7F-42CF-8493-01C491285BF1}"/>
    <cellStyle name="Ç¥ÁØ_page 2 _전체 제작일정2.3(8+3) 6" xfId="1203" xr:uid="{FF602B2A-88DD-47EA-B22D-8FC1A6A3BF97}"/>
    <cellStyle name="C￥AØ_page 2 _전체 제작일정2.3(8+3)_10월생산계획" xfId="1204" xr:uid="{A1D66A4A-A7F3-4B92-BB5C-2FA6BC88D668}"/>
    <cellStyle name="Ç¥ÁØ_page 2 _전체 제작일정2.3(8+3)_10월생산계획" xfId="1205" xr:uid="{C08278C7-FFD8-4EA5-AC79-155EE4A88915}"/>
    <cellStyle name="C￥AØ_page 2 _전체 제작일정2.3(8+3)_6월생산계획" xfId="1206" xr:uid="{9B2D1017-7ABC-4D4E-B5DD-FEF9BCD1A361}"/>
    <cellStyle name="Ç¥ÁØ_page 2 _전체 제작일정2.3(8+3)_6월생산계획" xfId="1207" xr:uid="{637F8669-D361-4E40-B089-3179783F4F16}"/>
    <cellStyle name="C￥AØ_page 2 _전체 제작일정2.3(8+3)_8월생산계획(1)" xfId="1208" xr:uid="{5A506014-98BD-4515-A852-D11EB5CAF928}"/>
    <cellStyle name="Ç¥ÁØ_page 2 _전체 제작일정2.3(8+3)_8월생산계획(1)" xfId="1209" xr:uid="{DC428B99-ED43-4B0D-BF3C-7966A8FD4695}"/>
    <cellStyle name="C￥AØ_page 2 _전체 제작일정2.3(8+3)_8월생산계획110805" xfId="1210" xr:uid="{14D31170-2905-4D81-B9E1-9CBAC28692BC}"/>
    <cellStyle name="Ç¥ÁØ_page 2 _전체 제작일정2.3(8+3)_8월생산계획110805" xfId="1211" xr:uid="{5D9D7586-92F1-464E-83DA-D9C75510EBA3}"/>
    <cellStyle name="C￥AØ_page 2 _제작일정R1 1.28" xfId="1212" xr:uid="{4FF7F9C8-E180-4C8C-94CF-FFBE491B69F4}"/>
    <cellStyle name="Ç¥ÁØ_page 2 _제작일정R1 1.28" xfId="1213" xr:uid="{D06BE77F-4E7A-4F47-9988-39F4EF4DE45F}"/>
    <cellStyle name="C￥AØ_page 2 _제작일정R1 1.28 2" xfId="1214" xr:uid="{99A4A187-B87C-43A7-BCF9-63D49794F0D4}"/>
    <cellStyle name="Ç¥ÁØ_page 2 _제작일정R1 1.28 2" xfId="1215" xr:uid="{81409529-65C4-483D-85A7-C5B9B55EBBCF}"/>
    <cellStyle name="C￥AØ_page 2 _제작일정R1 1.28 3" xfId="1216" xr:uid="{8FB2A03E-AAB6-43DF-AC8E-16F45D9C1975}"/>
    <cellStyle name="Ç¥ÁØ_page 2 _제작일정R1 1.28 3" xfId="1217" xr:uid="{39386C3B-FF27-44EA-97C0-E586EC58C2C2}"/>
    <cellStyle name="C￥AØ_page 2 _제작일정R1 1.28 4" xfId="1218" xr:uid="{2491197D-DD26-4DA1-81F9-77237A58D51A}"/>
    <cellStyle name="Ç¥ÁØ_page 2 _제작일정R1 1.28 4" xfId="1219" xr:uid="{B25EA1EC-285B-4462-8990-12AA358C92E3}"/>
    <cellStyle name="C￥AØ_page 2 _제작일정R1 1.28 5" xfId="1220" xr:uid="{31DECF9F-46CB-42F3-AF5C-5B9EA8C20C53}"/>
    <cellStyle name="Ç¥ÁØ_page 2 _제작일정R1 1.28 5" xfId="1221" xr:uid="{F924DCD8-0788-4F4E-9F7D-233630C4EE9D}"/>
    <cellStyle name="C￥AØ_page 2 _제작일정R1 1.28 6" xfId="1222" xr:uid="{D4EDABD0-1BAB-4D6F-AAB9-E09CB88E9069}"/>
    <cellStyle name="Ç¥ÁØ_page 2 _제작일정R1 1.28 6" xfId="1223" xr:uid="{FD18BBEB-0290-410C-8B44-9030B688B5BB}"/>
    <cellStyle name="C￥AØ_page 2 _제작일정R1 1.28_10월생산계획" xfId="1224" xr:uid="{E17E2B0E-9573-40B4-8601-A3E2A4107B20}"/>
    <cellStyle name="Ç¥ÁØ_page 2 _제작일정R1 1.28_10월생산계획" xfId="1225" xr:uid="{D39DEE30-371E-45A2-8AD5-D9CB72A88486}"/>
    <cellStyle name="C￥AØ_page 2 _제작일정R1 1.28_6월생산계획" xfId="1226" xr:uid="{8D6AE666-8CD9-489E-BB10-0839B3B5A8D2}"/>
    <cellStyle name="Ç¥ÁØ_page 2 _제작일정R1 1.28_6월생산계획" xfId="1227" xr:uid="{4A18DC0E-8FF5-4D4B-AF2B-B05604CA970B}"/>
    <cellStyle name="C￥AØ_page 2 _제작일정R1 1.28_8월생산계획(1)" xfId="1228" xr:uid="{0CA7126F-82ED-4937-8725-C52FE65F56FB}"/>
    <cellStyle name="Ç¥ÁØ_page 2 _제작일정R1 1.28_8월생산계획(1)" xfId="1229" xr:uid="{5A9231C3-C222-4CE0-A060-935A4D5FD020}"/>
    <cellStyle name="C￥AØ_page 2 _제작일정R1 1.28_8월생산계획110805" xfId="1230" xr:uid="{FAAA0C42-105B-4882-A214-6DD92465C88B}"/>
    <cellStyle name="Ç¥ÁØ_page 2 _제작일정R1 1.28_8월생산계획110805" xfId="1231" xr:uid="{7EB1271B-D913-46F5-885D-043498B037BF}"/>
    <cellStyle name="C￥AØ_page 2 _조직도" xfId="1232" xr:uid="{182178F7-3EFE-4C27-A025-D9A77F45F92D}"/>
    <cellStyle name="Ç¥ÁØ_page 2 _조직도" xfId="1233" xr:uid="{53A9A2B1-D2DB-4845-834C-5D6EFBD1FE55}"/>
    <cellStyle name="C￥AØ_page 2 _조직도 2" xfId="1234" xr:uid="{A92647D9-6689-4470-90C3-F9DBB576ADD4}"/>
    <cellStyle name="Ç¥ÁØ_page 2 _조직도 2" xfId="1235" xr:uid="{6A8D1235-803D-4874-8648-9117BB3E58FF}"/>
    <cellStyle name="C￥AØ_page 2 _조직도 3" xfId="1236" xr:uid="{3E793DD7-C51F-4E86-968B-E51475203C93}"/>
    <cellStyle name="Ç¥ÁØ_page 2 _조직도 3" xfId="1237" xr:uid="{1FAECD11-1F45-48D0-A440-6EC11E3F5750}"/>
    <cellStyle name="C￥AØ_page 2 _조직도 4" xfId="1238" xr:uid="{3550A761-6D5F-4981-AD8A-AC9AD5A35A69}"/>
    <cellStyle name="Ç¥ÁØ_page 2 _조직도 4" xfId="1239" xr:uid="{45F67840-0BAD-462A-8521-1A018CF6013E}"/>
    <cellStyle name="C￥AØ_page 2 _조직도 5" xfId="1240" xr:uid="{BAD1EE55-C166-429D-BA4E-43C5D1836F9B}"/>
    <cellStyle name="Ç¥ÁØ_page 2 _조직도 5" xfId="1241" xr:uid="{2DD7E04A-77BE-4CA4-A4DA-B2F77870A10D}"/>
    <cellStyle name="C￥AØ_page 2 _조직도 6" xfId="1242" xr:uid="{66F4FD23-E3EF-4977-90B1-15C463331ED3}"/>
    <cellStyle name="Ç¥ÁØ_page 2 _조직도 6" xfId="1243" xr:uid="{86488B16-688F-4BE7-B635-77286569B769}"/>
    <cellStyle name="C￥AØ_page 2 _조직도_10월생산계획" xfId="1244" xr:uid="{9E2311E0-F737-4855-8935-07CE5B135FC6}"/>
    <cellStyle name="Ç¥ÁØ_page 2 _조직도_10월생산계획" xfId="1245" xr:uid="{FFBC7D09-0AE1-4501-9609-9E730E71E92E}"/>
    <cellStyle name="C￥AØ_page 2 _조직도_6월생산계획" xfId="1246" xr:uid="{245AEF0D-833F-4EE7-813B-CD8DB2C687FB}"/>
    <cellStyle name="Ç¥ÁØ_page 2 _조직도_6월생산계획" xfId="1247" xr:uid="{225C2082-EB16-4C76-86FA-A93BAD674A3A}"/>
    <cellStyle name="C￥AØ_page 2 _조직도_8월생산계획(1)" xfId="1248" xr:uid="{F52293FD-F669-4BEA-846A-2D483A94C1E0}"/>
    <cellStyle name="Ç¥ÁØ_page 2 _조직도_8월생산계획(1)" xfId="1249" xr:uid="{BE38A73C-C9D9-4666-857F-E83EF0630E07}"/>
    <cellStyle name="C￥AØ_page 2 _조직도_8월생산계획110805" xfId="1250" xr:uid="{20104C48-F5C1-4D46-8868-B9C8ABB30A5B}"/>
    <cellStyle name="Ç¥ÁØ_page 2 _조직도_8월생산계획110805" xfId="1251" xr:uid="{C10830BD-26FC-468D-90D0-26443954B60D}"/>
    <cellStyle name="C￥AØ_page 2 _주간공정회의자료(3월11일)부문장주재" xfId="1252" xr:uid="{1BEB0305-6F39-44B9-8AEB-867B579160B1}"/>
    <cellStyle name="Ç¥ÁØ_page 2 _주간공정회의자료(3월11일)부문장주재" xfId="1253" xr:uid="{958D6777-F264-43E3-BEEC-A2700263F96E}"/>
    <cellStyle name="C￥AØ_page 2 _주간공정회의자료(3월11일)부문장주재 2" xfId="1254" xr:uid="{D429036C-7A20-4FC4-9603-53CDB3816671}"/>
    <cellStyle name="Ç¥ÁØ_page 2 _주간공정회의자료(3월11일)부문장주재 2" xfId="1255" xr:uid="{D119DEF6-D856-49FF-BD09-7CF3489824FF}"/>
    <cellStyle name="C￥AØ_page 2 _주간공정회의자료(3월11일)부문장주재 3" xfId="1256" xr:uid="{F36DE43D-DD44-44CC-9014-C7D1D0950813}"/>
    <cellStyle name="Ç¥ÁØ_page 2 _주간공정회의자료(3월11일)부문장주재 3" xfId="1257" xr:uid="{73D65E58-1779-4157-B0A9-D1828ACE4D51}"/>
    <cellStyle name="C￥AØ_page 2 _주간공정회의자료(3월11일)부문장주재 4" xfId="1258" xr:uid="{516DE7E3-2138-4F91-AF27-8C3DE2453B29}"/>
    <cellStyle name="Ç¥ÁØ_page 2 _주간공정회의자료(3월11일)부문장주재 4" xfId="1259" xr:uid="{2895FE59-C573-4528-8BBE-5E1EE44CA518}"/>
    <cellStyle name="C￥AØ_page 2 _주간공정회의자료(3월11일)부문장주재 5" xfId="1260" xr:uid="{53AEBE90-0313-4308-A8DA-1E6C59C56C63}"/>
    <cellStyle name="Ç¥ÁØ_page 2 _주간공정회의자료(3월11일)부문장주재 5" xfId="1261" xr:uid="{1D2DB1C8-943C-4F10-9909-5B64A85A4468}"/>
    <cellStyle name="C￥AØ_page 2 _주간공정회의자료(3월11일)부문장주재 6" xfId="1262" xr:uid="{28299049-3150-42EF-A0D1-2D3FEF692359}"/>
    <cellStyle name="Ç¥ÁØ_page 2 _주간공정회의자료(3월11일)부문장주재 6" xfId="1263" xr:uid="{29E591AD-0E4B-482A-AF23-42BD536A6192}"/>
    <cellStyle name="C￥AØ_page 2 _주간공정회의자료(3월11일)부문장주재_10월생산계획" xfId="1264" xr:uid="{0CC79680-A9E4-4FFC-A351-6F831EF809CF}"/>
    <cellStyle name="Ç¥ÁØ_page 2 _주간공정회의자료(3월11일)부문장주재_10월생산계획" xfId="1265" xr:uid="{F33AA745-5EB9-4206-ABC4-B1C95FE3BCA2}"/>
    <cellStyle name="C￥AØ_page 2 _주간공정회의자료(3월11일)부문장주재_6월생산계획" xfId="1266" xr:uid="{53BCAAE1-FF73-4379-BF9B-70CC55CD1432}"/>
    <cellStyle name="Ç¥ÁØ_page 2 _주간공정회의자료(3월11일)부문장주재_6월생산계획" xfId="1267" xr:uid="{E4AD8210-6F3C-4554-BC0B-74154E4C23A3}"/>
    <cellStyle name="C￥AØ_page 2 _주간공정회의자료(3월11일)부문장주재_8월생산계획(1)" xfId="1268" xr:uid="{AE9CB4CA-6639-4804-920A-5D5F69400A7C}"/>
    <cellStyle name="Ç¥ÁØ_page 2 _주간공정회의자료(3월11일)부문장주재_8월생산계획(1)" xfId="1269" xr:uid="{64B7254B-C41D-41E5-9CE8-181DACB66EEA}"/>
    <cellStyle name="C￥AØ_page 2 _주간공정회의자료(3월11일)부문장주재_8월생산계획110805" xfId="1270" xr:uid="{A0046E31-02A7-4885-9FFA-066331A3154E}"/>
    <cellStyle name="Ç¥ÁØ_page 2 _주간공정회의자료(3월11일)부문장주재_8월생산계획110805" xfId="1271" xr:uid="{4CDF11A4-A31D-459A-A872-A75C06EAAB7D}"/>
    <cellStyle name="C￥AØ_page 2 _주간공정회의자료(3월4일)부문장주재-200438" xfId="1272" xr:uid="{FB8CF5BF-1B7D-4A28-8C53-3D8DD7DD1BD0}"/>
    <cellStyle name="Ç¥ÁØ_page 2 _주간공정회의자료(3월4일)부문장주재-200438" xfId="1273" xr:uid="{8841AFB9-4C5B-4284-A30A-BA458CDE4CA2}"/>
    <cellStyle name="C￥AØ_page 2 _주간공정회의자료(3월4일)부문장주재-200438 2" xfId="1274" xr:uid="{DD592A5D-DDE5-496A-B328-4DAA9A23A18D}"/>
    <cellStyle name="Ç¥ÁØ_page 2 _주간공정회의자료(3월4일)부문장주재-200438 2" xfId="1275" xr:uid="{CFC6218F-865D-4F16-B4DE-AE96AACB333C}"/>
    <cellStyle name="C￥AØ_page 2 _주간공정회의자료(3월4일)부문장주재-200438 3" xfId="1276" xr:uid="{3858D3EC-155C-4053-B41E-BB010E3C2168}"/>
    <cellStyle name="Ç¥ÁØ_page 2 _주간공정회의자료(3월4일)부문장주재-200438 3" xfId="1277" xr:uid="{A630C123-3628-40E6-BEAC-1FAF13D184ED}"/>
    <cellStyle name="C￥AØ_page 2 _주간공정회의자료(3월4일)부문장주재-200438 4" xfId="1278" xr:uid="{443A14EA-2906-45CD-BAE1-B80C645BFCD5}"/>
    <cellStyle name="Ç¥ÁØ_page 2 _주간공정회의자료(3월4일)부문장주재-200438 4" xfId="1279" xr:uid="{6539AF6C-BD31-40FE-A8C7-039042C34FD1}"/>
    <cellStyle name="C￥AØ_page 2 _주간공정회의자료(3월4일)부문장주재-200438 5" xfId="1280" xr:uid="{7D453E50-F313-4A76-9CB7-69A3F851B058}"/>
    <cellStyle name="Ç¥ÁØ_page 2 _주간공정회의자료(3월4일)부문장주재-200438 5" xfId="1281" xr:uid="{C98459E3-0856-4F12-954D-976F0573CD37}"/>
    <cellStyle name="C￥AØ_page 2 _주간공정회의자료(3월4일)부문장주재-200438 6" xfId="1282" xr:uid="{0F6972D3-0E98-4E90-8AAB-0D7B021E3D45}"/>
    <cellStyle name="Ç¥ÁØ_page 2 _주간공정회의자료(3월4일)부문장주재-200438 6" xfId="1283" xr:uid="{8CAE545B-6D56-4AA3-8FEC-551203E43FAA}"/>
    <cellStyle name="C￥AØ_page 2 _주간공정회의자료(3월4일)부문장주재-200438_10월생산계획" xfId="1284" xr:uid="{10E23F12-777E-4215-96B0-877C2202AD24}"/>
    <cellStyle name="Ç¥ÁØ_page 2 _주간공정회의자료(3월4일)부문장주재-200438_10월생산계획" xfId="1285" xr:uid="{0868F636-296A-4E78-BF10-E7DA6A169C8D}"/>
    <cellStyle name="C￥AØ_page 2 _주간공정회의자료(3월4일)부문장주재-200438_6월생산계획" xfId="1286" xr:uid="{8237EBCF-AE66-4C20-8D4F-EAE4D99C604E}"/>
    <cellStyle name="Ç¥ÁØ_page 2 _주간공정회의자료(3월4일)부문장주재-200438_6월생산계획" xfId="1287" xr:uid="{4CC7970F-07C3-4AF5-93A1-3C4C66F59BAF}"/>
    <cellStyle name="C￥AØ_page 2 _주간공정회의자료(3월4일)부문장주재-200438_8월생산계획(1)" xfId="1288" xr:uid="{D098673C-C333-4921-8B1F-591DAE034B76}"/>
    <cellStyle name="Ç¥ÁØ_page 2 _주간공정회의자료(3월4일)부문장주재-200438_8월생산계획(1)" xfId="1289" xr:uid="{40E1CC4E-0D20-4BF8-A985-4F16F7C6CBED}"/>
    <cellStyle name="C￥AØ_page 2 _주간공정회의자료(3월4일)부문장주재-200438_8월생산계획110805" xfId="1290" xr:uid="{AB2C8BA8-3BD5-4911-94B5-20CAD55BCEF2}"/>
    <cellStyle name="Ç¥ÁØ_page 2 _주간공정회의자료(3월4일)부문장주재-200438_8월생산계획110805" xfId="1291" xr:uid="{595E4AEB-AF95-4DFC-921E-40CC06C18819}"/>
    <cellStyle name="C￥AØ_page 2 _철도청 전동차 개조 14량 생산 계획(2002.3.26)" xfId="1292" xr:uid="{CBEC1452-F966-4D1E-B7C6-86AAD815F1C7}"/>
    <cellStyle name="Ç¥ÁØ_page 2 _철도청 전동차 개조 14량 생산 계획(2002.3.26)" xfId="1293" xr:uid="{7620E158-72BE-470B-81AC-9DD30D49A90F}"/>
    <cellStyle name="C￥AØ_page 2 _철차부문중장기 투자계획최종안R1" xfId="1294" xr:uid="{D65B4078-139C-4359-8F00-704B16683CFE}"/>
    <cellStyle name="Ç¥ÁØ_page 2 _철차부문중장기 투자계획최종안R1" xfId="1295" xr:uid="{F0C496E8-F3E4-47D5-811E-4FC51EC9EC94}"/>
    <cellStyle name="C￥AØ_page 2 _플랜트연구팀-2003년도투자계획-021114" xfId="1296" xr:uid="{4A9525C3-C1E4-4B2D-8543-66C3E216E55C}"/>
    <cellStyle name="Ç¥ÁØ_page 2 _플랜트연구팀-2003년도투자계획-021114" xfId="1297" xr:uid="{C9FEC550-E1DD-4117-827B-DE8524400D4A}"/>
    <cellStyle name="C￥AØ_page 2 _효율9월1주(전장1,3반)-2003918-2003919" xfId="1298" xr:uid="{C9EDE01F-F1F9-40E5-8638-104D8CA93568}"/>
    <cellStyle name="Ç¥ÁØ_page 2 _효율9월1주(전장1,3반)-2003918-2003919" xfId="1299" xr:uid="{1C2EFF93-934C-4B8F-8B53-1A5487048BF4}"/>
    <cellStyle name="C￥AØ_RDTR99ML " xfId="1300" xr:uid="{2588B4C8-243D-48CB-A95B-7B04AA01D14A}"/>
    <cellStyle name="Ç¥ÁØ_RDTR99ML " xfId="1301" xr:uid="{1AD469F4-34DD-4884-B7F8-0EB370F56C00}"/>
    <cellStyle name="C￥AØ_Sheet1_¿μ¾÷CoE² " xfId="1302" xr:uid="{E2202A17-0667-47C4-BF6E-99704623E5D3}"/>
    <cellStyle name="Ç¥ÁØ_Sheet1_0N-HANDLING " xfId="1303" xr:uid="{B6AA73B1-4407-431C-A689-DA244CA4E410}"/>
    <cellStyle name="C￥AØ_Sheet1_Ay°eC￥(2¿u) " xfId="1304" xr:uid="{07353A3D-F623-4B49-91F4-BCD572509DFD}"/>
    <cellStyle name="Ç¥ÁØ_Sheet1_Áý°èÇ¥(2¿ù) " xfId="1305" xr:uid="{731A19BA-3950-44C7-96EE-4F19C9B91674}"/>
    <cellStyle name="C￥AØ_SMG-CKD-d1.1 " xfId="1306" xr:uid="{9F791979-F912-4997-B02A-04BB51BF648D}"/>
    <cellStyle name="Ç¥ÁØ_SMG-CKD-d1.1 " xfId="1307" xr:uid="{79312D0A-9AA3-41A4-9360-85B4785CF37E}"/>
    <cellStyle name="C￥AØ_WIPER " xfId="1308" xr:uid="{FB6B0AFB-C0C4-47F2-B167-AA3F2370A4EA}"/>
    <cellStyle name="Ç¥ÁØ_WIPER " xfId="1309" xr:uid="{67876BF2-0AB8-465E-A738-5166F7AC1251}"/>
    <cellStyle name="C￥AØ_XD AOA¾AIA¤ " xfId="1310" xr:uid="{75D8DBE7-FD7E-4B36-BAF2-52307EEE12A9}"/>
    <cellStyle name="Ç¥ÁØ_XD ÃÖÁ¾ÀÏÁ¤ " xfId="1311" xr:uid="{A5986CD4-6694-4350-A655-4F19698D9195}"/>
    <cellStyle name="C￥AØ_μðAⓒAIA¤ " xfId="1312" xr:uid="{9CD44287-8A21-4057-8865-D579D25D6CAF}"/>
    <cellStyle name="Calc Currency (0)" xfId="1313" xr:uid="{6B0FDB89-5621-468A-85AA-43CC1A8A9100}"/>
    <cellStyle name="Calculation" xfId="1314" xr:uid="{EF035223-EB8A-4325-95FC-D15F18F73D63}"/>
    <cellStyle name="category" xfId="1315" xr:uid="{565034AC-FBFE-484A-B08B-3A3E8F66CC47}"/>
    <cellStyle name="Check Cell" xfId="1316" xr:uid="{A129BF02-3ED3-4746-9748-666E6062251A}"/>
    <cellStyle name="Comma [0]" xfId="1317" xr:uid="{431E0C92-D7E6-47F1-B5B5-899A03D86D00}"/>
    <cellStyle name="Comma_ SG&amp;A Bridge" xfId="1318" xr:uid="{065E4A7F-D2A3-485B-8EAA-31F6107953A5}"/>
    <cellStyle name="Comma0" xfId="1319" xr:uid="{7C60F5A0-4195-4AC1-BA53-39D9D33E94AF}"/>
    <cellStyle name="Copied" xfId="1320" xr:uid="{C48B4D1C-6D66-4C1A-A1C9-BFBD3D45A523}"/>
    <cellStyle name="Curren?_x0012_퐀_x0017_?" xfId="1321" xr:uid="{3DAC0D54-71F9-4ED5-B375-A754A0DF552F}"/>
    <cellStyle name="Currency [0]" xfId="1322" xr:uid="{5FD3DD8D-0999-4793-AAF0-119587A11A0C}"/>
    <cellStyle name="Currency_ SG&amp;A Bridge " xfId="1323" xr:uid="{487B2EC0-232B-469D-B9E1-E40FFD306FFF}"/>
    <cellStyle name="Currency0" xfId="1324" xr:uid="{FBA92542-D9D2-411D-9F7C-EF9EA4DDD92E}"/>
    <cellStyle name="Currency1" xfId="1325" xr:uid="{66C88C4A-1680-4764-9A0B-9DB371D227BD}"/>
    <cellStyle name="Date" xfId="1326" xr:uid="{BFDBB528-E2D7-4350-BD3B-0154BB4B6186}"/>
    <cellStyle name="Entered" xfId="1327" xr:uid="{76314399-25E8-41B0-B2DE-DA0C1EDC567A}"/>
    <cellStyle name="entry" xfId="1328" xr:uid="{13B83747-3B7D-43AB-85EA-05FCD351E16B}"/>
    <cellStyle name="Euro" xfId="1329" xr:uid="{B9543A0B-BA82-41B9-9F4D-04C0F9558070}"/>
    <cellStyle name="Explanatory Text" xfId="1330" xr:uid="{50F53017-DDC4-4FF5-AD42-D57A0F972856}"/>
    <cellStyle name="Fixed" xfId="1331" xr:uid="{4FF939C2-4A2A-4A3F-B88F-F120B788DE82}"/>
    <cellStyle name="Good" xfId="1332" xr:uid="{42FD2AB7-CE70-44ED-92E4-C1350248C9D8}"/>
    <cellStyle name="Grey" xfId="1333" xr:uid="{5D5B4E88-339B-4AE8-8C26-1043C738FF3C}"/>
    <cellStyle name="HEADER" xfId="1334" xr:uid="{0F99ECDB-836B-4470-9526-BEEB04077AE2}"/>
    <cellStyle name="Header1" xfId="1335" xr:uid="{B64D5FD8-7C27-4DB4-87C3-414CD4801876}"/>
    <cellStyle name="Header2" xfId="1336" xr:uid="{384FBF69-F053-4FB7-8706-345937200BBC}"/>
    <cellStyle name="Header2 2" xfId="1337" xr:uid="{91902F70-5318-4BDB-8FE2-2C509A96EE0E}"/>
    <cellStyle name="Heading 1" xfId="1338" xr:uid="{45E0D0ED-D99C-461D-B852-0D9FC676F751}"/>
    <cellStyle name="Heading 1 2" xfId="1339" xr:uid="{28744263-B075-42A6-B036-796796DAD35E}"/>
    <cellStyle name="Heading 2" xfId="1340" xr:uid="{6152810E-A52A-4062-BB86-A6B23298A825}"/>
    <cellStyle name="Heading 2 2" xfId="1341" xr:uid="{4FF15879-B18D-418A-8752-8A0AA4EC9A49}"/>
    <cellStyle name="Heading 3" xfId="1342" xr:uid="{4241862D-17D0-473C-98E5-1011EA775078}"/>
    <cellStyle name="Heading 4" xfId="1343" xr:uid="{4EEF66C5-F94C-4E97-A5F4-21281519AEBC}"/>
    <cellStyle name="Heading1" xfId="1344" xr:uid="{EB8867AF-3CD8-4D57-8F5F-CF9B8843B57F}"/>
    <cellStyle name="Heading2" xfId="1345" xr:uid="{67649FF4-5E43-442E-A258-FCB28EDE832B}"/>
    <cellStyle name="HIGHLIGHT" xfId="1346" xr:uid="{B97D4963-DD50-47C4-9E8D-8EC9980129AD}"/>
    <cellStyle name="iles|_x0005_h" xfId="1347" xr:uid="{BD0FAB27-7392-4067-8454-402E01307155}"/>
    <cellStyle name="Input" xfId="1348" xr:uid="{CD2E39A3-DA8B-436C-AD2C-351CB04B1E93}"/>
    <cellStyle name="Input [yellow]" xfId="1349" xr:uid="{AF6FB4DF-1BAB-4EC5-8C15-1FF5BC93ADAC}"/>
    <cellStyle name="Input [yellow] 2" xfId="1350" xr:uid="{1A9ABD9F-ABC7-41FF-BB6D-C66EABE9AF4D}"/>
    <cellStyle name="Input [yellow] 2 2" xfId="1351" xr:uid="{6C8C8659-E0E6-4EC8-8825-1583A68B2666}"/>
    <cellStyle name="Input [yellow] 3" xfId="1352" xr:uid="{BA593647-6EF4-4A6A-9CE7-B1F34BB83801}"/>
    <cellStyle name="les" xfId="1353" xr:uid="{7000A32D-D824-4227-A201-5612DDD8D738}"/>
    <cellStyle name="Linked Cell" xfId="1354" xr:uid="{7835EA3C-89F8-4223-9801-C4DD6F2BD74F}"/>
    <cellStyle name="Milliers [0]" xfId="1355" xr:uid="{88A1F0D9-A2D0-4345-A421-3528C983D0B7}"/>
    <cellStyle name="Milliers_!!!GO" xfId="1356" xr:uid="{F0A9C383-997E-4BCD-95EE-03D215B8D42D}"/>
    <cellStyle name="Model" xfId="1357" xr:uid="{AC284EF3-0609-402D-9838-7AA63D025C94}"/>
    <cellStyle name="Model 2" xfId="1358" xr:uid="{AE57277A-4705-42D3-9055-7C1C30A2E026}"/>
    <cellStyle name="Model 2 2" xfId="1359" xr:uid="{EAADB65A-3544-4983-8BB7-FF76226F183C}"/>
    <cellStyle name="Model 2 2 2" xfId="2838" xr:uid="{9C1EBBCC-B4F7-4953-B33C-542677DEFC7C}"/>
    <cellStyle name="Model 2 3" xfId="2837" xr:uid="{246C0FBB-C1BB-4326-8DFB-9A0AD865EB35}"/>
    <cellStyle name="Model 3" xfId="2836" xr:uid="{1996E889-09CD-44D9-98E4-8E1EA09EE98D}"/>
    <cellStyle name="Mon?aire [0]" xfId="1360" xr:uid="{0159E167-D7EA-4C88-AC7B-C68F5A2254E9}"/>
    <cellStyle name="Mon?aire_!!!GO" xfId="1361" xr:uid="{3DF11749-43AD-459F-B27C-76B664840668}"/>
    <cellStyle name="Neutral" xfId="1362" xr:uid="{2D4914B4-DC13-439C-9220-21DBA57293A3}"/>
    <cellStyle name="no dec" xfId="1363" xr:uid="{CBB3ED59-F162-4E6B-A345-A6E517CF8734}"/>
    <cellStyle name="Normal - Style1" xfId="1364" xr:uid="{4474193F-948B-469F-9E64-11BA66080A8A}"/>
    <cellStyle name="Normal_ SG&amp;A Bridge " xfId="1365" xr:uid="{C2DF4071-8F28-4017-9C84-FB0CF083166D}"/>
    <cellStyle name="Note" xfId="1366" xr:uid="{AEC83D13-E72D-4070-9073-63838ACF85CB}"/>
    <cellStyle name="NUM_" xfId="1367" xr:uid="{A2DD32D5-82E1-4CA9-800C-839B612D1E3C}"/>
    <cellStyle name="o??귟 [0.00]_PRODUCT DETAIL Q1" xfId="1368" xr:uid="{244AFDB8-5FCE-48E5-B08E-FFAD40E96F08}"/>
    <cellStyle name="Œ…‹æØ‚è [0.00]_PRODUCT DETAIL Q1" xfId="1369" xr:uid="{D5C2BCE8-4EB9-4257-922A-6017A1653B41}"/>
    <cellStyle name="Œ…‹æØ‚è_PRODUCT DETAIL Q1" xfId="1370" xr:uid="{9D3F117F-C4A8-4B14-AF58-223029D9867A}"/>
    <cellStyle name="Output" xfId="1371" xr:uid="{D5EF184B-33A4-4DE1-8C31-C9CC76A74B9E}"/>
    <cellStyle name="Percent [2]" xfId="1372" xr:uid="{81DA3F0D-C86B-4396-AC66-445EDE790171}"/>
    <cellStyle name="Percent_!!!GO" xfId="1373" xr:uid="{AAF9E570-3AFC-47DB-A299-4E7A17A7420C}"/>
    <cellStyle name="price" xfId="1374" xr:uid="{3CAD1836-98CB-44E4-945B-9C26BC7D06A9}"/>
    <cellStyle name="R?" xfId="1375" xr:uid="{E8C3561E-54C0-4322-BE49-340E802FDDD5}"/>
    <cellStyle name="R_TITLE" xfId="1376" xr:uid="{7EFE686B-19EB-40BD-A461-9C6FC2790A9C}"/>
    <cellStyle name="R_TITLE_10월생산계획" xfId="1377" xr:uid="{23228821-2C21-4B8D-87C8-61328C9A33EA}"/>
    <cellStyle name="R_TITLE_6월생산계획" xfId="1378" xr:uid="{20217F12-2539-4B5F-A89C-7A297F98DB45}"/>
    <cellStyle name="R_TITLE_6월생산계획_2011년 10월 생산계획" xfId="1379" xr:uid="{28101B45-F569-477C-ACAE-0E03A0D72327}"/>
    <cellStyle name="R_TITLE_6월생산계획_2011년 8월 생산계획-수정" xfId="1380" xr:uid="{C82E4695-F411-4740-ABE7-ABAEC8B26375}"/>
    <cellStyle name="R_TITLE_6월생산계획_2011년 9월 생산계획" xfId="1381" xr:uid="{77504B97-1009-4733-8346-EC2E48996B49}"/>
    <cellStyle name="R_TITLE_8월생산계획(1)" xfId="1382" xr:uid="{8086FAD1-570B-4903-BDBD-8AE4306E9961}"/>
    <cellStyle name="R_TITLE_8월생산계획110805" xfId="1383" xr:uid="{FC580B13-BB85-4819-88D7-18E4BE3B4102}"/>
    <cellStyle name="revised" xfId="1384" xr:uid="{A31224E2-3A32-4C74-896C-2E5B0349ED34}"/>
    <cellStyle name="RevList" xfId="1385" xr:uid="{83B739FE-BEB8-4ED4-AF64-B86D70218AC8}"/>
    <cellStyle name="roux_laroux" xfId="1386" xr:uid="{C9381DB0-3FC2-4683-A419-1E88C99E015D}"/>
    <cellStyle name="sche|_x0005_" xfId="1387" xr:uid="{47AEFB90-21E3-4A37-B14B-F0C80C5F1800}"/>
    <cellStyle name="section" xfId="1388" xr:uid="{6CFE4585-C2D5-4E58-8D35-EB1D15ED541E}"/>
    <cellStyle name="STANDARD" xfId="1389" xr:uid="{34C868D9-1C6D-4133-A304-AB2640778420}"/>
    <cellStyle name="subhead" xfId="1390" xr:uid="{3C0788A3-C423-4D9F-8264-52B6026D109B}"/>
    <cellStyle name="Subtotal" xfId="1391" xr:uid="{53E56C72-8C77-47E3-91A8-47FA6819A2F1}"/>
    <cellStyle name="þ_x001d_ð'&amp;Oy?Hy9_x0008__x000f__x0007_æ_x0007__x0007__x0001__x0001_" xfId="1392" xr:uid="{CDE76643-A8F1-41B1-B2B7-690ACD01E651}"/>
    <cellStyle name="title" xfId="1393" xr:uid="{145C4BDA-B3E1-41CD-A669-0F645752D45E}"/>
    <cellStyle name="Title 2" xfId="1394" xr:uid="{F5229C5F-FC06-4C44-A7C3-3C033948B165}"/>
    <cellStyle name="Total" xfId="1395" xr:uid="{62C1B971-9A5D-4E3B-A994-1E3F1E912218}"/>
    <cellStyle name="Total 2" xfId="1396" xr:uid="{A2C02E75-7AE9-49A1-A05C-54776B87A804}"/>
    <cellStyle name="Unprot" xfId="1397" xr:uid="{9F5E59F9-93C9-4A80-8835-1ABE62E96062}"/>
    <cellStyle name="Unprot$" xfId="1398" xr:uid="{53DC74C7-7BD7-419F-92EB-43100223CE6F}"/>
    <cellStyle name="Unprotect" xfId="1399" xr:uid="{7AFB7B31-0A1F-4E03-A9E8-7C7CAE40FAD4}"/>
    <cellStyle name="Warning Text" xfId="1400" xr:uid="{00704720-4F16-4881-8E2D-4EBDC591723C}"/>
    <cellStyle name="XLS'|_x0005_t" xfId="1401" xr:uid="{171636F5-C75A-4F67-BF51-70208F018EB2}"/>
    <cellStyle name="アクセント 1" xfId="1402" xr:uid="{8D04C394-63F6-4863-8EEF-6750C65FAA64}"/>
    <cellStyle name="アクセント 2" xfId="1403" xr:uid="{5C808426-9740-4EE5-869D-5E2F2CE957BA}"/>
    <cellStyle name="アクセント 3" xfId="1404" xr:uid="{8D2C2550-64F9-42F3-A215-217F2F3A7891}"/>
    <cellStyle name="アクセント 4" xfId="1405" xr:uid="{26E5B067-55DB-4749-A7FE-1A1C56A3F06D}"/>
    <cellStyle name="アクセント 5" xfId="1406" xr:uid="{2CBF467E-27E0-4DED-8038-D36CE201646B}"/>
    <cellStyle name="アクセント 6" xfId="1407" xr:uid="{482C9972-408B-4C0D-AD7A-6A27B37A49E1}"/>
    <cellStyle name="スタイル 1" xfId="1408" xr:uid="{D401B8C8-C569-453D-8A8E-91DCFB13F364}"/>
    <cellStyle name="スタイル 2" xfId="1409" xr:uid="{22929852-5362-4AFA-8614-FAB8575567CF}"/>
    <cellStyle name="スタイル 3" xfId="1410" xr:uid="{DD9586EC-F303-4E02-AC20-7082AE7E22E8}"/>
    <cellStyle name="タイトル" xfId="1411" xr:uid="{29C55257-57D5-4E4C-99C4-4AC2F3ECD7DE}"/>
    <cellStyle name="チェック セル" xfId="1412" xr:uid="{3112E14D-7340-4BEA-AEA0-FE6E9E7C9AE5}"/>
    <cellStyle name="どちらでもない" xfId="1413" xr:uid="{82ADD99F-3F2D-4AF9-9087-B8B61599B0F5}"/>
    <cellStyle name="メモ" xfId="1414" xr:uid="{A4094B5B-9EAA-4357-A346-42770E1A9C07}"/>
    <cellStyle name="メモ 2" xfId="1415" xr:uid="{35843B72-2413-46F1-BA39-9186174BFFE6}"/>
    <cellStyle name="リンク セル" xfId="1416" xr:uid="{026E2D0A-6C1A-4305-93C0-CDBFFBBED1A7}"/>
    <cellStyle name="强调文字颜色 1" xfId="1417" xr:uid="{5D8C46EB-49AF-4F9A-BDA1-DA93B2957D1E}"/>
    <cellStyle name="强调文字颜色 2" xfId="1418" xr:uid="{95B96E86-401C-422B-91D9-31E8DDB7560B}"/>
    <cellStyle name="强调文字颜色 3" xfId="1419" xr:uid="{277B1D9B-7FA8-49D7-93C2-8242BF45897C}"/>
    <cellStyle name="强调文字颜色 4" xfId="1420" xr:uid="{AA93D64F-1D35-4DF5-A2D7-2AFCE275433A}"/>
    <cellStyle name="强调文字颜色 5" xfId="1421" xr:uid="{C5202226-922B-404E-B6E1-85F0E21D280B}"/>
    <cellStyle name="强调文字颜色 6" xfId="1422" xr:uid="{A79E0CD2-234F-4F1B-A0A3-36CC4E589E52}"/>
    <cellStyle name="강조색1 2" xfId="58" xr:uid="{00000000-0005-0000-0000-000037000000}"/>
    <cellStyle name="강조색1 3" xfId="59" xr:uid="{00000000-0005-0000-0000-000038000000}"/>
    <cellStyle name="강조색1 3 2" xfId="255" xr:uid="{EC3FB15C-5B0A-46A5-A998-D99AD1C6B542}"/>
    <cellStyle name="강조색1 4" xfId="60" xr:uid="{00000000-0005-0000-0000-000039000000}"/>
    <cellStyle name="강조색2 2" xfId="61" xr:uid="{00000000-0005-0000-0000-00003A000000}"/>
    <cellStyle name="강조색2 3" xfId="62" xr:uid="{00000000-0005-0000-0000-00003B000000}"/>
    <cellStyle name="강조색2 4" xfId="63" xr:uid="{00000000-0005-0000-0000-00003C000000}"/>
    <cellStyle name="강조색3 2" xfId="64" xr:uid="{00000000-0005-0000-0000-00003D000000}"/>
    <cellStyle name="강조색3 3" xfId="65" xr:uid="{00000000-0005-0000-0000-00003E000000}"/>
    <cellStyle name="강조색3 4" xfId="66" xr:uid="{00000000-0005-0000-0000-00003F000000}"/>
    <cellStyle name="강조색4 2" xfId="67" xr:uid="{00000000-0005-0000-0000-000040000000}"/>
    <cellStyle name="강조색4 3" xfId="68" xr:uid="{00000000-0005-0000-0000-000041000000}"/>
    <cellStyle name="강조색4 4" xfId="69" xr:uid="{00000000-0005-0000-0000-000042000000}"/>
    <cellStyle name="강조색5 2" xfId="70" xr:uid="{00000000-0005-0000-0000-000043000000}"/>
    <cellStyle name="강조색5 3" xfId="71" xr:uid="{00000000-0005-0000-0000-000044000000}"/>
    <cellStyle name="강조색5 4" xfId="72" xr:uid="{00000000-0005-0000-0000-000045000000}"/>
    <cellStyle name="강조색6 2" xfId="73" xr:uid="{00000000-0005-0000-0000-000046000000}"/>
    <cellStyle name="강조색6 3" xfId="74" xr:uid="{00000000-0005-0000-0000-000047000000}"/>
    <cellStyle name="강조색6 4" xfId="75" xr:uid="{00000000-0005-0000-0000-000048000000}"/>
    <cellStyle name="检查单元格" xfId="1423" xr:uid="{A347DE50-522F-43BD-AACB-84E7577F5DC5}"/>
    <cellStyle name="見出し 1" xfId="1424" xr:uid="{A65502CA-4048-4562-AD61-D7DCC66D355F}"/>
    <cellStyle name="見出し 2" xfId="1425" xr:uid="{313D8973-9CE5-4618-8D1B-E113EA88AE35}"/>
    <cellStyle name="見出し 3" xfId="1426" xr:uid="{EC7472F4-FB5A-4B9C-B111-8807AE71649A}"/>
    <cellStyle name="見出し 3 2" xfId="1427" xr:uid="{7EE82953-F379-4706-A4B7-7D1C1C356265}"/>
    <cellStyle name="見出し 3 2 2" xfId="1428" xr:uid="{6F50AC69-F209-43DB-BEB2-E5263F6735B5}"/>
    <cellStyle name="見出し 4" xfId="1429" xr:uid="{6EA3A42B-7979-4C77-B34F-C5795C75E392}"/>
    <cellStyle name="警告文" xfId="1430" xr:uid="{AD40E2A6-9D35-4032-8911-C1AAF1C61A16}"/>
    <cellStyle name="경고문 2" xfId="76" xr:uid="{00000000-0005-0000-0000-000049000000}"/>
    <cellStyle name="경고문 3" xfId="77" xr:uid="{00000000-0005-0000-0000-00004A000000}"/>
    <cellStyle name="경고문 4" xfId="78" xr:uid="{00000000-0005-0000-0000-00004B000000}"/>
    <cellStyle name="警告文本" xfId="1431" xr:uid="{B01A1BD0-8B9D-4684-B46E-3D9221783A5B}"/>
    <cellStyle name="計算" xfId="1432" xr:uid="{998E2A68-6472-4D5B-8634-298B274C1BE5}"/>
    <cellStyle name="计算" xfId="1433" xr:uid="{92485913-26BB-465E-AE80-E16E7AA8D046}"/>
    <cellStyle name="계산 2" xfId="79" xr:uid="{00000000-0005-0000-0000-00004C000000}"/>
    <cellStyle name="計算 2" xfId="1434" xr:uid="{B060A694-4EEB-4D56-B5E1-BC11934A79D2}"/>
    <cellStyle name="计算 2" xfId="1435" xr:uid="{4206A7C4-830B-4385-AAF8-CD53EAC0A1E5}"/>
    <cellStyle name="계산 3" xfId="80" xr:uid="{00000000-0005-0000-0000-00004D000000}"/>
    <cellStyle name="계산 4" xfId="81" xr:uid="{00000000-0005-0000-0000-00004E000000}"/>
    <cellStyle name="고정소숫점" xfId="1436" xr:uid="{3BF097C3-DA07-44F7-910E-BB6BDF1970F3}"/>
    <cellStyle name="고정출력1" xfId="1437" xr:uid="{DA6C0961-374A-42CE-88F4-9EF3194D4E84}"/>
    <cellStyle name="고정출력2" xfId="1438" xr:uid="{DF65D25A-2EF0-4805-903D-92F80F8B3A43}"/>
    <cellStyle name="适中" xfId="1439" xr:uid="{AD32A777-630F-4209-AA52-21EE5FFF6E09}"/>
    <cellStyle name="나쁨 2" xfId="82" xr:uid="{00000000-0005-0000-0000-00004F000000}"/>
    <cellStyle name="나쁨 3" xfId="83" xr:uid="{00000000-0005-0000-0000-000050000000}"/>
    <cellStyle name="나쁨 3 2" xfId="254" xr:uid="{A94E6CC5-2840-45FA-9B2D-1A0F0A3F7110}"/>
    <cellStyle name="나쁨 4" xfId="84" xr:uid="{00000000-0005-0000-0000-000051000000}"/>
    <cellStyle name="날짜" xfId="1440" xr:uid="{E7A2B2F0-989F-4AF0-8CE8-4B0BA3454F4D}"/>
    <cellStyle name="달러" xfId="1441" xr:uid="{5DF2972C-8014-48A8-B68E-D2F27B8820EA}"/>
    <cellStyle name="뒤에 오는 하이퍼링크" xfId="1442" xr:uid="{6499F3EC-89D1-4CC4-8918-4DE5C802AA4A}"/>
    <cellStyle name="딶" xfId="1443" xr:uid="{0EC7C29C-7C9A-414B-B83B-C01D43805540}"/>
    <cellStyle name="똿뗦먛귟 [0.00]_NT Server " xfId="1444" xr:uid="{3574340B-5354-4D79-9B82-6750EAA9864A}"/>
    <cellStyle name="똿뗦먛귟_NT Server " xfId="1445" xr:uid="{398EE702-049F-4A52-B144-E501DB8EA017}"/>
    <cellStyle name="良い" xfId="1446" xr:uid="{61884556-76D4-412E-8577-AF83C6627152}"/>
    <cellStyle name="链接单元格" xfId="1447" xr:uid="{871955BE-4E91-47A1-B62C-8765C4DA6530}"/>
    <cellStyle name="메모 2" xfId="85" xr:uid="{00000000-0005-0000-0000-000052000000}"/>
    <cellStyle name="메모 2 2" xfId="86" xr:uid="{00000000-0005-0000-0000-000053000000}"/>
    <cellStyle name="메모 3" xfId="87" xr:uid="{00000000-0005-0000-0000-000054000000}"/>
    <cellStyle name="메모 3 2" xfId="88" xr:uid="{00000000-0005-0000-0000-000055000000}"/>
    <cellStyle name="메모 4" xfId="89" xr:uid="{00000000-0005-0000-0000-000056000000}"/>
    <cellStyle name="메모 4 2" xfId="90" xr:uid="{00000000-0005-0000-0000-000057000000}"/>
    <cellStyle name="믅됞 [0.00]_NT Server " xfId="1448" xr:uid="{D784E0B6-A9D0-4FFD-9D90-199EF8F9E666}"/>
    <cellStyle name="믅됞_NT Server " xfId="1449" xr:uid="{7556ED2F-1362-4874-AB28-E493939AFE22}"/>
    <cellStyle name="백" xfId="1450" xr:uid="{DC9270DB-9343-418A-B20A-26BF8F052168}"/>
    <cellStyle name="백_Daeshin Price List (122309)" xfId="1451" xr:uid="{5E88DD27-52E1-40AD-B8A1-B83F23526483}"/>
    <cellStyle name="백_Daeshin Price List (122309)_Daeshin Pricing and Calculations 7Jun12" xfId="1452" xr:uid="{7C5B6175-0E35-45F8-9A12-3ED3ACDB32D6}"/>
    <cellStyle name="백분율 [0]" xfId="1453" xr:uid="{8CEE4835-4162-4703-9280-642B45096EA1}"/>
    <cellStyle name="백분율 10" xfId="1454" xr:uid="{3D494FA1-D054-434E-9E8F-7890435056AA}"/>
    <cellStyle name="백분율 10 2" xfId="1455" xr:uid="{7F79BC4E-54F1-4D03-94F8-930F567A35C0}"/>
    <cellStyle name="백분율 100" xfId="1456" xr:uid="{D9E30222-B709-47E1-BE51-9D4CE3BD9B8C}"/>
    <cellStyle name="백분율 100 2" xfId="1457" xr:uid="{D46A4660-CE0E-45E7-AB0C-F346FE52290A}"/>
    <cellStyle name="백분율 101" xfId="1458" xr:uid="{A2BE02AB-8FB5-4A57-A08A-3A0EE667A2EA}"/>
    <cellStyle name="백분율 101 2" xfId="1459" xr:uid="{6F2DDF62-7AF0-425D-931E-8C124522154D}"/>
    <cellStyle name="백분율 102" xfId="1460" xr:uid="{9AD16442-C745-45AA-A8BD-7ED53FA8A36E}"/>
    <cellStyle name="백분율 102 2" xfId="1461" xr:uid="{05554761-3BD7-401A-807A-14D9E03921EB}"/>
    <cellStyle name="백분율 103" xfId="1462" xr:uid="{A8E76CC0-E771-4F2F-A910-574E2969436E}"/>
    <cellStyle name="백분율 103 2" xfId="1463" xr:uid="{A0C656C3-3204-4D6D-AA14-84C1EBD2626F}"/>
    <cellStyle name="백분율 104" xfId="1464" xr:uid="{5C26B45D-28C1-465B-918C-8003932B9BEF}"/>
    <cellStyle name="백분율 104 2" xfId="1465" xr:uid="{B1AF4A22-DA44-40A6-91E1-B7EDC0B19E8F}"/>
    <cellStyle name="백분율 105" xfId="1466" xr:uid="{DD7E60B0-D170-4F3D-B208-D5C10877DF0C}"/>
    <cellStyle name="백분율 105 2" xfId="1467" xr:uid="{1937F6FB-9BF2-41EF-9941-FCA36744A984}"/>
    <cellStyle name="백분율 106" xfId="1468" xr:uid="{D621D9B6-D4A4-4154-AA43-CECA3A39E546}"/>
    <cellStyle name="백분율 106 2" xfId="1469" xr:uid="{79E75073-EBCC-468C-B290-CE37ED089D9B}"/>
    <cellStyle name="백분율 107" xfId="1470" xr:uid="{D08676F8-B822-412A-AA63-3285D3CA4599}"/>
    <cellStyle name="백분율 107 2" xfId="1471" xr:uid="{51BBDC0E-5825-422D-B355-2803250ED867}"/>
    <cellStyle name="백분율 108" xfId="1472" xr:uid="{3564CFB5-D8BA-48F8-B398-DE1F3ACC234C}"/>
    <cellStyle name="백분율 108 2" xfId="1473" xr:uid="{4596121C-0092-4018-937A-2C681CC716AD}"/>
    <cellStyle name="백분율 109" xfId="1474" xr:uid="{6964B24B-9EA5-4331-AA9A-946F16D0927B}"/>
    <cellStyle name="백분율 109 2" xfId="1475" xr:uid="{94072FAF-F3BB-4B07-8312-F8B2F5495710}"/>
    <cellStyle name="백분율 11" xfId="1476" xr:uid="{C408A355-CE03-4AE6-BDE9-0C91A5B1D9FC}"/>
    <cellStyle name="백분율 11 2" xfId="1477" xr:uid="{1C5F8FF9-0217-4EAE-917C-6B6CEF77ED69}"/>
    <cellStyle name="백분율 110" xfId="1478" xr:uid="{12796A78-1549-4D9D-AC26-0567BE1CF230}"/>
    <cellStyle name="백분율 110 2" xfId="1479" xr:uid="{150499F0-8985-4914-8A8E-62E591D59894}"/>
    <cellStyle name="백분율 111" xfId="1480" xr:uid="{3B16A346-C11A-4DCB-A55F-5167B1E8E30F}"/>
    <cellStyle name="백분율 111 2" xfId="1481" xr:uid="{49E778D3-7573-483C-8565-96D9BBBC5263}"/>
    <cellStyle name="백분율 112" xfId="1482" xr:uid="{1FDB1B50-7ADE-42F3-AF86-289E7A5349D6}"/>
    <cellStyle name="백분율 112 2" xfId="1483" xr:uid="{9F3D75DC-8233-4056-8EDC-665C4BDBE383}"/>
    <cellStyle name="백분율 113" xfId="1484" xr:uid="{08861FA1-3EDC-43B0-A712-C67EB0F52922}"/>
    <cellStyle name="백분율 113 2" xfId="1485" xr:uid="{CA927D9E-E788-4173-B314-6569E7CD6EFE}"/>
    <cellStyle name="백분율 114" xfId="1486" xr:uid="{DF764962-AE94-4BDB-BA9B-4AE9EEF6D266}"/>
    <cellStyle name="백분율 114 2" xfId="1487" xr:uid="{6C31F0C4-F70E-4873-8B4F-E1B7AED567FF}"/>
    <cellStyle name="백분율 115" xfId="1488" xr:uid="{0A2693B1-555C-41EC-852D-92A2F08FE921}"/>
    <cellStyle name="백분율 115 2" xfId="1489" xr:uid="{B97FC46A-000D-483C-9F29-E0B0A54EA30D}"/>
    <cellStyle name="백분율 116" xfId="1490" xr:uid="{E31F45B1-DBCC-4CB3-92B6-11BA4F7DDBED}"/>
    <cellStyle name="백분율 116 2" xfId="1491" xr:uid="{7232C5E0-1CFD-4639-B6B5-C58775D9BB09}"/>
    <cellStyle name="백분율 117" xfId="1492" xr:uid="{F956682C-1A83-4A25-94C5-24A82D05C971}"/>
    <cellStyle name="백분율 117 2" xfId="1493" xr:uid="{ED22D8B5-CE66-4CCE-9095-A98010903407}"/>
    <cellStyle name="백분율 118" xfId="1494" xr:uid="{1B62502F-310E-43B6-9E33-C220BB855760}"/>
    <cellStyle name="백분율 118 2" xfId="1495" xr:uid="{F443CCA5-283F-4EED-AA71-397C93C3617C}"/>
    <cellStyle name="백분율 119" xfId="1496" xr:uid="{05899EE1-7494-4F9A-8159-06036B11AEED}"/>
    <cellStyle name="백분율 119 2" xfId="1497" xr:uid="{DEED73A3-43A4-4190-AFEB-ACB2D97C401B}"/>
    <cellStyle name="백분율 12" xfId="1498" xr:uid="{DE547AD1-328B-4E90-AA51-E65707A32A20}"/>
    <cellStyle name="백분율 12 2" xfId="1499" xr:uid="{CB1E35ED-B506-46FE-929D-77718D27FC65}"/>
    <cellStyle name="백분율 120" xfId="1500" xr:uid="{45E4F702-C606-499F-BF19-9C88DC17BE41}"/>
    <cellStyle name="백분율 120 2" xfId="1501" xr:uid="{1650BA24-9220-426A-A290-0AF0E5629BC4}"/>
    <cellStyle name="백분율 121" xfId="1502" xr:uid="{764E5C46-C138-4D37-99F9-F17F431B15DA}"/>
    <cellStyle name="백분율 121 2" xfId="1503" xr:uid="{DED70165-51B9-4F97-8543-6E9AE2ADB601}"/>
    <cellStyle name="백분율 122" xfId="1504" xr:uid="{43345BD9-CA81-44AB-BE25-1C11F9E3A3E9}"/>
    <cellStyle name="백분율 122 2" xfId="1505" xr:uid="{EC64B524-7DB0-4594-BD7B-9A02BF1E036E}"/>
    <cellStyle name="백분율 123" xfId="1506" xr:uid="{AD69D10D-D7FB-496A-B0F3-0EBB8C38AD68}"/>
    <cellStyle name="백분율 123 2" xfId="1507" xr:uid="{4EFA9CEA-CDF5-4DA5-95B0-E7347628B9B0}"/>
    <cellStyle name="백분율 124" xfId="1508" xr:uid="{9D437926-10BF-49E0-A391-34CD26708E1E}"/>
    <cellStyle name="백분율 124 2" xfId="1509" xr:uid="{CC9683D5-76CB-48D0-8D7E-6F2EE2FCCCF7}"/>
    <cellStyle name="백분율 125" xfId="1510" xr:uid="{90F2F8ED-8174-412B-980F-7515B816A7CA}"/>
    <cellStyle name="백분율 125 2" xfId="1511" xr:uid="{F21531D7-F00B-4523-A199-4268D77626E1}"/>
    <cellStyle name="백분율 126" xfId="1512" xr:uid="{872D163A-0CAB-44F8-94BB-55196257B9B2}"/>
    <cellStyle name="백분율 126 2" xfId="1513" xr:uid="{018B000F-444D-426D-B859-2AE806B282D6}"/>
    <cellStyle name="백분율 127" xfId="1514" xr:uid="{1A774A53-D835-408C-9056-3E899A769BA4}"/>
    <cellStyle name="백분율 127 2" xfId="1515" xr:uid="{77999F44-A932-4F8A-914F-ADA77BCCC227}"/>
    <cellStyle name="백분율 128" xfId="1516" xr:uid="{ECCDB932-4CB1-4FE0-8673-6063AAFE2FB6}"/>
    <cellStyle name="백분율 128 2" xfId="1517" xr:uid="{DA7F2975-55A4-4147-BEF4-0A19B33EA8D6}"/>
    <cellStyle name="백분율 129" xfId="1518" xr:uid="{427E9977-2C7D-421A-BA45-C40524C8B61E}"/>
    <cellStyle name="백분율 129 2" xfId="1519" xr:uid="{70331D3A-7574-4365-A1D1-65C5962E1D74}"/>
    <cellStyle name="백분율 13" xfId="1520" xr:uid="{81004937-A76C-40D4-B8E3-A234F545FB25}"/>
    <cellStyle name="백분율 13 2" xfId="1521" xr:uid="{0B3FC073-14EB-49CF-B0A8-98D7F8D30165}"/>
    <cellStyle name="백분율 130" xfId="1522" xr:uid="{FE066574-FB34-44F0-BEBC-AA8589055ABB}"/>
    <cellStyle name="백분율 130 2" xfId="1523" xr:uid="{23DF2DFC-2FF2-4E71-B2B8-36D1B368840D}"/>
    <cellStyle name="백분율 131" xfId="1524" xr:uid="{99B3DE4A-DD02-4D0B-8B54-B73E6266A7B6}"/>
    <cellStyle name="백분율 131 2" xfId="1525" xr:uid="{87D633B4-E75E-4954-B4DD-E777898998F5}"/>
    <cellStyle name="백분율 132" xfId="1526" xr:uid="{EF2BBFC1-E5A2-45A5-B68E-61BBD60E60F7}"/>
    <cellStyle name="백분율 132 2" xfId="1527" xr:uid="{5CB3FFA7-8301-4A8C-829D-9113B70BAAD1}"/>
    <cellStyle name="백분율 133" xfId="1528" xr:uid="{62AB4A0B-2199-4579-878A-4B3BCAE6E9B7}"/>
    <cellStyle name="백분율 133 2" xfId="1529" xr:uid="{3573803B-ACEA-4505-86D9-A0DBD3B13548}"/>
    <cellStyle name="백분율 134" xfId="1530" xr:uid="{3B0FD6D3-B8B9-4E82-B32B-EE57575C5471}"/>
    <cellStyle name="백분율 134 2" xfId="1531" xr:uid="{6130FFCF-6D1E-4FE4-AAAE-90BE3D989487}"/>
    <cellStyle name="백분율 135" xfId="1532" xr:uid="{595771E1-C9E5-40D3-A2B5-12AEF7C63BCF}"/>
    <cellStyle name="백분율 135 2" xfId="1533" xr:uid="{3FF60CAE-F326-4179-8181-9B97833D7EF3}"/>
    <cellStyle name="백분율 136" xfId="1534" xr:uid="{C65EFE53-59CC-496D-AE4C-D74047877685}"/>
    <cellStyle name="백분율 136 2" xfId="1535" xr:uid="{49CF89C7-0265-4890-95C8-00F2EF412364}"/>
    <cellStyle name="백분율 137" xfId="1536" xr:uid="{64317D9C-EB67-456D-B2A0-C064FC478DBB}"/>
    <cellStyle name="백분율 137 2" xfId="1537" xr:uid="{9DAB8F95-4CD2-4B5A-9FE1-D720E8C5B20A}"/>
    <cellStyle name="백분율 138" xfId="1538" xr:uid="{88669641-173D-4835-A735-62F5A8C5123A}"/>
    <cellStyle name="백분율 138 2" xfId="1539" xr:uid="{C12C4E10-A784-4C61-BDF6-679E20085301}"/>
    <cellStyle name="백분율 139" xfId="1540" xr:uid="{4C1E8B44-E6AB-446E-99B0-CA84117169A6}"/>
    <cellStyle name="백분율 139 2" xfId="1541" xr:uid="{82AC1886-2B8B-4380-A03B-FAD097F3692F}"/>
    <cellStyle name="백분율 14" xfId="1542" xr:uid="{4BC8A7A6-8FB2-4C3F-938D-D6025B49C88A}"/>
    <cellStyle name="백분율 14 2" xfId="1543" xr:uid="{25650B63-AE7B-4DB0-9FEA-2F82F6B30345}"/>
    <cellStyle name="백분율 140" xfId="1544" xr:uid="{DEBF12B2-65A4-41BA-812B-3CEDDC6FBB1D}"/>
    <cellStyle name="백분율 140 2" xfId="1545" xr:uid="{7CFC2F79-AD80-470A-BD1D-9E327F316C31}"/>
    <cellStyle name="백분율 141" xfId="1546" xr:uid="{94194988-A85C-4CB4-B885-FAE87A0B5A72}"/>
    <cellStyle name="백분율 141 2" xfId="1547" xr:uid="{C1C5A7F3-D311-4FA1-82EA-90DC530A5D0F}"/>
    <cellStyle name="백분율 142" xfId="1548" xr:uid="{97332220-467E-4701-83E7-C7EA1AFC009A}"/>
    <cellStyle name="백분율 142 2" xfId="1549" xr:uid="{DE862C72-251E-48E8-AC8B-798117B59EE6}"/>
    <cellStyle name="백분율 143" xfId="1550" xr:uid="{F264FC61-8A9A-4DBD-BC25-4C4A23AFFE2D}"/>
    <cellStyle name="백분율 143 2" xfId="1551" xr:uid="{E68AB1CB-C266-4606-A8A1-76A61BCB4306}"/>
    <cellStyle name="백분율 144" xfId="1552" xr:uid="{74E921AD-C0A0-45BD-BA23-1BEFD8BB4CDC}"/>
    <cellStyle name="백분율 144 2" xfId="1553" xr:uid="{ADF7F240-8C93-4F54-842C-AE0C02DD5B9D}"/>
    <cellStyle name="백분율 145" xfId="1554" xr:uid="{4B21E78B-3AA1-48C9-AFC1-CA0ED4EEF132}"/>
    <cellStyle name="백분율 145 2" xfId="1555" xr:uid="{E67DAFA0-CA19-4260-862A-3932BD8B964C}"/>
    <cellStyle name="백분율 146" xfId="1556" xr:uid="{569EF3E9-4084-4435-9DF5-42FA6AD05AD9}"/>
    <cellStyle name="백분율 146 2" xfId="1557" xr:uid="{A1300A46-2A34-4696-B6BB-4F28730DB6BE}"/>
    <cellStyle name="백분율 147" xfId="1558" xr:uid="{2E92EB4C-8579-4D1B-813E-F9B06C58C4B4}"/>
    <cellStyle name="백분율 147 2" xfId="1559" xr:uid="{7407C260-3883-44CC-8FD0-D575B721A9DF}"/>
    <cellStyle name="백분율 148" xfId="1560" xr:uid="{46F1FA1D-A232-4FD7-8093-D5E166F09F04}"/>
    <cellStyle name="백분율 148 2" xfId="1561" xr:uid="{F9FF9B9B-11A8-4AF3-9E04-4322AF62D091}"/>
    <cellStyle name="백분율 149" xfId="1562" xr:uid="{E9D328B3-D1AA-4550-9529-973D5FDCE2FD}"/>
    <cellStyle name="백분율 149 2" xfId="1563" xr:uid="{BE024068-6E67-4E83-867C-3CBB4975545E}"/>
    <cellStyle name="백분율 15" xfId="1564" xr:uid="{028B1C87-64F4-41EB-8FE5-8997A1228D7E}"/>
    <cellStyle name="백분율 15 2" xfId="1565" xr:uid="{2D06C2B7-8B73-4FCE-A511-FB71E3A8E72E}"/>
    <cellStyle name="백분율 150" xfId="1566" xr:uid="{78C0397F-54C2-461B-8C6B-33CEAA5CDB18}"/>
    <cellStyle name="백분율 150 2" xfId="1567" xr:uid="{99A68728-50B2-4912-9595-CA597EDFEE7E}"/>
    <cellStyle name="백분율 151" xfId="1568" xr:uid="{E35B52C1-F21D-41DA-8E9B-D93CEF6FEF1B}"/>
    <cellStyle name="백분율 151 2" xfId="1569" xr:uid="{939F5893-3DE3-4506-B4D4-0AFFADE77336}"/>
    <cellStyle name="백분율 152" xfId="1570" xr:uid="{5AEF0A70-7E4A-47E1-8C06-4158F9EAEA75}"/>
    <cellStyle name="백분율 152 2" xfId="1571" xr:uid="{0EEB0BF5-F15F-4465-914B-956385443DF6}"/>
    <cellStyle name="백분율 153" xfId="1572" xr:uid="{E1FC25B1-6E2A-4850-ABB8-590F6471FB75}"/>
    <cellStyle name="백분율 153 2" xfId="1573" xr:uid="{8BDADDFD-BD02-4A8E-9153-F23B04A64AEA}"/>
    <cellStyle name="백분율 154" xfId="1574" xr:uid="{5722BED3-F3B1-4641-9580-E88B015C3AB2}"/>
    <cellStyle name="백분율 154 2" xfId="1575" xr:uid="{B5698268-9D4A-4503-A51F-D86BF6603E7C}"/>
    <cellStyle name="백분율 155" xfId="1576" xr:uid="{6842A223-4087-43AF-B8A3-04266D8A384C}"/>
    <cellStyle name="백분율 155 2" xfId="1577" xr:uid="{FD0DFFB6-9CDD-46A7-958C-72ED10E6D993}"/>
    <cellStyle name="백분율 156" xfId="1578" xr:uid="{9B8D8A40-FE23-4C86-8E9A-F3A542682573}"/>
    <cellStyle name="백분율 156 2" xfId="1579" xr:uid="{74C9630F-BE33-48DA-9FE8-F877E846E335}"/>
    <cellStyle name="백분율 157" xfId="1580" xr:uid="{43CFDE69-152A-403B-BC00-D91018FFFBB9}"/>
    <cellStyle name="백분율 157 2" xfId="1581" xr:uid="{EC1E08E8-39A0-4434-AF23-EE113FCDC389}"/>
    <cellStyle name="백분율 158" xfId="1582" xr:uid="{967F198F-B227-4EA5-A662-33070A3C23B8}"/>
    <cellStyle name="백분율 158 2" xfId="1583" xr:uid="{4FBF1685-FDE8-4644-85CD-34C8E117724C}"/>
    <cellStyle name="백분율 159" xfId="1584" xr:uid="{6759796A-12E5-4439-B122-96FC3D17411F}"/>
    <cellStyle name="백분율 159 2" xfId="1585" xr:uid="{BC231FA0-2B8D-4E0B-8F19-65A6D65DD9B0}"/>
    <cellStyle name="백분율 16" xfId="1586" xr:uid="{04181BAA-2BCA-4241-9D51-047B4DBAB561}"/>
    <cellStyle name="백분율 16 2" xfId="1587" xr:uid="{5D64C7A0-2D33-4CD9-88F8-5B5F9353B2B1}"/>
    <cellStyle name="백분율 160" xfId="1588" xr:uid="{25092FBF-CFB3-435F-812E-3A9B18D1CC48}"/>
    <cellStyle name="백분율 160 2" xfId="1589" xr:uid="{B74632D6-F081-4FD6-A770-DDF570258EEB}"/>
    <cellStyle name="백분율 161" xfId="1590" xr:uid="{A97E271D-71F5-42D2-A892-04797EF724AD}"/>
    <cellStyle name="백분율 161 2" xfId="1591" xr:uid="{5B313893-0C62-4222-8F15-30B45E46AEE6}"/>
    <cellStyle name="백분율 162" xfId="1592" xr:uid="{5E4B5885-5E77-47F0-A073-FB6DF3B97FB0}"/>
    <cellStyle name="백분율 162 2" xfId="1593" xr:uid="{38F21808-AEE1-488A-A310-1037A0A13F57}"/>
    <cellStyle name="백분율 163" xfId="1594" xr:uid="{24460AC9-EB95-4CB6-BA2A-1B2203343D4A}"/>
    <cellStyle name="백분율 164" xfId="1595" xr:uid="{FB0CE883-4642-490F-BB75-6931E71F4236}"/>
    <cellStyle name="백분율 165" xfId="1596" xr:uid="{0752FAED-25D2-43BB-BB8E-988C2C4D2541}"/>
    <cellStyle name="백분율 166" xfId="1597" xr:uid="{3FA1CA57-DAA0-4D43-968F-768A58A66D1C}"/>
    <cellStyle name="백분율 167" xfId="1598" xr:uid="{1D9C4229-438D-402A-BE28-45228CF1F8E0}"/>
    <cellStyle name="백분율 168" xfId="1599" xr:uid="{56DED48B-2EE8-4B88-8090-B936671FA0EF}"/>
    <cellStyle name="백분율 169" xfId="1600" xr:uid="{A6401DC4-6169-46C2-A43D-A42799EC5B0D}"/>
    <cellStyle name="백분율 17" xfId="1601" xr:uid="{398857EE-5664-49C1-983F-0CD3D90408ED}"/>
    <cellStyle name="백분율 17 2" xfId="1602" xr:uid="{6F92DC12-F96C-4452-9C38-74A359BCEC55}"/>
    <cellStyle name="백분율 170" xfId="1603" xr:uid="{773C1D92-8AEF-421F-8D0D-6672EB47C2B4}"/>
    <cellStyle name="백분율 171" xfId="1604" xr:uid="{B9B686B7-8548-4D0B-9D60-FA6C36FC85D8}"/>
    <cellStyle name="백분율 172" xfId="1605" xr:uid="{AE7BB940-F720-4FF6-B3F8-318EAE9E93A6}"/>
    <cellStyle name="백분율 173" xfId="1606" xr:uid="{BCA08295-0F01-4EC1-AD13-CCDA8319BC1A}"/>
    <cellStyle name="백분율 174" xfId="1607" xr:uid="{033FDE83-CCA4-4B43-95A8-90B878C174C1}"/>
    <cellStyle name="백분율 175" xfId="1608" xr:uid="{1F8698D0-CDB5-4306-9F2E-8DF2592F8CC7}"/>
    <cellStyle name="백분율 176" xfId="1609" xr:uid="{91938B3A-F533-4061-8860-B0FCB7668161}"/>
    <cellStyle name="백분율 177" xfId="1610" xr:uid="{5D8F5508-3773-40B5-B980-C364ED71A398}"/>
    <cellStyle name="백분율 178" xfId="1611" xr:uid="{61BDC6CE-A11E-4A47-A9E2-563BBC1E83D2}"/>
    <cellStyle name="백분율 179" xfId="1612" xr:uid="{ED6BDEBC-6A40-460D-85F8-BA7A73E0E3B7}"/>
    <cellStyle name="백분율 18" xfId="1613" xr:uid="{450061C7-1A9F-4332-92E6-607731DC4CB4}"/>
    <cellStyle name="백분율 18 2" xfId="1614" xr:uid="{EB6EB85C-A641-43C8-A578-33E500250394}"/>
    <cellStyle name="백분율 180" xfId="1615" xr:uid="{2546EC14-E197-49FC-9B07-567BC8DB917F}"/>
    <cellStyle name="백분율 181" xfId="1616" xr:uid="{6F7C1DFB-1D74-49D6-9C7A-8550B3D852D8}"/>
    <cellStyle name="백분율 182" xfId="1617" xr:uid="{53BBD645-F054-4103-B912-223C211EB7EE}"/>
    <cellStyle name="백분율 183" xfId="1618" xr:uid="{98AC6309-CFC3-461E-92A8-8D112FE4FE56}"/>
    <cellStyle name="백분율 184" xfId="1619" xr:uid="{AE4DB9D9-5C3B-41BC-AEF2-3CE6CDD4F96B}"/>
    <cellStyle name="백분율 185" xfId="1620" xr:uid="{C26CF531-9C8B-4401-8EC1-2499693D7582}"/>
    <cellStyle name="백분율 186" xfId="1621" xr:uid="{5DC6CEFF-7027-4770-B763-7DA1D87A7EA4}"/>
    <cellStyle name="백분율 187" xfId="1622" xr:uid="{D0E7FBEF-2F8C-4185-8B64-1B9BE20E1478}"/>
    <cellStyle name="백분율 188" xfId="1623" xr:uid="{B98E254D-C430-4141-832E-44A4A84A9776}"/>
    <cellStyle name="백분율 189" xfId="1624" xr:uid="{07DBBDA5-E8F9-4B2D-9CA7-2CE47B395EA9}"/>
    <cellStyle name="백분율 19" xfId="1625" xr:uid="{2521ECD2-F2D4-4165-9AE3-234C1BE1B989}"/>
    <cellStyle name="백분율 19 2" xfId="1626" xr:uid="{FAE0F5EA-F3A4-44E1-AA5C-8EA8D2814BAF}"/>
    <cellStyle name="백분율 190" xfId="1627" xr:uid="{71E55CFA-E792-4313-8DDF-EA0A0F9561E5}"/>
    <cellStyle name="백분율 191" xfId="1628" xr:uid="{9DFA5D24-C4B5-484B-BC8C-F0DB95337151}"/>
    <cellStyle name="백분율 192" xfId="1629" xr:uid="{8DD96BCD-C7D7-45E5-84DF-886E074EE2B7}"/>
    <cellStyle name="백분율 193" xfId="1630" xr:uid="{382011B6-9B1A-44AF-B955-8A641D66DBD7}"/>
    <cellStyle name="백분율 194" xfId="1631" xr:uid="{C8728171-1E05-4C56-A3DA-5B6FE73EFD8F}"/>
    <cellStyle name="백분율 195" xfId="1632" xr:uid="{7A5771AA-FAEF-41F1-9457-CBB4F182F79F}"/>
    <cellStyle name="백분율 196" xfId="1633" xr:uid="{B930875A-62B1-47FF-8702-30D94DA1249B}"/>
    <cellStyle name="백분율 197" xfId="1634" xr:uid="{B9BDA539-5094-4952-BB6E-B725F1840FFE}"/>
    <cellStyle name="백분율 198" xfId="1635" xr:uid="{FC5F1F3B-95A4-43F7-B34C-3B2AD697AB70}"/>
    <cellStyle name="백분율 199" xfId="1636" xr:uid="{BFD32805-7D93-42CC-B414-5E4D659CFDF5}"/>
    <cellStyle name="백분율 2" xfId="92" xr:uid="{00000000-0005-0000-0000-000058000000}"/>
    <cellStyle name="백분율 2 2" xfId="1638" xr:uid="{6D07C27E-A2A9-4130-B1F4-A04C729A3193}"/>
    <cellStyle name="백분율 2 2 2" xfId="1639" xr:uid="{594A5CA6-842D-4A46-A6E4-12848DD8FBC4}"/>
    <cellStyle name="백분율 2 2 3" xfId="1640" xr:uid="{AEC8E601-CD35-4CA0-AD15-9075D4DD8A35}"/>
    <cellStyle name="백분율 2 2 4" xfId="1641" xr:uid="{F6892DCB-2D46-452C-9B76-43F432A9B6A1}"/>
    <cellStyle name="백분율 2 3" xfId="1642" xr:uid="{8323EA3D-D815-4CDB-B37E-00A0DBA4C712}"/>
    <cellStyle name="백분율 2 4" xfId="1643" xr:uid="{3ADA7A6E-F46C-498D-A612-5331845A8F42}"/>
    <cellStyle name="백분율 2 5" xfId="1637" xr:uid="{DF73BC01-86C9-4F7A-8BAB-630D9879F759}"/>
    <cellStyle name="백분율 2 6" xfId="262" xr:uid="{EDC9D1A3-6F0C-4F4C-9DCA-06C08D83F0AC}"/>
    <cellStyle name="백분율 20" xfId="1644" xr:uid="{2A9A5832-4E0C-4D81-931D-30D49EEB6006}"/>
    <cellStyle name="백분율 20 2" xfId="1645" xr:uid="{029759D8-93E7-49B8-872A-2CAB1F2F8841}"/>
    <cellStyle name="백분율 200" xfId="1646" xr:uid="{A33F9C4A-7406-4E03-A5DD-6936E34C5656}"/>
    <cellStyle name="백분율 201" xfId="1647" xr:uid="{714F6AF8-616B-4BE2-9103-3EA823BD6E18}"/>
    <cellStyle name="백분율 202" xfId="1648" xr:uid="{7C6B2ACD-3C58-4F6E-90E7-0040E802CEB0}"/>
    <cellStyle name="백분율 203" xfId="1649" xr:uid="{0F909B2F-284F-4B09-8179-C14C8FDF8EF6}"/>
    <cellStyle name="백분율 204" xfId="1650" xr:uid="{DD56E575-D599-4B35-9289-DB51C29887D6}"/>
    <cellStyle name="백분율 205" xfId="1651" xr:uid="{807F2E5B-980C-4236-808D-27CAB795FCE9}"/>
    <cellStyle name="백분율 206" xfId="1652" xr:uid="{2AEB1FC6-3B14-45E0-B9AA-FA051CBBA524}"/>
    <cellStyle name="백분율 207" xfId="1653" xr:uid="{7A2991C6-ED87-4766-BF44-57A7CC6EFBD3}"/>
    <cellStyle name="백분율 208" xfId="1654" xr:uid="{4EBEE5A7-FDAC-43BC-951A-80FDBB90E2CE}"/>
    <cellStyle name="백분율 209" xfId="1655" xr:uid="{E50335C7-100F-4321-9740-0332353EC294}"/>
    <cellStyle name="백분율 21" xfId="1656" xr:uid="{D042487F-F179-4C58-BDFB-77A214BFF480}"/>
    <cellStyle name="백분율 21 2" xfId="1657" xr:uid="{1A03C723-D069-4155-970E-88103BD059EC}"/>
    <cellStyle name="백분율 210" xfId="1658" xr:uid="{03C12718-3CA2-44D4-8C09-BD21A9BA84E4}"/>
    <cellStyle name="백분율 211" xfId="1659" xr:uid="{AE4868E4-5EFE-428D-83B8-78D4298771B5}"/>
    <cellStyle name="백분율 212" xfId="1660" xr:uid="{A3932299-226B-4C45-8539-D136CB18F6E2}"/>
    <cellStyle name="백분율 213" xfId="1661" xr:uid="{0204BAF9-AF97-48D1-A6CE-64E22F658BE7}"/>
    <cellStyle name="백분율 214" xfId="1662" xr:uid="{C8E54850-E41F-4281-931C-1AB8841D1BB7}"/>
    <cellStyle name="백분율 215" xfId="1663" xr:uid="{20CFFA8B-676A-4BE4-8965-FEC8EC38DEC4}"/>
    <cellStyle name="백분율 216" xfId="1664" xr:uid="{6B949470-FE4D-4288-85BE-A4A29AD32942}"/>
    <cellStyle name="백분율 217" xfId="1665" xr:uid="{F254F580-8D9A-4ABD-9140-35D73F626DCD}"/>
    <cellStyle name="백분율 218" xfId="1666" xr:uid="{393AEFEB-DE5F-4B8D-81CE-C6C91B44CFBB}"/>
    <cellStyle name="백분율 219" xfId="1667" xr:uid="{2CF33168-822E-4C81-8B30-E4408699F898}"/>
    <cellStyle name="백분율 22" xfId="1668" xr:uid="{5CB9C673-50ED-429E-9E26-92A50BB23E63}"/>
    <cellStyle name="백분율 22 2" xfId="1669" xr:uid="{4380CBE0-86FE-4899-BD5E-F76D1574A2AD}"/>
    <cellStyle name="백분율 220" xfId="3453" xr:uid="{B18174D1-81B2-4E17-A494-E865F7AA11D1}"/>
    <cellStyle name="백분율 221" xfId="3466" xr:uid="{2C4D0297-D6B9-4A0D-8638-BB6A4BFE6F1F}"/>
    <cellStyle name="백분율 222" xfId="3467" xr:uid="{59A0301C-6F37-4119-9DBA-F0123D564B7C}"/>
    <cellStyle name="백분율 223" xfId="3468" xr:uid="{BA4BFCD6-BB41-4FA1-8411-D862505C1EA3}"/>
    <cellStyle name="백분율 224" xfId="3469" xr:uid="{A461C03A-4C96-4F19-BA2B-853E9AE9F8B5}"/>
    <cellStyle name="백분율 225" xfId="3470" xr:uid="{448CA07D-E659-4409-87F0-14859E5EF11B}"/>
    <cellStyle name="백분율 226" xfId="3471" xr:uid="{BFC14E55-F0D4-423C-8214-F4DC668346B0}"/>
    <cellStyle name="백분율 227" xfId="3472" xr:uid="{F8CCF35A-94A3-4F51-911C-9A49BF94FD01}"/>
    <cellStyle name="백분율 228" xfId="3473" xr:uid="{88F9843E-786D-4F66-AC0F-CA4E8449EDCE}"/>
    <cellStyle name="백분율 229" xfId="3474" xr:uid="{26694BD7-386C-4AFE-A3E4-3AA1719BBAC0}"/>
    <cellStyle name="백분율 23" xfId="1670" xr:uid="{821F90DE-9C05-4D6A-825E-A97EDB9D4275}"/>
    <cellStyle name="백분율 23 2" xfId="1671" xr:uid="{B6BFFC29-99C9-4209-A9A6-C3B597B56A89}"/>
    <cellStyle name="백분율 230" xfId="3475" xr:uid="{CF0214D0-B063-4AF8-AEFD-538BC131DAD3}"/>
    <cellStyle name="백분율 231" xfId="3476" xr:uid="{E73A040D-AF62-45B2-862C-AAFB59E860C6}"/>
    <cellStyle name="백분율 232" xfId="3477" xr:uid="{D54B35F7-246D-484E-86CD-3FC7A4A45A1D}"/>
    <cellStyle name="백분율 233" xfId="3478" xr:uid="{D17607F0-C9EB-44AA-95CD-945476BF8A80}"/>
    <cellStyle name="백분율 234" xfId="4823" xr:uid="{D80D273F-F564-485F-A8B6-CD9A0BEAD882}"/>
    <cellStyle name="백분율 235" xfId="4829" xr:uid="{5FBD0FC1-4BC3-44BD-AD42-A63B621AE1BB}"/>
    <cellStyle name="백분율 236" xfId="4830" xr:uid="{1FDB81A0-97E7-4A9A-8354-9F2DF7CA12C6}"/>
    <cellStyle name="백분율 237" xfId="4831" xr:uid="{81A3E6B0-99EA-4CE8-BC7D-A620C9431E49}"/>
    <cellStyle name="백분율 238" xfId="4832" xr:uid="{2D04F63F-D065-4D49-B8ED-731467114C4E}"/>
    <cellStyle name="백분율 24" xfId="1672" xr:uid="{5BBC4E85-DBBF-4CB6-A42E-CA74073969DB}"/>
    <cellStyle name="백분율 24 2" xfId="1673" xr:uid="{FD15354D-C8CB-443F-818C-1B92B22FC20B}"/>
    <cellStyle name="백분율 25" xfId="1674" xr:uid="{A4536098-9CB9-4D28-947F-26780AD3E3C4}"/>
    <cellStyle name="백분율 25 2" xfId="1675" xr:uid="{74688432-9530-4515-A083-C2C4AC43C78E}"/>
    <cellStyle name="백분율 26" xfId="1676" xr:uid="{9851934C-C610-4928-BB05-CF73EE74ED99}"/>
    <cellStyle name="백분율 26 2" xfId="1677" xr:uid="{E5B262AB-4704-4ED0-B86F-18B4D374346A}"/>
    <cellStyle name="백분율 27" xfId="1678" xr:uid="{A504ABD1-FED1-4E74-BB60-26E362BBCB79}"/>
    <cellStyle name="백분율 27 2" xfId="1679" xr:uid="{5336C7DC-28E7-4AA5-90EC-E181F95AD9C6}"/>
    <cellStyle name="백분율 28" xfId="1680" xr:uid="{CB55CE4F-E679-44B9-8405-036E8589AD19}"/>
    <cellStyle name="백분율 28 2" xfId="1681" xr:uid="{A7DC7E36-FF92-4545-BB07-2F8E9823E04D}"/>
    <cellStyle name="백분율 29" xfId="1682" xr:uid="{B8A34C42-1732-4C86-B993-9E6EE0B8C4AE}"/>
    <cellStyle name="백분율 29 2" xfId="1683" xr:uid="{BBDD7A9F-6C48-4F27-9268-A04396651595}"/>
    <cellStyle name="백분율 3" xfId="93" xr:uid="{00000000-0005-0000-0000-000059000000}"/>
    <cellStyle name="백분율 3 2" xfId="1685" xr:uid="{DBC5D9C5-9CD1-4577-BC28-CC603DFE2BB7}"/>
    <cellStyle name="백분율 3 3" xfId="1686" xr:uid="{F2C4A3F7-047C-4174-BCA4-67CF54AACF51}"/>
    <cellStyle name="백분율 3 4" xfId="1687" xr:uid="{78DE9BFA-64CD-48E2-BFB5-687F14E1C26F}"/>
    <cellStyle name="백분율 3 5" xfId="1688" xr:uid="{DC21822B-9082-423A-8EF9-BDB7CF29807E}"/>
    <cellStyle name="백분율 3 6" xfId="1684" xr:uid="{14281512-35A8-4473-BED4-9C46A9EF06E3}"/>
    <cellStyle name="백분율 30" xfId="1689" xr:uid="{9FFAFA95-FA25-4B16-BDFA-3DFC1E771942}"/>
    <cellStyle name="백분율 30 2" xfId="1690" xr:uid="{008DD55F-D5CC-4D9A-A4BE-4F177FF87D96}"/>
    <cellStyle name="백분율 31" xfId="1691" xr:uid="{91323802-BE68-4E5A-AEF6-29D89222D5A6}"/>
    <cellStyle name="백분율 31 2" xfId="1692" xr:uid="{B27DBC3C-83C5-41EC-A01A-AD37C6DCBBBF}"/>
    <cellStyle name="백분율 32" xfId="1693" xr:uid="{BF4AD101-3664-4914-8B04-66C7FB8B3C37}"/>
    <cellStyle name="백분율 32 2" xfId="1694" xr:uid="{0CC45182-54BC-4973-9F90-D6156E6C3F40}"/>
    <cellStyle name="백분율 33" xfId="1695" xr:uid="{80CB0D3E-F3B5-419F-A689-08B03CA2BB1C}"/>
    <cellStyle name="백분율 33 2" xfId="1696" xr:uid="{81E00D0C-C07E-4A76-B5AE-6E7440536A96}"/>
    <cellStyle name="백분율 34" xfId="1697" xr:uid="{A726F409-69CF-45AA-BE0F-1D2D3E1C90FC}"/>
    <cellStyle name="백분율 34 2" xfId="1698" xr:uid="{A7150F8E-1CC9-400F-90F2-4E8479A43951}"/>
    <cellStyle name="백분율 35" xfId="1699" xr:uid="{C07D6189-6A4B-4523-B8A7-2796FC8095F6}"/>
    <cellStyle name="백분율 35 2" xfId="1700" xr:uid="{A705DB32-4C8D-48B5-A245-BD703244C7CA}"/>
    <cellStyle name="백분율 36" xfId="1701" xr:uid="{7A788DBE-1E95-44C7-916E-0593F3A2CCBE}"/>
    <cellStyle name="백분율 36 2" xfId="1702" xr:uid="{DBDB6760-2A45-4645-BCBE-3DE1FB9E4E09}"/>
    <cellStyle name="백분율 37" xfId="1703" xr:uid="{9F4AA0FC-F804-41AD-BB4C-BC87D1390B21}"/>
    <cellStyle name="백분율 37 2" xfId="1704" xr:uid="{187D2068-F4FA-42A6-A126-FE53D3FB0A81}"/>
    <cellStyle name="백분율 38" xfId="1705" xr:uid="{414D4F5C-108E-499A-A140-89ADCB669094}"/>
    <cellStyle name="백분율 38 2" xfId="1706" xr:uid="{1921EA94-254F-4167-925B-E3FDD6E709E8}"/>
    <cellStyle name="백분율 39" xfId="1707" xr:uid="{C1F03CC3-5D9A-4667-BF7F-50135A62D744}"/>
    <cellStyle name="백분율 39 2" xfId="1708" xr:uid="{EEF4C34A-2698-41B6-BEF4-DF12A92D0572}"/>
    <cellStyle name="백분율 4" xfId="91" xr:uid="{00000000-0005-0000-0000-00005A000000}"/>
    <cellStyle name="백분율 4 2" xfId="1710" xr:uid="{321E09F1-3D82-4DA1-B767-3EE70767F773}"/>
    <cellStyle name="백분율 4 3" xfId="1711" xr:uid="{CE947EEE-8E95-40AC-A3B7-DE35F9397010}"/>
    <cellStyle name="백분율 4 4" xfId="1712" xr:uid="{C343D7A0-123C-4561-BB46-8923B33A7000}"/>
    <cellStyle name="백분율 4 5" xfId="1713" xr:uid="{7BF51CCC-9C92-4F54-83BF-7DFBF57CCCBA}"/>
    <cellStyle name="백분율 4 6" xfId="1709" xr:uid="{550B3194-D2B7-44F4-A48D-6A3A74816842}"/>
    <cellStyle name="백분율 40" xfId="1714" xr:uid="{B4755398-BCC5-4511-8FF2-6113C65AAD8D}"/>
    <cellStyle name="백분율 40 2" xfId="1715" xr:uid="{76AF00F5-6074-4293-8206-496B129795FB}"/>
    <cellStyle name="백분율 41" xfId="1716" xr:uid="{9AF4B667-C374-4116-8C18-490B4EB179E8}"/>
    <cellStyle name="백분율 41 2" xfId="1717" xr:uid="{6C06A2A3-EDB4-47DE-B67A-E860BD37BCC3}"/>
    <cellStyle name="백분율 42" xfId="1718" xr:uid="{DED29D3C-62A6-42D6-8BE2-A93EDEB8CD63}"/>
    <cellStyle name="백분율 42 2" xfId="1719" xr:uid="{9278C512-B5ED-4714-8EEE-48C468237D28}"/>
    <cellStyle name="백분율 43" xfId="1720" xr:uid="{6A41FD9E-B5C6-4793-BA34-A63D5B4E64BC}"/>
    <cellStyle name="백분율 43 2" xfId="1721" xr:uid="{2D9B9F90-C58A-4E95-96D6-B189B97CD808}"/>
    <cellStyle name="백분율 44" xfId="1722" xr:uid="{C8595BC2-1437-4813-A047-01405EAABC26}"/>
    <cellStyle name="백분율 44 2" xfId="1723" xr:uid="{A30DAC71-EDEB-4E99-977F-025F24F3356B}"/>
    <cellStyle name="백분율 45" xfId="1724" xr:uid="{7F7817B3-78FD-4B5B-A21B-E0F35052AD1A}"/>
    <cellStyle name="백분율 45 2" xfId="1725" xr:uid="{7582CF52-4E55-4698-9966-EA9EFB1262C3}"/>
    <cellStyle name="백분율 46" xfId="1726" xr:uid="{CA157DE9-B727-4FCB-8C08-5FE32783C15C}"/>
    <cellStyle name="백분율 46 2" xfId="1727" xr:uid="{BE196346-7B0D-47EB-B884-62CCE84BF298}"/>
    <cellStyle name="백분율 47" xfId="1728" xr:uid="{3850125B-611C-4533-A86E-64016E0454D7}"/>
    <cellStyle name="백분율 47 2" xfId="1729" xr:uid="{186A7592-52EE-46A4-ADBC-8A78A0F533E8}"/>
    <cellStyle name="백분율 48" xfId="1730" xr:uid="{F885AEA4-884E-4BE9-8075-D9325139A31F}"/>
    <cellStyle name="백분율 48 2" xfId="1731" xr:uid="{F9D5F460-0E18-4AEB-8C70-990B04C1E841}"/>
    <cellStyle name="백분율 49" xfId="1732" xr:uid="{14E38035-F1AC-416C-A0F4-45F885688D6D}"/>
    <cellStyle name="백분율 49 2" xfId="1733" xr:uid="{2907837C-6530-4422-AB4F-7850B0206F31}"/>
    <cellStyle name="백분율 5" xfId="1734" xr:uid="{72045CA2-D405-43FF-A0BF-8C316982BF82}"/>
    <cellStyle name="백분율 5 2" xfId="1735" xr:uid="{42095D66-03AA-4516-AA0E-9BB4A1563413}"/>
    <cellStyle name="백분율 5 3" xfId="1736" xr:uid="{24A351A1-DCD2-4C82-9FAD-71740A4B6956}"/>
    <cellStyle name="백분율 50" xfId="1737" xr:uid="{3F6F2567-7CC9-4315-9D7E-4C9A05C91C90}"/>
    <cellStyle name="백분율 50 2" xfId="1738" xr:uid="{5DF0C8D8-A24A-4720-9B51-5D8070EED5AD}"/>
    <cellStyle name="백분율 51" xfId="1739" xr:uid="{D37EA43E-7A56-40AB-8A2C-41360369F9A9}"/>
    <cellStyle name="백분율 51 2" xfId="1740" xr:uid="{31042004-B5F2-473B-8827-2B198D9147E1}"/>
    <cellStyle name="백분율 52" xfId="1741" xr:uid="{93677662-5874-47DD-A4F3-DD0F5F5EF4B5}"/>
    <cellStyle name="백분율 52 2" xfId="1742" xr:uid="{B557123B-32FE-4099-B31D-9947765A8914}"/>
    <cellStyle name="백분율 53" xfId="1743" xr:uid="{D49B82FA-3679-4D35-8083-1DF54DB1A8AD}"/>
    <cellStyle name="백분율 53 2" xfId="1744" xr:uid="{B6C392C3-E49D-49A3-9482-A3A92FC19C8E}"/>
    <cellStyle name="백분율 54" xfId="1745" xr:uid="{8485BAAE-F5DF-452E-A3E4-2EDDF2990A84}"/>
    <cellStyle name="백분율 54 2" xfId="1746" xr:uid="{68432EDC-1F1E-4A5D-9CFE-71E332AFA8A8}"/>
    <cellStyle name="백분율 55" xfId="1747" xr:uid="{BA7A7B38-31E5-44B5-82EF-74F1574C6C2F}"/>
    <cellStyle name="백분율 55 2" xfId="1748" xr:uid="{752570DF-4EAF-4797-A9BA-BC745DCBB8EA}"/>
    <cellStyle name="백분율 56" xfId="1749" xr:uid="{5F1541B2-7059-41BD-B5D2-AF40EF5F6994}"/>
    <cellStyle name="백분율 56 2" xfId="1750" xr:uid="{D0E0A157-318E-4CC5-B941-0714EAB7B749}"/>
    <cellStyle name="백분율 57" xfId="1751" xr:uid="{3E199D97-7604-4DC1-8407-5C480DFE01DF}"/>
    <cellStyle name="백분율 57 2" xfId="1752" xr:uid="{808A9651-15F9-4B1B-A357-83DB4524B3B3}"/>
    <cellStyle name="백분율 58" xfId="1753" xr:uid="{51E70D3C-FE6E-4E60-AB40-B1C2A0CF1005}"/>
    <cellStyle name="백분율 58 2" xfId="1754" xr:uid="{57DC1698-6563-4B39-A67B-418F7F4DE48A}"/>
    <cellStyle name="백분율 59" xfId="1755" xr:uid="{D03B3512-0812-4D72-8201-64D08985D235}"/>
    <cellStyle name="백분율 59 2" xfId="1756" xr:uid="{31950E66-36E7-4833-BAC8-CEF513BF384C}"/>
    <cellStyle name="백분율 6" xfId="1757" xr:uid="{FF248164-20F8-4711-8E7C-98A18F6A9BA2}"/>
    <cellStyle name="백분율 60" xfId="1758" xr:uid="{3ECC0BE6-ACE9-4045-A33A-07FC1AAAF661}"/>
    <cellStyle name="백분율 60 2" xfId="1759" xr:uid="{A3914261-3D3C-449D-A05F-4AD699769A72}"/>
    <cellStyle name="백분율 61" xfId="1760" xr:uid="{F4CCA56E-5231-4A16-B210-2447E9329E4D}"/>
    <cellStyle name="백분율 61 2" xfId="1761" xr:uid="{73BFC87A-5CB0-4909-AD88-844579DF2635}"/>
    <cellStyle name="백분율 62" xfId="1762" xr:uid="{412BFBCB-5AB7-4778-86CA-FBDEE9CDC489}"/>
    <cellStyle name="백분율 62 2" xfId="1763" xr:uid="{4C4B4EF9-5AE5-4C51-A20A-92900620C6DB}"/>
    <cellStyle name="백분율 63" xfId="1764" xr:uid="{48E27AA6-9001-4809-99B1-E5F55C10B0F7}"/>
    <cellStyle name="백분율 63 2" xfId="1765" xr:uid="{A9459295-5BAA-41B4-A6D5-952CB58412E7}"/>
    <cellStyle name="백분율 64" xfId="1766" xr:uid="{165AE070-E7FB-4695-B2AF-11A69542683D}"/>
    <cellStyle name="백분율 64 2" xfId="1767" xr:uid="{D5FFDC95-9854-49C3-8FF8-997B24A6A5FA}"/>
    <cellStyle name="백분율 65" xfId="1768" xr:uid="{1214127E-29D8-485F-8097-A08619C6366A}"/>
    <cellStyle name="백분율 65 2" xfId="1769" xr:uid="{FE9E6132-C8B8-41D4-A442-DFAE3DFFFDEA}"/>
    <cellStyle name="백분율 66" xfId="1770" xr:uid="{EC54E30B-54B2-4BA1-A489-475AE41A5D00}"/>
    <cellStyle name="백분율 66 2" xfId="1771" xr:uid="{54F2A9AB-366D-41E6-935B-F4EB2982D423}"/>
    <cellStyle name="백분율 67" xfId="1772" xr:uid="{2B8AE9C1-53CC-4D8B-A3B2-0890F5CC6F83}"/>
    <cellStyle name="백분율 67 2" xfId="1773" xr:uid="{FF0ACAD9-A088-44E2-A6B6-AC67866A2651}"/>
    <cellStyle name="백분율 68" xfId="1774" xr:uid="{E8468124-2354-42A5-B616-E05B492A4C64}"/>
    <cellStyle name="백분율 68 2" xfId="1775" xr:uid="{C14EF608-EDC7-4A31-B39D-AD3FFDDFD51F}"/>
    <cellStyle name="백분율 69" xfId="1776" xr:uid="{90C2CC3B-8280-43E0-B3C2-B7B221CA51D1}"/>
    <cellStyle name="백분율 69 2" xfId="1777" xr:uid="{847C1229-DEB6-403C-9A0E-A81A841BD3B3}"/>
    <cellStyle name="백분율 7" xfId="1778" xr:uid="{B34BA0FE-3300-4234-B093-EBC32AB9B3FC}"/>
    <cellStyle name="백분율 70" xfId="1779" xr:uid="{A79BD190-D186-42AE-BB0A-0CD2A52534DD}"/>
    <cellStyle name="백분율 70 2" xfId="1780" xr:uid="{1471BDC3-019A-4603-BCEE-39BE37B97007}"/>
    <cellStyle name="백분율 71" xfId="1781" xr:uid="{E0549B7F-5C0E-49B3-B1F8-9DD4AB5B545E}"/>
    <cellStyle name="백분율 71 2" xfId="1782" xr:uid="{2EBF73F3-02F4-4B24-8DC4-03C31D6D74F1}"/>
    <cellStyle name="백분율 72" xfId="1783" xr:uid="{0F4C5712-956D-4BEC-8F29-4BA23C4FC045}"/>
    <cellStyle name="백분율 72 2" xfId="1784" xr:uid="{81BA388C-8B75-47C3-8834-A8C00F526F87}"/>
    <cellStyle name="백분율 73" xfId="1785" xr:uid="{66A05A5C-AF5F-419A-BE40-38941AFB664A}"/>
    <cellStyle name="백분율 73 2" xfId="1786" xr:uid="{A37A1446-1EC7-4616-AA8D-35FB6DE58B66}"/>
    <cellStyle name="백분율 74" xfId="1787" xr:uid="{E01005C2-F952-498D-AF5E-624334EB1C4D}"/>
    <cellStyle name="백분율 74 2" xfId="1788" xr:uid="{0F170D5F-C5EC-475B-9686-5683E7268E98}"/>
    <cellStyle name="백분율 75" xfId="1789" xr:uid="{DC848A52-73E1-427B-95D5-3CC252300086}"/>
    <cellStyle name="백분율 75 2" xfId="1790" xr:uid="{86135932-0DC2-497B-8A0F-D521BEFAC650}"/>
    <cellStyle name="백분율 76" xfId="1791" xr:uid="{B6B70492-E702-4D43-A230-0D41DBD388B0}"/>
    <cellStyle name="백분율 76 2" xfId="1792" xr:uid="{F2C701C5-535C-47D9-B8E8-02AA97F45DF0}"/>
    <cellStyle name="백분율 77" xfId="1793" xr:uid="{5743738B-63EE-420F-A540-6E3DCE8D75D7}"/>
    <cellStyle name="백분율 77 2" xfId="1794" xr:uid="{DBA7E86A-0CC0-4B2D-9CDD-3A69F26390F3}"/>
    <cellStyle name="백분율 78" xfId="1795" xr:uid="{9C1D2088-39EA-4475-9BF9-40CD9928CC93}"/>
    <cellStyle name="백분율 78 2" xfId="1796" xr:uid="{59EFD334-497A-41F7-B386-276FC14D23D8}"/>
    <cellStyle name="백분율 79" xfId="1797" xr:uid="{059AD227-D3A6-412B-A0B2-6F95AE688034}"/>
    <cellStyle name="백분율 79 2" xfId="1798" xr:uid="{AC6BE73D-5387-4F8D-8318-3292312A754A}"/>
    <cellStyle name="백분율 8" xfId="1799" xr:uid="{86B831D2-93DC-4CED-A981-B7D05D8ACB3F}"/>
    <cellStyle name="백분율 80" xfId="1800" xr:uid="{EFFC4FDB-7777-4355-91E7-97049C206E19}"/>
    <cellStyle name="백분율 80 2" xfId="1801" xr:uid="{3E663A28-A81F-4DA0-8CAC-21DCD6B4AD67}"/>
    <cellStyle name="백분율 81" xfId="1802" xr:uid="{C38DFE54-15B3-4699-84AD-A59953E3ABAD}"/>
    <cellStyle name="백분율 81 2" xfId="1803" xr:uid="{F4D5AD67-BBF0-4B8A-B94E-6B8FE20219FC}"/>
    <cellStyle name="백분율 82" xfId="1804" xr:uid="{36BDF756-458A-4928-925F-B48717CEF0AE}"/>
    <cellStyle name="백분율 82 2" xfId="1805" xr:uid="{25602FAD-B9E8-4F45-9628-BC362EAEC3BF}"/>
    <cellStyle name="백분율 83" xfId="1806" xr:uid="{B08209F8-73ED-41F0-9075-59613D9A5AB0}"/>
    <cellStyle name="백분율 83 2" xfId="1807" xr:uid="{161BB2B3-00BB-4866-9D06-88343C15DA18}"/>
    <cellStyle name="백분율 84" xfId="1808" xr:uid="{1C20A3D7-2C46-45DF-8255-15F4D654C3E3}"/>
    <cellStyle name="백분율 84 2" xfId="1809" xr:uid="{794C31F4-FDF2-4A56-BF6B-27570E9DB4EA}"/>
    <cellStyle name="백분율 85" xfId="1810" xr:uid="{90C89EFA-659E-4C65-B309-4F601D4C3CC0}"/>
    <cellStyle name="백분율 85 2" xfId="1811" xr:uid="{5D0CD20E-95A6-47DA-86B9-74B59D978CF8}"/>
    <cellStyle name="백분율 86" xfId="1812" xr:uid="{4FDAE458-BA0C-4733-B3CA-61CCDA2F3BD3}"/>
    <cellStyle name="백분율 86 2" xfId="1813" xr:uid="{718ED15A-3A78-49EA-96BC-C22C7CC8219E}"/>
    <cellStyle name="백분율 87" xfId="1814" xr:uid="{ECDEE6ED-E4B5-441A-8B8A-1E3025105620}"/>
    <cellStyle name="백분율 87 2" xfId="1815" xr:uid="{47DF0230-9037-463C-9EA8-705EAF48EFE3}"/>
    <cellStyle name="백분율 88" xfId="1816" xr:uid="{9D71E1A2-C3D0-4CBA-AFAE-42B329679BBF}"/>
    <cellStyle name="백분율 88 2" xfId="1817" xr:uid="{78FA1639-50F0-498F-BF48-3CE29253A768}"/>
    <cellStyle name="백분율 89" xfId="1818" xr:uid="{D808A17B-E16B-414D-88B5-694A9443F2E6}"/>
    <cellStyle name="백분율 89 2" xfId="1819" xr:uid="{73A3F999-C573-4A5A-8BE2-4E302DC5A536}"/>
    <cellStyle name="백분율 9" xfId="1820" xr:uid="{9055BF5E-3AB6-4D1B-9DFC-41E6645BEE88}"/>
    <cellStyle name="백분율 9 2" xfId="1821" xr:uid="{EC298130-00CF-4ADE-B875-74C8FF72A39D}"/>
    <cellStyle name="백분율 90" xfId="1822" xr:uid="{315BB0D5-99F3-443F-9CB4-0B038D1E8FA5}"/>
    <cellStyle name="백분율 90 2" xfId="1823" xr:uid="{067C9D90-F6AD-4F25-AC04-B8C8BB5FCF77}"/>
    <cellStyle name="백분율 91" xfId="1824" xr:uid="{CA709BA5-7EC7-437F-9E80-163CD2DE43F7}"/>
    <cellStyle name="백분율 91 2" xfId="1825" xr:uid="{72EC9608-B32D-470A-9FF7-67912F6ABC77}"/>
    <cellStyle name="백분율 92" xfId="1826" xr:uid="{9F7DD079-B616-4B24-B3E5-A8A142494A51}"/>
    <cellStyle name="백분율 92 2" xfId="1827" xr:uid="{327F7DB9-03E1-4EE3-A747-E8FD590DDFA4}"/>
    <cellStyle name="백분율 93" xfId="1828" xr:uid="{1B539DC8-0A16-4B31-9148-3F6D8565BC02}"/>
    <cellStyle name="백분율 93 2" xfId="1829" xr:uid="{8F2AE039-342F-45D5-8E8E-AE1F3B3DA677}"/>
    <cellStyle name="백분율 94" xfId="1830" xr:uid="{012D7D6C-DEED-4C7D-A779-F604425F2340}"/>
    <cellStyle name="백분율 94 2" xfId="1831" xr:uid="{83AA745A-444C-48C8-8F5B-56CCC06276C9}"/>
    <cellStyle name="백분율 95" xfId="1832" xr:uid="{C57AA70B-0062-411C-A6B4-FA4F95D27B62}"/>
    <cellStyle name="백분율 95 2" xfId="1833" xr:uid="{EAAC584F-EF81-4AA9-984C-05C4AD0827CD}"/>
    <cellStyle name="백분율 96" xfId="1834" xr:uid="{85797E2B-4D62-4AB7-A1AA-6BCE2F36C019}"/>
    <cellStyle name="백분율 96 2" xfId="1835" xr:uid="{BA3F9F1E-1550-4E36-BF45-E26204730B1C}"/>
    <cellStyle name="백분율 97" xfId="1836" xr:uid="{E3760A12-DF82-4761-91DE-D50A3F5EB426}"/>
    <cellStyle name="백분율 97 2" xfId="1837" xr:uid="{F9DD793A-1B13-4BA0-ADAA-1CD7F40307AB}"/>
    <cellStyle name="백분율 98" xfId="1838" xr:uid="{118100F5-8647-45BD-8965-A0AABAA0E4B7}"/>
    <cellStyle name="백분율 98 2" xfId="1839" xr:uid="{B2CDA7B6-64D6-4415-B381-2EB3B9F1EFD5}"/>
    <cellStyle name="백분율 99" xfId="1840" xr:uid="{F121B335-00F7-4E0A-8EFF-BCF325652861}"/>
    <cellStyle name="백분율 99 2" xfId="1841" xr:uid="{A9D39EDD-AB83-4789-B95E-145BE49F42B0}"/>
    <cellStyle name="보통 2" xfId="94" xr:uid="{00000000-0005-0000-0000-00005B000000}"/>
    <cellStyle name="보통 3" xfId="95" xr:uid="{00000000-0005-0000-0000-00005C000000}"/>
    <cellStyle name="보통 4" xfId="96" xr:uid="{00000000-0005-0000-0000-00005D000000}"/>
    <cellStyle name="뷭?" xfId="1842" xr:uid="{479833FD-C3C5-4198-A3CB-B9B8FF4D849F}"/>
    <cellStyle name="常规 3" xfId="1843" xr:uid="{D95E4867-BC2D-428C-87AE-D85FFF1BF345}"/>
    <cellStyle name="설명 텍스트 2" xfId="97" xr:uid="{00000000-0005-0000-0000-00005E000000}"/>
    <cellStyle name="설명 텍스트 3" xfId="98" xr:uid="{00000000-0005-0000-0000-00005F000000}"/>
    <cellStyle name="설명 텍스트 4" xfId="99" xr:uid="{00000000-0005-0000-0000-000060000000}"/>
    <cellStyle name="説明文" xfId="1844" xr:uid="{81C58235-0A58-457D-A14C-7270E68F3FAC}"/>
    <cellStyle name="셀 확인 2" xfId="100" xr:uid="{00000000-0005-0000-0000-000061000000}"/>
    <cellStyle name="셀 확인 3" xfId="101" xr:uid="{00000000-0005-0000-0000-000062000000}"/>
    <cellStyle name="셀 확인 4" xfId="102" xr:uid="{00000000-0005-0000-0000-000063000000}"/>
    <cellStyle name="셈迷?XLS!check_filesche|_x0005_" xfId="1845" xr:uid="{1769D8F8-EC87-416C-B2D6-0E987DAB5105}"/>
    <cellStyle name="输入" xfId="1846" xr:uid="{018AC9BB-9595-4AD7-91A6-B54C9BEF62B6}"/>
    <cellStyle name="输入 2" xfId="1847" xr:uid="{262CC8CE-06A9-4275-A3DC-05B08D7648B7}"/>
    <cellStyle name="输出" xfId="1848" xr:uid="{EA32A3E0-2CB9-4FCC-9EA1-A3006AE9A2C6}"/>
    <cellStyle name="输出 2" xfId="1849" xr:uid="{ED949DB9-DCF3-4620-9A63-97AC096119BD}"/>
    <cellStyle name="숫자" xfId="1850" xr:uid="{D4C21328-F61F-4117-A4F8-9479A39DF5CA}"/>
    <cellStyle name="숫자(R)" xfId="1851" xr:uid="{FA94C93D-4FB3-45A1-8A98-5B355DD803E1}"/>
    <cellStyle name="숫자_BOE B4 PJT 모델별 사양서-100902(1)" xfId="1852" xr:uid="{CCF79BDC-1F83-4BA3-A5FE-2D618D9B18C3}"/>
    <cellStyle name="쉼표 [0]" xfId="1" builtinId="6"/>
    <cellStyle name="쉼표 [0] 10" xfId="1854" xr:uid="{7A45A79A-8BDF-4E5E-98B9-F8F40E1A584A}"/>
    <cellStyle name="쉼표 [0] 10 2" xfId="2510" xr:uid="{5BE0EFC2-7A6C-42B6-8611-A130E939ED4D}"/>
    <cellStyle name="쉼표 [0] 10 2 2" xfId="3167" xr:uid="{58A5195C-0F9E-4B70-8904-DD8DB1DB0012}"/>
    <cellStyle name="쉼표 [0] 10 2 2 2" xfId="4538" xr:uid="{7D2A64D8-9C71-4603-A0B8-E1E4120948B5}"/>
    <cellStyle name="쉼표 [0] 10 2 3" xfId="3884" xr:uid="{DFEF61F9-E19D-4830-9FA6-F143E43AC097}"/>
    <cellStyle name="쉼표 [0] 10 3" xfId="2840" xr:uid="{A6BA532E-1C73-4EE3-93FC-D7E6108D582F}"/>
    <cellStyle name="쉼표 [0] 10 3 2" xfId="4211" xr:uid="{0CAA43DA-CC44-472D-AF96-FC53A74D51E7}"/>
    <cellStyle name="쉼표 [0] 10 3 3" xfId="3550" xr:uid="{2A610F9F-03B8-4547-999F-A61F013BF464}"/>
    <cellStyle name="쉼표 [0] 10 4" xfId="3553" xr:uid="{E607D6D8-61DF-44DC-9B9F-5343CA283302}"/>
    <cellStyle name="쉼표 [0] 11" xfId="1853" xr:uid="{5143EF61-B850-4545-8059-42655D14EA5E}"/>
    <cellStyle name="쉼표 [0] 11 2" xfId="2366" xr:uid="{92250CA3-D6DA-497A-9043-917137D9A1BE}"/>
    <cellStyle name="쉼표 [0] 11 2 2" xfId="2703" xr:uid="{61228040-3D03-4933-9456-98F0346CD14F}"/>
    <cellStyle name="쉼표 [0] 11 2 2 2" xfId="3360" xr:uid="{6AEE1FD6-E941-4566-9265-67A0A8693D35}"/>
    <cellStyle name="쉼표 [0] 11 2 2 2 2" xfId="4731" xr:uid="{6F25BBE6-0650-4DE3-8115-FF5BE1AD3284}"/>
    <cellStyle name="쉼표 [0] 11 2 2 3" xfId="4077" xr:uid="{57A804AC-5072-4049-ADCE-4A5EB5FA8684}"/>
    <cellStyle name="쉼표 [0] 11 2 3" xfId="3033" xr:uid="{427B061D-D62D-4ACE-B7E1-472D2C96E153}"/>
    <cellStyle name="쉼표 [0] 11 2 3 2" xfId="4404" xr:uid="{2E54C231-5AAB-4534-8007-2AA3C65ECED6}"/>
    <cellStyle name="쉼표 [0] 11 2 4" xfId="3750" xr:uid="{A3864584-4975-404C-9ECB-7251DB08464E}"/>
    <cellStyle name="쉼표 [0] 11 3" xfId="2509" xr:uid="{BDE421AC-885C-41FA-82CA-171F1C6DD11A}"/>
    <cellStyle name="쉼표 [0] 11 3 2" xfId="3166" xr:uid="{6F0DDDF7-EAC6-4FBC-A70E-C861F01854F6}"/>
    <cellStyle name="쉼표 [0] 11 3 2 2" xfId="4537" xr:uid="{4CB800F5-818E-45CE-A30E-3EB060F78478}"/>
    <cellStyle name="쉼표 [0] 11 3 3" xfId="3883" xr:uid="{3ED6FB2C-3166-4EC2-848A-19C3B37CD033}"/>
    <cellStyle name="쉼표 [0] 11 4" xfId="2839" xr:uid="{8B2E9782-09D3-46A0-AA85-B6F6703F4AC7}"/>
    <cellStyle name="쉼표 [0] 11 4 2" xfId="4210" xr:uid="{141670F9-FBD5-46BF-A1CE-C256C2A0F36B}"/>
    <cellStyle name="쉼표 [0] 11 5" xfId="3552" xr:uid="{3C928ACC-1A94-4C6E-8DD9-D51F030C4EB7}"/>
    <cellStyle name="쉼표 [0] 12" xfId="2252" xr:uid="{48935600-D237-433C-AC74-B96C0F009864}"/>
    <cellStyle name="쉼표 [0] 12 2" xfId="2597" xr:uid="{04F722B8-1DDC-4AB1-B2BB-FE52136B9859}"/>
    <cellStyle name="쉼표 [0] 12 2 2" xfId="3254" xr:uid="{0847A920-E5CF-42E3-8781-3CF1E3BE6985}"/>
    <cellStyle name="쉼표 [0] 12 2 2 2" xfId="4625" xr:uid="{B3C5A382-EC09-49A0-825D-12E45B8D4F13}"/>
    <cellStyle name="쉼표 [0] 12 2 3" xfId="3971" xr:uid="{3394C5DE-976C-48FD-804C-14B62384E23F}"/>
    <cellStyle name="쉼표 [0] 12 3" xfId="2927" xr:uid="{5327DF0D-DFB0-4796-B493-7187D4540C6A}"/>
    <cellStyle name="쉼표 [0] 12 3 2" xfId="4298" xr:uid="{09E9CE17-0080-4E63-95D2-7463B3FAB80B}"/>
    <cellStyle name="쉼표 [0] 12 4" xfId="3644" xr:uid="{0E34CFAF-E6C9-4911-BD61-7E3EAD203C6F}"/>
    <cellStyle name="쉼표 [0] 13" xfId="2257" xr:uid="{C2102DB7-D806-4B1C-8045-2086CDFF89F1}"/>
    <cellStyle name="쉼표 [0] 13 2" xfId="2600" xr:uid="{AC5D571B-417C-4BC5-8F24-075890A5F09B}"/>
    <cellStyle name="쉼표 [0] 13 2 2" xfId="3257" xr:uid="{C6A256AA-73E4-42C9-B1E1-4724A6A0D5EF}"/>
    <cellStyle name="쉼표 [0] 13 2 2 2" xfId="4628" xr:uid="{7CFA73DE-ACBE-4CB6-8172-680904A449BD}"/>
    <cellStyle name="쉼표 [0] 13 2 3" xfId="3974" xr:uid="{34D42A65-2F99-4251-B61F-830BC2E57608}"/>
    <cellStyle name="쉼표 [0] 13 3" xfId="2930" xr:uid="{FA66888B-89F1-416C-874A-ED5EE5290B38}"/>
    <cellStyle name="쉼표 [0] 13 3 2" xfId="4301" xr:uid="{BB97146B-0C85-4010-9959-450420C5EC10}"/>
    <cellStyle name="쉼표 [0] 13 4" xfId="3647" xr:uid="{158E40E2-B684-4062-99B5-05A37EBCCE38}"/>
    <cellStyle name="쉼표 [0] 14" xfId="2264" xr:uid="{A0077DE8-F41C-408C-BA35-F3EAC6652251}"/>
    <cellStyle name="쉼표 [0] 14 2" xfId="2607" xr:uid="{B77EE64C-0A2F-411B-B9F3-7D5436183815}"/>
    <cellStyle name="쉼표 [0] 14 2 2" xfId="3264" xr:uid="{5D21C4B8-FAB9-4147-B7C4-CA2DD4D2AB0C}"/>
    <cellStyle name="쉼표 [0] 14 2 2 2" xfId="4635" xr:uid="{6CCE0AAA-5239-408C-BBBD-3C914D835B20}"/>
    <cellStyle name="쉼표 [0] 14 2 3" xfId="3981" xr:uid="{A9972CE9-6CB6-4E8A-A00F-FA7937955AE2}"/>
    <cellStyle name="쉼표 [0] 14 3" xfId="2937" xr:uid="{7D4A8C28-8B20-4B61-A4AE-E8B73547D1A6}"/>
    <cellStyle name="쉼표 [0] 14 3 2" xfId="4308" xr:uid="{0D9AA9F0-2632-42E1-BC25-D530D089F91A}"/>
    <cellStyle name="쉼표 [0] 14 4" xfId="3654" xr:uid="{D88E8918-8411-4100-8491-34FADAD066FF}"/>
    <cellStyle name="쉼표 [0] 15" xfId="2271" xr:uid="{15D6BCCF-460A-4C3B-9360-87EAB32DD36D}"/>
    <cellStyle name="쉼표 [0] 15 2" xfId="2614" xr:uid="{09DCA029-65B5-4BAE-93C7-B732CE925494}"/>
    <cellStyle name="쉼표 [0] 15 2 2" xfId="3271" xr:uid="{EC490B83-0A39-4217-B765-A22D1A410CD3}"/>
    <cellStyle name="쉼표 [0] 15 2 2 2" xfId="4642" xr:uid="{B68E182D-EB3A-4BBD-8A37-44070895CD21}"/>
    <cellStyle name="쉼표 [0] 15 2 3" xfId="3988" xr:uid="{F7B59B92-199F-4125-8BA5-619D82DD76AB}"/>
    <cellStyle name="쉼표 [0] 15 3" xfId="2944" xr:uid="{2BE3CE2E-5AE3-4A49-AFD5-E44124826C7B}"/>
    <cellStyle name="쉼표 [0] 15 3 2" xfId="4315" xr:uid="{1290CEF4-BC84-47FA-A0FC-BD473EF1A83B}"/>
    <cellStyle name="쉼표 [0] 15 4" xfId="3661" xr:uid="{595B0CA5-BC93-4CC4-8B81-203040C6689D}"/>
    <cellStyle name="쉼표 [0] 16" xfId="2278" xr:uid="{C3F20652-70A5-402F-AE40-24C617B15ADC}"/>
    <cellStyle name="쉼표 [0] 16 2" xfId="2621" xr:uid="{B0D740BA-833E-4597-8311-E4A8852797E7}"/>
    <cellStyle name="쉼표 [0] 16 2 2" xfId="3278" xr:uid="{00A6257C-AF2D-403B-BEDC-053AD3EB32A2}"/>
    <cellStyle name="쉼표 [0] 16 2 2 2" xfId="4649" xr:uid="{5F883652-722D-4CAA-BE89-1820EA249B48}"/>
    <cellStyle name="쉼표 [0] 16 2 3" xfId="3995" xr:uid="{0E714E95-D93B-4D35-AD46-14A463FCDCF6}"/>
    <cellStyle name="쉼표 [0] 16 3" xfId="2951" xr:uid="{2402A53A-26AA-4D36-A14F-E551BFD3B335}"/>
    <cellStyle name="쉼표 [0] 16 3 2" xfId="4322" xr:uid="{2A5E1F31-4B77-4503-B2BB-8E058F7ED50C}"/>
    <cellStyle name="쉼표 [0] 16 4" xfId="3668" xr:uid="{86B32708-2DE9-439A-9D92-F1749499E9A5}"/>
    <cellStyle name="쉼표 [0] 17" xfId="2287" xr:uid="{4EC2CE86-A491-4DDA-AF03-4C235234D1A4}"/>
    <cellStyle name="쉼표 [0] 17 2" xfId="2630" xr:uid="{082100EA-6761-4887-AA7A-181413C677FC}"/>
    <cellStyle name="쉼표 [0] 17 2 2" xfId="3287" xr:uid="{DCE08350-8FCA-4386-A0BB-94DCABE9B28A}"/>
    <cellStyle name="쉼표 [0] 17 2 2 2" xfId="4658" xr:uid="{544EC980-8402-429A-8C3A-1FFABE78EB74}"/>
    <cellStyle name="쉼표 [0] 17 2 3" xfId="4004" xr:uid="{87CA1FD5-2BBB-4410-8358-7A5E01AE35B2}"/>
    <cellStyle name="쉼표 [0] 17 3" xfId="2960" xr:uid="{161C7AE1-E25F-4D9A-B32D-4138A00BB5E2}"/>
    <cellStyle name="쉼표 [0] 17 3 2" xfId="4331" xr:uid="{2CBFB231-7621-42BE-A24A-1E2A7EB2F1A6}"/>
    <cellStyle name="쉼표 [0] 17 4" xfId="3677" xr:uid="{3B849EFA-523B-4237-A7A6-245E1930F126}"/>
    <cellStyle name="쉼표 [0] 18" xfId="2308" xr:uid="{6231472F-89FE-4AE9-A73E-1F9F20827AD9}"/>
    <cellStyle name="쉼표 [0] 18 2" xfId="2645" xr:uid="{3BD755D6-437F-44C5-90E1-A54D70433368}"/>
    <cellStyle name="쉼표 [0] 18 2 2" xfId="3302" xr:uid="{05E82436-4BC5-463F-9107-BCA50E8CDD44}"/>
    <cellStyle name="쉼표 [0] 18 2 2 2" xfId="4673" xr:uid="{4D5DB817-8734-473D-B3CF-1AD1D0636E42}"/>
    <cellStyle name="쉼표 [0] 18 2 3" xfId="4019" xr:uid="{FE11232A-3331-4443-806A-DD96391F795B}"/>
    <cellStyle name="쉼표 [0] 18 3" xfId="2975" xr:uid="{02D0D865-C752-4A59-A880-103A1F07BCC8}"/>
    <cellStyle name="쉼표 [0] 18 3 2" xfId="4346" xr:uid="{EC7398F8-867D-44C2-8791-D3B169519CF8}"/>
    <cellStyle name="쉼표 [0] 18 4" xfId="3692" xr:uid="{48D38FB5-F333-4832-8820-9AAB9D27076F}"/>
    <cellStyle name="쉼표 [0] 19" xfId="2319" xr:uid="{E48A6908-2C8A-489A-AF34-EAE943441FED}"/>
    <cellStyle name="쉼표 [0] 19 2" xfId="2656" xr:uid="{365AE490-C88D-4B37-A95B-236E58B200E9}"/>
    <cellStyle name="쉼표 [0] 19 2 2" xfId="3313" xr:uid="{6451A1FF-6BFB-4576-9E4A-DF781B78DA85}"/>
    <cellStyle name="쉼표 [0] 19 2 2 2" xfId="4684" xr:uid="{96100F42-986A-4866-9533-334C67870FA8}"/>
    <cellStyle name="쉼표 [0] 19 2 3" xfId="4030" xr:uid="{D4C619F3-F426-47C2-9452-B55BC8DECFA1}"/>
    <cellStyle name="쉼표 [0] 19 3" xfId="2986" xr:uid="{8B36E74E-50C3-4A75-90BF-AD0A0655C72B}"/>
    <cellStyle name="쉼표 [0] 19 3 2" xfId="4357" xr:uid="{B5F85F60-35B2-4785-B184-56F983DBB7E8}"/>
    <cellStyle name="쉼표 [0] 19 4" xfId="3703" xr:uid="{2B74E5E6-52D4-4D8C-A670-61AF89D0F264}"/>
    <cellStyle name="쉼표 [0] 2" xfId="2" xr:uid="{00000000-0005-0000-0000-000065000000}"/>
    <cellStyle name="쉼표 [0] 2 10" xfId="2286" xr:uid="{829CFCC6-74D0-4BE9-A821-9E8B456FC4DD}"/>
    <cellStyle name="쉼표 [0] 2 10 2" xfId="2629" xr:uid="{2AFAF088-F6B6-4309-BF5C-1FCD8F6291CE}"/>
    <cellStyle name="쉼표 [0] 2 10 2 2" xfId="3286" xr:uid="{A4B81760-2BCC-4E74-8478-C5081C0C4DC9}"/>
    <cellStyle name="쉼표 [0] 2 10 2 2 2" xfId="4657" xr:uid="{04E48D13-1F1D-4945-BED1-047C71F6AFB5}"/>
    <cellStyle name="쉼표 [0] 2 10 2 3" xfId="4003" xr:uid="{3847750C-4813-43D6-BF5A-7546F1369536}"/>
    <cellStyle name="쉼표 [0] 2 10 3" xfId="2959" xr:uid="{97056C86-2DF2-403A-9BD8-0E2DA0DDECB6}"/>
    <cellStyle name="쉼표 [0] 2 10 3 2" xfId="4330" xr:uid="{ED78ADC4-94E8-4588-9B4F-4EC53C8EA17B}"/>
    <cellStyle name="쉼표 [0] 2 10 4" xfId="3676" xr:uid="{9C796F2F-F306-41CD-9860-A45A381420DC}"/>
    <cellStyle name="쉼표 [0] 2 11" xfId="2307" xr:uid="{6ACD28B6-B2D9-46B8-AA8F-AAFCB8314B41}"/>
    <cellStyle name="쉼표 [0] 2 11 2" xfId="2644" xr:uid="{E3AB7B42-D7FC-41F5-A50C-E477EECC42B6}"/>
    <cellStyle name="쉼표 [0] 2 11 2 2" xfId="3301" xr:uid="{B6F79715-8DA3-45B6-B12F-B71FD3B74CCA}"/>
    <cellStyle name="쉼표 [0] 2 11 2 2 2" xfId="4672" xr:uid="{CB3EF746-F7B8-4706-BDC2-5FC840D6AE5E}"/>
    <cellStyle name="쉼표 [0] 2 11 2 3" xfId="4018" xr:uid="{F47D6BBC-2997-47E2-914A-6283FB22F0AD}"/>
    <cellStyle name="쉼표 [0] 2 11 3" xfId="2974" xr:uid="{9FE241AC-C367-476A-9CAC-88BEE4B0B1B7}"/>
    <cellStyle name="쉼표 [0] 2 11 3 2" xfId="4345" xr:uid="{16E83B20-5316-42DE-AD0F-CCD885C5B320}"/>
    <cellStyle name="쉼표 [0] 2 11 4" xfId="3691" xr:uid="{2A48D030-8629-4271-B488-4AE0083113EA}"/>
    <cellStyle name="쉼표 [0] 2 12" xfId="2318" xr:uid="{A5511EB2-B639-42FA-92C5-DB70DADC8FB9}"/>
    <cellStyle name="쉼표 [0] 2 12 2" xfId="2655" xr:uid="{7A59C017-2D83-4D01-8BD7-CD3D93340D04}"/>
    <cellStyle name="쉼표 [0] 2 12 2 2" xfId="3312" xr:uid="{E7359FB5-492B-4299-9470-906962D04D62}"/>
    <cellStyle name="쉼표 [0] 2 12 2 2 2" xfId="4683" xr:uid="{51B27D7D-0A6E-41ED-9B90-C632B200915A}"/>
    <cellStyle name="쉼표 [0] 2 12 2 3" xfId="4029" xr:uid="{2E47CEBC-000B-44CA-A3BC-142420322140}"/>
    <cellStyle name="쉼표 [0] 2 12 3" xfId="2985" xr:uid="{3EA52637-8D14-4F2E-B40A-A8DB8FD1C48E}"/>
    <cellStyle name="쉼표 [0] 2 12 3 2" xfId="4356" xr:uid="{82B7576E-98AE-443A-AD86-0CC59B1E851D}"/>
    <cellStyle name="쉼표 [0] 2 12 4" xfId="3702" xr:uid="{82CB15A2-0073-4A8D-80CD-AD329537254A}"/>
    <cellStyle name="쉼표 [0] 2 13" xfId="2333" xr:uid="{03CB5B07-D474-4207-9504-C35D2CE4D4F8}"/>
    <cellStyle name="쉼표 [0] 2 13 2" xfId="2670" xr:uid="{38DA3606-52AC-4694-9F9B-F46BB5848651}"/>
    <cellStyle name="쉼표 [0] 2 13 2 2" xfId="3327" xr:uid="{4FBB7FD5-F45C-4E3D-9D6E-B78A7244649F}"/>
    <cellStyle name="쉼표 [0] 2 13 2 2 2" xfId="4698" xr:uid="{5AABD499-E722-4EEE-86BA-154AB76982D2}"/>
    <cellStyle name="쉼표 [0] 2 13 2 3" xfId="4044" xr:uid="{44C1750A-9264-4F72-BE42-82D19E6D3B92}"/>
    <cellStyle name="쉼표 [0] 2 13 3" xfId="3000" xr:uid="{62EAA1BA-B585-40E9-A07C-2ECBDBFF3633}"/>
    <cellStyle name="쉼표 [0] 2 13 3 2" xfId="4371" xr:uid="{6CA11301-FC19-46F4-A50B-4A1F3CA54052}"/>
    <cellStyle name="쉼표 [0] 2 13 4" xfId="3717" xr:uid="{89E5323B-BF92-47F6-A299-1EDEA3F761D4}"/>
    <cellStyle name="쉼표 [0] 2 14" xfId="2349" xr:uid="{5006BA16-EFC5-46BA-A42D-76FD235E9495}"/>
    <cellStyle name="쉼표 [0] 2 14 2" xfId="2686" xr:uid="{CB644E63-2D92-4BDC-8EC5-B817B01F5019}"/>
    <cellStyle name="쉼표 [0] 2 14 2 2" xfId="3343" xr:uid="{A3018215-4B92-42CF-82B7-C5A15FAB7530}"/>
    <cellStyle name="쉼표 [0] 2 14 2 2 2" xfId="4714" xr:uid="{65B4276C-3891-4ADF-9275-8F0512C7E9AD}"/>
    <cellStyle name="쉼표 [0] 2 14 2 3" xfId="4060" xr:uid="{FE229250-7E23-4009-B450-D1AF5691F196}"/>
    <cellStyle name="쉼표 [0] 2 14 3" xfId="3016" xr:uid="{25D8E308-2278-48C4-A406-59FD7A9262DE}"/>
    <cellStyle name="쉼표 [0] 2 14 3 2" xfId="4387" xr:uid="{8901D0A0-39AE-40E8-B359-C19C4464A7D7}"/>
    <cellStyle name="쉼표 [0] 2 14 4" xfId="3733" xr:uid="{44D40EBA-4A82-4CD9-B084-466675BDF229}"/>
    <cellStyle name="쉼표 [0] 2 15" xfId="2356" xr:uid="{0515EFBF-73C2-46DF-A40D-5F24CB8B197D}"/>
    <cellStyle name="쉼표 [0] 2 15 2" xfId="2693" xr:uid="{66B1974F-41E2-4FAD-86A0-66222A7D300B}"/>
    <cellStyle name="쉼표 [0] 2 15 2 2" xfId="3350" xr:uid="{28823722-FBA8-407E-9177-55891BFE6BBF}"/>
    <cellStyle name="쉼표 [0] 2 15 2 2 2" xfId="4721" xr:uid="{E9557568-6C6C-491C-B7FF-90562BA36311}"/>
    <cellStyle name="쉼표 [0] 2 15 2 3" xfId="4067" xr:uid="{77445D9A-8839-4FC6-9A8E-86A710730E28}"/>
    <cellStyle name="쉼표 [0] 2 15 3" xfId="3023" xr:uid="{A8F1D7DF-A3F2-4E81-9C84-E7FDBBCDA1A8}"/>
    <cellStyle name="쉼표 [0] 2 15 3 2" xfId="4394" xr:uid="{830FC919-0CD0-420E-8917-105FF34AC447}"/>
    <cellStyle name="쉼표 [0] 2 15 4" xfId="3740" xr:uid="{F115A56E-15CD-41EC-B997-BFA93EEA6BC6}"/>
    <cellStyle name="쉼표 [0] 2 16" xfId="307" xr:uid="{7CF73F53-4529-415F-8DB6-52CC72E03B1F}"/>
    <cellStyle name="쉼표 [0] 2 16 2" xfId="2496" xr:uid="{CF2D1E32-848F-4F14-B780-23B6F693CEAA}"/>
    <cellStyle name="쉼표 [0] 2 16 2 2" xfId="3153" xr:uid="{9A409BBE-0C46-4A58-A478-86EA23B96C51}"/>
    <cellStyle name="쉼표 [0] 2 16 2 2 2" xfId="4524" xr:uid="{746844D1-BE9F-444D-8BED-03A4E3B83A52}"/>
    <cellStyle name="쉼표 [0] 2 16 2 3" xfId="3870" xr:uid="{305911C1-7543-4A0B-B203-33E87D255A7B}"/>
    <cellStyle name="쉼표 [0] 2 16 3" xfId="2823" xr:uid="{40439264-4B6C-4CAF-B7E0-4578657D5BD5}"/>
    <cellStyle name="쉼표 [0] 2 16 3 2" xfId="4197" xr:uid="{50E791BD-55EC-432F-BA9B-27EDDBDFE8AB}"/>
    <cellStyle name="쉼표 [0] 2 16 4" xfId="3530" xr:uid="{0B95974B-2488-4AE1-B2FA-F389A1C81272}"/>
    <cellStyle name="쉼표 [0] 2 17" xfId="2469" xr:uid="{22797B5E-6DE4-447A-A345-E8460F52B24C}"/>
    <cellStyle name="쉼표 [0] 2 17 2" xfId="3126" xr:uid="{49EA1F6D-928D-4D4F-B5A1-E0D298291ECB}"/>
    <cellStyle name="쉼표 [0] 2 17 2 2" xfId="4497" xr:uid="{BABD6D4A-2F00-4C5E-8450-ED7946AA9820}"/>
    <cellStyle name="쉼표 [0] 2 17 3" xfId="3843" xr:uid="{19EAEAB4-1AA6-4C10-9340-5D4260897835}"/>
    <cellStyle name="쉼표 [0] 2 18" xfId="2796" xr:uid="{3010BA31-F43F-4870-9872-8E1A94B4D012}"/>
    <cellStyle name="쉼표 [0] 2 18 2" xfId="4170" xr:uid="{AEDBD8BF-8B45-4909-B91F-29DF51C3968C}"/>
    <cellStyle name="쉼표 [0] 2 19" xfId="278" xr:uid="{72417DEC-4A42-4694-9546-E8C7FFAAE8D1}"/>
    <cellStyle name="쉼표 [0] 2 19 2" xfId="3503" xr:uid="{471C87A1-C134-41C1-84FB-2B6A17C9AE6C}"/>
    <cellStyle name="쉼표 [0] 2 2" xfId="103" xr:uid="{00000000-0005-0000-0000-000066000000}"/>
    <cellStyle name="쉼표 [0] 2 2 10" xfId="2309" xr:uid="{ACBE8833-1472-4FEA-9F5C-C27CBBA2D3CB}"/>
    <cellStyle name="쉼표 [0] 2 2 10 2" xfId="2646" xr:uid="{5D59B978-7EF4-4AD6-B39B-3388A03336D5}"/>
    <cellStyle name="쉼표 [0] 2 2 10 2 2" xfId="3303" xr:uid="{903C2DA0-1131-4E0E-9C45-245C15C68C82}"/>
    <cellStyle name="쉼표 [0] 2 2 10 2 2 2" xfId="4674" xr:uid="{553A58A5-0D4F-418F-9378-22136A75AB6F}"/>
    <cellStyle name="쉼표 [0] 2 2 10 2 3" xfId="4020" xr:uid="{FAC36B9A-365A-4486-8358-01B35D17990C}"/>
    <cellStyle name="쉼표 [0] 2 2 10 3" xfId="2976" xr:uid="{4C912529-D980-4A6B-84E7-FFA2732BEC2C}"/>
    <cellStyle name="쉼표 [0] 2 2 10 3 2" xfId="4347" xr:uid="{542CFECF-0310-4D77-962F-1DD108E2A166}"/>
    <cellStyle name="쉼표 [0] 2 2 10 4" xfId="3693" xr:uid="{B446776E-D8EA-4627-9003-F21F13C2EB48}"/>
    <cellStyle name="쉼표 [0] 2 2 11" xfId="2320" xr:uid="{D760D2F0-05EF-4F6F-99D4-7AFE5F920E95}"/>
    <cellStyle name="쉼표 [0] 2 2 11 2" xfId="2657" xr:uid="{E782C2A1-28A3-403F-A319-B99E24F9D8DC}"/>
    <cellStyle name="쉼표 [0] 2 2 11 2 2" xfId="3314" xr:uid="{52A9A301-699B-46C5-A54E-1D491E3EA7D2}"/>
    <cellStyle name="쉼표 [0] 2 2 11 2 2 2" xfId="4685" xr:uid="{07776746-02D5-4047-B57E-18DE6DA2E573}"/>
    <cellStyle name="쉼표 [0] 2 2 11 2 3" xfId="4031" xr:uid="{5A434B38-FCD6-4043-8D51-28382575451B}"/>
    <cellStyle name="쉼표 [0] 2 2 11 3" xfId="2987" xr:uid="{4FEA4561-BFE9-4FB5-9E48-87B343A60978}"/>
    <cellStyle name="쉼표 [0] 2 2 11 3 2" xfId="4358" xr:uid="{0F91CADA-5769-42A0-BBE8-8DE9F89A768D}"/>
    <cellStyle name="쉼표 [0] 2 2 11 4" xfId="3704" xr:uid="{8BFA6C80-46EE-434E-B522-39245EEE660C}"/>
    <cellStyle name="쉼표 [0] 2 2 12" xfId="2335" xr:uid="{7DBD160E-BA01-4779-A832-875576CED91F}"/>
    <cellStyle name="쉼표 [0] 2 2 12 2" xfId="2672" xr:uid="{ED91218F-B825-4BA8-8AB9-2A3C5CC9A03A}"/>
    <cellStyle name="쉼표 [0] 2 2 12 2 2" xfId="3329" xr:uid="{B2FA0DAC-E6EA-4715-81D3-82C4C3FC2F6B}"/>
    <cellStyle name="쉼표 [0] 2 2 12 2 2 2" xfId="4700" xr:uid="{AF551124-FD3C-4A7B-A566-0EA17D1E4979}"/>
    <cellStyle name="쉼표 [0] 2 2 12 2 3" xfId="4046" xr:uid="{984D1311-5F25-4367-9795-700E4BF96529}"/>
    <cellStyle name="쉼표 [0] 2 2 12 3" xfId="3002" xr:uid="{32A56844-E840-4696-AA7F-BFCA3BE1A634}"/>
    <cellStyle name="쉼표 [0] 2 2 12 3 2" xfId="4373" xr:uid="{C9CDF39A-51F0-422D-8BB4-BC0E2D0DDD94}"/>
    <cellStyle name="쉼표 [0] 2 2 12 4" xfId="3719" xr:uid="{42D10FCB-0B6A-46A8-9F13-B834C1729AA2}"/>
    <cellStyle name="쉼표 [0] 2 2 13" xfId="2352" xr:uid="{BCD0418C-F561-456B-92D0-DD3585C44EE5}"/>
    <cellStyle name="쉼표 [0] 2 2 13 2" xfId="2689" xr:uid="{571C2E0D-DADD-42D0-B154-07076166F963}"/>
    <cellStyle name="쉼표 [0] 2 2 13 2 2" xfId="3346" xr:uid="{A0E70736-04FA-4D40-90AB-DD0AC6FC024E}"/>
    <cellStyle name="쉼표 [0] 2 2 13 2 2 2" xfId="4717" xr:uid="{01C17629-5F49-4C8A-A83B-E973117050C6}"/>
    <cellStyle name="쉼표 [0] 2 2 13 2 3" xfId="4063" xr:uid="{FC1006CF-56FC-4239-A20B-C8312B464490}"/>
    <cellStyle name="쉼표 [0] 2 2 13 3" xfId="3019" xr:uid="{1954B4A6-DD48-4A4D-849C-F7B2683FCF33}"/>
    <cellStyle name="쉼표 [0] 2 2 13 3 2" xfId="4390" xr:uid="{676726CF-DF41-4EE1-B86E-C0B62130A007}"/>
    <cellStyle name="쉼표 [0] 2 2 13 4" xfId="3736" xr:uid="{0283D648-70D1-468A-9C5F-468AD717A5E6}"/>
    <cellStyle name="쉼표 [0] 2 2 14" xfId="2359" xr:uid="{25FC9644-0A57-4EA7-8E74-50666C3EA306}"/>
    <cellStyle name="쉼표 [0] 2 2 14 2" xfId="2696" xr:uid="{2E0ECC40-279B-46A9-A8A8-BB19958C5B16}"/>
    <cellStyle name="쉼표 [0] 2 2 14 2 2" xfId="3353" xr:uid="{FE8A40B5-796B-44D6-A4A6-B118D15A2995}"/>
    <cellStyle name="쉼표 [0] 2 2 14 2 2 2" xfId="4724" xr:uid="{8ABFB876-4DED-4CEE-8A3F-E14EF3C39CBE}"/>
    <cellStyle name="쉼표 [0] 2 2 14 2 3" xfId="4070" xr:uid="{EF6B3F61-D29A-44B5-A622-C011036EBC3B}"/>
    <cellStyle name="쉼표 [0] 2 2 14 3" xfId="3026" xr:uid="{65FA9536-4C9D-411A-9348-DAA6C8B09F48}"/>
    <cellStyle name="쉼표 [0] 2 2 14 3 2" xfId="4397" xr:uid="{DD52081E-CF13-49BA-BF34-025746708C7A}"/>
    <cellStyle name="쉼표 [0] 2 2 14 4" xfId="3743" xr:uid="{124A6E2C-E783-4A8F-9C58-5416FC24BD5C}"/>
    <cellStyle name="쉼표 [0] 2 2 15" xfId="2367" xr:uid="{A01884AC-00AC-458E-8BA1-95A565C6B9AC}"/>
    <cellStyle name="쉼표 [0] 2 2 15 2" xfId="2704" xr:uid="{EF4AA190-CD37-4348-B817-F5B27BFD326C}"/>
    <cellStyle name="쉼표 [0] 2 2 15 2 2" xfId="3361" xr:uid="{2F9E5437-AAE8-4C7A-B1D2-E10E7B8A59D8}"/>
    <cellStyle name="쉼표 [0] 2 2 15 2 2 2" xfId="4732" xr:uid="{71BDC6D8-13AC-4956-81BF-4E11C951D431}"/>
    <cellStyle name="쉼표 [0] 2 2 15 2 3" xfId="4078" xr:uid="{0F85F293-52ED-425E-A764-1EFCD9EE8828}"/>
    <cellStyle name="쉼표 [0] 2 2 15 3" xfId="3034" xr:uid="{52FDC9DD-F0E4-4EA9-904B-DA5E82E25026}"/>
    <cellStyle name="쉼표 [0] 2 2 15 3 2" xfId="4405" xr:uid="{EF6D24EE-76E2-4E80-81AC-FDB12FD49386}"/>
    <cellStyle name="쉼표 [0] 2 2 15 4" xfId="3751" xr:uid="{530CF867-1DF3-4C65-8E60-DCFBD766642F}"/>
    <cellStyle name="쉼표 [0] 2 2 16" xfId="316" xr:uid="{BC2D1A5C-BF44-45B4-89DE-16322EB34910}"/>
    <cellStyle name="쉼표 [0] 2 2 16 2" xfId="2503" xr:uid="{A5CE733F-207B-46D9-9BD8-8A903B0ACCB3}"/>
    <cellStyle name="쉼표 [0] 2 2 16 2 2" xfId="3160" xr:uid="{14BD6CCD-E90E-400B-ABE9-2A7CEF4CA70D}"/>
    <cellStyle name="쉼표 [0] 2 2 16 2 2 2" xfId="4531" xr:uid="{B67091D5-625C-45F0-BDF8-748B9DA79730}"/>
    <cellStyle name="쉼표 [0] 2 2 16 2 3" xfId="3877" xr:uid="{EB387A45-BB33-4895-AC0B-F76456581E52}"/>
    <cellStyle name="쉼표 [0] 2 2 16 3" xfId="2830" xr:uid="{0CA75EFA-D068-4ABA-A9B3-2BB6A10BC8C2}"/>
    <cellStyle name="쉼표 [0] 2 2 16 3 2" xfId="4204" xr:uid="{52BECF16-DA8D-4DBF-9C62-56B72DD46D34}"/>
    <cellStyle name="쉼표 [0] 2 2 16 4" xfId="3537" xr:uid="{29E6CED6-676A-4C80-A36F-5FF974837E70}"/>
    <cellStyle name="쉼표 [0] 2 2 17" xfId="2471" xr:uid="{49BED7E5-FE74-4CC7-B5CA-83A64C5AEA31}"/>
    <cellStyle name="쉼표 [0] 2 2 17 2" xfId="3128" xr:uid="{E73186D0-040C-409B-BEBA-9D20C747B78B}"/>
    <cellStyle name="쉼표 [0] 2 2 17 2 2" xfId="4499" xr:uid="{882089E9-F86A-4FCE-A451-F70ED362B988}"/>
    <cellStyle name="쉼표 [0] 2 2 17 3" xfId="3845" xr:uid="{2F594A2C-AC09-4C5D-A5E8-8E577F8E6B00}"/>
    <cellStyle name="쉼표 [0] 2 2 18" xfId="2798" xr:uid="{539E99CD-55AB-40AE-A231-BBF11442B95F}"/>
    <cellStyle name="쉼표 [0] 2 2 18 2" xfId="4172" xr:uid="{C2F11A83-05A8-4017-9BDE-CBE5006E34D2}"/>
    <cellStyle name="쉼표 [0] 2 2 19" xfId="281" xr:uid="{0F401BEB-0157-4C4F-BAE3-535DF79742D6}"/>
    <cellStyle name="쉼표 [0] 2 2 19 2" xfId="3505" xr:uid="{61907DE4-C658-4594-ADB4-A6F31ECE935C}"/>
    <cellStyle name="쉼표 [0] 2 2 2" xfId="265" xr:uid="{B03F2978-5A09-4255-8D56-B6CF5A4061B9}"/>
    <cellStyle name="쉼표 [0] 2 2 2 10" xfId="288" xr:uid="{28948B8B-9B52-4C62-B951-73B509C6008F}"/>
    <cellStyle name="쉼표 [0] 2 2 2 10 2" xfId="3512" xr:uid="{D1CAF529-1EE7-4F59-8E9C-EFF580124CDA}"/>
    <cellStyle name="쉼표 [0] 2 2 2 11" xfId="3494" xr:uid="{32B9A47C-72E1-4A7E-93E0-05FED59656CE}"/>
    <cellStyle name="쉼표 [0] 2 2 2 2" xfId="303" xr:uid="{E0367F93-0B36-4F63-B96F-182F6F0676F2}"/>
    <cellStyle name="쉼표 [0] 2 2 2 2 2" xfId="2296" xr:uid="{5557BC14-6332-456B-A6FD-A0A46CA15999}"/>
    <cellStyle name="쉼표 [0] 2 2 2 2 2 2" xfId="2638" xr:uid="{DF5548AF-5048-4CD6-8DC3-38207EB2C7D7}"/>
    <cellStyle name="쉼표 [0] 2 2 2 2 2 2 2" xfId="3295" xr:uid="{3014146E-9801-4824-A064-2D0961F6EA1F}"/>
    <cellStyle name="쉼표 [0] 2 2 2 2 2 2 2 2" xfId="4666" xr:uid="{CD867973-B13E-4DE7-BB2F-5EC3A8441B00}"/>
    <cellStyle name="쉼표 [0] 2 2 2 2 2 2 3" xfId="4012" xr:uid="{1F3B2A41-CA04-4DDF-AB12-22162E15E10D}"/>
    <cellStyle name="쉼표 [0] 2 2 2 2 2 3" xfId="2968" xr:uid="{8F40A711-D803-4297-9873-A808FD84F8C2}"/>
    <cellStyle name="쉼표 [0] 2 2 2 2 2 3 2" xfId="4339" xr:uid="{7E0E5E3B-A083-4D22-AD79-FE994FD1A16E}"/>
    <cellStyle name="쉼표 [0] 2 2 2 2 2 4" xfId="3685" xr:uid="{816F33D6-41D5-4C4A-A929-F8E7938A64D5}"/>
    <cellStyle name="쉼표 [0] 2 2 2 2 3" xfId="2492" xr:uid="{949B7EE2-0457-4280-A2B5-978BE089C1BD}"/>
    <cellStyle name="쉼표 [0] 2 2 2 2 3 2" xfId="3149" xr:uid="{C0710398-30D1-4D45-9EBA-43A5CFEC319C}"/>
    <cellStyle name="쉼표 [0] 2 2 2 2 3 2 2" xfId="4520" xr:uid="{372583CB-A62E-43DF-AEFE-EFEA94F42AA4}"/>
    <cellStyle name="쉼표 [0] 2 2 2 2 3 3" xfId="3866" xr:uid="{BA138BBD-68B9-4CB8-8B89-E8E40909DEDC}"/>
    <cellStyle name="쉼표 [0] 2 2 2 2 4" xfId="2819" xr:uid="{F8806862-13D4-4B82-A4BE-42FF44281B9A}"/>
    <cellStyle name="쉼표 [0] 2 2 2 2 4 2" xfId="4193" xr:uid="{1EF82C67-C9DD-4975-BB00-41021677DAFC}"/>
    <cellStyle name="쉼표 [0] 2 2 2 2 5" xfId="3526" xr:uid="{C5E95756-A783-45A3-86F9-D1382F47596B}"/>
    <cellStyle name="쉼표 [0] 2 2 2 3" xfId="2316" xr:uid="{D192DF54-21B9-474C-A7CA-563009D17A6A}"/>
    <cellStyle name="쉼표 [0] 2 2 2 3 2" xfId="2653" xr:uid="{7B726CDD-29C4-4710-8B6E-2FC23BB92095}"/>
    <cellStyle name="쉼표 [0] 2 2 2 3 2 2" xfId="3310" xr:uid="{FC0D7098-95FC-4E97-A315-97360EF73073}"/>
    <cellStyle name="쉼표 [0] 2 2 2 3 2 2 2" xfId="4681" xr:uid="{BC9CF2C6-590F-471C-8485-ABF9366440CA}"/>
    <cellStyle name="쉼표 [0] 2 2 2 3 2 3" xfId="4027" xr:uid="{B784CD74-0C7B-4166-A9B0-88B50C70CD8E}"/>
    <cellStyle name="쉼표 [0] 2 2 2 3 3" xfId="2983" xr:uid="{B2219CAC-CBC3-4A7F-B508-BF7400007706}"/>
    <cellStyle name="쉼표 [0] 2 2 2 3 3 2" xfId="4354" xr:uid="{304D5369-3100-4212-9F8D-011E1E8C6EAA}"/>
    <cellStyle name="쉼표 [0] 2 2 2 3 4" xfId="3700" xr:uid="{A99347C4-5060-4AB1-8ECD-A349A57204AE}"/>
    <cellStyle name="쉼표 [0] 2 2 2 4" xfId="2327" xr:uid="{FDB76830-1971-48CC-AF8A-AB0EBBF6A716}"/>
    <cellStyle name="쉼표 [0] 2 2 2 4 2" xfId="2664" xr:uid="{8E83858C-CBAA-4137-906B-239C11EE28A7}"/>
    <cellStyle name="쉼표 [0] 2 2 2 4 2 2" xfId="3321" xr:uid="{5D22D904-9159-4AD3-A940-F1C53A1F9416}"/>
    <cellStyle name="쉼표 [0] 2 2 2 4 2 2 2" xfId="4692" xr:uid="{FA098443-08D8-4F1C-8B15-7A0C78E8EFCC}"/>
    <cellStyle name="쉼표 [0] 2 2 2 4 2 3" xfId="4038" xr:uid="{904E0AE9-988C-4DF7-8EB8-0AA5C274FB78}"/>
    <cellStyle name="쉼표 [0] 2 2 2 4 3" xfId="2994" xr:uid="{363DC4B7-6431-4812-B74F-232FDFE8C4C8}"/>
    <cellStyle name="쉼표 [0] 2 2 2 4 3 2" xfId="4365" xr:uid="{8781C96E-29B3-4222-AB79-F36FFE37883A}"/>
    <cellStyle name="쉼표 [0] 2 2 2 4 4" xfId="3711" xr:uid="{5EC0ECA6-A42F-4300-A3FC-C0A8B9994D48}"/>
    <cellStyle name="쉼표 [0] 2 2 2 5" xfId="2342" xr:uid="{03D8855E-8ABB-4E30-850F-DFF68AF7D42B}"/>
    <cellStyle name="쉼표 [0] 2 2 2 5 2" xfId="2679" xr:uid="{3D88BA89-546A-497C-A6EC-F626B8C170F1}"/>
    <cellStyle name="쉼표 [0] 2 2 2 5 2 2" xfId="3336" xr:uid="{8A6B1D86-A929-46B1-BA78-33F9B5711C7E}"/>
    <cellStyle name="쉼표 [0] 2 2 2 5 2 2 2" xfId="4707" xr:uid="{11A540D7-30AC-4045-829E-F4CC73519BC3}"/>
    <cellStyle name="쉼표 [0] 2 2 2 5 2 3" xfId="4053" xr:uid="{8A9EAE14-90C6-4049-A63E-7B0C75CFBB46}"/>
    <cellStyle name="쉼표 [0] 2 2 2 5 3" xfId="3009" xr:uid="{082DCD53-C89D-4B0C-A3FA-BEE8270298E5}"/>
    <cellStyle name="쉼표 [0] 2 2 2 5 3 2" xfId="4380" xr:uid="{1F8F85F3-04AF-4C54-ACC2-3268FF4A737E}"/>
    <cellStyle name="쉼표 [0] 2 2 2 5 4" xfId="3726" xr:uid="{67398212-20BC-427D-AD2B-E72E0F1E8A6E}"/>
    <cellStyle name="쉼표 [0] 2 2 2 6" xfId="2368" xr:uid="{F04528BA-92A0-4B49-8E92-02D0D710BA79}"/>
    <cellStyle name="쉼표 [0] 2 2 2 6 2" xfId="2705" xr:uid="{407B53F4-1399-423E-AA04-13948BC65319}"/>
    <cellStyle name="쉼표 [0] 2 2 2 6 2 2" xfId="3362" xr:uid="{D56D19C8-9ED1-4229-A986-E5A24BEE1050}"/>
    <cellStyle name="쉼표 [0] 2 2 2 6 2 2 2" xfId="4733" xr:uid="{29F5DA93-32EA-47A3-8147-FA96C057CDDC}"/>
    <cellStyle name="쉼표 [0] 2 2 2 6 2 3" xfId="4079" xr:uid="{52966F1A-1DF8-4EF5-9E8A-6D17306E69F9}"/>
    <cellStyle name="쉼표 [0] 2 2 2 6 3" xfId="3035" xr:uid="{1DF8CA24-C7A7-4910-8269-387AF39550C6}"/>
    <cellStyle name="쉼표 [0] 2 2 2 6 3 2" xfId="4406" xr:uid="{98F0CA48-A424-4772-8078-2AFBD4439462}"/>
    <cellStyle name="쉼표 [0] 2 2 2 6 4" xfId="3752" xr:uid="{8C2110ED-A3D1-4B1E-A54C-BDD55EEC61CF}"/>
    <cellStyle name="쉼표 [0] 2 2 2 7" xfId="1857" xr:uid="{3898C68D-6C1D-4DB5-B89C-C8DE8841B686}"/>
    <cellStyle name="쉼표 [0] 2 2 2 7 2" xfId="2513" xr:uid="{DC9540A6-0435-4397-95C0-DFD7461D2004}"/>
    <cellStyle name="쉼표 [0] 2 2 2 7 2 2" xfId="3170" xr:uid="{EBBB50D9-69E1-4347-A784-07837C8CADC3}"/>
    <cellStyle name="쉼표 [0] 2 2 2 7 2 2 2" xfId="4541" xr:uid="{EF39EA6F-74A0-4AF0-9EAC-421C99FECF05}"/>
    <cellStyle name="쉼표 [0] 2 2 2 7 2 3" xfId="3887" xr:uid="{D1584D02-F5F3-4932-8CA6-75A36992BCBF}"/>
    <cellStyle name="쉼표 [0] 2 2 2 7 3" xfId="2843" xr:uid="{48BF3685-33B7-413C-BA3A-4490C65C2E4D}"/>
    <cellStyle name="쉼표 [0] 2 2 2 7 3 2" xfId="4214" xr:uid="{4276A7C1-E099-4CB0-8302-A00D4A5DE2E7}"/>
    <cellStyle name="쉼표 [0] 2 2 2 7 4" xfId="3556" xr:uid="{55F48364-C32C-4C29-A119-31C72D870B5A}"/>
    <cellStyle name="쉼표 [0] 2 2 2 8" xfId="2478" xr:uid="{8F5B1F4E-2AFE-4168-829E-70A9003CC589}"/>
    <cellStyle name="쉼표 [0] 2 2 2 8 2" xfId="3135" xr:uid="{85FC8586-049F-425C-9206-2AA48C8F5D47}"/>
    <cellStyle name="쉼표 [0] 2 2 2 8 2 2" xfId="4506" xr:uid="{623EB313-3E49-4E67-93D7-302537B07BA0}"/>
    <cellStyle name="쉼표 [0] 2 2 2 8 3" xfId="3852" xr:uid="{8F00024F-80D4-4837-8E4B-338DA3D07322}"/>
    <cellStyle name="쉼표 [0] 2 2 2 9" xfId="2805" xr:uid="{6793A5CF-1C2C-4FE5-BF10-4CDFDF47772D}"/>
    <cellStyle name="쉼표 [0] 2 2 2 9 2" xfId="4179" xr:uid="{7723D4D7-D9BC-4B7C-A300-85BB4A990331}"/>
    <cellStyle name="쉼표 [0] 2 2 20" xfId="258" xr:uid="{421B3AD4-5EF8-4CEA-91A7-6E740E42E1BF}"/>
    <cellStyle name="쉼표 [0] 2 2 21" xfId="3489" xr:uid="{C0AD2478-6FF9-4A5B-976A-ED4C3CAE5EBA}"/>
    <cellStyle name="쉼표 [0] 2 2 3" xfId="295" xr:uid="{875516F1-67EF-485D-8C0B-53444F1507CB}"/>
    <cellStyle name="쉼표 [0] 2 2 3 2" xfId="2369" xr:uid="{1902CD32-95C1-4B9D-8CD5-03C6D8E88488}"/>
    <cellStyle name="쉼표 [0] 2 2 3 2 2" xfId="2706" xr:uid="{A788853F-8D7A-4C5B-B6A6-FD16B31DEDDC}"/>
    <cellStyle name="쉼표 [0] 2 2 3 2 2 2" xfId="3363" xr:uid="{2BBF0BCA-7FDA-456C-AD3E-D58711F27B57}"/>
    <cellStyle name="쉼표 [0] 2 2 3 2 2 2 2" xfId="4734" xr:uid="{EC09639D-FA5A-402B-ADC9-A55D7F23166C}"/>
    <cellStyle name="쉼표 [0] 2 2 3 2 2 3" xfId="4080" xr:uid="{23FB5FA8-E109-4A48-9076-06406CD344DA}"/>
    <cellStyle name="쉼표 [0] 2 2 3 2 3" xfId="3036" xr:uid="{8173B7F0-2D3C-4D8D-9BD2-D76778932343}"/>
    <cellStyle name="쉼표 [0] 2 2 3 2 3 2" xfId="4407" xr:uid="{6A837CB7-12F6-4268-A66D-64F54EEF054E}"/>
    <cellStyle name="쉼표 [0] 2 2 3 2 4" xfId="3753" xr:uid="{ABD96173-C13D-4FBE-9D89-5DD4B13EDD23}"/>
    <cellStyle name="쉼표 [0] 2 2 3 3" xfId="1858" xr:uid="{4DA801ED-6DF7-44F7-A816-0CBE256B8E13}"/>
    <cellStyle name="쉼표 [0] 2 2 3 3 2" xfId="2514" xr:uid="{4924D7E4-EA60-4FD4-8853-208ECB5EF3ED}"/>
    <cellStyle name="쉼표 [0] 2 2 3 3 2 2" xfId="3171" xr:uid="{C1DF2C56-0B68-4F43-ADA1-07951E2E57F1}"/>
    <cellStyle name="쉼표 [0] 2 2 3 3 2 2 2" xfId="4542" xr:uid="{FC47AB4F-A3BF-4B04-8469-6981829DBCE4}"/>
    <cellStyle name="쉼표 [0] 2 2 3 3 2 3" xfId="3888" xr:uid="{4619C2F0-AA43-4CF7-94D5-50E1DA5BEFBB}"/>
    <cellStyle name="쉼표 [0] 2 2 3 3 3" xfId="2844" xr:uid="{A9301F34-1FBC-46AC-A914-2640E3BB88F3}"/>
    <cellStyle name="쉼표 [0] 2 2 3 3 3 2" xfId="4215" xr:uid="{72E81C0F-F0F4-44EA-99EA-D8A644AA6287}"/>
    <cellStyle name="쉼표 [0] 2 2 3 3 4" xfId="3557" xr:uid="{3696A6F3-5CD8-4651-8ADA-1A0EC768217E}"/>
    <cellStyle name="쉼표 [0] 2 2 3 4" xfId="2484" xr:uid="{EBCDAD3B-59AB-411A-8CDC-55A30378B569}"/>
    <cellStyle name="쉼표 [0] 2 2 3 4 2" xfId="3141" xr:uid="{E782883C-99C4-4660-AFBE-092FD3A50DAB}"/>
    <cellStyle name="쉼표 [0] 2 2 3 4 2 2" xfId="4512" xr:uid="{7509E1DF-F9AB-4D19-AA98-9FF2A8BE96A0}"/>
    <cellStyle name="쉼표 [0] 2 2 3 4 3" xfId="3858" xr:uid="{8DF263F3-A5F4-45E3-A74F-5A34C7D5522F}"/>
    <cellStyle name="쉼표 [0] 2 2 3 5" xfId="2811" xr:uid="{9B3BA06C-DEF6-4EFB-BC22-3AE5805F74C3}"/>
    <cellStyle name="쉼표 [0] 2 2 3 5 2" xfId="4185" xr:uid="{DA5C5A6E-D609-4D28-A554-488A7794E183}"/>
    <cellStyle name="쉼표 [0] 2 2 3 6" xfId="3518" xr:uid="{06E6FCBD-BCFE-4B2A-828D-212A7E25B257}"/>
    <cellStyle name="쉼표 [0] 2 2 4" xfId="1856" xr:uid="{80507A76-661C-4ABB-ACEA-19D986CEC453}"/>
    <cellStyle name="쉼표 [0] 2 2 4 2" xfId="2370" xr:uid="{DD322769-E3F3-418F-B5BC-4727C8AC5805}"/>
    <cellStyle name="쉼표 [0] 2 2 4 2 2" xfId="2707" xr:uid="{DB44DD24-B551-4DD4-BF1D-9082AF6B34E8}"/>
    <cellStyle name="쉼표 [0] 2 2 4 2 2 2" xfId="3364" xr:uid="{326BDE8B-AC3D-4A54-852B-0824475693B1}"/>
    <cellStyle name="쉼표 [0] 2 2 4 2 2 2 2" xfId="4735" xr:uid="{D13A0BB8-CBC0-4678-93D1-060051417FD4}"/>
    <cellStyle name="쉼표 [0] 2 2 4 2 2 3" xfId="4081" xr:uid="{BBBD4827-F096-4ADD-85DD-6C10A4269093}"/>
    <cellStyle name="쉼표 [0] 2 2 4 2 3" xfId="3037" xr:uid="{13123B27-D512-4D0E-AB4F-8C4507FFBFC3}"/>
    <cellStyle name="쉼표 [0] 2 2 4 2 3 2" xfId="4408" xr:uid="{8D927EE6-6CEF-4D7D-9473-E91C5518CE5F}"/>
    <cellStyle name="쉼표 [0] 2 2 4 2 4" xfId="3754" xr:uid="{BB9B9385-B34D-4DFF-94F5-0E958AC9DDBE}"/>
    <cellStyle name="쉼표 [0] 2 2 4 3" xfId="2512" xr:uid="{ACF16DD7-AC59-42B8-A35D-F3B58685BABE}"/>
    <cellStyle name="쉼표 [0] 2 2 4 3 2" xfId="3169" xr:uid="{955865A5-B4BA-4E6D-A4C3-BA204D476998}"/>
    <cellStyle name="쉼표 [0] 2 2 4 3 2 2" xfId="4540" xr:uid="{D083FE2B-16C0-40E3-9812-BBF7759F5B02}"/>
    <cellStyle name="쉼표 [0] 2 2 4 3 3" xfId="3886" xr:uid="{DBEEE7D1-8E67-457F-93B2-CD2D3CCF95A9}"/>
    <cellStyle name="쉼표 [0] 2 2 4 4" xfId="2842" xr:uid="{60FC5A17-04D4-4C82-BA87-D01C10E22789}"/>
    <cellStyle name="쉼표 [0] 2 2 4 4 2" xfId="4213" xr:uid="{CBAB52EA-FF81-49E4-955F-8907BD8086E1}"/>
    <cellStyle name="쉼표 [0] 2 2 4 5" xfId="3555" xr:uid="{777050BB-5552-46E7-B1C8-05CB1D8D3AA7}"/>
    <cellStyle name="쉼표 [0] 2 2 5" xfId="2261" xr:uid="{85DEE5CF-65BC-47ED-9252-D15EACD4DB4F}"/>
    <cellStyle name="쉼표 [0] 2 2 5 2" xfId="2604" xr:uid="{2F651B3B-42DD-4414-A474-E5274895D8BA}"/>
    <cellStyle name="쉼표 [0] 2 2 5 2 2" xfId="3261" xr:uid="{F0580F50-9A82-49BB-B88B-DFAAE0036086}"/>
    <cellStyle name="쉼표 [0] 2 2 5 2 2 2" xfId="4632" xr:uid="{6BF64C42-9CB0-4CE6-911A-2062184501CB}"/>
    <cellStyle name="쉼표 [0] 2 2 5 2 3" xfId="3978" xr:uid="{870CB83B-E128-4231-A127-62A34DECD162}"/>
    <cellStyle name="쉼표 [0] 2 2 5 3" xfId="2934" xr:uid="{8591CE3C-0B59-49AD-9476-9C76C4FA30EC}"/>
    <cellStyle name="쉼표 [0] 2 2 5 3 2" xfId="4305" xr:uid="{E22F0662-CCAA-4D3A-8C12-1277D52C0277}"/>
    <cellStyle name="쉼표 [0] 2 2 5 4" xfId="3651" xr:uid="{C85E1F00-AB1A-48AA-BDB6-7B928AD000EE}"/>
    <cellStyle name="쉼표 [0] 2 2 6" xfId="2268" xr:uid="{A51132C7-1F04-4022-AC4A-49C54AF8479D}"/>
    <cellStyle name="쉼표 [0] 2 2 6 2" xfId="2611" xr:uid="{CEE61A48-C6EF-4377-AF98-AF2868D3971D}"/>
    <cellStyle name="쉼표 [0] 2 2 6 2 2" xfId="3268" xr:uid="{E2788746-0E33-4F98-B1CB-077236E78093}"/>
    <cellStyle name="쉼표 [0] 2 2 6 2 2 2" xfId="4639" xr:uid="{C23A47F3-14E3-4833-9871-737FE2C60B5F}"/>
    <cellStyle name="쉼표 [0] 2 2 6 2 3" xfId="3985" xr:uid="{98689044-06D1-446C-B33F-D3ECBF04DEAF}"/>
    <cellStyle name="쉼표 [0] 2 2 6 3" xfId="2941" xr:uid="{16E7664A-7A7B-44E8-A606-E5C0F5E5FBBA}"/>
    <cellStyle name="쉼표 [0] 2 2 6 3 2" xfId="4312" xr:uid="{04386AB9-B2C2-403B-B6C9-B0E70C97D3DA}"/>
    <cellStyle name="쉼표 [0] 2 2 6 4" xfId="3658" xr:uid="{E74F0B79-4847-4A2F-8738-BE21C9E26F79}"/>
    <cellStyle name="쉼표 [0] 2 2 7" xfId="2275" xr:uid="{90E4A13E-C7CE-4EFD-95CB-A8947BE240C6}"/>
    <cellStyle name="쉼표 [0] 2 2 7 2" xfId="2618" xr:uid="{38220265-8625-434B-8C12-285E0703260E}"/>
    <cellStyle name="쉼표 [0] 2 2 7 2 2" xfId="3275" xr:uid="{3B7F4972-106A-44B9-8E2B-921698C316C3}"/>
    <cellStyle name="쉼표 [0] 2 2 7 2 2 2" xfId="4646" xr:uid="{1E07D0D8-5FEA-4738-8D77-F7850186BAEC}"/>
    <cellStyle name="쉼표 [0] 2 2 7 2 3" xfId="3992" xr:uid="{03950371-252E-4237-B8F3-754C6BE93BE9}"/>
    <cellStyle name="쉼표 [0] 2 2 7 3" xfId="2948" xr:uid="{2FCDBD6B-B1A9-4133-A93C-0EE2874065B3}"/>
    <cellStyle name="쉼표 [0] 2 2 7 3 2" xfId="4319" xr:uid="{D5943534-1CFC-436F-AB3D-EEF38760F7CE}"/>
    <cellStyle name="쉼표 [0] 2 2 7 4" xfId="3665" xr:uid="{2957CC1F-020F-4A49-BF30-98128BD267CE}"/>
    <cellStyle name="쉼표 [0] 2 2 8" xfId="2282" xr:uid="{2453FAC8-FB8D-468F-A3DE-B6E120D4CD0B}"/>
    <cellStyle name="쉼표 [0] 2 2 8 2" xfId="2625" xr:uid="{84CF8516-94D1-421C-8BF8-0208846D286F}"/>
    <cellStyle name="쉼표 [0] 2 2 8 2 2" xfId="3282" xr:uid="{9E74ACFD-AF19-4553-947D-03745976CEDF}"/>
    <cellStyle name="쉼표 [0] 2 2 8 2 2 2" xfId="4653" xr:uid="{74B9A5BA-8C80-4CF5-8452-0D5446E8465A}"/>
    <cellStyle name="쉼표 [0] 2 2 8 2 3" xfId="3999" xr:uid="{6D7115C1-A68E-4C6D-A9A2-0F397ADF9C1F}"/>
    <cellStyle name="쉼표 [0] 2 2 8 3" xfId="2955" xr:uid="{F9253963-1D51-4437-80B4-17453CDAEEEC}"/>
    <cellStyle name="쉼표 [0] 2 2 8 3 2" xfId="4326" xr:uid="{6CF42D7D-F57A-4B07-ACD9-9F20035DACA8}"/>
    <cellStyle name="쉼표 [0] 2 2 8 4" xfId="3672" xr:uid="{DF27A285-A90B-430B-850C-3D2147DF4588}"/>
    <cellStyle name="쉼표 [0] 2 2 9" xfId="2289" xr:uid="{558CFFC1-6BDC-42A5-BBA1-956802CA4737}"/>
    <cellStyle name="쉼표 [0] 2 2 9 2" xfId="2631" xr:uid="{209D9B08-569B-494D-9F02-B48B2CCD54D1}"/>
    <cellStyle name="쉼표 [0] 2 2 9 2 2" xfId="3288" xr:uid="{429AC7AA-2A89-4AF9-BCCB-F434A31BA99A}"/>
    <cellStyle name="쉼표 [0] 2 2 9 2 2 2" xfId="4659" xr:uid="{8106BFCB-ED40-41A4-9440-11198EAB1AC8}"/>
    <cellStyle name="쉼표 [0] 2 2 9 2 3" xfId="4005" xr:uid="{20E07E8F-41E4-4216-B9CF-33FA911FF2D5}"/>
    <cellStyle name="쉼표 [0] 2 2 9 3" xfId="2961" xr:uid="{B8EB246F-60A2-4439-B0C7-77ECACE370DE}"/>
    <cellStyle name="쉼표 [0] 2 2 9 3 2" xfId="4332" xr:uid="{540F0CA7-C0A5-44EA-9F65-52BDF5EE85CC}"/>
    <cellStyle name="쉼표 [0] 2 2 9 4" xfId="3678" xr:uid="{77332640-A0BB-45AB-B6F9-7E2AA407E630}"/>
    <cellStyle name="쉼표 [0] 2 20" xfId="245" xr:uid="{2F1CE5E5-1E3A-4401-A01C-8A83E5EBF838}"/>
    <cellStyle name="쉼표 [0] 2 20 2" xfId="3484" xr:uid="{BB44DED2-72E9-4FD8-A6F4-D5C2B1D52BE5}"/>
    <cellStyle name="쉼표 [0] 2 21" xfId="241" xr:uid="{01DE6941-B4CA-4989-A1DA-1B813FF1F2F3}"/>
    <cellStyle name="쉼표 [0] 2 22" xfId="3480" xr:uid="{53E4FBB1-0739-47A4-BFCA-B05B6D9792A5}"/>
    <cellStyle name="쉼표 [0] 2 3" xfId="264" xr:uid="{4C606080-7AE7-4BA1-A811-111A57D276F2}"/>
    <cellStyle name="쉼표 [0] 2 3 10" xfId="2799" xr:uid="{C34305CB-AAE9-4B7A-9C4A-E8297FD939B9}"/>
    <cellStyle name="쉼표 [0] 2 3 10 2" xfId="4173" xr:uid="{358C3802-58A1-42BE-9494-BEBF0E1A6E7F}"/>
    <cellStyle name="쉼표 [0] 2 3 11" xfId="282" xr:uid="{07A7D861-54D1-43F9-BD29-BC84CDA737A9}"/>
    <cellStyle name="쉼표 [0] 2 3 11 2" xfId="3506" xr:uid="{48FD9D9E-110D-43E4-9F8E-4E3FBF68E176}"/>
    <cellStyle name="쉼표 [0] 2 3 12" xfId="3493" xr:uid="{2DFB51CD-858C-4446-A782-E481834F8AF3}"/>
    <cellStyle name="쉼표 [0] 2 3 2" xfId="283" xr:uid="{B08D8B62-F611-4764-B7E1-C48947AA40D5}"/>
    <cellStyle name="쉼표 [0] 2 3 2 10" xfId="3507" xr:uid="{9CC0C980-5C37-45A5-A819-A8228623341B}"/>
    <cellStyle name="쉼표 [0] 2 3 2 2" xfId="298" xr:uid="{7B25C7A8-05FB-4D5D-AADC-DB2D3D6FE10F}"/>
    <cellStyle name="쉼표 [0] 2 3 2 2 2" xfId="2291" xr:uid="{DE854255-D1B0-49E4-8981-9957F9380505}"/>
    <cellStyle name="쉼표 [0] 2 3 2 2 2 2" xfId="2633" xr:uid="{0C33C477-AB4B-4F6C-A27A-4781182F797E}"/>
    <cellStyle name="쉼표 [0] 2 3 2 2 2 2 2" xfId="3290" xr:uid="{A9030B0D-48A5-4316-8C05-219A4764D22F}"/>
    <cellStyle name="쉼표 [0] 2 3 2 2 2 2 2 2" xfId="4661" xr:uid="{74764779-0F0B-4485-97A6-8526723796B5}"/>
    <cellStyle name="쉼표 [0] 2 3 2 2 2 2 3" xfId="4007" xr:uid="{65CF85D4-3B8A-48A7-9F94-DA0F426E02A7}"/>
    <cellStyle name="쉼표 [0] 2 3 2 2 2 3" xfId="2963" xr:uid="{ED5087F3-B66A-48C8-9A4D-2E37B225F41E}"/>
    <cellStyle name="쉼표 [0] 2 3 2 2 2 3 2" xfId="4334" xr:uid="{68430DA8-ACEB-4F60-BEBE-4ADBDF1F0D8A}"/>
    <cellStyle name="쉼표 [0] 2 3 2 2 2 4" xfId="3680" xr:uid="{11DE3175-6CDD-4D0D-8B29-ECFF9C511A01}"/>
    <cellStyle name="쉼표 [0] 2 3 2 2 3" xfId="2487" xr:uid="{D8D7471F-74DC-4E96-A143-A12885639C83}"/>
    <cellStyle name="쉼표 [0] 2 3 2 2 3 2" xfId="3144" xr:uid="{E154D71F-D54A-4941-971E-375720184DC4}"/>
    <cellStyle name="쉼표 [0] 2 3 2 2 3 2 2" xfId="4515" xr:uid="{E9119AA0-5518-48D6-84A9-81370627C0AB}"/>
    <cellStyle name="쉼표 [0] 2 3 2 2 3 3" xfId="3861" xr:uid="{1302B1C2-B217-4515-AF8A-E5C87036C606}"/>
    <cellStyle name="쉼표 [0] 2 3 2 2 4" xfId="2814" xr:uid="{E6FA9183-6626-4567-A0BD-D48083D3FC9E}"/>
    <cellStyle name="쉼표 [0] 2 3 2 2 4 2" xfId="4188" xr:uid="{E6FEC2CC-951E-45E2-A2F7-7A0647677040}"/>
    <cellStyle name="쉼표 [0] 2 3 2 2 5" xfId="3521" xr:uid="{72EE7CA1-9AE8-4114-BB94-A7BDFD58D125}"/>
    <cellStyle name="쉼표 [0] 2 3 2 3" xfId="2311" xr:uid="{235E700A-F1C0-4B48-BE04-1798DC9FD5EC}"/>
    <cellStyle name="쉼표 [0] 2 3 2 3 2" xfId="2648" xr:uid="{16CE077A-AAE5-4B2B-9F8C-A7B93D7AB724}"/>
    <cellStyle name="쉼표 [0] 2 3 2 3 2 2" xfId="3305" xr:uid="{003B4BEE-1253-4626-9DF4-ADA2CA2D68C8}"/>
    <cellStyle name="쉼표 [0] 2 3 2 3 2 2 2" xfId="4676" xr:uid="{8EA3A68F-A229-412C-AB62-93F15D9F81C3}"/>
    <cellStyle name="쉼표 [0] 2 3 2 3 2 3" xfId="4022" xr:uid="{BB905EAB-D1B2-44A9-8A4A-29661EF77EFD}"/>
    <cellStyle name="쉼표 [0] 2 3 2 3 3" xfId="2978" xr:uid="{FC541AB6-4887-4B76-A407-A238AA5D7B86}"/>
    <cellStyle name="쉼표 [0] 2 3 2 3 3 2" xfId="4349" xr:uid="{76E68DE5-0F56-4881-B55F-15C0B422657F}"/>
    <cellStyle name="쉼표 [0] 2 3 2 3 4" xfId="3695" xr:uid="{DD988A5B-A36F-44A6-82FF-ACD55C642E9C}"/>
    <cellStyle name="쉼표 [0] 2 3 2 4" xfId="2322" xr:uid="{20D19A0D-BE66-4DAE-B136-632A2807557D}"/>
    <cellStyle name="쉼표 [0] 2 3 2 4 2" xfId="2659" xr:uid="{7BD46BDF-B656-41A5-A9A0-A9805CDCAB89}"/>
    <cellStyle name="쉼표 [0] 2 3 2 4 2 2" xfId="3316" xr:uid="{D0E12151-FB12-4679-8AA6-18658E00C197}"/>
    <cellStyle name="쉼표 [0] 2 3 2 4 2 2 2" xfId="4687" xr:uid="{72B79665-6C56-4DF7-83F3-86CF435E6306}"/>
    <cellStyle name="쉼표 [0] 2 3 2 4 2 3" xfId="4033" xr:uid="{12B23AA7-3CA8-4B55-AFD9-C70FB05472A2}"/>
    <cellStyle name="쉼표 [0] 2 3 2 4 3" xfId="2989" xr:uid="{F86CAF04-70BF-467F-8654-FC13A8824A70}"/>
    <cellStyle name="쉼표 [0] 2 3 2 4 3 2" xfId="4360" xr:uid="{EA2DE42C-6A45-4222-A2BD-36B795037AAB}"/>
    <cellStyle name="쉼표 [0] 2 3 2 4 4" xfId="3706" xr:uid="{8C3F6EE4-3034-48F6-BDB7-81A605579E2D}"/>
    <cellStyle name="쉼표 [0] 2 3 2 5" xfId="2337" xr:uid="{75148283-BBEC-48C3-8C33-1923A624B0C9}"/>
    <cellStyle name="쉼표 [0] 2 3 2 5 2" xfId="2674" xr:uid="{72B7436E-EF59-4738-9BFF-B70AB1D4ACFD}"/>
    <cellStyle name="쉼표 [0] 2 3 2 5 2 2" xfId="3331" xr:uid="{34E31AF3-F886-4973-85A4-F4FFC040ECDC}"/>
    <cellStyle name="쉼표 [0] 2 3 2 5 2 2 2" xfId="4702" xr:uid="{1582E700-D179-463C-93B6-77D9DB442921}"/>
    <cellStyle name="쉼표 [0] 2 3 2 5 2 3" xfId="4048" xr:uid="{0F4D0BE1-BFEF-4148-9CEB-BCAC7060655F}"/>
    <cellStyle name="쉼표 [0] 2 3 2 5 3" xfId="3004" xr:uid="{5427073A-6074-4751-A6BF-9AF7990AA721}"/>
    <cellStyle name="쉼표 [0] 2 3 2 5 3 2" xfId="4375" xr:uid="{67A2D3E1-BC63-4272-A0FB-67AE7EAF0506}"/>
    <cellStyle name="쉼표 [0] 2 3 2 5 4" xfId="3721" xr:uid="{07FD55D6-FBF1-4BA3-8032-B0EAB0C59929}"/>
    <cellStyle name="쉼표 [0] 2 3 2 6" xfId="2371" xr:uid="{1FAFAA58-FCE5-48A4-BEA6-0A0CFCE8C888}"/>
    <cellStyle name="쉼표 [0] 2 3 2 6 2" xfId="2708" xr:uid="{CC78068E-7CDB-40A5-BD1D-89E4E5E3ABC0}"/>
    <cellStyle name="쉼표 [0] 2 3 2 6 2 2" xfId="3365" xr:uid="{8702285E-EEEF-4169-8188-96E3B04B448C}"/>
    <cellStyle name="쉼표 [0] 2 3 2 6 2 2 2" xfId="4736" xr:uid="{54A765B4-5B8C-411E-8D5E-9CB1FA5E2AFD}"/>
    <cellStyle name="쉼표 [0] 2 3 2 6 2 3" xfId="4082" xr:uid="{00773C50-84B4-4531-8082-6D02D495196A}"/>
    <cellStyle name="쉼표 [0] 2 3 2 6 3" xfId="3038" xr:uid="{987D3D41-F796-4FBE-BC3C-7F058D89D70E}"/>
    <cellStyle name="쉼표 [0] 2 3 2 6 3 2" xfId="4409" xr:uid="{F3C927C3-5963-45DE-BEDA-EBB5C4AFC37D}"/>
    <cellStyle name="쉼표 [0] 2 3 2 6 4" xfId="3755" xr:uid="{8F9A0746-4211-4088-B9AB-30E43268CE95}"/>
    <cellStyle name="쉼표 [0] 2 3 2 7" xfId="1860" xr:uid="{77E834AF-4A26-41F2-87CD-FC6822F55113}"/>
    <cellStyle name="쉼표 [0] 2 3 2 7 2" xfId="2516" xr:uid="{C90F7F6B-7CA7-412B-B262-F8BFE5DA97F1}"/>
    <cellStyle name="쉼표 [0] 2 3 2 7 2 2" xfId="3173" xr:uid="{9F17FBFA-2914-4E57-B974-F964440DB6F4}"/>
    <cellStyle name="쉼표 [0] 2 3 2 7 2 2 2" xfId="4544" xr:uid="{E75E6282-32D7-4C73-99AD-3F2CC42D6820}"/>
    <cellStyle name="쉼표 [0] 2 3 2 7 2 3" xfId="3890" xr:uid="{40EFC282-03BB-4538-93F8-8AE5B3E4348E}"/>
    <cellStyle name="쉼표 [0] 2 3 2 7 3" xfId="2846" xr:uid="{59DF638D-3CFB-4162-984C-A1A1722E17DF}"/>
    <cellStyle name="쉼표 [0] 2 3 2 7 3 2" xfId="4217" xr:uid="{ED01EC85-BB0A-43DC-AA05-05625DAE51B4}"/>
    <cellStyle name="쉼표 [0] 2 3 2 7 4" xfId="3559" xr:uid="{58F2B09E-19FF-4706-A627-B9C9B4D3CCE2}"/>
    <cellStyle name="쉼표 [0] 2 3 2 8" xfId="2473" xr:uid="{232AFBC6-2ACC-43C4-AB85-BEE7E09F10E6}"/>
    <cellStyle name="쉼표 [0] 2 3 2 8 2" xfId="3130" xr:uid="{96F40C48-D579-4DF5-89FB-59B65F4F83B1}"/>
    <cellStyle name="쉼표 [0] 2 3 2 8 2 2" xfId="4501" xr:uid="{70B21ECC-1C7F-4C1E-83AB-D49A4054150E}"/>
    <cellStyle name="쉼표 [0] 2 3 2 8 3" xfId="3847" xr:uid="{B01C4DD6-86B5-439A-B06B-80ACC673591D}"/>
    <cellStyle name="쉼표 [0] 2 3 2 9" xfId="2800" xr:uid="{F21DCCC4-21E8-48DF-95BB-E2A758F7BEA2}"/>
    <cellStyle name="쉼표 [0] 2 3 2 9 2" xfId="4174" xr:uid="{38A6B905-B1AE-49BC-80AB-F854FDA31EEF}"/>
    <cellStyle name="쉼표 [0] 2 3 3" xfId="297" xr:uid="{9F814261-3C5C-47A1-AE2E-99EF984A7709}"/>
    <cellStyle name="쉼표 [0] 2 3 3 2" xfId="1859" xr:uid="{10041C7F-B272-46D9-9E06-1D9B1FDC0C96}"/>
    <cellStyle name="쉼표 [0] 2 3 3 2 2" xfId="2515" xr:uid="{430E0764-25EA-4A29-82D9-A15D6446B822}"/>
    <cellStyle name="쉼표 [0] 2 3 3 2 2 2" xfId="3172" xr:uid="{4A35BDB3-6739-474B-9D7D-C4D70A5298BA}"/>
    <cellStyle name="쉼표 [0] 2 3 3 2 2 2 2" xfId="4543" xr:uid="{7E44C414-AE9D-4D8A-859B-0A072969F59F}"/>
    <cellStyle name="쉼표 [0] 2 3 3 2 2 3" xfId="3889" xr:uid="{E1B7ED04-4DD8-4AC3-BD26-085134AB25BF}"/>
    <cellStyle name="쉼표 [0] 2 3 3 2 3" xfId="2845" xr:uid="{B989AE41-4417-4FEE-B0F0-2EC0D85411B0}"/>
    <cellStyle name="쉼표 [0] 2 3 3 2 3 2" xfId="4216" xr:uid="{1B254456-41D5-4AF4-A1FA-2C3E195E874C}"/>
    <cellStyle name="쉼표 [0] 2 3 3 2 4" xfId="3558" xr:uid="{46E9B3B9-7135-46ED-BA4A-AA0A7AF914D2}"/>
    <cellStyle name="쉼표 [0] 2 3 3 3" xfId="2486" xr:uid="{3533AF08-2E42-4185-9A6A-7C365BC2DC01}"/>
    <cellStyle name="쉼표 [0] 2 3 3 3 2" xfId="3143" xr:uid="{5D12CAA4-BEAF-4F71-9C84-9A2970813E14}"/>
    <cellStyle name="쉼표 [0] 2 3 3 3 2 2" xfId="4514" xr:uid="{2615DECF-9721-4A50-94FF-14A8B9117779}"/>
    <cellStyle name="쉼표 [0] 2 3 3 3 3" xfId="3860" xr:uid="{FFA2E1C4-4E75-48BE-915E-0C288A1D03F7}"/>
    <cellStyle name="쉼표 [0] 2 3 3 4" xfId="2813" xr:uid="{C64DC5ED-5D12-46D5-A996-AD9476A036AC}"/>
    <cellStyle name="쉼표 [0] 2 3 3 4 2" xfId="4187" xr:uid="{175DC03F-8319-4EAD-B335-CBC4084ADE08}"/>
    <cellStyle name="쉼표 [0] 2 3 3 5" xfId="3520" xr:uid="{AC6F8A58-20DA-470C-8B75-FEE3468AF14C}"/>
    <cellStyle name="쉼표 [0] 2 3 4" xfId="2290" xr:uid="{DA9BB6D0-DED5-4423-B1FC-07237EDA4451}"/>
    <cellStyle name="쉼표 [0] 2 3 4 2" xfId="2632" xr:uid="{923F52C9-C7AE-4B20-BE53-F78FA6469627}"/>
    <cellStyle name="쉼표 [0] 2 3 4 2 2" xfId="3289" xr:uid="{A8CF9253-DAE3-4653-82F6-FC6BF744ED90}"/>
    <cellStyle name="쉼표 [0] 2 3 4 2 2 2" xfId="4660" xr:uid="{B2D0F405-C537-45A9-BD76-CB370F599DD9}"/>
    <cellStyle name="쉼표 [0] 2 3 4 2 3" xfId="4006" xr:uid="{FEF8144C-7FD7-400D-B701-7CFCEB2F0B82}"/>
    <cellStyle name="쉼표 [0] 2 3 4 3" xfId="2962" xr:uid="{CED0BCEB-1049-494B-A49C-C4A8EF10F60D}"/>
    <cellStyle name="쉼표 [0] 2 3 4 3 2" xfId="4333" xr:uid="{F60E21A7-4456-4E20-9E52-44EA1E384C0A}"/>
    <cellStyle name="쉼표 [0] 2 3 4 4" xfId="3679" xr:uid="{17D13CB9-39E5-49D6-811C-A592BCB4A9BD}"/>
    <cellStyle name="쉼표 [0] 2 3 5" xfId="2310" xr:uid="{16299F66-5050-43DB-9CFD-E792592B864F}"/>
    <cellStyle name="쉼표 [0] 2 3 5 2" xfId="2647" xr:uid="{7B920C91-8AE9-4941-AB81-8228A52D3C80}"/>
    <cellStyle name="쉼표 [0] 2 3 5 2 2" xfId="3304" xr:uid="{91EF8163-12AC-44C9-81AC-C84A302A6730}"/>
    <cellStyle name="쉼표 [0] 2 3 5 2 2 2" xfId="4675" xr:uid="{78887BA8-9FFF-496F-980A-3585E4E16811}"/>
    <cellStyle name="쉼표 [0] 2 3 5 2 3" xfId="4021" xr:uid="{DE5A9B86-6FD5-48E0-9D73-963FAD900456}"/>
    <cellStyle name="쉼표 [0] 2 3 5 3" xfId="2977" xr:uid="{266F68B8-BEF4-4054-B19A-05AC1BE56315}"/>
    <cellStyle name="쉼표 [0] 2 3 5 3 2" xfId="4348" xr:uid="{C09901B2-0B1C-42D6-A04B-85EAA2EF6939}"/>
    <cellStyle name="쉼표 [0] 2 3 5 4" xfId="3694" xr:uid="{80780C01-46E6-4118-B27D-3A87CD764F25}"/>
    <cellStyle name="쉼표 [0] 2 3 6" xfId="2321" xr:uid="{14D152D5-704B-429E-848E-91EA3B3F2D00}"/>
    <cellStyle name="쉼표 [0] 2 3 6 2" xfId="2658" xr:uid="{D430FF86-ED89-41C6-892F-F082644D0E92}"/>
    <cellStyle name="쉼표 [0] 2 3 6 2 2" xfId="3315" xr:uid="{2D616FFD-9151-4FA3-8A96-354607EBCA8E}"/>
    <cellStyle name="쉼표 [0] 2 3 6 2 2 2" xfId="4686" xr:uid="{9C215AE1-72D9-4A7C-AF59-BF0B3861ECC0}"/>
    <cellStyle name="쉼표 [0] 2 3 6 2 3" xfId="4032" xr:uid="{CFF36D9E-4221-4867-A20E-509F7ABA14CF}"/>
    <cellStyle name="쉼표 [0] 2 3 6 3" xfId="2988" xr:uid="{3B0AB92A-F8DC-47A2-B5EF-29920DF9B12C}"/>
    <cellStyle name="쉼표 [0] 2 3 6 3 2" xfId="4359" xr:uid="{BB33BA42-CD19-4C3B-A91E-5176CE94BDE3}"/>
    <cellStyle name="쉼표 [0] 2 3 6 4" xfId="3705" xr:uid="{8AF93774-EE90-4CCC-83F4-3428FDFBC392}"/>
    <cellStyle name="쉼표 [0] 2 3 7" xfId="2336" xr:uid="{CE1D2CC5-9A82-4632-B296-AE55559D6422}"/>
    <cellStyle name="쉼표 [0] 2 3 7 2" xfId="2673" xr:uid="{B9BCE1B3-E2F9-42FC-B937-79FDB6E1C918}"/>
    <cellStyle name="쉼표 [0] 2 3 7 2 2" xfId="3330" xr:uid="{85711ACD-CE35-400B-90AA-FE355968F1D1}"/>
    <cellStyle name="쉼표 [0] 2 3 7 2 2 2" xfId="4701" xr:uid="{C7C992DE-9AA0-47F1-8C60-087DE0669734}"/>
    <cellStyle name="쉼표 [0] 2 3 7 2 3" xfId="4047" xr:uid="{94A48510-E7DD-4A92-B67A-4FEA62820562}"/>
    <cellStyle name="쉼표 [0] 2 3 7 3" xfId="3003" xr:uid="{F0D51A75-A4D9-42C2-9134-3C0B2F54DE7C}"/>
    <cellStyle name="쉼표 [0] 2 3 7 3 2" xfId="4374" xr:uid="{4F7CFB49-D6B2-498D-AD03-5A8547F3A612}"/>
    <cellStyle name="쉼표 [0] 2 3 7 4" xfId="3720" xr:uid="{9D20FA74-C39C-4EC3-B25B-9396B4847DDE}"/>
    <cellStyle name="쉼표 [0] 2 3 8" xfId="312" xr:uid="{C14F70E4-BEA9-454F-86BC-CBD1320A24A4}"/>
    <cellStyle name="쉼표 [0] 2 3 8 2" xfId="2499" xr:uid="{2D819CF3-F2C2-4588-9BDD-41F970C310E6}"/>
    <cellStyle name="쉼표 [0] 2 3 8 2 2" xfId="3156" xr:uid="{CB2B9BAA-4886-4725-BB28-68AD869FF480}"/>
    <cellStyle name="쉼표 [0] 2 3 8 2 2 2" xfId="4527" xr:uid="{162DF01B-1F7E-4808-8640-0C2C11F88114}"/>
    <cellStyle name="쉼표 [0] 2 3 8 2 3" xfId="3873" xr:uid="{373AE81F-44F3-4A20-BA4B-FDE7F50990FE}"/>
    <cellStyle name="쉼표 [0] 2 3 8 3" xfId="2826" xr:uid="{FBFF38DE-B30E-44DB-805A-BA79072BF4C9}"/>
    <cellStyle name="쉼표 [0] 2 3 8 3 2" xfId="4200" xr:uid="{C382F3CB-3C9A-4278-AAA0-A5373E174DE7}"/>
    <cellStyle name="쉼표 [0] 2 3 8 4" xfId="3533" xr:uid="{8F7933AA-5AED-4E8C-A679-400EBB85870A}"/>
    <cellStyle name="쉼표 [0] 2 3 9" xfId="2472" xr:uid="{FF1BFB37-F6C7-46A6-AE90-644F476C4C2F}"/>
    <cellStyle name="쉼표 [0] 2 3 9 2" xfId="3129" xr:uid="{864BE187-F2FC-4074-AB55-D80189EC352C}"/>
    <cellStyle name="쉼표 [0] 2 3 9 2 2" xfId="4500" xr:uid="{73775D2C-096C-471D-99F8-C324336BECAC}"/>
    <cellStyle name="쉼표 [0] 2 3 9 3" xfId="3846" xr:uid="{A0B9BD9A-AF05-4BEF-BDA1-2BEA64AE19BD}"/>
    <cellStyle name="쉼표 [0] 2 4" xfId="293" xr:uid="{80871A09-25B9-4187-8316-F9F47567BFF4}"/>
    <cellStyle name="쉼표 [0] 2 4 2" xfId="2299" xr:uid="{E37DE2B5-B1F4-4AC6-BBDD-0D445576FEDC}"/>
    <cellStyle name="쉼표 [0] 2 4 2 2" xfId="2640" xr:uid="{5B73FEB6-6E60-4CF0-9D66-61838AD61605}"/>
    <cellStyle name="쉼표 [0] 2 4 2 2 2" xfId="3297" xr:uid="{73CDD1A6-775D-4653-8787-C0A151A2575A}"/>
    <cellStyle name="쉼표 [0] 2 4 2 2 2 2" xfId="4668" xr:uid="{DF31B0B0-0465-4FAB-B539-42E853B03DCF}"/>
    <cellStyle name="쉼표 [0] 2 4 2 2 3" xfId="4014" xr:uid="{6524858F-8CE9-4554-B271-8C600CE68A47}"/>
    <cellStyle name="쉼표 [0] 2 4 2 3" xfId="2970" xr:uid="{2C4EABCB-9E36-47B1-9E22-B22E3D6A0888}"/>
    <cellStyle name="쉼표 [0] 2 4 2 3 2" xfId="4341" xr:uid="{BF0CDC33-EF63-4443-9C8F-40C8CA4693F8}"/>
    <cellStyle name="쉼표 [0] 2 4 2 4" xfId="3687" xr:uid="{B8C29ECE-EAFB-4A99-A56E-145B44856BC2}"/>
    <cellStyle name="쉼표 [0] 2 4 3" xfId="2329" xr:uid="{216C24D5-5170-4F62-82E9-598D99DB78FB}"/>
    <cellStyle name="쉼표 [0] 2 4 3 2" xfId="2666" xr:uid="{CF24D7A2-BB9B-45D2-A658-1D1848751759}"/>
    <cellStyle name="쉼표 [0] 2 4 3 2 2" xfId="3323" xr:uid="{63AB9B81-CCD0-4BFE-8C36-3265FEB12F9B}"/>
    <cellStyle name="쉼표 [0] 2 4 3 2 2 2" xfId="4694" xr:uid="{05644401-01B2-46C8-B20A-9068382944EC}"/>
    <cellStyle name="쉼표 [0] 2 4 3 2 3" xfId="4040" xr:uid="{7F4681FA-385C-4CEB-B8E6-28940FCDCCF1}"/>
    <cellStyle name="쉼표 [0] 2 4 3 3" xfId="2996" xr:uid="{618AF6FC-A951-4527-B0C4-BEC8E35626E0}"/>
    <cellStyle name="쉼표 [0] 2 4 3 3 2" xfId="4367" xr:uid="{6E14F866-3D2E-4908-9FD0-A777A2DD7269}"/>
    <cellStyle name="쉼표 [0] 2 4 3 4" xfId="3713" xr:uid="{846B79BD-2013-4D9D-AEE9-44B297A08181}"/>
    <cellStyle name="쉼표 [0] 2 4 4" xfId="2344" xr:uid="{A4451E1D-0F5E-40AD-8AD0-2CF2EE75DF24}"/>
    <cellStyle name="쉼표 [0] 2 4 4 2" xfId="2681" xr:uid="{FEF4D016-991A-4A94-912D-46D138EDABB8}"/>
    <cellStyle name="쉼표 [0] 2 4 4 2 2" xfId="3338" xr:uid="{678A8D3B-297D-4F32-B0E5-698B731C124C}"/>
    <cellStyle name="쉼표 [0] 2 4 4 2 2 2" xfId="4709" xr:uid="{C309CC71-26CC-4179-8D59-19D218E87346}"/>
    <cellStyle name="쉼표 [0] 2 4 4 2 3" xfId="4055" xr:uid="{CA8C0CD4-698E-4A4D-915A-5CA8F195A824}"/>
    <cellStyle name="쉼표 [0] 2 4 4 3" xfId="3011" xr:uid="{ABA8FE29-798E-4D50-9C9E-1BFDFD2BEA1F}"/>
    <cellStyle name="쉼표 [0] 2 4 4 3 2" xfId="4382" xr:uid="{3B3689D2-6F43-4B07-A68B-46673A2E8C50}"/>
    <cellStyle name="쉼표 [0] 2 4 4 4" xfId="3728" xr:uid="{9A2BCF8D-B4AB-4C8B-A940-3D575998A3C6}"/>
    <cellStyle name="쉼표 [0] 2 4 5" xfId="2372" xr:uid="{859CA0C4-4A2C-4D89-83FF-EB41DF26AF6A}"/>
    <cellStyle name="쉼표 [0] 2 4 5 2" xfId="2709" xr:uid="{B1B8575C-8D32-4E7F-A61B-B50F89F3FE8A}"/>
    <cellStyle name="쉼표 [0] 2 4 5 2 2" xfId="3366" xr:uid="{5F7BD525-C573-415C-8D03-61E372EAFD6D}"/>
    <cellStyle name="쉼표 [0] 2 4 5 2 2 2" xfId="4737" xr:uid="{810378A0-95D7-46B3-B15F-2DB147B9C3D0}"/>
    <cellStyle name="쉼표 [0] 2 4 5 2 3" xfId="4083" xr:uid="{CD1A551E-2973-473F-8694-B895877DD6B4}"/>
    <cellStyle name="쉼표 [0] 2 4 5 3" xfId="3039" xr:uid="{2397FD6C-DCB2-45F7-A897-3D4166B1C251}"/>
    <cellStyle name="쉼표 [0] 2 4 5 3 2" xfId="4410" xr:uid="{EB4AC64D-F986-4B9C-A9EB-C07C2E782C90}"/>
    <cellStyle name="쉼표 [0] 2 4 5 4" xfId="3756" xr:uid="{DB697E73-D0CA-4BF6-89AC-05A8A1892CBA}"/>
    <cellStyle name="쉼표 [0] 2 4 6" xfId="1861" xr:uid="{98439627-3FA2-4433-8CF4-D21AED5B38D6}"/>
    <cellStyle name="쉼표 [0] 2 4 6 2" xfId="2517" xr:uid="{0ADD8C1A-13CC-4A29-A164-0EF800FA14D0}"/>
    <cellStyle name="쉼표 [0] 2 4 6 2 2" xfId="3174" xr:uid="{E36CCC3D-0BE2-4EFD-9984-45F40DAE2E0A}"/>
    <cellStyle name="쉼표 [0] 2 4 6 2 2 2" xfId="4545" xr:uid="{F1658E69-023C-41FE-9363-C887721413B1}"/>
    <cellStyle name="쉼표 [0] 2 4 6 2 3" xfId="3891" xr:uid="{EE0D87BF-132F-4197-9B12-DB08BF1AD74E}"/>
    <cellStyle name="쉼표 [0] 2 4 6 3" xfId="2847" xr:uid="{D2F089F3-C0A1-4F88-96D0-E739C17DDC66}"/>
    <cellStyle name="쉼표 [0] 2 4 6 3 2" xfId="4218" xr:uid="{5F7F4F8E-D89A-4164-821E-9146ECAED18C}"/>
    <cellStyle name="쉼표 [0] 2 4 6 4" xfId="3560" xr:uid="{D913E822-9A37-4CB2-9CAD-97A7135EFAF5}"/>
    <cellStyle name="쉼표 [0] 2 4 7" xfId="2482" xr:uid="{E100362C-2F4D-4BCD-AD07-F8663797DF04}"/>
    <cellStyle name="쉼표 [0] 2 4 7 2" xfId="3139" xr:uid="{38C41E96-EAF1-4027-8F41-79F5DFE71118}"/>
    <cellStyle name="쉼표 [0] 2 4 7 2 2" xfId="4510" xr:uid="{7317EA25-44DB-4D5E-AA34-C104BB9770DD}"/>
    <cellStyle name="쉼표 [0] 2 4 7 3" xfId="3856" xr:uid="{79A6A45E-3B70-4D12-A132-9F914E55698E}"/>
    <cellStyle name="쉼표 [0] 2 4 8" xfId="2809" xr:uid="{5430ADCE-EEDE-4E63-97A2-76B3F55A9F94}"/>
    <cellStyle name="쉼표 [0] 2 4 8 2" xfId="4183" xr:uid="{7529E70C-962B-46DA-A4E3-5F5B507F36BD}"/>
    <cellStyle name="쉼표 [0] 2 4 9" xfId="3516" xr:uid="{7EB425DF-46F2-4A7B-BA7A-0C8D4CD5D8AC}"/>
    <cellStyle name="쉼표 [0] 2 5" xfId="1855" xr:uid="{296F42CA-2A22-4897-B440-553AA6B4DE0B}"/>
    <cellStyle name="쉼표 [0] 2 5 2" xfId="2373" xr:uid="{6F0D81B1-1D8B-4A85-A5EF-0F21D37F3C86}"/>
    <cellStyle name="쉼표 [0] 2 5 2 2" xfId="2710" xr:uid="{E19722DA-2018-445F-B5A5-53E1095144B4}"/>
    <cellStyle name="쉼표 [0] 2 5 2 2 2" xfId="3367" xr:uid="{D625D5D9-429E-4E1B-93BB-129F728D1D32}"/>
    <cellStyle name="쉼표 [0] 2 5 2 2 2 2" xfId="4738" xr:uid="{055DDE8B-1BFB-47B6-AC48-CD2FF04ED522}"/>
    <cellStyle name="쉼표 [0] 2 5 2 2 3" xfId="4084" xr:uid="{827B3A2D-A35D-44E0-8CDE-9B4F55D8E2DE}"/>
    <cellStyle name="쉼표 [0] 2 5 2 3" xfId="3040" xr:uid="{1C46BA5D-B66D-479F-88ED-7E816711349B}"/>
    <cellStyle name="쉼표 [0] 2 5 2 3 2" xfId="4411" xr:uid="{B852849F-592E-4F60-8386-0499C694AB69}"/>
    <cellStyle name="쉼표 [0] 2 5 2 4" xfId="3757" xr:uid="{69507631-7066-4569-B204-47E6D725365A}"/>
    <cellStyle name="쉼표 [0] 2 5 3" xfId="2511" xr:uid="{110DB395-B5F1-4571-9EA3-D6A9C515106B}"/>
    <cellStyle name="쉼표 [0] 2 5 3 2" xfId="3168" xr:uid="{9235AFFB-0FF4-46C0-9AAA-3E2FD32C151B}"/>
    <cellStyle name="쉼표 [0] 2 5 3 2 2" xfId="4539" xr:uid="{4CF7E84E-8AA6-4181-9230-B252DCBD4DD4}"/>
    <cellStyle name="쉼표 [0] 2 5 3 3" xfId="3885" xr:uid="{A198883F-5298-4A4B-9D71-F08DC6495A88}"/>
    <cellStyle name="쉼표 [0] 2 5 4" xfId="2841" xr:uid="{E9F2A5A4-9FCF-4D4F-B468-CAC58E95F716}"/>
    <cellStyle name="쉼표 [0] 2 5 4 2" xfId="4212" xr:uid="{7CAA3284-5EE9-46ED-A7C7-D627164AB79D}"/>
    <cellStyle name="쉼표 [0] 2 5 5" xfId="3554" xr:uid="{55458436-39C8-486F-87E2-25EB323C039D}"/>
    <cellStyle name="쉼표 [0] 2 6" xfId="2258" xr:uid="{E138B704-162C-4EDB-930E-89B5EEBCB773}"/>
    <cellStyle name="쉼표 [0] 2 6 2" xfId="2601" xr:uid="{B380D19F-8B11-4CE5-BB77-1083877BA0A2}"/>
    <cellStyle name="쉼표 [0] 2 6 2 2" xfId="3258" xr:uid="{5319BF18-F28A-4FDA-AD28-D38D4C364C18}"/>
    <cellStyle name="쉼표 [0] 2 6 2 2 2" xfId="4629" xr:uid="{7AE58FF7-D626-4A88-B320-9AF8D64AC25B}"/>
    <cellStyle name="쉼표 [0] 2 6 2 3" xfId="3975" xr:uid="{C832727C-0D9E-4C4A-85DD-F14D2D60A3D5}"/>
    <cellStyle name="쉼표 [0] 2 6 3" xfId="2931" xr:uid="{19EAE4CE-3CFE-4A5E-A0EE-8C14C296FBD7}"/>
    <cellStyle name="쉼표 [0] 2 6 3 2" xfId="4302" xr:uid="{BBC17B13-E5CA-41A6-9FCB-FE34B6B6D69B}"/>
    <cellStyle name="쉼표 [0] 2 6 4" xfId="3648" xr:uid="{8039347C-3518-4B13-81B7-20ABEE705FFC}"/>
    <cellStyle name="쉼표 [0] 2 7" xfId="2265" xr:uid="{4FF42242-9734-46F9-9820-BECDBFADBFA2}"/>
    <cellStyle name="쉼표 [0] 2 7 2" xfId="2608" xr:uid="{B390163A-B2B6-4EA5-89D1-47678E6F8460}"/>
    <cellStyle name="쉼표 [0] 2 7 2 2" xfId="3265" xr:uid="{5CBDFC2F-78AE-4E3C-BB60-5BE0A1BD2229}"/>
    <cellStyle name="쉼표 [0] 2 7 2 2 2" xfId="4636" xr:uid="{7C011F8E-4AEC-465D-86F2-44607DB9B8A8}"/>
    <cellStyle name="쉼표 [0] 2 7 2 3" xfId="3982" xr:uid="{7FBA9B53-E61E-4A1C-BE93-DDDDA03B3914}"/>
    <cellStyle name="쉼표 [0] 2 7 3" xfId="2938" xr:uid="{943101DE-F108-4B27-8BB4-15F5A4ABA33D}"/>
    <cellStyle name="쉼표 [0] 2 7 3 2" xfId="4309" xr:uid="{85FEC462-425A-426D-A6AE-B459756DA18B}"/>
    <cellStyle name="쉼표 [0] 2 7 4" xfId="3655" xr:uid="{BF0A82FB-E327-4202-8124-ED1EFF99EA7C}"/>
    <cellStyle name="쉼표 [0] 2 8" xfId="2272" xr:uid="{6952EDF2-73E5-4864-B47E-5AE2034B4F50}"/>
    <cellStyle name="쉼표 [0] 2 8 2" xfId="2615" xr:uid="{393A9FD2-0883-4417-B264-2571C3EAE692}"/>
    <cellStyle name="쉼표 [0] 2 8 2 2" xfId="3272" xr:uid="{52D485F6-DA57-4E10-9043-03190032C784}"/>
    <cellStyle name="쉼표 [0] 2 8 2 2 2" xfId="4643" xr:uid="{19CBA183-B28D-4EE5-8BC6-B39DE2EAFE38}"/>
    <cellStyle name="쉼표 [0] 2 8 2 3" xfId="3989" xr:uid="{A4579428-6E69-4C29-ABF5-0B6EDB2CEEC9}"/>
    <cellStyle name="쉼표 [0] 2 8 3" xfId="2945" xr:uid="{2F0D0ADE-086C-4977-B3F0-A614E4D79254}"/>
    <cellStyle name="쉼표 [0] 2 8 3 2" xfId="4316" xr:uid="{4059B61C-76DB-4CA6-8775-B06CF6E0E2F5}"/>
    <cellStyle name="쉼표 [0] 2 8 4" xfId="3662" xr:uid="{A62623AB-04EC-45E1-AEF8-B188C9948465}"/>
    <cellStyle name="쉼표 [0] 2 9" xfId="2279" xr:uid="{91F92EE0-6C8F-4A87-8EF7-74BDF9A6E0C5}"/>
    <cellStyle name="쉼표 [0] 2 9 2" xfId="2622" xr:uid="{5F04DE3F-BB36-43BE-9BE3-2B5B33FE95B4}"/>
    <cellStyle name="쉼표 [0] 2 9 2 2" xfId="3279" xr:uid="{1DF0231C-2327-4DD3-8FB6-66C7F7AFFCE9}"/>
    <cellStyle name="쉼표 [0] 2 9 2 2 2" xfId="4650" xr:uid="{455EDF06-FEB8-4AD5-875C-3DFFB195612F}"/>
    <cellStyle name="쉼표 [0] 2 9 2 3" xfId="3996" xr:uid="{63E2EF4F-E1E5-4E10-B15B-FFE911556C90}"/>
    <cellStyle name="쉼표 [0] 2 9 3" xfId="2952" xr:uid="{CE5498C3-4513-4A64-BF0A-5A84BF975031}"/>
    <cellStyle name="쉼표 [0] 2 9 3 2" xfId="4323" xr:uid="{F3C190E6-B66C-40C0-B3DA-E00EA5D5B7F1}"/>
    <cellStyle name="쉼표 [0] 2 9 4" xfId="3669" xr:uid="{8BA96E17-FDE8-48F4-B57E-E760FB8E7C71}"/>
    <cellStyle name="쉼표 [0] 20" xfId="2334" xr:uid="{D710F87D-CFFF-4DC8-AC36-8023F63A83C0}"/>
    <cellStyle name="쉼표 [0] 20 2" xfId="2671" xr:uid="{964E1974-FC53-4D7D-95CE-358F4DF12700}"/>
    <cellStyle name="쉼표 [0] 20 2 2" xfId="3328" xr:uid="{AB451762-A671-4A9B-B322-7A7F7CA0A8E0}"/>
    <cellStyle name="쉼표 [0] 20 2 2 2" xfId="4699" xr:uid="{7844D209-CF42-41F9-A9E3-D6D2858BD364}"/>
    <cellStyle name="쉼표 [0] 20 2 3" xfId="4045" xr:uid="{E767ED18-84F8-4209-8EF2-EE76D16B4477}"/>
    <cellStyle name="쉼표 [0] 20 3" xfId="3001" xr:uid="{A2886CDC-34A7-48EE-8099-D0620B91FF51}"/>
    <cellStyle name="쉼표 [0] 20 3 2" xfId="4372" xr:uid="{9C74C6AA-E953-400E-ACE5-837366245116}"/>
    <cellStyle name="쉼표 [0] 20 4" xfId="3718" xr:uid="{6E54D736-2660-4EC6-B665-82737B699DA9}"/>
    <cellStyle name="쉼표 [0] 21" xfId="2347" xr:uid="{4DEF9AB2-5206-4C2B-AB0C-29B5D046E42B}"/>
    <cellStyle name="쉼표 [0] 21 2" xfId="2684" xr:uid="{AB30AC4D-88D1-4D00-B477-13644E4A19B6}"/>
    <cellStyle name="쉼표 [0] 21 2 2" xfId="3341" xr:uid="{977A82C8-58FA-470E-AB13-FC8E0EC6987F}"/>
    <cellStyle name="쉼표 [0] 21 2 2 2" xfId="4712" xr:uid="{8EF19DC5-C335-4FAE-8BA0-D872B30EB032}"/>
    <cellStyle name="쉼표 [0] 21 2 3" xfId="4058" xr:uid="{54AB4D4C-B268-4DD2-99F9-1D5FBDAF1D6B}"/>
    <cellStyle name="쉼표 [0] 21 3" xfId="3014" xr:uid="{6D881BFA-844D-4D95-B00A-76968F4284B5}"/>
    <cellStyle name="쉼표 [0] 21 3 2" xfId="4385" xr:uid="{CAF14D90-09AD-4099-8FFE-4E7CBEFA90BD}"/>
    <cellStyle name="쉼표 [0] 21 4" xfId="3731" xr:uid="{F5E1C792-80B9-4F02-B23D-8385910ED37F}"/>
    <cellStyle name="쉼표 [0] 22" xfId="2348" xr:uid="{4AFAE59E-9EE9-41CB-898D-F91B509518EB}"/>
    <cellStyle name="쉼표 [0] 22 2" xfId="2685" xr:uid="{C8FFF496-CE57-4B6E-91DC-C73DAEC89061}"/>
    <cellStyle name="쉼표 [0] 22 2 2" xfId="3342" xr:uid="{6C9368EC-56FC-431C-962D-0245BFAF16E6}"/>
    <cellStyle name="쉼표 [0] 22 2 2 2" xfId="4713" xr:uid="{5F72CCDC-DF1F-4862-801A-1FC867BB1EBF}"/>
    <cellStyle name="쉼표 [0] 22 2 3" xfId="4059" xr:uid="{5202A655-05CD-4C67-944E-151663DA14F9}"/>
    <cellStyle name="쉼표 [0] 22 3" xfId="3015" xr:uid="{5B4A9733-4209-40A9-843C-797EE47E765A}"/>
    <cellStyle name="쉼표 [0] 22 3 2" xfId="4386" xr:uid="{BFCABC47-8C4E-41A3-8E2A-DCFDA5586E6F}"/>
    <cellStyle name="쉼표 [0] 22 4" xfId="3732" xr:uid="{331B714E-AA7E-4FB2-BA11-81328FFD3433}"/>
    <cellStyle name="쉼표 [0] 23" xfId="2355" xr:uid="{B456C795-9FFC-4BAB-BFB3-9500BCAF5C22}"/>
    <cellStyle name="쉼표 [0] 23 2" xfId="2692" xr:uid="{5B663655-9830-47D0-AA8C-717B8E3F190A}"/>
    <cellStyle name="쉼표 [0] 23 2 2" xfId="3349" xr:uid="{5300EEE3-A954-4FAC-9350-2CD1200093A2}"/>
    <cellStyle name="쉼표 [0] 23 2 2 2" xfId="4720" xr:uid="{99354751-BA0B-41AA-B7BD-B6F1FF57D577}"/>
    <cellStyle name="쉼표 [0] 23 2 3" xfId="4066" xr:uid="{60FA44CC-6492-40F2-BAA3-D9ED738430E6}"/>
    <cellStyle name="쉼표 [0] 23 3" xfId="3022" xr:uid="{7A202E64-1DAA-4CAA-A268-179EBDDEC36B}"/>
    <cellStyle name="쉼표 [0] 23 3 2" xfId="4393" xr:uid="{5DE458F4-799F-47C2-98D5-1AA115303F1A}"/>
    <cellStyle name="쉼표 [0] 23 4" xfId="3739" xr:uid="{8A0EF94C-2FDD-4AD6-A5D0-B00A0496FF1D}"/>
    <cellStyle name="쉼표 [0] 24" xfId="2365" xr:uid="{CA278A72-1E9D-4A66-8B62-4FC6EE1DF051}"/>
    <cellStyle name="쉼표 [0] 24 2" xfId="2702" xr:uid="{A9654018-924E-4953-BCC8-F1FF38D4ABEC}"/>
    <cellStyle name="쉼표 [0] 24 2 2" xfId="3359" xr:uid="{29DD685A-A263-4EE7-8DFC-9E1C0DF90E8C}"/>
    <cellStyle name="쉼표 [0] 24 2 2 2" xfId="4730" xr:uid="{866B0CEB-4349-47B8-A1D0-44DC5F1EB5A5}"/>
    <cellStyle name="쉼표 [0] 24 2 3" xfId="4076" xr:uid="{C30B2B43-234E-4004-BA6C-589FAA9F3813}"/>
    <cellStyle name="쉼표 [0] 24 3" xfId="3032" xr:uid="{506D4AE5-EC86-435D-9537-4BA76F25EC6B}"/>
    <cellStyle name="쉼표 [0] 24 3 2" xfId="4403" xr:uid="{CED19BCD-9958-4C6B-AA25-B829A6C90661}"/>
    <cellStyle name="쉼표 [0] 24 4" xfId="3749" xr:uid="{744D3F47-C6D4-402D-AC39-A0D30000EE34}"/>
    <cellStyle name="쉼표 [0] 25" xfId="310" xr:uid="{7D32DC7E-17BB-4651-86DF-896CC58D15FA}"/>
    <cellStyle name="쉼표 [0] 25 2" xfId="2497" xr:uid="{0263A261-5D83-4274-8CEB-49EC08EEB874}"/>
    <cellStyle name="쉼표 [0] 25 2 2" xfId="3154" xr:uid="{392B2667-5305-4B48-A42D-85F7B721A1CA}"/>
    <cellStyle name="쉼표 [0] 25 2 2 2" xfId="4525" xr:uid="{87EFDEAA-BB08-4590-B8F5-9DDA0A02A4DC}"/>
    <cellStyle name="쉼표 [0] 25 2 3" xfId="3871" xr:uid="{19CCEBC5-2CFA-44F1-8876-1F0E5BBA6D9C}"/>
    <cellStyle name="쉼표 [0] 25 3" xfId="2824" xr:uid="{6BC12C4E-1B7C-484C-8E62-94F1CE1D86AB}"/>
    <cellStyle name="쉼표 [0] 25 3 2" xfId="4198" xr:uid="{009B1BC6-F961-458C-B977-57078BFF1136}"/>
    <cellStyle name="쉼표 [0] 25 4" xfId="3531" xr:uid="{4E1B87EE-D007-44C0-8D8C-0850C7E3AF7B}"/>
    <cellStyle name="쉼표 [0] 26" xfId="2470" xr:uid="{EB056E46-8D3C-49A1-BD40-FB9A01BC4BC8}"/>
    <cellStyle name="쉼표 [0] 26 2" xfId="3127" xr:uid="{41372B61-524D-4993-B0E9-906BA8F6B83C}"/>
    <cellStyle name="쉼표 [0] 26 2 2" xfId="4498" xr:uid="{A92F07C3-4B06-4054-B750-0ECE6643FB5E}"/>
    <cellStyle name="쉼표 [0] 26 3" xfId="3844" xr:uid="{7739B172-4062-4250-B895-80F23B042A63}"/>
    <cellStyle name="쉼표 [0] 27" xfId="2797" xr:uid="{A57C945B-5BF3-4A0A-9D1C-E44FAB4BE68D}"/>
    <cellStyle name="쉼표 [0] 27 2" xfId="4171" xr:uid="{0544F1A2-89AF-4A7A-8862-6D5AEF4BDABC}"/>
    <cellStyle name="쉼표 [0] 28" xfId="279" xr:uid="{7F8F44C6-A713-4EA2-A9B0-9D0C88994C7A}"/>
    <cellStyle name="쉼표 [0] 28 2" xfId="3504" xr:uid="{FE301E33-7275-4425-BD56-54BD709E9B4A}"/>
    <cellStyle name="쉼표 [0] 29" xfId="244" xr:uid="{E583F3EC-EBF4-469B-9510-B36469C3E466}"/>
    <cellStyle name="쉼표 [0] 29 2" xfId="3483" xr:uid="{1E278859-4599-45D3-B326-6A8661C86323}"/>
    <cellStyle name="쉼표 [0] 3" xfId="104" xr:uid="{00000000-0005-0000-0000-000067000000}"/>
    <cellStyle name="쉼표 [0] 3 2" xfId="105" xr:uid="{00000000-0005-0000-0000-000068000000}"/>
    <cellStyle name="쉼표 [0] 3 2 10" xfId="2326" xr:uid="{19B95129-34A3-4CF3-8A6A-91EC73D5DD44}"/>
    <cellStyle name="쉼표 [0] 3 2 10 2" xfId="2663" xr:uid="{D6636D48-9FFB-412B-92DD-C731D760A453}"/>
    <cellStyle name="쉼표 [0] 3 2 10 2 2" xfId="3320" xr:uid="{AA6B9306-4785-4CDE-B6D2-891F2AD338DF}"/>
    <cellStyle name="쉼표 [0] 3 2 10 2 2 2" xfId="4691" xr:uid="{0C68F43A-D24F-4AB5-8221-AB2B9C325C71}"/>
    <cellStyle name="쉼표 [0] 3 2 10 2 3" xfId="4037" xr:uid="{ABF3FE89-1276-4DB1-83A6-AA2D2F778672}"/>
    <cellStyle name="쉼표 [0] 3 2 10 3" xfId="2993" xr:uid="{C5D20CB5-2CB2-4197-8FAD-13F0891F1EB8}"/>
    <cellStyle name="쉼표 [0] 3 2 10 3 2" xfId="4364" xr:uid="{1FEFB5B2-01F6-45A2-8C64-A98936FCF725}"/>
    <cellStyle name="쉼표 [0] 3 2 10 4" xfId="3710" xr:uid="{AADBFB94-ADDD-4E7E-981B-5075A742862F}"/>
    <cellStyle name="쉼표 [0] 3 2 11" xfId="2341" xr:uid="{8E2E3FA8-A6DC-495C-AE9C-805F4DF086F2}"/>
    <cellStyle name="쉼표 [0] 3 2 11 2" xfId="2678" xr:uid="{D7A30B67-235A-4698-AA2B-37551E8F0578}"/>
    <cellStyle name="쉼표 [0] 3 2 11 2 2" xfId="3335" xr:uid="{A61DC1BE-5DA9-4350-94A1-6E1DA4B086C0}"/>
    <cellStyle name="쉼표 [0] 3 2 11 2 2 2" xfId="4706" xr:uid="{463C9DD9-92EE-4C55-8535-A22259F00D75}"/>
    <cellStyle name="쉼표 [0] 3 2 11 2 3" xfId="4052" xr:uid="{38D12277-D300-4FD0-99BB-8779A1B5802A}"/>
    <cellStyle name="쉼표 [0] 3 2 11 3" xfId="3008" xr:uid="{39FA9519-0DC5-42EF-A891-4478F6E55F01}"/>
    <cellStyle name="쉼표 [0] 3 2 11 3 2" xfId="4379" xr:uid="{96386588-D5A0-445B-9430-773C36CD5FBE}"/>
    <cellStyle name="쉼표 [0] 3 2 11 4" xfId="3725" xr:uid="{E9CD3EA7-C8A4-40D4-B2EC-172834086206}"/>
    <cellStyle name="쉼표 [0] 3 2 12" xfId="2354" xr:uid="{C42EEFCC-427E-4969-9889-923EBEAA2BD3}"/>
    <cellStyle name="쉼표 [0] 3 2 12 2" xfId="2691" xr:uid="{B75234D1-64BB-4015-A065-354F786EA665}"/>
    <cellStyle name="쉼표 [0] 3 2 12 2 2" xfId="3348" xr:uid="{EDC169D4-DAC9-4344-82B7-F75951BC2CE4}"/>
    <cellStyle name="쉼표 [0] 3 2 12 2 2 2" xfId="4719" xr:uid="{7DFE00B0-820F-4CE0-9DCA-EBF640BED6EA}"/>
    <cellStyle name="쉼표 [0] 3 2 12 2 3" xfId="4065" xr:uid="{7018910F-770D-41A8-BF7B-2F89A3B0DC70}"/>
    <cellStyle name="쉼표 [0] 3 2 12 3" xfId="3021" xr:uid="{5AFFA592-5DD3-4C00-BEA4-3530A6907E42}"/>
    <cellStyle name="쉼표 [0] 3 2 12 3 2" xfId="4392" xr:uid="{C1DD0C08-4757-41A5-BBA2-4BBD153EE9E4}"/>
    <cellStyle name="쉼표 [0] 3 2 12 4" xfId="3738" xr:uid="{28AAA649-C44F-4C6A-BD41-4CD14C61F823}"/>
    <cellStyle name="쉼표 [0] 3 2 13" xfId="2361" xr:uid="{0D10FA92-FA4E-4458-8B54-95EAA5841F01}"/>
    <cellStyle name="쉼표 [0] 3 2 13 2" xfId="2698" xr:uid="{6EB1A0E3-8C23-44FF-B863-888984292D99}"/>
    <cellStyle name="쉼표 [0] 3 2 13 2 2" xfId="3355" xr:uid="{558FBBFE-8951-4944-8F43-070037C3F7DC}"/>
    <cellStyle name="쉼표 [0] 3 2 13 2 2 2" xfId="4726" xr:uid="{AAF93552-B4C2-450E-AF23-28F52468FD0D}"/>
    <cellStyle name="쉼표 [0] 3 2 13 2 3" xfId="4072" xr:uid="{39ED631D-B823-4CBB-AA96-BE5FADC25F35}"/>
    <cellStyle name="쉼표 [0] 3 2 13 3" xfId="3028" xr:uid="{1965A59D-5CB6-4045-BDD9-07034BD8D422}"/>
    <cellStyle name="쉼표 [0] 3 2 13 3 2" xfId="4399" xr:uid="{6EEB2691-387A-4518-B53F-B9A406D9108D}"/>
    <cellStyle name="쉼표 [0] 3 2 13 4" xfId="3745" xr:uid="{5E05CD00-4284-4090-A7C3-434A7E0B7683}"/>
    <cellStyle name="쉼표 [0] 3 2 14" xfId="2375" xr:uid="{9B83D962-6C58-4202-9FF8-5AD82F826D11}"/>
    <cellStyle name="쉼표 [0] 3 2 14 2" xfId="2712" xr:uid="{68F621CE-E2CB-42F7-A9CB-EFED0F988637}"/>
    <cellStyle name="쉼표 [0] 3 2 14 2 2" xfId="3369" xr:uid="{FD0A21BE-80F4-4006-8E72-96A1CC11FAF6}"/>
    <cellStyle name="쉼표 [0] 3 2 14 2 2 2" xfId="4740" xr:uid="{0DB8E979-708A-4A33-BF0F-CCEA754758E7}"/>
    <cellStyle name="쉼표 [0] 3 2 14 2 3" xfId="4086" xr:uid="{FB3F9AEC-AD88-4598-9E05-D477AE21D329}"/>
    <cellStyle name="쉼표 [0] 3 2 14 3" xfId="3042" xr:uid="{AB5250CA-5DFB-41FE-87FA-BCA30FBB26EE}"/>
    <cellStyle name="쉼표 [0] 3 2 14 3 2" xfId="4413" xr:uid="{FB098EC8-A563-4CE3-8986-4E4375EF1F35}"/>
    <cellStyle name="쉼표 [0] 3 2 14 4" xfId="3759" xr:uid="{6BED0698-016C-4204-803E-F2E4A90B0A0D}"/>
    <cellStyle name="쉼표 [0] 3 2 15" xfId="318" xr:uid="{C6218191-1A02-4427-86A0-6CBA53DB7EBA}"/>
    <cellStyle name="쉼표 [0] 3 2 15 2" xfId="2505" xr:uid="{F42CA73B-6889-4B84-8464-5D035D3E7150}"/>
    <cellStyle name="쉼표 [0] 3 2 15 2 2" xfId="3162" xr:uid="{97E244E7-A0E7-48D4-B73F-2B442FE11DAB}"/>
    <cellStyle name="쉼표 [0] 3 2 15 2 2 2" xfId="4533" xr:uid="{F2280A6A-9618-41DC-9E73-055C045A5ADD}"/>
    <cellStyle name="쉼표 [0] 3 2 15 2 3" xfId="3879" xr:uid="{FB7AD83C-7692-459B-8E3F-D7280D81A2C4}"/>
    <cellStyle name="쉼표 [0] 3 2 15 3" xfId="2832" xr:uid="{0B72FF53-9451-4300-BC4E-0B44D9734ADB}"/>
    <cellStyle name="쉼표 [0] 3 2 15 3 2" xfId="4206" xr:uid="{EFBB8B94-0DB5-4D86-8A1D-1F65A13BE8DC}"/>
    <cellStyle name="쉼표 [0] 3 2 15 4" xfId="3539" xr:uid="{0898510B-C6F2-4A41-98AA-8FF01DA5663D}"/>
    <cellStyle name="쉼표 [0] 3 2 16" xfId="2477" xr:uid="{EEDCCDD5-1034-43B2-8A07-3B7B6F6E85B6}"/>
    <cellStyle name="쉼표 [0] 3 2 16 2" xfId="3134" xr:uid="{5A465BE4-BFAE-4BF6-9372-2367122159AD}"/>
    <cellStyle name="쉼표 [0] 3 2 16 2 2" xfId="4505" xr:uid="{52481940-F492-4877-8F7E-A376A2B15417}"/>
    <cellStyle name="쉼표 [0] 3 2 16 3" xfId="3851" xr:uid="{E2FEF5FE-4B84-45EB-8498-804221D3B5B4}"/>
    <cellStyle name="쉼표 [0] 3 2 17" xfId="2804" xr:uid="{DF9E0079-0118-4907-A106-07B15B7205E4}"/>
    <cellStyle name="쉼표 [0] 3 2 17 2" xfId="4178" xr:uid="{4EBFECAD-DF93-4479-84B1-24DA96E75387}"/>
    <cellStyle name="쉼표 [0] 3 2 18" xfId="287" xr:uid="{4833A762-9F97-490C-B2F3-774D5F3195BC}"/>
    <cellStyle name="쉼표 [0] 3 2 18 2" xfId="3511" xr:uid="{2B4C07A9-0F0C-4F64-8A82-E64071AB0497}"/>
    <cellStyle name="쉼표 [0] 3 2 19" xfId="260" xr:uid="{1447CB60-D92A-473E-8EF9-AC8A54A70FAB}"/>
    <cellStyle name="쉼표 [0] 3 2 2" xfId="267" xr:uid="{78EF4909-5AFF-4200-842C-3471086E2E6B}"/>
    <cellStyle name="쉼표 [0] 3 2 2 2" xfId="2376" xr:uid="{92C420A1-4A32-48AE-85C3-E1761175527F}"/>
    <cellStyle name="쉼표 [0] 3 2 2 2 2" xfId="2713" xr:uid="{27A18A88-1E67-4EDA-B13A-031335C3CAD7}"/>
    <cellStyle name="쉼표 [0] 3 2 2 2 2 2" xfId="3370" xr:uid="{7A27A91F-B32F-49B8-93F9-2C232B822EEA}"/>
    <cellStyle name="쉼표 [0] 3 2 2 2 2 2 2" xfId="4741" xr:uid="{B2F9B581-88BC-4A6E-992B-628BE5DB1EBC}"/>
    <cellStyle name="쉼표 [0] 3 2 2 2 2 3" xfId="4087" xr:uid="{BC95BE62-64F7-477D-B9F6-5EEB12F7C46C}"/>
    <cellStyle name="쉼표 [0] 3 2 2 2 3" xfId="3043" xr:uid="{3BF64EE0-E43E-4CB1-9AF1-F374340E4EB9}"/>
    <cellStyle name="쉼표 [0] 3 2 2 2 3 2" xfId="4414" xr:uid="{4860338A-FBE7-4FF7-A590-FEDF8CD4937D}"/>
    <cellStyle name="쉼표 [0] 3 2 2 2 4" xfId="3760" xr:uid="{62AB2693-8F35-4B99-B5A0-06002A9F40C0}"/>
    <cellStyle name="쉼표 [0] 3 2 2 3" xfId="1863" xr:uid="{8BCB4C3C-484B-49AF-8847-46C133DC78CF}"/>
    <cellStyle name="쉼표 [0] 3 2 2 3 2" xfId="2519" xr:uid="{FDD066F4-3D14-47BB-9AFD-7CC901064206}"/>
    <cellStyle name="쉼표 [0] 3 2 2 3 2 2" xfId="3176" xr:uid="{FE978781-AB41-44C3-A721-78B424A9392A}"/>
    <cellStyle name="쉼표 [0] 3 2 2 3 2 2 2" xfId="4547" xr:uid="{E223DD68-1A96-4F9E-AC91-4CD11EFFCED2}"/>
    <cellStyle name="쉼표 [0] 3 2 2 3 2 3" xfId="3893" xr:uid="{881F9432-9F1B-4746-B76F-0635E0D93DE0}"/>
    <cellStyle name="쉼표 [0] 3 2 2 3 3" xfId="2849" xr:uid="{9D0B79A1-7848-476E-B8B4-9C95CA82D8DE}"/>
    <cellStyle name="쉼표 [0] 3 2 2 3 3 2" xfId="4220" xr:uid="{C98E29BE-CB0A-46B6-A5F3-6F896835F1B4}"/>
    <cellStyle name="쉼표 [0] 3 2 2 3 4" xfId="3562" xr:uid="{F201A094-350B-434A-A0AC-A687660903FD}"/>
    <cellStyle name="쉼표 [0] 3 2 2 4" xfId="2491" xr:uid="{56C36C96-6ED1-4208-8CAE-6C7D3256284A}"/>
    <cellStyle name="쉼표 [0] 3 2 2 4 2" xfId="3148" xr:uid="{EE5CF826-1E90-4B38-92CE-A69D6D1B1558}"/>
    <cellStyle name="쉼표 [0] 3 2 2 4 2 2" xfId="4519" xr:uid="{AB9282F5-2D10-4E8F-825C-B420375B091B}"/>
    <cellStyle name="쉼표 [0] 3 2 2 4 3" xfId="3865" xr:uid="{1BA35696-0B11-402F-BA5D-3A01D38A4714}"/>
    <cellStyle name="쉼표 [0] 3 2 2 5" xfId="2818" xr:uid="{0BD56087-3D79-440A-9EAC-2F50995F87C0}"/>
    <cellStyle name="쉼표 [0] 3 2 2 5 2" xfId="4192" xr:uid="{64E280B4-C164-4EFA-9867-0652850326FD}"/>
    <cellStyle name="쉼표 [0] 3 2 2 6" xfId="302" xr:uid="{96699D30-5787-4187-B0A4-CC4D6D96ED04}"/>
    <cellStyle name="쉼표 [0] 3 2 2 6 2" xfId="3525" xr:uid="{C6976C74-D959-4FA2-9E3E-C6C0FA830BD3}"/>
    <cellStyle name="쉼표 [0] 3 2 2 7" xfId="3496" xr:uid="{0E47AD26-BB86-4E37-AEE1-B1C44D0A40C1}"/>
    <cellStyle name="쉼표 [0] 3 2 20" xfId="3491" xr:uid="{6DECCF33-9AFE-44EE-841F-DCDB9EF52076}"/>
    <cellStyle name="쉼표 [0] 3 2 3" xfId="2254" xr:uid="{BF78F59F-B6D8-44C8-89C7-A9F670FA84C3}"/>
    <cellStyle name="쉼표 [0] 3 2 3 2" xfId="2599" xr:uid="{C00F9CD5-B904-4DC6-AED8-C910E0ACEECE}"/>
    <cellStyle name="쉼표 [0] 3 2 3 2 2" xfId="3256" xr:uid="{9F00F429-14E7-4E3C-AEE0-E9EED8B62FEC}"/>
    <cellStyle name="쉼표 [0] 3 2 3 2 2 2" xfId="4627" xr:uid="{AD9D432D-D44B-4A3D-8C70-99D53A5C211A}"/>
    <cellStyle name="쉼표 [0] 3 2 3 2 3" xfId="3973" xr:uid="{A9BAA5C0-F105-43E0-A0D2-C4EF4BCB41F9}"/>
    <cellStyle name="쉼표 [0] 3 2 3 3" xfId="2929" xr:uid="{8D86F727-4099-4BAA-9F3B-D0C67052F487}"/>
    <cellStyle name="쉼표 [0] 3 2 3 3 2" xfId="4300" xr:uid="{03A03C71-724F-4371-B173-8C5C9035968E}"/>
    <cellStyle name="쉼표 [0] 3 2 3 4" xfId="3646" xr:uid="{4E6D6DB4-BA75-4A51-BD6E-B969E69EC52A}"/>
    <cellStyle name="쉼표 [0] 3 2 4" xfId="2263" xr:uid="{CAC5F2DD-27A6-4049-B72A-6049783CD914}"/>
    <cellStyle name="쉼표 [0] 3 2 4 2" xfId="2606" xr:uid="{CFD57522-EB96-47F7-A78D-3E0CA333BBCF}"/>
    <cellStyle name="쉼표 [0] 3 2 4 2 2" xfId="3263" xr:uid="{753A92D3-B5D7-43BD-B951-C3BFB6A3EB06}"/>
    <cellStyle name="쉼표 [0] 3 2 4 2 2 2" xfId="4634" xr:uid="{6C87CE9C-4308-490A-840A-5960FE64740A}"/>
    <cellStyle name="쉼표 [0] 3 2 4 2 3" xfId="3980" xr:uid="{18B60536-61EC-4EB8-AC4F-E99CB6889EA0}"/>
    <cellStyle name="쉼표 [0] 3 2 4 3" xfId="2936" xr:uid="{E82F87F5-17C3-4F38-ABF4-4BC4B8340EE5}"/>
    <cellStyle name="쉼표 [0] 3 2 4 3 2" xfId="4307" xr:uid="{F686D954-6804-4D0F-B3C3-2FC165F11D10}"/>
    <cellStyle name="쉼표 [0] 3 2 4 4" xfId="3653" xr:uid="{6A42C5A0-3EFE-461F-AEFB-6BEB4F72524E}"/>
    <cellStyle name="쉼표 [0] 3 2 5" xfId="2270" xr:uid="{643CC964-709E-4157-89EA-AC54503567A9}"/>
    <cellStyle name="쉼표 [0] 3 2 5 2" xfId="2613" xr:uid="{6BE2F04F-DCCC-4804-9666-C4111D13549A}"/>
    <cellStyle name="쉼표 [0] 3 2 5 2 2" xfId="3270" xr:uid="{09299CC9-4CDE-4E20-A50D-439247EBC25E}"/>
    <cellStyle name="쉼표 [0] 3 2 5 2 2 2" xfId="4641" xr:uid="{319A1C73-0FF5-43E1-8982-511F1DD3D93E}"/>
    <cellStyle name="쉼표 [0] 3 2 5 2 3" xfId="3987" xr:uid="{DD4401AF-4DB7-4FBE-8786-318E267C9931}"/>
    <cellStyle name="쉼표 [0] 3 2 5 3" xfId="2943" xr:uid="{CC456324-F20B-4807-A831-E96989E5DCA2}"/>
    <cellStyle name="쉼표 [0] 3 2 5 3 2" xfId="4314" xr:uid="{11DA1E13-A362-4C3B-B855-A07CCEC99A9B}"/>
    <cellStyle name="쉼표 [0] 3 2 5 4" xfId="3660" xr:uid="{D37C9E72-DE49-423D-802F-DA302916A461}"/>
    <cellStyle name="쉼표 [0] 3 2 6" xfId="2277" xr:uid="{1EB3FB3A-3D2B-4D8B-A3F3-CF7B267898E8}"/>
    <cellStyle name="쉼표 [0] 3 2 6 2" xfId="2620" xr:uid="{DE5DED1B-12CA-45E7-833B-753241590E46}"/>
    <cellStyle name="쉼표 [0] 3 2 6 2 2" xfId="3277" xr:uid="{B47F5D2B-A9E3-4289-8AC4-D9434C569A4B}"/>
    <cellStyle name="쉼표 [0] 3 2 6 2 2 2" xfId="4648" xr:uid="{0954AF2F-DED6-4CAC-B7AD-F214EBA4654D}"/>
    <cellStyle name="쉼표 [0] 3 2 6 2 3" xfId="3994" xr:uid="{D6F86620-3BD8-4C66-A233-DDD8D1514688}"/>
    <cellStyle name="쉼표 [0] 3 2 6 3" xfId="2950" xr:uid="{0E2A696B-30BE-4313-853C-27C1DC5F5DA3}"/>
    <cellStyle name="쉼표 [0] 3 2 6 3 2" xfId="4321" xr:uid="{AD89669E-35DE-41EA-97C8-40DB097505FD}"/>
    <cellStyle name="쉼표 [0] 3 2 6 4" xfId="3667" xr:uid="{8A5D5468-621C-46A1-8100-FD6721239A1A}"/>
    <cellStyle name="쉼표 [0] 3 2 7" xfId="2284" xr:uid="{678F76FB-EBC9-42BD-A982-DC3514E0AF30}"/>
    <cellStyle name="쉼표 [0] 3 2 7 2" xfId="2627" xr:uid="{1454FCE0-7DC2-4DBC-AEAC-615E3C4BB76D}"/>
    <cellStyle name="쉼표 [0] 3 2 7 2 2" xfId="3284" xr:uid="{B73D3051-D6EA-46E8-95FD-D52CCCEBF8CB}"/>
    <cellStyle name="쉼표 [0] 3 2 7 2 2 2" xfId="4655" xr:uid="{0E97B38C-926E-418E-BE3B-0F53D325EC13}"/>
    <cellStyle name="쉼표 [0] 3 2 7 2 3" xfId="4001" xr:uid="{BDC104E9-D2A3-44E3-8C27-D1AC4891C182}"/>
    <cellStyle name="쉼표 [0] 3 2 7 3" xfId="2957" xr:uid="{78BEB945-5D47-493F-88BB-86DF9B3D36E9}"/>
    <cellStyle name="쉼표 [0] 3 2 7 3 2" xfId="4328" xr:uid="{B504E769-E881-4878-A911-D281863A07FB}"/>
    <cellStyle name="쉼표 [0] 3 2 7 4" xfId="3674" xr:uid="{678786D9-0C95-4E79-9AD9-D64C3255492E}"/>
    <cellStyle name="쉼표 [0] 3 2 8" xfId="2295" xr:uid="{CBE9B523-EF7F-4A2A-B646-9E2A7BFA641C}"/>
    <cellStyle name="쉼표 [0] 3 2 8 2" xfId="2637" xr:uid="{501E7707-D2D8-4565-A438-D7E6851F9D42}"/>
    <cellStyle name="쉼표 [0] 3 2 8 2 2" xfId="3294" xr:uid="{7ADF19D2-51F5-4514-BBB9-EF73A9D92C2E}"/>
    <cellStyle name="쉼표 [0] 3 2 8 2 2 2" xfId="4665" xr:uid="{1C6E5234-87DE-4647-AA3A-5E148FEE37DA}"/>
    <cellStyle name="쉼표 [0] 3 2 8 2 3" xfId="4011" xr:uid="{69334014-8BEC-47AD-AA96-E08F37470DE1}"/>
    <cellStyle name="쉼표 [0] 3 2 8 3" xfId="2967" xr:uid="{404986E1-629A-476B-ABE1-7C8F0A4EA623}"/>
    <cellStyle name="쉼표 [0] 3 2 8 3 2" xfId="4338" xr:uid="{506ED3CB-5D80-4E34-9212-C7E193C089D8}"/>
    <cellStyle name="쉼표 [0] 3 2 8 4" xfId="3684" xr:uid="{BD38C942-294F-4977-9F6D-D45CE95D2F36}"/>
    <cellStyle name="쉼표 [0] 3 2 9" xfId="2315" xr:uid="{5AF67C31-B088-407D-BBEC-F03031004EB0}"/>
    <cellStyle name="쉼표 [0] 3 2 9 2" xfId="2652" xr:uid="{8C9CC010-106A-4C23-9ABC-8F16DAA93DBA}"/>
    <cellStyle name="쉼표 [0] 3 2 9 2 2" xfId="3309" xr:uid="{F211A3FE-316A-4244-831C-75033D90BEE3}"/>
    <cellStyle name="쉼표 [0] 3 2 9 2 2 2" xfId="4680" xr:uid="{E8679294-4015-4753-B10C-DC0FE36FE0E7}"/>
    <cellStyle name="쉼표 [0] 3 2 9 2 3" xfId="4026" xr:uid="{BC848245-095C-4DA8-BABA-BE465DA9DAFB}"/>
    <cellStyle name="쉼표 [0] 3 2 9 3" xfId="2982" xr:uid="{774137C3-CC2F-4421-ABD0-B7F7D88C9B93}"/>
    <cellStyle name="쉼표 [0] 3 2 9 3 2" xfId="4353" xr:uid="{C37DF73A-FCAA-477C-ADFB-8B43B5759AAD}"/>
    <cellStyle name="쉼표 [0] 3 2 9 4" xfId="3699" xr:uid="{81E46971-C514-4D05-A560-CFEFEE249215}"/>
    <cellStyle name="쉼표 [0] 3 3" xfId="106" xr:uid="{00000000-0005-0000-0000-000069000000}"/>
    <cellStyle name="쉼표 [0] 3 3 10" xfId="296" xr:uid="{9E4987C1-9B94-456B-B99D-A02F1A09795E}"/>
    <cellStyle name="쉼표 [0] 3 3 10 2" xfId="3519" xr:uid="{3406B83C-0B74-4E92-A09D-2C1C5B86E184}"/>
    <cellStyle name="쉼표 [0] 3 3 11" xfId="266" xr:uid="{C807BEF3-064B-4366-BF58-AB91613C0C45}"/>
    <cellStyle name="쉼표 [0] 3 3 12" xfId="3495" xr:uid="{83677C0C-36A2-423F-9AA9-72A8A149D089}"/>
    <cellStyle name="쉼표 [0] 3 3 2" xfId="1864" xr:uid="{B30E26C1-9DBA-464E-B135-A386C5BD4D7C}"/>
    <cellStyle name="쉼표 [0] 3 3 2 2" xfId="2520" xr:uid="{61C641AF-1B68-44E0-9726-C88AD52766F5}"/>
    <cellStyle name="쉼표 [0] 3 3 2 2 2" xfId="3177" xr:uid="{1EF03465-2171-490C-9DF8-D9CCF46C1748}"/>
    <cellStyle name="쉼표 [0] 3 3 2 2 2 2" xfId="4548" xr:uid="{A690C107-ED39-4AE8-AF37-4E3BC04B3DB7}"/>
    <cellStyle name="쉼표 [0] 3 3 2 2 3" xfId="3894" xr:uid="{C66FD602-EF63-4AD1-91C7-E9439701F33B}"/>
    <cellStyle name="쉼표 [0] 3 3 2 3" xfId="2850" xr:uid="{E286D26F-704E-4F71-AC14-A53EED1595CA}"/>
    <cellStyle name="쉼표 [0] 3 3 2 3 2" xfId="4221" xr:uid="{CCE7BB4C-A2D2-43A3-8D7D-AF1F61A06835}"/>
    <cellStyle name="쉼표 [0] 3 3 2 4" xfId="3563" xr:uid="{A505977E-537B-4F2F-A507-25899D2C687B}"/>
    <cellStyle name="쉼표 [0] 3 3 3" xfId="2300" xr:uid="{51543A37-05F9-4076-AD2C-C7BB663ED773}"/>
    <cellStyle name="쉼표 [0] 3 3 3 2" xfId="2641" xr:uid="{F0EF1CD1-C8C3-4D6D-A96A-B44815181FF3}"/>
    <cellStyle name="쉼표 [0] 3 3 3 2 2" xfId="3298" xr:uid="{91B72BDB-1986-47E4-8853-5A5EEBB3392E}"/>
    <cellStyle name="쉼표 [0] 3 3 3 2 2 2" xfId="4669" xr:uid="{A377164A-7D15-40E9-BB3C-626943621565}"/>
    <cellStyle name="쉼표 [0] 3 3 3 2 3" xfId="4015" xr:uid="{926189E4-0455-4894-AF13-81AC1DF5D20F}"/>
    <cellStyle name="쉼표 [0] 3 3 3 3" xfId="2971" xr:uid="{48669F62-03F5-4AB3-A382-791A26800B3B}"/>
    <cellStyle name="쉼표 [0] 3 3 3 3 2" xfId="4342" xr:uid="{08A8DCD0-849F-4B42-8A03-EA1FC577DDA7}"/>
    <cellStyle name="쉼표 [0] 3 3 3 4" xfId="3688" xr:uid="{C6BCEBA6-B5CB-4194-B038-280665E9A193}"/>
    <cellStyle name="쉼표 [0] 3 3 4" xfId="2330" xr:uid="{6A989BA4-D81B-4084-A2EF-035ACF0BD209}"/>
    <cellStyle name="쉼표 [0] 3 3 4 2" xfId="2667" xr:uid="{50368310-1CB5-42B2-925C-7172DE954A09}"/>
    <cellStyle name="쉼표 [0] 3 3 4 2 2" xfId="3324" xr:uid="{D090A7DC-66CB-45D9-A899-9F5009AA6D7B}"/>
    <cellStyle name="쉼표 [0] 3 3 4 2 2 2" xfId="4695" xr:uid="{F795EC03-40EE-4534-8280-EE84A86F8F5F}"/>
    <cellStyle name="쉼표 [0] 3 3 4 2 3" xfId="4041" xr:uid="{76063B74-E0CD-4330-BA98-42C8CED54927}"/>
    <cellStyle name="쉼표 [0] 3 3 4 3" xfId="2997" xr:uid="{0C4AD214-B0EB-4DB0-AE4F-75D5C0DC9BA4}"/>
    <cellStyle name="쉼표 [0] 3 3 4 3 2" xfId="4368" xr:uid="{4B84B890-0D89-45C1-AC0F-62D75C34DE27}"/>
    <cellStyle name="쉼표 [0] 3 3 4 4" xfId="3714" xr:uid="{03EDDC34-3756-4D3D-B759-3AD25E45CEB7}"/>
    <cellStyle name="쉼표 [0] 3 3 5" xfId="2345" xr:uid="{7F0F3989-DD60-4273-94C0-A4ABACF83FAB}"/>
    <cellStyle name="쉼표 [0] 3 3 5 2" xfId="2682" xr:uid="{5DAA803D-62B5-4809-ACA3-07536DA5F703}"/>
    <cellStyle name="쉼표 [0] 3 3 5 2 2" xfId="3339" xr:uid="{C6897952-272A-4859-8F0B-6EC86D80A9CD}"/>
    <cellStyle name="쉼표 [0] 3 3 5 2 2 2" xfId="4710" xr:uid="{A01B7AD3-461B-4AE6-AB41-F1E7F29E57D7}"/>
    <cellStyle name="쉼표 [0] 3 3 5 2 3" xfId="4056" xr:uid="{C03AA921-11C1-4475-B913-7288146A42AE}"/>
    <cellStyle name="쉼표 [0] 3 3 5 3" xfId="3012" xr:uid="{EC48E373-621E-4F2E-B471-0A0D84FE3CF2}"/>
    <cellStyle name="쉼표 [0] 3 3 5 3 2" xfId="4383" xr:uid="{968D2032-3C37-42E9-9051-EE05983306C3}"/>
    <cellStyle name="쉼표 [0] 3 3 5 4" xfId="3729" xr:uid="{C8D0B3BA-A882-4B58-A2A0-09E47187A5D2}"/>
    <cellStyle name="쉼표 [0] 3 3 6" xfId="2377" xr:uid="{E3FC3537-D4F5-4328-844E-388EC3A51A0C}"/>
    <cellStyle name="쉼표 [0] 3 3 6 2" xfId="2714" xr:uid="{F6DF6598-81AE-456C-B4A4-7AE70C573982}"/>
    <cellStyle name="쉼표 [0] 3 3 6 2 2" xfId="3371" xr:uid="{AD82B2D1-8D04-4585-A4CE-4B529D85B23D}"/>
    <cellStyle name="쉼표 [0] 3 3 6 2 2 2" xfId="4742" xr:uid="{DE745D27-CCBD-478A-A5EF-DE52F40B6D69}"/>
    <cellStyle name="쉼표 [0] 3 3 6 2 3" xfId="4088" xr:uid="{97085E09-8C24-4495-9E06-747A5A520508}"/>
    <cellStyle name="쉼표 [0] 3 3 6 3" xfId="3044" xr:uid="{9BE88D45-FDCE-4491-AFF7-190DB8F76ED7}"/>
    <cellStyle name="쉼표 [0] 3 3 6 3 2" xfId="4415" xr:uid="{A9010C23-2D25-43E0-809E-CC5E94DA1F11}"/>
    <cellStyle name="쉼표 [0] 3 3 6 4" xfId="3761" xr:uid="{DC728D04-025E-47DD-BC61-37CF35A898C3}"/>
    <cellStyle name="쉼표 [0] 3 3 7" xfId="314" xr:uid="{2FB2777E-7261-47A2-8291-34A23905D995}"/>
    <cellStyle name="쉼표 [0] 3 3 7 2" xfId="2501" xr:uid="{E79ACEE4-C6F4-4C31-B5FA-168C067B1DEE}"/>
    <cellStyle name="쉼표 [0] 3 3 7 2 2" xfId="3158" xr:uid="{700B9760-3AD0-4068-BF3B-368EFA2B6DB6}"/>
    <cellStyle name="쉼표 [0] 3 3 7 2 2 2" xfId="4529" xr:uid="{94ABA520-DCAD-4996-949B-0F9699AB8EF9}"/>
    <cellStyle name="쉼표 [0] 3 3 7 2 3" xfId="3875" xr:uid="{4912302F-0734-419E-A916-EF075BD5F62A}"/>
    <cellStyle name="쉼표 [0] 3 3 7 3" xfId="2828" xr:uid="{49DBA8CB-0B1E-4F4F-8470-D2176D293DD7}"/>
    <cellStyle name="쉼표 [0] 3 3 7 3 2" xfId="4202" xr:uid="{EB5CD0F2-65DE-4A51-BBBC-51F01461953B}"/>
    <cellStyle name="쉼표 [0] 3 3 7 4" xfId="3535" xr:uid="{21F8D37E-1EDF-49FF-9073-68F869145121}"/>
    <cellStyle name="쉼표 [0] 3 3 8" xfId="2485" xr:uid="{98344356-7416-4149-8111-AC0B27F60CA8}"/>
    <cellStyle name="쉼표 [0] 3 3 8 2" xfId="3142" xr:uid="{04F295A9-C220-458E-8BDE-C7CCC07C1FB8}"/>
    <cellStyle name="쉼표 [0] 3 3 8 2 2" xfId="4513" xr:uid="{7FE09FC7-1D46-4A5C-975C-32F85F6B5852}"/>
    <cellStyle name="쉼표 [0] 3 3 8 3" xfId="3859" xr:uid="{68DC797B-6EE2-4AE6-952E-6EDD79E883C1}"/>
    <cellStyle name="쉼표 [0] 3 3 9" xfId="2812" xr:uid="{027FE84A-4F8D-468E-B228-B80F639E7B5F}"/>
    <cellStyle name="쉼표 [0] 3 3 9 2" xfId="4186" xr:uid="{E64F886C-1083-4FF3-8443-63FBE0C0F00D}"/>
    <cellStyle name="쉼표 [0] 3 4" xfId="107" xr:uid="{00000000-0005-0000-0000-00006A000000}"/>
    <cellStyle name="쉼표 [0] 3 4 2" xfId="2378" xr:uid="{1241302C-E076-4026-ABC9-CD1BAA97A1DD}"/>
    <cellStyle name="쉼표 [0] 3 4 2 2" xfId="2715" xr:uid="{B7A28CAB-AB43-457E-BEDD-EC35A03E6EBC}"/>
    <cellStyle name="쉼표 [0] 3 4 2 2 2" xfId="3372" xr:uid="{E83D9434-0C5A-4165-B1BF-27408C711DD8}"/>
    <cellStyle name="쉼표 [0] 3 4 2 2 2 2" xfId="4743" xr:uid="{CB45E443-5293-496A-9B92-9BD30C0EA154}"/>
    <cellStyle name="쉼표 [0] 3 4 2 2 3" xfId="4089" xr:uid="{F40F05A1-AC38-4F8A-B939-C56AC21D6F81}"/>
    <cellStyle name="쉼표 [0] 3 4 2 3" xfId="3045" xr:uid="{D708B54A-CEE8-4993-B51E-0E2DDA582E2C}"/>
    <cellStyle name="쉼표 [0] 3 4 2 3 2" xfId="4416" xr:uid="{7182C86F-525D-4252-A15C-CD3345D00508}"/>
    <cellStyle name="쉼표 [0] 3 4 2 4" xfId="3762" xr:uid="{A39947C0-2E47-4455-80A9-12A3F894A240}"/>
    <cellStyle name="쉼표 [0] 3 4 3" xfId="2521" xr:uid="{97881249-0493-4D00-B484-0C972856BEBA}"/>
    <cellStyle name="쉼표 [0] 3 4 3 2" xfId="3178" xr:uid="{CBA234B4-F49D-4AAF-9525-6A10A260839C}"/>
    <cellStyle name="쉼표 [0] 3 4 3 2 2" xfId="4549" xr:uid="{C7ED24BC-FA69-4F94-A8FE-D82F4EB12C4B}"/>
    <cellStyle name="쉼표 [0] 3 4 3 3" xfId="3895" xr:uid="{F02E55BE-BAFF-4EF9-A7B1-460058F1C281}"/>
    <cellStyle name="쉼표 [0] 3 4 4" xfId="2851" xr:uid="{AEAF6BA8-BA8C-40CB-86C5-95DA684DF402}"/>
    <cellStyle name="쉼표 [0] 3 4 4 2" xfId="4222" xr:uid="{2E07A798-51C8-412C-8CFB-8534E66392DD}"/>
    <cellStyle name="쉼표 [0] 3 4 5" xfId="1865" xr:uid="{865053C2-8B66-4293-B711-98CE980EDEC2}"/>
    <cellStyle name="쉼표 [0] 3 4 6" xfId="3564" xr:uid="{D48907A3-C34D-448B-8805-0DC93281815D}"/>
    <cellStyle name="쉼표 [0] 3 5" xfId="1866" xr:uid="{F6A96D42-B6FA-490A-A609-315CCB58830B}"/>
    <cellStyle name="쉼표 [0] 3 6" xfId="1862" xr:uid="{0F1E6048-AB6C-4443-9E18-EC13D0C824DE}"/>
    <cellStyle name="쉼표 [0] 3 6 2" xfId="2379" xr:uid="{B58C2871-87F6-40FC-B5A6-84BBA44AFB47}"/>
    <cellStyle name="쉼표 [0] 3 6 2 2" xfId="2716" xr:uid="{EF3C275B-C206-47AD-B463-99C368462C18}"/>
    <cellStyle name="쉼표 [0] 3 6 2 2 2" xfId="3373" xr:uid="{8AAD0885-5FF6-4043-BB10-7AA3A769FA06}"/>
    <cellStyle name="쉼표 [0] 3 6 2 2 2 2" xfId="4744" xr:uid="{4661B86B-49D7-4F60-8A7A-BD741F3E8B26}"/>
    <cellStyle name="쉼표 [0] 3 6 2 2 3" xfId="4090" xr:uid="{7D45C771-7E4F-46DA-AC6D-D71B5E3ECA94}"/>
    <cellStyle name="쉼표 [0] 3 6 2 3" xfId="3046" xr:uid="{C8137ADB-F9C8-4F32-941A-2878B9D0EAA0}"/>
    <cellStyle name="쉼표 [0] 3 6 2 3 2" xfId="4417" xr:uid="{E66081AB-5CD8-430A-97C9-148285D89AA8}"/>
    <cellStyle name="쉼표 [0] 3 6 2 4" xfId="3763" xr:uid="{73560FEF-2B71-48E3-B3EC-851B94640BEE}"/>
    <cellStyle name="쉼표 [0] 3 6 3" xfId="2518" xr:uid="{D9AFACBD-BBD2-410B-9FCA-01D37B1AB432}"/>
    <cellStyle name="쉼표 [0] 3 6 3 2" xfId="3175" xr:uid="{9F9DC43D-CEBF-4242-BE37-59F5D3EBD88B}"/>
    <cellStyle name="쉼표 [0] 3 6 3 2 2" xfId="4546" xr:uid="{B527F910-5F5E-4A0E-962E-DE183C87570E}"/>
    <cellStyle name="쉼표 [0] 3 6 3 3" xfId="3892" xr:uid="{E8FEDF93-2CA0-4B42-93ED-D9A851765545}"/>
    <cellStyle name="쉼표 [0] 3 6 4" xfId="2848" xr:uid="{672A49C9-5AC2-440F-8542-D7924EEF7EB1}"/>
    <cellStyle name="쉼표 [0] 3 6 4 2" xfId="4219" xr:uid="{6046D5EE-C843-4188-B347-ED0778AEFB57}"/>
    <cellStyle name="쉼표 [0] 3 6 5" xfId="3561" xr:uid="{18FFD242-1043-466D-909B-C71E35571EE4}"/>
    <cellStyle name="쉼표 [0] 3 7" xfId="2374" xr:uid="{8BE83F05-125B-49DF-BC94-A5259D839D02}"/>
    <cellStyle name="쉼표 [0] 3 7 2" xfId="2711" xr:uid="{CFF55859-D3F3-4208-9F8D-B2682A6F9F46}"/>
    <cellStyle name="쉼표 [0] 3 7 2 2" xfId="3368" xr:uid="{DBA26B26-8673-4B54-9467-A59A95D2C398}"/>
    <cellStyle name="쉼표 [0] 3 7 2 2 2" xfId="4739" xr:uid="{102277EC-F046-4BEB-A6F4-EA45B8105250}"/>
    <cellStyle name="쉼표 [0] 3 7 2 3" xfId="4085" xr:uid="{863881DB-DAC7-4475-BE79-97F81E990782}"/>
    <cellStyle name="쉼표 [0] 3 7 3" xfId="3041" xr:uid="{4964EFC0-D5A8-4241-B4D5-FC86E7B5CCAB}"/>
    <cellStyle name="쉼표 [0] 3 7 3 2" xfId="4412" xr:uid="{DCBE16ED-A141-45B4-AFAF-A0DD634805E7}"/>
    <cellStyle name="쉼표 [0] 3 7 4" xfId="3758" xr:uid="{16EDE40D-CEF1-44ED-A1FA-666FA9FD2B84}"/>
    <cellStyle name="쉼표 [0] 3 8" xfId="249" xr:uid="{A49028C9-59DE-4115-9580-7F979D06C1A4}"/>
    <cellStyle name="쉼표 [0] 3 9" xfId="3486" xr:uid="{3CF50B43-4FE4-4237-B865-8630711BBAA6}"/>
    <cellStyle name="쉼표 [0] 30" xfId="243" xr:uid="{E6429E86-F75B-4B7D-A4AF-380C75DD0ADB}"/>
    <cellStyle name="쉼표 [0] 31" xfId="3482" xr:uid="{7B44ACCC-7684-4934-AEDF-69F0B68CCB59}"/>
    <cellStyle name="쉼표 [0] 4" xfId="108" xr:uid="{00000000-0005-0000-0000-00006B000000}"/>
    <cellStyle name="쉼표 [0] 4 10" xfId="309" xr:uid="{596C19E5-C2F6-440A-B264-3915814C1EF5}"/>
    <cellStyle name="쉼표 [0] 4 11" xfId="2474" xr:uid="{A3D7B512-4BC4-4850-AA79-2BB79C020573}"/>
    <cellStyle name="쉼표 [0] 4 11 2" xfId="3131" xr:uid="{CC789067-D08A-4FF8-9210-732E850A3883}"/>
    <cellStyle name="쉼표 [0] 4 11 2 2" xfId="4502" xr:uid="{3DCE1757-EECA-4BCF-80BD-EEDAC9C595F3}"/>
    <cellStyle name="쉼표 [0] 4 11 3" xfId="3848" xr:uid="{5D9E0AE6-2D9C-4B74-AFEF-4544D8A30893}"/>
    <cellStyle name="쉼표 [0] 4 12" xfId="2801" xr:uid="{96CD61EF-165E-4B73-BC7C-57402F5DE04D}"/>
    <cellStyle name="쉼표 [0] 4 12 2" xfId="4175" xr:uid="{6DB73933-A751-4C7D-81F0-F2371487AD03}"/>
    <cellStyle name="쉼표 [0] 4 13" xfId="284" xr:uid="{B7C81B35-4A6A-492C-8828-43D153DAE781}"/>
    <cellStyle name="쉼표 [0] 4 13 2" xfId="3508" xr:uid="{9467D257-4F7B-49B4-860E-5246BE96C5FF}"/>
    <cellStyle name="쉼표 [0] 4 2" xfId="299" xr:uid="{726ED56E-96B4-4C46-92D1-77B9CDFC509E}"/>
    <cellStyle name="쉼표 [0] 4 2 2" xfId="2302" xr:uid="{2D208BCA-1195-4461-A0FC-6AFAD8CDD247}"/>
    <cellStyle name="쉼표 [0] 4 2 3" xfId="2381" xr:uid="{04B6F432-0050-480E-A9BF-255F5178E1FA}"/>
    <cellStyle name="쉼표 [0] 4 2 3 2" xfId="2718" xr:uid="{83210B09-F77D-43D6-891C-93E84AD1AEDB}"/>
    <cellStyle name="쉼표 [0] 4 2 3 2 2" xfId="3375" xr:uid="{5F6CDC95-E510-4238-BBF4-E360E8EB317F}"/>
    <cellStyle name="쉼표 [0] 4 2 3 2 2 2" xfId="4746" xr:uid="{CBB88879-E2C5-4CDF-BDE5-F3D014B141D6}"/>
    <cellStyle name="쉼표 [0] 4 2 3 2 3" xfId="4092" xr:uid="{233EB954-8F3B-4B6E-A5E4-03B0349E40DB}"/>
    <cellStyle name="쉼표 [0] 4 2 3 3" xfId="3048" xr:uid="{78557BAA-9217-4B82-8EE5-FB5C786CD6E1}"/>
    <cellStyle name="쉼표 [0] 4 2 3 3 2" xfId="4419" xr:uid="{23A46CE3-A423-437B-BDAA-035989AAD03A}"/>
    <cellStyle name="쉼표 [0] 4 2 3 4" xfId="3765" xr:uid="{CA68C3F7-C849-479A-80E0-EA5A89E4A770}"/>
    <cellStyle name="쉼표 [0] 4 2 4" xfId="1868" xr:uid="{C3D3A644-C849-469C-9889-344E36A47011}"/>
    <cellStyle name="쉼표 [0] 4 2 4 2" xfId="2523" xr:uid="{FED2FDBB-3520-49B8-990D-8EFB98409028}"/>
    <cellStyle name="쉼표 [0] 4 2 4 2 2" xfId="3180" xr:uid="{8FFDF73D-8BAD-4385-9093-443F9C16C3C9}"/>
    <cellStyle name="쉼표 [0] 4 2 4 2 2 2" xfId="4551" xr:uid="{CBB23DEA-D007-4ACB-B754-13525BBF5531}"/>
    <cellStyle name="쉼표 [0] 4 2 4 2 3" xfId="3897" xr:uid="{37A7F572-2738-4029-916B-59C2F2A96093}"/>
    <cellStyle name="쉼표 [0] 4 2 4 3" xfId="2853" xr:uid="{490054E5-D9E0-4848-9692-94AB3515F880}"/>
    <cellStyle name="쉼표 [0] 4 2 4 3 2" xfId="4224" xr:uid="{21FBD523-740E-4DB2-B5D9-533DE9689E26}"/>
    <cellStyle name="쉼표 [0] 4 2 4 4" xfId="3566" xr:uid="{18ACD566-AAA2-48E6-8CE1-C2BCC1D0268A}"/>
    <cellStyle name="쉼표 [0] 4 2 5" xfId="2488" xr:uid="{78737E7C-9FB6-4175-9BA7-2EB3D8D6FD9B}"/>
    <cellStyle name="쉼표 [0] 4 2 5 2" xfId="3145" xr:uid="{315BD501-9B8A-47B6-BDCE-2C5C0D0BBD74}"/>
    <cellStyle name="쉼표 [0] 4 2 5 2 2" xfId="4516" xr:uid="{4F4FBCDD-B6BC-4F6B-96FA-12734D93FB35}"/>
    <cellStyle name="쉼표 [0] 4 2 5 3" xfId="3862" xr:uid="{0D1F2084-8563-4182-A6ED-E4C753D1304A}"/>
    <cellStyle name="쉼표 [0] 4 2 6" xfId="2815" xr:uid="{E46A705F-41FE-429C-A749-5C3B61156C1B}"/>
    <cellStyle name="쉼표 [0] 4 2 6 2" xfId="4189" xr:uid="{638B2BD0-E44B-4ACC-BDCB-2392F7AE765C}"/>
    <cellStyle name="쉼표 [0] 4 2 7" xfId="3522" xr:uid="{FD964D78-523A-4230-A8A8-89D79023A0F3}"/>
    <cellStyle name="쉼표 [0] 4 3" xfId="1869" xr:uid="{B7835B62-CA60-4535-BB02-C9E0D920D9C8}"/>
    <cellStyle name="쉼표 [0] 4 4" xfId="1867" xr:uid="{A4E7C0D9-4DF8-4E51-9CCA-38E12F8BB434}"/>
    <cellStyle name="쉼표 [0] 4 4 2" xfId="2522" xr:uid="{F06F3AB4-3B3D-4A52-9B56-F29B742955FB}"/>
    <cellStyle name="쉼표 [0] 4 4 2 2" xfId="3179" xr:uid="{8212AA23-EB6A-4FD2-939E-FB20EDCD9B4C}"/>
    <cellStyle name="쉼표 [0] 4 4 2 2 2" xfId="4550" xr:uid="{35D00491-C70D-4475-A5B8-265BC808A5F3}"/>
    <cellStyle name="쉼표 [0] 4 4 2 3" xfId="3896" xr:uid="{D2B95A9C-189F-4254-8AD9-124CA216D198}"/>
    <cellStyle name="쉼표 [0] 4 4 3" xfId="2852" xr:uid="{47C213D0-B717-45E8-9A83-3649CDBFC2A1}"/>
    <cellStyle name="쉼표 [0] 4 4 3 2" xfId="4223" xr:uid="{6F526662-8C08-41DF-BD88-32C0008BE85D}"/>
    <cellStyle name="쉼표 [0] 4 4 4" xfId="3565" xr:uid="{AE216D52-EBEE-4629-B4CF-F21DAC730BA8}"/>
    <cellStyle name="쉼표 [0] 4 5" xfId="2292" xr:uid="{E1753750-C706-4B93-8EFF-970DAA2804EE}"/>
    <cellStyle name="쉼표 [0] 4 5 2" xfId="2634" xr:uid="{AEE98FC7-5BF4-4972-B4E3-FEC58CCAE696}"/>
    <cellStyle name="쉼표 [0] 4 5 2 2" xfId="3291" xr:uid="{5AF36747-4DC7-4B0E-956E-1518A79B35B8}"/>
    <cellStyle name="쉼표 [0] 4 5 2 2 2" xfId="4662" xr:uid="{A17D9CD0-E9BD-4220-9AD9-E1A05EDD38E9}"/>
    <cellStyle name="쉼표 [0] 4 5 2 3" xfId="4008" xr:uid="{0430D49D-3405-4F84-9B89-F8FFE3A26DC3}"/>
    <cellStyle name="쉼표 [0] 4 5 3" xfId="2964" xr:uid="{DE37263F-9A9D-462C-BEAA-43DB2C2E1AD5}"/>
    <cellStyle name="쉼표 [0] 4 5 3 2" xfId="4335" xr:uid="{44BD5D63-701B-4E6A-9785-52E28B82A390}"/>
    <cellStyle name="쉼표 [0] 4 5 4" xfId="3681" xr:uid="{32277804-1957-41FE-8462-3B804AC209BD}"/>
    <cellStyle name="쉼표 [0] 4 6" xfId="2312" xr:uid="{70F128EA-D33F-413E-874C-21601C29B982}"/>
    <cellStyle name="쉼표 [0] 4 6 2" xfId="2649" xr:uid="{4C803F17-0DB5-4757-80A1-7F3F3DF71DF4}"/>
    <cellStyle name="쉼표 [0] 4 6 2 2" xfId="3306" xr:uid="{3E824E8F-34F8-40AC-905A-FB8E941A729B}"/>
    <cellStyle name="쉼표 [0] 4 6 2 2 2" xfId="4677" xr:uid="{B1B47C09-55A4-4A22-A015-F24238CBE9FA}"/>
    <cellStyle name="쉼표 [0] 4 6 2 3" xfId="4023" xr:uid="{1BC47E90-B537-4471-B06D-1D424B3CD5C8}"/>
    <cellStyle name="쉼표 [0] 4 6 3" xfId="2979" xr:uid="{F42C558F-AF8B-4100-B9DF-C80F81BABE39}"/>
    <cellStyle name="쉼표 [0] 4 6 3 2" xfId="4350" xr:uid="{2A052B65-E7BB-474E-8DE2-1B39292AA83D}"/>
    <cellStyle name="쉼표 [0] 4 6 4" xfId="3696" xr:uid="{F26D85E8-8F50-4FF7-9C3F-20DDEBD4E104}"/>
    <cellStyle name="쉼표 [0] 4 7" xfId="2323" xr:uid="{C0A09515-C838-4A57-9FA7-96A0182A0092}"/>
    <cellStyle name="쉼표 [0] 4 7 2" xfId="2660" xr:uid="{21EB7C29-A566-4C9E-8382-0E161216DF36}"/>
    <cellStyle name="쉼표 [0] 4 7 2 2" xfId="3317" xr:uid="{B1AC3204-1D7C-4552-AD18-C98479CBCD78}"/>
    <cellStyle name="쉼표 [0] 4 7 2 2 2" xfId="4688" xr:uid="{8AC0E13A-0ABD-494A-AC91-21D169865F1E}"/>
    <cellStyle name="쉼표 [0] 4 7 2 3" xfId="4034" xr:uid="{98CCCF1B-3F22-4393-8CB4-5CE9FF16F15C}"/>
    <cellStyle name="쉼표 [0] 4 7 3" xfId="2990" xr:uid="{B36D8CE6-D4EE-4E0B-A079-FCA94AE69341}"/>
    <cellStyle name="쉼표 [0] 4 7 3 2" xfId="4361" xr:uid="{9C7555C6-EE9B-4523-8C27-209225DEC884}"/>
    <cellStyle name="쉼표 [0] 4 7 4" xfId="3707" xr:uid="{F9E436D3-97AB-4A99-8902-5CC669F46CC9}"/>
    <cellStyle name="쉼표 [0] 4 8" xfId="2338" xr:uid="{26565CC4-9CEC-4F6C-B5E5-935F046D152F}"/>
    <cellStyle name="쉼표 [0] 4 8 2" xfId="2675" xr:uid="{9F15BD37-ABA4-4FD6-B8FD-276C5FD12409}"/>
    <cellStyle name="쉼표 [0] 4 8 2 2" xfId="3332" xr:uid="{5295F47D-BC0E-47B4-9F5D-02E793D3100E}"/>
    <cellStyle name="쉼표 [0] 4 8 2 2 2" xfId="4703" xr:uid="{C335EDC9-2109-4511-BD7A-C4BE4E1BCA3D}"/>
    <cellStyle name="쉼표 [0] 4 8 2 3" xfId="4049" xr:uid="{E01F0CE7-9E5B-4C97-9B8F-A3489DA1034C}"/>
    <cellStyle name="쉼표 [0] 4 8 3" xfId="3005" xr:uid="{19828604-74EB-4EC9-B60D-7BFDEEDA13F7}"/>
    <cellStyle name="쉼표 [0] 4 8 3 2" xfId="4376" xr:uid="{9E88D470-32DB-44F7-B64D-52070F529E5F}"/>
    <cellStyle name="쉼표 [0] 4 8 4" xfId="3722" xr:uid="{61C4F47E-5DAA-4B44-82EE-4CCDDCC4815D}"/>
    <cellStyle name="쉼표 [0] 4 9" xfId="2380" xr:uid="{E453854C-2108-4270-8163-C0852076032B}"/>
    <cellStyle name="쉼표 [0] 4 9 2" xfId="2717" xr:uid="{9A137494-5EBC-4D41-9F54-5AF91E838873}"/>
    <cellStyle name="쉼표 [0] 4 9 2 2" xfId="3374" xr:uid="{A1F91B9C-28A2-4A84-A49E-44D62303D553}"/>
    <cellStyle name="쉼표 [0] 4 9 2 2 2" xfId="4745" xr:uid="{713159CC-58FA-468A-BBD6-9F965BA008C3}"/>
    <cellStyle name="쉼표 [0] 4 9 2 3" xfId="4091" xr:uid="{1AB84B10-A66F-4EA4-9AD6-A47D8D95AD09}"/>
    <cellStyle name="쉼표 [0] 4 9 3" xfId="3047" xr:uid="{A460F9FE-45D9-4AF2-A6C7-1058AA571D57}"/>
    <cellStyle name="쉼표 [0] 4 9 3 2" xfId="4418" xr:uid="{0F4DDCDE-FBE2-4C60-AEE7-5D2F64635F2B}"/>
    <cellStyle name="쉼표 [0] 4 9 4" xfId="3764" xr:uid="{6B12B6AE-F033-45ED-A6EF-4442A7EB5BA4}"/>
    <cellStyle name="쉼표 [0] 5" xfId="109" xr:uid="{00000000-0005-0000-0000-00006C000000}"/>
    <cellStyle name="쉼표 [0] 5 10" xfId="2293" xr:uid="{D4648B3F-718C-4C79-925F-639693D0D77D}"/>
    <cellStyle name="쉼표 [0] 5 10 2" xfId="2635" xr:uid="{E1764D65-8F41-43A1-A173-5E904F809F1A}"/>
    <cellStyle name="쉼표 [0] 5 10 2 2" xfId="3292" xr:uid="{2071769A-BABD-4315-B47D-45CCDE608D93}"/>
    <cellStyle name="쉼표 [0] 5 10 2 2 2" xfId="4663" xr:uid="{56DD34C7-9261-458C-8EA8-B77C7CC01C9E}"/>
    <cellStyle name="쉼표 [0] 5 10 2 3" xfId="4009" xr:uid="{F8E46ED6-D6D1-4212-AC01-39E8050FFB93}"/>
    <cellStyle name="쉼표 [0] 5 10 3" xfId="2965" xr:uid="{A54A633A-831D-42A0-8526-188B5F0F76B0}"/>
    <cellStyle name="쉼표 [0] 5 10 3 2" xfId="4336" xr:uid="{813D5D16-75CD-4914-BAC1-4BE456F88E61}"/>
    <cellStyle name="쉼표 [0] 5 10 4" xfId="3682" xr:uid="{14A36E4F-7034-4D86-9F5B-3C988FCD6D73}"/>
    <cellStyle name="쉼표 [0] 5 11" xfId="2313" xr:uid="{39A1931D-D111-4683-BF06-CC53D17F1940}"/>
    <cellStyle name="쉼표 [0] 5 11 2" xfId="2650" xr:uid="{D8EF3F7B-2FC3-4704-96A9-1D97AFBC91F3}"/>
    <cellStyle name="쉼표 [0] 5 11 2 2" xfId="3307" xr:uid="{5F04DDEF-15F6-470D-A370-2DB67CF3A982}"/>
    <cellStyle name="쉼표 [0] 5 11 2 2 2" xfId="4678" xr:uid="{85F3EB38-3D5F-4A38-A036-FD5400E6C1B0}"/>
    <cellStyle name="쉼표 [0] 5 11 2 3" xfId="4024" xr:uid="{A0E62911-8A5D-4B0A-BD24-23ABB5991138}"/>
    <cellStyle name="쉼표 [0] 5 11 3" xfId="2980" xr:uid="{8F9D0E89-61CF-4730-B169-15C4A3F8ACFA}"/>
    <cellStyle name="쉼표 [0] 5 11 3 2" xfId="4351" xr:uid="{08F36B5E-C35D-4C8D-A1F7-908C317A7967}"/>
    <cellStyle name="쉼표 [0] 5 11 4" xfId="3697" xr:uid="{4E1BE1F6-359C-49CE-A663-96CB59CCC81E}"/>
    <cellStyle name="쉼표 [0] 5 12" xfId="2324" xr:uid="{C1CE8B5D-F13F-4412-9CA7-74CC96E00D27}"/>
    <cellStyle name="쉼표 [0] 5 12 2" xfId="2661" xr:uid="{86462268-AB77-41EE-8DE6-184D02DD21D8}"/>
    <cellStyle name="쉼표 [0] 5 12 2 2" xfId="3318" xr:uid="{F20A6CFB-60A0-412C-B75D-08BB84F38196}"/>
    <cellStyle name="쉼표 [0] 5 12 2 2 2" xfId="4689" xr:uid="{75D4136F-9E9E-4CCF-8C68-C0DAA0368115}"/>
    <cellStyle name="쉼표 [0] 5 12 2 3" xfId="4035" xr:uid="{5CEEA6D4-B3AE-4463-9BD2-B370C005FA96}"/>
    <cellStyle name="쉼표 [0] 5 12 3" xfId="2991" xr:uid="{92B104EF-B825-45A4-B323-2BE67A8BDD1E}"/>
    <cellStyle name="쉼표 [0] 5 12 3 2" xfId="4362" xr:uid="{BBEDF00B-6916-4C1D-97B5-D5A103E3A49D}"/>
    <cellStyle name="쉼표 [0] 5 12 4" xfId="3708" xr:uid="{27CCDD89-E00D-49E1-B20C-174935A44F67}"/>
    <cellStyle name="쉼표 [0] 5 13" xfId="2339" xr:uid="{20E04443-7C91-41A8-AC2E-79D1FFDC0BE7}"/>
    <cellStyle name="쉼표 [0] 5 13 2" xfId="2676" xr:uid="{80E00980-2093-4E5A-B854-31D3FE23350D}"/>
    <cellStyle name="쉼표 [0] 5 13 2 2" xfId="3333" xr:uid="{F162F2D2-DD96-4B14-A4E8-F10B83F7771C}"/>
    <cellStyle name="쉼표 [0] 5 13 2 2 2" xfId="4704" xr:uid="{C9E6CF7B-9704-44A1-9CD7-8A547FC8FA7D}"/>
    <cellStyle name="쉼표 [0] 5 13 2 3" xfId="4050" xr:uid="{BA88E524-45C1-46A6-B492-082353B5C660}"/>
    <cellStyle name="쉼표 [0] 5 13 3" xfId="3006" xr:uid="{E3D5C74F-E2DA-4F81-9ACD-63B8DF14CBCF}"/>
    <cellStyle name="쉼표 [0] 5 13 3 2" xfId="4377" xr:uid="{31807AB0-2947-4DFE-83A1-43536FBAD60D}"/>
    <cellStyle name="쉼표 [0] 5 13 4" xfId="3723" xr:uid="{D0749B94-EFFE-478C-B09B-8BBEE7863D4C}"/>
    <cellStyle name="쉼표 [0] 5 14" xfId="2351" xr:uid="{43118BC8-20CB-48A5-9FE5-FD7B8A151EC2}"/>
    <cellStyle name="쉼표 [0] 5 14 2" xfId="2688" xr:uid="{B73823DD-2475-457A-9542-50F86D49B10C}"/>
    <cellStyle name="쉼표 [0] 5 14 2 2" xfId="3345" xr:uid="{FEBE2AB8-19E7-4510-90A1-3514A37B21FF}"/>
    <cellStyle name="쉼표 [0] 5 14 2 2 2" xfId="4716" xr:uid="{E6D75357-7C07-4ABF-8FC2-CEF9032CC6C2}"/>
    <cellStyle name="쉼표 [0] 5 14 2 3" xfId="4062" xr:uid="{5577685A-ADCF-4018-A7BE-3E362360ACC4}"/>
    <cellStyle name="쉼표 [0] 5 14 3" xfId="3018" xr:uid="{B1E45463-E293-43F5-9720-C7F50E42C649}"/>
    <cellStyle name="쉼표 [0] 5 14 3 2" xfId="4389" xr:uid="{D43FFEF4-4DE2-4749-A88F-269E44338883}"/>
    <cellStyle name="쉼표 [0] 5 14 4" xfId="3735" xr:uid="{9FE4D8B0-1F91-4F27-9C05-E76DA39E1F7B}"/>
    <cellStyle name="쉼표 [0] 5 15" xfId="2358" xr:uid="{F8E9CF7B-B2E9-4374-80B8-2C060DF81E17}"/>
    <cellStyle name="쉼표 [0] 5 15 2" xfId="2695" xr:uid="{3E6BD7AD-A1A6-45AA-B6A1-29C58E72EC63}"/>
    <cellStyle name="쉼표 [0] 5 15 2 2" xfId="3352" xr:uid="{06FFC630-7E00-4540-893A-C2BBE267E710}"/>
    <cellStyle name="쉼표 [0] 5 15 2 2 2" xfId="4723" xr:uid="{0DFD53A6-9C4C-4AC5-AD52-2AE0AAA6DD94}"/>
    <cellStyle name="쉼표 [0] 5 15 2 3" xfId="4069" xr:uid="{361970E0-0804-4B49-B501-21A5646BE58A}"/>
    <cellStyle name="쉼표 [0] 5 15 3" xfId="3025" xr:uid="{609F0CD7-65BA-422F-ABF0-B07CEF5376ED}"/>
    <cellStyle name="쉼표 [0] 5 15 3 2" xfId="4396" xr:uid="{39DAF541-D736-4E9B-8FAB-C03AA988A1AF}"/>
    <cellStyle name="쉼표 [0] 5 15 4" xfId="3742" xr:uid="{030F9DF5-2CF6-4ACC-8B6D-AF94C79A3922}"/>
    <cellStyle name="쉼표 [0] 5 16" xfId="2382" xr:uid="{E6BD12C2-4996-4FD0-9DC2-4FB5CFA247B0}"/>
    <cellStyle name="쉼표 [0] 5 16 2" xfId="2719" xr:uid="{89BCD1AB-FD49-432B-A17E-D96A68F239B1}"/>
    <cellStyle name="쉼표 [0] 5 16 2 2" xfId="3376" xr:uid="{C3477F2A-D40A-4A1D-BA6B-50687BA0D984}"/>
    <cellStyle name="쉼표 [0] 5 16 2 2 2" xfId="4747" xr:uid="{A24E7349-3EA6-48E6-B44E-964D851071EA}"/>
    <cellStyle name="쉼표 [0] 5 16 2 3" xfId="4093" xr:uid="{E08B48E9-2053-46D3-88B7-CEDE4920417B}"/>
    <cellStyle name="쉼표 [0] 5 16 3" xfId="3049" xr:uid="{661E4043-F293-481D-914D-449D2FD66602}"/>
    <cellStyle name="쉼표 [0] 5 16 3 2" xfId="4420" xr:uid="{2CAE48E0-E2E3-48E5-8BF9-4AF8D2121302}"/>
    <cellStyle name="쉼표 [0] 5 16 4" xfId="3766" xr:uid="{358F9715-A337-44D2-A38A-491ACD16A534}"/>
    <cellStyle name="쉼표 [0] 5 17" xfId="315" xr:uid="{8108843C-C2F3-42FB-AAFE-A3498F49CFE1}"/>
    <cellStyle name="쉼표 [0] 5 17 2" xfId="2502" xr:uid="{295D5DE0-BC47-49E9-A06E-C809B69C561B}"/>
    <cellStyle name="쉼표 [0] 5 17 2 2" xfId="3159" xr:uid="{CDA2E18E-B4E9-41EC-85D4-9896C67C728C}"/>
    <cellStyle name="쉼표 [0] 5 17 2 2 2" xfId="4530" xr:uid="{3A34E6BA-A07B-43CF-AD64-6433197F6590}"/>
    <cellStyle name="쉼표 [0] 5 17 2 3" xfId="3876" xr:uid="{7232CAFE-5C18-4BC7-8569-7A6114231901}"/>
    <cellStyle name="쉼표 [0] 5 17 3" xfId="2829" xr:uid="{1DA5505D-011D-4406-B0CC-01F76290A06C}"/>
    <cellStyle name="쉼표 [0] 5 17 3 2" xfId="4203" xr:uid="{23B258B3-6FB0-49F7-A356-F4C75EA6D886}"/>
    <cellStyle name="쉼표 [0] 5 17 4" xfId="3536" xr:uid="{438F6D56-D112-45A9-8C7A-7D70FAB6603A}"/>
    <cellStyle name="쉼표 [0] 5 18" xfId="2475" xr:uid="{8B7907B2-7F57-4521-B935-7775268EE80F}"/>
    <cellStyle name="쉼표 [0] 5 18 2" xfId="3132" xr:uid="{89AE9989-8719-4F1F-9374-AB99973BBC5D}"/>
    <cellStyle name="쉼표 [0] 5 18 2 2" xfId="4503" xr:uid="{0969EEBC-C49D-4BAE-9440-DC083989154A}"/>
    <cellStyle name="쉼표 [0] 5 18 3" xfId="3849" xr:uid="{8D7288A1-CDAA-42DB-A942-02C1159A24AE}"/>
    <cellStyle name="쉼표 [0] 5 19" xfId="2802" xr:uid="{84153A82-3ABF-4809-A906-64B20F77A34A}"/>
    <cellStyle name="쉼표 [0] 5 19 2" xfId="4176" xr:uid="{3A30F6E8-7796-452B-BEF7-64EE6514C6ED}"/>
    <cellStyle name="쉼표 [0] 5 2" xfId="110" xr:uid="{00000000-0005-0000-0000-00006D000000}"/>
    <cellStyle name="쉼표 [0] 5 2 2" xfId="2383" xr:uid="{226759E7-8112-4D44-8F42-D86BF90886BF}"/>
    <cellStyle name="쉼표 [0] 5 2 2 2" xfId="2720" xr:uid="{1DFB2FFD-543B-4EB0-B200-DFFB9C104473}"/>
    <cellStyle name="쉼표 [0] 5 2 2 2 2" xfId="3377" xr:uid="{FF2C99A1-8A2B-45A8-B9E1-0036E8202CFD}"/>
    <cellStyle name="쉼표 [0] 5 2 2 2 2 2" xfId="4748" xr:uid="{9C96DAB0-15D8-45F2-9D18-4FC4AE150097}"/>
    <cellStyle name="쉼표 [0] 5 2 2 2 3" xfId="4094" xr:uid="{90F54741-0F61-4323-A188-62CB1191C646}"/>
    <cellStyle name="쉼표 [0] 5 2 2 3" xfId="3050" xr:uid="{CAED8AFC-5FDA-417E-A0E3-4EE9F6A49C68}"/>
    <cellStyle name="쉼표 [0] 5 2 2 3 2" xfId="4421" xr:uid="{31D0F9B0-8D3C-4292-B1BA-403771BF9BFA}"/>
    <cellStyle name="쉼표 [0] 5 2 2 4" xfId="3767" xr:uid="{7816341F-0035-415C-BD1A-918505B98435}"/>
    <cellStyle name="쉼표 [0] 5 2 3" xfId="1871" xr:uid="{387C1294-C50B-4409-A879-9669F2597991}"/>
    <cellStyle name="쉼표 [0] 5 2 3 2" xfId="2525" xr:uid="{F59651A6-25E6-4221-BD0A-9FE51B2CB83A}"/>
    <cellStyle name="쉼표 [0] 5 2 3 2 2" xfId="3182" xr:uid="{B7111B55-DCF0-43A8-9C76-4C3F0ADF430A}"/>
    <cellStyle name="쉼표 [0] 5 2 3 2 2 2" xfId="4553" xr:uid="{466C7719-5163-49E1-98C4-E76C412E373C}"/>
    <cellStyle name="쉼표 [0] 5 2 3 2 3" xfId="3899" xr:uid="{3F8589BD-43B4-4BEC-B2A3-5EA959F38F0D}"/>
    <cellStyle name="쉼표 [0] 5 2 3 3" xfId="2855" xr:uid="{E68C727E-9257-4118-9C71-FD0AF236EC52}"/>
    <cellStyle name="쉼표 [0] 5 2 3 3 2" xfId="4226" xr:uid="{EDF2AAB2-ED3A-4E17-AFCB-151CCB543B4F}"/>
    <cellStyle name="쉼표 [0] 5 2 3 4" xfId="3568" xr:uid="{B335D3FD-227A-481F-BB78-D515AC27A98D}"/>
    <cellStyle name="쉼표 [0] 5 2 4" xfId="2489" xr:uid="{F6E07A25-FC1A-4C8D-BB58-3ED17DF82476}"/>
    <cellStyle name="쉼표 [0] 5 2 4 2" xfId="3146" xr:uid="{B679E2A8-B62C-48EA-BF6B-A3AFDA868459}"/>
    <cellStyle name="쉼표 [0] 5 2 4 2 2" xfId="4517" xr:uid="{3A65E0D1-DF6A-4D65-96AA-321F62A28FD9}"/>
    <cellStyle name="쉼표 [0] 5 2 4 3" xfId="3863" xr:uid="{26B70F30-613C-4687-9724-9B864FB9376A}"/>
    <cellStyle name="쉼표 [0] 5 2 5" xfId="2816" xr:uid="{88E75638-8D52-4F5C-BE18-136D5F757D99}"/>
    <cellStyle name="쉼표 [0] 5 2 5 2" xfId="4190" xr:uid="{74CDBE00-F1F7-4D99-B196-CDC335A0F03A}"/>
    <cellStyle name="쉼표 [0] 5 2 6" xfId="300" xr:uid="{F9974AA2-D2A1-4E39-B873-E25CF375FB18}"/>
    <cellStyle name="쉼표 [0] 5 2 6 2" xfId="3523" xr:uid="{1B751BDC-4502-4BD7-8721-61A11C9AB977}"/>
    <cellStyle name="쉼표 [0] 5 2 7" xfId="268" xr:uid="{C2CC5DDD-9F76-4852-AA2A-F7B058DBB1C5}"/>
    <cellStyle name="쉼표 [0] 5 2 8" xfId="3497" xr:uid="{BA81F811-9E46-4995-823F-3FBFEFC172CD}"/>
    <cellStyle name="쉼표 [0] 5 20" xfId="285" xr:uid="{75B074A4-DB4C-4103-A5DE-513EC03E3A9A}"/>
    <cellStyle name="쉼표 [0] 5 20 2" xfId="3509" xr:uid="{2F4DEC13-B06A-4D14-9C87-6C41BD2B72ED}"/>
    <cellStyle name="쉼표 [0] 5 21" xfId="257" xr:uid="{5700B57B-F9D5-418C-892E-A3863DECE2C7}"/>
    <cellStyle name="쉼표 [0] 5 22" xfId="3488" xr:uid="{03E67ED8-6A25-413C-81B0-4CC2CCB0DBA4}"/>
    <cellStyle name="쉼표 [0] 5 3" xfId="1872" xr:uid="{BA0FF41F-CDB8-4236-AB1B-0591BA4927C9}"/>
    <cellStyle name="쉼표 [0] 5 3 2" xfId="2526" xr:uid="{33A1846A-5423-4A1D-971E-875A2B68DD8B}"/>
    <cellStyle name="쉼표 [0] 5 3 2 2" xfId="3183" xr:uid="{B18B0F47-2C16-4964-9F2B-B6FC3043F126}"/>
    <cellStyle name="쉼표 [0] 5 3 2 2 2" xfId="4554" xr:uid="{6F0E199B-BBA6-4F66-B9BF-975D1628403D}"/>
    <cellStyle name="쉼표 [0] 5 3 2 3" xfId="3900" xr:uid="{056C133B-50ED-47F2-B52C-925FC4F3E1D2}"/>
    <cellStyle name="쉼표 [0] 5 3 3" xfId="2856" xr:uid="{949527CF-3D83-4B22-BA9E-166A3D5483A1}"/>
    <cellStyle name="쉼표 [0] 5 3 3 2" xfId="4227" xr:uid="{541B5291-DB5B-4D86-BA81-9238F3E1A58C}"/>
    <cellStyle name="쉼표 [0] 5 3 4" xfId="3569" xr:uid="{03FF4305-685D-47F8-BC5F-6DFFFB6673F9}"/>
    <cellStyle name="쉼표 [0] 5 4" xfId="1870" xr:uid="{E609A1D2-E060-4BF1-B5F6-1F9A2D4B98BE}"/>
    <cellStyle name="쉼표 [0] 5 4 2" xfId="2384" xr:uid="{CA8B1B67-0C6F-484B-B67E-84F145C2FBCB}"/>
    <cellStyle name="쉼표 [0] 5 4 2 2" xfId="2721" xr:uid="{0CB44D3F-09EA-4662-8923-805191D7D3FE}"/>
    <cellStyle name="쉼표 [0] 5 4 2 2 2" xfId="3378" xr:uid="{EC7D9A6C-8432-4CE7-8D7C-4575CA6D58A7}"/>
    <cellStyle name="쉼표 [0] 5 4 2 2 2 2" xfId="4749" xr:uid="{E9350D2A-6E78-444B-90C3-2B990EFCF166}"/>
    <cellStyle name="쉼표 [0] 5 4 2 2 3" xfId="4095" xr:uid="{9D6745E1-F6A4-4D7D-B10B-2693485EB65F}"/>
    <cellStyle name="쉼표 [0] 5 4 2 3" xfId="3051" xr:uid="{33FE5B01-0512-4DF7-8513-2F4F85DF6F9E}"/>
    <cellStyle name="쉼표 [0] 5 4 2 3 2" xfId="4422" xr:uid="{B125FF83-8A47-4729-B80B-277819B1E937}"/>
    <cellStyle name="쉼표 [0] 5 4 2 4" xfId="3768" xr:uid="{F2BCDED9-1DFD-4B1D-B3A1-A0D4E5A775D5}"/>
    <cellStyle name="쉼표 [0] 5 4 3" xfId="2524" xr:uid="{383D849C-4492-48CE-BA64-1369369045E9}"/>
    <cellStyle name="쉼표 [0] 5 4 3 2" xfId="3181" xr:uid="{52A466BD-0670-4EB5-B291-0C59AE9ADCF1}"/>
    <cellStyle name="쉼표 [0] 5 4 3 2 2" xfId="4552" xr:uid="{00AAE2C1-3D2D-4B75-943E-9EF131327ABC}"/>
    <cellStyle name="쉼표 [0] 5 4 3 3" xfId="3898" xr:uid="{1B52D8A2-3D9B-4BCF-97A7-F078A5724B5C}"/>
    <cellStyle name="쉼표 [0] 5 4 4" xfId="2854" xr:uid="{B7933D3D-9598-4235-8420-01108E3FD49C}"/>
    <cellStyle name="쉼표 [0] 5 4 4 2" xfId="4225" xr:uid="{931CC0BB-E4B3-496E-8252-0A0C7F2D217D}"/>
    <cellStyle name="쉼표 [0] 5 4 5" xfId="3567" xr:uid="{6D91B643-A62D-4241-967D-41E4364FD836}"/>
    <cellStyle name="쉼표 [0] 5 5" xfId="2253" xr:uid="{80C45C2C-4B8B-4692-869C-2BFB5CE451E0}"/>
    <cellStyle name="쉼표 [0] 5 5 2" xfId="2598" xr:uid="{C64C2B07-1ACE-4300-9A96-3708897D187A}"/>
    <cellStyle name="쉼표 [0] 5 5 2 2" xfId="3255" xr:uid="{8551F80A-3AC9-4D16-8B1F-2DD3E9F91BF0}"/>
    <cellStyle name="쉼표 [0] 5 5 2 2 2" xfId="4626" xr:uid="{929A3F94-47DD-4301-B608-6F86EDA810F7}"/>
    <cellStyle name="쉼표 [0] 5 5 2 3" xfId="3972" xr:uid="{56F97E65-FE82-45B4-ADDB-C22F65076258}"/>
    <cellStyle name="쉼표 [0] 5 5 3" xfId="2928" xr:uid="{C0F209D1-EDF9-40A6-8DBE-BADF8062754C}"/>
    <cellStyle name="쉼표 [0] 5 5 3 2" xfId="4299" xr:uid="{00D5F2BE-550B-41D1-BF5E-662345B9C0C3}"/>
    <cellStyle name="쉼표 [0] 5 5 4" xfId="3645" xr:uid="{1FE56AF2-B55A-4916-8323-3F2267D9069E}"/>
    <cellStyle name="쉼표 [0] 5 6" xfId="2260" xr:uid="{DABA7B9E-29A7-4354-AF9A-BF401F44F7A4}"/>
    <cellStyle name="쉼표 [0] 5 6 2" xfId="2603" xr:uid="{A9097B82-013D-4BA7-82AF-878FFE251A5F}"/>
    <cellStyle name="쉼표 [0] 5 6 2 2" xfId="3260" xr:uid="{5CC4E7DF-8272-494F-AEC3-DF97B24449A9}"/>
    <cellStyle name="쉼표 [0] 5 6 2 2 2" xfId="4631" xr:uid="{39673318-0F87-4851-BE62-3655E79D0C66}"/>
    <cellStyle name="쉼표 [0] 5 6 2 3" xfId="3977" xr:uid="{E9958DE2-419B-4C01-959D-36D34B8F89C7}"/>
    <cellStyle name="쉼표 [0] 5 6 3" xfId="2933" xr:uid="{D9C1189E-3086-4199-BE63-3D3A5D732E6E}"/>
    <cellStyle name="쉼표 [0] 5 6 3 2" xfId="4304" xr:uid="{90550D55-2C97-4D48-8495-838FE357675A}"/>
    <cellStyle name="쉼표 [0] 5 6 4" xfId="3650" xr:uid="{54632C96-1A44-4D20-8278-DAECA1AE9DAA}"/>
    <cellStyle name="쉼표 [0] 5 7" xfId="2267" xr:uid="{C68AE3BC-DE5C-4591-B0AB-3B8B69F5BF70}"/>
    <cellStyle name="쉼표 [0] 5 7 2" xfId="2610" xr:uid="{0C6A849D-C753-4511-869D-D75C0456DB49}"/>
    <cellStyle name="쉼표 [0] 5 7 2 2" xfId="3267" xr:uid="{0FF5D937-F296-4945-8F4B-9897DFFB143C}"/>
    <cellStyle name="쉼표 [0] 5 7 2 2 2" xfId="4638" xr:uid="{89425B89-F396-45C0-B221-B2AF7AB8726C}"/>
    <cellStyle name="쉼표 [0] 5 7 2 3" xfId="3984" xr:uid="{ABE72018-335A-434F-A820-2ED97B1C2F8F}"/>
    <cellStyle name="쉼표 [0] 5 7 3" xfId="2940" xr:uid="{FE36D6E8-8C66-42FF-B995-84312ED0F926}"/>
    <cellStyle name="쉼표 [0] 5 7 3 2" xfId="4311" xr:uid="{F2EBA05E-86E5-4476-91BC-629B73ADE742}"/>
    <cellStyle name="쉼표 [0] 5 7 4" xfId="3657" xr:uid="{9FB4BC21-EC82-4542-A455-43F9F153828F}"/>
    <cellStyle name="쉼표 [0] 5 8" xfId="2274" xr:uid="{B120ECBD-CECF-482F-9D04-5F3BA5E49382}"/>
    <cellStyle name="쉼표 [0] 5 8 2" xfId="2617" xr:uid="{4E2282F2-E8D0-45F5-84EE-0A27F796F4C4}"/>
    <cellStyle name="쉼표 [0] 5 8 2 2" xfId="3274" xr:uid="{3AA3B4F9-E0FF-4A97-813D-B68099D7AE24}"/>
    <cellStyle name="쉼표 [0] 5 8 2 2 2" xfId="4645" xr:uid="{BFFA1EA2-5021-4950-B928-D593041C8B27}"/>
    <cellStyle name="쉼표 [0] 5 8 2 3" xfId="3991" xr:uid="{3AF2DC33-BFBB-489A-A191-171525EDDA9D}"/>
    <cellStyle name="쉼표 [0] 5 8 3" xfId="2947" xr:uid="{613CAADD-C266-4B46-8FCA-09735B7C6B68}"/>
    <cellStyle name="쉼표 [0] 5 8 3 2" xfId="4318" xr:uid="{32D151E3-7F8F-4441-A7B7-1AC812F0E187}"/>
    <cellStyle name="쉼표 [0] 5 8 4" xfId="3664" xr:uid="{990AF180-8CA3-4CA8-B0CD-B966885F2ACD}"/>
    <cellStyle name="쉼표 [0] 5 9" xfId="2281" xr:uid="{9D88950D-0B9B-444A-8DC8-C18E1366852C}"/>
    <cellStyle name="쉼표 [0] 5 9 2" xfId="2624" xr:uid="{2D4EAAB8-26E1-491E-8807-5EA08EC3219E}"/>
    <cellStyle name="쉼표 [0] 5 9 2 2" xfId="3281" xr:uid="{0E86A616-9547-403D-9E34-C21A0C9C0A3A}"/>
    <cellStyle name="쉼표 [0] 5 9 2 2 2" xfId="4652" xr:uid="{5E504747-41D0-48E7-8F8B-8A763DE2B4EC}"/>
    <cellStyle name="쉼표 [0] 5 9 2 3" xfId="3998" xr:uid="{3F40504A-AD02-40CD-B6DB-68E8EBEA092D}"/>
    <cellStyle name="쉼표 [0] 5 9 3" xfId="2954" xr:uid="{7802A5B2-7556-42FF-9D33-D67722AB1D16}"/>
    <cellStyle name="쉼표 [0] 5 9 3 2" xfId="4325" xr:uid="{756C2779-0B0D-45C0-A93B-E704A901EFEC}"/>
    <cellStyle name="쉼표 [0] 5 9 4" xfId="3671" xr:uid="{4E9E1252-640D-409C-8E2B-B0DAFA6343EA}"/>
    <cellStyle name="쉼표 [0] 6" xfId="111" xr:uid="{00000000-0005-0000-0000-00006E000000}"/>
    <cellStyle name="쉼표 [0] 6 10" xfId="2385" xr:uid="{7776A623-E262-4F9E-BB9C-969FCCC29BB2}"/>
    <cellStyle name="쉼표 [0] 6 10 2" xfId="2722" xr:uid="{5B867D42-EF70-4904-AF2B-F58054FF3A92}"/>
    <cellStyle name="쉼표 [0] 6 10 2 2" xfId="3379" xr:uid="{4B6B8EA4-BC68-4C8A-87FC-A50855570052}"/>
    <cellStyle name="쉼표 [0] 6 10 2 2 2" xfId="4750" xr:uid="{0787BBA7-245B-41EA-8EFE-D06C4EA0FBA5}"/>
    <cellStyle name="쉼표 [0] 6 10 2 3" xfId="4096" xr:uid="{3D0C8D23-51E0-46CD-B263-E802697B6EB1}"/>
    <cellStyle name="쉼표 [0] 6 10 3" xfId="3052" xr:uid="{BDB37EC1-6081-43BC-A6A7-BF11C9BBC6CE}"/>
    <cellStyle name="쉼표 [0] 6 10 3 2" xfId="4423" xr:uid="{ED9A8C3E-DD91-428A-8C30-8C4BC3A1EC8E}"/>
    <cellStyle name="쉼표 [0] 6 10 4" xfId="3769" xr:uid="{D2F0D4E1-D01F-431C-91E8-336A05CF023D}"/>
    <cellStyle name="쉼표 [0] 6 11" xfId="311" xr:uid="{C548D701-9906-4A63-8327-E39B5A93A390}"/>
    <cellStyle name="쉼표 [0] 6 11 2" xfId="2498" xr:uid="{F3492E27-C430-4101-A5DB-C3D7009B5986}"/>
    <cellStyle name="쉼표 [0] 6 11 2 2" xfId="3155" xr:uid="{9C5FEBB8-DD07-40FF-96D4-BACA6813FBAA}"/>
    <cellStyle name="쉼표 [0] 6 11 2 2 2" xfId="4526" xr:uid="{864C98AB-7F90-4179-B029-8E7144FD9C89}"/>
    <cellStyle name="쉼표 [0] 6 11 2 3" xfId="3872" xr:uid="{043CD780-FBE9-473E-A1B0-110D1EB36D2A}"/>
    <cellStyle name="쉼표 [0] 6 11 3" xfId="2825" xr:uid="{2E9596AF-9FC4-47D3-92FD-2F307805D864}"/>
    <cellStyle name="쉼표 [0] 6 11 3 2" xfId="4199" xr:uid="{F0194D70-AF31-484B-B29A-EED3A3B7D75B}"/>
    <cellStyle name="쉼표 [0] 6 11 4" xfId="3532" xr:uid="{5C7E237E-A133-4CA9-A47C-8F0BE6F3B8A6}"/>
    <cellStyle name="쉼표 [0] 6 12" xfId="2476" xr:uid="{3232553A-753D-454D-BB07-CE03D20250A2}"/>
    <cellStyle name="쉼표 [0] 6 12 2" xfId="3133" xr:uid="{90DCADC1-BBAC-4CFB-AD4E-D99F34DF5D81}"/>
    <cellStyle name="쉼표 [0] 6 12 2 2" xfId="4504" xr:uid="{44497CB1-1B67-4347-8AC6-E904E8545AEA}"/>
    <cellStyle name="쉼표 [0] 6 12 3" xfId="3850" xr:uid="{D68A1105-6AD4-4DFD-93D5-1BD0AA574857}"/>
    <cellStyle name="쉼표 [0] 6 13" xfId="2803" xr:uid="{CF8C8BDD-553D-485E-90F5-4D5417C42F3E}"/>
    <cellStyle name="쉼표 [0] 6 13 2" xfId="4177" xr:uid="{CA647BEA-509A-4E69-82B2-775D4272FD58}"/>
    <cellStyle name="쉼표 [0] 6 14" xfId="286" xr:uid="{B33F2061-2DE3-41B2-A3BC-F1ECF4D891EB}"/>
    <cellStyle name="쉼표 [0] 6 14 2" xfId="3510" xr:uid="{04D1055A-ADBC-4A0B-A0A3-494C3A7FEE79}"/>
    <cellStyle name="쉼표 [0] 6 15" xfId="269" xr:uid="{F3D97B73-6B95-41A8-9E80-18F6C7E0CB9B}"/>
    <cellStyle name="쉼표 [0] 6 16" xfId="3498" xr:uid="{795147BD-9BBD-4549-9AC6-C779D762F3FF}"/>
    <cellStyle name="쉼표 [0] 6 2" xfId="301" xr:uid="{B29DB66F-5176-4324-94AF-F4BE738D4B33}"/>
    <cellStyle name="쉼표 [0] 6 2 2" xfId="2386" xr:uid="{BB0A80D2-AD43-4DC6-9564-52CE47F17890}"/>
    <cellStyle name="쉼표 [0] 6 2 2 2" xfId="2723" xr:uid="{4C2724E6-0456-4F44-A684-531300A582F5}"/>
    <cellStyle name="쉼표 [0] 6 2 2 2 2" xfId="3380" xr:uid="{291ED348-FE31-4658-9D50-7465FEBC8869}"/>
    <cellStyle name="쉼표 [0] 6 2 2 2 2 2" xfId="4751" xr:uid="{F62E407F-FEA5-41A3-AF00-C53C008D6371}"/>
    <cellStyle name="쉼표 [0] 6 2 2 2 3" xfId="4097" xr:uid="{C0F5F7D8-27CA-4460-A434-552CBC898258}"/>
    <cellStyle name="쉼표 [0] 6 2 2 3" xfId="3053" xr:uid="{7F60B30A-8DAC-4303-8550-C9E9CBBB5032}"/>
    <cellStyle name="쉼표 [0] 6 2 2 3 2" xfId="4424" xr:uid="{FDEE6EEA-F20E-4917-8776-0121DABC64FF}"/>
    <cellStyle name="쉼표 [0] 6 2 2 4" xfId="3770" xr:uid="{5C189C63-5E72-455F-898F-D89B076646CE}"/>
    <cellStyle name="쉼표 [0] 6 2 3" xfId="1874" xr:uid="{1A5B85A5-CE9A-487E-B002-FB48601E4899}"/>
    <cellStyle name="쉼표 [0] 6 2 3 2" xfId="2528" xr:uid="{FFE45CA5-0F2E-4163-BC65-C5D7A9C87659}"/>
    <cellStyle name="쉼표 [0] 6 2 3 2 2" xfId="3185" xr:uid="{0562E1E6-AF09-41A6-872F-C93DBB539280}"/>
    <cellStyle name="쉼표 [0] 6 2 3 2 2 2" xfId="4556" xr:uid="{30A75DE2-BAA5-4AC4-9C50-6241143B6C1B}"/>
    <cellStyle name="쉼표 [0] 6 2 3 2 3" xfId="3902" xr:uid="{B8BDBE74-EF88-4E27-AA2A-1123DCEBB68E}"/>
    <cellStyle name="쉼표 [0] 6 2 3 3" xfId="2858" xr:uid="{89204C85-EFC9-42EA-B5D0-05047A7EABB0}"/>
    <cellStyle name="쉼표 [0] 6 2 3 3 2" xfId="4229" xr:uid="{F87AABB8-FC06-452C-A552-33A4D794706A}"/>
    <cellStyle name="쉼표 [0] 6 2 3 4" xfId="3571" xr:uid="{FC81A1BD-89A9-4F13-8E37-F74B9C691BCA}"/>
    <cellStyle name="쉼표 [0] 6 2 4" xfId="2490" xr:uid="{131166D1-661D-4CAD-B1A1-58AB91537427}"/>
    <cellStyle name="쉼표 [0] 6 2 4 2" xfId="3147" xr:uid="{0C38CF21-B894-4AA1-BE24-5DC986425B0B}"/>
    <cellStyle name="쉼표 [0] 6 2 4 2 2" xfId="4518" xr:uid="{18ED32A3-35E9-4518-8876-7B520FA86310}"/>
    <cellStyle name="쉼표 [0] 6 2 4 3" xfId="3864" xr:uid="{96071E0C-A9DB-4751-A3C7-263F0ADF74CE}"/>
    <cellStyle name="쉼표 [0] 6 2 5" xfId="2817" xr:uid="{22BE54AA-9FE8-4B5C-AFF8-5790DBF4A000}"/>
    <cellStyle name="쉼표 [0] 6 2 5 2" xfId="4191" xr:uid="{C6F61E35-BAA1-4F44-B03E-5CD28B2685BD}"/>
    <cellStyle name="쉼표 [0] 6 2 6" xfId="3524" xr:uid="{16A58D11-7CF6-4235-933A-0ED9A59397B7}"/>
    <cellStyle name="쉼표 [0] 6 3" xfId="1875" xr:uid="{CE8ED51C-7C76-4C16-B0E9-466E467FC323}"/>
    <cellStyle name="쉼표 [0] 6 3 2" xfId="2387" xr:uid="{0565C37E-1661-4788-B5C4-431436BD32E8}"/>
    <cellStyle name="쉼표 [0] 6 3 2 2" xfId="2724" xr:uid="{08812E24-A754-4606-9BA3-AE12A733DE0E}"/>
    <cellStyle name="쉼표 [0] 6 3 2 2 2" xfId="3381" xr:uid="{19E5869C-8A02-4C18-8442-52029B2D3C21}"/>
    <cellStyle name="쉼표 [0] 6 3 2 2 2 2" xfId="4752" xr:uid="{1F9165B7-0EA5-430D-BBF4-2185AA56C01E}"/>
    <cellStyle name="쉼표 [0] 6 3 2 2 3" xfId="4098" xr:uid="{8DB4B1DA-D47B-4AB1-923E-0203C13EC671}"/>
    <cellStyle name="쉼표 [0] 6 3 2 3" xfId="3054" xr:uid="{CC9CF3FB-4E56-412E-B99D-F3D7FE96A473}"/>
    <cellStyle name="쉼표 [0] 6 3 2 3 2" xfId="4425" xr:uid="{ACB298F4-8E20-4185-BCB5-B1520EAB9135}"/>
    <cellStyle name="쉼표 [0] 6 3 2 4" xfId="3771" xr:uid="{E1C7CE9B-5740-433F-99F5-2FBF141ECC29}"/>
    <cellStyle name="쉼표 [0] 6 3 3" xfId="2529" xr:uid="{CDD9E0E7-2143-4B6A-BD9D-00EBA5559D29}"/>
    <cellStyle name="쉼표 [0] 6 3 3 2" xfId="3186" xr:uid="{8FB58023-9AD3-4DC2-9D7B-8D2B4A5C470D}"/>
    <cellStyle name="쉼표 [0] 6 3 3 2 2" xfId="4557" xr:uid="{37BDCD9F-03BB-4564-B905-2EA9EEF27A4B}"/>
    <cellStyle name="쉼표 [0] 6 3 3 3" xfId="3903" xr:uid="{BA2A915D-18AF-4C77-ACC6-C43619C1066B}"/>
    <cellStyle name="쉼표 [0] 6 3 4" xfId="2859" xr:uid="{97308EF7-96A9-46DF-8384-64B5C6562612}"/>
    <cellStyle name="쉼표 [0] 6 3 4 2" xfId="4230" xr:uid="{B70CE6DD-1518-47C6-AF8A-E05AC5F172E1}"/>
    <cellStyle name="쉼표 [0] 6 3 5" xfId="3572" xr:uid="{615AE1DB-679E-4FBD-8525-4C99E226D6EE}"/>
    <cellStyle name="쉼표 [0] 6 4" xfId="1876" xr:uid="{83831E27-1032-4841-9BCD-5272880D16C7}"/>
    <cellStyle name="쉼표 [0] 6 4 2" xfId="2388" xr:uid="{A778949A-D2FC-4117-9798-E018251E941C}"/>
    <cellStyle name="쉼표 [0] 6 4 2 2" xfId="2725" xr:uid="{98B02609-B00B-4A78-8DAF-0D8A5F364A22}"/>
    <cellStyle name="쉼표 [0] 6 4 2 2 2" xfId="3382" xr:uid="{91A93E92-4FBA-4588-91FA-CCA2713EFFE2}"/>
    <cellStyle name="쉼표 [0] 6 4 2 2 2 2" xfId="4753" xr:uid="{78755061-9B78-4479-9D19-1983207C9F68}"/>
    <cellStyle name="쉼표 [0] 6 4 2 2 3" xfId="4099" xr:uid="{8101FFBB-8186-4CAD-A211-6E0FA824739A}"/>
    <cellStyle name="쉼표 [0] 6 4 2 3" xfId="3055" xr:uid="{74865FD7-1E9C-498C-BEC1-F8A5428D9263}"/>
    <cellStyle name="쉼표 [0] 6 4 2 3 2" xfId="4426" xr:uid="{90E5DF46-6C1C-4150-BD61-922449FC3703}"/>
    <cellStyle name="쉼표 [0] 6 4 2 4" xfId="3772" xr:uid="{A8243226-61EC-44BC-B261-E7ED3AC1AC29}"/>
    <cellStyle name="쉼표 [0] 6 4 3" xfId="2530" xr:uid="{CCD4A658-66E0-4169-BC28-1535EDF27517}"/>
    <cellStyle name="쉼표 [0] 6 4 3 2" xfId="3187" xr:uid="{A551CAC8-23A8-41A2-BB22-1AD89FD54CF8}"/>
    <cellStyle name="쉼표 [0] 6 4 3 2 2" xfId="4558" xr:uid="{90F738C6-F74B-4807-BF9E-ECA49C6F8F08}"/>
    <cellStyle name="쉼표 [0] 6 4 3 3" xfId="3904" xr:uid="{D89BB336-6123-485B-A702-40C08D043958}"/>
    <cellStyle name="쉼표 [0] 6 4 4" xfId="2860" xr:uid="{DEE86CF6-845A-4468-B140-79068CA5D66E}"/>
    <cellStyle name="쉼표 [0] 6 4 4 2" xfId="4231" xr:uid="{244D9189-85F8-4CC8-9747-E323C55C6000}"/>
    <cellStyle name="쉼표 [0] 6 4 5" xfId="3573" xr:uid="{3938290C-99AA-4C6C-80EC-A54CE783D16C}"/>
    <cellStyle name="쉼표 [0] 6 5" xfId="1873" xr:uid="{08DD70D5-6235-4144-AECC-6CBB5335CF56}"/>
    <cellStyle name="쉼표 [0] 6 5 2" xfId="2527" xr:uid="{CB6060B5-187E-40B5-80AE-976928BD7284}"/>
    <cellStyle name="쉼표 [0] 6 5 2 2" xfId="3184" xr:uid="{D8FA4EA7-C8C4-4E0A-800B-59B5373EE162}"/>
    <cellStyle name="쉼표 [0] 6 5 2 2 2" xfId="4555" xr:uid="{7253EBB6-C5A0-424C-9A29-AF0742BE187C}"/>
    <cellStyle name="쉼표 [0] 6 5 2 3" xfId="3901" xr:uid="{4E8A6482-0640-4F95-BB75-D6D2D05F7D45}"/>
    <cellStyle name="쉼표 [0] 6 5 3" xfId="2857" xr:uid="{36202E13-36E4-4207-AD0C-DAB758A94464}"/>
    <cellStyle name="쉼표 [0] 6 5 3 2" xfId="4228" xr:uid="{28F89E8F-72D2-4CA8-B326-2B868FB8E267}"/>
    <cellStyle name="쉼표 [0] 6 5 4" xfId="3570" xr:uid="{31879E1C-F992-465D-B845-B0DCCD4EBE7A}"/>
    <cellStyle name="쉼표 [0] 6 6" xfId="2294" xr:uid="{A6B79E7A-739F-4B1B-B0C5-18B9E735B614}"/>
    <cellStyle name="쉼표 [0] 6 6 2" xfId="2636" xr:uid="{2D04D7B0-9FC7-49A1-A820-FF9F7AEB6D7A}"/>
    <cellStyle name="쉼표 [0] 6 6 2 2" xfId="3293" xr:uid="{CC11D1B9-2E01-4B2C-B137-F09478B270F8}"/>
    <cellStyle name="쉼표 [0] 6 6 2 2 2" xfId="4664" xr:uid="{DEA8AD2F-6C44-49A1-A499-B81FB6D01F2E}"/>
    <cellStyle name="쉼표 [0] 6 6 2 3" xfId="4010" xr:uid="{234BED0D-C08E-4DEC-96DF-A0F1EA9B4A71}"/>
    <cellStyle name="쉼표 [0] 6 6 3" xfId="2966" xr:uid="{D1283AFD-A8B9-4EBA-96AA-8226596D1646}"/>
    <cellStyle name="쉼표 [0] 6 6 3 2" xfId="4337" xr:uid="{29A3027F-8AAD-4EF8-A8CF-F79613DA9F07}"/>
    <cellStyle name="쉼표 [0] 6 6 4" xfId="3683" xr:uid="{8E51FA2D-E6A9-43F2-B865-5EC6A9D0A004}"/>
    <cellStyle name="쉼표 [0] 6 7" xfId="2314" xr:uid="{289473D6-E17D-4356-A60F-B1D40CEE48E6}"/>
    <cellStyle name="쉼표 [0] 6 7 2" xfId="2651" xr:uid="{E51FDFD9-BDAD-4381-B39E-424C68EECF1F}"/>
    <cellStyle name="쉼표 [0] 6 7 2 2" xfId="3308" xr:uid="{60A21F0E-2468-445D-B678-2EA16756D8A8}"/>
    <cellStyle name="쉼표 [0] 6 7 2 2 2" xfId="4679" xr:uid="{AB501D00-A0DD-44EC-BF40-C8B90863692F}"/>
    <cellStyle name="쉼표 [0] 6 7 2 3" xfId="4025" xr:uid="{44A2E624-22B5-458F-8E3F-6F06834F00F1}"/>
    <cellStyle name="쉼표 [0] 6 7 3" xfId="2981" xr:uid="{2337C4B0-6428-4342-8E09-1EC647068E8C}"/>
    <cellStyle name="쉼표 [0] 6 7 3 2" xfId="4352" xr:uid="{758A89D4-5E5F-4108-915A-60238194DDF4}"/>
    <cellStyle name="쉼표 [0] 6 7 4" xfId="3698" xr:uid="{3BF13951-189D-43EC-A411-E244BF01686B}"/>
    <cellStyle name="쉼표 [0] 6 8" xfId="2325" xr:uid="{416AE544-7FFE-4AC1-9E35-4E7D211B5BB6}"/>
    <cellStyle name="쉼표 [0] 6 8 2" xfId="2662" xr:uid="{40FBA2C6-7D6A-4210-B664-72C627510057}"/>
    <cellStyle name="쉼표 [0] 6 8 2 2" xfId="3319" xr:uid="{C32C6F95-7D6B-4065-84A4-C4FCA239874F}"/>
    <cellStyle name="쉼표 [0] 6 8 2 2 2" xfId="4690" xr:uid="{22C7F205-56E1-434D-87D2-386092B260F0}"/>
    <cellStyle name="쉼표 [0] 6 8 2 3" xfId="4036" xr:uid="{D0E777E6-416B-4B32-A22B-BDAD4EEA4FD4}"/>
    <cellStyle name="쉼표 [0] 6 8 3" xfId="2992" xr:uid="{0DFD3F74-5222-409D-8055-DC5A04EBEDEA}"/>
    <cellStyle name="쉼표 [0] 6 8 3 2" xfId="4363" xr:uid="{F372FAC1-A51D-48F9-82C7-F142CEBF2C9E}"/>
    <cellStyle name="쉼표 [0] 6 8 4" xfId="3709" xr:uid="{C9B6EB05-D362-408F-B5A3-54E09D3FE19B}"/>
    <cellStyle name="쉼표 [0] 6 9" xfId="2340" xr:uid="{0A4CD5FC-D6AC-42FF-B63B-216922997688}"/>
    <cellStyle name="쉼표 [0] 6 9 2" xfId="2677" xr:uid="{CC824717-2FAE-43C4-8649-BF0A125DDED1}"/>
    <cellStyle name="쉼표 [0] 6 9 2 2" xfId="3334" xr:uid="{8861C38E-00CC-41DE-B727-A1B8E85FDE9A}"/>
    <cellStyle name="쉼표 [0] 6 9 2 2 2" xfId="4705" xr:uid="{6CA050CC-9FB3-4A61-9F86-C290212FCDBE}"/>
    <cellStyle name="쉼표 [0] 6 9 2 3" xfId="4051" xr:uid="{EB0672CF-910B-4A58-9C51-FDDD9BB03015}"/>
    <cellStyle name="쉼표 [0] 6 9 3" xfId="3007" xr:uid="{F1B67521-6527-4CBF-AF50-DFCF31CB10CB}"/>
    <cellStyle name="쉼표 [0] 6 9 3 2" xfId="4378" xr:uid="{C94D1ECC-B2E8-4422-9D61-97B9A4870512}"/>
    <cellStyle name="쉼표 [0] 6 9 4" xfId="3724" xr:uid="{CD69E74E-4D41-402D-B5FC-B311709CB71E}"/>
    <cellStyle name="쉼표 [0] 7" xfId="263" xr:uid="{04CBEFE3-38AF-4E71-9356-58EFEFB37404}"/>
    <cellStyle name="쉼표 [0] 7 10" xfId="1877" xr:uid="{CBD41BE2-68B6-4755-AA6F-ADCD33CD3ACA}"/>
    <cellStyle name="쉼표 [0] 7 10 2" xfId="2531" xr:uid="{7D15CA58-D6A6-432B-A93E-7519223E885E}"/>
    <cellStyle name="쉼표 [0] 7 10 2 2" xfId="3188" xr:uid="{1BBE1429-2A9E-40FE-9BB0-C13643D60448}"/>
    <cellStyle name="쉼표 [0] 7 10 2 2 2" xfId="4559" xr:uid="{63C28C48-867B-4E10-B243-692F79F33F12}"/>
    <cellStyle name="쉼표 [0] 7 10 2 3" xfId="3905" xr:uid="{A2B11240-452D-4961-8D02-0A5824A4431D}"/>
    <cellStyle name="쉼표 [0] 7 10 3" xfId="2861" xr:uid="{F3BC0B0E-09A2-41BD-85FA-9F28B6A35926}"/>
    <cellStyle name="쉼표 [0] 7 10 3 2" xfId="4232" xr:uid="{B8C33608-EC1B-4F89-B2C0-74D45D20DDAB}"/>
    <cellStyle name="쉼표 [0] 7 10 4" xfId="3574" xr:uid="{5E2A5EFC-7F1C-4902-B2B7-6820E80C0284}"/>
    <cellStyle name="쉼표 [0] 7 11" xfId="2483" xr:uid="{6261272B-4305-4F75-A95E-AB83FCC8A403}"/>
    <cellStyle name="쉼표 [0] 7 11 2" xfId="3140" xr:uid="{3F7120C2-794A-4DA9-BE10-E93BCE67070D}"/>
    <cellStyle name="쉼표 [0] 7 11 2 2" xfId="4511" xr:uid="{0B3E48E2-7992-433D-BF7E-FF35E4E2C705}"/>
    <cellStyle name="쉼표 [0] 7 11 3" xfId="3857" xr:uid="{A08B0218-FA11-4907-9E4A-5A0717972DF4}"/>
    <cellStyle name="쉼표 [0] 7 12" xfId="2810" xr:uid="{4D52E702-F03E-43CF-9D28-F53B89DA5B94}"/>
    <cellStyle name="쉼표 [0] 7 12 2" xfId="4184" xr:uid="{E4F0BA3B-446E-4240-9DDF-D6FBC12C1BDB}"/>
    <cellStyle name="쉼표 [0] 7 13" xfId="294" xr:uid="{6E7D5635-33CB-42F5-AC6E-A0FF3559663B}"/>
    <cellStyle name="쉼표 [0] 7 13 2" xfId="3517" xr:uid="{2E6329B7-1221-4DCC-ABB7-CC62EF65027C}"/>
    <cellStyle name="쉼표 [0] 7 14" xfId="3492" xr:uid="{91AE9E89-DA6E-4B77-B6E4-1D8EE9AB0A32}"/>
    <cellStyle name="쉼표 [0] 7 2" xfId="1878" xr:uid="{0326C0A9-F90F-47A3-BB5D-017F7CA005AD}"/>
    <cellStyle name="쉼표 [0] 7 2 2" xfId="2390" xr:uid="{DA00627E-44F2-4ECE-9E07-3C2CAF9A2A2A}"/>
    <cellStyle name="쉼표 [0] 7 2 2 2" xfId="2727" xr:uid="{1729C0A4-6C2C-445C-A8A3-459327489DEC}"/>
    <cellStyle name="쉼표 [0] 7 2 2 2 2" xfId="3384" xr:uid="{77E147E4-F17C-4146-9DF6-97BB8AF42D0F}"/>
    <cellStyle name="쉼표 [0] 7 2 2 2 2 2" xfId="4755" xr:uid="{D6B59901-315F-4C3A-A878-FED0607147C9}"/>
    <cellStyle name="쉼표 [0] 7 2 2 2 3" xfId="4101" xr:uid="{47C74D47-97BC-4C8C-AF66-FBAB850448A0}"/>
    <cellStyle name="쉼표 [0] 7 2 2 3" xfId="3057" xr:uid="{32B44BF0-6810-4A43-BBCF-33873E1D763C}"/>
    <cellStyle name="쉼표 [0] 7 2 2 3 2" xfId="4428" xr:uid="{A5F2A8C4-455D-45AD-86EB-0B3C5387889C}"/>
    <cellStyle name="쉼표 [0] 7 2 2 4" xfId="3774" xr:uid="{B53C4E7F-7293-48FF-AA21-781415F87B02}"/>
    <cellStyle name="쉼표 [0] 7 2 3" xfId="2532" xr:uid="{E7FC1CA4-2EC8-4E27-8B88-E9766F738AD1}"/>
    <cellStyle name="쉼표 [0] 7 2 3 2" xfId="3189" xr:uid="{3C8C2D04-7185-4F82-83D9-99F31EBA13F7}"/>
    <cellStyle name="쉼표 [0] 7 2 3 2 2" xfId="4560" xr:uid="{D904F215-CFED-47AA-AA4F-831318021A9A}"/>
    <cellStyle name="쉼표 [0] 7 2 3 3" xfId="3906" xr:uid="{AF1DC1B7-A352-4739-9717-F6AF521F35D4}"/>
    <cellStyle name="쉼표 [0] 7 2 4" xfId="2862" xr:uid="{FF7E7FA5-15F7-47A7-BBDA-96F99283E7D5}"/>
    <cellStyle name="쉼표 [0] 7 2 4 2" xfId="4233" xr:uid="{F21E5E71-6F50-43D2-B9A6-A1863A1DF2B0}"/>
    <cellStyle name="쉼표 [0] 7 2 5" xfId="3575" xr:uid="{B37CF57D-80DA-4DD1-8A33-DB109B24DB00}"/>
    <cellStyle name="쉼표 [0] 7 3" xfId="1879" xr:uid="{DE407BE9-F6AF-4394-B523-72D258A55CBF}"/>
    <cellStyle name="쉼표 [0] 7 3 2" xfId="2391" xr:uid="{FC54E839-1F9C-4E92-90B0-92E1F91C6F12}"/>
    <cellStyle name="쉼표 [0] 7 3 2 2" xfId="2728" xr:uid="{8D6A0BBD-D00E-4489-9024-CE53552592DE}"/>
    <cellStyle name="쉼표 [0] 7 3 2 2 2" xfId="3385" xr:uid="{DB48A1FB-39A0-481D-A3D5-A2C836216CEB}"/>
    <cellStyle name="쉼표 [0] 7 3 2 2 2 2" xfId="4756" xr:uid="{C05666C3-0A53-4C15-B406-09FB1D079037}"/>
    <cellStyle name="쉼표 [0] 7 3 2 2 3" xfId="4102" xr:uid="{50584A48-E78F-4859-AF7A-A14EF9931C02}"/>
    <cellStyle name="쉼표 [0] 7 3 2 3" xfId="3058" xr:uid="{54547B9C-8684-4521-B610-BB389451C1D1}"/>
    <cellStyle name="쉼표 [0] 7 3 2 3 2" xfId="4429" xr:uid="{C62590FF-F59B-4A59-96AF-4FEF0DE5D843}"/>
    <cellStyle name="쉼표 [0] 7 3 2 4" xfId="3775" xr:uid="{1351CFD0-D5F6-4840-9CD2-215783BE82DC}"/>
    <cellStyle name="쉼표 [0] 7 3 3" xfId="2533" xr:uid="{B009ED77-0CC4-4897-8477-86AFA62549BE}"/>
    <cellStyle name="쉼표 [0] 7 3 3 2" xfId="3190" xr:uid="{8891ABDC-970F-4B09-8396-E505B5B7C6A7}"/>
    <cellStyle name="쉼표 [0] 7 3 3 2 2" xfId="4561" xr:uid="{D1F6F37F-B648-44C2-BBBD-3FA7A64CB2FE}"/>
    <cellStyle name="쉼표 [0] 7 3 3 3" xfId="3907" xr:uid="{332597EA-070C-4075-823A-E22AEB537A17}"/>
    <cellStyle name="쉼표 [0] 7 3 4" xfId="2863" xr:uid="{9E30BA26-E508-47AE-9ED5-3A9DBD1C3761}"/>
    <cellStyle name="쉼표 [0] 7 3 4 2" xfId="4234" xr:uid="{A9500B2E-03BE-47FC-9F4A-C94A514D8A46}"/>
    <cellStyle name="쉼표 [0] 7 3 5" xfId="3576" xr:uid="{3AA2EB8D-D597-4972-89B8-007017EA2A19}"/>
    <cellStyle name="쉼표 [0] 7 4" xfId="1880" xr:uid="{8652A883-6960-44BD-BB3A-F26AE83B3210}"/>
    <cellStyle name="쉼표 [0] 7 4 2" xfId="2392" xr:uid="{CBFFC4DA-283B-4FE0-A880-5C50F16B6B8B}"/>
    <cellStyle name="쉼표 [0] 7 4 2 2" xfId="2729" xr:uid="{7B2BB37A-C9EE-437C-BD95-400C8319808B}"/>
    <cellStyle name="쉼표 [0] 7 4 2 2 2" xfId="3386" xr:uid="{1AAFDCC9-E1EA-42C8-8EF2-0BDD3CB10AC3}"/>
    <cellStyle name="쉼표 [0] 7 4 2 2 2 2" xfId="4757" xr:uid="{F76AA8D5-09D5-408C-B824-46B567B50A38}"/>
    <cellStyle name="쉼표 [0] 7 4 2 2 3" xfId="4103" xr:uid="{898F5E66-EAB2-4B8D-B4ED-20390B2446B4}"/>
    <cellStyle name="쉼표 [0] 7 4 2 3" xfId="3059" xr:uid="{6E09B6E1-4D9A-466A-99F2-E276FBE9FE95}"/>
    <cellStyle name="쉼표 [0] 7 4 2 3 2" xfId="4430" xr:uid="{3B240387-5CA9-4508-AFEB-FE22045D5091}"/>
    <cellStyle name="쉼표 [0] 7 4 2 4" xfId="3776" xr:uid="{BA766535-E657-490F-BD35-DF899693F756}"/>
    <cellStyle name="쉼표 [0] 7 4 3" xfId="2534" xr:uid="{F42720C6-6A19-40C1-B378-6C3A67CF950A}"/>
    <cellStyle name="쉼표 [0] 7 4 3 2" xfId="3191" xr:uid="{83631C66-8280-4C52-A9CD-69E5B8513C80}"/>
    <cellStyle name="쉼표 [0] 7 4 3 2 2" xfId="4562" xr:uid="{9415682D-6B34-4E1A-870F-A62F79EFF569}"/>
    <cellStyle name="쉼표 [0] 7 4 3 3" xfId="3908" xr:uid="{99EE978F-A7B6-4BCC-9FCD-512061B8DB75}"/>
    <cellStyle name="쉼표 [0] 7 4 4" xfId="2864" xr:uid="{B58BF563-3D31-4AA8-B375-AFA383D48E00}"/>
    <cellStyle name="쉼표 [0] 7 4 4 2" xfId="4235" xr:uid="{4C37DF47-C2CA-49FC-9162-8CDE8F979BA8}"/>
    <cellStyle name="쉼표 [0] 7 4 5" xfId="3577" xr:uid="{F1F44A82-6623-4A4D-8FB7-B2CE603D5674}"/>
    <cellStyle name="쉼표 [0] 7 5" xfId="1881" xr:uid="{9FFCD787-CFC2-44B9-A142-043A20687E77}"/>
    <cellStyle name="쉼표 [0] 7 5 2" xfId="2393" xr:uid="{25E69163-B9C2-4E9F-BD81-1F71FA6B085C}"/>
    <cellStyle name="쉼표 [0] 7 5 2 2" xfId="2730" xr:uid="{1E9344A4-D0FB-43A0-BEB6-2179BB1D2EA1}"/>
    <cellStyle name="쉼표 [0] 7 5 2 2 2" xfId="3387" xr:uid="{02200F60-AD55-4187-B450-8FB302BCC7C6}"/>
    <cellStyle name="쉼표 [0] 7 5 2 2 2 2" xfId="4758" xr:uid="{33A28511-B09A-468E-860A-06141453F6FB}"/>
    <cellStyle name="쉼표 [0] 7 5 2 2 3" xfId="4104" xr:uid="{B404609F-E5BF-49A9-8FB6-350CE271B0E8}"/>
    <cellStyle name="쉼표 [0] 7 5 2 3" xfId="3060" xr:uid="{F2DC4C47-3DBD-4664-BCF8-2061D0496698}"/>
    <cellStyle name="쉼표 [0] 7 5 2 3 2" xfId="4431" xr:uid="{58C07605-7B22-4AD8-9E43-5C35055C795D}"/>
    <cellStyle name="쉼표 [0] 7 5 2 4" xfId="3777" xr:uid="{A7F1A791-55CA-4B7E-B82B-379E45A9012E}"/>
    <cellStyle name="쉼표 [0] 7 5 3" xfId="2535" xr:uid="{ABAE1850-73A3-45CA-A7A9-B9E4CDE60A31}"/>
    <cellStyle name="쉼표 [0] 7 5 3 2" xfId="3192" xr:uid="{4FBE8036-09FB-42A8-B89C-77C5F14C285B}"/>
    <cellStyle name="쉼표 [0] 7 5 3 2 2" xfId="4563" xr:uid="{30CFBA72-A277-461D-98F9-B20CA6B4E8F0}"/>
    <cellStyle name="쉼표 [0] 7 5 3 3" xfId="3909" xr:uid="{B2AB38E2-887F-45B4-8B29-18DF47B1EADB}"/>
    <cellStyle name="쉼표 [0] 7 5 4" xfId="2865" xr:uid="{501BBAF8-413B-42CC-A25D-FC60E0EB78B9}"/>
    <cellStyle name="쉼표 [0] 7 5 4 2" xfId="4236" xr:uid="{D42B879B-E7C5-49AC-A33E-873C2F346BC5}"/>
    <cellStyle name="쉼표 [0] 7 5 5" xfId="3578" xr:uid="{47CC4DDA-355B-4214-A2CC-1D33AED7D8E7}"/>
    <cellStyle name="쉼표 [0] 7 6" xfId="2303" xr:uid="{ADF35921-EBC9-4D62-AA4B-6617BCA96C53}"/>
    <cellStyle name="쉼표 [0] 7 6 2" xfId="2642" xr:uid="{9886518B-C628-4B29-B2AC-CCADA0784766}"/>
    <cellStyle name="쉼표 [0] 7 6 2 2" xfId="3299" xr:uid="{BAA10CFF-CE32-4EDD-AA8C-FFABD9223ED6}"/>
    <cellStyle name="쉼표 [0] 7 6 2 2 2" xfId="4670" xr:uid="{EEAE5B73-24EF-4804-A8D3-4BC5DA5762EF}"/>
    <cellStyle name="쉼표 [0] 7 6 2 3" xfId="4016" xr:uid="{2CD1A67F-37F6-4889-8198-47CEDC2E3207}"/>
    <cellStyle name="쉼표 [0] 7 6 3" xfId="2972" xr:uid="{410EA962-ABF1-457E-B7A7-914A08E129E1}"/>
    <cellStyle name="쉼표 [0] 7 6 3 2" xfId="4343" xr:uid="{8ABAC6A9-499E-4011-ADB4-07F870FE8AA4}"/>
    <cellStyle name="쉼표 [0] 7 6 4" xfId="3689" xr:uid="{E7E30089-5BEB-4ED5-B2BD-259224D0CA85}"/>
    <cellStyle name="쉼표 [0] 7 7" xfId="2331" xr:uid="{13D01E4F-0B3F-41A3-9966-772E4D97A83B}"/>
    <cellStyle name="쉼표 [0] 7 7 2" xfId="2668" xr:uid="{CA472EDE-C4A6-46AA-AC49-5CD71DCE83C0}"/>
    <cellStyle name="쉼표 [0] 7 7 2 2" xfId="3325" xr:uid="{CC810692-0E32-4391-A41E-D893DA7B37D2}"/>
    <cellStyle name="쉼표 [0] 7 7 2 2 2" xfId="4696" xr:uid="{6FD6D044-2C03-4EAB-83BF-D500B4E16210}"/>
    <cellStyle name="쉼표 [0] 7 7 2 3" xfId="4042" xr:uid="{0B43954F-BFB0-46A0-923A-F31BCF8D4C37}"/>
    <cellStyle name="쉼표 [0] 7 7 3" xfId="2998" xr:uid="{B09B9658-A424-4F3D-9A39-6AF2379842EE}"/>
    <cellStyle name="쉼표 [0] 7 7 3 2" xfId="4369" xr:uid="{E4FFBA64-4002-42BF-898D-37B80F484651}"/>
    <cellStyle name="쉼표 [0] 7 7 4" xfId="3715" xr:uid="{ACB7AB68-CBFC-4EF3-A0E7-078F23CA6E0D}"/>
    <cellStyle name="쉼표 [0] 7 8" xfId="2346" xr:uid="{E524DBB9-758B-4796-80D9-D1627483165B}"/>
    <cellStyle name="쉼표 [0] 7 8 2" xfId="2683" xr:uid="{98F4A456-9262-4AB2-9A33-3B174039BC8F}"/>
    <cellStyle name="쉼표 [0] 7 8 2 2" xfId="3340" xr:uid="{46F30CA7-9E9D-4EB8-9F59-F3F5F150CA62}"/>
    <cellStyle name="쉼표 [0] 7 8 2 2 2" xfId="4711" xr:uid="{59044004-2C5C-46B2-9CB5-72634107F6AF}"/>
    <cellStyle name="쉼표 [0] 7 8 2 3" xfId="4057" xr:uid="{4ED2B842-83BB-4413-AB2B-0E7E6E38D6A8}"/>
    <cellStyle name="쉼표 [0] 7 8 3" xfId="3013" xr:uid="{177714AD-0B34-4907-91DF-194F22F70BB2}"/>
    <cellStyle name="쉼표 [0] 7 8 3 2" xfId="4384" xr:uid="{89F9AD55-5136-4409-9541-C2B8874C193E}"/>
    <cellStyle name="쉼표 [0] 7 8 4" xfId="3730" xr:uid="{BD806C0C-E1DC-43A3-9528-4C14BC403D10}"/>
    <cellStyle name="쉼표 [0] 7 9" xfId="2389" xr:uid="{6F59E636-FD53-405B-836B-20A2C69C638D}"/>
    <cellStyle name="쉼표 [0] 7 9 2" xfId="2726" xr:uid="{1498F9AB-063F-410A-968C-12B456165F97}"/>
    <cellStyle name="쉼표 [0] 7 9 2 2" xfId="3383" xr:uid="{CBA2DB05-E887-4836-8821-809A80FBB33F}"/>
    <cellStyle name="쉼표 [0] 7 9 2 2 2" xfId="4754" xr:uid="{337AE583-B266-4E0F-BD15-78105F0B0CC8}"/>
    <cellStyle name="쉼표 [0] 7 9 2 3" xfId="4100" xr:uid="{DB913213-06D9-46E2-9D8C-CA3C936F3A0E}"/>
    <cellStyle name="쉼표 [0] 7 9 3" xfId="3056" xr:uid="{FB7D5BEC-7E4F-4919-817F-07ECD51FC654}"/>
    <cellStyle name="쉼표 [0] 7 9 3 2" xfId="4427" xr:uid="{3054842B-C2A1-4CE2-966C-0D57EF0A5100}"/>
    <cellStyle name="쉼표 [0] 7 9 4" xfId="3773" xr:uid="{E16705E8-AEF4-4FC7-8B58-C20BB759FFC5}"/>
    <cellStyle name="쉼표 [0] 8" xfId="1882" xr:uid="{533FE4DC-7A00-4712-85FC-CDABDEA4EFEC}"/>
    <cellStyle name="쉼표 [0] 8 2" xfId="1883" xr:uid="{CA8AD776-52F5-4AEF-BAAE-01BD143A2021}"/>
    <cellStyle name="쉼표 [0] 8 2 2" xfId="2394" xr:uid="{949ECD32-43A5-47BB-9545-88F59EF0EB7A}"/>
    <cellStyle name="쉼표 [0] 8 2 2 2" xfId="2731" xr:uid="{0964283C-7642-4E73-953B-DB9C224F51A6}"/>
    <cellStyle name="쉼표 [0] 8 2 2 2 2" xfId="3388" xr:uid="{0D3FB789-C903-43D8-BF1E-C46C0373DD81}"/>
    <cellStyle name="쉼표 [0] 8 2 2 2 2 2" xfId="4759" xr:uid="{20779195-DE96-41C5-8D21-47F36C46BAFF}"/>
    <cellStyle name="쉼표 [0] 8 2 2 2 3" xfId="4105" xr:uid="{57D21758-19E0-4B6C-A2C2-84066FDC3B25}"/>
    <cellStyle name="쉼표 [0] 8 2 2 3" xfId="3061" xr:uid="{C08FADE2-5D67-4A6E-B94A-2805FD1C04A4}"/>
    <cellStyle name="쉼표 [0] 8 2 2 3 2" xfId="4432" xr:uid="{67D86A6D-7803-46A5-AAA3-F3B760245121}"/>
    <cellStyle name="쉼표 [0] 8 2 2 4" xfId="3778" xr:uid="{EEB23230-87FD-465C-9408-A14C652EDE98}"/>
    <cellStyle name="쉼표 [0] 8 2 3" xfId="2537" xr:uid="{3AF3CD92-9253-428B-8592-55747E42C87F}"/>
    <cellStyle name="쉼표 [0] 8 2 3 2" xfId="3194" xr:uid="{665113F8-1EBA-49FD-B5E5-5FACED9B0E53}"/>
    <cellStyle name="쉼표 [0] 8 2 3 2 2" xfId="4565" xr:uid="{D0426963-6AD9-4CB3-B7B5-784A28C3CA95}"/>
    <cellStyle name="쉼표 [0] 8 2 3 3" xfId="3911" xr:uid="{5C9040C8-E6BF-460F-AC2A-567F50D3F193}"/>
    <cellStyle name="쉼표 [0] 8 2 4" xfId="2867" xr:uid="{46EA6325-5F0A-4A01-934C-783BA8FF7B70}"/>
    <cellStyle name="쉼표 [0] 8 2 4 2" xfId="4238" xr:uid="{EA032262-ECA9-4A2A-B7C3-5BAC5854DC0D}"/>
    <cellStyle name="쉼표 [0] 8 2 5" xfId="3580" xr:uid="{1A59370E-D57B-4D68-9C4F-2DBD99AC3E4A}"/>
    <cellStyle name="쉼표 [0] 8 3" xfId="1884" xr:uid="{C6A0CB1F-7378-4788-8B1A-2156FAD7E3CC}"/>
    <cellStyle name="쉼표 [0] 8 3 2" xfId="2395" xr:uid="{900213E5-EA6E-472F-B91A-C6B87744AE08}"/>
    <cellStyle name="쉼표 [0] 8 3 2 2" xfId="2732" xr:uid="{BCE57F83-1469-4319-8EC2-A78BFB29C813}"/>
    <cellStyle name="쉼표 [0] 8 3 2 2 2" xfId="3389" xr:uid="{11258ACE-F11E-4B2E-A785-2890C8FD17C7}"/>
    <cellStyle name="쉼표 [0] 8 3 2 2 2 2" xfId="4760" xr:uid="{29AE45FF-A6C0-4E53-B6AA-C15325B067BC}"/>
    <cellStyle name="쉼표 [0] 8 3 2 2 3" xfId="4106" xr:uid="{745B5A13-F531-4079-8018-3534B552D8C0}"/>
    <cellStyle name="쉼표 [0] 8 3 2 3" xfId="3062" xr:uid="{5C0F9219-279F-4D04-A140-48889DD7FD3C}"/>
    <cellStyle name="쉼표 [0] 8 3 2 3 2" xfId="4433" xr:uid="{33649F2B-7338-4D2C-A650-3024856227E3}"/>
    <cellStyle name="쉼표 [0] 8 3 2 4" xfId="3779" xr:uid="{CD9819D1-06D3-4167-A8E3-08CD1227E64F}"/>
    <cellStyle name="쉼표 [0] 8 3 3" xfId="2538" xr:uid="{6F71A606-3254-448D-B0A2-C03B247ED101}"/>
    <cellStyle name="쉼표 [0] 8 3 3 2" xfId="3195" xr:uid="{9E34EF81-A44A-4BB3-82A9-0BE180AEEC19}"/>
    <cellStyle name="쉼표 [0] 8 3 3 2 2" xfId="4566" xr:uid="{D8065979-99B4-4E95-865B-C5E95A491F88}"/>
    <cellStyle name="쉼표 [0] 8 3 3 3" xfId="3912" xr:uid="{6E9EA093-242A-4CF5-960F-EEDFAED50752}"/>
    <cellStyle name="쉼표 [0] 8 3 4" xfId="2868" xr:uid="{8440F8DF-428A-4DDD-B079-3F5D430528CB}"/>
    <cellStyle name="쉼표 [0] 8 3 4 2" xfId="4239" xr:uid="{7F0C72F4-F010-4249-9527-4AC28E30A4AB}"/>
    <cellStyle name="쉼표 [0] 8 3 5" xfId="3581" xr:uid="{E1556504-2AE6-4376-A45F-8A86675FFD39}"/>
    <cellStyle name="쉼표 [0] 8 4" xfId="1885" xr:uid="{90F41694-4FFF-4AC5-AB5D-EB859D0AA894}"/>
    <cellStyle name="쉼표 [0] 8 4 2" xfId="2396" xr:uid="{5FDEC9C6-C6ED-48A9-882F-413DB82DDA99}"/>
    <cellStyle name="쉼표 [0] 8 4 2 2" xfId="2733" xr:uid="{5845F83D-197A-4F27-AF65-6C55FAB08209}"/>
    <cellStyle name="쉼표 [0] 8 4 2 2 2" xfId="3390" xr:uid="{9DF5E52E-59B5-4C45-B7CE-6D37139F6737}"/>
    <cellStyle name="쉼표 [0] 8 4 2 2 2 2" xfId="4761" xr:uid="{25B5ABC2-ECD8-4CCB-A342-2C914BAEE4C8}"/>
    <cellStyle name="쉼표 [0] 8 4 2 2 3" xfId="4107" xr:uid="{1D07EAEA-35AD-4C3F-9559-4CB607A23D48}"/>
    <cellStyle name="쉼표 [0] 8 4 2 3" xfId="3063" xr:uid="{779301C3-4303-43A5-B541-887EA3EE87AD}"/>
    <cellStyle name="쉼표 [0] 8 4 2 3 2" xfId="4434" xr:uid="{E9178590-F055-4EBA-8010-6AE4CDE3C2AE}"/>
    <cellStyle name="쉼표 [0] 8 4 2 4" xfId="3780" xr:uid="{76CA9855-FDBA-474D-94EA-D6DEFE2AC380}"/>
    <cellStyle name="쉼표 [0] 8 4 3" xfId="2539" xr:uid="{5E34E2C5-397C-47A0-9F56-25EDB52A2ECF}"/>
    <cellStyle name="쉼표 [0] 8 4 3 2" xfId="3196" xr:uid="{9E63B6C9-B885-49D5-B1EA-A99632D48A1D}"/>
    <cellStyle name="쉼표 [0] 8 4 3 2 2" xfId="4567" xr:uid="{5A7F8AAF-1639-42BE-87EE-F4DF3610BAF1}"/>
    <cellStyle name="쉼표 [0] 8 4 3 3" xfId="3913" xr:uid="{B08F7C03-BF3C-4318-85DA-CC57E0C3CDCF}"/>
    <cellStyle name="쉼표 [0] 8 4 4" xfId="2869" xr:uid="{2728CF99-67C2-4881-B13A-D4CDA31C9167}"/>
    <cellStyle name="쉼표 [0] 8 4 4 2" xfId="4240" xr:uid="{912C4733-CDE8-4BD0-9EF2-8F67FBADBADC}"/>
    <cellStyle name="쉼표 [0] 8 4 5" xfId="3582" xr:uid="{2A364F65-8CC3-4D80-9FE4-C9939A7052CF}"/>
    <cellStyle name="쉼표 [0] 8 5" xfId="2536" xr:uid="{EA316577-C379-455C-8037-E69C772D0410}"/>
    <cellStyle name="쉼표 [0] 8 5 2" xfId="3193" xr:uid="{2D618E90-B2DA-423C-85DF-95FEE3223F16}"/>
    <cellStyle name="쉼표 [0] 8 5 2 2" xfId="4564" xr:uid="{8CCF7FDC-F6F4-4E13-B2B0-0366C732C11A}"/>
    <cellStyle name="쉼표 [0] 8 5 3" xfId="3910" xr:uid="{6638E699-85F0-436B-9BDD-C9C5B57A0AB4}"/>
    <cellStyle name="쉼표 [0] 8 6" xfId="2866" xr:uid="{02499BD6-3917-4CF7-9613-6621387CE062}"/>
    <cellStyle name="쉼표 [0] 8 6 2" xfId="4237" xr:uid="{749793D8-E1B7-443A-B4B7-E130482A37A5}"/>
    <cellStyle name="쉼표 [0] 8 7" xfId="3579" xr:uid="{A593DB08-653C-46B4-9DBF-846C7270F50F}"/>
    <cellStyle name="쉼표 [0] 9" xfId="1886" xr:uid="{E494990C-64F5-4BF6-8101-AD6A1EEE8CAB}"/>
    <cellStyle name="쉼표 [0] 9 2" xfId="1887" xr:uid="{64DAEF64-D9D2-4FB1-BEA3-32D7C1A90783}"/>
    <cellStyle name="쉼표 [0] 9 2 2" xfId="2398" xr:uid="{6F621F64-8EC3-40D5-A17F-EF31A47717BA}"/>
    <cellStyle name="쉼표 [0] 9 2 2 2" xfId="2735" xr:uid="{4228145E-1A6B-4C95-98E8-64BC85F31F02}"/>
    <cellStyle name="쉼표 [0] 9 2 2 2 2" xfId="3392" xr:uid="{BE916AE8-DD10-4052-8FDA-F41F9E39AA1A}"/>
    <cellStyle name="쉼표 [0] 9 2 2 2 2 2" xfId="4763" xr:uid="{C704A197-F4CE-4F94-8546-DA9694B6A801}"/>
    <cellStyle name="쉼표 [0] 9 2 2 2 3" xfId="4109" xr:uid="{26A9D04A-D159-4A88-921A-B14949557B48}"/>
    <cellStyle name="쉼표 [0] 9 2 2 3" xfId="3065" xr:uid="{309DDA41-7691-4319-B07D-8A044657C9FD}"/>
    <cellStyle name="쉼표 [0] 9 2 2 3 2" xfId="4436" xr:uid="{A067E75B-D146-4348-BA5B-23BA0BE9D55D}"/>
    <cellStyle name="쉼표 [0] 9 2 2 4" xfId="3782" xr:uid="{E7A89042-C804-44F1-BB2A-99B501A0C7F0}"/>
    <cellStyle name="쉼표 [0] 9 2 3" xfId="2541" xr:uid="{3D39EFF0-9409-419F-B2C0-0B3D4AD9CF5B}"/>
    <cellStyle name="쉼표 [0] 9 2 3 2" xfId="3198" xr:uid="{E971BA89-9B48-4A92-A46C-603CEE2E78C7}"/>
    <cellStyle name="쉼표 [0] 9 2 3 2 2" xfId="4569" xr:uid="{18246E6E-D1B0-4A29-A4D7-9E1DA3B0AC64}"/>
    <cellStyle name="쉼표 [0] 9 2 3 3" xfId="3915" xr:uid="{22ED9C81-BAA4-4166-A74D-0E957226E86C}"/>
    <cellStyle name="쉼표 [0] 9 2 4" xfId="2871" xr:uid="{D0913CA3-8301-4D2E-A807-46834A2EF9A7}"/>
    <cellStyle name="쉼표 [0] 9 2 4 2" xfId="4242" xr:uid="{1B7DB30C-589C-4E7A-AE0E-C58E6CDF0F2C}"/>
    <cellStyle name="쉼표 [0] 9 2 5" xfId="3584" xr:uid="{1757BD2E-F925-482D-8154-A3DE6ED23E26}"/>
    <cellStyle name="쉼표 [0] 9 3" xfId="2397" xr:uid="{9ADD7DD6-9320-4EFA-9B54-1456786F1AE5}"/>
    <cellStyle name="쉼표 [0] 9 3 2" xfId="2734" xr:uid="{5AEB1D5A-B65D-4E8C-9564-7930A8C8AB0E}"/>
    <cellStyle name="쉼표 [0] 9 3 2 2" xfId="3391" xr:uid="{C294F3FF-D028-4E3D-B38B-1362FDC98234}"/>
    <cellStyle name="쉼표 [0] 9 3 2 2 2" xfId="4762" xr:uid="{ADF82D04-A626-4666-BAB4-8E6D4064ABC3}"/>
    <cellStyle name="쉼표 [0] 9 3 2 3" xfId="4108" xr:uid="{7026A988-DBB1-45A3-A462-5CEE6354468D}"/>
    <cellStyle name="쉼표 [0] 9 3 3" xfId="3064" xr:uid="{D5404067-9427-400E-BBFD-9C161338A1BB}"/>
    <cellStyle name="쉼표 [0] 9 3 3 2" xfId="4435" xr:uid="{09FB65BC-76DB-46B8-BEB2-2D9DA4EC0F16}"/>
    <cellStyle name="쉼표 [0] 9 3 4" xfId="3781" xr:uid="{56C8073F-AEC0-458F-8172-624022EE2924}"/>
    <cellStyle name="쉼표 [0] 9 4" xfId="2540" xr:uid="{27EA4206-1C9F-4479-9DD0-11D529E1D531}"/>
    <cellStyle name="쉼표 [0] 9 4 2" xfId="3197" xr:uid="{961B8B0E-F625-4921-9635-4CD5F216FA9B}"/>
    <cellStyle name="쉼표 [0] 9 4 2 2" xfId="4568" xr:uid="{DAB63BEB-EA13-4BCA-A3EF-5793C7848E36}"/>
    <cellStyle name="쉼표 [0] 9 4 3" xfId="3914" xr:uid="{3FA6F844-7FA1-4483-911A-575960A3ABD4}"/>
    <cellStyle name="쉼표 [0] 9 5" xfId="2870" xr:uid="{731A983C-D333-47FB-8102-BED8AFBDD61B}"/>
    <cellStyle name="쉼표 [0] 9 5 2" xfId="4241" xr:uid="{E673DDCC-72AE-496A-9E8A-FF55E7D0091E}"/>
    <cellStyle name="쉼표 [0] 9 6" xfId="3583" xr:uid="{6FF920F6-6FCD-4A4A-9D9F-A44D18378CB4}"/>
    <cellStyle name="쉼표 2" xfId="1888" xr:uid="{14ECF2E2-23C3-40EF-AA0A-FCABD1CDD971}"/>
    <cellStyle name="스타일 1" xfId="1889" xr:uid="{D58A343C-14F5-4A8F-9BFC-E24F2E5B5A69}"/>
    <cellStyle name="스타일 1 2" xfId="1890" xr:uid="{DE7AA8FD-EC01-4EA7-A509-7E2D97F60DB3}"/>
    <cellStyle name="스타일 10" xfId="1891" xr:uid="{5D12AD85-540E-4086-89D8-B72AA59AA7BA}"/>
    <cellStyle name="스타일 100" xfId="1892" xr:uid="{165AB9BA-6112-4732-AE00-D5275B3CCE43}"/>
    <cellStyle name="스타일 101" xfId="1893" xr:uid="{97DBB870-323A-496D-B128-EB76BB327E7B}"/>
    <cellStyle name="스타일 102" xfId="1894" xr:uid="{10A1E5FF-8E17-4AA7-9355-D2BCFE14D879}"/>
    <cellStyle name="스타일 103" xfId="1895" xr:uid="{3029A54E-DD12-4BE5-885E-71279DA39EFC}"/>
    <cellStyle name="스타일 104" xfId="1896" xr:uid="{6EABE55F-F005-4BE3-A6DF-30F098FFAAAD}"/>
    <cellStyle name="스타일 105" xfId="1897" xr:uid="{EED63AC3-10E0-4DF4-A70D-B7660B899CD0}"/>
    <cellStyle name="스타일 106" xfId="1898" xr:uid="{2B4A0738-3B11-4718-8DC9-58F0CEB575BC}"/>
    <cellStyle name="스타일 107" xfId="1899" xr:uid="{7C9D8B48-235B-479B-ABF4-B7BE12ABA680}"/>
    <cellStyle name="스타일 108" xfId="1900" xr:uid="{A6AF9C92-6189-4E1A-8294-5D24FCD30F51}"/>
    <cellStyle name="스타일 109" xfId="1901" xr:uid="{D8F6D692-1B16-4FE4-BEFD-F14F5FE039BF}"/>
    <cellStyle name="스타일 11" xfId="1902" xr:uid="{66403239-7337-439B-8FE9-5EB11DD74330}"/>
    <cellStyle name="스타일 110" xfId="1903" xr:uid="{7737D98C-F37B-4E08-861E-EC48AA291F4E}"/>
    <cellStyle name="스타일 111" xfId="1904" xr:uid="{FE42C842-71A4-4704-B1CB-BE9B55A56621}"/>
    <cellStyle name="스타일 112" xfId="1905" xr:uid="{46F04587-B8F4-4FBB-80C4-90EAE492017C}"/>
    <cellStyle name="스타일 113" xfId="1906" xr:uid="{D9C9A70C-6F71-4FA9-82F4-C13D70EACFB4}"/>
    <cellStyle name="스타일 114" xfId="1907" xr:uid="{3E8510D1-295F-4E8E-A676-91D76584DC44}"/>
    <cellStyle name="스타일 115" xfId="1908" xr:uid="{20AE19D9-7CAA-40BE-B4C0-86D09D294F87}"/>
    <cellStyle name="스타일 116" xfId="1909" xr:uid="{BC17E5A1-D46E-4B19-9EE8-6596B46098BA}"/>
    <cellStyle name="스타일 117" xfId="1910" xr:uid="{84993986-DF45-491E-A9C1-F0BF5BC94C21}"/>
    <cellStyle name="스타일 118" xfId="1911" xr:uid="{64AA2709-4F17-4C7D-905B-A5BF2DB2DDFA}"/>
    <cellStyle name="스타일 119" xfId="1912" xr:uid="{8E30B597-688A-4A86-A0B8-7D6ED295FA34}"/>
    <cellStyle name="스타일 12" xfId="1913" xr:uid="{FF33795B-B30D-47F8-A547-BAB34048CFE8}"/>
    <cellStyle name="스타일 120" xfId="1914" xr:uid="{1EBF34A3-411E-442C-95D3-67451D5117A9}"/>
    <cellStyle name="스타일 121" xfId="1915" xr:uid="{0F5D893E-7AAA-49EA-958C-D045CDB2D3D3}"/>
    <cellStyle name="스타일 122" xfId="1916" xr:uid="{3862F9AA-8309-4752-8852-45B3B563ECF1}"/>
    <cellStyle name="스타일 123" xfId="1917" xr:uid="{6BC46E6C-4AA6-4EFA-887C-647030B0632B}"/>
    <cellStyle name="스타일 124" xfId="1918" xr:uid="{8850A62A-0293-4B48-8A55-FF880082FB02}"/>
    <cellStyle name="스타일 125" xfId="1919" xr:uid="{798F024D-BDFA-4681-BD9B-801C02BE5CC3}"/>
    <cellStyle name="스타일 126" xfId="1920" xr:uid="{8BBAA4DD-EB8B-4FD4-89E8-DA5C792D83E9}"/>
    <cellStyle name="스타일 127" xfId="1921" xr:uid="{82549C80-31EF-4D8A-B214-DE37DC9CF883}"/>
    <cellStyle name="스타일 128" xfId="1922" xr:uid="{0DB4B9F4-6E6F-4E45-8D7B-31A8A5328846}"/>
    <cellStyle name="스타일 129" xfId="1923" xr:uid="{5F14C24F-EB03-481E-8AF1-DF85BB07129C}"/>
    <cellStyle name="스타일 13" xfId="1924" xr:uid="{A5CED757-63D9-4E68-8F42-55A229417244}"/>
    <cellStyle name="스타일 130" xfId="1925" xr:uid="{3FAFE31B-E5D1-424F-98F1-A4A3ED16C579}"/>
    <cellStyle name="스타일 131" xfId="1926" xr:uid="{71F5549B-70B2-4DDC-AE47-2E429DA033DE}"/>
    <cellStyle name="스타일 132" xfId="1927" xr:uid="{256B728B-04C8-449B-AC78-D85192C45DC2}"/>
    <cellStyle name="스타일 133" xfId="1928" xr:uid="{71DB84CD-4717-4873-A138-C9FF891A10C1}"/>
    <cellStyle name="스타일 134" xfId="1929" xr:uid="{052F66A5-FB25-4C2C-9808-52A4BD18210F}"/>
    <cellStyle name="스타일 135" xfId="1930" xr:uid="{AB907530-2E2F-4578-A2C2-29F5EBF81BBB}"/>
    <cellStyle name="스타일 136" xfId="1931" xr:uid="{020046E6-4A37-4C96-BF1C-84B8EB63611F}"/>
    <cellStyle name="스타일 137" xfId="1932" xr:uid="{D71E1F90-C0FB-4E58-9261-C46C44FDA242}"/>
    <cellStyle name="스타일 138" xfId="1933" xr:uid="{538891A0-469C-46A2-BB4E-E71A31ECBDDE}"/>
    <cellStyle name="스타일 139" xfId="1934" xr:uid="{31B51558-6DAA-48ED-AEFD-324912039EF6}"/>
    <cellStyle name="스타일 14" xfId="1935" xr:uid="{3E663331-D933-437B-BAD8-7550FC26A9AA}"/>
    <cellStyle name="스타일 140" xfId="1936" xr:uid="{DD2F21FD-45FA-442B-8135-7B596B00A480}"/>
    <cellStyle name="스타일 141" xfId="1937" xr:uid="{696E4146-A068-400D-AEA7-846A4CC55C69}"/>
    <cellStyle name="스타일 142" xfId="1938" xr:uid="{F48D2710-1FA1-4A88-BAC5-7CB44CED61ED}"/>
    <cellStyle name="스타일 143" xfId="1939" xr:uid="{831AC7E1-BBD7-441F-B359-E3842B8B2394}"/>
    <cellStyle name="스타일 144" xfId="1940" xr:uid="{1A869503-2F8E-4D37-B083-AFAB8A270E77}"/>
    <cellStyle name="스타일 145" xfId="1941" xr:uid="{46CB5C8B-6F21-47FE-A316-B9987A4C8BD8}"/>
    <cellStyle name="스타일 15" xfId="1942" xr:uid="{6809A1A3-7FD3-4DBC-BA05-262FF0BC0EDD}"/>
    <cellStyle name="스타일 16" xfId="1943" xr:uid="{2334188E-1DB8-47F2-A0F1-A6560686DFF0}"/>
    <cellStyle name="스타일 17" xfId="1944" xr:uid="{DE98953D-3501-4B0D-9E59-93423CE2B94C}"/>
    <cellStyle name="스타일 18" xfId="1945" xr:uid="{BD3F9C65-7612-4224-B7BF-BE17C9945A3A}"/>
    <cellStyle name="스타일 19" xfId="1946" xr:uid="{0A66A717-C21C-40E1-96ED-23985F03701F}"/>
    <cellStyle name="스타일 2" xfId="1947" xr:uid="{B63FD36D-3ADD-4B54-AB1D-8799E24ADEAC}"/>
    <cellStyle name="스타일 20" xfId="1948" xr:uid="{78CC9B6E-9379-44D7-BB6F-DA5E7225D369}"/>
    <cellStyle name="스타일 21" xfId="1949" xr:uid="{8458278D-7510-46CD-882A-2569AE7179D3}"/>
    <cellStyle name="스타일 22" xfId="1950" xr:uid="{1C25B3E4-033E-4874-A9DD-E1C95F6E22B9}"/>
    <cellStyle name="스타일 23" xfId="1951" xr:uid="{6567BEDB-2EF7-4393-A559-B0F644B56D59}"/>
    <cellStyle name="스타일 24" xfId="1952" xr:uid="{B468846D-7B43-43C1-A08F-87BF6329CF1D}"/>
    <cellStyle name="스타일 25" xfId="1953" xr:uid="{FB6BE3E6-6267-4791-81F6-F3102A5346BF}"/>
    <cellStyle name="스타일 26" xfId="1954" xr:uid="{09F6606A-B200-4A30-A8A7-616576DF1CC4}"/>
    <cellStyle name="스타일 27" xfId="1955" xr:uid="{4D016E53-903A-4B0A-9A5B-2C28C2345EDC}"/>
    <cellStyle name="스타일 28" xfId="1956" xr:uid="{57D216C6-74C6-430A-AFCD-474D82721FFC}"/>
    <cellStyle name="스타일 29" xfId="1957" xr:uid="{C9A2993F-3BAA-45A7-9B8F-6E20715E9FA4}"/>
    <cellStyle name="스타일 3" xfId="1958" xr:uid="{38C5ABA5-0E0D-46CF-B774-172A1A0F4549}"/>
    <cellStyle name="스타일 30" xfId="1959" xr:uid="{32DCA495-559C-4DF3-8424-E2EE9372F25E}"/>
    <cellStyle name="스타일 31" xfId="1960" xr:uid="{81E175BB-FD67-46BD-AE65-12300120C6C6}"/>
    <cellStyle name="스타일 32" xfId="1961" xr:uid="{56D19FBE-98BA-47AE-A973-EB08C16B8EAC}"/>
    <cellStyle name="스타일 33" xfId="1962" xr:uid="{BD065CA4-C401-439B-8526-7C553312171B}"/>
    <cellStyle name="스타일 34" xfId="1963" xr:uid="{83CEBD6A-654A-4907-81B8-3BEA91084C92}"/>
    <cellStyle name="스타일 35" xfId="1964" xr:uid="{6414AE08-135C-4CEF-BDB6-F92FEEAD2E85}"/>
    <cellStyle name="스타일 36" xfId="1965" xr:uid="{22DA3B3C-54E4-4949-BB76-417B7EACDA8A}"/>
    <cellStyle name="스타일 37" xfId="1966" xr:uid="{843ACB90-57FC-4926-833E-A8A43524E8EC}"/>
    <cellStyle name="스타일 38" xfId="1967" xr:uid="{B7DEE61E-505B-4845-9488-13901DFF8AE9}"/>
    <cellStyle name="스타일 39" xfId="1968" xr:uid="{04FBE1AF-D525-48BD-8E48-403544D97265}"/>
    <cellStyle name="스타일 4" xfId="1969" xr:uid="{7949F44F-4CBA-414D-A12B-341B56FFF322}"/>
    <cellStyle name="스타일 40" xfId="1970" xr:uid="{D98D4E83-AE91-407B-91F7-23D57C201DA6}"/>
    <cellStyle name="스타일 41" xfId="1971" xr:uid="{A05C661D-AAAD-4EBD-ACB5-A6AF81F68915}"/>
    <cellStyle name="스타일 42" xfId="1972" xr:uid="{89B0EFD7-05DC-4410-811D-FDB7367E39FA}"/>
    <cellStyle name="스타일 43" xfId="1973" xr:uid="{F26BD9FF-AF56-46BC-ACF1-2F7F16D62591}"/>
    <cellStyle name="스타일 44" xfId="1974" xr:uid="{B5139A73-B893-4D9C-8A57-F68121DD6C74}"/>
    <cellStyle name="스타일 45" xfId="1975" xr:uid="{EDD9B524-2E65-4438-8D8A-8F2F0EE6C4DF}"/>
    <cellStyle name="스타일 46" xfId="1976" xr:uid="{E7BCAA65-3025-4BEC-AF29-17C4A60F113E}"/>
    <cellStyle name="스타일 47" xfId="1977" xr:uid="{0AAA47E8-3BD5-49C0-AE9C-3AB36908CBF2}"/>
    <cellStyle name="스타일 48" xfId="1978" xr:uid="{5F63C0F4-EA35-4FEE-83DF-04E1C2C0B21A}"/>
    <cellStyle name="스타일 49" xfId="1979" xr:uid="{3850F3D1-1841-4B1E-A7AF-692C7EBEDB66}"/>
    <cellStyle name="스타일 5" xfId="1980" xr:uid="{1E55D108-21D1-4720-B1B6-8F8441884A87}"/>
    <cellStyle name="스타일 50" xfId="1981" xr:uid="{7A260EA3-60DB-48A3-97BF-E6051514CFAE}"/>
    <cellStyle name="스타일 51" xfId="1982" xr:uid="{7DDA8A19-99AE-4DF8-A9D2-84BAF5FCA3A5}"/>
    <cellStyle name="스타일 52" xfId="1983" xr:uid="{27FC7808-6A12-45E9-8C1A-A79A8F1111F8}"/>
    <cellStyle name="스타일 53" xfId="1984" xr:uid="{C7856637-3B09-464C-8344-3A479F93A8ED}"/>
    <cellStyle name="스타일 54" xfId="1985" xr:uid="{767906AF-49A4-4849-964C-9C718190C226}"/>
    <cellStyle name="스타일 55" xfId="1986" xr:uid="{FC04CD83-97A0-4CD2-9B98-5CE9C993E445}"/>
    <cellStyle name="스타일 56" xfId="1987" xr:uid="{1EA6B41A-213D-4052-A53E-23BAD89E1B73}"/>
    <cellStyle name="스타일 57" xfId="1988" xr:uid="{1E6102ED-DA68-4184-B2D4-78065537A067}"/>
    <cellStyle name="스타일 58" xfId="1989" xr:uid="{767270D8-80D4-4CA7-94AD-78C9F18FA2A5}"/>
    <cellStyle name="스타일 59" xfId="1990" xr:uid="{A4DB0EAF-D654-4ED8-8BDC-F4C62018B7E2}"/>
    <cellStyle name="스타일 6" xfId="1991" xr:uid="{654A4649-B6D9-46DA-815C-86C4EB1CEC5A}"/>
    <cellStyle name="스타일 60" xfId="1992" xr:uid="{78A51650-30A6-49B4-9578-F3246669B778}"/>
    <cellStyle name="스타일 61" xfId="1993" xr:uid="{42CFB547-7C36-4C07-A85A-C8384F2B297F}"/>
    <cellStyle name="스타일 62" xfId="1994" xr:uid="{ACFDD455-9E8F-4565-8F0D-EDC49016EA06}"/>
    <cellStyle name="스타일 63" xfId="1995" xr:uid="{B765C717-A0DB-45FA-8D19-522AC2FCF6FC}"/>
    <cellStyle name="스타일 64" xfId="1996" xr:uid="{F99E5274-2EF8-40E4-90A6-088389ABC904}"/>
    <cellStyle name="스타일 65" xfId="1997" xr:uid="{43CB4A2E-8D31-4F29-9805-E6D2A4B3BC59}"/>
    <cellStyle name="스타일 66" xfId="1998" xr:uid="{C8E87E71-FDCD-43CD-8A4E-8C581E542CF1}"/>
    <cellStyle name="스타일 67" xfId="1999" xr:uid="{EEAF64DA-9B25-46E7-9111-D6B094D6EFAA}"/>
    <cellStyle name="스타일 68" xfId="2000" xr:uid="{57FDFE11-9DA8-4AEE-8E52-72C85726166F}"/>
    <cellStyle name="스타일 69" xfId="2001" xr:uid="{EA14AC33-C75C-437F-A3D9-F7084B3B7436}"/>
    <cellStyle name="스타일 7" xfId="2002" xr:uid="{F9F93483-3833-4821-B543-F83D460EB97C}"/>
    <cellStyle name="스타일 70" xfId="2003" xr:uid="{113B1BD5-8341-4226-A9D4-39E0782993CA}"/>
    <cellStyle name="스타일 71" xfId="2004" xr:uid="{695092F2-B722-467A-971F-3349A9992B42}"/>
    <cellStyle name="스타일 72" xfId="2005" xr:uid="{F6276211-9852-41DE-AFA1-55CF18AC80F3}"/>
    <cellStyle name="스타일 73" xfId="2006" xr:uid="{181B5FA2-8AA1-4954-9D58-72DB3CDC01CC}"/>
    <cellStyle name="스타일 74" xfId="2007" xr:uid="{7A94B975-23CB-443C-AC88-F922767BFB9B}"/>
    <cellStyle name="스타일 75" xfId="2008" xr:uid="{35C34C15-9587-45FA-83AA-934F6287FEA8}"/>
    <cellStyle name="스타일 76" xfId="2009" xr:uid="{6C097DE9-EB53-48D2-A4C6-9D36380D49FD}"/>
    <cellStyle name="스타일 77" xfId="2010" xr:uid="{00D08BA1-A3AE-430C-9DB1-531D3EFE83A3}"/>
    <cellStyle name="스타일 78" xfId="2011" xr:uid="{BDBB810E-CBAD-4304-B074-07B3956D4E52}"/>
    <cellStyle name="스타일 79" xfId="2012" xr:uid="{0B9E5AFE-7F3D-4385-A180-D0D647E8D4CD}"/>
    <cellStyle name="스타일 8" xfId="2013" xr:uid="{36B631AF-1316-4823-820A-82EF928E837C}"/>
    <cellStyle name="스타일 80" xfId="2014" xr:uid="{7C72452C-BFF4-4544-B029-E6CD8D6D19EB}"/>
    <cellStyle name="스타일 81" xfId="2015" xr:uid="{517ECF6A-8599-4F7E-8562-8B54DF7A3007}"/>
    <cellStyle name="스타일 82" xfId="2016" xr:uid="{3771A096-C65D-4771-8241-57BB4CFB27A3}"/>
    <cellStyle name="스타일 83" xfId="2017" xr:uid="{D1462342-218F-4BC4-B68C-761CFE6383B7}"/>
    <cellStyle name="스타일 84" xfId="2018" xr:uid="{328E4205-EB95-4AA9-897A-3D6531FB767E}"/>
    <cellStyle name="스타일 85" xfId="2019" xr:uid="{1ABC4F1D-9B53-4AB6-816D-CC22D2505E21}"/>
    <cellStyle name="스타일 86" xfId="2020" xr:uid="{3F6F3DA0-0212-463B-A802-117B9F4CD513}"/>
    <cellStyle name="스타일 87" xfId="2021" xr:uid="{F5E83C2D-B2B8-4A77-8713-4993E47E76C2}"/>
    <cellStyle name="스타일 88" xfId="2022" xr:uid="{42C9AF30-D69B-436B-B937-505CDE03F138}"/>
    <cellStyle name="스타일 89" xfId="2023" xr:uid="{2C2383B3-1756-4615-A3D2-43B90A4541BA}"/>
    <cellStyle name="스타일 9" xfId="2024" xr:uid="{E7857569-335E-4454-AB3A-0DCC12446576}"/>
    <cellStyle name="스타일 90" xfId="2025" xr:uid="{B184EBE2-A628-46C5-9A1B-0B3F872773AB}"/>
    <cellStyle name="스타일 91" xfId="2026" xr:uid="{B87F03DF-2F52-4504-A620-494A85A65F90}"/>
    <cellStyle name="스타일 92" xfId="2027" xr:uid="{2512A4D5-6D19-44CA-8D46-551E58DBC7C4}"/>
    <cellStyle name="스타일 93" xfId="2028" xr:uid="{1DD4F512-6E29-4556-AE0B-A96354573DA1}"/>
    <cellStyle name="스타일 94" xfId="2029" xr:uid="{B87BB788-ACDC-45C2-A70D-F75803808880}"/>
    <cellStyle name="스타일 95" xfId="2030" xr:uid="{0C16C105-0B1B-4C62-8B88-AD4733CBC8FF}"/>
    <cellStyle name="스타일 96" xfId="2031" xr:uid="{91D82930-20C4-4727-A93E-C86432434157}"/>
    <cellStyle name="스타일 97" xfId="2032" xr:uid="{7AC7CE15-4C55-4FDA-9402-3005C6A21004}"/>
    <cellStyle name="스타일 98" xfId="2033" xr:uid="{0F3AE94E-AB69-48F0-B777-08030C54FA1D}"/>
    <cellStyle name="스타일 99" xfId="2034" xr:uid="{9883A07C-D974-468A-AD0F-097D4203413D}"/>
    <cellStyle name="悪い" xfId="2035" xr:uid="{6C8AAE1C-D19D-4E45-B419-046041CE2C11}"/>
    <cellStyle name="样式 1" xfId="2036" xr:uid="{112C8813-36F1-4A65-A61E-7A5B48DEB93D}"/>
    <cellStyle name="样式 2" xfId="2037" xr:uid="{69AB459B-54FB-4593-80ED-CFA441F5BA76}"/>
    <cellStyle name="样式 3" xfId="2038" xr:uid="{5AC09397-FB90-4FF7-AC98-5EDEF6A01C26}"/>
    <cellStyle name="样式 4" xfId="2039" xr:uid="{4D231062-99C7-483C-9E41-C1629E5A5005}"/>
    <cellStyle name="样式 5" xfId="2040" xr:uid="{E84E1542-D55D-411A-BEDC-28C75982D500}"/>
    <cellStyle name="样式 6" xfId="2041" xr:uid="{6508650E-7880-44CC-B4B0-2BE39EA3A750}"/>
    <cellStyle name="연결된 셀 2" xfId="112" xr:uid="{00000000-0005-0000-0000-00006F000000}"/>
    <cellStyle name="연결된 셀 3" xfId="113" xr:uid="{00000000-0005-0000-0000-000070000000}"/>
    <cellStyle name="연결된 셀 4" xfId="114" xr:uid="{00000000-0005-0000-0000-000071000000}"/>
    <cellStyle name="요약 2" xfId="115" xr:uid="{00000000-0005-0000-0000-000072000000}"/>
    <cellStyle name="요약 3" xfId="116" xr:uid="{00000000-0005-0000-0000-000073000000}"/>
    <cellStyle name="요약 4" xfId="117" xr:uid="{00000000-0005-0000-0000-000074000000}"/>
    <cellStyle name="一般_5.0G大陸月損益預估050524" xfId="2042" xr:uid="{73E45E72-28EE-4EFD-B4C9-D7B226EC7A7B}"/>
    <cellStyle name="일정_K200창정비 (2)" xfId="2043" xr:uid="{97D050BE-365E-452E-A42D-3BF8FB054226}"/>
    <cellStyle name="入力" xfId="2044" xr:uid="{B363D85D-6161-4058-B48E-6115B3FC1ADB}"/>
    <cellStyle name="입력 2" xfId="118" xr:uid="{00000000-0005-0000-0000-000075000000}"/>
    <cellStyle name="入力 2" xfId="2045" xr:uid="{B29A4BD7-F133-4801-AADC-E581FE6312E5}"/>
    <cellStyle name="입력 3" xfId="119" xr:uid="{00000000-0005-0000-0000-000076000000}"/>
    <cellStyle name="입력 4" xfId="120" xr:uid="{00000000-0005-0000-0000-000077000000}"/>
    <cellStyle name="자리수" xfId="2046" xr:uid="{8724D28F-9B99-4D30-AEBD-762E16EBAB8D}"/>
    <cellStyle name="자리수0" xfId="2047" xr:uid="{0981D1CB-F771-4B4D-8A23-5108E315CC09}"/>
    <cellStyle name="제목 1 2" xfId="121" xr:uid="{00000000-0005-0000-0000-000078000000}"/>
    <cellStyle name="제목 1 3" xfId="122" xr:uid="{00000000-0005-0000-0000-000079000000}"/>
    <cellStyle name="제목 1 4" xfId="123" xr:uid="{00000000-0005-0000-0000-00007A000000}"/>
    <cellStyle name="제목 2 2" xfId="124" xr:uid="{00000000-0005-0000-0000-00007B000000}"/>
    <cellStyle name="제목 2 3" xfId="125" xr:uid="{00000000-0005-0000-0000-00007C000000}"/>
    <cellStyle name="제목 2 4" xfId="126" xr:uid="{00000000-0005-0000-0000-00007D000000}"/>
    <cellStyle name="제목 3 2" xfId="127" xr:uid="{00000000-0005-0000-0000-00007E000000}"/>
    <cellStyle name="제목 3 3" xfId="128" xr:uid="{00000000-0005-0000-0000-00007F000000}"/>
    <cellStyle name="제목 3 4" xfId="129" xr:uid="{00000000-0005-0000-0000-000080000000}"/>
    <cellStyle name="제목 4 2" xfId="130" xr:uid="{00000000-0005-0000-0000-000081000000}"/>
    <cellStyle name="제목 4 3" xfId="131" xr:uid="{00000000-0005-0000-0000-000082000000}"/>
    <cellStyle name="제목 4 4" xfId="132" xr:uid="{00000000-0005-0000-0000-000083000000}"/>
    <cellStyle name="제목 5" xfId="133" xr:uid="{00000000-0005-0000-0000-000084000000}"/>
    <cellStyle name="제목 6" xfId="134" xr:uid="{00000000-0005-0000-0000-000085000000}"/>
    <cellStyle name="제목 7" xfId="135" xr:uid="{00000000-0005-0000-0000-000086000000}"/>
    <cellStyle name="좋음 2" xfId="136" xr:uid="{00000000-0005-0000-0000-000087000000}"/>
    <cellStyle name="좋음 3" xfId="137" xr:uid="{00000000-0005-0000-0000-000088000000}"/>
    <cellStyle name="좋음 4" xfId="138" xr:uid="{00000000-0005-0000-0000-000089000000}"/>
    <cellStyle name="注释" xfId="2048" xr:uid="{B6C78704-5F7B-4F85-BE35-1EB56468B777}"/>
    <cellStyle name="注释 2" xfId="2049" xr:uid="{825C3776-D505-4F77-BDE0-DBAD46AE7596}"/>
    <cellStyle name="集計" xfId="2050" xr:uid="{19A83842-3760-4785-93B4-5CE82A78979F}"/>
    <cellStyle name="集計 2" xfId="2051" xr:uid="{736D0024-D9AE-4956-854A-8CF374B40222}"/>
    <cellStyle name="差" xfId="2052" xr:uid="{DDB6A0C3-29E3-40AB-AB73-C589881B415A}"/>
    <cellStyle name="差_B4 Utility summary code name 091104 구동호" xfId="2053" xr:uid="{A9E81889-07F0-4564-BF73-637AA24D55E5}"/>
    <cellStyle name="差_B4 Utility summary DNP reply 091030 구동호" xfId="2054" xr:uid="{5D849869-4C6E-47E2-B8FC-8411383E127F}"/>
    <cellStyle name="差_B4 Utility summary DNP reply091016 jp confirmed구동호" xfId="2055" xr:uid="{5B0B1267-3C21-4F06-8CA9-355423BA9181}"/>
    <cellStyle name="差_B4 Utility summary DNP reply091016구동효" xfId="2056" xr:uid="{1D0E7CF6-42A4-4436-80F8-267A98C875E8}"/>
    <cellStyle name="差_B4 Utility summary unit usage(20091130 DNP-3)BOE구동호" xfId="2057" xr:uid="{68F3EC26-4599-4331-80ED-508C4A94B106}"/>
    <cellStyle name="差_B4 Utility summary unit usage(20091130 DNP-4)BOE" xfId="2058" xr:uid="{C370981F-AD89-40F5-BEDD-528C53C2F439}"/>
    <cellStyle name="差_B4 Utility summary unit usage(20091130 DNP-4)BOE구동호" xfId="2059" xr:uid="{782043B4-16FA-41B0-B36F-68AA5E6CE62A}"/>
    <cellStyle name="差_B4 Utility summary unit usage(20091216)_윤인수" xfId="2060" xr:uid="{2E6820ED-576C-4F19-A103-F4CB635E4966}"/>
    <cellStyle name="差_B4 Utility summary unit usage(20091217)_구동호" xfId="2061" xr:uid="{E2B5DC5C-E0EB-437A-9418-89301E4B6C7D}"/>
    <cellStyle name="差_B4 Utility Summary(120K)_Rev.2_(091104)_ks" xfId="2062" xr:uid="{8DC7D01F-7651-4A5F-B529-2C18AE4ABE90}"/>
    <cellStyle name="差_B4 Utility Summary(120K)_Rev.2_(091104)_ks_05-3" xfId="2063" xr:uid="{D994CC77-0B4D-40E7-899B-A97363618E77}"/>
    <cellStyle name="差_B4 Utility Summary(120K)_Rev.2_(091104)_ks_BOE-DT B4 ROBOT Requirement_ 20100607_testupdate" xfId="2064" xr:uid="{ADB0E98E-12D3-4B25-9101-CF351A940FEE}"/>
    <cellStyle name="差_B4 Utility Summary(120K)_Rev.7_(100121)_Test Update" xfId="2065" xr:uid="{A481ED95-790B-488C-9DE8-D2826F7A6DAE}"/>
    <cellStyle name="差_B4 Utility Summary(120K)_Rev.7_(100121)_Test Update_05-3" xfId="2066" xr:uid="{0EEEA66B-00A4-499E-BD2B-2884FE4F1114}"/>
    <cellStyle name="差_B4 Utility Summary(120K)_Rev.7_(100121)_Test Update_BOE-DT B4 ROBOT Requirement_ 20100607_testupdate" xfId="2067" xr:uid="{D396D953-0B13-4AA1-BBC4-62DFA8721B70}"/>
    <cellStyle name="差_B4 Utility Summary(90K) - Rev.9 (091013)" xfId="2068" xr:uid="{DFDF2B6E-3324-4DD4-A871-0C11A9FE6E5D}"/>
    <cellStyle name="差_B4 Utility Summary_Module(90K) - Rev.8 (091012)" xfId="2069" xr:uid="{A44FAF52-C840-48DD-B937-39E8860686DB}"/>
    <cellStyle name="差_B4 Utility Summary_Module(90K) - Rev.9 (091013)" xfId="2070" xr:uid="{C7A70A42-D44E-4B68-A590-C5EBA3FFCE1B}"/>
    <cellStyle name="千分位_5.0G大陸月損益預估050524" xfId="2071" xr:uid="{A54D036C-1DC2-4B3A-A1AD-727FF2B0CFA4}"/>
    <cellStyle name="첫제목" xfId="2072" xr:uid="{32487185-BE72-4530-A05E-2D5E3A5CEAC0}"/>
    <cellStyle name="出力" xfId="2073" xr:uid="{AF08C47E-363B-4A00-9936-E5B31BC6BE7D}"/>
    <cellStyle name="출력 2" xfId="139" xr:uid="{00000000-0005-0000-0000-00008A000000}"/>
    <cellStyle name="出力 2" xfId="2074" xr:uid="{15EDC247-6139-4817-B10D-4A55C7796A4D}"/>
    <cellStyle name="출력 3" xfId="140" xr:uid="{00000000-0005-0000-0000-00008B000000}"/>
    <cellStyle name="출력 4" xfId="141" xr:uid="{00000000-0005-0000-0000-00008C000000}"/>
    <cellStyle name="콤" xfId="2075" xr:uid="{069C0168-4805-4800-8609-C9A57AF36813}"/>
    <cellStyle name="콤_Daeshin Price List (122309)" xfId="2076" xr:uid="{058F3FC2-83E8-4DFF-BD96-E6BC59F7DD7F}"/>
    <cellStyle name="콤_Daeshin Price List (122309)_Daeshin Pricing and Calculations 7Jun12" xfId="2077" xr:uid="{F39FCE25-68F6-4747-8B90-489A7757B6E7}"/>
    <cellStyle name="콤마 " xfId="2078" xr:uid="{758F9B21-EC03-442A-9D31-0B6EBF4E1133}"/>
    <cellStyle name="콤마 [" xfId="2079" xr:uid="{4969694C-2DA3-473D-8210-5DEFB294A06A}"/>
    <cellStyle name="콤마 [0]_   " xfId="2080" xr:uid="{063BD42D-2B5F-4208-B7C4-D07DFE60739B}"/>
    <cellStyle name="콤마,_x0005__x0014_" xfId="2081" xr:uid="{B6203ABB-D86A-4D28-8917-E6C545FCF098}"/>
    <cellStyle name="콤마_   " xfId="2082" xr:uid="{E35CF9CB-3509-45BD-B9F4-E55900573444}"/>
    <cellStyle name="통" xfId="2083" xr:uid="{642BD523-BCEE-424B-A1F4-B1E2DD390283}"/>
    <cellStyle name="통 2" xfId="2084" xr:uid="{E7671A2C-7B5E-42A8-843D-C2AE3526853C}"/>
    <cellStyle name="통 3" xfId="2399" xr:uid="{4CFEF474-6043-46AA-A87A-0C5835FD272C}"/>
    <cellStyle name="통 3 2" xfId="2736" xr:uid="{D8366AA4-715C-403D-A9F7-B935EE08BF61}"/>
    <cellStyle name="통 3 2 2" xfId="3393" xr:uid="{A73A07D9-643C-4587-9749-E9277912DF75}"/>
    <cellStyle name="통 3 2 2 2" xfId="4764" xr:uid="{1724BE60-CE67-4E6F-AC5E-FE8ACBCBA6CF}"/>
    <cellStyle name="통 3 2 3" xfId="4110" xr:uid="{0551674F-837B-40F8-B2D3-3C01D78CF7F6}"/>
    <cellStyle name="통 3 3" xfId="3066" xr:uid="{7C81EC5A-4A77-40D1-96C9-FC98E111AE51}"/>
    <cellStyle name="통 3 3 2" xfId="4437" xr:uid="{092318A9-97FF-407B-BBFE-9AC29D6743FD}"/>
    <cellStyle name="통 3 4" xfId="3783" xr:uid="{40412385-BC20-4264-9C07-38DBF91E7D1D}"/>
    <cellStyle name="통 4" xfId="2542" xr:uid="{1152C07B-7D7E-4DE8-854B-6E44A1C0F4D3}"/>
    <cellStyle name="통 4 2" xfId="3199" xr:uid="{C455FBC8-CCD4-4842-B26C-5EB0718B55BB}"/>
    <cellStyle name="통 4 2 2" xfId="4570" xr:uid="{E04600A9-5B42-440F-8896-F375112090FF}"/>
    <cellStyle name="통 4 3" xfId="3916" xr:uid="{D33AD49A-DDA2-4482-8D19-2B60AF87ECEC}"/>
    <cellStyle name="통 5" xfId="2872" xr:uid="{C9B86AC7-9598-4D4C-A569-3D50A0DFBC05}"/>
    <cellStyle name="통 5 2" xfId="4243" xr:uid="{5C3BE1CB-75CE-447D-A67C-1D928A2730F2}"/>
    <cellStyle name="통 6" xfId="3587" xr:uid="{961AE3E4-C520-45C2-888D-59C8BFAB0998}"/>
    <cellStyle name="통_Daeshin Price List (122309)" xfId="2085" xr:uid="{E9255D32-F3BF-416B-AF8C-37830F4D80B1}"/>
    <cellStyle name="통_Daeshin Price List (122309)_Daeshin Pricing and Calculations 7Jun12" xfId="2086" xr:uid="{8B1CFD10-0F39-4A31-9EE5-F22F067DEE21}"/>
    <cellStyle name="통Þ [0]_시스템본부 주간영업현황" xfId="2087" xr:uid="{4EB35363-6801-43FE-A7C0-F1180EFB1359}"/>
    <cellStyle name="통Þ_표지 (2)" xfId="2088" xr:uid="{CA6C6364-136A-4C53-A42E-F80FEB5DEAD6}"/>
    <cellStyle name="통_전략과제별비용추가내역" xfId="2089" xr:uid="{E0A15AFD-47B3-4BA7-9CCB-519F23A873C0}"/>
    <cellStyle name="통階 [0]_매출" xfId="2090" xr:uid="{C9A659C3-5BE3-4A09-A386-21A6C9A88701}"/>
    <cellStyle name="통階_4월2주" xfId="2091" xr:uid="{F8307EBC-1D62-460A-888C-BE7F2BD422F8}"/>
    <cellStyle name="통뙪 [0]_영업외비용_1" xfId="2092" xr:uid="{23DFF0C2-655C-435E-8458-21839804D0B4}"/>
    <cellStyle name="통뜭 [0]_주간주요업무_주간주요업무 (2)" xfId="2093" xr:uid="{7E0D1BFD-3887-4662-B9E2-14867E6BBAB9}"/>
    <cellStyle name="통鈺 [0]_정보시스템_TABLE" xfId="2094" xr:uid="{E6A79AE4-1E6A-4533-B7E3-5F82BF6BE5AA}"/>
    <cellStyle name="통蘈Ǿ⑰ǈ_x000c__x000a_ဠ" xfId="2095" xr:uid="{D19A676C-E539-4E7C-95AC-AAEB85F895ED}"/>
    <cellStyle name="통화 [" xfId="2096" xr:uid="{E3DC479F-6FED-483B-910D-4402AB6C5F73}"/>
    <cellStyle name="通貨 [0.00]_LC-1100G配管接続表" xfId="2097" xr:uid="{FDF887AF-F90F-4AFD-96E1-AAC43D08E60B}"/>
    <cellStyle name="통화 [0] 2" xfId="143" xr:uid="{00000000-0005-0000-0000-00008F000000}"/>
    <cellStyle name="통화 [0] 2 10" xfId="2285" xr:uid="{06653EA9-D99A-4D64-8A20-DEA6ADEEAD2F}"/>
    <cellStyle name="통화 [0] 2 10 2" xfId="2628" xr:uid="{0F2F2398-CC49-4D5E-BE6F-A0F23C871F39}"/>
    <cellStyle name="통화 [0] 2 10 2 2" xfId="3285" xr:uid="{8B6DB2FE-1D94-4C16-B7FC-7411F3125AB2}"/>
    <cellStyle name="통화 [0] 2 10 2 2 2" xfId="4656" xr:uid="{64C63381-69E4-4E99-8934-12E1ED452F17}"/>
    <cellStyle name="통화 [0] 2 10 2 3" xfId="4002" xr:uid="{5A1F50F8-9690-49FA-A672-412C71EB09CF}"/>
    <cellStyle name="통화 [0] 2 10 3" xfId="2958" xr:uid="{27841281-02DE-47AB-AC28-D750F6E9E21E}"/>
    <cellStyle name="통화 [0] 2 10 3 2" xfId="4329" xr:uid="{83C311BB-D879-4BE2-8BF5-7C2D930C7853}"/>
    <cellStyle name="통화 [0] 2 10 4" xfId="3675" xr:uid="{B0E1A92B-8B87-46E1-AED7-7E74AAD49B57}"/>
    <cellStyle name="통화 [0] 2 11" xfId="2306" xr:uid="{8BAE9523-5294-4A22-8E49-B0418A725F3F}"/>
    <cellStyle name="통화 [0] 2 11 2" xfId="2643" xr:uid="{821528DB-5EF1-4C7D-9B12-1C8F69C98384}"/>
    <cellStyle name="통화 [0] 2 11 2 2" xfId="3300" xr:uid="{D4EB8FE2-248D-40B2-8BC0-1FF4595825A8}"/>
    <cellStyle name="통화 [0] 2 11 2 2 2" xfId="4671" xr:uid="{04602D3C-D46B-4820-BB19-FD750A7A3DA1}"/>
    <cellStyle name="통화 [0] 2 11 2 3" xfId="4017" xr:uid="{8EC9EF95-B238-4542-92B6-ED758AAB083C}"/>
    <cellStyle name="통화 [0] 2 11 3" xfId="2973" xr:uid="{832EBE65-E56F-472C-ACF5-22B9F8443D09}"/>
    <cellStyle name="통화 [0] 2 11 3 2" xfId="4344" xr:uid="{D146BBA4-EE20-460C-9878-B2691A7E35C9}"/>
    <cellStyle name="통화 [0] 2 11 4" xfId="3690" xr:uid="{D0DC7798-7D72-44A8-9F37-574D3EAA005F}"/>
    <cellStyle name="통화 [0] 2 12" xfId="2317" xr:uid="{A4131CF0-45C3-444F-AD93-2F41F18F8525}"/>
    <cellStyle name="통화 [0] 2 12 2" xfId="2654" xr:uid="{85070CF2-CC18-4504-B505-E26999B12881}"/>
    <cellStyle name="통화 [0] 2 12 2 2" xfId="3311" xr:uid="{615BA8B7-57F4-4288-A881-624EF2839CC4}"/>
    <cellStyle name="통화 [0] 2 12 2 2 2" xfId="4682" xr:uid="{62124502-FB44-4B04-A9BD-AC028708EE02}"/>
    <cellStyle name="통화 [0] 2 12 2 3" xfId="4028" xr:uid="{76852C2D-E585-4595-8F62-EF508FFBF539}"/>
    <cellStyle name="통화 [0] 2 12 3" xfId="2984" xr:uid="{706B9442-2078-4DDA-86C9-6DB01CA2F7E7}"/>
    <cellStyle name="통화 [0] 2 12 3 2" xfId="4355" xr:uid="{B90862C0-D236-4A78-96C7-3481AF88B712}"/>
    <cellStyle name="통화 [0] 2 12 4" xfId="3701" xr:uid="{649043B1-223A-412A-A6B9-89AA62AA3176}"/>
    <cellStyle name="통화 [0] 2 13" xfId="2332" xr:uid="{DBF4DE94-FA66-4C64-911F-239EAAB46EF3}"/>
    <cellStyle name="통화 [0] 2 13 2" xfId="2669" xr:uid="{827EDFB4-47DB-44A0-8927-5212C37E558B}"/>
    <cellStyle name="통화 [0] 2 13 2 2" xfId="3326" xr:uid="{19054A8D-3065-4395-B48E-B714C8D6170A}"/>
    <cellStyle name="통화 [0] 2 13 2 2 2" xfId="4697" xr:uid="{EA5EE6F1-1ED3-4014-A19A-6A8B6A138759}"/>
    <cellStyle name="통화 [0] 2 13 2 3" xfId="4043" xr:uid="{BFCC3E15-0146-4A2C-8EFF-7C98C2EAFDD1}"/>
    <cellStyle name="통화 [0] 2 13 3" xfId="2999" xr:uid="{B4837830-4EE4-4A76-9AB0-54B3C938CB67}"/>
    <cellStyle name="통화 [0] 2 13 3 2" xfId="4370" xr:uid="{AA7A094C-56BD-45D3-8430-9A584086E273}"/>
    <cellStyle name="통화 [0] 2 13 4" xfId="3716" xr:uid="{4DF87CB0-5ABE-43F2-A7EA-294CE229905B}"/>
    <cellStyle name="통화 [0] 2 14" xfId="2350" xr:uid="{17E68D76-13E3-4837-9A56-59B2EB142349}"/>
    <cellStyle name="통화 [0] 2 14 2" xfId="2687" xr:uid="{80132165-EB3A-4A90-9923-F4A22706CFF0}"/>
    <cellStyle name="통화 [0] 2 14 2 2" xfId="3344" xr:uid="{45D81E6F-3014-4720-9222-FE44786E4AD5}"/>
    <cellStyle name="통화 [0] 2 14 2 2 2" xfId="4715" xr:uid="{AB42CF2D-5509-414F-8F55-C25748B31D74}"/>
    <cellStyle name="통화 [0] 2 14 2 3" xfId="4061" xr:uid="{D45AD6BB-5762-44D0-A4B4-F80803DE3ED5}"/>
    <cellStyle name="통화 [0] 2 14 3" xfId="3017" xr:uid="{EB28627E-7F30-4995-A6D5-B5D4C2C820B2}"/>
    <cellStyle name="통화 [0] 2 14 3 2" xfId="4388" xr:uid="{1C907547-BD04-4C60-AA7E-EE0F3ADE400C}"/>
    <cellStyle name="통화 [0] 2 14 4" xfId="3734" xr:uid="{F7DFB8D6-E15E-491D-806F-3EF255BF5EC8}"/>
    <cellStyle name="통화 [0] 2 15" xfId="290" xr:uid="{7D49E9C0-FD1D-4772-8602-576A383069FC}"/>
    <cellStyle name="통화 [0] 2 15 2" xfId="304" xr:uid="{77CCE5A8-AFA2-4B9A-85BD-B58E1C537A0D}"/>
    <cellStyle name="통화 [0] 2 15 2 2" xfId="2493" xr:uid="{4228F42C-46C1-4190-A8E0-9713033A99CA}"/>
    <cellStyle name="통화 [0] 2 15 2 2 2" xfId="3150" xr:uid="{6F34F3DE-7446-488A-9BFA-50C20750A4C0}"/>
    <cellStyle name="통화 [0] 2 15 2 2 2 2" xfId="4521" xr:uid="{347B4B06-B418-4596-9F3F-489A5B758A5E}"/>
    <cellStyle name="통화 [0] 2 15 2 2 3" xfId="3867" xr:uid="{BAF1E5AE-8164-41E6-B962-EE092E5D6378}"/>
    <cellStyle name="통화 [0] 2 15 2 3" xfId="2820" xr:uid="{C86B389D-49BA-4D1A-8625-B81BB0ED3CB2}"/>
    <cellStyle name="통화 [0] 2 15 2 3 2" xfId="4194" xr:uid="{30FCE247-33BF-4544-8003-62AAB8A2FB2B}"/>
    <cellStyle name="통화 [0] 2 15 2 4" xfId="3527" xr:uid="{A35D5864-1FE3-4857-8ED4-D1172832F626}"/>
    <cellStyle name="통화 [0] 2 15 3" xfId="2357" xr:uid="{B86D2466-B6DC-4A43-87D8-D0B124F07E6F}"/>
    <cellStyle name="통화 [0] 2 15 3 2" xfId="2694" xr:uid="{EA5F0E22-6106-4034-87E6-B570071E0F14}"/>
    <cellStyle name="통화 [0] 2 15 3 2 2" xfId="3351" xr:uid="{DB233557-7A60-43DE-A0EC-EEF348998355}"/>
    <cellStyle name="통화 [0] 2 15 3 2 2 2" xfId="4722" xr:uid="{F9D8E1AC-B09D-455A-BC3F-7A4C3EADD3D4}"/>
    <cellStyle name="통화 [0] 2 15 3 2 3" xfId="4068" xr:uid="{514A822E-4561-4A91-848B-FFCFA8EBE025}"/>
    <cellStyle name="통화 [0] 2 15 3 3" xfId="3024" xr:uid="{38DD674E-FE3D-4E1D-A967-FE9748272445}"/>
    <cellStyle name="통화 [0] 2 15 3 3 2" xfId="4395" xr:uid="{11051E8C-1D6C-4702-85EC-CCEB6625DA6D}"/>
    <cellStyle name="통화 [0] 2 15 3 4" xfId="3741" xr:uid="{D1285B85-8645-476B-9C39-11A7EE3804D1}"/>
    <cellStyle name="통화 [0] 2 15 4" xfId="2479" xr:uid="{1121BEAB-A81B-41D7-AACF-28E4D5EF967E}"/>
    <cellStyle name="통화 [0] 2 15 4 2" xfId="3136" xr:uid="{AAC94E72-B316-463C-BA21-C5F5908A479C}"/>
    <cellStyle name="통화 [0] 2 15 4 2 2" xfId="4507" xr:uid="{67D18446-171A-416E-B5BA-543A5356A4C8}"/>
    <cellStyle name="통화 [0] 2 15 4 3" xfId="3853" xr:uid="{F4DD847B-008F-44E0-A363-5FE3905C2A6F}"/>
    <cellStyle name="통화 [0] 2 15 5" xfId="2806" xr:uid="{75789863-0A22-4804-B2E2-756FE008854C}"/>
    <cellStyle name="통화 [0] 2 15 5 2" xfId="4180" xr:uid="{7AC123A3-E831-4F3B-8AD7-478E2B0E3C60}"/>
    <cellStyle name="통화 [0] 2 15 6" xfId="3513" xr:uid="{7E448DE5-8766-4ED8-91AE-9CF88A057BE1}"/>
    <cellStyle name="통화 [0] 2 16" xfId="2400" xr:uid="{0D90C4AB-58D1-41F4-AA21-A3DF499D1E62}"/>
    <cellStyle name="통화 [0] 2 16 2" xfId="2737" xr:uid="{DC63C414-7ED8-47D2-8825-5A8FFE30E482}"/>
    <cellStyle name="통화 [0] 2 16 2 2" xfId="3394" xr:uid="{0309CFF2-3346-4788-8BB7-1E3C0A090AAB}"/>
    <cellStyle name="통화 [0] 2 16 2 2 2" xfId="4765" xr:uid="{22F2EE3F-829F-4FAE-BD0A-CA9C0761BA60}"/>
    <cellStyle name="통화 [0] 2 16 2 3" xfId="4111" xr:uid="{BC732256-2345-44D6-A0EB-B7E6C4B6B86D}"/>
    <cellStyle name="통화 [0] 2 16 3" xfId="3067" xr:uid="{DDC3080D-F032-40D5-A6AB-629D2C5ED828}"/>
    <cellStyle name="통화 [0] 2 16 3 2" xfId="4438" xr:uid="{7FF43360-D4F1-4232-91DF-6FB5F966A44E}"/>
    <cellStyle name="통화 [0] 2 16 4" xfId="3784" xr:uid="{39B4DED0-0A02-48BF-95A1-01F79E748570}"/>
    <cellStyle name="통화 [0] 2 17" xfId="306" xr:uid="{E398E0D9-B6C6-4D33-9B61-E17EF8311F90}"/>
    <cellStyle name="통화 [0] 2 17 2" xfId="2495" xr:uid="{DF415D6A-5DE9-431A-AE96-868E6D3FA7B9}"/>
    <cellStyle name="통화 [0] 2 17 2 2" xfId="3152" xr:uid="{6E0CEA27-CAC9-4A89-A55A-B46D1FC4666B}"/>
    <cellStyle name="통화 [0] 2 17 2 2 2" xfId="4523" xr:uid="{0B3D192C-5D67-4186-86EE-905C93D54E88}"/>
    <cellStyle name="통화 [0] 2 17 2 3" xfId="3869" xr:uid="{BC47B23D-8B93-4B29-A694-B3AEF40F46A7}"/>
    <cellStyle name="통화 [0] 2 17 3" xfId="2822" xr:uid="{5724AAE4-22A5-408D-A942-1E50B1C86B60}"/>
    <cellStyle name="통화 [0] 2 17 3 2" xfId="4196" xr:uid="{DE3B5E99-F506-4FC9-B841-994C14B86E89}"/>
    <cellStyle name="통화 [0] 2 17 4" xfId="3529" xr:uid="{7F4138D6-146F-46BC-AB9A-0775490BB274}"/>
    <cellStyle name="통화 [0] 2 18" xfId="2468" xr:uid="{85CAAAF6-F8AD-46A6-953E-57C1BDFB4F8C}"/>
    <cellStyle name="통화 [0] 2 18 2" xfId="3125" xr:uid="{A80D6539-6A57-4D54-BECB-3AB5F064D66D}"/>
    <cellStyle name="통화 [0] 2 18 2 2" xfId="4496" xr:uid="{A9EBCE7C-706C-4EEF-9E28-98C4AC476F6A}"/>
    <cellStyle name="통화 [0] 2 18 3" xfId="3842" xr:uid="{50EB1526-1E72-48FD-99F9-BCDBE2832548}"/>
    <cellStyle name="통화 [0] 2 19" xfId="2795" xr:uid="{552B828F-A931-423A-833E-617996338FE7}"/>
    <cellStyle name="통화 [0] 2 19 2" xfId="4169" xr:uid="{80C431C4-BD0F-4B38-B504-D3452620FA17}"/>
    <cellStyle name="통화 [0] 2 2" xfId="144" xr:uid="{00000000-0005-0000-0000-000090000000}"/>
    <cellStyle name="통화 [0] 2 2 10" xfId="2328" xr:uid="{3049D57C-D58B-4751-9EE3-E2A392D4DDBF}"/>
    <cellStyle name="통화 [0] 2 2 10 2" xfId="2665" xr:uid="{665B47C0-D0B4-45F2-AD3B-895C2711C125}"/>
    <cellStyle name="통화 [0] 2 2 10 2 2" xfId="3322" xr:uid="{CF6A0250-5866-4EC2-AF2E-052B2EEDC204}"/>
    <cellStyle name="통화 [0] 2 2 10 2 2 2" xfId="4693" xr:uid="{ACF44EE8-6433-4B8E-B182-3BD10D875F52}"/>
    <cellStyle name="통화 [0] 2 2 10 2 3" xfId="4039" xr:uid="{78ED272F-404F-4AF9-81B8-B62D8273862B}"/>
    <cellStyle name="통화 [0] 2 2 10 3" xfId="2995" xr:uid="{063C1005-3BD2-4825-AC6B-E15EBC587675}"/>
    <cellStyle name="통화 [0] 2 2 10 3 2" xfId="4366" xr:uid="{2A0D39B9-CF24-43DC-A3B4-A90BD972FFBB}"/>
    <cellStyle name="통화 [0] 2 2 10 4" xfId="3712" xr:uid="{74AE4060-B0D1-417B-A215-7AE0DD1B759A}"/>
    <cellStyle name="통화 [0] 2 2 11" xfId="2343" xr:uid="{F994CCA6-9B55-4F5C-B900-DCFBE0B653A3}"/>
    <cellStyle name="통화 [0] 2 2 11 2" xfId="2680" xr:uid="{9417CECF-6502-4795-8402-FE9D09A378AE}"/>
    <cellStyle name="통화 [0] 2 2 11 2 2" xfId="3337" xr:uid="{98FCE5DA-4330-4E84-A575-5621FA3EC3E5}"/>
    <cellStyle name="통화 [0] 2 2 11 2 2 2" xfId="4708" xr:uid="{964D1F4A-D28F-48C8-8A96-F7487F1E0FA0}"/>
    <cellStyle name="통화 [0] 2 2 11 2 3" xfId="4054" xr:uid="{090B2F45-C6B2-45B9-B983-AF45E60DA7A1}"/>
    <cellStyle name="통화 [0] 2 2 11 3" xfId="3010" xr:uid="{C2D225FF-832A-4689-BF88-191B8354CD10}"/>
    <cellStyle name="통화 [0] 2 2 11 3 2" xfId="4381" xr:uid="{65113EAE-888D-4DC1-BA34-4A6CAB60D637}"/>
    <cellStyle name="통화 [0] 2 2 11 4" xfId="3727" xr:uid="{86DB9453-EA0D-4769-928C-70AB21D87C9E}"/>
    <cellStyle name="통화 [0] 2 2 12" xfId="2353" xr:uid="{DCFAC656-F864-4770-BEE0-C6AECEBDA01F}"/>
    <cellStyle name="통화 [0] 2 2 12 2" xfId="2690" xr:uid="{BC621232-26CE-42B1-A7F9-F9E04F165CF8}"/>
    <cellStyle name="통화 [0] 2 2 12 2 2" xfId="3347" xr:uid="{2C8BACB4-B4FA-40E5-9373-9F5B7BF4DF34}"/>
    <cellStyle name="통화 [0] 2 2 12 2 2 2" xfId="4718" xr:uid="{54BC4127-6AAA-4ED6-BD07-E3ADFFCC7B65}"/>
    <cellStyle name="통화 [0] 2 2 12 2 3" xfId="4064" xr:uid="{109D36E5-582C-4BB1-A056-8A1179C875BE}"/>
    <cellStyle name="통화 [0] 2 2 12 3" xfId="3020" xr:uid="{B485E6D7-6D5B-418C-9819-7A3BE505705E}"/>
    <cellStyle name="통화 [0] 2 2 12 3 2" xfId="4391" xr:uid="{6160EEE4-73F0-4789-8805-772708316595}"/>
    <cellStyle name="통화 [0] 2 2 12 4" xfId="3737" xr:uid="{7F450D56-91F1-4D7C-9DEE-F6B07B478985}"/>
    <cellStyle name="통화 [0] 2 2 13" xfId="2360" xr:uid="{6FD73747-E0EB-4560-AEAA-B5B04F6A4404}"/>
    <cellStyle name="통화 [0] 2 2 13 2" xfId="2697" xr:uid="{3D20FC99-CE76-4A7A-B412-D80A1B84577A}"/>
    <cellStyle name="통화 [0] 2 2 13 2 2" xfId="3354" xr:uid="{C924CAA1-AC86-4EDD-8BAC-33F86F1C857E}"/>
    <cellStyle name="통화 [0] 2 2 13 2 2 2" xfId="4725" xr:uid="{A06793C2-27DD-4D18-B01F-E141A6FAED2A}"/>
    <cellStyle name="통화 [0] 2 2 13 2 3" xfId="4071" xr:uid="{40035134-9818-4295-9492-14592D80A2CB}"/>
    <cellStyle name="통화 [0] 2 2 13 3" xfId="3027" xr:uid="{5DA382DA-9BB8-4D0C-8370-7F32B0EBE1D6}"/>
    <cellStyle name="통화 [0] 2 2 13 3 2" xfId="4398" xr:uid="{468CC5CE-EB90-4204-848D-E8F88480E8D2}"/>
    <cellStyle name="통화 [0] 2 2 13 4" xfId="3744" xr:uid="{19DF13A9-6696-441B-9589-E9713F1DDDFB}"/>
    <cellStyle name="통화 [0] 2 2 14" xfId="2401" xr:uid="{A660911B-E100-43E9-B7C0-8D9068262BF2}"/>
    <cellStyle name="통화 [0] 2 2 14 2" xfId="2738" xr:uid="{480E21B7-3DE5-493E-96FB-7B280CACFF11}"/>
    <cellStyle name="통화 [0] 2 2 14 2 2" xfId="3395" xr:uid="{A1205A15-DD5B-4433-B369-04FDF62A996C}"/>
    <cellStyle name="통화 [0] 2 2 14 2 2 2" xfId="4766" xr:uid="{5051E714-F8FE-4A7D-97C4-6CE37F9A0A80}"/>
    <cellStyle name="통화 [0] 2 2 14 2 3" xfId="4112" xr:uid="{6BFB9578-8F1E-4946-9E59-7180C9B10BD3}"/>
    <cellStyle name="통화 [0] 2 2 14 3" xfId="3068" xr:uid="{D993CAE9-6557-4510-960C-66D5C3C35011}"/>
    <cellStyle name="통화 [0] 2 2 14 3 2" xfId="4439" xr:uid="{14F51488-0C97-4F12-AF85-77CAB2B72229}"/>
    <cellStyle name="통화 [0] 2 2 14 4" xfId="3785" xr:uid="{68EB58D0-F497-4B97-B585-15EE134F63E2}"/>
    <cellStyle name="통화 [0] 2 2 15" xfId="317" xr:uid="{01F46F92-DE1F-4987-9755-00CCAFD04C47}"/>
    <cellStyle name="통화 [0] 2 2 15 2" xfId="2504" xr:uid="{EBFFB256-FD2E-4389-80A1-6655FA897FDA}"/>
    <cellStyle name="통화 [0] 2 2 15 2 2" xfId="3161" xr:uid="{58C11D2B-3F67-487A-964D-ABF75E3B91B7}"/>
    <cellStyle name="통화 [0] 2 2 15 2 2 2" xfId="4532" xr:uid="{3B4BB198-DD59-4134-837A-366C30586B9F}"/>
    <cellStyle name="통화 [0] 2 2 15 2 3" xfId="3878" xr:uid="{57D31C77-F6BF-4442-9C1C-973DAD41471E}"/>
    <cellStyle name="통화 [0] 2 2 15 3" xfId="2831" xr:uid="{7626A9BE-8C80-4F38-8145-BBC059F4D868}"/>
    <cellStyle name="통화 [0] 2 2 15 3 2" xfId="4205" xr:uid="{769E032F-7841-4519-AACB-C217A28AAE70}"/>
    <cellStyle name="통화 [0] 2 2 15 4" xfId="3538" xr:uid="{9FE63A8E-5C91-472F-BBB7-8644CF26BF1D}"/>
    <cellStyle name="통화 [0] 2 2 16" xfId="2481" xr:uid="{3A79511C-506D-4B19-9770-F6EE2801F544}"/>
    <cellStyle name="통화 [0] 2 2 16 2" xfId="3138" xr:uid="{529DC60D-EF38-4078-BC77-4926406BACA6}"/>
    <cellStyle name="통화 [0] 2 2 16 2 2" xfId="4509" xr:uid="{2C0202DB-F9B7-464E-9D95-DA27F4E287F0}"/>
    <cellStyle name="통화 [0] 2 2 16 3" xfId="3855" xr:uid="{EAB464CA-5797-4E1D-B0D1-39361525CEBE}"/>
    <cellStyle name="통화 [0] 2 2 17" xfId="2808" xr:uid="{323AE22E-BC7F-459C-ABC9-AE7344D54349}"/>
    <cellStyle name="통화 [0] 2 2 17 2" xfId="4182" xr:uid="{8E960F7B-5FBF-4CC1-99AC-5513AB41F6D6}"/>
    <cellStyle name="통화 [0] 2 2 18" xfId="292" xr:uid="{BCE019C0-91DB-4E83-B9E3-747C870B9D0C}"/>
    <cellStyle name="통화 [0] 2 2 18 2" xfId="3515" xr:uid="{C8117B3E-9539-4011-9436-D3945309F04D}"/>
    <cellStyle name="통화 [0] 2 2 19" xfId="259" xr:uid="{CDA33C72-4752-4B4C-BAB5-ECC5717E0419}"/>
    <cellStyle name="통화 [0] 2 2 2" xfId="145" xr:uid="{00000000-0005-0000-0000-000091000000}"/>
    <cellStyle name="통화 [0] 2 2 2 2" xfId="2402" xr:uid="{0F399B64-2C85-4820-996F-664606EA2DEA}"/>
    <cellStyle name="통화 [0] 2 2 2 2 2" xfId="2739" xr:uid="{35BE16E1-76D5-4459-A49B-3B4A1103E99A}"/>
    <cellStyle name="통화 [0] 2 2 2 2 2 2" xfId="3396" xr:uid="{8BF69C48-0917-4949-BB87-5973D64960DB}"/>
    <cellStyle name="통화 [0] 2 2 2 2 2 2 2" xfId="4767" xr:uid="{E5C3B402-B674-42C7-824F-90FFB56AA332}"/>
    <cellStyle name="통화 [0] 2 2 2 2 2 3" xfId="4113" xr:uid="{47E8F228-036B-4400-8DD9-AA5535074A79}"/>
    <cellStyle name="통화 [0] 2 2 2 2 3" xfId="3069" xr:uid="{936719C6-BBFB-46DC-AFD1-131B4F3B5E21}"/>
    <cellStyle name="통화 [0] 2 2 2 2 3 2" xfId="4440" xr:uid="{BDBCB722-9B5E-4119-95F2-98E4475A67A8}"/>
    <cellStyle name="통화 [0] 2 2 2 2 4" xfId="3786" xr:uid="{F2C18D07-C1E9-4F67-B476-4D613026963E}"/>
    <cellStyle name="통화 [0] 2 2 2 3" xfId="2545" xr:uid="{48AB4CD8-D42A-4BA2-8C87-D4828089B158}"/>
    <cellStyle name="통화 [0] 2 2 2 3 2" xfId="3202" xr:uid="{793CD590-90F1-4FB6-BDE5-389518293DF9}"/>
    <cellStyle name="통화 [0] 2 2 2 3 2 2" xfId="4573" xr:uid="{AF3C2E42-821D-490A-B0DD-76F4C06A88FE}"/>
    <cellStyle name="통화 [0] 2 2 2 3 3" xfId="3919" xr:uid="{EF16A0E2-1775-427A-8A1D-E1765BB79A44}"/>
    <cellStyle name="통화 [0] 2 2 2 4" xfId="2875" xr:uid="{A6643455-7A80-404B-BE21-07B23D042198}"/>
    <cellStyle name="통화 [0] 2 2 2 4 2" xfId="4246" xr:uid="{315BFBA0-5FE3-4E67-B07A-B0BC94035BF0}"/>
    <cellStyle name="통화 [0] 2 2 2 5" xfId="2100" xr:uid="{F6166C16-857B-48C5-B6CA-EAD54DBD8C75}"/>
    <cellStyle name="통화 [0] 2 2 2 5 2" xfId="3590" xr:uid="{E92340A2-ED36-4222-B09A-4723C417E7FF}"/>
    <cellStyle name="통화 [0] 2 2 2 6" xfId="272" xr:uid="{2F1047E5-0A3E-4B2E-A25B-3C6547750E53}"/>
    <cellStyle name="통화 [0] 2 2 2 7" xfId="3501" xr:uid="{7B857D44-3846-4EFF-9784-C88232084A2D}"/>
    <cellStyle name="통화 [0] 2 2 20" xfId="3490" xr:uid="{F290C4BC-68D9-4186-95A8-56E170C19E2C}"/>
    <cellStyle name="통화 [0] 2 2 3" xfId="2101" xr:uid="{BF83A94B-7EEB-4223-8B71-337865D385E1}"/>
    <cellStyle name="통화 [0] 2 2 3 2" xfId="2403" xr:uid="{208EF38D-5C2D-4800-8E96-27DEAFDC7378}"/>
    <cellStyle name="통화 [0] 2 2 3 2 2" xfId="2740" xr:uid="{3C85D936-993B-4471-A7B4-0864C24DB2A8}"/>
    <cellStyle name="통화 [0] 2 2 3 2 2 2" xfId="3397" xr:uid="{6300BBC9-A3B1-4EFD-B9B5-6CA533F2191A}"/>
    <cellStyle name="통화 [0] 2 2 3 2 2 2 2" xfId="4768" xr:uid="{D26D98BF-8478-48B8-937A-C9B57E7D2C05}"/>
    <cellStyle name="통화 [0] 2 2 3 2 2 3" xfId="4114" xr:uid="{A905A214-B54D-46D0-BABD-8346EDC34156}"/>
    <cellStyle name="통화 [0] 2 2 3 2 3" xfId="3070" xr:uid="{79FC0FA9-6704-4B30-9379-644F06C3CB89}"/>
    <cellStyle name="통화 [0] 2 2 3 2 3 2" xfId="4441" xr:uid="{BCC68E86-5B91-494E-94D3-778682C1552E}"/>
    <cellStyle name="통화 [0] 2 2 3 2 4" xfId="3787" xr:uid="{C7278B45-397C-4C9F-83FA-F8449F6F351D}"/>
    <cellStyle name="통화 [0] 2 2 3 3" xfId="2546" xr:uid="{E4650FEF-7101-40A3-A9D0-7043E28EF673}"/>
    <cellStyle name="통화 [0] 2 2 3 3 2" xfId="3203" xr:uid="{EC1ED27F-3536-45A8-A490-FD1B188B6789}"/>
    <cellStyle name="통화 [0] 2 2 3 3 2 2" xfId="4574" xr:uid="{4C685241-4FC2-4842-B43A-24A09625A6CF}"/>
    <cellStyle name="통화 [0] 2 2 3 3 3" xfId="3920" xr:uid="{F74258D6-9D6E-437E-87FB-E44DE7E3BD03}"/>
    <cellStyle name="통화 [0] 2 2 3 4" xfId="2876" xr:uid="{068D869D-1163-44BD-839E-7168CB4A3D41}"/>
    <cellStyle name="통화 [0] 2 2 3 4 2" xfId="4247" xr:uid="{F0BBDC62-4B2B-4CC6-B385-A5646CCCE990}"/>
    <cellStyle name="통화 [0] 2 2 3 5" xfId="3591" xr:uid="{2E770414-8179-457D-A05B-521D9D848F5F}"/>
    <cellStyle name="통화 [0] 2 2 4" xfId="2099" xr:uid="{59578DE1-6F31-4013-A25A-737116FED2ED}"/>
    <cellStyle name="통화 [0] 2 2 4 2" xfId="2404" xr:uid="{EBD7B17C-748D-4EF0-99BD-ABDD88BF3987}"/>
    <cellStyle name="통화 [0] 2 2 4 2 2" xfId="2741" xr:uid="{EA04E6AF-DCDD-473F-912F-A83BEC79E553}"/>
    <cellStyle name="통화 [0] 2 2 4 2 2 2" xfId="3398" xr:uid="{F81CD949-F36A-41FC-B940-91592049C245}"/>
    <cellStyle name="통화 [0] 2 2 4 2 2 2 2" xfId="4769" xr:uid="{B3179FC4-1E79-44FC-BBF9-C96789CBDCD9}"/>
    <cellStyle name="통화 [0] 2 2 4 2 2 3" xfId="4115" xr:uid="{D10F17C1-5708-46FB-B2EE-F6532C5EDC63}"/>
    <cellStyle name="통화 [0] 2 2 4 2 3" xfId="3071" xr:uid="{17D281E2-55D3-41A4-B81D-B6ACFAAC24A0}"/>
    <cellStyle name="통화 [0] 2 2 4 2 3 2" xfId="4442" xr:uid="{FC7D83A9-5C2B-411B-8CDE-AE4AB1980B50}"/>
    <cellStyle name="통화 [0] 2 2 4 2 4" xfId="3788" xr:uid="{D774CC70-EE4B-461E-8B9A-402C971FF9F8}"/>
    <cellStyle name="통화 [0] 2 2 4 3" xfId="2544" xr:uid="{DEB1634E-9094-4380-8C1F-96B3488B6306}"/>
    <cellStyle name="통화 [0] 2 2 4 3 2" xfId="3201" xr:uid="{D63171A6-C678-4E09-A8BD-15627DE2981E}"/>
    <cellStyle name="통화 [0] 2 2 4 3 2 2" xfId="4572" xr:uid="{457EF5D1-858D-4D9B-83AE-7917D2F5FB95}"/>
    <cellStyle name="통화 [0] 2 2 4 3 3" xfId="3918" xr:uid="{13AD80EF-A40E-4758-B2F3-6B9D4200D544}"/>
    <cellStyle name="통화 [0] 2 2 4 4" xfId="2874" xr:uid="{D44038AE-BF91-4321-BFCD-728F68F8BF24}"/>
    <cellStyle name="통화 [0] 2 2 4 4 2" xfId="4245" xr:uid="{239AF797-4F34-45A5-B0ED-989E580F9960}"/>
    <cellStyle name="통화 [0] 2 2 4 5" xfId="3589" xr:uid="{26455F78-024E-4987-AA81-B91261DEDEBE}"/>
    <cellStyle name="통화 [0] 2 2 5" xfId="2262" xr:uid="{DAAC3582-F427-46C3-8443-B084B1944A05}"/>
    <cellStyle name="통화 [0] 2 2 5 2" xfId="2605" xr:uid="{A2F1D2FC-7DC8-4DC7-99B4-919F6EB97CF9}"/>
    <cellStyle name="통화 [0] 2 2 5 2 2" xfId="3262" xr:uid="{F3873073-ACCB-46E8-95EE-46908C28D605}"/>
    <cellStyle name="통화 [0] 2 2 5 2 2 2" xfId="4633" xr:uid="{B3A1B791-D60F-4D83-8FEC-781A3BCC3280}"/>
    <cellStyle name="통화 [0] 2 2 5 2 3" xfId="3979" xr:uid="{5ABF6B25-B4D4-4BDC-82D6-82463A3753A4}"/>
    <cellStyle name="통화 [0] 2 2 5 3" xfId="2935" xr:uid="{C61E493E-E8CB-4D37-A705-F9E07852FF96}"/>
    <cellStyle name="통화 [0] 2 2 5 3 2" xfId="4306" xr:uid="{C259BF2B-96DF-4C89-8AE6-BA1990829662}"/>
    <cellStyle name="통화 [0] 2 2 5 4" xfId="3652" xr:uid="{56DED7F0-0ADE-44B2-BF5E-14A88F32DF95}"/>
    <cellStyle name="통화 [0] 2 2 6" xfId="2269" xr:uid="{B85EF6C2-E364-44CC-A23A-E215345E0F7D}"/>
    <cellStyle name="통화 [0] 2 2 6 2" xfId="2612" xr:uid="{0D56C6CF-1B89-418F-86EB-080EC73CC36B}"/>
    <cellStyle name="통화 [0] 2 2 6 2 2" xfId="3269" xr:uid="{7D756C20-69B3-4AE5-8B66-F6999F093ED4}"/>
    <cellStyle name="통화 [0] 2 2 6 2 2 2" xfId="4640" xr:uid="{37C1E5CF-3B05-4CE9-A51E-D277C11F3AD1}"/>
    <cellStyle name="통화 [0] 2 2 6 2 3" xfId="3986" xr:uid="{4187B233-F833-47D5-965C-3F2C6C9BF834}"/>
    <cellStyle name="통화 [0] 2 2 6 3" xfId="2942" xr:uid="{B84131A5-B210-4478-ABB8-E77E30507130}"/>
    <cellStyle name="통화 [0] 2 2 6 3 2" xfId="4313" xr:uid="{FB69387C-0F31-4DEF-90CB-D0E8B70FEE33}"/>
    <cellStyle name="통화 [0] 2 2 6 4" xfId="3659" xr:uid="{E46C473F-D081-4360-8ABB-EABADCE28465}"/>
    <cellStyle name="통화 [0] 2 2 7" xfId="2276" xr:uid="{F16321AF-0B48-40B5-838A-27FAB1F151C6}"/>
    <cellStyle name="통화 [0] 2 2 7 2" xfId="2619" xr:uid="{22D89C7D-73E7-484C-88DB-B110DCAC361D}"/>
    <cellStyle name="통화 [0] 2 2 7 2 2" xfId="3276" xr:uid="{9B09BBA3-6CAE-45CA-A571-40813CCBA676}"/>
    <cellStyle name="통화 [0] 2 2 7 2 2 2" xfId="4647" xr:uid="{49C6871C-EA83-45C7-8039-626A9EA0ECF5}"/>
    <cellStyle name="통화 [0] 2 2 7 2 3" xfId="3993" xr:uid="{7A341958-AD74-41C1-8B90-1BD6FB41EDC7}"/>
    <cellStyle name="통화 [0] 2 2 7 3" xfId="2949" xr:uid="{EEE4A39B-EC9C-4491-B8B8-556B1C276E36}"/>
    <cellStyle name="통화 [0] 2 2 7 3 2" xfId="4320" xr:uid="{28BF7C0C-19A1-4B33-9176-C2C58D8E1692}"/>
    <cellStyle name="통화 [0] 2 2 7 4" xfId="3666" xr:uid="{16630AFE-9CC6-4609-9FBE-7F5413874665}"/>
    <cellStyle name="통화 [0] 2 2 8" xfId="291" xr:uid="{F2A8C16D-4650-4188-987E-0878AE05E84A}"/>
    <cellStyle name="통화 [0] 2 2 8 2" xfId="305" xr:uid="{12624439-4F69-4B03-8C92-0A1AAC22EA58}"/>
    <cellStyle name="통화 [0] 2 2 8 2 2" xfId="2494" xr:uid="{6A15C320-A2F3-4138-9C52-9BE8FDBCFE79}"/>
    <cellStyle name="통화 [0] 2 2 8 2 2 2" xfId="3151" xr:uid="{1B7F5332-CE4A-4496-BB32-CD74065B81BA}"/>
    <cellStyle name="통화 [0] 2 2 8 2 2 2 2" xfId="4522" xr:uid="{2CDAA747-2A24-4234-9065-610298031C9B}"/>
    <cellStyle name="통화 [0] 2 2 8 2 2 3" xfId="3868" xr:uid="{994DF51E-584C-4FBB-93B0-C3A7735B8E31}"/>
    <cellStyle name="통화 [0] 2 2 8 2 3" xfId="2821" xr:uid="{67359968-B556-499F-BF80-0F69313B5AA0}"/>
    <cellStyle name="통화 [0] 2 2 8 2 3 2" xfId="4195" xr:uid="{B34F3FFC-C80F-4316-8F05-A1BCF38025A8}"/>
    <cellStyle name="통화 [0] 2 2 8 2 4" xfId="3528" xr:uid="{3FCF2281-5FF3-41E5-9BDE-C920DD05F7DE}"/>
    <cellStyle name="통화 [0] 2 2 8 3" xfId="2283" xr:uid="{2CE607B2-0060-40DB-A058-1835C901DBF1}"/>
    <cellStyle name="통화 [0] 2 2 8 3 2" xfId="2626" xr:uid="{D21442DD-773F-476E-9EA1-7A80912E8303}"/>
    <cellStyle name="통화 [0] 2 2 8 3 2 2" xfId="3283" xr:uid="{CAF730FC-AC86-4C89-A9A8-B50B076B92B0}"/>
    <cellStyle name="통화 [0] 2 2 8 3 2 2 2" xfId="4654" xr:uid="{8B0DDC9D-55EC-4AA7-B88E-717EAD622E3E}"/>
    <cellStyle name="통화 [0] 2 2 8 3 2 3" xfId="4000" xr:uid="{BFE613A5-C587-48FC-B5DD-D856FD83E1B7}"/>
    <cellStyle name="통화 [0] 2 2 8 3 3" xfId="2956" xr:uid="{2189AC5E-A013-4512-B09A-9D173197B6AF}"/>
    <cellStyle name="통화 [0] 2 2 8 3 3 2" xfId="4327" xr:uid="{761764BB-CAFD-4A58-93B1-FA1F8112733A}"/>
    <cellStyle name="통화 [0] 2 2 8 3 4" xfId="3673" xr:uid="{55131092-537C-4115-872D-0508DB38D4AC}"/>
    <cellStyle name="통화 [0] 2 2 8 4" xfId="2480" xr:uid="{B2F3728F-30E8-447F-8209-FECB63F912C4}"/>
    <cellStyle name="통화 [0] 2 2 8 4 2" xfId="3137" xr:uid="{38EBECAE-1FA7-42C3-80EB-ABD781B9D661}"/>
    <cellStyle name="통화 [0] 2 2 8 4 2 2" xfId="4508" xr:uid="{925D2C33-2D5D-4C72-BEE4-23C16DACBAA2}"/>
    <cellStyle name="통화 [0] 2 2 8 4 3" xfId="3854" xr:uid="{2E83BF82-A897-4205-BA49-04975D4D5F47}"/>
    <cellStyle name="통화 [0] 2 2 8 5" xfId="2807" xr:uid="{15120345-C9EE-4FCA-95E1-4B38F1C38492}"/>
    <cellStyle name="통화 [0] 2 2 8 5 2" xfId="4181" xr:uid="{F1B96D22-6B27-4D55-8FCF-AFB09A2D3660}"/>
    <cellStyle name="통화 [0] 2 2 8 6" xfId="3514" xr:uid="{248FD8E5-C375-4114-B6D6-6B8071398117}"/>
    <cellStyle name="통화 [0] 2 2 9" xfId="2298" xr:uid="{2D7D13F0-3E8A-4154-BD22-052E3604A7DE}"/>
    <cellStyle name="통화 [0] 2 2 9 2" xfId="2639" xr:uid="{5C662FC2-632C-46BE-A5FE-E08423722C26}"/>
    <cellStyle name="통화 [0] 2 2 9 2 2" xfId="3296" xr:uid="{BBB7B5F1-AE4B-47CA-988C-49B3825B3BD5}"/>
    <cellStyle name="통화 [0] 2 2 9 2 2 2" xfId="4667" xr:uid="{42267A9B-43D3-41AA-A3A1-2B82DBAC090C}"/>
    <cellStyle name="통화 [0] 2 2 9 2 3" xfId="4013" xr:uid="{844B3BC4-B24F-4D5E-904D-A7D17508ED72}"/>
    <cellStyle name="통화 [0] 2 2 9 3" xfId="2969" xr:uid="{695DA901-0932-446D-A48F-B73752146DDD}"/>
    <cellStyle name="통화 [0] 2 2 9 3 2" xfId="4340" xr:uid="{7509EA57-FB41-4135-8FB4-57FAA6697E87}"/>
    <cellStyle name="통화 [0] 2 2 9 4" xfId="3686" xr:uid="{09B82970-6D6D-42E8-9DB2-59D057591CED}"/>
    <cellStyle name="통화 [0] 2 20" xfId="277" xr:uid="{15E5E642-6859-44DD-B8CE-47C4E1E91D4D}"/>
    <cellStyle name="통화 [0] 2 20 2" xfId="3502" xr:uid="{5AF6CDBC-8A5D-4E75-870B-8A58D160DE76}"/>
    <cellStyle name="통화 [0] 2 21" xfId="246" xr:uid="{6F6925B8-550B-4536-A1EF-5B5677D5CDEB}"/>
    <cellStyle name="통화 [0] 2 21 2" xfId="3485" xr:uid="{FE06A75F-AD2F-4985-88B2-02FFD2DB5068}"/>
    <cellStyle name="통화 [0] 2 22" xfId="242" xr:uid="{00E72DDA-104D-44B9-B6EA-CCD8819A29CB}"/>
    <cellStyle name="통화 [0] 2 23" xfId="3481" xr:uid="{D2B16999-6EA0-49CF-84E0-497D6947A596}"/>
    <cellStyle name="통화 [0] 2 3" xfId="146" xr:uid="{00000000-0005-0000-0000-000092000000}"/>
    <cellStyle name="통화 [0] 2 3 10" xfId="3500" xr:uid="{44C28A49-6E70-4A7F-A8E8-65716547ED54}"/>
    <cellStyle name="통화 [0] 2 3 2" xfId="2103" xr:uid="{E4713B43-999C-48CF-BDD2-61BF0C8415FD}"/>
    <cellStyle name="통화 [0] 2 3 2 2" xfId="2406" xr:uid="{206F132B-B661-4A82-8411-023C29E84EFA}"/>
    <cellStyle name="통화 [0] 2 3 2 2 2" xfId="2743" xr:uid="{968AD686-421C-4483-9665-BCDA89488536}"/>
    <cellStyle name="통화 [0] 2 3 2 2 2 2" xfId="3400" xr:uid="{ED13AE0E-9C4A-4EDA-AE74-55AAC7B231F8}"/>
    <cellStyle name="통화 [0] 2 3 2 2 2 2 2" xfId="4771" xr:uid="{120A4377-2714-4882-A491-562D3A731572}"/>
    <cellStyle name="통화 [0] 2 3 2 2 2 3" xfId="4117" xr:uid="{12281804-BE5F-4AFF-843F-8868F537FC5B}"/>
    <cellStyle name="통화 [0] 2 3 2 2 3" xfId="3073" xr:uid="{1B57A8BF-F5F8-4A0B-99D1-F3E2C49EBBA8}"/>
    <cellStyle name="통화 [0] 2 3 2 2 3 2" xfId="4444" xr:uid="{448AD862-5AFB-4F65-ADEF-90F3B99DE6D4}"/>
    <cellStyle name="통화 [0] 2 3 2 2 4" xfId="3790" xr:uid="{F3B8712B-7241-445B-A5FD-BC21610BA1B2}"/>
    <cellStyle name="통화 [0] 2 3 2 3" xfId="2548" xr:uid="{5A47E6B3-73E4-4370-B17F-D6F6B21F777E}"/>
    <cellStyle name="통화 [0] 2 3 2 3 2" xfId="3205" xr:uid="{11E50FCE-8509-478B-9E0D-271963B24E22}"/>
    <cellStyle name="통화 [0] 2 3 2 3 2 2" xfId="4576" xr:uid="{A5C552AB-96C9-4FEE-B963-EE044D55573F}"/>
    <cellStyle name="통화 [0] 2 3 2 3 3" xfId="3922" xr:uid="{8FC6374E-D25D-4D9D-962E-C9C9F35C57FB}"/>
    <cellStyle name="통화 [0] 2 3 2 4" xfId="2878" xr:uid="{83AB4AB7-9777-43F4-AAFB-91B719DA85E0}"/>
    <cellStyle name="통화 [0] 2 3 2 4 2" xfId="4249" xr:uid="{33B2503F-59FA-406C-AC27-0E68CA0A03E6}"/>
    <cellStyle name="통화 [0] 2 3 2 5" xfId="3593" xr:uid="{C085236C-37E9-451E-9A49-0F406B2918C2}"/>
    <cellStyle name="통화 [0] 2 3 3" xfId="2104" xr:uid="{310B25B7-29BB-4685-8D21-066C3D21FFD6}"/>
    <cellStyle name="통화 [0] 2 3 3 2" xfId="2407" xr:uid="{82C8EE3B-AB0F-441F-8416-D48DBD729C96}"/>
    <cellStyle name="통화 [0] 2 3 3 2 2" xfId="2744" xr:uid="{7C1C70D7-DFB8-45ED-AE99-40A332FBE450}"/>
    <cellStyle name="통화 [0] 2 3 3 2 2 2" xfId="3401" xr:uid="{0C65F7DE-E3C4-4588-808F-DB27E26A39F9}"/>
    <cellStyle name="통화 [0] 2 3 3 2 2 2 2" xfId="4772" xr:uid="{412E7F8A-B9CE-4C9E-9297-D3318BA72C33}"/>
    <cellStyle name="통화 [0] 2 3 3 2 2 3" xfId="4118" xr:uid="{E57C53F5-2233-421F-BB0D-92565FF759B8}"/>
    <cellStyle name="통화 [0] 2 3 3 2 3" xfId="3074" xr:uid="{25538361-2F81-4620-8CF3-C762553BE5B3}"/>
    <cellStyle name="통화 [0] 2 3 3 2 3 2" xfId="4445" xr:uid="{7426B7F0-0643-48F9-A919-AD805D4A081B}"/>
    <cellStyle name="통화 [0] 2 3 3 2 4" xfId="3791" xr:uid="{B2AD1AAE-8238-4F5B-9C9A-6E0A47996B5C}"/>
    <cellStyle name="통화 [0] 2 3 3 3" xfId="2549" xr:uid="{81543148-D392-4C4A-A202-6391470D2F9A}"/>
    <cellStyle name="통화 [0] 2 3 3 3 2" xfId="3206" xr:uid="{E3D228DE-3C48-4A2B-86A2-F835A144E2F8}"/>
    <cellStyle name="통화 [0] 2 3 3 3 2 2" xfId="4577" xr:uid="{B42CDC10-FFFE-4733-B1C0-F394339614EC}"/>
    <cellStyle name="통화 [0] 2 3 3 3 3" xfId="3923" xr:uid="{A47DD1B9-165C-4851-9982-1A94850E6368}"/>
    <cellStyle name="통화 [0] 2 3 3 4" xfId="2879" xr:uid="{20DC97EF-5F18-4BF3-A4BD-252EE1566753}"/>
    <cellStyle name="통화 [0] 2 3 3 4 2" xfId="4250" xr:uid="{8BECB9DF-DF55-4A9D-9AAE-600C3EF00FC3}"/>
    <cellStyle name="통화 [0] 2 3 3 5" xfId="3594" xr:uid="{DC4BF209-EA79-4818-A07B-1595060520F4}"/>
    <cellStyle name="통화 [0] 2 3 4" xfId="2102" xr:uid="{DD56A033-1A44-4B70-BF66-F63EA76D67A1}"/>
    <cellStyle name="통화 [0] 2 3 4 2" xfId="2547" xr:uid="{18FE0566-F8F6-48EB-B125-BB935E1993CF}"/>
    <cellStyle name="통화 [0] 2 3 4 2 2" xfId="3204" xr:uid="{EBE0C85F-82AE-447C-A3E8-65BA47009BD3}"/>
    <cellStyle name="통화 [0] 2 3 4 2 2 2" xfId="4575" xr:uid="{92237D3A-CB7F-44BE-9958-F453A571C128}"/>
    <cellStyle name="통화 [0] 2 3 4 2 3" xfId="3921" xr:uid="{A01545F4-8AE2-4893-A41C-093952789C33}"/>
    <cellStyle name="통화 [0] 2 3 4 3" xfId="2877" xr:uid="{36338E33-9510-49F4-A88F-E9148694B211}"/>
    <cellStyle name="통화 [0] 2 3 4 3 2" xfId="4248" xr:uid="{0944BAF7-59AC-46EC-BBE9-818FE2EB47F3}"/>
    <cellStyle name="통화 [0] 2 3 4 4" xfId="3592" xr:uid="{A8FDE782-9C20-4DDA-B094-7D75EE0C009D}"/>
    <cellStyle name="통화 [0] 2 3 5" xfId="2405" xr:uid="{0D26582E-4E09-4C88-A1C4-C55A0B2EC479}"/>
    <cellStyle name="통화 [0] 2 3 5 2" xfId="2742" xr:uid="{B53E3D57-B763-4A05-B9DF-714B21B21673}"/>
    <cellStyle name="통화 [0] 2 3 5 2 2" xfId="3399" xr:uid="{A6CCB385-FB45-4AA9-B468-209D6527F129}"/>
    <cellStyle name="통화 [0] 2 3 5 2 2 2" xfId="4770" xr:uid="{3BC206DC-6FA7-4B1D-B1BE-C5CF42F3618E}"/>
    <cellStyle name="통화 [0] 2 3 5 2 3" xfId="4116" xr:uid="{C835DA63-B69C-4D50-A960-C0C7CBFD5E6C}"/>
    <cellStyle name="통화 [0] 2 3 5 3" xfId="3072" xr:uid="{D2917924-CB57-4367-BB15-A78D01702889}"/>
    <cellStyle name="통화 [0] 2 3 5 3 2" xfId="4443" xr:uid="{6814BFF5-BC68-4A4F-BFEB-E8FAFF7E0D2B}"/>
    <cellStyle name="통화 [0] 2 3 5 4" xfId="3789" xr:uid="{EC568B6B-5238-41A7-8412-B734932370F9}"/>
    <cellStyle name="통화 [0] 2 3 6" xfId="2500" xr:uid="{5E67B6DF-9188-4E6D-A1B1-ED35EAA7D1C7}"/>
    <cellStyle name="통화 [0] 2 3 6 2" xfId="3157" xr:uid="{F7E9847B-F252-41A7-B0D1-3355A8618D82}"/>
    <cellStyle name="통화 [0] 2 3 6 2 2" xfId="4528" xr:uid="{7EC27682-5B42-4CEC-B8A1-1AFC79F7FCC9}"/>
    <cellStyle name="통화 [0] 2 3 6 3" xfId="3874" xr:uid="{20B11F42-E3B6-4344-B67A-BA00907D2D0C}"/>
    <cellStyle name="통화 [0] 2 3 7" xfId="2827" xr:uid="{2F9F2067-6186-4788-9850-3F7BAEFAC5DB}"/>
    <cellStyle name="통화 [0] 2 3 7 2" xfId="4201" xr:uid="{6342758C-A4CE-4E38-9667-DE19CDF889F4}"/>
    <cellStyle name="통화 [0] 2 3 8" xfId="313" xr:uid="{33749B0E-03A1-4749-8673-34997270BEB5}"/>
    <cellStyle name="통화 [0] 2 3 8 2" xfId="3534" xr:uid="{F3AFD0F3-4C07-4ED6-822C-EA8AB84DC75B}"/>
    <cellStyle name="통화 [0] 2 3 9" xfId="271" xr:uid="{D38B4046-3656-4F2C-A1FF-F175B86A5E49}"/>
    <cellStyle name="통화 [0] 2 4" xfId="2105" xr:uid="{F7BBD9DE-43AB-4451-844F-BED97E2653CE}"/>
    <cellStyle name="통화 [0] 2 4 2" xfId="2408" xr:uid="{27D67469-12CA-42CB-83D9-890EA2E8E867}"/>
    <cellStyle name="통화 [0] 2 4 2 2" xfId="2745" xr:uid="{5D3D5F48-07A9-48BB-923B-A95BDA1E6284}"/>
    <cellStyle name="통화 [0] 2 4 2 2 2" xfId="3402" xr:uid="{81732BEA-2832-4BDC-8D39-BA717071C526}"/>
    <cellStyle name="통화 [0] 2 4 2 2 2 2" xfId="4773" xr:uid="{4E287B6E-62CF-4376-AFE0-51EE5B1F949A}"/>
    <cellStyle name="통화 [0] 2 4 2 2 3" xfId="4119" xr:uid="{7BEC3A50-7F3C-40A8-87BC-09A16D45B4A1}"/>
    <cellStyle name="통화 [0] 2 4 2 3" xfId="3075" xr:uid="{7DFA8E5B-CF95-4287-A0C8-24C18C26040B}"/>
    <cellStyle name="통화 [0] 2 4 2 3 2" xfId="4446" xr:uid="{4EF13A3C-6E17-472A-B49F-FDC463BE90D3}"/>
    <cellStyle name="통화 [0] 2 4 2 4" xfId="3792" xr:uid="{220DE177-ED9E-43CA-B190-A2EEB03D4005}"/>
    <cellStyle name="통화 [0] 2 4 3" xfId="2550" xr:uid="{54FC1C8D-5291-4AE5-ADEF-6AF477F0EC62}"/>
    <cellStyle name="통화 [0] 2 4 3 2" xfId="3207" xr:uid="{705A20C4-EE15-4E6D-B51D-200DCFDC72CF}"/>
    <cellStyle name="통화 [0] 2 4 3 2 2" xfId="4578" xr:uid="{1ABB9BC4-044B-4913-842F-61122A25EF24}"/>
    <cellStyle name="통화 [0] 2 4 3 3" xfId="3924" xr:uid="{56F4073F-24BF-496B-8C3D-0CCB9280F1F3}"/>
    <cellStyle name="통화 [0] 2 4 4" xfId="2880" xr:uid="{BB310AAA-718E-4624-8B24-EFA4AD2AE003}"/>
    <cellStyle name="통화 [0] 2 4 4 2" xfId="4251" xr:uid="{17AD0EE6-122F-4C4E-AF60-504B2326C9EA}"/>
    <cellStyle name="통화 [0] 2 4 5" xfId="3595" xr:uid="{F11901C1-6C32-4F27-97E7-946A56FAEDD3}"/>
    <cellStyle name="통화 [0] 2 5" xfId="2098" xr:uid="{010B68BC-AEF7-4C8A-9D51-DC4E1882C032}"/>
    <cellStyle name="통화 [0] 2 5 2" xfId="2409" xr:uid="{52B90644-5D07-4292-AF70-852F8FA8D70B}"/>
    <cellStyle name="통화 [0] 2 5 2 2" xfId="2746" xr:uid="{0AE3FD61-AE01-42F8-9864-B082DE717C8C}"/>
    <cellStyle name="통화 [0] 2 5 2 2 2" xfId="3403" xr:uid="{C5520E46-65ED-447C-BB13-0FCE7F429C29}"/>
    <cellStyle name="통화 [0] 2 5 2 2 2 2" xfId="4774" xr:uid="{C4DE2D12-0868-499B-ADBD-EA4611237324}"/>
    <cellStyle name="통화 [0] 2 5 2 2 3" xfId="4120" xr:uid="{A7AFE5E3-AFEE-4139-B0C0-E0F28DA7F0B5}"/>
    <cellStyle name="통화 [0] 2 5 2 3" xfId="3076" xr:uid="{94FDB881-5B34-4F0F-A179-A02AF7893474}"/>
    <cellStyle name="통화 [0] 2 5 2 3 2" xfId="4447" xr:uid="{5FCC75A6-1274-4F3C-82D6-3DFE5E51ED57}"/>
    <cellStyle name="통화 [0] 2 5 2 4" xfId="3793" xr:uid="{BF8CDE31-41DE-49C9-93F0-9B509472689E}"/>
    <cellStyle name="통화 [0] 2 5 3" xfId="2543" xr:uid="{B995E1A4-4F4E-4C6D-AC1E-A0208188529F}"/>
    <cellStyle name="통화 [0] 2 5 3 2" xfId="3200" xr:uid="{A325F9C2-C192-4B12-B40A-7E6A2691EC86}"/>
    <cellStyle name="통화 [0] 2 5 3 2 2" xfId="4571" xr:uid="{C0BCE4D0-D99E-4A80-8F74-4F192515C01E}"/>
    <cellStyle name="통화 [0] 2 5 3 3" xfId="3917" xr:uid="{35F9D700-6F45-428D-8EF3-2983A0747869}"/>
    <cellStyle name="통화 [0] 2 5 4" xfId="2873" xr:uid="{D79455F3-9040-4BD0-AC34-D854D1AF1DA2}"/>
    <cellStyle name="통화 [0] 2 5 4 2" xfId="4244" xr:uid="{F5465843-449A-4A49-9B7F-4D6EC8FFC95B}"/>
    <cellStyle name="통화 [0] 2 5 5" xfId="3588" xr:uid="{66918EBF-82FA-40F8-BC0F-493A73092AC4}"/>
    <cellStyle name="통화 [0] 2 6" xfId="2259" xr:uid="{126AD180-F53E-448C-8D32-D75FDD1C2961}"/>
    <cellStyle name="통화 [0] 2 6 2" xfId="2602" xr:uid="{49D28639-FF17-413C-8761-C8B3E8E7892A}"/>
    <cellStyle name="통화 [0] 2 6 2 2" xfId="3259" xr:uid="{ED698202-937B-454D-9EF4-0941D72D4845}"/>
    <cellStyle name="통화 [0] 2 6 2 2 2" xfId="4630" xr:uid="{2ABF80C5-82FA-49CD-9EED-BFA8F33A3F28}"/>
    <cellStyle name="통화 [0] 2 6 2 3" xfId="3976" xr:uid="{C52B125C-4EB0-420C-A59D-F52C41AA4177}"/>
    <cellStyle name="통화 [0] 2 6 3" xfId="2932" xr:uid="{670EE5F3-1BA6-48EF-ACBD-151EE6C0F0D2}"/>
    <cellStyle name="통화 [0] 2 6 3 2" xfId="4303" xr:uid="{06792FE8-757E-4574-8EDF-FD2D363B348C}"/>
    <cellStyle name="통화 [0] 2 6 4" xfId="3649" xr:uid="{87DE775A-6FB1-4FC1-BC07-F52DDC6388F1}"/>
    <cellStyle name="통화 [0] 2 7" xfId="2266" xr:uid="{3462D9BD-3905-44AD-B93B-9BC86772FABA}"/>
    <cellStyle name="통화 [0] 2 7 2" xfId="2609" xr:uid="{607489F2-E384-4322-9285-2F2158101C44}"/>
    <cellStyle name="통화 [0] 2 7 2 2" xfId="3266" xr:uid="{98F671DF-A354-4A7F-BA1F-7CD68A6C554C}"/>
    <cellStyle name="통화 [0] 2 7 2 2 2" xfId="4637" xr:uid="{4462E153-B169-4814-990A-393FE7D4E32E}"/>
    <cellStyle name="통화 [0] 2 7 2 3" xfId="3983" xr:uid="{5B6D440B-6EC6-4B1E-A469-D23DE1E42EB4}"/>
    <cellStyle name="통화 [0] 2 7 3" xfId="2939" xr:uid="{96A1AB72-CB52-4A78-BBBF-3064A975F95B}"/>
    <cellStyle name="통화 [0] 2 7 3 2" xfId="4310" xr:uid="{2FE41757-AD2D-45CB-9C35-AE71ED3ADC8C}"/>
    <cellStyle name="통화 [0] 2 7 4" xfId="3656" xr:uid="{576C8EC2-0578-4809-B057-E01C2E19B826}"/>
    <cellStyle name="통화 [0] 2 8" xfId="2273" xr:uid="{823DE492-0494-467A-A966-6DEE82C42CBD}"/>
    <cellStyle name="통화 [0] 2 8 2" xfId="2616" xr:uid="{3AA2F25B-D300-4319-A67E-AAAFA4A1452A}"/>
    <cellStyle name="통화 [0] 2 8 2 2" xfId="3273" xr:uid="{7FE1DCA4-D346-435A-8A2D-C6055A4B4768}"/>
    <cellStyle name="통화 [0] 2 8 2 2 2" xfId="4644" xr:uid="{17DD5219-E8EB-44D7-898D-EF7D0DFCB3EC}"/>
    <cellStyle name="통화 [0] 2 8 2 3" xfId="3990" xr:uid="{EAC8C44F-4ACB-498B-A8D5-838608E5FF53}"/>
    <cellStyle name="통화 [0] 2 8 3" xfId="2946" xr:uid="{0599761D-6D56-4307-9599-5BD08B285A4A}"/>
    <cellStyle name="통화 [0] 2 8 3 2" xfId="4317" xr:uid="{09278835-3625-4335-BF55-D3A5AE79D2B6}"/>
    <cellStyle name="통화 [0] 2 8 4" xfId="3663" xr:uid="{9D27F675-DF4B-48C6-A113-F7D2DC5D98A8}"/>
    <cellStyle name="통화 [0] 2 9" xfId="2280" xr:uid="{DC015707-C0FB-4AEA-8C96-114F37988C85}"/>
    <cellStyle name="통화 [0] 2 9 2" xfId="2623" xr:uid="{D233389E-4640-4D07-B5F3-4CA93DFB8900}"/>
    <cellStyle name="통화 [0] 2 9 2 2" xfId="3280" xr:uid="{B6660E6C-F00F-4A30-A57F-6E189388AE76}"/>
    <cellStyle name="통화 [0] 2 9 2 2 2" xfId="4651" xr:uid="{720FEFE5-C9B7-4D98-B314-79F15DF1E053}"/>
    <cellStyle name="통화 [0] 2 9 2 3" xfId="3997" xr:uid="{BE4A46F2-D04E-4630-A309-78FD9BF89FC8}"/>
    <cellStyle name="통화 [0] 2 9 3" xfId="2953" xr:uid="{F9394729-3209-4496-B6C0-A128D88B1327}"/>
    <cellStyle name="통화 [0] 2 9 3 2" xfId="4324" xr:uid="{53B4D2BD-6F34-4865-8C2A-3A10584A7CC2}"/>
    <cellStyle name="통화 [0] 2 9 4" xfId="3670" xr:uid="{32BB4FAC-E98A-49EC-965F-3DB524D7B6A1}"/>
    <cellStyle name="통화 [0] 3" xfId="147" xr:uid="{00000000-0005-0000-0000-000093000000}"/>
    <cellStyle name="통화 [0] 3 2" xfId="148" xr:uid="{00000000-0005-0000-0000-000094000000}"/>
    <cellStyle name="통화 [0] 3 2 2" xfId="2747" xr:uid="{F60C2C1D-167D-41D9-AC8C-D27F35A3ACD0}"/>
    <cellStyle name="통화 [0] 3 2 2 2" xfId="3404" xr:uid="{2E008AA6-BC32-48FC-A9C0-5F08D9E57519}"/>
    <cellStyle name="통화 [0] 3 2 2 2 2" xfId="4775" xr:uid="{1EC45B25-6825-460A-A575-3D3743985881}"/>
    <cellStyle name="통화 [0] 3 2 2 3" xfId="4121" xr:uid="{123B9894-5F91-4D79-813F-69D70E8586E6}"/>
    <cellStyle name="통화 [0] 3 2 3" xfId="3077" xr:uid="{84AFBE7A-20CF-4B1C-9C3A-2824A9CEEF8E}"/>
    <cellStyle name="통화 [0] 3 2 3 2" xfId="4448" xr:uid="{91195F5B-1BFA-4A0B-B288-4F431C9A9040}"/>
    <cellStyle name="통화 [0] 3 2 4" xfId="2410" xr:uid="{002DF274-D7B0-4586-AED6-271D6DF8A4DE}"/>
    <cellStyle name="통화 [0] 3 2 5" xfId="3794" xr:uid="{C5735C2F-4739-482C-9709-AAC27560916C}"/>
    <cellStyle name="통화 [0] 3 3" xfId="2551" xr:uid="{D96144BE-2FF7-4839-9703-9BE131C80981}"/>
    <cellStyle name="통화 [0] 3 3 2" xfId="3208" xr:uid="{0D4D2525-9947-4502-B304-2C6FB2B89F3C}"/>
    <cellStyle name="통화 [0] 3 3 2 2" xfId="4579" xr:uid="{E0294949-2576-4BDC-9FBE-2DA6F0CF177E}"/>
    <cellStyle name="통화 [0] 3 3 3" xfId="3925" xr:uid="{7E14C323-C3D9-4B0A-AB44-67A32E6615BB}"/>
    <cellStyle name="통화 [0] 3 4" xfId="2881" xr:uid="{DA3CDB96-874F-4C85-9CFA-33B00D72F23F}"/>
    <cellStyle name="통화 [0] 3 4 2" xfId="4252" xr:uid="{79B51437-17E4-45C6-B3B7-02735EB5D52F}"/>
    <cellStyle name="통화 [0] 3 5" xfId="2106" xr:uid="{CA2D7460-FC5C-4524-8FFF-321FC8BAEE24}"/>
    <cellStyle name="통화 [0] 3 5 2" xfId="3596" xr:uid="{D13123CF-41DB-4896-A921-2328A231582B}"/>
    <cellStyle name="통화 [0] 3 6" xfId="270" xr:uid="{37DA8669-F289-40EC-B583-9B09463A6540}"/>
    <cellStyle name="통화 [0] 3 7" xfId="3499" xr:uid="{D91710C0-2A01-4C40-97DF-F011FDCDA0F1}"/>
    <cellStyle name="통화 [0] 4" xfId="149" xr:uid="{00000000-0005-0000-0000-000095000000}"/>
    <cellStyle name="통화 [0] 4 2" xfId="2108" xr:uid="{6B0FD240-C71A-46B1-918F-9FB71A9C586A}"/>
    <cellStyle name="통화 [0] 4 2 2" xfId="2412" xr:uid="{C1F3E608-7889-4E8C-B0D2-7FE9144D8D35}"/>
    <cellStyle name="통화 [0] 4 2 2 2" xfId="2749" xr:uid="{61CC93FF-2065-4466-A65A-B95E9E55B58F}"/>
    <cellStyle name="통화 [0] 4 2 2 2 2" xfId="3406" xr:uid="{30D0B504-1EB1-4133-BFD4-3818F2B452E6}"/>
    <cellStyle name="통화 [0] 4 2 2 2 2 2" xfId="4777" xr:uid="{39A0158A-CD34-4549-B6AA-C9506E7FEFC0}"/>
    <cellStyle name="통화 [0] 4 2 2 2 3" xfId="4123" xr:uid="{5DBADA29-A0B6-46CF-BA83-E5BB6DE23797}"/>
    <cellStyle name="통화 [0] 4 2 2 3" xfId="3079" xr:uid="{EC78097E-7F23-476E-BFC3-29154708B8D3}"/>
    <cellStyle name="통화 [0] 4 2 2 3 2" xfId="4450" xr:uid="{7D832C72-9FAA-404B-9987-5B65673B21E6}"/>
    <cellStyle name="통화 [0] 4 2 2 4" xfId="3796" xr:uid="{1C7B4414-44C4-4B19-BCA1-542A1E715E21}"/>
    <cellStyle name="통화 [0] 4 2 3" xfId="2553" xr:uid="{9B533F9E-AD7B-4D5F-8619-D8424F557903}"/>
    <cellStyle name="통화 [0] 4 2 3 2" xfId="3210" xr:uid="{8A66A3C4-85F4-4815-B4ED-C4B0C38DB38D}"/>
    <cellStyle name="통화 [0] 4 2 3 2 2" xfId="4581" xr:uid="{0B0F826D-96E9-47D2-A260-346316220D6F}"/>
    <cellStyle name="통화 [0] 4 2 3 3" xfId="3927" xr:uid="{1709E7CD-9445-40E7-A5DB-AF79FC29A6BC}"/>
    <cellStyle name="통화 [0] 4 2 4" xfId="2883" xr:uid="{C3E99D42-273B-4FA9-BD79-3C232D799DC8}"/>
    <cellStyle name="통화 [0] 4 2 4 2" xfId="4254" xr:uid="{B5ED6076-F1E5-40C8-B82E-3C489B84D44B}"/>
    <cellStyle name="통화 [0] 4 2 5" xfId="3598" xr:uid="{C32D9FDE-C4BD-4DB9-9973-5F928B5E7404}"/>
    <cellStyle name="통화 [0] 4 3" xfId="2109" xr:uid="{749B88D6-732B-4B96-A164-7A82495541E0}"/>
    <cellStyle name="통화 [0] 4 3 2" xfId="2413" xr:uid="{B08BDB9F-F100-41BE-BBE5-AA4B58F29591}"/>
    <cellStyle name="통화 [0] 4 3 2 2" xfId="2750" xr:uid="{7C5DF7B0-99CB-47AD-8BBA-86D402ECB86E}"/>
    <cellStyle name="통화 [0] 4 3 2 2 2" xfId="3407" xr:uid="{8EF3327A-58B4-490D-A74D-BF6E7FDD71CE}"/>
    <cellStyle name="통화 [0] 4 3 2 2 2 2" xfId="4778" xr:uid="{3A390952-A8A2-4B3E-B0B1-F5A9ACF8519E}"/>
    <cellStyle name="통화 [0] 4 3 2 2 3" xfId="4124" xr:uid="{D581D24C-54FC-4FA7-901A-DB813ADE10F6}"/>
    <cellStyle name="통화 [0] 4 3 2 3" xfId="3080" xr:uid="{7FAFD400-438B-47E3-AC38-A7CFEA4B1DF6}"/>
    <cellStyle name="통화 [0] 4 3 2 3 2" xfId="4451" xr:uid="{AC47C137-77A8-4733-BA54-FC280C88780F}"/>
    <cellStyle name="통화 [0] 4 3 2 4" xfId="3797" xr:uid="{3283D3B1-D1D4-48DE-AFD2-889ADD193267}"/>
    <cellStyle name="통화 [0] 4 3 3" xfId="2554" xr:uid="{71B862DC-2138-49B9-B188-0F14970FC9D0}"/>
    <cellStyle name="통화 [0] 4 3 3 2" xfId="3211" xr:uid="{1E0A81BE-2485-4B60-861F-78C5250EF7E9}"/>
    <cellStyle name="통화 [0] 4 3 3 2 2" xfId="4582" xr:uid="{B58E7405-9CB8-4581-A6CD-37635E2CA634}"/>
    <cellStyle name="통화 [0] 4 3 3 3" xfId="3928" xr:uid="{D1F6EE37-4B4A-46E1-AA89-7A3DC3DE44D4}"/>
    <cellStyle name="통화 [0] 4 3 4" xfId="2884" xr:uid="{DA0AF739-C61D-4FCB-A34E-BBB7D32DFDA0}"/>
    <cellStyle name="통화 [0] 4 3 4 2" xfId="4255" xr:uid="{D435697A-E13A-4388-B909-FFF2E33FA4EA}"/>
    <cellStyle name="통화 [0] 4 3 5" xfId="3599" xr:uid="{6E3B679D-72BF-4479-B845-B3ADC9F26405}"/>
    <cellStyle name="통화 [0] 4 4" xfId="2411" xr:uid="{E1C63308-2BC1-4F4B-B1D3-E56F691AC4F5}"/>
    <cellStyle name="통화 [0] 4 4 2" xfId="2748" xr:uid="{5DEBB63F-9FF7-4BC9-8BBC-DA9060B6F8EC}"/>
    <cellStyle name="통화 [0] 4 4 2 2" xfId="3405" xr:uid="{ABE55B94-355C-46AA-86C1-04B956D105FE}"/>
    <cellStyle name="통화 [0] 4 4 2 2 2" xfId="4776" xr:uid="{50E6514F-ED3E-43EC-AFA6-95FAD534E4F0}"/>
    <cellStyle name="통화 [0] 4 4 2 3" xfId="4122" xr:uid="{2AD88C1A-1F61-49FA-A37E-D260C8CA5C9A}"/>
    <cellStyle name="통화 [0] 4 4 3" xfId="3078" xr:uid="{A231818B-894A-4804-BC38-09202F431633}"/>
    <cellStyle name="통화 [0] 4 4 3 2" xfId="4449" xr:uid="{A680E95D-A1D6-4A16-86EB-E1152D241F2E}"/>
    <cellStyle name="통화 [0] 4 4 4" xfId="3795" xr:uid="{F34B68F2-8A06-46E8-8CC0-283304F4474C}"/>
    <cellStyle name="통화 [0] 4 5" xfId="2552" xr:uid="{A81D33C6-51D7-4115-B578-38FF57F7F38D}"/>
    <cellStyle name="통화 [0] 4 5 2" xfId="3209" xr:uid="{2ABA63C4-8BD1-4E4D-AD21-1EA6F6B61917}"/>
    <cellStyle name="통화 [0] 4 5 2 2" xfId="4580" xr:uid="{38E2920A-4F35-44F0-BD37-D11A841DA0A2}"/>
    <cellStyle name="통화 [0] 4 5 3" xfId="3926" xr:uid="{CC2934DE-1327-407D-8638-8733279A10B2}"/>
    <cellStyle name="통화 [0] 4 6" xfId="2882" xr:uid="{DC869C93-9A89-4B8B-9CFD-5F61B35C2749}"/>
    <cellStyle name="통화 [0] 4 6 2" xfId="4253" xr:uid="{B1D49998-E409-4813-A375-037454FC2045}"/>
    <cellStyle name="통화 [0] 4 7" xfId="2107" xr:uid="{41A4DAFC-CD11-49D7-B4DE-C6D03FAAFD7C}"/>
    <cellStyle name="통화 [0] 4 8" xfId="3597" xr:uid="{6A6C1393-F18F-485F-AE4C-66C05869C29D}"/>
    <cellStyle name="통화 [0] 5" xfId="142" xr:uid="{00000000-0005-0000-0000-000096000000}"/>
    <cellStyle name="통화 [0] 5 2" xfId="2111" xr:uid="{0DD30609-A212-4E13-992D-177E40494A61}"/>
    <cellStyle name="통화 [0] 5 2 2" xfId="2415" xr:uid="{1EDA6C92-0788-4AE9-ADFE-502F1AFC8536}"/>
    <cellStyle name="통화 [0] 5 2 2 2" xfId="2752" xr:uid="{0137269B-BE98-40D9-A939-B450DC8198C5}"/>
    <cellStyle name="통화 [0] 5 2 2 2 2" xfId="3409" xr:uid="{C3D737C1-70AB-4A23-9A89-553AE07065DA}"/>
    <cellStyle name="통화 [0] 5 2 2 2 2 2" xfId="4780" xr:uid="{66A1FF6B-0278-4663-A6E8-C3F088AE3EF1}"/>
    <cellStyle name="통화 [0] 5 2 2 2 3" xfId="4126" xr:uid="{B8F78E2C-CF81-4D0E-A502-BC4CBA48F604}"/>
    <cellStyle name="통화 [0] 5 2 2 3" xfId="3082" xr:uid="{8193D7AA-7012-4E9A-A54F-687D2B6AFADE}"/>
    <cellStyle name="통화 [0] 5 2 2 3 2" xfId="4453" xr:uid="{722EAD8B-CE06-4E40-9883-1E366872D4B7}"/>
    <cellStyle name="통화 [0] 5 2 2 4" xfId="3799" xr:uid="{F16AD8BF-5BDC-47AC-9AAB-22CFC402E245}"/>
    <cellStyle name="통화 [0] 5 2 3" xfId="2556" xr:uid="{64F1D3EB-1A1B-43FE-B7A9-8BBE534F72C4}"/>
    <cellStyle name="통화 [0] 5 2 3 2" xfId="3213" xr:uid="{27D6C9DC-56A0-45EF-B990-6783B92C4E6E}"/>
    <cellStyle name="통화 [0] 5 2 3 2 2" xfId="4584" xr:uid="{326E1EB7-9455-4741-9B8F-503062E6CAAC}"/>
    <cellStyle name="통화 [0] 5 2 3 3" xfId="3930" xr:uid="{704C1146-EAE0-488D-9908-74B84FAB23F7}"/>
    <cellStyle name="통화 [0] 5 2 4" xfId="2886" xr:uid="{481A03E6-451B-408A-9AD6-25561C7260E7}"/>
    <cellStyle name="통화 [0] 5 2 4 2" xfId="4257" xr:uid="{4FBB5894-9592-4674-AFA4-4733E0DA7118}"/>
    <cellStyle name="통화 [0] 5 2 5" xfId="3601" xr:uid="{73161151-F5B5-4626-AD0B-67EEEC14552F}"/>
    <cellStyle name="통화 [0] 5 3" xfId="2112" xr:uid="{C711972E-BEE1-4506-8ED3-E3CBA95126E6}"/>
    <cellStyle name="통화 [0] 5 3 2" xfId="2416" xr:uid="{9D108619-D07F-4432-BCC1-F02026EF5B6A}"/>
    <cellStyle name="통화 [0] 5 3 2 2" xfId="2753" xr:uid="{E5B4FF07-ECA9-42E7-BB4C-2F7E18720A01}"/>
    <cellStyle name="통화 [0] 5 3 2 2 2" xfId="3410" xr:uid="{74181060-0EF2-4D94-85A5-86A0DDA072D8}"/>
    <cellStyle name="통화 [0] 5 3 2 2 2 2" xfId="4781" xr:uid="{FE389FEB-022C-45F8-A161-B4E4D32BBB0F}"/>
    <cellStyle name="통화 [0] 5 3 2 2 3" xfId="4127" xr:uid="{3D04E8F6-E622-46F0-B40E-69B798DF33C0}"/>
    <cellStyle name="통화 [0] 5 3 2 3" xfId="3083" xr:uid="{55E837FA-ECA2-44BC-B3B9-8A928328048B}"/>
    <cellStyle name="통화 [0] 5 3 2 3 2" xfId="4454" xr:uid="{E6F96088-16BB-4F50-9BD5-D1C66C1F2899}"/>
    <cellStyle name="통화 [0] 5 3 2 4" xfId="3800" xr:uid="{BF5BE1EB-2ACD-4C00-8F73-C92394201013}"/>
    <cellStyle name="통화 [0] 5 3 3" xfId="2557" xr:uid="{6B8FBA9D-4438-4E07-9DBE-EE6F0523DFF8}"/>
    <cellStyle name="통화 [0] 5 3 3 2" xfId="3214" xr:uid="{05B65389-E87B-4603-B049-AD10875071E8}"/>
    <cellStyle name="통화 [0] 5 3 3 2 2" xfId="4585" xr:uid="{03267033-5B3D-49BA-B41E-FA0CEBA951EC}"/>
    <cellStyle name="통화 [0] 5 3 3 3" xfId="3931" xr:uid="{8C5E3065-932E-4DD8-BFAC-16A0673DD08A}"/>
    <cellStyle name="통화 [0] 5 3 4" xfId="2887" xr:uid="{AE38000A-015C-43B7-9F8E-2C97BFEAA572}"/>
    <cellStyle name="통화 [0] 5 3 4 2" xfId="4258" xr:uid="{7F265409-41E2-4E03-BDB0-68D8E870AA7D}"/>
    <cellStyle name="통화 [0] 5 3 5" xfId="3602" xr:uid="{F52C448D-8FDF-4649-8941-56CCA9325012}"/>
    <cellStyle name="통화 [0] 5 4" xfId="2414" xr:uid="{2A7F9572-8665-480C-BF02-40139C1FD252}"/>
    <cellStyle name="통화 [0] 5 4 2" xfId="2751" xr:uid="{834CB545-F8F2-4647-8AE0-8CC569362BD9}"/>
    <cellStyle name="통화 [0] 5 4 2 2" xfId="3408" xr:uid="{BB0831DD-7F3A-4D0A-B8A5-6DCAE69331BD}"/>
    <cellStyle name="통화 [0] 5 4 2 2 2" xfId="4779" xr:uid="{C2456DEF-8C32-45E7-A525-810E009C8E24}"/>
    <cellStyle name="통화 [0] 5 4 2 3" xfId="4125" xr:uid="{F555CB58-7145-4753-A0F2-474B55753D0E}"/>
    <cellStyle name="통화 [0] 5 4 3" xfId="3081" xr:uid="{6D2FDADB-8CE9-4B91-BC6C-1E851205CD91}"/>
    <cellStyle name="통화 [0] 5 4 3 2" xfId="4452" xr:uid="{4462988C-8A70-4B11-BB05-F5FFF81E58A4}"/>
    <cellStyle name="통화 [0] 5 4 4" xfId="3798" xr:uid="{46BFA4C8-0AEF-4C2E-8229-527475FB39A2}"/>
    <cellStyle name="통화 [0] 5 5" xfId="2555" xr:uid="{2A91C2F1-EF9D-4933-8DDE-626450F197DC}"/>
    <cellStyle name="통화 [0] 5 5 2" xfId="3212" xr:uid="{C004D982-C104-44EE-8882-DC59E90C85AA}"/>
    <cellStyle name="통화 [0] 5 5 2 2" xfId="4583" xr:uid="{B3724F94-FFF9-461F-BBB8-E54898DD24D7}"/>
    <cellStyle name="통화 [0] 5 5 3" xfId="3929" xr:uid="{5B475A3F-40D9-4CE4-94DA-C02834E1408A}"/>
    <cellStyle name="통화 [0] 5 6" xfId="2885" xr:uid="{BCCAA445-B78E-4FFE-B497-9FCB16A938A7}"/>
    <cellStyle name="통화 [0] 5 6 2" xfId="4256" xr:uid="{E08D5814-7814-4954-BA35-7F0DBEF1F350}"/>
    <cellStyle name="통화 [0] 5 7" xfId="2110" xr:uid="{8CBB71EA-417F-474D-9904-C402D06C82A1}"/>
    <cellStyle name="통화 [0] 5 8" xfId="3600" xr:uid="{56249D1E-76E9-409B-8CA9-22921C5DD5DA}"/>
    <cellStyle name="통화 [0] 6" xfId="2113" xr:uid="{60BE10D5-470F-41DF-8604-C4927592C968}"/>
    <cellStyle name="통화 [0] 6 2" xfId="2417" xr:uid="{758F18FA-793C-4C11-9506-9FDF5C320141}"/>
    <cellStyle name="통화 [0] 6 2 2" xfId="2754" xr:uid="{B1650FD1-22FE-493A-B57D-B2A6D98ED059}"/>
    <cellStyle name="통화 [0] 6 2 2 2" xfId="3411" xr:uid="{24D110B5-2227-4B94-9E99-98B1FA8A7CB1}"/>
    <cellStyle name="통화 [0] 6 2 2 2 2" xfId="4782" xr:uid="{8DAF8EF7-DD67-44CB-A97A-815DF933B4AD}"/>
    <cellStyle name="통화 [0] 6 2 2 3" xfId="4128" xr:uid="{D985489D-7DA3-494A-84E4-E9793F5C5A15}"/>
    <cellStyle name="통화 [0] 6 2 3" xfId="3084" xr:uid="{0FA98AC6-426F-454C-9F32-D24129E1BCDB}"/>
    <cellStyle name="통화 [0] 6 2 3 2" xfId="4455" xr:uid="{4274AE0A-5809-4B6F-841B-07038A2E5400}"/>
    <cellStyle name="통화 [0] 6 2 4" xfId="3801" xr:uid="{5837F41D-1A0E-469D-A8CA-E577416850BA}"/>
    <cellStyle name="통화 [0] 6 3" xfId="2558" xr:uid="{489C4D0E-8C79-409E-84B0-9D3EF7FBEF73}"/>
    <cellStyle name="통화 [0] 6 3 2" xfId="3215" xr:uid="{22786F8A-A01D-4DB9-B1C2-9E151BC9E028}"/>
    <cellStyle name="통화 [0] 6 3 2 2" xfId="4586" xr:uid="{50F77DE5-E9D4-4742-A875-4C9315A6114B}"/>
    <cellStyle name="통화 [0] 6 3 3" xfId="3932" xr:uid="{87F19F02-638F-4BAF-B52F-203E190FD2B5}"/>
    <cellStyle name="통화 [0] 6 4" xfId="2888" xr:uid="{7F6EFCCC-3EA1-435E-BAD0-8661E46BB29B}"/>
    <cellStyle name="통화 [0] 6 4 2" xfId="4259" xr:uid="{5E0E8958-CFBB-4E3C-B819-C9994A49F38E}"/>
    <cellStyle name="통화 [0] 6 5" xfId="3603" xr:uid="{9D9D75EE-8142-43EB-BF98-CC6FB07D3BEA}"/>
    <cellStyle name="통화 [0] 7" xfId="3549" xr:uid="{BE466F25-60A8-4B93-849E-693E089658C6}"/>
    <cellStyle name="통화 10" xfId="2114" xr:uid="{AA293F87-084F-4BEF-AA74-C168FAA7218D}"/>
    <cellStyle name="통화 10 2" xfId="2418" xr:uid="{F766C064-029F-4214-A9D7-1332530ADEEA}"/>
    <cellStyle name="통화 10 2 2" xfId="2755" xr:uid="{0523CEEC-4D47-4DF4-9B1E-52F0E45FB8C4}"/>
    <cellStyle name="통화 10 2 2 2" xfId="3412" xr:uid="{924BECA9-59D2-4431-AF6B-955AB13816D0}"/>
    <cellStyle name="통화 10 2 2 2 2" xfId="4783" xr:uid="{4494701D-8602-4558-AD49-5A2173B96EF7}"/>
    <cellStyle name="통화 10 2 2 3" xfId="4129" xr:uid="{E6662F76-6F0B-4876-85DE-9AB4A99B42F6}"/>
    <cellStyle name="통화 10 2 3" xfId="3085" xr:uid="{A226F07B-D2C6-4069-B9FE-B8DB12E0DAB3}"/>
    <cellStyle name="통화 10 2 3 2" xfId="4456" xr:uid="{F59E6EC0-72B0-44E7-A403-B2EA6E975801}"/>
    <cellStyle name="통화 10 2 4" xfId="3802" xr:uid="{069052B6-BBAE-45C0-A432-4CD762B889D8}"/>
    <cellStyle name="통화 10 3" xfId="2559" xr:uid="{DD08B8E6-252B-4923-ADE1-D9F8FF9F4D84}"/>
    <cellStyle name="통화 10 3 2" xfId="3216" xr:uid="{9C069C56-ED1C-4742-B182-61AEB170B166}"/>
    <cellStyle name="통화 10 3 2 2" xfId="4587" xr:uid="{C2B6D377-68BD-4486-A7F0-2F910078471A}"/>
    <cellStyle name="통화 10 3 3" xfId="3933" xr:uid="{62382EB2-BA3D-43ED-88C5-BE361FFF4414}"/>
    <cellStyle name="통화 10 4" xfId="2889" xr:uid="{71B5BE11-781F-4DA6-BC28-0C2B1C2E90FB}"/>
    <cellStyle name="통화 10 4 2" xfId="4260" xr:uid="{843B5AC0-6FD4-41D6-9C80-9D99D1696ED4}"/>
    <cellStyle name="통화 10 5" xfId="3604" xr:uid="{B0ED15BA-CD44-4D9F-A3AB-8517C9166C6C}"/>
    <cellStyle name="통화 11" xfId="2115" xr:uid="{3BD6694D-BB2D-4C21-8234-C8BA91DD4573}"/>
    <cellStyle name="통화 11 2" xfId="2419" xr:uid="{DB1A620D-2F4A-4814-A58F-523C780BFE70}"/>
    <cellStyle name="통화 11 2 2" xfId="2756" xr:uid="{52F4BB3E-ACAB-457E-B3A0-7C2BE52F9E36}"/>
    <cellStyle name="통화 11 2 2 2" xfId="3413" xr:uid="{FBEEBCD7-03A7-4028-8D19-B443813674FE}"/>
    <cellStyle name="통화 11 2 2 2 2" xfId="4784" xr:uid="{5DCDB1A3-1E6F-46DE-8115-A88A3A784342}"/>
    <cellStyle name="통화 11 2 2 3" xfId="4130" xr:uid="{F86C0947-3C92-47F6-AA0C-DA567CD2AFA4}"/>
    <cellStyle name="통화 11 2 3" xfId="3086" xr:uid="{ED81565A-6E77-45F7-A448-6DB79381B34F}"/>
    <cellStyle name="통화 11 2 3 2" xfId="4457" xr:uid="{B8A5B641-C3DE-455A-A769-EDD9A36E5DD9}"/>
    <cellStyle name="통화 11 2 4" xfId="3803" xr:uid="{56C449AD-7C1D-4CEF-BB22-4F1BC11BA978}"/>
    <cellStyle name="통화 11 3" xfId="2560" xr:uid="{5F1B30E0-C070-4CE2-AC1C-8C0AA9925BD4}"/>
    <cellStyle name="통화 11 3 2" xfId="3217" xr:uid="{AAC1B67B-CD26-45B3-A9BC-E457BB63E1D1}"/>
    <cellStyle name="통화 11 3 2 2" xfId="4588" xr:uid="{056290BF-7768-4D70-B0A0-08C1AEE35502}"/>
    <cellStyle name="통화 11 3 3" xfId="3934" xr:uid="{9F201D14-7DDB-47FF-B21D-E0B5A22CD036}"/>
    <cellStyle name="통화 11 4" xfId="2890" xr:uid="{FBCF0E76-5B5D-4C3F-AD49-A6D10059F033}"/>
    <cellStyle name="통화 11 4 2" xfId="4261" xr:uid="{83FCC6E9-CF87-4179-AADD-B589B1239BBA}"/>
    <cellStyle name="통화 11 5" xfId="3605" xr:uid="{6CCA21CD-A215-4304-B3CF-A32555E88D39}"/>
    <cellStyle name="통화 12" xfId="2116" xr:uid="{6BFCD12D-D8CE-4DE6-81F4-68C28BD9283B}"/>
    <cellStyle name="통화 12 2" xfId="2420" xr:uid="{35CD6D00-FF3A-40DE-A185-BE858BB7166B}"/>
    <cellStyle name="통화 12 2 2" xfId="2757" xr:uid="{ED27F5CA-DA04-4327-AA1F-4F54ABA1F708}"/>
    <cellStyle name="통화 12 2 2 2" xfId="3414" xr:uid="{653D5813-A358-4FFE-B63A-91537535D87A}"/>
    <cellStyle name="통화 12 2 2 2 2" xfId="4785" xr:uid="{D94C8000-D98D-47C8-BBA7-77ACCD8B986F}"/>
    <cellStyle name="통화 12 2 2 3" xfId="4131" xr:uid="{CDA01AE1-B495-46CA-9E04-E01A4E2265BC}"/>
    <cellStyle name="통화 12 2 3" xfId="3087" xr:uid="{3239A043-BE0F-44FB-AD41-DE825308267A}"/>
    <cellStyle name="통화 12 2 3 2" xfId="4458" xr:uid="{4F450055-8619-4DE5-8FE6-62DB6E5EF71A}"/>
    <cellStyle name="통화 12 2 4" xfId="3804" xr:uid="{730BC074-08AB-45DA-A723-FC8C8388D6CB}"/>
    <cellStyle name="통화 12 3" xfId="2561" xr:uid="{B3EC739A-74B9-444D-9979-D1B3606754BF}"/>
    <cellStyle name="통화 12 3 2" xfId="3218" xr:uid="{693F4147-7FF0-43A1-9CC9-514900D42421}"/>
    <cellStyle name="통화 12 3 2 2" xfId="4589" xr:uid="{4695105B-9A2F-4DBF-9FDE-4A60B50131E2}"/>
    <cellStyle name="통화 12 3 3" xfId="3935" xr:uid="{7D81BF4D-702C-492A-9BA8-D59FD732B8CD}"/>
    <cellStyle name="통화 12 4" xfId="2891" xr:uid="{125880C2-C96B-4736-9091-66C7033E9C68}"/>
    <cellStyle name="통화 12 4 2" xfId="4262" xr:uid="{77D29667-D97D-4E95-9DDE-1338B5414FA2}"/>
    <cellStyle name="통화 12 5" xfId="3606" xr:uid="{7DB28001-CD79-43A5-AB8B-34F4B53FABB0}"/>
    <cellStyle name="통화 13" xfId="2117" xr:uid="{6B302542-6FA1-4865-83EB-EBAE672663BB}"/>
    <cellStyle name="통화 13 2" xfId="2421" xr:uid="{994AD7A1-E211-4563-9530-A24120567D32}"/>
    <cellStyle name="통화 13 2 2" xfId="2758" xr:uid="{F71FF4D9-1547-45A8-AD21-79FA5FB69E81}"/>
    <cellStyle name="통화 13 2 2 2" xfId="3415" xr:uid="{5CF0077D-E297-4554-B527-39CEDC727B94}"/>
    <cellStyle name="통화 13 2 2 2 2" xfId="4786" xr:uid="{54AD6E56-8DE8-4DD2-82DE-1B4981F0F877}"/>
    <cellStyle name="통화 13 2 2 3" xfId="4132" xr:uid="{01B21A4C-2E67-435E-B0DA-5358D979D324}"/>
    <cellStyle name="통화 13 2 3" xfId="3088" xr:uid="{E44BEE97-2647-40D0-AD6A-8C5A12567297}"/>
    <cellStyle name="통화 13 2 3 2" xfId="4459" xr:uid="{328C28E0-D1E8-48AE-8EDC-E766C0A5229D}"/>
    <cellStyle name="통화 13 2 4" xfId="3805" xr:uid="{5B414460-A46D-4226-9E57-8E609C34100A}"/>
    <cellStyle name="통화 13 3" xfId="2562" xr:uid="{3E820B69-64CA-4451-B16B-D026602F1B39}"/>
    <cellStyle name="통화 13 3 2" xfId="3219" xr:uid="{A74F4055-2A37-4D37-8B13-4C9D4EA025A9}"/>
    <cellStyle name="통화 13 3 2 2" xfId="4590" xr:uid="{6C9F5B3E-DB4D-4B81-B192-C11ED4C5C3A4}"/>
    <cellStyle name="통화 13 3 3" xfId="3936" xr:uid="{66D6BC63-0FE1-4A94-ADEF-26715F9300B7}"/>
    <cellStyle name="통화 13 4" xfId="2892" xr:uid="{C329291A-AEDC-4A41-B0B8-53B5991DCD55}"/>
    <cellStyle name="통화 13 4 2" xfId="4263" xr:uid="{22388A00-AC22-4947-A3D6-3E5545ACD277}"/>
    <cellStyle name="통화 13 5" xfId="3607" xr:uid="{5DC151B9-4D97-4E3D-9814-1F2FAE8900BA}"/>
    <cellStyle name="통화 14" xfId="2118" xr:uid="{4ACC687B-F017-43E2-B480-AE55E7E7B3BA}"/>
    <cellStyle name="통화 14 2" xfId="2422" xr:uid="{2428A066-9F8B-4CED-8211-0862EE8C0C39}"/>
    <cellStyle name="통화 14 2 2" xfId="2759" xr:uid="{CAD0CC8D-4421-456E-84BE-8407B4380A77}"/>
    <cellStyle name="통화 14 2 2 2" xfId="3416" xr:uid="{7F66B4DC-3A24-4DF6-8BE6-06E6E157B815}"/>
    <cellStyle name="통화 14 2 2 2 2" xfId="4787" xr:uid="{BFC5B56B-2F3B-4F1A-AD1A-BD88DCA9F8EB}"/>
    <cellStyle name="통화 14 2 2 3" xfId="4133" xr:uid="{6C1433A0-E431-4441-88AF-6664E34B0837}"/>
    <cellStyle name="통화 14 2 3" xfId="3089" xr:uid="{8CC799E7-BA2D-42E3-93C3-2FE8076D03CC}"/>
    <cellStyle name="통화 14 2 3 2" xfId="4460" xr:uid="{C4F08B9B-840A-4FC8-8F8E-F60B0BF4C2AE}"/>
    <cellStyle name="통화 14 2 4" xfId="3806" xr:uid="{B40A98C6-A9DA-4AF7-9EC7-1DC98B76DE85}"/>
    <cellStyle name="통화 14 3" xfId="2563" xr:uid="{4EEF61BA-972D-46CD-A1A6-F68A56F2F353}"/>
    <cellStyle name="통화 14 3 2" xfId="3220" xr:uid="{472345C1-83D2-40B0-9D5A-4DA9682B27EC}"/>
    <cellStyle name="통화 14 3 2 2" xfId="4591" xr:uid="{D649710A-C481-4389-AFB3-4B441AF40E8C}"/>
    <cellStyle name="통화 14 3 3" xfId="3937" xr:uid="{D3AB0B84-4F4F-47B7-BB32-F14E55C28EA6}"/>
    <cellStyle name="통화 14 4" xfId="2893" xr:uid="{8346EB99-2F5A-411E-8B0C-E7FC60803DE1}"/>
    <cellStyle name="통화 14 4 2" xfId="4264" xr:uid="{1440E3DC-0E22-4A02-A891-8A9A5E5711B3}"/>
    <cellStyle name="통화 14 5" xfId="3608" xr:uid="{1461DA1B-6FEF-414B-A73E-4B3E98BEDF24}"/>
    <cellStyle name="통화 15" xfId="2119" xr:uid="{AB32387E-8F26-4B8E-99FC-8162831F4359}"/>
    <cellStyle name="통화 15 2" xfId="2423" xr:uid="{90C6185C-AFEC-43A6-9EFA-C9A09B24B076}"/>
    <cellStyle name="통화 15 2 2" xfId="2760" xr:uid="{ED8AB983-817A-412A-937D-F7171E79D86A}"/>
    <cellStyle name="통화 15 2 2 2" xfId="3417" xr:uid="{D5BD3BD5-8E79-46D1-A033-AD05384B2478}"/>
    <cellStyle name="통화 15 2 2 2 2" xfId="4788" xr:uid="{370FE737-1B4D-4C27-91E1-B40AC85A76F4}"/>
    <cellStyle name="통화 15 2 2 3" xfId="4134" xr:uid="{33003887-01BF-44FE-880F-188EC893A042}"/>
    <cellStyle name="통화 15 2 3" xfId="3090" xr:uid="{9880E282-1213-44B2-8DBA-D01731CE9C6C}"/>
    <cellStyle name="통화 15 2 3 2" xfId="4461" xr:uid="{D09E3515-F8B5-46F5-9FAE-42863346170D}"/>
    <cellStyle name="통화 15 2 4" xfId="3807" xr:uid="{9DF8A12F-1B6B-4716-8145-A4B236C1272B}"/>
    <cellStyle name="통화 15 3" xfId="2564" xr:uid="{397EF1FD-D0EE-47C0-9377-A71BC1807288}"/>
    <cellStyle name="통화 15 3 2" xfId="3221" xr:uid="{F89B4AC7-025A-4BE3-8D40-18303A74AE6D}"/>
    <cellStyle name="통화 15 3 2 2" xfId="4592" xr:uid="{E9094A55-CB42-41C3-8C10-F746BD3937E8}"/>
    <cellStyle name="통화 15 3 3" xfId="3938" xr:uid="{92247C10-1FE6-4F5F-AC58-FD7415D0929E}"/>
    <cellStyle name="통화 15 4" xfId="2894" xr:uid="{8921708D-A8CD-466C-8BA0-D59B5A8CA647}"/>
    <cellStyle name="통화 15 4 2" xfId="4265" xr:uid="{71E1202E-2034-4B54-8824-A2ED9AFC6BA6}"/>
    <cellStyle name="통화 15 5" xfId="3609" xr:uid="{56AEBDF1-9B31-43D0-BDE0-41A60C6992DF}"/>
    <cellStyle name="통화 16" xfId="2120" xr:uid="{779FBAB4-30BE-4B1D-9E9C-D4F71B8C8431}"/>
    <cellStyle name="통화 16 2" xfId="2424" xr:uid="{5F1765F7-6A72-4E5D-94CC-9A8CDEDD821F}"/>
    <cellStyle name="통화 16 2 2" xfId="2761" xr:uid="{BB70FBA3-4649-4DB3-B264-888694F0D121}"/>
    <cellStyle name="통화 16 2 2 2" xfId="3418" xr:uid="{802A4BB1-45ED-4729-9AC9-49855FDB1719}"/>
    <cellStyle name="통화 16 2 2 2 2" xfId="4789" xr:uid="{872DB38E-42A6-47C4-AAF6-63A559EC8198}"/>
    <cellStyle name="통화 16 2 2 3" xfId="4135" xr:uid="{E0A6762A-A512-487A-8F0D-C3FB5B12388F}"/>
    <cellStyle name="통화 16 2 3" xfId="3091" xr:uid="{4F155625-B3F6-4ABA-BE6E-EF4790F104D7}"/>
    <cellStyle name="통화 16 2 3 2" xfId="4462" xr:uid="{FC10757B-2DA5-4016-8D60-908BA65E0A83}"/>
    <cellStyle name="통화 16 2 4" xfId="3808" xr:uid="{036E6506-D7A5-4CE1-AAF0-B974A35D3EA3}"/>
    <cellStyle name="통화 16 3" xfId="2565" xr:uid="{C16B2742-46B1-4368-ADBB-B09BC4590E9A}"/>
    <cellStyle name="통화 16 3 2" xfId="3222" xr:uid="{D68A8A2D-3C91-43DE-B5F7-6624124A849D}"/>
    <cellStyle name="통화 16 3 2 2" xfId="4593" xr:uid="{388BBCFA-2EB1-4157-BB5A-2D17FBB01ACC}"/>
    <cellStyle name="통화 16 3 3" xfId="3939" xr:uid="{6BC18534-7855-4BDA-A258-3C8E40FD981A}"/>
    <cellStyle name="통화 16 4" xfId="2895" xr:uid="{DFAEC22E-9487-4CD1-81F9-57404CFA37C1}"/>
    <cellStyle name="통화 16 4 2" xfId="4266" xr:uid="{D4E1B63F-7600-44E5-9EF7-E5AE2AF5BF18}"/>
    <cellStyle name="통화 16 5" xfId="3610" xr:uid="{5FA6EA68-D90C-4225-BBFF-8539938EE757}"/>
    <cellStyle name="통화 17" xfId="2121" xr:uid="{4C5E3BE8-4064-4E98-B95D-FFFD8BBD387C}"/>
    <cellStyle name="통화 17 2" xfId="2425" xr:uid="{132567AD-74B0-4293-AE82-E961ACA0BD96}"/>
    <cellStyle name="통화 17 2 2" xfId="2762" xr:uid="{D3A038D2-8E3D-46CE-961D-020360B437DA}"/>
    <cellStyle name="통화 17 2 2 2" xfId="3419" xr:uid="{23BCF65C-5FB2-4D87-BFA3-D9ED01E2A1EE}"/>
    <cellStyle name="통화 17 2 2 2 2" xfId="4790" xr:uid="{FAC3BB28-78C2-47B7-AAF9-638DDBDC32B1}"/>
    <cellStyle name="통화 17 2 2 3" xfId="4136" xr:uid="{D86610D4-8218-4E3B-98C7-957603B60AD8}"/>
    <cellStyle name="통화 17 2 3" xfId="3092" xr:uid="{E41481AF-4BCC-44C1-8E12-CEE3B1D8E49B}"/>
    <cellStyle name="통화 17 2 3 2" xfId="4463" xr:uid="{C381FFFA-658A-4ECC-BB98-841ECACB2DCA}"/>
    <cellStyle name="통화 17 2 4" xfId="3809" xr:uid="{3AD49149-917E-45DC-9030-622B4761BAB7}"/>
    <cellStyle name="통화 17 3" xfId="2566" xr:uid="{B10CD492-9D7F-4900-8F2D-64C0186EAF52}"/>
    <cellStyle name="통화 17 3 2" xfId="3223" xr:uid="{D1C271B4-F130-4677-B819-6EF84351DED7}"/>
    <cellStyle name="통화 17 3 2 2" xfId="4594" xr:uid="{2CC5C334-2914-4643-88E0-55A362841F2A}"/>
    <cellStyle name="통화 17 3 3" xfId="3940" xr:uid="{735584FC-566B-4F7F-B03C-EFF491CC08BA}"/>
    <cellStyle name="통화 17 4" xfId="2896" xr:uid="{9675454C-7CF2-43F0-BCA9-554FDDCCDB30}"/>
    <cellStyle name="통화 17 4 2" xfId="4267" xr:uid="{C820B66B-CEB5-4FC6-AC5D-3ACA9BE01776}"/>
    <cellStyle name="통화 17 5" xfId="3611" xr:uid="{57A8AE4E-F9E2-4A4C-928E-CCDBB2E268F5}"/>
    <cellStyle name="통화 18" xfId="2122" xr:uid="{5F23D6D0-D3DD-42C7-93B3-610D3F41FBC4}"/>
    <cellStyle name="통화 18 2" xfId="2426" xr:uid="{F426FD5B-82CF-4F44-B7F4-C2A5A84A59C1}"/>
    <cellStyle name="통화 18 2 2" xfId="2763" xr:uid="{88682904-C99D-4F61-B2A2-872A3425ED29}"/>
    <cellStyle name="통화 18 2 2 2" xfId="3420" xr:uid="{89A86D24-87B2-42E0-938B-881DF31A33BD}"/>
    <cellStyle name="통화 18 2 2 2 2" xfId="4791" xr:uid="{619B021D-3C75-4454-AEEA-57B8D2DB77AA}"/>
    <cellStyle name="통화 18 2 2 3" xfId="4137" xr:uid="{D6AF1355-173C-47CB-8AAE-4FBCE47F3451}"/>
    <cellStyle name="통화 18 2 3" xfId="3093" xr:uid="{204B09EA-6177-4AFE-B90E-F7819787BA07}"/>
    <cellStyle name="통화 18 2 3 2" xfId="4464" xr:uid="{DD9EAE2B-C893-4759-94C8-260D2E28C7E5}"/>
    <cellStyle name="통화 18 2 4" xfId="3810" xr:uid="{0C6DBDB3-7B49-4A06-AF74-FF033FA4E65C}"/>
    <cellStyle name="통화 18 3" xfId="2567" xr:uid="{EF2B681A-1E34-4980-8BA0-7903BF9D027A}"/>
    <cellStyle name="통화 18 3 2" xfId="3224" xr:uid="{830BC6B5-CEE0-4F1F-BBCE-0858715B93E0}"/>
    <cellStyle name="통화 18 3 2 2" xfId="4595" xr:uid="{BAD55C7B-4F58-487C-895C-0815DF8427B2}"/>
    <cellStyle name="통화 18 3 3" xfId="3941" xr:uid="{17560D43-28C0-4E90-A726-90E12B9A12F1}"/>
    <cellStyle name="통화 18 4" xfId="2897" xr:uid="{68109AEC-4331-4658-A4DB-80E365418549}"/>
    <cellStyle name="통화 18 4 2" xfId="4268" xr:uid="{98CAB330-C9F6-4C16-8ADD-E6531190DDE7}"/>
    <cellStyle name="통화 18 5" xfId="3612" xr:uid="{B7C6356B-CD54-49C8-AF73-2E520DE2DDD2}"/>
    <cellStyle name="통화 19" xfId="2123" xr:uid="{B3DFD008-7F0D-43F0-8BC6-46CD48E94F32}"/>
    <cellStyle name="통화 19 2" xfId="2427" xr:uid="{4BE033B0-3B2C-4281-BBE0-39CDF59D122F}"/>
    <cellStyle name="통화 19 2 2" xfId="2764" xr:uid="{5C5B7468-E926-4A79-9823-F7EE42F6BCEB}"/>
    <cellStyle name="통화 19 2 2 2" xfId="3421" xr:uid="{9C3769A5-EF72-4B14-A000-45E79E1568BF}"/>
    <cellStyle name="통화 19 2 2 2 2" xfId="4792" xr:uid="{911F4E0D-2B7B-4979-B15C-AC84DD764EB4}"/>
    <cellStyle name="통화 19 2 2 3" xfId="4138" xr:uid="{8B80F2FF-69FB-4EAF-8187-A059E1E35D19}"/>
    <cellStyle name="통화 19 2 3" xfId="3094" xr:uid="{C2BC4C4E-D02A-4093-9326-59A2EDCCC46D}"/>
    <cellStyle name="통화 19 2 3 2" xfId="4465" xr:uid="{31F8E8A7-62B4-47F4-93D2-0384F165EF51}"/>
    <cellStyle name="통화 19 2 4" xfId="3811" xr:uid="{5061F518-541F-4B38-92E6-482F739BCCE8}"/>
    <cellStyle name="통화 19 3" xfId="2568" xr:uid="{B8D04120-CD68-45FA-8043-97D37FC5D4AE}"/>
    <cellStyle name="통화 19 3 2" xfId="3225" xr:uid="{0727457F-DDC2-4D35-9DF5-86D1AA79999C}"/>
    <cellStyle name="통화 19 3 2 2" xfId="4596" xr:uid="{56A1D2BA-9295-46B6-B8A8-96845ED0A439}"/>
    <cellStyle name="통화 19 3 3" xfId="3942" xr:uid="{E91584CE-D263-4047-9096-EDFF4C2EA9DE}"/>
    <cellStyle name="통화 19 4" xfId="2898" xr:uid="{1DD444DD-D182-409E-8EDF-A31252F2CB3A}"/>
    <cellStyle name="통화 19 4 2" xfId="4269" xr:uid="{2340533A-A55E-459A-B181-7788EC06AE35}"/>
    <cellStyle name="통화 19 5" xfId="3613" xr:uid="{F23E6054-7770-47EB-98EF-0AF4334C77CD}"/>
    <cellStyle name="통화 2" xfId="2124" xr:uid="{43690ED5-55F3-4892-BD3A-5A295C6FB71F}"/>
    <cellStyle name="통화 2 2" xfId="2428" xr:uid="{7D247034-C479-42CA-A88C-B3DB36D8E8C4}"/>
    <cellStyle name="통화 2 2 2" xfId="2765" xr:uid="{B79EB9EF-DE50-40FC-AC7D-6088C729AE4A}"/>
    <cellStyle name="통화 2 2 2 2" xfId="3422" xr:uid="{2EEC0193-7CA9-4A38-9D61-39277A0916DF}"/>
    <cellStyle name="통화 2 2 2 2 2" xfId="4793" xr:uid="{936F2576-4AFA-4B7B-A3C2-3A94C578F480}"/>
    <cellStyle name="통화 2 2 2 3" xfId="4139" xr:uid="{ABF720CF-A43D-4105-9CEB-B4295A508E7A}"/>
    <cellStyle name="통화 2 2 3" xfId="3095" xr:uid="{58DDE9DC-66FC-4E03-873C-C22BAA7B6353}"/>
    <cellStyle name="통화 2 2 3 2" xfId="4466" xr:uid="{1073FEC9-BCB7-4314-984F-F719DD76F971}"/>
    <cellStyle name="통화 2 2 4" xfId="3812" xr:uid="{2569F89C-330F-4D0C-9D07-D1E9F20A2C42}"/>
    <cellStyle name="통화 2 3" xfId="2569" xr:uid="{82C4C715-6AD1-43AB-9A98-CCC1D0110505}"/>
    <cellStyle name="통화 2 3 2" xfId="3226" xr:uid="{5C8414DE-D71D-40D4-87F1-D350EDED4059}"/>
    <cellStyle name="통화 2 3 2 2" xfId="4597" xr:uid="{B551302D-596A-4D6B-AA44-D74B1D64AC29}"/>
    <cellStyle name="통화 2 3 3" xfId="3943" xr:uid="{E07AD6B9-DFA9-4227-B14F-358CD4DC1CB4}"/>
    <cellStyle name="통화 2 4" xfId="2899" xr:uid="{095DB197-19F7-40BA-BC4E-192EA51C8D00}"/>
    <cellStyle name="통화 2 4 2" xfId="4270" xr:uid="{46616F05-08DB-4EDB-98DE-0074204CBC96}"/>
    <cellStyle name="통화 2 5" xfId="3614" xr:uid="{6B008E40-1671-40AB-8416-3920F8358B4B}"/>
    <cellStyle name="통화 20" xfId="2125" xr:uid="{03A1E9AB-C504-4281-9269-C07AB72D8A6C}"/>
    <cellStyle name="통화 20 2" xfId="2429" xr:uid="{193F92FC-F6CB-48D6-A54F-5E5C82EEB302}"/>
    <cellStyle name="통화 20 2 2" xfId="2766" xr:uid="{178B6A58-0B4B-41EB-B634-BC123DF456FB}"/>
    <cellStyle name="통화 20 2 2 2" xfId="3423" xr:uid="{025D0E50-2B4F-48F5-A6AF-23DCA081624E}"/>
    <cellStyle name="통화 20 2 2 2 2" xfId="4794" xr:uid="{92E6BE6A-A07B-4018-B7C1-16EC1A984781}"/>
    <cellStyle name="통화 20 2 2 3" xfId="4140" xr:uid="{80A46218-3B02-4377-8925-D9C7FC685D76}"/>
    <cellStyle name="통화 20 2 3" xfId="3096" xr:uid="{33647B7F-2B61-4D71-B4B3-C8604D8F68C0}"/>
    <cellStyle name="통화 20 2 3 2" xfId="4467" xr:uid="{8D3C1B01-388A-4E50-9BCF-295AB5E446D8}"/>
    <cellStyle name="통화 20 2 4" xfId="3813" xr:uid="{FEAAD238-C0C5-4B70-8A5D-1D446FAA5809}"/>
    <cellStyle name="통화 20 3" xfId="2570" xr:uid="{A2E5D190-57D5-41BE-828C-D81C301F26E9}"/>
    <cellStyle name="통화 20 3 2" xfId="3227" xr:uid="{C470657F-5F88-46DA-9D06-C4AD4A206001}"/>
    <cellStyle name="통화 20 3 2 2" xfId="4598" xr:uid="{F9315DC2-663F-48F4-BE59-46B2201B6A77}"/>
    <cellStyle name="통화 20 3 3" xfId="3944" xr:uid="{CD9BF45E-8238-42E4-9981-9317F51DCC31}"/>
    <cellStyle name="통화 20 4" xfId="2900" xr:uid="{97224D1D-8F1F-4243-869F-714A5B8106D6}"/>
    <cellStyle name="통화 20 4 2" xfId="4271" xr:uid="{C9D834D8-E947-46CB-BD7D-A2EA461C1444}"/>
    <cellStyle name="통화 20 5" xfId="3615" xr:uid="{318BB4A6-695F-43FD-896A-15EF13B450FC}"/>
    <cellStyle name="통화 21" xfId="2126" xr:uid="{FBDFBE71-C387-4DBB-A611-11EDCFF4AB52}"/>
    <cellStyle name="통화 21 2" xfId="2430" xr:uid="{E1288D7A-DD39-40D8-98D2-9DD768EBB66C}"/>
    <cellStyle name="통화 21 2 2" xfId="2767" xr:uid="{E2A55FE0-F40C-4A05-B0DE-9491F09A91BC}"/>
    <cellStyle name="통화 21 2 2 2" xfId="3424" xr:uid="{02C1F445-67BA-44EB-94E5-0644A18140C4}"/>
    <cellStyle name="통화 21 2 2 2 2" xfId="4795" xr:uid="{C7B0A591-8BEA-408F-8F5A-E3930D32EC44}"/>
    <cellStyle name="통화 21 2 2 3" xfId="4141" xr:uid="{846B0CCE-ED43-4D40-AB99-639EEC2411A0}"/>
    <cellStyle name="통화 21 2 3" xfId="3097" xr:uid="{8702D967-27AC-4A04-A1B5-C8AB6BCC9481}"/>
    <cellStyle name="통화 21 2 3 2" xfId="4468" xr:uid="{706926E9-1B72-4FCD-B05B-64CC0D69551F}"/>
    <cellStyle name="통화 21 2 4" xfId="3814" xr:uid="{9768FEC6-0ABD-486D-89BB-13ADB084CB43}"/>
    <cellStyle name="통화 21 3" xfId="2571" xr:uid="{D09393CE-7091-4E46-90AB-A81829788B33}"/>
    <cellStyle name="통화 21 3 2" xfId="3228" xr:uid="{F7F7011C-AD24-4E0F-A3FE-21C58D1052DE}"/>
    <cellStyle name="통화 21 3 2 2" xfId="4599" xr:uid="{F878D8F5-F4E6-4671-A104-CBD601046C87}"/>
    <cellStyle name="통화 21 3 3" xfId="3945" xr:uid="{50273499-09D0-4D7A-8CAA-26965D87CC1D}"/>
    <cellStyle name="통화 21 4" xfId="2901" xr:uid="{57924E3D-380B-41A1-B09D-11F2EBC509E6}"/>
    <cellStyle name="통화 21 4 2" xfId="4272" xr:uid="{8F6ED28C-2325-4BD6-86F6-518DA3195821}"/>
    <cellStyle name="통화 21 5" xfId="3616" xr:uid="{3222CC5D-655B-4C9A-8CB9-9D4A20A14E57}"/>
    <cellStyle name="통화 22" xfId="2127" xr:uid="{82F3C8ED-FCEF-4D96-A157-F0667732471D}"/>
    <cellStyle name="통화 22 2" xfId="2431" xr:uid="{60F1E21A-3C13-49EA-B6A9-666341BF3D01}"/>
    <cellStyle name="통화 22 2 2" xfId="2768" xr:uid="{71769247-79D7-4435-AA91-C937AB173468}"/>
    <cellStyle name="통화 22 2 2 2" xfId="3425" xr:uid="{BF1A1645-A8AF-48C5-AABC-CCDF790C90BA}"/>
    <cellStyle name="통화 22 2 2 2 2" xfId="4796" xr:uid="{5C470616-1CD8-453C-BA44-36C7FA3296A6}"/>
    <cellStyle name="통화 22 2 2 3" xfId="4142" xr:uid="{4D7727C2-CD40-403F-A136-F2BDD6682F83}"/>
    <cellStyle name="통화 22 2 3" xfId="3098" xr:uid="{247720D3-B56D-42B6-9A9C-BF1BEAE288E9}"/>
    <cellStyle name="통화 22 2 3 2" xfId="4469" xr:uid="{66A08048-5F42-4A3E-97F4-48F7E303EB88}"/>
    <cellStyle name="통화 22 2 4" xfId="3815" xr:uid="{3EE942F5-6C06-422C-9D31-A59603044430}"/>
    <cellStyle name="통화 22 3" xfId="2572" xr:uid="{035832B6-D725-4098-9A76-5EF88ABFE245}"/>
    <cellStyle name="통화 22 3 2" xfId="3229" xr:uid="{737E3343-3130-4A91-A331-0233C46E88D3}"/>
    <cellStyle name="통화 22 3 2 2" xfId="4600" xr:uid="{4FBCC7F9-E890-47B0-93F4-BAFBFECCCFF4}"/>
    <cellStyle name="통화 22 3 3" xfId="3946" xr:uid="{075DD666-AA50-46B1-B442-28448EBF8387}"/>
    <cellStyle name="통화 22 4" xfId="2902" xr:uid="{E211AF2B-0CF2-431C-87A9-E4F5A9038F04}"/>
    <cellStyle name="통화 22 4 2" xfId="4273" xr:uid="{3A9E1BDE-14D3-4130-B72A-2FC1B468F726}"/>
    <cellStyle name="통화 22 5" xfId="3617" xr:uid="{F2EE26DD-272A-45A2-B3AF-1659701FCA16}"/>
    <cellStyle name="통화 23" xfId="2128" xr:uid="{155D4EC9-4AD7-4C00-9FD4-FEBDB99A76B9}"/>
    <cellStyle name="통화 23 2" xfId="2432" xr:uid="{40107B80-A917-4AD3-BB80-0DA9E06065FF}"/>
    <cellStyle name="통화 23 2 2" xfId="2769" xr:uid="{CFB4EFA9-1737-4825-9D28-DDB684EF733A}"/>
    <cellStyle name="통화 23 2 2 2" xfId="3426" xr:uid="{38F5E114-549C-4816-8EED-728C2F9851A2}"/>
    <cellStyle name="통화 23 2 2 2 2" xfId="4797" xr:uid="{ADC16373-8A99-4B79-ACA8-0F8BF80B9E56}"/>
    <cellStyle name="통화 23 2 2 3" xfId="4143" xr:uid="{1309FB6C-567C-4B2D-AF55-CC8748C3C28C}"/>
    <cellStyle name="통화 23 2 3" xfId="3099" xr:uid="{AC89E36F-0799-4524-A04E-FC5FE292FE93}"/>
    <cellStyle name="통화 23 2 3 2" xfId="4470" xr:uid="{05A96B51-C9D1-4DFC-890C-48C354CD2A1C}"/>
    <cellStyle name="통화 23 2 4" xfId="3816" xr:uid="{E2D3872F-793A-49AA-BCBC-F24093F867FA}"/>
    <cellStyle name="통화 23 3" xfId="2573" xr:uid="{5D032E80-F2A2-478F-A565-B780CA99B658}"/>
    <cellStyle name="통화 23 3 2" xfId="3230" xr:uid="{6C8B4CBE-C963-421A-A793-06B13B1C5E8F}"/>
    <cellStyle name="통화 23 3 2 2" xfId="4601" xr:uid="{01637B1E-3260-4A7D-AF0F-CE047C9F9508}"/>
    <cellStyle name="통화 23 3 3" xfId="3947" xr:uid="{CCB37D3B-EEB6-4EEF-8076-228BFEE36292}"/>
    <cellStyle name="통화 23 4" xfId="2903" xr:uid="{FCB3DB58-1665-4EB6-BE16-970A994CAE75}"/>
    <cellStyle name="통화 23 4 2" xfId="4274" xr:uid="{27830637-9A4E-48EC-A8A4-1AF810054C57}"/>
    <cellStyle name="통화 23 5" xfId="3618" xr:uid="{50B744D2-33B9-46C1-AE74-1B799561EDD9}"/>
    <cellStyle name="통화 24" xfId="2129" xr:uid="{AE6D572D-A8F1-4DDB-9A74-1E82B2DD2503}"/>
    <cellStyle name="통화 24 2" xfId="2433" xr:uid="{349199EF-232D-4E97-8F12-BF74D41BFC5C}"/>
    <cellStyle name="통화 24 2 2" xfId="2770" xr:uid="{7CDAB506-3A46-4C4C-B2D6-6E6F86FDFC94}"/>
    <cellStyle name="통화 24 2 2 2" xfId="3427" xr:uid="{6CE54CA2-F221-4EFC-9844-E1DBE4A36B38}"/>
    <cellStyle name="통화 24 2 2 2 2" xfId="4798" xr:uid="{344E762C-ACCE-4996-B699-778E0C817691}"/>
    <cellStyle name="통화 24 2 2 3" xfId="4144" xr:uid="{A7F866D4-38C6-4350-B186-A19C41E681F0}"/>
    <cellStyle name="통화 24 2 3" xfId="3100" xr:uid="{68E809CA-DD2F-4E0A-A4C9-618EA410F685}"/>
    <cellStyle name="통화 24 2 3 2" xfId="4471" xr:uid="{E52F76DC-EDE4-4C47-8EBB-FA968BC2979B}"/>
    <cellStyle name="통화 24 2 4" xfId="3817" xr:uid="{D24CE28F-36A5-4524-95C1-6B5BA4264E07}"/>
    <cellStyle name="통화 24 3" xfId="2574" xr:uid="{8FBBA102-CD1D-4127-80E3-15FC60EFF66A}"/>
    <cellStyle name="통화 24 3 2" xfId="3231" xr:uid="{279D2EC9-7DE0-4765-AADD-04AB5F369DE2}"/>
    <cellStyle name="통화 24 3 2 2" xfId="4602" xr:uid="{0205D2E9-A861-4512-AE4B-4E093D1526E8}"/>
    <cellStyle name="통화 24 3 3" xfId="3948" xr:uid="{0CDE0A73-D141-4654-B090-683B68C6A297}"/>
    <cellStyle name="통화 24 4" xfId="2904" xr:uid="{764A97D8-C84D-440B-A10D-2399A7111270}"/>
    <cellStyle name="통화 24 4 2" xfId="4275" xr:uid="{990BB5B5-5989-401D-904E-81F339A7E1A4}"/>
    <cellStyle name="통화 24 5" xfId="3619" xr:uid="{216CADFF-17EC-4E2D-9D6D-5316C3A28A46}"/>
    <cellStyle name="통화 25" xfId="2130" xr:uid="{50142AA1-301F-40BB-9893-8FDE1D9A828D}"/>
    <cellStyle name="통화 25 2" xfId="2434" xr:uid="{8F509873-7BD9-4384-B6DA-E59B7E2B2766}"/>
    <cellStyle name="통화 25 2 2" xfId="2771" xr:uid="{27133BED-29AE-468C-A81B-D36184F474C0}"/>
    <cellStyle name="통화 25 2 2 2" xfId="3428" xr:uid="{341C0CBB-B305-425A-A906-1EEFD3B3DDD7}"/>
    <cellStyle name="통화 25 2 2 2 2" xfId="4799" xr:uid="{E14EF390-AEA6-4AEF-9A63-F472F2A90BAE}"/>
    <cellStyle name="통화 25 2 2 3" xfId="4145" xr:uid="{CA7B307D-054E-454C-AF5D-2E4FD93E8DBD}"/>
    <cellStyle name="통화 25 2 3" xfId="3101" xr:uid="{2C1F5B7B-9F4F-4DF0-95E7-9ADA92FB2EB9}"/>
    <cellStyle name="통화 25 2 3 2" xfId="4472" xr:uid="{40C93CAE-6AD6-4BC4-9B9A-4CDACE812B0E}"/>
    <cellStyle name="통화 25 2 4" xfId="3818" xr:uid="{D150C632-10A4-440F-AA16-EF4D1A501314}"/>
    <cellStyle name="통화 25 3" xfId="2575" xr:uid="{48CA4678-3740-42FD-BC44-DEF9F0CF575C}"/>
    <cellStyle name="통화 25 3 2" xfId="3232" xr:uid="{E5283421-8840-4993-9005-48674F500EFC}"/>
    <cellStyle name="통화 25 3 2 2" xfId="4603" xr:uid="{7625409E-2DA7-47C9-9CC1-46112055D87F}"/>
    <cellStyle name="통화 25 3 3" xfId="3949" xr:uid="{C6FC0B79-268F-4835-BA02-4DDB96E67128}"/>
    <cellStyle name="통화 25 4" xfId="2905" xr:uid="{9E288440-4869-44E9-8C53-14B9626C8267}"/>
    <cellStyle name="통화 25 4 2" xfId="4276" xr:uid="{DC13A6D2-73C2-470A-A1B6-817E7EF3B65E}"/>
    <cellStyle name="통화 25 5" xfId="3620" xr:uid="{86971FC9-1C4B-41D0-BE41-C9743B382162}"/>
    <cellStyle name="통화 26" xfId="2131" xr:uid="{2E902DB0-CD4B-4E6B-B196-63735CE887AC}"/>
    <cellStyle name="통화 26 2" xfId="2435" xr:uid="{BB1F2039-321A-496B-9979-48E16FFA1452}"/>
    <cellStyle name="통화 26 2 2" xfId="2772" xr:uid="{69E17B13-2830-49E3-9FF6-CD8A71E070F9}"/>
    <cellStyle name="통화 26 2 2 2" xfId="3429" xr:uid="{566A77B8-E655-43AB-B6FC-4E938630D44D}"/>
    <cellStyle name="통화 26 2 2 2 2" xfId="4800" xr:uid="{65C44D70-7124-436A-A289-DF4E9D76283B}"/>
    <cellStyle name="통화 26 2 2 3" xfId="4146" xr:uid="{585CA5A4-967C-43E1-926F-F5E23F1F8894}"/>
    <cellStyle name="통화 26 2 3" xfId="3102" xr:uid="{DE53BC12-91E8-437A-AED8-934122242147}"/>
    <cellStyle name="통화 26 2 3 2" xfId="4473" xr:uid="{891B323D-C5A9-4AD8-85A8-482B06DBF19F}"/>
    <cellStyle name="통화 26 2 4" xfId="3819" xr:uid="{4C83C562-8B91-4CAB-A46D-330914DFE52A}"/>
    <cellStyle name="통화 26 3" xfId="2576" xr:uid="{9AB72976-33E2-4DD9-845B-DAF3FD102C95}"/>
    <cellStyle name="통화 26 3 2" xfId="3233" xr:uid="{A0C5876D-4D9A-43B2-A567-75F611B5ED4A}"/>
    <cellStyle name="통화 26 3 2 2" xfId="4604" xr:uid="{6735CBFB-E60C-4E4E-BB2B-5E6543AC1917}"/>
    <cellStyle name="통화 26 3 3" xfId="3950" xr:uid="{1D9C32F8-62A7-4BE1-98A7-097AC3C24B35}"/>
    <cellStyle name="통화 26 4" xfId="2906" xr:uid="{3986AB67-8DD9-4400-9951-79A961CE8EA6}"/>
    <cellStyle name="통화 26 4 2" xfId="4277" xr:uid="{97E62FC0-F367-4C0B-BE2D-D5EF8AC048AC}"/>
    <cellStyle name="통화 26 5" xfId="3621" xr:uid="{66813281-8441-4F44-821F-3D279AB1B14D}"/>
    <cellStyle name="통화 27" xfId="2132" xr:uid="{2AE4A439-48F8-45EC-8E20-7F61B146257B}"/>
    <cellStyle name="통화 27 2" xfId="2436" xr:uid="{175B4FFF-0F8A-4DF1-BEAA-99CB8D336BED}"/>
    <cellStyle name="통화 27 2 2" xfId="2773" xr:uid="{AB5679DF-A2B6-4167-B8C9-D288EB44BAB9}"/>
    <cellStyle name="통화 27 2 2 2" xfId="3430" xr:uid="{8D0AA073-7C6E-4FC0-8588-90383B49EF7A}"/>
    <cellStyle name="통화 27 2 2 2 2" xfId="4801" xr:uid="{ACC0CD53-C5BB-41D5-A6CB-8DDF8015E5D2}"/>
    <cellStyle name="통화 27 2 2 3" xfId="4147" xr:uid="{099B3DC8-47F6-4F4B-B92E-FB898C458EA2}"/>
    <cellStyle name="통화 27 2 3" xfId="3103" xr:uid="{C9F062B9-22D3-4801-991A-CDF0831A0964}"/>
    <cellStyle name="통화 27 2 3 2" xfId="4474" xr:uid="{1719C897-714C-448A-8230-FB32F2AFE331}"/>
    <cellStyle name="통화 27 2 4" xfId="3820" xr:uid="{22918C07-322F-4EEA-B42B-EECEBE3FC349}"/>
    <cellStyle name="통화 27 3" xfId="2577" xr:uid="{48D0C82D-2644-4C72-B7E9-8EC8E5FA0A99}"/>
    <cellStyle name="통화 27 3 2" xfId="3234" xr:uid="{AFC29473-8799-4076-966B-34C2449BE57E}"/>
    <cellStyle name="통화 27 3 2 2" xfId="4605" xr:uid="{7B5BF40E-3EF8-4531-84BD-4C4DC53D730D}"/>
    <cellStyle name="통화 27 3 3" xfId="3951" xr:uid="{0CA310AE-3504-4104-8E17-9BD22477B349}"/>
    <cellStyle name="통화 27 4" xfId="2907" xr:uid="{9E948B93-FDC5-4714-95EB-8D99C297817B}"/>
    <cellStyle name="통화 27 4 2" xfId="4278" xr:uid="{B23EBADE-1B54-49BF-9D1C-CFB08E6E424C}"/>
    <cellStyle name="통화 27 5" xfId="3622" xr:uid="{09A6ECB7-ACA7-44CF-80D5-930506719710}"/>
    <cellStyle name="통화 28" xfId="2133" xr:uid="{2643FB4C-C28A-48F3-9847-10435EC5CA24}"/>
    <cellStyle name="통화 28 2" xfId="2437" xr:uid="{76DBDFCC-BA4A-4CB0-95EC-786FD1330E2A}"/>
    <cellStyle name="통화 28 2 2" xfId="2774" xr:uid="{17FA3B72-E734-41B1-90D9-ACBAAFAEBC11}"/>
    <cellStyle name="통화 28 2 2 2" xfId="3431" xr:uid="{6D51E4C6-18A7-4969-A43C-E5570C526E69}"/>
    <cellStyle name="통화 28 2 2 2 2" xfId="4802" xr:uid="{53646DE4-3C2D-49A1-B75F-E6F27449293E}"/>
    <cellStyle name="통화 28 2 2 3" xfId="4148" xr:uid="{119483CA-7913-4E0C-95C7-482AE2988EA6}"/>
    <cellStyle name="통화 28 2 3" xfId="3104" xr:uid="{93D5D419-913B-4650-807F-AC12D9CCB235}"/>
    <cellStyle name="통화 28 2 3 2" xfId="4475" xr:uid="{AF594709-02E3-4956-86C6-798EE8F54772}"/>
    <cellStyle name="통화 28 2 4" xfId="3821" xr:uid="{FDD2208F-66A4-4329-8FA1-6022D7E05082}"/>
    <cellStyle name="통화 28 3" xfId="2578" xr:uid="{23092F5D-D9A0-4998-A57E-D703F618D9BE}"/>
    <cellStyle name="통화 28 3 2" xfId="3235" xr:uid="{A4A5965A-5956-4D12-ADF5-FD1F48DB70A9}"/>
    <cellStyle name="통화 28 3 2 2" xfId="4606" xr:uid="{97C6F155-241E-47CB-8116-299CC16676C0}"/>
    <cellStyle name="통화 28 3 3" xfId="3952" xr:uid="{50CAF068-EE23-4AF2-B20B-CA611E2CB151}"/>
    <cellStyle name="통화 28 4" xfId="2908" xr:uid="{67B67B56-D905-404D-BACD-5654B1F6CE25}"/>
    <cellStyle name="통화 28 4 2" xfId="4279" xr:uid="{25B95C29-2527-45D3-A6BC-C64318A83EB2}"/>
    <cellStyle name="통화 28 5" xfId="3623" xr:uid="{395AE5F0-A46F-474D-962F-741CC68A3AE7}"/>
    <cellStyle name="통화 29" xfId="2134" xr:uid="{DF33C7A7-305E-4CF0-BFDC-B7546E676ACB}"/>
    <cellStyle name="통화 29 2" xfId="2438" xr:uid="{478E8FB8-93C7-4D34-BA8B-1178DE3E37C0}"/>
    <cellStyle name="통화 29 2 2" xfId="2775" xr:uid="{E0B35A9C-F0BD-41B4-BE81-938EB992BBB1}"/>
    <cellStyle name="통화 29 2 2 2" xfId="3432" xr:uid="{DD43C9A1-3ABF-46E9-8A13-40662850DF65}"/>
    <cellStyle name="통화 29 2 2 2 2" xfId="4803" xr:uid="{47B0545B-50B3-4BD7-8B72-18446F6DBA37}"/>
    <cellStyle name="통화 29 2 2 3" xfId="4149" xr:uid="{553FBEC9-5173-40D2-9529-64F43E82A920}"/>
    <cellStyle name="통화 29 2 3" xfId="3105" xr:uid="{91098958-554B-4FBA-8D59-440B0DF2A575}"/>
    <cellStyle name="통화 29 2 3 2" xfId="4476" xr:uid="{8A955A05-DB4B-4E17-93D8-98B4C52ABE1E}"/>
    <cellStyle name="통화 29 2 4" xfId="3822" xr:uid="{A4E4E700-0A48-4852-91C9-3E8BF3785D35}"/>
    <cellStyle name="통화 29 3" xfId="2579" xr:uid="{178D3C89-0911-429E-823E-2C434EE53F84}"/>
    <cellStyle name="통화 29 3 2" xfId="3236" xr:uid="{E82E3207-30D5-4BF1-B53B-BE2E23D0193B}"/>
    <cellStyle name="통화 29 3 2 2" xfId="4607" xr:uid="{4E64BEBA-AC05-494B-B4F5-C4E5A870924B}"/>
    <cellStyle name="통화 29 3 3" xfId="3953" xr:uid="{E03C4E54-1E85-4296-A97B-1F8E92CAF0E6}"/>
    <cellStyle name="통화 29 4" xfId="2909" xr:uid="{0FDB3ED4-0504-45E5-BC45-6147AD2B5C48}"/>
    <cellStyle name="통화 29 4 2" xfId="4280" xr:uid="{5F9D8957-E735-48C3-891C-BEDC49528CB6}"/>
    <cellStyle name="통화 29 5" xfId="3624" xr:uid="{7813364B-E324-4DC9-9784-160A9B31A616}"/>
    <cellStyle name="통화 3" xfId="2135" xr:uid="{EB044F5F-E4BA-4873-BAB1-BA5F322BA0D9}"/>
    <cellStyle name="통화 3 2" xfId="2439" xr:uid="{20C7C149-A633-455B-AE55-0F717FC0495F}"/>
    <cellStyle name="통화 3 2 2" xfId="2776" xr:uid="{23441C4C-8EC0-40B6-B605-C5A06C76EBF2}"/>
    <cellStyle name="통화 3 2 2 2" xfId="3433" xr:uid="{3FDA7EBB-EFE2-41C2-BD10-1F5EEF6052A0}"/>
    <cellStyle name="통화 3 2 2 2 2" xfId="4804" xr:uid="{1BBA228C-6234-4D92-B21E-9D1AA7B3CE90}"/>
    <cellStyle name="통화 3 2 2 3" xfId="4150" xr:uid="{250C87D6-15BB-437D-BB55-0C3A3CF9483F}"/>
    <cellStyle name="통화 3 2 3" xfId="3106" xr:uid="{892190A1-5E6A-4FF6-A85A-2B42E046728D}"/>
    <cellStyle name="통화 3 2 3 2" xfId="4477" xr:uid="{31C04714-3FB4-4224-8B11-4AAB450D02C7}"/>
    <cellStyle name="통화 3 2 4" xfId="3823" xr:uid="{F74B281E-4CD1-4ADA-8D36-3D14115A4CB0}"/>
    <cellStyle name="통화 3 3" xfId="2580" xr:uid="{1D0019B3-70B9-4389-95BD-DCDE3B8B685C}"/>
    <cellStyle name="통화 3 3 2" xfId="3237" xr:uid="{BB0960AC-903F-4F75-9E52-25569884BECC}"/>
    <cellStyle name="통화 3 3 2 2" xfId="4608" xr:uid="{CCAA0592-E699-41A4-80F2-8B3630541F32}"/>
    <cellStyle name="통화 3 3 3" xfId="3954" xr:uid="{19206BAD-D810-463E-9F4A-2E82FC39EF55}"/>
    <cellStyle name="통화 3 4" xfId="2910" xr:uid="{FA0708EA-46B7-4ED7-BA3A-4E16402B1826}"/>
    <cellStyle name="통화 3 4 2" xfId="4281" xr:uid="{8E29DAB6-ECC4-4A96-9A97-07440FAD5CA1}"/>
    <cellStyle name="통화 3 5" xfId="3625" xr:uid="{8AD28AB1-DCB7-4520-A449-AD792741F3F0}"/>
    <cellStyle name="통화 30" xfId="2136" xr:uid="{7CA247B2-EA87-441A-98E0-A2ABB87AEC32}"/>
    <cellStyle name="통화 30 2" xfId="2440" xr:uid="{96762C84-EA63-4F2B-9C5C-2A1ACBD3624D}"/>
    <cellStyle name="통화 30 2 2" xfId="2777" xr:uid="{151BC96E-225F-427A-B725-A0DB9F476E54}"/>
    <cellStyle name="통화 30 2 2 2" xfId="3434" xr:uid="{1A403089-5E1B-4F8A-97BD-DD15C193FD76}"/>
    <cellStyle name="통화 30 2 2 2 2" xfId="4805" xr:uid="{E19374F0-CDC8-472A-A9AB-ED6F41C151F7}"/>
    <cellStyle name="통화 30 2 2 3" xfId="4151" xr:uid="{B111326D-D667-4B0C-991F-6C4852ABC417}"/>
    <cellStyle name="통화 30 2 3" xfId="3107" xr:uid="{1F8F1971-2DD3-47F8-8B42-4E2231254BFA}"/>
    <cellStyle name="통화 30 2 3 2" xfId="4478" xr:uid="{426DC9FD-09F6-4DCD-B5FE-C4C2D8FFB680}"/>
    <cellStyle name="통화 30 2 4" xfId="3824" xr:uid="{8257F453-C06D-4748-8563-A409CC169EE9}"/>
    <cellStyle name="통화 30 3" xfId="2581" xr:uid="{0C5FCF2F-5928-4293-98A3-9C0D027B974A}"/>
    <cellStyle name="통화 30 3 2" xfId="3238" xr:uid="{AB5CC8CB-F778-42F9-B84B-3ED39680902A}"/>
    <cellStyle name="통화 30 3 2 2" xfId="4609" xr:uid="{57D76553-0E85-4483-9150-446005331878}"/>
    <cellStyle name="통화 30 3 3" xfId="3955" xr:uid="{DC8717E2-6701-477B-AC8E-E0365CF25AC3}"/>
    <cellStyle name="통화 30 4" xfId="2911" xr:uid="{C8FFC8E3-116F-4C35-8487-5FFCE963EE29}"/>
    <cellStyle name="통화 30 4 2" xfId="4282" xr:uid="{9D66A411-F09B-4468-B454-DC31B7ACA587}"/>
    <cellStyle name="통화 30 5" xfId="3626" xr:uid="{625D249C-4F56-4C7B-8C7B-A2234CAEEDDC}"/>
    <cellStyle name="통화 31" xfId="2137" xr:uid="{99F91598-C879-4267-A598-11A56ED96183}"/>
    <cellStyle name="통화 31 2" xfId="2441" xr:uid="{1440D61A-2F20-40D6-84F4-0183AE01F315}"/>
    <cellStyle name="통화 31 2 2" xfId="2778" xr:uid="{E36D3197-2B63-45D8-813F-098BF5D529BF}"/>
    <cellStyle name="통화 31 2 2 2" xfId="3435" xr:uid="{0D9CA739-C9C2-49E0-9EF4-5583A6BE83A1}"/>
    <cellStyle name="통화 31 2 2 2 2" xfId="4806" xr:uid="{F7F39990-A060-4824-84F6-15D251596B89}"/>
    <cellStyle name="통화 31 2 2 3" xfId="4152" xr:uid="{40D22882-BB80-4593-954B-D87428F7FFD4}"/>
    <cellStyle name="통화 31 2 3" xfId="3108" xr:uid="{B7017D04-DDFF-4A17-B3BF-6E1007D07240}"/>
    <cellStyle name="통화 31 2 3 2" xfId="4479" xr:uid="{7670EA7E-D997-4227-B4DE-E73B6B419344}"/>
    <cellStyle name="통화 31 2 4" xfId="3825" xr:uid="{449BEE58-CC02-48C4-A135-B254C26E9969}"/>
    <cellStyle name="통화 31 3" xfId="2582" xr:uid="{B57107C0-67C4-4F46-A5EF-635458665607}"/>
    <cellStyle name="통화 31 3 2" xfId="3239" xr:uid="{82BC4C22-3E4C-4667-BAE0-E9FC0AC9C25A}"/>
    <cellStyle name="통화 31 3 2 2" xfId="4610" xr:uid="{6AAFE27E-A8F1-4E1F-AF85-FD31A2D963D0}"/>
    <cellStyle name="통화 31 3 3" xfId="3956" xr:uid="{F0A06E34-668D-41EC-A178-F175A18D463D}"/>
    <cellStyle name="통화 31 4" xfId="2912" xr:uid="{086606AE-9D09-42D8-BB73-96EB6A10F6BF}"/>
    <cellStyle name="통화 31 4 2" xfId="4283" xr:uid="{2BE51169-0D8E-44F5-8456-74D0D50DAA98}"/>
    <cellStyle name="통화 31 5" xfId="3627" xr:uid="{B3A3B3CB-517E-48F4-84AC-7DD78B916577}"/>
    <cellStyle name="통화 32" xfId="2138" xr:uid="{B99AC56C-2007-4AD4-91BC-B2B156DC0534}"/>
    <cellStyle name="통화 32 2" xfId="2442" xr:uid="{46CE0B3F-546A-4755-AD4C-92DC661EC936}"/>
    <cellStyle name="통화 32 2 2" xfId="2779" xr:uid="{8F08465E-85D9-4A34-B38A-41E9063CA5FA}"/>
    <cellStyle name="통화 32 2 2 2" xfId="3436" xr:uid="{45BF873D-881A-46FB-A108-15FBFA9EB359}"/>
    <cellStyle name="통화 32 2 2 2 2" xfId="4807" xr:uid="{D3432122-B806-429C-9AA1-7D2FED602B90}"/>
    <cellStyle name="통화 32 2 2 3" xfId="4153" xr:uid="{789B1A75-E4E9-4120-98FE-AA2146A5C431}"/>
    <cellStyle name="통화 32 2 3" xfId="3109" xr:uid="{4EEC1E71-5D3D-4FBB-BB95-787AF77559EF}"/>
    <cellStyle name="통화 32 2 3 2" xfId="4480" xr:uid="{BD47B0B2-ED94-4BA1-98A3-DC4AB37ED01A}"/>
    <cellStyle name="통화 32 2 4" xfId="3826" xr:uid="{49E27ACB-21FB-4736-AAA4-020E1153E28A}"/>
    <cellStyle name="통화 32 3" xfId="2583" xr:uid="{B78B5576-411F-4A02-A63D-F5B0F5976480}"/>
    <cellStyle name="통화 32 3 2" xfId="3240" xr:uid="{9227C683-1BDD-4308-A530-56592E8DE973}"/>
    <cellStyle name="통화 32 3 2 2" xfId="4611" xr:uid="{AC7326B5-6266-4F1E-B33F-ED65558F8207}"/>
    <cellStyle name="통화 32 3 3" xfId="3957" xr:uid="{87FE281E-BDC9-4B46-8FCC-5E1350DD666D}"/>
    <cellStyle name="통화 32 4" xfId="2913" xr:uid="{4E4B6741-9E33-4671-92E5-24B2F5ABCD82}"/>
    <cellStyle name="통화 32 4 2" xfId="4284" xr:uid="{4B1CA4F4-8606-417B-90E9-D7950F515A65}"/>
    <cellStyle name="통화 32 5" xfId="3628" xr:uid="{8C29AE5F-F01B-4FB4-93F3-42CE9F50B0EF}"/>
    <cellStyle name="통화 33" xfId="2139" xr:uid="{18001C90-CDEA-4DA6-A5D8-6B020DAA338D}"/>
    <cellStyle name="통화 33 2" xfId="2443" xr:uid="{8E96BF1E-901B-4219-B3C3-66500FA4B629}"/>
    <cellStyle name="통화 33 2 2" xfId="2780" xr:uid="{2C311D77-9D47-4432-B556-A98360968569}"/>
    <cellStyle name="통화 33 2 2 2" xfId="3437" xr:uid="{29D427FC-2889-4E19-A478-CA3B5C76717A}"/>
    <cellStyle name="통화 33 2 2 2 2" xfId="4808" xr:uid="{E0C2581B-FC38-488D-ACB7-084C4C530F33}"/>
    <cellStyle name="통화 33 2 2 3" xfId="4154" xr:uid="{78F7D9E7-7F75-4320-8822-4674C243B965}"/>
    <cellStyle name="통화 33 2 3" xfId="3110" xr:uid="{4712D855-B8FD-4E1D-B484-712E7E23BD59}"/>
    <cellStyle name="통화 33 2 3 2" xfId="4481" xr:uid="{1EB7083F-5E75-4511-910B-B8D991E0CC3C}"/>
    <cellStyle name="통화 33 2 4" xfId="3827" xr:uid="{C5050134-8751-493B-A179-F11E2F674AC4}"/>
    <cellStyle name="통화 33 3" xfId="2584" xr:uid="{2D6B5080-D78E-4C32-902A-9B9166D6F464}"/>
    <cellStyle name="통화 33 3 2" xfId="3241" xr:uid="{D5B30955-5E00-422F-91FE-D87FF32DAD7A}"/>
    <cellStyle name="통화 33 3 2 2" xfId="4612" xr:uid="{C72DF78E-AB82-4B64-B70F-3D14A9E3BEF4}"/>
    <cellStyle name="통화 33 3 3" xfId="3958" xr:uid="{24FBB993-6C06-4932-8086-A0F552765861}"/>
    <cellStyle name="통화 33 4" xfId="2914" xr:uid="{CEB6DF90-BDC3-47BC-AEA6-CFF14310F2F4}"/>
    <cellStyle name="통화 33 4 2" xfId="4285" xr:uid="{FE9A609E-0501-4A3F-BE4F-170A88A21A2C}"/>
    <cellStyle name="통화 33 5" xfId="3629" xr:uid="{2E61F818-7D7F-4012-82FF-4EAD77CC3F5C}"/>
    <cellStyle name="통화 34" xfId="2140" xr:uid="{6CE64627-0455-4081-BFF9-BF9E1E5FF391}"/>
    <cellStyle name="통화 34 2" xfId="2444" xr:uid="{614D619D-7C6B-4A2C-90B8-71992966F2CA}"/>
    <cellStyle name="통화 34 2 2" xfId="2781" xr:uid="{CF7B6B4D-7AB1-4CB9-8724-3A7A4351C025}"/>
    <cellStyle name="통화 34 2 2 2" xfId="3438" xr:uid="{E20A0E65-9251-493C-9990-F43973C2C871}"/>
    <cellStyle name="통화 34 2 2 2 2" xfId="4809" xr:uid="{C6C0AB1F-7577-4D8A-89E2-DEA311B1E2DC}"/>
    <cellStyle name="통화 34 2 2 3" xfId="4155" xr:uid="{94B20E0A-7316-411B-8061-D5D01F7FED24}"/>
    <cellStyle name="통화 34 2 3" xfId="3111" xr:uid="{1518989A-5352-4295-92E3-0AC0D47BA83E}"/>
    <cellStyle name="통화 34 2 3 2" xfId="4482" xr:uid="{66C15446-3D5F-43CF-A37E-B836372B7EBD}"/>
    <cellStyle name="통화 34 2 4" xfId="3828" xr:uid="{27167F02-89A8-4180-A6A8-F9A8C1EF742D}"/>
    <cellStyle name="통화 34 3" xfId="2585" xr:uid="{7597D782-F64E-4811-9518-9836A514A4BB}"/>
    <cellStyle name="통화 34 3 2" xfId="3242" xr:uid="{F61429FE-8EC9-4044-8052-198EAD11E8F7}"/>
    <cellStyle name="통화 34 3 2 2" xfId="4613" xr:uid="{18B7AE38-B9B3-409C-9E1A-8CEF29357AAF}"/>
    <cellStyle name="통화 34 3 3" xfId="3959" xr:uid="{8FA651D5-8B92-4EAE-9D4C-D82FAE83EF6C}"/>
    <cellStyle name="통화 34 4" xfId="2915" xr:uid="{E6A30966-99A7-4003-86E7-3A95EF118419}"/>
    <cellStyle name="통화 34 4 2" xfId="4286" xr:uid="{73508566-5168-413B-83E4-B2B1CFA0D4E1}"/>
    <cellStyle name="통화 34 5" xfId="3630" xr:uid="{EB826BAD-4A65-4446-9BD2-D1DBEB4183B9}"/>
    <cellStyle name="통화 35" xfId="2141" xr:uid="{CED316E9-E58D-426B-9F08-391FE67CF04E}"/>
    <cellStyle name="통화 35 2" xfId="2445" xr:uid="{976DF86B-F230-43C1-A2B5-00930F8FFAB0}"/>
    <cellStyle name="통화 35 2 2" xfId="2782" xr:uid="{19CD3ABB-32D3-4BE7-99E2-F202C93E98DA}"/>
    <cellStyle name="통화 35 2 2 2" xfId="3439" xr:uid="{82A4BDE8-937B-492A-877E-54689215CBAD}"/>
    <cellStyle name="통화 35 2 2 2 2" xfId="4810" xr:uid="{608F4D46-121C-4FAE-95CE-909C89F5A914}"/>
    <cellStyle name="통화 35 2 2 3" xfId="4156" xr:uid="{AA6C4134-31AA-42C2-98F5-21D56C6D67FA}"/>
    <cellStyle name="통화 35 2 3" xfId="3112" xr:uid="{ADC53721-CD34-4933-9586-F07EA4F06D52}"/>
    <cellStyle name="통화 35 2 3 2" xfId="4483" xr:uid="{ABEDC8C1-D395-43DD-B926-66E704E5EDC1}"/>
    <cellStyle name="통화 35 2 4" xfId="3829" xr:uid="{AC02F855-512E-4D13-AC8B-99EE4D737233}"/>
    <cellStyle name="통화 35 3" xfId="2586" xr:uid="{4EE409DB-0F2B-42E9-BA33-C94AD2AE7B05}"/>
    <cellStyle name="통화 35 3 2" xfId="3243" xr:uid="{7D401A63-C001-4FB0-B170-81152D8D7A74}"/>
    <cellStyle name="통화 35 3 2 2" xfId="4614" xr:uid="{25ADB97D-8F3B-4814-8A39-CA6DFC806590}"/>
    <cellStyle name="통화 35 3 3" xfId="3960" xr:uid="{EEFC03E6-6D23-48B3-B9F3-22D6AC650199}"/>
    <cellStyle name="통화 35 4" xfId="2916" xr:uid="{A3705245-D98F-4540-8D81-9F62DE395BF6}"/>
    <cellStyle name="통화 35 4 2" xfId="4287" xr:uid="{B955DCCB-1CEC-4C01-86EC-B8E5D5D3E294}"/>
    <cellStyle name="통화 35 5" xfId="3631" xr:uid="{4603DCE1-7E67-430C-8EAB-2A9F204CA82C}"/>
    <cellStyle name="통화 36" xfId="2142" xr:uid="{55DB3974-02F8-49D7-B42E-CCF59D2ECDC9}"/>
    <cellStyle name="통화 36 2" xfId="2446" xr:uid="{B4D9F87E-39E7-4945-9FFF-8EAF5A58E71D}"/>
    <cellStyle name="통화 36 2 2" xfId="2783" xr:uid="{D2F97B63-32D6-414C-BE6C-EB1456839961}"/>
    <cellStyle name="통화 36 2 2 2" xfId="3440" xr:uid="{8E061C55-183F-49A9-886B-96AD2F385710}"/>
    <cellStyle name="통화 36 2 2 2 2" xfId="4811" xr:uid="{CFBA1E1E-61C7-4204-9616-E6F1CDCE5975}"/>
    <cellStyle name="통화 36 2 2 3" xfId="4157" xr:uid="{01AA4628-1106-4D81-B23E-B871203EBB83}"/>
    <cellStyle name="통화 36 2 3" xfId="3113" xr:uid="{A2D41563-434F-48AF-9AFC-6154AC2CFFB3}"/>
    <cellStyle name="통화 36 2 3 2" xfId="4484" xr:uid="{613D1E7B-693C-44C9-A28B-22BFE33E8592}"/>
    <cellStyle name="통화 36 2 4" xfId="3830" xr:uid="{A7F3D6CB-301A-4313-9EAA-8FEE21586FEC}"/>
    <cellStyle name="통화 36 3" xfId="2587" xr:uid="{91F478C8-5514-4CE3-954D-B7DD232C39C8}"/>
    <cellStyle name="통화 36 3 2" xfId="3244" xr:uid="{C8801C03-E880-4799-BC42-5EA264445C24}"/>
    <cellStyle name="통화 36 3 2 2" xfId="4615" xr:uid="{1E038CB8-01F7-4C20-9DEC-D4961E55F20F}"/>
    <cellStyle name="통화 36 3 3" xfId="3961" xr:uid="{BC35E263-2A0C-415E-89C0-4402837FFA9B}"/>
    <cellStyle name="통화 36 4" xfId="2917" xr:uid="{5ED09B14-D514-484A-8409-338E9CBD8CC6}"/>
    <cellStyle name="통화 36 4 2" xfId="4288" xr:uid="{7B6C7A5F-1DB4-4671-B591-AE7BA961D37C}"/>
    <cellStyle name="통화 36 5" xfId="3632" xr:uid="{821E770E-73B0-469D-86DF-5521B1A98859}"/>
    <cellStyle name="통화 37" xfId="2143" xr:uid="{2F046E9A-302D-4385-976D-916A03F67E9E}"/>
    <cellStyle name="통화 37 2" xfId="2447" xr:uid="{BFDEB9F4-7118-4D56-A78E-81E2341BB767}"/>
    <cellStyle name="통화 37 2 2" xfId="2784" xr:uid="{70A2CF44-8D3D-48BF-B906-1D893A5B5ABD}"/>
    <cellStyle name="통화 37 2 2 2" xfId="3441" xr:uid="{FB58F034-A26D-4201-AD23-04F1F4E23E5A}"/>
    <cellStyle name="통화 37 2 2 2 2" xfId="4812" xr:uid="{A039CACD-E730-4204-A2AF-504FCBF7C072}"/>
    <cellStyle name="통화 37 2 2 3" xfId="4158" xr:uid="{E1603CFE-F985-4AC6-B02B-F7DF3515BCFB}"/>
    <cellStyle name="통화 37 2 3" xfId="3114" xr:uid="{FAEF2C14-CBB0-4469-AC2E-7D478E0D2521}"/>
    <cellStyle name="통화 37 2 3 2" xfId="4485" xr:uid="{F9D4CF1D-7708-46B0-9F5E-2A60FCD3E812}"/>
    <cellStyle name="통화 37 2 4" xfId="3831" xr:uid="{6595FCF3-08F0-447F-8FA2-077EA48E7496}"/>
    <cellStyle name="통화 37 3" xfId="2588" xr:uid="{5D3F28A9-F613-4E3F-8E05-6C1F601A045E}"/>
    <cellStyle name="통화 37 3 2" xfId="3245" xr:uid="{D7E89663-E86D-4FB4-B181-DB82EA2B7E38}"/>
    <cellStyle name="통화 37 3 2 2" xfId="4616" xr:uid="{15879024-6AAF-4885-B6D1-48BF510E2998}"/>
    <cellStyle name="통화 37 3 3" xfId="3962" xr:uid="{48D518EA-A381-40BF-8A5E-600326677FA5}"/>
    <cellStyle name="통화 37 4" xfId="2918" xr:uid="{813A0DDD-06E2-4F6E-8022-00D58D26871D}"/>
    <cellStyle name="통화 37 4 2" xfId="4289" xr:uid="{76C7D397-CF03-4352-93C4-5AC61E08215F}"/>
    <cellStyle name="통화 37 5" xfId="3633" xr:uid="{2981AD11-E31C-4610-9A98-44BBD8A8F955}"/>
    <cellStyle name="통화 38" xfId="2144" xr:uid="{C9D72095-95B0-4F40-B37D-7590E0A04004}"/>
    <cellStyle name="통화 38 2" xfId="2448" xr:uid="{0D6E1957-A446-4CF9-9EB6-EC6B75AD5F56}"/>
    <cellStyle name="통화 38 2 2" xfId="2785" xr:uid="{90389F1F-4760-4A27-9EB1-991B91298313}"/>
    <cellStyle name="통화 38 2 2 2" xfId="3442" xr:uid="{9E854EC3-BDAD-4D76-8D0D-A65179AB91F6}"/>
    <cellStyle name="통화 38 2 2 2 2" xfId="4813" xr:uid="{8C02EA62-F921-40A0-9204-85E7D78F14C5}"/>
    <cellStyle name="통화 38 2 2 3" xfId="4159" xr:uid="{1E4A88E3-931B-44EF-8155-6FDB5B0A64A2}"/>
    <cellStyle name="통화 38 2 3" xfId="3115" xr:uid="{C6E7D486-1005-4E7C-A413-EC386B677256}"/>
    <cellStyle name="통화 38 2 3 2" xfId="4486" xr:uid="{0D8BDFC5-F90A-4C96-83E0-F6A076C705E2}"/>
    <cellStyle name="통화 38 2 4" xfId="3832" xr:uid="{E4EF88E9-79AB-46B2-B4C3-B8FF31A5CABC}"/>
    <cellStyle name="통화 38 3" xfId="2589" xr:uid="{999611DF-9471-456F-B911-F3EA6E66CE7A}"/>
    <cellStyle name="통화 38 3 2" xfId="3246" xr:uid="{DB3DE3EA-F2D0-4B97-AC02-1EB438524228}"/>
    <cellStyle name="통화 38 3 2 2" xfId="4617" xr:uid="{C8B161D8-762D-48FD-A6C4-72D7C6E1350F}"/>
    <cellStyle name="통화 38 3 3" xfId="3963" xr:uid="{751E997B-5E69-46E3-AD51-C2C40521CEB7}"/>
    <cellStyle name="통화 38 4" xfId="2919" xr:uid="{EF941863-BD44-45D8-8312-2484C9D010D5}"/>
    <cellStyle name="통화 38 4 2" xfId="4290" xr:uid="{6956AD44-A460-4976-BFFE-A73AA190FA74}"/>
    <cellStyle name="통화 38 5" xfId="3634" xr:uid="{E1EC3788-9007-4A86-A734-EDD40009A877}"/>
    <cellStyle name="통화 39" xfId="2145" xr:uid="{8E3CA4BB-C285-4911-BA4F-9DA6443D5333}"/>
    <cellStyle name="통화 39 2" xfId="2449" xr:uid="{8B15A27A-9AB9-4709-A351-B874B667759B}"/>
    <cellStyle name="통화 39 2 2" xfId="2786" xr:uid="{1F898AB3-6D25-4057-8A65-AF67A6CFF051}"/>
    <cellStyle name="통화 39 2 2 2" xfId="3443" xr:uid="{4FD4D05B-6F71-4B75-8755-3BFB36FB27D2}"/>
    <cellStyle name="통화 39 2 2 2 2" xfId="4814" xr:uid="{BBB017BE-A631-4F89-A51E-42E7D09B2F6F}"/>
    <cellStyle name="통화 39 2 2 3" xfId="4160" xr:uid="{63EBD93D-9042-4737-92D4-B14341A7CC06}"/>
    <cellStyle name="통화 39 2 3" xfId="3116" xr:uid="{386CF3DF-43AB-4227-B952-39440D1B7F70}"/>
    <cellStyle name="통화 39 2 3 2" xfId="4487" xr:uid="{76918279-6DA7-4EEC-A87E-25E459526276}"/>
    <cellStyle name="통화 39 2 4" xfId="3833" xr:uid="{B8CA5FEC-2DA9-496A-BAC0-48259F687390}"/>
    <cellStyle name="통화 39 3" xfId="2590" xr:uid="{2F6FDD33-9DE8-4132-A210-65EABD7DF31F}"/>
    <cellStyle name="통화 39 3 2" xfId="3247" xr:uid="{2172D09D-F559-42F1-941B-C07B1DAFFFFD}"/>
    <cellStyle name="통화 39 3 2 2" xfId="4618" xr:uid="{BC7BE24A-D776-47A1-8B0A-4E827A05E4EF}"/>
    <cellStyle name="통화 39 3 3" xfId="3964" xr:uid="{7E579051-84FD-4ECE-A418-4BE19BD9CF94}"/>
    <cellStyle name="통화 39 4" xfId="2920" xr:uid="{87D7C405-B8A7-478C-B421-955CE8D372F0}"/>
    <cellStyle name="통화 39 4 2" xfId="4291" xr:uid="{B30F295B-0C23-4B7D-8CD8-A03EA77D5F88}"/>
    <cellStyle name="통화 39 5" xfId="3635" xr:uid="{B3863FB9-D045-449A-A80A-A63C405E6ADD}"/>
    <cellStyle name="통화 4" xfId="2146" xr:uid="{DCA2076E-7305-4315-932A-0AA132E36106}"/>
    <cellStyle name="통화 4 2" xfId="2450" xr:uid="{F9950713-BC00-440B-8967-8CB911719D59}"/>
    <cellStyle name="통화 4 2 2" xfId="2787" xr:uid="{C4BD9C82-A8D8-40F8-8889-61D7E5A6DA8D}"/>
    <cellStyle name="통화 4 2 2 2" xfId="3444" xr:uid="{80B6B660-5AAB-4A1B-A258-8AAAB9D8B6DC}"/>
    <cellStyle name="통화 4 2 2 2 2" xfId="4815" xr:uid="{0F4433FF-EC5E-4637-89D1-08A5C8143211}"/>
    <cellStyle name="통화 4 2 2 3" xfId="4161" xr:uid="{6F598FDC-5048-46A5-B892-996CC303E388}"/>
    <cellStyle name="통화 4 2 3" xfId="3117" xr:uid="{C5034A6D-30FC-4C5C-8866-5F2AFBD1552B}"/>
    <cellStyle name="통화 4 2 3 2" xfId="4488" xr:uid="{6C723536-81FB-43DA-96A3-5F458763A2BE}"/>
    <cellStyle name="통화 4 2 4" xfId="3834" xr:uid="{F0EB6014-37F4-445B-868D-86AA871444ED}"/>
    <cellStyle name="통화 4 3" xfId="2591" xr:uid="{E13E0773-BE17-4570-BA15-07DD1639D47D}"/>
    <cellStyle name="통화 4 3 2" xfId="3248" xr:uid="{CE0B8503-FAE4-40F8-A22C-410C5F6D9991}"/>
    <cellStyle name="통화 4 3 2 2" xfId="4619" xr:uid="{E8B74C85-3977-4B68-9546-11F4710EEB76}"/>
    <cellStyle name="통화 4 3 3" xfId="3965" xr:uid="{6385A8AE-39B8-4330-B441-E634DEC7D7DA}"/>
    <cellStyle name="통화 4 4" xfId="2921" xr:uid="{7A0E24EF-6CE9-403D-B6FC-41B24C67663B}"/>
    <cellStyle name="통화 4 4 2" xfId="4292" xr:uid="{3B14FE18-AB29-43C8-91BF-7228BFFA2629}"/>
    <cellStyle name="통화 4 5" xfId="3636" xr:uid="{BC124550-3BF3-49D4-A992-B87ADBDB4E90}"/>
    <cellStyle name="통화 5" xfId="2147" xr:uid="{98AE5AFA-4430-4682-B4DD-B16D9DB68A90}"/>
    <cellStyle name="통화 5 2" xfId="2451" xr:uid="{344F2047-01AA-4B36-868F-7138CD951B3A}"/>
    <cellStyle name="통화 5 2 2" xfId="2788" xr:uid="{FE81E43C-E6CE-4AD6-B483-0ABB454834E5}"/>
    <cellStyle name="통화 5 2 2 2" xfId="3445" xr:uid="{46DEA374-8097-4872-BE5B-9C8C5F10A940}"/>
    <cellStyle name="통화 5 2 2 2 2" xfId="4816" xr:uid="{CA9FE8B2-5064-4AE4-9E2B-DF4386A76FBA}"/>
    <cellStyle name="통화 5 2 2 3" xfId="4162" xr:uid="{A67FF72A-68B6-4577-B1AE-DF2C306549F7}"/>
    <cellStyle name="통화 5 2 3" xfId="3118" xr:uid="{E5CFEBB2-0711-419B-B8A7-DDB7609E6E8E}"/>
    <cellStyle name="통화 5 2 3 2" xfId="4489" xr:uid="{792E7573-05FA-4E33-A752-1A5537D0D026}"/>
    <cellStyle name="통화 5 2 4" xfId="3835" xr:uid="{D4CA0E7B-E3A9-4AC9-BF92-301F16509EEE}"/>
    <cellStyle name="통화 5 3" xfId="2592" xr:uid="{BC6981CD-166E-458A-BC6C-EFE9505B9AF2}"/>
    <cellStyle name="통화 5 3 2" xfId="3249" xr:uid="{79BDF097-95E8-42BA-9176-F2A28B832E60}"/>
    <cellStyle name="통화 5 3 2 2" xfId="4620" xr:uid="{13A2CA77-31A4-4915-908E-7A233185F8E8}"/>
    <cellStyle name="통화 5 3 3" xfId="3966" xr:uid="{9AAFE0AD-7E7B-4335-8391-CE33EFF97D21}"/>
    <cellStyle name="통화 5 4" xfId="2922" xr:uid="{666D5424-D882-4F30-8812-72DDE22EC473}"/>
    <cellStyle name="통화 5 4 2" xfId="4293" xr:uid="{BF05A68E-3647-4E27-B680-858C3FA28493}"/>
    <cellStyle name="통화 5 5" xfId="3637" xr:uid="{F3F5AC41-7A0D-4617-A7D6-EBD149A068A6}"/>
    <cellStyle name="통화 6" xfId="2148" xr:uid="{055E0B53-F269-4674-B57A-436759F221D5}"/>
    <cellStyle name="통화 6 2" xfId="2452" xr:uid="{B94B6197-2DD0-4D77-BA0F-AFD629231702}"/>
    <cellStyle name="통화 6 2 2" xfId="2789" xr:uid="{B089E92B-E2EC-40D8-BF3B-7C28ECD3E2B0}"/>
    <cellStyle name="통화 6 2 2 2" xfId="3446" xr:uid="{FA79C41F-B419-452F-AB48-5CAFFEE0584F}"/>
    <cellStyle name="통화 6 2 2 2 2" xfId="4817" xr:uid="{A91828F7-FC82-4DA7-9FA9-B26E73281A7C}"/>
    <cellStyle name="통화 6 2 2 3" xfId="4163" xr:uid="{65847A0F-832D-4100-B115-32C262E10E8D}"/>
    <cellStyle name="통화 6 2 3" xfId="3119" xr:uid="{187BAF32-5AC4-4F45-8904-61292354FE30}"/>
    <cellStyle name="통화 6 2 3 2" xfId="4490" xr:uid="{4F7B71FA-3129-47D2-ACF5-56478FB85800}"/>
    <cellStyle name="통화 6 2 4" xfId="3836" xr:uid="{C1CDB959-E9D7-4388-94FC-B9389D284898}"/>
    <cellStyle name="통화 6 3" xfId="2593" xr:uid="{BBEA7E7A-4B79-4715-B82F-9705400C8D46}"/>
    <cellStyle name="통화 6 3 2" xfId="3250" xr:uid="{01FA51E2-2C7D-4637-8F0A-E7FEF9BFC09E}"/>
    <cellStyle name="통화 6 3 2 2" xfId="4621" xr:uid="{69D084B6-EC9E-4511-88CA-A3AD438B3448}"/>
    <cellStyle name="통화 6 3 3" xfId="3967" xr:uid="{B371D6A2-27F0-412C-AD45-E783A1205EF2}"/>
    <cellStyle name="통화 6 4" xfId="2923" xr:uid="{AECD8612-2F8C-4D01-BF4B-1DEF4DBBD216}"/>
    <cellStyle name="통화 6 4 2" xfId="4294" xr:uid="{1549160D-C1F9-429C-BCAE-7160317AF68D}"/>
    <cellStyle name="통화 6 5" xfId="3638" xr:uid="{97C4B04E-4A99-464E-A1AB-2C18F1ABB175}"/>
    <cellStyle name="통화 7" xfId="2149" xr:uid="{DB181485-4455-421A-BCBC-F59B3A873F81}"/>
    <cellStyle name="통화 7 2" xfId="2453" xr:uid="{0057270A-A927-4070-BE9A-30975EA1DA8B}"/>
    <cellStyle name="통화 7 2 2" xfId="2790" xr:uid="{46A4EE7C-93B1-400F-ACCF-6B5B906AD808}"/>
    <cellStyle name="통화 7 2 2 2" xfId="3447" xr:uid="{5C04121A-FDD2-4ED4-A893-F427ADFE2D6E}"/>
    <cellStyle name="통화 7 2 2 2 2" xfId="4818" xr:uid="{EBB0F2C8-D540-43D4-9004-742A5AAE30C7}"/>
    <cellStyle name="통화 7 2 2 3" xfId="4164" xr:uid="{B2EF175C-F2E0-4113-A248-578A810E17E9}"/>
    <cellStyle name="통화 7 2 3" xfId="3120" xr:uid="{35FC8421-4E6B-44CF-A3EA-29C52C334AA9}"/>
    <cellStyle name="통화 7 2 3 2" xfId="4491" xr:uid="{162CBE70-F578-4199-8919-F44A0A66C50E}"/>
    <cellStyle name="통화 7 2 4" xfId="3837" xr:uid="{1A90AE4D-A190-42DC-A484-302B731766D8}"/>
    <cellStyle name="통화 7 3" xfId="2594" xr:uid="{B8D8148E-C103-4CF5-B87E-B2B513BA32E9}"/>
    <cellStyle name="통화 7 3 2" xfId="3251" xr:uid="{E09A56B8-1EA6-40E2-A6BB-5565F17EDBCA}"/>
    <cellStyle name="통화 7 3 2 2" xfId="4622" xr:uid="{955632CB-AE99-4AEB-8F69-FCFF8B7185AD}"/>
    <cellStyle name="통화 7 3 3" xfId="3968" xr:uid="{440615E4-97B1-40A0-AD8C-10452D95E3DC}"/>
    <cellStyle name="통화 7 4" xfId="2924" xr:uid="{09D3564E-4AF1-48BE-AFFB-5235549153BA}"/>
    <cellStyle name="통화 7 4 2" xfId="4295" xr:uid="{063F4C94-F11E-4A2D-973E-4C1A70D819D0}"/>
    <cellStyle name="통화 7 5" xfId="3639" xr:uid="{33E4F533-4FFB-4881-AA90-4A673B6ECC31}"/>
    <cellStyle name="통화 8" xfId="2150" xr:uid="{8564EBE4-1089-4185-8CAB-F156A123EF37}"/>
    <cellStyle name="통화 8 2" xfId="2454" xr:uid="{C07B8743-2C32-4AD2-B0CD-DCEF5DCE61BA}"/>
    <cellStyle name="통화 8 2 2" xfId="2791" xr:uid="{F18F8A12-4B16-423F-BA64-8DAD124E8935}"/>
    <cellStyle name="통화 8 2 2 2" xfId="3448" xr:uid="{52194CD8-EF8E-4F4D-98DB-D4FFCB29714B}"/>
    <cellStyle name="통화 8 2 2 2 2" xfId="4819" xr:uid="{4722EA25-7BA9-4055-AA05-BB690B07ED49}"/>
    <cellStyle name="통화 8 2 2 3" xfId="4165" xr:uid="{55BBD77A-AE0E-4E44-8AF7-55C8AE05F76D}"/>
    <cellStyle name="통화 8 2 3" xfId="3121" xr:uid="{C8D4614F-1AB0-4831-9E3C-931B47B734FE}"/>
    <cellStyle name="통화 8 2 3 2" xfId="4492" xr:uid="{9F06CDAB-1C4B-40F2-A48D-749898122DD6}"/>
    <cellStyle name="통화 8 2 4" xfId="3838" xr:uid="{2E3BFA59-D5BA-4A72-9791-D298EB1B00C8}"/>
    <cellStyle name="통화 8 3" xfId="2595" xr:uid="{EB77A499-4F3C-4641-822F-3153137E24AD}"/>
    <cellStyle name="통화 8 3 2" xfId="3252" xr:uid="{05DAF020-DCC3-4799-862A-83AAF660EB13}"/>
    <cellStyle name="통화 8 3 2 2" xfId="4623" xr:uid="{B422C8CF-1C3A-4631-9874-FDF3C4F77583}"/>
    <cellStyle name="통화 8 3 3" xfId="3969" xr:uid="{08F73CD3-917B-4FA4-AD79-14D0C46AA9CA}"/>
    <cellStyle name="통화 8 4" xfId="2925" xr:uid="{0950B406-24A0-4A24-8480-D2E55D25FCB4}"/>
    <cellStyle name="통화 8 4 2" xfId="4296" xr:uid="{B0D958C5-1937-4E9E-8652-B8A7DC2DE087}"/>
    <cellStyle name="통화 8 5" xfId="3640" xr:uid="{9C9815D1-E102-46C2-9E3D-42308CCBE001}"/>
    <cellStyle name="통화 9" xfId="2151" xr:uid="{3ADEE97B-3C39-4509-960E-0C6C7332825C}"/>
    <cellStyle name="통화 9 2" xfId="2455" xr:uid="{177BE20B-B263-423E-A34A-796E0B62407B}"/>
    <cellStyle name="통화 9 2 2" xfId="2792" xr:uid="{AB5E7B27-BD58-492F-9914-64F060481CA0}"/>
    <cellStyle name="통화 9 2 2 2" xfId="3449" xr:uid="{BE9F44A3-320A-4747-9A3B-D5C476B0FA50}"/>
    <cellStyle name="통화 9 2 2 2 2" xfId="4820" xr:uid="{7BBB5C7B-F085-4F84-8F36-3979288CFFC5}"/>
    <cellStyle name="통화 9 2 2 3" xfId="4166" xr:uid="{8BCF9CCA-4A7E-417A-85E2-627A1AA7AEB9}"/>
    <cellStyle name="통화 9 2 3" xfId="3122" xr:uid="{FF5C54DD-B7FB-4481-AB0D-52B3AF1B9B82}"/>
    <cellStyle name="통화 9 2 3 2" xfId="4493" xr:uid="{1EE24639-783B-447B-8B5B-3B65E0BB8415}"/>
    <cellStyle name="통화 9 2 4" xfId="3839" xr:uid="{CCDDC07D-70A2-412C-9181-95FE3B629512}"/>
    <cellStyle name="통화 9 3" xfId="2596" xr:uid="{95501575-BFA5-4C2D-A410-272299989702}"/>
    <cellStyle name="통화 9 3 2" xfId="3253" xr:uid="{22AA3544-D68A-4BC6-BA79-8DA7EA6FBFC1}"/>
    <cellStyle name="통화 9 3 2 2" xfId="4624" xr:uid="{384E3977-BDEC-48E8-8EBF-435164947A04}"/>
    <cellStyle name="통화 9 3 3" xfId="3970" xr:uid="{A319D17C-1259-4C9E-AE3A-121C7E71758F}"/>
    <cellStyle name="통화 9 4" xfId="2926" xr:uid="{D6D618DA-CA02-4E09-92F2-D0182782FF45}"/>
    <cellStyle name="통화 9 4 2" xfId="4297" xr:uid="{02F5B3C9-5406-4A60-A490-E224F9328367}"/>
    <cellStyle name="통화 9 5" xfId="3641" xr:uid="{9B9978B0-2369-4236-9F1B-1F7605276DFD}"/>
    <cellStyle name="通貨_ADH987175 現代電子 SMD750B" xfId="2152" xr:uid="{926A0580-98C2-4BAA-B539-54173C0758E3}"/>
    <cellStyle name="퍼센트" xfId="2153" xr:uid="{3460BDAD-224A-43F6-847E-DFC6A76873EA}"/>
    <cellStyle name="편집_1" xfId="2154" xr:uid="{D880DCA8-B6CB-4A14-AAE2-13A5B200187D}"/>
    <cellStyle name="표" xfId="2155" xr:uid="{72952818-AE00-4354-AF92-CF5FE3B3A1C4}"/>
    <cellStyle name="표_Daeshin Price List (122309)" xfId="2156" xr:uid="{A23A115F-BF7D-4EE5-BBD5-823093DE0DF5}"/>
    <cellStyle name="표_Daeshin Price List (122309)_Daeshin Pricing and Calculations 7Jun12" xfId="2157" xr:uid="{6A5954D7-C60E-4E02-BB36-ADA31E6D9E8A}"/>
    <cellStyle name="표서식" xfId="2158" xr:uid="{63A3C625-3B9E-4D99-BA43-22DDF987514A}"/>
    <cellStyle name="标题" xfId="2159" xr:uid="{38A8E989-40B7-4C26-9EA1-7042174FADD7}"/>
    <cellStyle name="标题 1" xfId="2160" xr:uid="{725B3BD8-822A-4316-B23C-99AA3CD11733}"/>
    <cellStyle name="标题 2" xfId="2161" xr:uid="{2CB6E252-5FB2-4D2C-90AA-93CDE9B6A554}"/>
    <cellStyle name="标题 3" xfId="2162" xr:uid="{9CDB8306-BEFB-4014-986D-E2F2CF9AB7F1}"/>
    <cellStyle name="标题 3 2" xfId="2163" xr:uid="{ACBC2234-AC21-4D83-A685-1437F36DF54C}"/>
    <cellStyle name="标题 3 2 2" xfId="2164" xr:uid="{E68F7213-EEB6-48C3-9A7F-445DD5BE9AEF}"/>
    <cellStyle name="标题 4" xfId="2165" xr:uid="{406343BC-957A-46A1-BCD7-F07208DCB622}"/>
    <cellStyle name="标题_B4 Utility summary code name 091104 구동호" xfId="2166" xr:uid="{FF7D7051-BFE4-4A0A-A0BE-553F11E5A5D2}"/>
    <cellStyle name="표준" xfId="0" builtinId="0"/>
    <cellStyle name="표준 10" xfId="150" xr:uid="{00000000-0005-0000-0000-000098000000}"/>
    <cellStyle name="표준 10 2" xfId="151" xr:uid="{00000000-0005-0000-0000-000099000000}"/>
    <cellStyle name="표준 10 2 2" xfId="2168" xr:uid="{0FADC2E7-1148-4FB1-ACF1-39166294BC48}"/>
    <cellStyle name="표준 10 3" xfId="2169" xr:uid="{5137D268-D26E-40F5-9654-ED9638F0793E}"/>
    <cellStyle name="표준 10 4" xfId="2170" xr:uid="{17AAA7A3-9EE1-4F0D-A824-AE5675D5AA5D}"/>
    <cellStyle name="표준 10 5" xfId="3452" xr:uid="{F0716C67-FC12-412E-A751-EA7088833AAE}"/>
    <cellStyle name="표준 10 6" xfId="2167" xr:uid="{4B5EDBBC-7AED-4599-95C5-FC1D962F5458}"/>
    <cellStyle name="표준 10 7" xfId="261" xr:uid="{B5341627-DC65-4A9D-8A44-CCAF3F877476}"/>
    <cellStyle name="표준 100" xfId="4827" xr:uid="{7BC9831F-078E-4EEC-A5DB-B33FA0468DB7}"/>
    <cellStyle name="표준 11" xfId="152" xr:uid="{00000000-0005-0000-0000-00009A000000}"/>
    <cellStyle name="표준 11 2" xfId="153" xr:uid="{00000000-0005-0000-0000-00009B000000}"/>
    <cellStyle name="표준 11 2 2" xfId="2172" xr:uid="{5593C60C-ABDF-4C2B-97FB-D9F39A9F9CAC}"/>
    <cellStyle name="표준 11 3" xfId="2171" xr:uid="{024EBFAE-3640-43A2-80D5-3B896DB8DC22}"/>
    <cellStyle name="표준 11 4" xfId="273" xr:uid="{73AC10DC-E6AA-4B51-B15C-67448CD10C5F}"/>
    <cellStyle name="표준 12" xfId="154" xr:uid="{00000000-0005-0000-0000-00009C000000}"/>
    <cellStyle name="표준 12 2" xfId="155" xr:uid="{00000000-0005-0000-0000-00009D000000}"/>
    <cellStyle name="표준 12 2 2" xfId="2174" xr:uid="{967BF73B-B69E-4205-AA7F-E9D934A9E382}"/>
    <cellStyle name="표준 12 3" xfId="2173" xr:uid="{983370A2-758E-4CCF-BE03-C6820BF5934E}"/>
    <cellStyle name="표준 13" xfId="156" xr:uid="{00000000-0005-0000-0000-00009E000000}"/>
    <cellStyle name="표준 13 2" xfId="157" xr:uid="{00000000-0005-0000-0000-00009F000000}"/>
    <cellStyle name="표준 13 2 2" xfId="2175" xr:uid="{87ED657F-194E-4175-848B-2C885DB93A2A}"/>
    <cellStyle name="표준 14" xfId="158" xr:uid="{00000000-0005-0000-0000-0000A0000000}"/>
    <cellStyle name="표준 14 2" xfId="159" xr:uid="{00000000-0005-0000-0000-0000A1000000}"/>
    <cellStyle name="표준 14 3" xfId="2176" xr:uid="{07A600DC-E571-48B5-8A54-E27A47679124}"/>
    <cellStyle name="표준 15" xfId="160" xr:uid="{00000000-0005-0000-0000-0000A2000000}"/>
    <cellStyle name="표준 15 2" xfId="161" xr:uid="{00000000-0005-0000-0000-0000A3000000}"/>
    <cellStyle name="표준 15 3" xfId="2177" xr:uid="{C1D2B14D-5CEF-4615-884A-8E641B1176F8}"/>
    <cellStyle name="표준 16" xfId="162" xr:uid="{00000000-0005-0000-0000-0000A4000000}"/>
    <cellStyle name="표준 16 2" xfId="2178" xr:uid="{404036AF-90D2-4571-9CD2-8E8F0CCA6D14}"/>
    <cellStyle name="표준 17" xfId="163" xr:uid="{00000000-0005-0000-0000-0000A5000000}"/>
    <cellStyle name="표준 18" xfId="164" xr:uid="{00000000-0005-0000-0000-0000A6000000}"/>
    <cellStyle name="표준 19" xfId="165" xr:uid="{00000000-0005-0000-0000-0000A7000000}"/>
    <cellStyle name="표준 19 2" xfId="2179" xr:uid="{A817DCCB-1B12-4B08-94A0-9A0810422E94}"/>
    <cellStyle name="표준 2" xfId="3" xr:uid="{00000000-0005-0000-0000-0000A8000000}"/>
    <cellStyle name="표준 2 10" xfId="2180" xr:uid="{061682E6-6DC3-41A0-A250-DC2EEF6301FA}"/>
    <cellStyle name="표준 2 11" xfId="276" xr:uid="{93274132-CD30-400B-9EBC-2C2805A94B39}"/>
    <cellStyle name="표준 2 2" xfId="167" xr:uid="{00000000-0005-0000-0000-0000A9000000}"/>
    <cellStyle name="표준 2 2 2" xfId="168" xr:uid="{00000000-0005-0000-0000-0000AA000000}"/>
    <cellStyle name="표준 2 2 2 2" xfId="2182" xr:uid="{A619D7A1-A212-4F00-9768-F42B7764ED60}"/>
    <cellStyle name="표준 2 2 3" xfId="2183" xr:uid="{3806652D-1B78-4AEC-9A45-E30A7B78C866}"/>
    <cellStyle name="표준 2 2 3 2" xfId="2184" xr:uid="{2DA7381F-A8BA-4CAF-AE76-368D4EBE94C4}"/>
    <cellStyle name="표준 2 2 3_05-3" xfId="2185" xr:uid="{A509547D-DF71-4D4F-98C8-0F026AA61D7C}"/>
    <cellStyle name="표준 2 2 4" xfId="2181" xr:uid="{9A4825A4-A088-43F9-A317-5DF9421C005E}"/>
    <cellStyle name="표준 2 2 5" xfId="2256" xr:uid="{02B9F8A0-50B0-45BE-BBAB-3FE1F898F8B4}"/>
    <cellStyle name="표준 2 2 6" xfId="2255" xr:uid="{4447F0F6-4D77-460D-A7DC-D79BCFAC318C}"/>
    <cellStyle name="표준 2 2 7" xfId="2457" xr:uid="{DD422D6C-14C2-4E3F-BF57-31B0FAA216B5}"/>
    <cellStyle name="표준 2 2 8" xfId="2466" xr:uid="{FE157E81-A07C-4BC7-AEDF-74DCE8ACAC26}"/>
    <cellStyle name="표준 2 2 9" xfId="2456" xr:uid="{7E762ECC-5357-41CD-BAD4-7A614268FF73}"/>
    <cellStyle name="표준 2 2_05-3" xfId="2186" xr:uid="{AD52939C-B5E1-47F0-9CB0-625DE7E02DCE}"/>
    <cellStyle name="표준 2 3" xfId="169" xr:uid="{00000000-0005-0000-0000-0000AB000000}"/>
    <cellStyle name="표준 2 3 2" xfId="2297" xr:uid="{A09E73C4-F49D-4BBF-9C66-DC52BFB68EAF}"/>
    <cellStyle name="표준 2 3 3" xfId="2187" xr:uid="{004651BE-4814-4122-9094-E76790434748}"/>
    <cellStyle name="표준 2 3 4" xfId="289" xr:uid="{C5E603F9-FEF1-4C04-BB28-D82D24BB5AE8}"/>
    <cellStyle name="표준 2 4" xfId="170" xr:uid="{00000000-0005-0000-0000-0000AC000000}"/>
    <cellStyle name="표준 2 4 2" xfId="2188" xr:uid="{2F1B41A5-07A1-4FAC-98B7-680F6348F671}"/>
    <cellStyle name="표준 2 5" xfId="166" xr:uid="{00000000-0005-0000-0000-0000AD000000}"/>
    <cellStyle name="표준 2 5 2" xfId="2189" xr:uid="{2BEE43F0-1453-40CA-B062-08AB4403B043}"/>
    <cellStyle name="표준 2 6" xfId="2190" xr:uid="{B9B1E791-2FF1-4291-9E5A-65D35A7401C6}"/>
    <cellStyle name="표준 2 7" xfId="2191" xr:uid="{2A7EC55B-47A7-43B8-99D3-92045EDD75F4}"/>
    <cellStyle name="표준 2 8" xfId="2192" xr:uid="{A1C3C96F-B1E0-4456-8AF3-4ACDC5C42670}"/>
    <cellStyle name="표준 2 9" xfId="2193" xr:uid="{5D176799-CF6F-4539-B41B-5B6A27F014AB}"/>
    <cellStyle name="표준 2_05-3" xfId="2194" xr:uid="{4E104279-529F-4BC8-BF77-ADF3A00142D0}"/>
    <cellStyle name="표준 20" xfId="171" xr:uid="{00000000-0005-0000-0000-0000AE000000}"/>
    <cellStyle name="표준 21" xfId="172" xr:uid="{00000000-0005-0000-0000-0000AF000000}"/>
    <cellStyle name="표준 22" xfId="173" xr:uid="{00000000-0005-0000-0000-0000B0000000}"/>
    <cellStyle name="표준 23" xfId="174" xr:uid="{00000000-0005-0000-0000-0000B1000000}"/>
    <cellStyle name="표준 24" xfId="175" xr:uid="{00000000-0005-0000-0000-0000B2000000}"/>
    <cellStyle name="표준 25" xfId="176" xr:uid="{00000000-0005-0000-0000-0000B3000000}"/>
    <cellStyle name="표준 26" xfId="177" xr:uid="{00000000-0005-0000-0000-0000B4000000}"/>
    <cellStyle name="표준 26 2" xfId="2458" xr:uid="{D07B5035-AAE7-465E-9031-14E28231DB33}"/>
    <cellStyle name="표준 26 3" xfId="2304" xr:uid="{7EF6417B-24A5-4B4E-8259-F5E6CC35576E}"/>
    <cellStyle name="표준 27" xfId="178" xr:uid="{00000000-0005-0000-0000-0000B5000000}"/>
    <cellStyle name="표준 27 2" xfId="2459" xr:uid="{5AA37131-1EF0-440B-AD57-7B2FA635D5F6}"/>
    <cellStyle name="표준 27 3" xfId="2305" xr:uid="{7FE9CC10-1614-444B-A869-738571147E18}"/>
    <cellStyle name="표준 28" xfId="179" xr:uid="{00000000-0005-0000-0000-0000B6000000}"/>
    <cellStyle name="표준 28 2" xfId="2460" xr:uid="{CF32D5BD-E596-4809-844B-D08EE0B5D7BE}"/>
    <cellStyle name="표준 29" xfId="180" xr:uid="{00000000-0005-0000-0000-0000B7000000}"/>
    <cellStyle name="표준 3" xfId="181" xr:uid="{00000000-0005-0000-0000-0000B8000000}"/>
    <cellStyle name="표준 3 2" xfId="182" xr:uid="{00000000-0005-0000-0000-0000B9000000}"/>
    <cellStyle name="표준 3 2 2" xfId="183" xr:uid="{00000000-0005-0000-0000-0000BA000000}"/>
    <cellStyle name="표준 3 3" xfId="184" xr:uid="{00000000-0005-0000-0000-0000BB000000}"/>
    <cellStyle name="표준 3 3 2" xfId="2196" xr:uid="{CFE879DD-9ACC-4D5F-ACDA-F9C5B27902A7}"/>
    <cellStyle name="표준 3 4" xfId="2197" xr:uid="{2125E4F5-D310-49F7-B21A-8212AF0EFD2E}"/>
    <cellStyle name="표준 3 5" xfId="2198" xr:uid="{CEF0EE98-68D7-48BE-BD24-11DA86125CD8}"/>
    <cellStyle name="표준 3 6" xfId="2195" xr:uid="{FF18454F-1395-49FC-86C8-9F14186A0C7E}"/>
    <cellStyle name="표준 3 7" xfId="248" xr:uid="{DA9CA922-27AC-45BF-8447-9C5BAF95A85A}"/>
    <cellStyle name="표준 30" xfId="185" xr:uid="{00000000-0005-0000-0000-0000BC000000}"/>
    <cellStyle name="표준 31" xfId="186" xr:uid="{00000000-0005-0000-0000-0000BD000000}"/>
    <cellStyle name="표준 32" xfId="187" xr:uid="{00000000-0005-0000-0000-0000BE000000}"/>
    <cellStyle name="표준 33" xfId="188" xr:uid="{00000000-0005-0000-0000-0000BF000000}"/>
    <cellStyle name="표준 34" xfId="189" xr:uid="{00000000-0005-0000-0000-0000C0000000}"/>
    <cellStyle name="표준 35" xfId="190" xr:uid="{00000000-0005-0000-0000-0000C1000000}"/>
    <cellStyle name="표준 36" xfId="191" xr:uid="{00000000-0005-0000-0000-0000C2000000}"/>
    <cellStyle name="표준 37" xfId="192" xr:uid="{00000000-0005-0000-0000-0000C3000000}"/>
    <cellStyle name="표준 38" xfId="193" xr:uid="{00000000-0005-0000-0000-0000C4000000}"/>
    <cellStyle name="표준 39" xfId="194" xr:uid="{00000000-0005-0000-0000-0000C5000000}"/>
    <cellStyle name="표준 4" xfId="195" xr:uid="{00000000-0005-0000-0000-0000C6000000}"/>
    <cellStyle name="표준 4 2" xfId="2200" xr:uid="{6A84FE19-6FC4-4605-A456-9BCA065A81F5}"/>
    <cellStyle name="표준 4 2 2" xfId="2301" xr:uid="{0EC1DF2B-6030-46A4-8EBA-C327A446A89A}"/>
    <cellStyle name="표준 4 3" xfId="2201" xr:uid="{3E5C39E0-9A4C-46B0-8A1A-0178B779BF86}"/>
    <cellStyle name="표준 4 4" xfId="2199" xr:uid="{BA8ED9F6-AE92-47CC-9A39-18770B8C199E}"/>
    <cellStyle name="표준 4 4 2" xfId="2461" xr:uid="{D9613A2B-88D9-4104-8672-944C2506C270}"/>
    <cellStyle name="표준 4 5" xfId="2288" xr:uid="{E67271C5-3B66-40C7-81D6-D048955AC861}"/>
    <cellStyle name="표준 4 6" xfId="308" xr:uid="{D6BE9132-324E-4C74-9461-182581CCE2AD}"/>
    <cellStyle name="표준 4 7" xfId="280" xr:uid="{EBD9E6A4-D681-4168-8489-0780C432EE79}"/>
    <cellStyle name="표준 4 8" xfId="251" xr:uid="{1417DD4A-B267-4412-9607-4AE4CC1B401C}"/>
    <cellStyle name="표준 4_05-3" xfId="2202" xr:uid="{5804752D-3673-480E-95DA-75D7A7C85AB0}"/>
    <cellStyle name="표준 40" xfId="196" xr:uid="{00000000-0005-0000-0000-0000C7000000}"/>
    <cellStyle name="표준 41" xfId="197" xr:uid="{00000000-0005-0000-0000-0000C8000000}"/>
    <cellStyle name="표준 42" xfId="198" xr:uid="{00000000-0005-0000-0000-0000C9000000}"/>
    <cellStyle name="표준 43" xfId="199" xr:uid="{00000000-0005-0000-0000-0000CA000000}"/>
    <cellStyle name="표준 44" xfId="200" xr:uid="{00000000-0005-0000-0000-0000CB000000}"/>
    <cellStyle name="표준 45" xfId="201" xr:uid="{00000000-0005-0000-0000-0000CC000000}"/>
    <cellStyle name="표준 46" xfId="202" xr:uid="{00000000-0005-0000-0000-0000CD000000}"/>
    <cellStyle name="표준 47" xfId="203" xr:uid="{00000000-0005-0000-0000-0000CE000000}"/>
    <cellStyle name="표준 48" xfId="204" xr:uid="{00000000-0005-0000-0000-0000CF000000}"/>
    <cellStyle name="표준 49" xfId="205" xr:uid="{00000000-0005-0000-0000-0000D0000000}"/>
    <cellStyle name="표준 5" xfId="206" xr:uid="{00000000-0005-0000-0000-0000D1000000}"/>
    <cellStyle name="표준 5 2" xfId="207" xr:uid="{00000000-0005-0000-0000-0000D2000000}"/>
    <cellStyle name="표준 5 2 2" xfId="2204" xr:uid="{43DA9B73-D416-4557-A619-F4DC0F94DF06}"/>
    <cellStyle name="표준 5 3" xfId="2205" xr:uid="{690FD3BD-2A55-4CF8-8B17-22632A1FAF31}"/>
    <cellStyle name="표준 5 4" xfId="2203" xr:uid="{11F7FC9B-46A8-4749-8F8A-4DD2ACEB10E8}"/>
    <cellStyle name="표준 5 4 2" xfId="2462" xr:uid="{2D38FF78-9812-4796-A211-CF7F8490BD0D}"/>
    <cellStyle name="표준 5 5" xfId="250" xr:uid="{3C79976A-1B1F-44BB-BA34-080C5A619E45}"/>
    <cellStyle name="표준 50" xfId="208" xr:uid="{00000000-0005-0000-0000-0000D3000000}"/>
    <cellStyle name="표준 51" xfId="209" xr:uid="{00000000-0005-0000-0000-0000D4000000}"/>
    <cellStyle name="표준 52" xfId="210" xr:uid="{00000000-0005-0000-0000-0000D5000000}"/>
    <cellStyle name="표준 53" xfId="211" xr:uid="{00000000-0005-0000-0000-0000D6000000}"/>
    <cellStyle name="표준 54" xfId="212" xr:uid="{00000000-0005-0000-0000-0000D7000000}"/>
    <cellStyle name="표준 55" xfId="213" xr:uid="{00000000-0005-0000-0000-0000D8000000}"/>
    <cellStyle name="표준 56" xfId="214" xr:uid="{00000000-0005-0000-0000-0000D9000000}"/>
    <cellStyle name="표준 57" xfId="215" xr:uid="{00000000-0005-0000-0000-0000DA000000}"/>
    <cellStyle name="표준 58" xfId="216" xr:uid="{00000000-0005-0000-0000-0000DB000000}"/>
    <cellStyle name="표준 59" xfId="217" xr:uid="{00000000-0005-0000-0000-0000DC000000}"/>
    <cellStyle name="표준 6" xfId="218" xr:uid="{00000000-0005-0000-0000-0000DD000000}"/>
    <cellStyle name="표준 6 2" xfId="219" xr:uid="{00000000-0005-0000-0000-0000DE000000}"/>
    <cellStyle name="표준 6 2 2" xfId="2207" xr:uid="{BADC6AD5-2931-47AD-AE2F-5129E7B0D44B}"/>
    <cellStyle name="표준 6 3" xfId="2208" xr:uid="{D1CF581D-BA1A-4922-9E59-E3AE6B50CEFB}"/>
    <cellStyle name="표준 6 4" xfId="2206" xr:uid="{DE18E82F-B877-4232-802C-6D9803F5EC41}"/>
    <cellStyle name="표준 60" xfId="220" xr:uid="{00000000-0005-0000-0000-0000DF000000}"/>
    <cellStyle name="표준 61" xfId="221" xr:uid="{00000000-0005-0000-0000-0000E0000000}"/>
    <cellStyle name="표준 62" xfId="222" xr:uid="{00000000-0005-0000-0000-0000E1000000}"/>
    <cellStyle name="표준 63" xfId="223" xr:uid="{00000000-0005-0000-0000-0000E2000000}"/>
    <cellStyle name="표준 64" xfId="224" xr:uid="{00000000-0005-0000-0000-0000E3000000}"/>
    <cellStyle name="표준 65" xfId="225" xr:uid="{00000000-0005-0000-0000-0000E4000000}"/>
    <cellStyle name="표준 66" xfId="226" xr:uid="{00000000-0005-0000-0000-0000E5000000}"/>
    <cellStyle name="표준 67" xfId="227" xr:uid="{00000000-0005-0000-0000-0000E6000000}"/>
    <cellStyle name="표준 68" xfId="228" xr:uid="{00000000-0005-0000-0000-0000E7000000}"/>
    <cellStyle name="표준 69" xfId="229" xr:uid="{00000000-0005-0000-0000-0000E8000000}"/>
    <cellStyle name="표준 7" xfId="230" xr:uid="{00000000-0005-0000-0000-0000E9000000}"/>
    <cellStyle name="표준 7 2" xfId="231" xr:uid="{00000000-0005-0000-0000-0000EA000000}"/>
    <cellStyle name="표준 7 2 2" xfId="2211" xr:uid="{BB4C4F54-8589-4E8B-99C0-671EEA01CE72}"/>
    <cellStyle name="표준 7 2 3" xfId="2212" xr:uid="{F2B42566-CAC8-4D74-8214-220E5E9AAEBC}"/>
    <cellStyle name="표준 7 2 4" xfId="2210" xr:uid="{451C9ABC-5E70-460D-BD1A-387B7E92B8DE}"/>
    <cellStyle name="표준 7 2 5" xfId="274" xr:uid="{D802A8EC-5F1E-4DD5-B9BE-A70040AB4095}"/>
    <cellStyle name="표준 7 3" xfId="2213" xr:uid="{D8AF7879-B2BE-4B49-91B8-C3484F70BEB3}"/>
    <cellStyle name="표준 7 4" xfId="2209" xr:uid="{922ED008-9AF8-4BB7-8FF7-71287A66820C}"/>
    <cellStyle name="표준 7 4 2" xfId="2463" xr:uid="{6A62DAF9-42AA-4698-BE21-83A135918D2D}"/>
    <cellStyle name="표준 7 5" xfId="252" xr:uid="{46825E03-1505-4BC0-B0D9-4205AD944B22}"/>
    <cellStyle name="표준 70" xfId="232" xr:uid="{00000000-0005-0000-0000-0000EB000000}"/>
    <cellStyle name="표준 71" xfId="233" xr:uid="{00000000-0005-0000-0000-0000EC000000}"/>
    <cellStyle name="표준 72" xfId="234" xr:uid="{00000000-0005-0000-0000-0000ED000000}"/>
    <cellStyle name="표준 73" xfId="247" xr:uid="{0649F2D7-260D-4C3A-AD7E-2609A3189650}"/>
    <cellStyle name="표준 74" xfId="240" xr:uid="{B33A8313-2C77-483E-A96C-F7CACC821BB7}"/>
    <cellStyle name="표준 75" xfId="2215" xr:uid="{369C9974-ECE2-41FA-A628-C19AE6830546}"/>
    <cellStyle name="표준 76" xfId="3461" xr:uid="{7D59D53D-76DC-46E7-9DB3-4522EAEEFA50}"/>
    <cellStyle name="표준 77" xfId="3456" xr:uid="{9154684E-B2B4-4019-BE84-AE99E0AE5E8B}"/>
    <cellStyle name="표준 78" xfId="3463" xr:uid="{87512E23-2859-4DD5-8F87-29EBDB7B1DA6}"/>
    <cellStyle name="표준 79" xfId="3455" xr:uid="{339C75D9-2D0B-46BA-B49E-A05EF05010A6}"/>
    <cellStyle name="표준 8" xfId="235" xr:uid="{00000000-0005-0000-0000-0000EE000000}"/>
    <cellStyle name="표준 8 2" xfId="236" xr:uid="{00000000-0005-0000-0000-0000EF000000}"/>
    <cellStyle name="표준 8 3" xfId="2216" xr:uid="{39CB6B44-8C87-46C5-95BC-6E707D0E3163}"/>
    <cellStyle name="표준 8 4" xfId="2217" xr:uid="{6ADF7A44-A8D2-41F0-AC63-5B566E425AE4}"/>
    <cellStyle name="표준 8 5" xfId="2214" xr:uid="{A71DE358-7B32-4AE0-B5E9-E7091A238381}"/>
    <cellStyle name="표준 8 5 2" xfId="2464" xr:uid="{7BB32B94-AD3A-465A-9C2D-8CD5FE09059E}"/>
    <cellStyle name="표준 8 6" xfId="253" xr:uid="{84BAC630-EAF1-43FA-89DE-93C4EE233981}"/>
    <cellStyle name="표준 80" xfId="3459" xr:uid="{20D6B4CC-6F8F-4997-B9C7-9C8B33DDAE4F}"/>
    <cellStyle name="표준 81" xfId="3460" xr:uid="{A5AD04EF-8BF5-4F3B-BF38-263B1A17A773}"/>
    <cellStyle name="표준 82" xfId="3454" xr:uid="{1F16B34D-5056-429E-BAA7-1B6415E4F171}"/>
    <cellStyle name="표준 83" xfId="3457" xr:uid="{3E66967C-0492-49E6-8AA9-F09A667EB36F}"/>
    <cellStyle name="표준 84" xfId="3462" xr:uid="{D514825F-6ACA-42E1-B5C7-AD42FECB1496}"/>
    <cellStyle name="표준 85" xfId="3465" xr:uid="{B25FBEA8-A1F9-4C00-8CAE-ADEEC1628D38}"/>
    <cellStyle name="표준 86" xfId="3464" xr:uid="{6B1E01D4-E1C6-480A-8E85-435F979ABA47}"/>
    <cellStyle name="표준 87" xfId="3458" xr:uid="{87191C7E-BEE3-4C71-93CC-6E36368B7C5E}"/>
    <cellStyle name="표준 88" xfId="3479" xr:uid="{424B7894-F385-4404-9539-F7EC82E4B136}"/>
    <cellStyle name="표준 89" xfId="3643" xr:uid="{6AB99066-31C2-47AB-9497-B58439E682E7}"/>
    <cellStyle name="표준 9" xfId="237" xr:uid="{00000000-0005-0000-0000-0000F0000000}"/>
    <cellStyle name="표준 9 2" xfId="238" xr:uid="{00000000-0005-0000-0000-0000F1000000}"/>
    <cellStyle name="표준 9 2 2" xfId="275" xr:uid="{BB6183EF-70EE-4A62-B8B4-1847CE2352DB}"/>
    <cellStyle name="표준 9 3" xfId="2219" xr:uid="{2C9D9D08-AF60-4E2A-B0B6-869CFB6B47B5}"/>
    <cellStyle name="표준 9 4" xfId="2218" xr:uid="{F7846A69-00DE-4EE3-906C-C5152E3CBCED}"/>
    <cellStyle name="표준 9 5" xfId="256" xr:uid="{98ACA732-B9A7-4B74-9427-A27F8A3A422E}"/>
    <cellStyle name="표준 9 6" xfId="3487" xr:uid="{AF677CDE-457B-4A8A-9BF9-A3933D4142B5}"/>
    <cellStyle name="표준 90" xfId="4825" xr:uid="{060C7BEA-EAC9-4A0A-A497-A7BDA69CB625}"/>
    <cellStyle name="표준 91" xfId="3551" xr:uid="{236D3499-D8D6-4714-A46E-F8A980156B77}"/>
    <cellStyle name="표준 92" xfId="3548" xr:uid="{9C284083-630B-46A7-AADE-2DE3EDCBC9E9}"/>
    <cellStyle name="표준 93" xfId="3585" xr:uid="{4ACBB3F4-A57F-44F6-8504-E503DA956EE8}"/>
    <cellStyle name="표준 94" xfId="3542" xr:uid="{9B5DCE2D-85BC-4F0A-96EF-842D380EDA09}"/>
    <cellStyle name="표준 95" xfId="3544" xr:uid="{E00686DC-677E-4A10-815A-91FAFCB30888}"/>
    <cellStyle name="표준 96" xfId="3543" xr:uid="{CED96575-8DDE-41E5-AD89-2651DD4FBF31}"/>
    <cellStyle name="표준 97" xfId="3545" xr:uid="{9C61D582-D922-4F53-97A2-42E89CD0D53F}"/>
    <cellStyle name="표준 98" xfId="3546" xr:uid="{D9A29E1F-2005-4815-A0BB-25B829E7186F}"/>
    <cellStyle name="표준 99" xfId="4828" xr:uid="{8B97549A-5A47-4C86-9178-846F40D1AB5E}"/>
    <cellStyle name="標準_#4現地工程00404" xfId="2220" xr:uid="{2E41CF50-B185-474F-B840-1AE30EE7A366}"/>
    <cellStyle name="하이퍼링크 2" xfId="239" xr:uid="{00000000-0005-0000-0000-0000F2000000}"/>
    <cellStyle name="하이퍼링크 2 2" xfId="2222" xr:uid="{DE0599D1-3E44-419A-A5A6-854507476837}"/>
    <cellStyle name="하이퍼링크 2 3" xfId="2223" xr:uid="{A6CF5760-8FD5-4587-9602-072D64166039}"/>
    <cellStyle name="하이퍼링크 2 4" xfId="2221" xr:uid="{AE291C5D-9B5E-4332-B389-DD82ACB1C37D}"/>
    <cellStyle name="하이퍼링크 3" xfId="2224" xr:uid="{E07048C2-F669-4BAC-8880-CB7207113654}"/>
    <cellStyle name="합산" xfId="2225" xr:uid="{39859880-90FC-4381-BFFE-231B84519478}"/>
    <cellStyle name="桁区切り [0.00]_LC-1100G配管接続表" xfId="2226" xr:uid="{FD5F961D-C781-4A60-A04B-9B1B8A6A6C17}"/>
    <cellStyle name="桁区切り_LC-1100G配管接続表" xfId="2227" xr:uid="{95960CF2-E54A-4E33-8D89-EE15EC2F8D8C}"/>
    <cellStyle name="解释性文本" xfId="2228" xr:uid="{C286A472-4DC5-4337-BF16-116038531553}"/>
    <cellStyle name="好" xfId="2229" xr:uid="{74BD5D62-EA2B-43D5-818A-FCB4FCD152A7}"/>
    <cellStyle name="好_B4 Utility summary code name 091104 구동호" xfId="2230" xr:uid="{3FE0D63A-B9ED-4131-B64D-F7FCE4CA0524}"/>
    <cellStyle name="好_B4 Utility summary DNP reply 091030 구동호" xfId="2231" xr:uid="{664E1A97-3D3F-48B1-9B72-643CE7FA1E96}"/>
    <cellStyle name="好_B4 Utility summary DNP reply091016 jp confirmed구동호" xfId="2232" xr:uid="{9EA58014-9E17-4B67-A735-F12CACA24D4F}"/>
    <cellStyle name="好_B4 Utility summary DNP reply091016구동효" xfId="2233" xr:uid="{C9DFAEBD-6884-481D-90F9-933B92E41E7B}"/>
    <cellStyle name="好_B4 Utility summary unit usage(20091130 DNP-3)BOE구동호" xfId="2234" xr:uid="{6CB57CC2-400B-4E75-B018-2C62B253ED1E}"/>
    <cellStyle name="好_B4 Utility summary unit usage(20091130 DNP-4)BOE" xfId="2235" xr:uid="{7FD65B58-9D49-4DBF-98FB-4794C2393DEE}"/>
    <cellStyle name="好_B4 Utility summary unit usage(20091130 DNP-4)BOE구동호" xfId="2236" xr:uid="{20EE795E-044B-4F15-8529-3B7F9C841EB1}"/>
    <cellStyle name="好_B4 Utility summary unit usage(20091216)_윤인수" xfId="2237" xr:uid="{9BD4BC0F-ECB2-4250-A81F-802B3B9488CD}"/>
    <cellStyle name="好_B4 Utility summary unit usage(20091217)_구동호" xfId="2238" xr:uid="{1BB30709-ECD3-4FEF-8403-4357B8AC6E92}"/>
    <cellStyle name="好_B4 Utility Summary(120K)_Rev.2_(091104)_ks" xfId="2239" xr:uid="{AB278C77-1946-4DFE-94DD-0DE311E4D945}"/>
    <cellStyle name="好_B4 Utility Summary(120K)_Rev.2_(091104)_ks_05-3" xfId="2240" xr:uid="{A2470C0A-74BD-4A47-9013-F8613F3B6F37}"/>
    <cellStyle name="好_B4 Utility Summary(120K)_Rev.2_(091104)_ks_BOE-DT B4 ROBOT Requirement_ 20100607_testupdate" xfId="2241" xr:uid="{1593A13D-7449-4A20-BE32-98C798B95019}"/>
    <cellStyle name="好_B4 Utility Summary(120K)_Rev.7_(100121)_Test Update" xfId="2242" xr:uid="{C2038688-E354-4D6C-8043-D1F0F4FFE82F}"/>
    <cellStyle name="好_B4 Utility Summary(120K)_Rev.7_(100121)_Test Update_05-3" xfId="2243" xr:uid="{EFC585C5-9CCC-4327-946D-143154DEE7BE}"/>
    <cellStyle name="好_B4 Utility Summary(120K)_Rev.7_(100121)_Test Update_BOE-DT B4 ROBOT Requirement_ 20100607_testupdate" xfId="2244" xr:uid="{BC1AAB6F-54F2-46E4-8A72-552357F3F889}"/>
    <cellStyle name="好_B4 Utility Summary(90K) - Rev.9 (091013)" xfId="2245" xr:uid="{AF7C6A97-9D70-4A03-A40B-49C593263AC1}"/>
    <cellStyle name="好_B4 Utility Summary_Module(90K) - Rev.8 (091012)" xfId="2246" xr:uid="{87CA60B8-8CBB-473B-9E7E-C0368C5F9E03}"/>
    <cellStyle name="好_B4 Utility Summary_Module(90K) - Rev.9 (091013)" xfId="2247" xr:uid="{B2FCB0EA-D6C8-4ED6-B8E3-A403F038486F}"/>
    <cellStyle name="화폐기호" xfId="2248" xr:uid="{87DA7019-D799-4733-BBD2-A7CE0EB61988}"/>
    <cellStyle name="화폐기호0" xfId="2249" xr:uid="{EAAB85B4-504F-4A29-AFD8-892BA5649C98}"/>
    <cellStyle name="汇总" xfId="2250" xr:uid="{7C427FE5-648B-40FC-93BA-FFC68AE2FEC0}"/>
    <cellStyle name="汇总 2" xfId="2251" xr:uid="{4F9DA880-AF38-4201-B577-0C282783B593}"/>
  </cellStyles>
  <dxfs count="15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1" defaultTableStyle="TableStyleMedium2" defaultPivotStyle="PivotStyleLight16">
    <tableStyle name="Invisible" pivot="0" table="0" count="0" xr9:uid="{23EF88EC-861E-4C8A-92FD-91D9071092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E8A2224-4A08-49CA-BD8D-E6A2400882BB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143436</xdr:colOff>
          <xdr:row>9</xdr:row>
          <xdr:rowOff>286871</xdr:rowOff>
        </xdr:from>
        <xdr:to>
          <xdr:col>13</xdr:col>
          <xdr:colOff>368889</xdr:colOff>
          <xdr:row>18</xdr:row>
          <xdr:rowOff>131445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BC2CE83-F9F5-486C-8283-675565D8DB5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X18" spid="_x0000_s403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436" y="3003177"/>
              <a:ext cx="6713884" cy="258777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94DDB3A1-BA9C-4B96-8E8E-9E2E5DB94418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101303</xdr:colOff>
          <xdr:row>11</xdr:row>
          <xdr:rowOff>229607</xdr:rowOff>
        </xdr:from>
        <xdr:to>
          <xdr:col>13</xdr:col>
          <xdr:colOff>644227</xdr:colOff>
          <xdr:row>17</xdr:row>
          <xdr:rowOff>287541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3FADDFF9-560E-414E-B148-3054D71E10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20" spid="_x0000_s509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303" y="3546548"/>
              <a:ext cx="7063291" cy="187328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48B0FE6E-A6A0-4890-9CA5-48B65292891D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101526</xdr:colOff>
          <xdr:row>9</xdr:row>
          <xdr:rowOff>275105</xdr:rowOff>
        </xdr:from>
        <xdr:to>
          <xdr:col>13</xdr:col>
          <xdr:colOff>511877</xdr:colOff>
          <xdr:row>18</xdr:row>
          <xdr:rowOff>131109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989B8478-26DC-42A0-BDE4-E274124ECF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19" spid="_x0000_s301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1526" y="2986929"/>
              <a:ext cx="6778878" cy="25676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3BE1D0B-32E8-4D17-93D2-35B5FFA59020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98612</xdr:colOff>
          <xdr:row>8</xdr:row>
          <xdr:rowOff>62752</xdr:rowOff>
        </xdr:from>
        <xdr:to>
          <xdr:col>13</xdr:col>
          <xdr:colOff>401387</xdr:colOff>
          <xdr:row>30</xdr:row>
          <xdr:rowOff>116541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7FD8A483-4957-4B05-8474-E1B5E1EC93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8:$Z38" spid="_x0000_s32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8612" y="2474258"/>
              <a:ext cx="6717694" cy="69476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450FAC0F-6833-4FAD-8DB1-3C4231D2FBC2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26224</xdr:colOff>
          <xdr:row>8</xdr:row>
          <xdr:rowOff>69139</xdr:rowOff>
        </xdr:from>
        <xdr:to>
          <xdr:col>13</xdr:col>
          <xdr:colOff>474233</xdr:colOff>
          <xdr:row>18</xdr:row>
          <xdr:rowOff>207421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14233FE7-8B4A-47C6-81B3-7AEE2F2847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17" spid="_x0000_s342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224" y="2478404"/>
              <a:ext cx="6719717" cy="31581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F95A8C-2A71-4E00-AE37-97D566174C2B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136376</xdr:colOff>
          <xdr:row>9</xdr:row>
          <xdr:rowOff>29808</xdr:rowOff>
        </xdr:from>
        <xdr:to>
          <xdr:col>13</xdr:col>
          <xdr:colOff>571724</xdr:colOff>
          <xdr:row>18</xdr:row>
          <xdr:rowOff>59839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13F9EB29-3F57-4B85-B7A6-4772AE0271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19" spid="_x0000_s219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6376" y="2741632"/>
              <a:ext cx="6945966" cy="27492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108EEAAA-E221-4604-B7C6-DA02D325516D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233417</xdr:rowOff>
        </xdr:from>
        <xdr:to>
          <xdr:col>14</xdr:col>
          <xdr:colOff>4258</xdr:colOff>
          <xdr:row>18</xdr:row>
          <xdr:rowOff>263448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7942EAB1-B6EA-47E1-88B6-9BC6B9DE2F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21" spid="_x0000_s291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2945241"/>
              <a:ext cx="6951681" cy="27530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BACD75B6-BCFF-4197-A84F-BBC4D99E28D7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112059</xdr:colOff>
          <xdr:row>10</xdr:row>
          <xdr:rowOff>93457</xdr:rowOff>
        </xdr:from>
        <xdr:to>
          <xdr:col>14</xdr:col>
          <xdr:colOff>448</xdr:colOff>
          <xdr:row>17</xdr:row>
          <xdr:rowOff>302558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A5EB23BD-E558-4E13-A0E4-D074EFF32C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15" spid="_x0000_s31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2059" y="3107839"/>
              <a:ext cx="6955491" cy="232701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3BACEF7-8467-436C-84E7-322280240932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44823</xdr:colOff>
          <xdr:row>10</xdr:row>
          <xdr:rowOff>291354</xdr:rowOff>
        </xdr:from>
        <xdr:to>
          <xdr:col>13</xdr:col>
          <xdr:colOff>551217</xdr:colOff>
          <xdr:row>17</xdr:row>
          <xdr:rowOff>169545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930F3A0F-7578-40D9-A591-0A645BD3FF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X14" spid="_x0000_s281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4823" y="3305736"/>
              <a:ext cx="6959301" cy="232320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82697A76-7630-4BED-84CE-4E341F456361}"/>
            </a:ext>
          </a:extLst>
        </xdr:cNvPr>
        <xdr:cNvCxnSpPr/>
      </xdr:nvCxnSpPr>
      <xdr:spPr>
        <a:xfrm>
          <a:off x="2193290" y="2201545"/>
          <a:ext cx="29698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11206</xdr:colOff>
          <xdr:row>9</xdr:row>
          <xdr:rowOff>168088</xdr:rowOff>
        </xdr:from>
        <xdr:to>
          <xdr:col>13</xdr:col>
          <xdr:colOff>510652</xdr:colOff>
          <xdr:row>17</xdr:row>
          <xdr:rowOff>53676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FC2C11AE-6AF5-47EC-8525-ECAF47A49E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X13" spid="_x0000_s333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206" y="2879912"/>
              <a:ext cx="6966921" cy="23136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7</xdr:row>
      <xdr:rowOff>107950</xdr:rowOff>
    </xdr:from>
    <xdr:to>
      <xdr:col>10</xdr:col>
      <xdr:colOff>282575</xdr:colOff>
      <xdr:row>7</xdr:row>
      <xdr:rowOff>107950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2130425" y="2203450"/>
          <a:ext cx="2876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130661</xdr:colOff>
          <xdr:row>12</xdr:row>
          <xdr:rowOff>58159</xdr:rowOff>
        </xdr:from>
        <xdr:to>
          <xdr:col>14</xdr:col>
          <xdr:colOff>168089</xdr:colOff>
          <xdr:row>14</xdr:row>
          <xdr:rowOff>134470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452C0CF0-C341-0E1F-7B54-CD27BE79B4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:$Z$12" spid="_x0000_s25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0661" y="3677659"/>
              <a:ext cx="7041104" cy="6776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51204;&#49324;&#47928;&#49436;&#54632;\&#45824;&#49888;&#44552;&#49549;(&#51452;)\&#51648;&#50896;&#48512;&#49436;\&#51116;&#47924;&#49892;\&#50980;&#55148;&#49849;\&#50980;&#55148;&#49849;&#51089;&#50629;&#54260;&#45908;\&#54644;&#50808;&#47588;&#52636;&#47560;&#44048;\9&#50900;&#47560;&#44048;\&#54644;&#50808;\2026&#45380;%20&#49688;&#52636;%20(2026.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1 (갑)"/>
      <sheetName val="24.02 (갑)"/>
      <sheetName val="24.03 (갑)"/>
      <sheetName val="24.04 (갑)"/>
      <sheetName val="24.05 (갑)"/>
      <sheetName val="24.06 (갑)"/>
      <sheetName val="24.07 (갑) "/>
      <sheetName val="24.08 (갑) "/>
      <sheetName val="24.09 (갑)"/>
      <sheetName val="24.10 (갑)"/>
      <sheetName val="24.11 (갑)"/>
      <sheetName val="Sheet3"/>
      <sheetName val="24.12 (갑) "/>
      <sheetName val="Sheet4"/>
      <sheetName val="25.01 (갑) "/>
      <sheetName val="25.02 (갑) "/>
      <sheetName val="25.03 (갑)"/>
      <sheetName val="25.04 (갑)"/>
      <sheetName val="25.05 (갑)"/>
      <sheetName val="25.06 (갑)"/>
      <sheetName val="25.7 (갑)"/>
      <sheetName val="25.8 (갑)"/>
      <sheetName val="25.9 (갑)"/>
      <sheetName val="25.10 (갑) "/>
      <sheetName val="25.11 (갑)"/>
      <sheetName val="25.12 (갑)"/>
      <sheetName val="26.01 (갑)"/>
      <sheetName val="26.02 (갑)"/>
      <sheetName val="26.02(NEW)"/>
      <sheetName val="26.03(NEW)"/>
      <sheetName val="26.04(NEW)"/>
      <sheetName val="26.05(NEW)"/>
      <sheetName val="26.06(NEW)"/>
      <sheetName val="26.07(NEW)"/>
      <sheetName val="26.08(NEW)"/>
      <sheetName val="26.09(NEW)"/>
      <sheetName val="환율"/>
      <sheetName val="Sheet6"/>
      <sheetName val="Sheet5"/>
      <sheetName val="면장 검토 (2)"/>
      <sheetName val="Sheet1 (2)"/>
      <sheetName val="면장 검토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9">
          <cell r="C29" t="str">
            <v>Invoice</v>
          </cell>
          <cell r="D29" t="str">
            <v>면장번호</v>
          </cell>
        </row>
        <row r="31">
          <cell r="C31" t="str">
            <v>DSM2608-SK05</v>
          </cell>
          <cell r="D31" t="str">
            <v>41072-26-702348X</v>
          </cell>
        </row>
        <row r="32">
          <cell r="C32" t="str">
            <v>DSM2609-SK01</v>
          </cell>
          <cell r="D32" t="str">
            <v>41072-26-702439X</v>
          </cell>
        </row>
        <row r="33">
          <cell r="C33" t="str">
            <v>DSM2609-SK02</v>
          </cell>
          <cell r="D33" t="str">
            <v>41072-26-702583X</v>
          </cell>
        </row>
        <row r="34">
          <cell r="C34" t="str">
            <v>DSM2609-SK03</v>
          </cell>
          <cell r="D34" t="str">
            <v>41072-26-702665X</v>
          </cell>
        </row>
        <row r="35">
          <cell r="C35" t="str">
            <v>DSM2609-SK04</v>
          </cell>
          <cell r="D35" t="str">
            <v>41072-26-702741X</v>
          </cell>
        </row>
        <row r="36">
          <cell r="C36" t="str">
            <v>DSM2509-JS01</v>
          </cell>
          <cell r="D36" t="str">
            <v>41072-26-702465X</v>
          </cell>
        </row>
        <row r="37">
          <cell r="C37" t="str">
            <v>DSM2509-JS02</v>
          </cell>
          <cell r="D37" t="str">
            <v>41072-26-702629X</v>
          </cell>
        </row>
        <row r="38">
          <cell r="C38" t="str">
            <v>DSM2509-JS03</v>
          </cell>
          <cell r="D38" t="str">
            <v>41072-26-702700X</v>
          </cell>
        </row>
        <row r="39">
          <cell r="C39" t="str">
            <v xml:space="preserve">DSM2609-SE01 </v>
          </cell>
          <cell r="D39" t="str">
            <v xml:space="preserve">41072-26-702473X </v>
          </cell>
        </row>
        <row r="40">
          <cell r="C40" t="str">
            <v>2608P02</v>
          </cell>
          <cell r="D40" t="str">
            <v>41072-26-702010X</v>
          </cell>
        </row>
        <row r="41">
          <cell r="C41" t="str">
            <v>2608P04</v>
          </cell>
          <cell r="D41" t="str">
            <v>41072-26-702183X</v>
          </cell>
        </row>
        <row r="42">
          <cell r="C42" t="str">
            <v>2608P06</v>
          </cell>
          <cell r="D42" t="str">
            <v>41072-26-702340X</v>
          </cell>
        </row>
        <row r="43">
          <cell r="C43" t="str">
            <v>2609P02</v>
          </cell>
          <cell r="D43" t="str">
            <v>41072-26-702487X</v>
          </cell>
        </row>
        <row r="44">
          <cell r="C44" t="str">
            <v>2609P04</v>
          </cell>
          <cell r="D44" t="str">
            <v>41072-26-702638X</v>
          </cell>
        </row>
        <row r="45">
          <cell r="C45" t="str">
            <v>2609P01</v>
          </cell>
          <cell r="D45" t="str">
            <v>41072-26-702486X</v>
          </cell>
        </row>
        <row r="46">
          <cell r="C46" t="str">
            <v>2609P03</v>
          </cell>
          <cell r="D46" t="str">
            <v>41072-26-702529X</v>
          </cell>
        </row>
        <row r="47">
          <cell r="C47" t="str">
            <v>2609P05</v>
          </cell>
          <cell r="D47" t="str">
            <v>41072-26-702492X</v>
          </cell>
        </row>
        <row r="48">
          <cell r="C48" t="str">
            <v>2609P06</v>
          </cell>
          <cell r="D48" t="str">
            <v>41072-26-702771X</v>
          </cell>
        </row>
        <row r="49">
          <cell r="C49" t="str">
            <v>2609P07</v>
          </cell>
          <cell r="D49" t="str">
            <v>41072-26-702488X</v>
          </cell>
        </row>
        <row r="50">
          <cell r="C50" t="str">
            <v>DSM2608-04</v>
          </cell>
          <cell r="D50" t="str">
            <v>41072-26-702170X</v>
          </cell>
        </row>
        <row r="51">
          <cell r="C51" t="str">
            <v>DSM2608-05</v>
          </cell>
          <cell r="D51" t="str">
            <v>41072-26-702171X</v>
          </cell>
        </row>
        <row r="52">
          <cell r="C52" t="str">
            <v>DSM2608-06</v>
          </cell>
          <cell r="D52" t="str">
            <v>41072-26-702073X</v>
          </cell>
        </row>
        <row r="53">
          <cell r="C53" t="str">
            <v>DSM2608-07</v>
          </cell>
          <cell r="D53" t="str">
            <v>41072-26-702074X</v>
          </cell>
        </row>
        <row r="54">
          <cell r="C54" t="str">
            <v>DSM2608-08</v>
          </cell>
          <cell r="D54" t="str">
            <v>41072-26-702172X</v>
          </cell>
        </row>
        <row r="55">
          <cell r="C55" t="str">
            <v>DSM2608-09</v>
          </cell>
          <cell r="D55" t="str">
            <v>41072-26-702075X</v>
          </cell>
        </row>
        <row r="56">
          <cell r="C56" t="str">
            <v>DSM2608-10</v>
          </cell>
          <cell r="D56" t="str">
            <v>41072-26-702173X</v>
          </cell>
        </row>
        <row r="57">
          <cell r="C57" t="str">
            <v>DSM2608-11</v>
          </cell>
          <cell r="D57" t="str">
            <v>41072-26-702174X</v>
          </cell>
        </row>
        <row r="58">
          <cell r="C58" t="str">
            <v>DSM2608-12</v>
          </cell>
          <cell r="D58" t="str">
            <v>41072-26-702175X</v>
          </cell>
        </row>
        <row r="59">
          <cell r="C59" t="str">
            <v>DSM2608-13</v>
          </cell>
          <cell r="D59" t="str">
            <v>41072-26-702076X</v>
          </cell>
        </row>
        <row r="60">
          <cell r="C60" t="str">
            <v>DSM2608-14</v>
          </cell>
          <cell r="D60" t="str">
            <v>41072-26-702176X</v>
          </cell>
        </row>
        <row r="61">
          <cell r="C61" t="str">
            <v>DSM2608-15</v>
          </cell>
          <cell r="D61" t="str">
            <v>41072-26-702306X</v>
          </cell>
        </row>
        <row r="62">
          <cell r="C62" t="str">
            <v>DSM2608-16</v>
          </cell>
          <cell r="D62" t="str">
            <v>41072-26-702307X</v>
          </cell>
        </row>
        <row r="63">
          <cell r="C63" t="str">
            <v>DSM2608-17</v>
          </cell>
          <cell r="D63" t="str">
            <v>41072-26-702308X</v>
          </cell>
        </row>
        <row r="64">
          <cell r="C64" t="str">
            <v>DSM2608-18</v>
          </cell>
          <cell r="D64" t="str">
            <v>41072-26-702309X</v>
          </cell>
        </row>
        <row r="65">
          <cell r="C65" t="str">
            <v>DSM2608-19</v>
          </cell>
          <cell r="D65" t="str">
            <v>41072-26-201550X</v>
          </cell>
        </row>
        <row r="66">
          <cell r="C66" t="str">
            <v>DSM2608-20</v>
          </cell>
          <cell r="D66" t="str">
            <v>41072-26-702310X</v>
          </cell>
        </row>
        <row r="67">
          <cell r="C67" t="str">
            <v>DSM2608-21</v>
          </cell>
          <cell r="D67" t="str">
            <v>41072-26-702334X</v>
          </cell>
        </row>
        <row r="68">
          <cell r="C68" t="str">
            <v>DSM2609-01</v>
          </cell>
          <cell r="D68" t="str">
            <v>41072-26-702429X</v>
          </cell>
        </row>
        <row r="69">
          <cell r="C69" t="str">
            <v>DSM2609-02</v>
          </cell>
          <cell r="D69" t="str">
            <v>41072-26-702430X</v>
          </cell>
        </row>
        <row r="70">
          <cell r="C70" t="str">
            <v>DSM2609-03</v>
          </cell>
          <cell r="D70" t="str">
            <v>41072-26-702489X</v>
          </cell>
        </row>
        <row r="71">
          <cell r="C71" t="str">
            <v>DSM2609-04</v>
          </cell>
          <cell r="D71" t="str">
            <v>41072-26-702490X</v>
          </cell>
        </row>
        <row r="72">
          <cell r="C72" t="str">
            <v>DSM2609-08</v>
          </cell>
          <cell r="D72" t="str">
            <v>41072-26-702565X</v>
          </cell>
        </row>
        <row r="73">
          <cell r="C73" t="str">
            <v>DSM2609-09</v>
          </cell>
          <cell r="D73" t="str">
            <v>41072-26-702431X</v>
          </cell>
        </row>
        <row r="74">
          <cell r="C74" t="str">
            <v>DSM2609-12</v>
          </cell>
          <cell r="D74" t="str">
            <v>41072-26-201636X</v>
          </cell>
        </row>
        <row r="75">
          <cell r="C75" t="str">
            <v>DSM2609-21</v>
          </cell>
          <cell r="D75" t="str">
            <v>41072-26-702580X</v>
          </cell>
        </row>
        <row r="76">
          <cell r="C76" t="str">
            <v>DSM2609-SAMPLE1(툴링비)</v>
          </cell>
          <cell r="D76" t="str">
            <v>툴링비</v>
          </cell>
        </row>
        <row r="77">
          <cell r="C77" t="str">
            <v>DSM2609-05</v>
          </cell>
          <cell r="D77" t="str">
            <v>41072-26-702562X</v>
          </cell>
        </row>
        <row r="78">
          <cell r="C78" t="str">
            <v>DSM2609-06</v>
          </cell>
          <cell r="D78" t="str">
            <v>41072-26-702563X</v>
          </cell>
        </row>
        <row r="79">
          <cell r="C79" t="str">
            <v>DSM2609-07</v>
          </cell>
          <cell r="D79" t="str">
            <v>41072-26-702564X</v>
          </cell>
        </row>
        <row r="80">
          <cell r="C80" t="str">
            <v>DSM2609-10</v>
          </cell>
          <cell r="D80" t="str">
            <v>41072-26-702566X</v>
          </cell>
        </row>
        <row r="81">
          <cell r="C81" t="str">
            <v>DSM2609-13</v>
          </cell>
          <cell r="D81" t="str">
            <v>41072-26-201637X</v>
          </cell>
        </row>
        <row r="82">
          <cell r="C82" t="str">
            <v>DSM2609-14</v>
          </cell>
          <cell r="D82" t="str">
            <v>41072-26-201638X</v>
          </cell>
        </row>
        <row r="83">
          <cell r="C83" t="str">
            <v>DSM2609-15</v>
          </cell>
          <cell r="D83" t="str">
            <v>41072-26-201639X</v>
          </cell>
        </row>
        <row r="84">
          <cell r="C84" t="str">
            <v>DSM2609-16</v>
          </cell>
          <cell r="D84" t="str">
            <v>41072-26-201640X</v>
          </cell>
        </row>
        <row r="85">
          <cell r="C85" t="str">
            <v>DSM2609-18</v>
          </cell>
          <cell r="D85" t="str">
            <v>41072-26-702718X</v>
          </cell>
        </row>
        <row r="86">
          <cell r="C86" t="str">
            <v>DSM2609-19</v>
          </cell>
          <cell r="D86" t="str">
            <v>41072-26-702719X</v>
          </cell>
        </row>
        <row r="87">
          <cell r="C87" t="str">
            <v>DSM2609-20</v>
          </cell>
          <cell r="D87" t="str">
            <v>41072-26-702720X</v>
          </cell>
        </row>
        <row r="88">
          <cell r="C88" t="str">
            <v>DSM2609-MC01</v>
          </cell>
          <cell r="D88" t="str">
            <v>41072-26-702435X</v>
          </cell>
        </row>
        <row r="89">
          <cell r="C89" t="str">
            <v>DSM2609-MC02</v>
          </cell>
          <cell r="D89" t="str">
            <v>41072-26-702561X</v>
          </cell>
        </row>
        <row r="90">
          <cell r="C90" t="str">
            <v>DSM2609-MC03</v>
          </cell>
          <cell r="D90" t="str">
            <v>41072-26-702728X</v>
          </cell>
        </row>
        <row r="91">
          <cell r="C91" t="str">
            <v>DSM2609-R01</v>
          </cell>
          <cell r="D91" t="str">
            <v>41072-26-702484X</v>
          </cell>
        </row>
        <row r="92">
          <cell r="C92" t="str">
            <v>DSM2609-R02</v>
          </cell>
          <cell r="D92" t="str">
            <v>41072-26-201642X</v>
          </cell>
        </row>
        <row r="93">
          <cell r="C93" t="str">
            <v>DSM2609-R03</v>
          </cell>
          <cell r="D93" t="str">
            <v>41072-26-702849X</v>
          </cell>
        </row>
        <row r="94">
          <cell r="C94" t="str">
            <v>DSM2609-R04</v>
          </cell>
          <cell r="D94" t="str">
            <v>41072-26-702795X</v>
          </cell>
        </row>
        <row r="95">
          <cell r="C95" t="str">
            <v>DSM2608-AL05</v>
          </cell>
          <cell r="D95" t="str">
            <v>41072-26-702341X</v>
          </cell>
        </row>
        <row r="96">
          <cell r="C96" t="str">
            <v>DSM2609-AL01</v>
          </cell>
          <cell r="D96" t="str">
            <v>41072-26-702438X</v>
          </cell>
        </row>
        <row r="97">
          <cell r="C97" t="str">
            <v>DSM2609-AL02</v>
          </cell>
          <cell r="D97" t="str">
            <v>41072-26-702543X</v>
          </cell>
        </row>
        <row r="98">
          <cell r="C98" t="str">
            <v>DSM2609-AL03</v>
          </cell>
          <cell r="D98" t="str">
            <v>41072-26-702570X</v>
          </cell>
        </row>
        <row r="99">
          <cell r="C99" t="str">
            <v>DSM2609-AL04</v>
          </cell>
          <cell r="D99" t="str">
            <v>41072-26-702727X</v>
          </cell>
        </row>
        <row r="100">
          <cell r="C100" t="str">
            <v>DSM2609-AL06</v>
          </cell>
          <cell r="D100" t="str">
            <v>41072-26-702677X</v>
          </cell>
        </row>
        <row r="101">
          <cell r="C101" t="str">
            <v>DSM2609-AL07</v>
          </cell>
          <cell r="D101" t="str">
            <v>41072-26-702716X</v>
          </cell>
        </row>
        <row r="102">
          <cell r="C102" t="str">
            <v>8월 오기재DSM2608-AL03(관세)</v>
          </cell>
          <cell r="D102" t="str">
            <v>관세</v>
          </cell>
        </row>
        <row r="103">
          <cell r="C103" t="str">
            <v>DSM2608-AL05(관세)</v>
          </cell>
          <cell r="D103" t="str">
            <v>관세</v>
          </cell>
        </row>
        <row r="104">
          <cell r="C104" t="str">
            <v>DSM2609-AL01(관세)</v>
          </cell>
          <cell r="D104" t="str">
            <v>관세</v>
          </cell>
        </row>
        <row r="105">
          <cell r="C105" t="str">
            <v>DSM2609-AL02(관세)</v>
          </cell>
          <cell r="D105" t="str">
            <v>관세</v>
          </cell>
        </row>
        <row r="106">
          <cell r="C106" t="str">
            <v>DSM2609-AL03(관세)</v>
          </cell>
          <cell r="D106" t="str">
            <v>관세</v>
          </cell>
        </row>
        <row r="107">
          <cell r="C107" t="str">
            <v>DSM2609-AL04(관세)</v>
          </cell>
          <cell r="D107" t="str">
            <v>관세</v>
          </cell>
        </row>
        <row r="108">
          <cell r="C108" t="str">
            <v>DSM2609-AL06(관세)</v>
          </cell>
          <cell r="D108" t="str">
            <v>관세</v>
          </cell>
        </row>
        <row r="109">
          <cell r="C109" t="str">
            <v>DSM2609-AL07(관세)</v>
          </cell>
          <cell r="D109" t="str">
            <v>관세</v>
          </cell>
        </row>
        <row r="110">
          <cell r="C110" t="str">
            <v>DSM2608-AL06</v>
          </cell>
          <cell r="D110" t="str">
            <v>41072-26-702346X</v>
          </cell>
        </row>
        <row r="111">
          <cell r="C111" t="str">
            <v>DSM2609-AL09</v>
          </cell>
          <cell r="D111" t="str">
            <v>41072-26-702792X</v>
          </cell>
        </row>
        <row r="112">
          <cell r="C112" t="str">
            <v>DSM2608-SM02</v>
          </cell>
          <cell r="D112" t="str">
            <v>41129-26-080188X</v>
          </cell>
        </row>
        <row r="113">
          <cell r="C113" t="str">
            <v>DSM2609-SM01</v>
          </cell>
          <cell r="D113" t="str">
            <v>41129-26-090105X</v>
          </cell>
        </row>
        <row r="114">
          <cell r="C114" t="str">
            <v>DSM2609-SM03</v>
          </cell>
          <cell r="D114" t="str">
            <v>41129-26-090201X</v>
          </cell>
        </row>
        <row r="115">
          <cell r="C115" t="str">
            <v>DSM2609-SM04</v>
          </cell>
          <cell r="D115" t="str">
            <v>41129-26-090282X</v>
          </cell>
        </row>
        <row r="116">
          <cell r="C116" t="str">
            <v>DSM2609-EM01</v>
          </cell>
          <cell r="D116" t="str">
            <v>41072-26-702374X</v>
          </cell>
        </row>
        <row r="117">
          <cell r="C117" t="str">
            <v>DSM2609-EM02</v>
          </cell>
          <cell r="D117" t="str">
            <v>41072-26-702427X</v>
          </cell>
        </row>
        <row r="118">
          <cell r="C118" t="str">
            <v>DSM2609-EM03</v>
          </cell>
          <cell r="D118" t="str">
            <v>41072-26-702428X</v>
          </cell>
        </row>
        <row r="119">
          <cell r="C119" t="str">
            <v>DSM2609-EM04</v>
          </cell>
          <cell r="D119" t="str">
            <v>41072-26-702637X</v>
          </cell>
        </row>
        <row r="120">
          <cell r="C120" t="str">
            <v>DSM2609-EM05</v>
          </cell>
          <cell r="D120" t="str">
            <v>41072-26-702509X</v>
          </cell>
        </row>
        <row r="121">
          <cell r="C121" t="str">
            <v>DSM2609-EM06</v>
          </cell>
          <cell r="D121" t="str">
            <v>41072-26-702508X</v>
          </cell>
        </row>
        <row r="122">
          <cell r="C122" t="str">
            <v>DSM2609-EM08</v>
          </cell>
          <cell r="D122" t="str">
            <v>41072-26-702540X</v>
          </cell>
        </row>
        <row r="123">
          <cell r="C123" t="str">
            <v>DSM2609-EM07</v>
          </cell>
          <cell r="D123" t="str">
            <v>41072-26-702539X</v>
          </cell>
        </row>
        <row r="124">
          <cell r="C124" t="str">
            <v>DSM2609-EM09</v>
          </cell>
          <cell r="D124" t="str">
            <v>41072-26-702756X</v>
          </cell>
        </row>
        <row r="125">
          <cell r="C125" t="str">
            <v>DSM2608-AM02</v>
          </cell>
          <cell r="D125" t="str">
            <v>20576-26-080599X</v>
          </cell>
        </row>
        <row r="126">
          <cell r="C126" t="str">
            <v>DSM2608-AM03</v>
          </cell>
          <cell r="D126" t="str">
            <v>20576-26-090059X</v>
          </cell>
        </row>
        <row r="127">
          <cell r="C127" t="str">
            <v>DSM2609-AM01</v>
          </cell>
          <cell r="D127" t="str">
            <v>20576-26-090160X</v>
          </cell>
        </row>
        <row r="128">
          <cell r="C128" t="str">
            <v>DSM2609-AM02</v>
          </cell>
          <cell r="D128" t="str">
            <v>20576-26-090233X</v>
          </cell>
        </row>
        <row r="129">
          <cell r="C129" t="str">
            <v>DSM2609-AM03</v>
          </cell>
          <cell r="D129" t="str">
            <v>20576-26-090564X</v>
          </cell>
        </row>
        <row r="130">
          <cell r="C130" t="str">
            <v>DSM2609-AM04</v>
          </cell>
        </row>
        <row r="131">
          <cell r="C131" t="str">
            <v>DSM2609-AT02</v>
          </cell>
          <cell r="D131" t="str">
            <v>전자세금계산서</v>
          </cell>
        </row>
        <row r="132">
          <cell r="C132" t="str">
            <v>DSM2609-AT01</v>
          </cell>
          <cell r="D132" t="str">
            <v>전자세금계산서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278C-7AB9-4E74-9BDF-6AE596762EE7}">
  <sheetPr codeName="Sheet2">
    <tabColor theme="0"/>
  </sheetPr>
  <dimension ref="A1:X75"/>
  <sheetViews>
    <sheetView view="pageLayout" topLeftCell="A7" zoomScale="85" zoomScaleNormal="100" zoomScalePageLayoutView="85" workbookViewId="0">
      <selection activeCell="X18" sqref="X18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4" style="1" customWidth="1"/>
    <col min="11" max="14" width="8.09765625" style="1" customWidth="1"/>
    <col min="15" max="15" width="15.19921875" style="1" customWidth="1"/>
    <col min="16" max="16" width="15.59765625" style="1" bestFit="1" customWidth="1"/>
    <col min="17" max="22" width="13.3984375" style="1" customWidth="1"/>
    <col min="23" max="23" width="15.19921875" style="1" customWidth="1"/>
    <col min="24" max="24" width="13.3984375" style="1" customWidth="1"/>
    <col min="25" max="25" width="15.5" style="1" customWidth="1"/>
    <col min="26" max="16384" width="9" style="1"/>
  </cols>
  <sheetData>
    <row r="1" spans="1:24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4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4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4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4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4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4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4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4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5" t="s">
        <v>39</v>
      </c>
      <c r="P11" s="90" t="s">
        <v>31</v>
      </c>
      <c r="Q11" s="24" t="s">
        <v>32</v>
      </c>
      <c r="R11" s="24" t="s">
        <v>33</v>
      </c>
      <c r="S11" s="24" t="s">
        <v>34</v>
      </c>
      <c r="T11" s="25" t="s">
        <v>43</v>
      </c>
      <c r="U11" s="24" t="s">
        <v>42</v>
      </c>
      <c r="V11" s="25" t="s">
        <v>56</v>
      </c>
      <c r="W11" s="25" t="s">
        <v>55</v>
      </c>
      <c r="X11" s="25" t="s">
        <v>44</v>
      </c>
    </row>
    <row r="12" spans="1:24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62" t="s">
        <v>63</v>
      </c>
      <c r="P12" s="40" t="s">
        <v>64</v>
      </c>
      <c r="Q12" s="35">
        <v>46240</v>
      </c>
      <c r="R12" s="30">
        <v>1424.8</v>
      </c>
      <c r="S12" s="39">
        <v>9860</v>
      </c>
      <c r="T12" s="61">
        <v>14048528</v>
      </c>
      <c r="U12" s="54">
        <v>9287914</v>
      </c>
      <c r="V12" s="54"/>
      <c r="W12" s="54">
        <f>T12-U12</f>
        <v>4760614</v>
      </c>
      <c r="X12" s="54">
        <f t="shared" ref="X12:X17" si="0">SUM(U12:W12)</f>
        <v>14048528</v>
      </c>
    </row>
    <row r="13" spans="1:24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62" t="s">
        <v>60</v>
      </c>
      <c r="P13" s="40" t="s">
        <v>65</v>
      </c>
      <c r="Q13" s="35">
        <v>46240</v>
      </c>
      <c r="R13" s="30">
        <v>1424.8</v>
      </c>
      <c r="S13" s="39">
        <v>40890</v>
      </c>
      <c r="T13" s="61">
        <v>58260072</v>
      </c>
      <c r="U13" s="54">
        <v>4146168</v>
      </c>
      <c r="V13" s="54"/>
      <c r="W13" s="54">
        <f t="shared" ref="W13:W17" si="1">T13-U13</f>
        <v>54113904</v>
      </c>
      <c r="X13" s="54">
        <f t="shared" si="0"/>
        <v>58260072</v>
      </c>
    </row>
    <row r="14" spans="1:24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62" t="s">
        <v>60</v>
      </c>
      <c r="P14" s="40" t="s">
        <v>66</v>
      </c>
      <c r="Q14" s="35">
        <v>46241</v>
      </c>
      <c r="R14" s="30">
        <v>1418.8</v>
      </c>
      <c r="S14" s="39">
        <v>4650</v>
      </c>
      <c r="T14" s="61">
        <v>6597420</v>
      </c>
      <c r="U14" s="54"/>
      <c r="V14" s="54"/>
      <c r="W14" s="54">
        <f t="shared" si="1"/>
        <v>6597420</v>
      </c>
      <c r="X14" s="54">
        <f t="shared" si="0"/>
        <v>6597420</v>
      </c>
    </row>
    <row r="15" spans="1:24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62" t="s">
        <v>60</v>
      </c>
      <c r="P15" s="40" t="s">
        <v>67</v>
      </c>
      <c r="Q15" s="35">
        <v>46244</v>
      </c>
      <c r="R15" s="30">
        <v>1420.1</v>
      </c>
      <c r="S15" s="39">
        <v>57735</v>
      </c>
      <c r="T15" s="61">
        <v>81989473</v>
      </c>
      <c r="U15" s="54">
        <v>33230340</v>
      </c>
      <c r="V15" s="54"/>
      <c r="W15" s="54">
        <f t="shared" si="1"/>
        <v>48759133</v>
      </c>
      <c r="X15" s="54">
        <f t="shared" si="0"/>
        <v>81989473</v>
      </c>
    </row>
    <row r="16" spans="1:24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62" t="s">
        <v>60</v>
      </c>
      <c r="P16" s="40" t="s">
        <v>68</v>
      </c>
      <c r="Q16" s="35">
        <v>46255</v>
      </c>
      <c r="R16" s="30">
        <v>1393</v>
      </c>
      <c r="S16" s="39">
        <v>33690</v>
      </c>
      <c r="T16" s="61">
        <v>46930170</v>
      </c>
      <c r="U16" s="54">
        <v>40661670</v>
      </c>
      <c r="V16" s="54"/>
      <c r="W16" s="54">
        <f t="shared" si="1"/>
        <v>6268500</v>
      </c>
      <c r="X16" s="54">
        <f t="shared" si="0"/>
        <v>46930170</v>
      </c>
    </row>
    <row r="17" spans="1:24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62" t="s">
        <v>60</v>
      </c>
      <c r="P17" s="40" t="s">
        <v>69</v>
      </c>
      <c r="Q17" s="35">
        <v>46255</v>
      </c>
      <c r="R17" s="30">
        <v>1393</v>
      </c>
      <c r="S17" s="39">
        <v>2900</v>
      </c>
      <c r="T17" s="61">
        <v>4039700</v>
      </c>
      <c r="U17" s="54"/>
      <c r="V17" s="54"/>
      <c r="W17" s="54">
        <f t="shared" si="1"/>
        <v>4039700</v>
      </c>
      <c r="X17" s="54">
        <f t="shared" si="0"/>
        <v>4039700</v>
      </c>
    </row>
    <row r="18" spans="1:24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33"/>
      <c r="P18" s="32"/>
      <c r="Q18" s="33"/>
      <c r="R18" s="32"/>
      <c r="S18" s="78">
        <f>SUM(S12:S17)</f>
        <v>149725</v>
      </c>
      <c r="T18" s="79">
        <f>SUM(T12:T17)</f>
        <v>211865363</v>
      </c>
      <c r="U18" s="42">
        <f>SUM(U12:U17)</f>
        <v>87326092</v>
      </c>
      <c r="V18" s="42"/>
      <c r="W18" s="42">
        <f>SUM(W12:W17)</f>
        <v>124539271</v>
      </c>
      <c r="X18" s="42">
        <f>SUM(U18:W18)</f>
        <v>211865363</v>
      </c>
    </row>
    <row r="19" spans="1:24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21"/>
      <c r="P19" s="21"/>
      <c r="Q19" s="21"/>
    </row>
    <row r="20" spans="1:24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27"/>
      <c r="P20" s="27"/>
      <c r="Q20" s="27"/>
    </row>
    <row r="21" spans="1:24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22"/>
      <c r="P21" s="22"/>
      <c r="Q21" s="22"/>
      <c r="U21" s="11"/>
    </row>
    <row r="22" spans="1:24" ht="24" customHeight="1">
      <c r="A22" s="7"/>
      <c r="B22" s="8"/>
      <c r="C22" s="129" t="s">
        <v>7</v>
      </c>
      <c r="D22" s="130"/>
      <c r="E22" s="131" t="s">
        <v>40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23"/>
      <c r="P22" s="23"/>
      <c r="Q22" s="23"/>
    </row>
    <row r="23" spans="1:24" ht="24" customHeight="1">
      <c r="A23" s="7"/>
      <c r="B23" s="8"/>
      <c r="C23" s="129" t="s">
        <v>9</v>
      </c>
      <c r="D23" s="130"/>
      <c r="E23" s="137">
        <f>X18</f>
        <v>211865363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"/>
      <c r="P23" s="2"/>
      <c r="Q23" s="2"/>
    </row>
    <row r="24" spans="1:24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211865363</v>
      </c>
      <c r="J24" s="121"/>
      <c r="K24" s="121"/>
      <c r="L24" s="121"/>
      <c r="M24" s="122"/>
      <c r="N24" s="10"/>
      <c r="O24" s="2"/>
      <c r="P24" s="2"/>
      <c r="Q24" s="2"/>
    </row>
    <row r="25" spans="1:24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"/>
      <c r="P25" s="2"/>
      <c r="Q25" s="2"/>
    </row>
    <row r="26" spans="1:24" ht="27" customHeight="1">
      <c r="A26" s="124" t="s">
        <v>12</v>
      </c>
      <c r="B26" s="125"/>
      <c r="C26" s="126" t="str">
        <f>NUMBERSTRING(I24, 1)</f>
        <v>이억일천일백팔십육만오천삼백육십삼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211865363</v>
      </c>
      <c r="L26" s="127"/>
      <c r="M26" s="127"/>
      <c r="N26" s="128"/>
      <c r="O26" s="2"/>
      <c r="P26" s="2"/>
      <c r="Q26" s="2"/>
    </row>
    <row r="27" spans="1:24" ht="30" customHeight="1">
      <c r="A27" s="99" t="s">
        <v>14</v>
      </c>
      <c r="B27" s="99"/>
      <c r="C27" s="99"/>
      <c r="D27" s="108" t="s">
        <v>40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  <c r="Q27" s="2"/>
    </row>
    <row r="28" spans="1:24" ht="27" customHeight="1">
      <c r="A28" s="99" t="s">
        <v>16</v>
      </c>
      <c r="B28" s="99"/>
      <c r="C28" s="99"/>
      <c r="D28" s="113" t="s">
        <v>62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</row>
    <row r="29" spans="1:24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</row>
    <row r="30" spans="1:24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4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4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C10:G10"/>
    <mergeCell ref="A1:N1"/>
    <mergeCell ref="A3:A5"/>
    <mergeCell ref="J3:J5"/>
    <mergeCell ref="A7:N8"/>
    <mergeCell ref="E9:F9"/>
    <mergeCell ref="E12:F12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B25:M25"/>
    <mergeCell ref="A26:B26"/>
    <mergeCell ref="C26:I26"/>
    <mergeCell ref="K26:N26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  <mergeCell ref="K29:N29"/>
    <mergeCell ref="A30:N30"/>
  </mergeCells>
  <phoneticPr fontId="53" type="noConversion"/>
  <conditionalFormatting sqref="P12:X17">
    <cfRule type="expression" dxfId="14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2558-CAAA-42FE-83E6-1A06BECB0051}">
  <sheetPr codeName="Sheet1">
    <tabColor theme="0"/>
  </sheetPr>
  <dimension ref="A1:Z75"/>
  <sheetViews>
    <sheetView view="pageLayout" topLeftCell="I7" zoomScale="85" zoomScaleNormal="100" zoomScalePageLayoutView="85" workbookViewId="0">
      <selection activeCell="O12" sqref="O12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9" width="5.19921875" style="1" customWidth="1"/>
    <col min="10" max="10" width="3.69921875" style="1" customWidth="1"/>
    <col min="11" max="13" width="7.5" style="1" customWidth="1"/>
    <col min="14" max="14" width="8.3984375" style="1" customWidth="1"/>
    <col min="15" max="15" width="19" style="1" customWidth="1"/>
    <col min="16" max="16" width="11.59765625" style="1" customWidth="1"/>
    <col min="17" max="19" width="13.3984375" style="1" customWidth="1"/>
    <col min="20" max="20" width="15.19921875" style="1" customWidth="1"/>
    <col min="21" max="21" width="9.8984375" style="1" bestFit="1" customWidth="1"/>
    <col min="22" max="23" width="10.8984375" style="1" bestFit="1" customWidth="1"/>
    <col min="24" max="25" width="11.5" style="1" bestFit="1" customWidth="1"/>
    <col min="26" max="26" width="10.8984375" style="1" bestFit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5" t="s">
        <v>43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40" t="s">
        <v>70</v>
      </c>
      <c r="P12" s="35">
        <v>46256</v>
      </c>
      <c r="Q12" s="83">
        <v>1393</v>
      </c>
      <c r="R12" s="63">
        <v>-4223.1099999999997</v>
      </c>
      <c r="S12" s="82">
        <v>-5882792</v>
      </c>
      <c r="T12" s="43"/>
      <c r="U12" s="43"/>
      <c r="V12" s="43">
        <f>S12*0.59</f>
        <v>-3470847.28</v>
      </c>
      <c r="W12" s="43">
        <f t="shared" ref="W12:W19" si="0">S12-V12</f>
        <v>-2411944.7200000002</v>
      </c>
      <c r="X12" s="43"/>
      <c r="Y12" s="43"/>
      <c r="Z12" s="43">
        <f>SUM(T12:Y12)</f>
        <v>-5882792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40" t="s">
        <v>71</v>
      </c>
      <c r="P13" s="35">
        <v>46268</v>
      </c>
      <c r="Q13" s="83">
        <v>1369.4</v>
      </c>
      <c r="R13" s="63">
        <v>92492.41</v>
      </c>
      <c r="S13" s="82">
        <v>126659106</v>
      </c>
      <c r="T13" s="43"/>
      <c r="U13" s="43"/>
      <c r="V13" s="43">
        <f>S13*0.59</f>
        <v>74728872.539999992</v>
      </c>
      <c r="W13" s="43">
        <f t="shared" si="0"/>
        <v>51930233.460000008</v>
      </c>
      <c r="X13" s="43"/>
      <c r="Y13" s="43"/>
      <c r="Z13" s="43">
        <f t="shared" ref="Z13:Z19" si="1">SUM(T13:Y13)</f>
        <v>126659106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40" t="s">
        <v>72</v>
      </c>
      <c r="P14" s="35">
        <v>46272</v>
      </c>
      <c r="Q14" s="83">
        <v>1355.2</v>
      </c>
      <c r="R14" s="63">
        <v>2837.63</v>
      </c>
      <c r="S14" s="82">
        <v>3845556</v>
      </c>
      <c r="T14" s="43"/>
      <c r="U14" s="43"/>
      <c r="V14" s="43">
        <f>S14*0.31</f>
        <v>1192122.3600000001</v>
      </c>
      <c r="W14" s="43">
        <f t="shared" si="0"/>
        <v>2653433.6399999997</v>
      </c>
      <c r="X14" s="43"/>
      <c r="Y14" s="43"/>
      <c r="Z14" s="43">
        <f t="shared" si="1"/>
        <v>3845556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40" t="s">
        <v>73</v>
      </c>
      <c r="P15" s="35">
        <v>46279</v>
      </c>
      <c r="Q15" s="83">
        <v>1346.4</v>
      </c>
      <c r="R15" s="63">
        <v>5125.4399999999996</v>
      </c>
      <c r="S15" s="82">
        <v>6900892</v>
      </c>
      <c r="T15" s="43"/>
      <c r="U15" s="43"/>
      <c r="V15" s="43">
        <f>S15*0.55</f>
        <v>3795490.6</v>
      </c>
      <c r="W15" s="43">
        <f t="shared" si="0"/>
        <v>3105401.4</v>
      </c>
      <c r="X15" s="43"/>
      <c r="Y15" s="43"/>
      <c r="Z15" s="43">
        <f t="shared" si="1"/>
        <v>6900892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40" t="s">
        <v>74</v>
      </c>
      <c r="P16" s="35">
        <v>46283</v>
      </c>
      <c r="Q16" s="83">
        <v>1380.3</v>
      </c>
      <c r="R16" s="63">
        <v>96202.87999999999</v>
      </c>
      <c r="S16" s="82">
        <v>132788835</v>
      </c>
      <c r="T16" s="43"/>
      <c r="U16" s="43"/>
      <c r="V16" s="43">
        <f>S16*0.59</f>
        <v>78345412.649999991</v>
      </c>
      <c r="W16" s="43">
        <f t="shared" si="0"/>
        <v>54443422.350000009</v>
      </c>
      <c r="X16" s="43"/>
      <c r="Y16" s="43"/>
      <c r="Z16" s="43">
        <f t="shared" si="1"/>
        <v>132788835</v>
      </c>
    </row>
    <row r="17" spans="1:26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40" t="s">
        <v>75</v>
      </c>
      <c r="P17" s="35">
        <v>46292</v>
      </c>
      <c r="Q17" s="83">
        <v>1360</v>
      </c>
      <c r="R17" s="63">
        <v>1316.67</v>
      </c>
      <c r="S17" s="82">
        <v>1790671</v>
      </c>
      <c r="T17" s="43"/>
      <c r="U17" s="43"/>
      <c r="V17" s="43">
        <f>S17*0.6</f>
        <v>1074402.5999999999</v>
      </c>
      <c r="W17" s="43">
        <f t="shared" si="0"/>
        <v>716268.40000000014</v>
      </c>
      <c r="X17" s="43"/>
      <c r="Y17" s="43"/>
      <c r="Z17" s="43">
        <f t="shared" si="1"/>
        <v>1790671</v>
      </c>
    </row>
    <row r="18" spans="1:26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40" t="s">
        <v>76</v>
      </c>
      <c r="P18" s="35">
        <v>46294</v>
      </c>
      <c r="Q18" s="83">
        <v>1360</v>
      </c>
      <c r="R18" s="63">
        <v>88553.23</v>
      </c>
      <c r="S18" s="82">
        <v>120432392</v>
      </c>
      <c r="T18" s="43"/>
      <c r="U18" s="43"/>
      <c r="V18" s="43">
        <f>S18*0.6</f>
        <v>72259435.200000003</v>
      </c>
      <c r="W18" s="43">
        <f t="shared" si="0"/>
        <v>48172956.799999997</v>
      </c>
      <c r="X18" s="43"/>
      <c r="Y18" s="43"/>
      <c r="Z18" s="43">
        <f t="shared" si="1"/>
        <v>120432392</v>
      </c>
    </row>
    <row r="19" spans="1:26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40" t="s">
        <v>77</v>
      </c>
      <c r="P19" s="35">
        <v>46289</v>
      </c>
      <c r="Q19" s="83">
        <v>1360</v>
      </c>
      <c r="R19" s="63">
        <v>5675.25</v>
      </c>
      <c r="S19" s="82">
        <v>7718340</v>
      </c>
      <c r="T19" s="43"/>
      <c r="U19" s="43"/>
      <c r="V19" s="43">
        <f>S19*0.31</f>
        <v>2392685.4</v>
      </c>
      <c r="W19" s="43">
        <f t="shared" si="0"/>
        <v>5325654.5999999996</v>
      </c>
      <c r="X19" s="43"/>
      <c r="Y19" s="43"/>
      <c r="Z19" s="43">
        <f t="shared" si="1"/>
        <v>7718340</v>
      </c>
    </row>
    <row r="20" spans="1:26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28"/>
      <c r="P20" s="36"/>
      <c r="Q20" s="46"/>
      <c r="R20" s="60">
        <f>SUM(R12:R19)</f>
        <v>287980.40000000002</v>
      </c>
      <c r="S20" s="61">
        <f>SUM(S12:S19)</f>
        <v>394253000</v>
      </c>
      <c r="T20" s="46"/>
      <c r="U20" s="46"/>
      <c r="V20" s="46">
        <f>SUM(V12:V19)</f>
        <v>230317574.06999996</v>
      </c>
      <c r="W20" s="46">
        <f>SUM(W12:W19)</f>
        <v>163935425.93000004</v>
      </c>
      <c r="X20" s="46"/>
      <c r="Y20" s="46"/>
      <c r="Z20" s="46">
        <f>SUM(T20:Y20)</f>
        <v>394253000</v>
      </c>
    </row>
    <row r="21" spans="1:26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  <c r="Q21" s="8"/>
    </row>
    <row r="22" spans="1:26" ht="24" customHeight="1">
      <c r="A22" s="7"/>
      <c r="B22" s="8"/>
      <c r="C22" s="129" t="s">
        <v>7</v>
      </c>
      <c r="D22" s="130"/>
      <c r="E22" s="131" t="s">
        <v>45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8"/>
      <c r="P22" s="8"/>
      <c r="Q22" s="8"/>
      <c r="U22" s="1">
        <v>5</v>
      </c>
      <c r="V22" s="1">
        <v>0.59</v>
      </c>
    </row>
    <row r="23" spans="1:26" ht="24" customHeight="1">
      <c r="A23" s="7"/>
      <c r="B23" s="8"/>
      <c r="C23" s="129" t="s">
        <v>9</v>
      </c>
      <c r="D23" s="130"/>
      <c r="E23" s="137">
        <f>S20</f>
        <v>394253000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"/>
      <c r="P23" s="2"/>
      <c r="Q23" s="2"/>
      <c r="U23" s="1">
        <v>1</v>
      </c>
      <c r="V23" s="1">
        <v>0.31</v>
      </c>
    </row>
    <row r="24" spans="1:26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394253000</v>
      </c>
      <c r="J24" s="121"/>
      <c r="K24" s="121"/>
      <c r="L24" s="121"/>
      <c r="M24" s="122"/>
      <c r="N24" s="10"/>
      <c r="O24" s="2"/>
      <c r="P24" s="2"/>
      <c r="Q24" s="2"/>
      <c r="U24" s="1">
        <v>2</v>
      </c>
      <c r="V24" s="1">
        <v>0.55000000000000004</v>
      </c>
    </row>
    <row r="25" spans="1:26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"/>
      <c r="P25" s="2"/>
      <c r="Q25" s="2"/>
      <c r="U25" s="1">
        <v>3</v>
      </c>
      <c r="V25" s="1">
        <v>0.59</v>
      </c>
    </row>
    <row r="26" spans="1:26" ht="27" customHeight="1">
      <c r="A26" s="124" t="s">
        <v>12</v>
      </c>
      <c r="B26" s="125"/>
      <c r="C26" s="126" t="str">
        <f>NUMBERSTRING(I24, 1)</f>
        <v>삼억구천사백이십오만삼천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394253000</v>
      </c>
      <c r="L26" s="127"/>
      <c r="M26" s="127"/>
      <c r="N26" s="128"/>
      <c r="O26" s="2"/>
      <c r="P26" s="2"/>
      <c r="Q26" s="2"/>
      <c r="U26" s="1">
        <v>4</v>
      </c>
      <c r="V26" s="1">
        <v>0.6</v>
      </c>
    </row>
    <row r="27" spans="1:26" ht="30" customHeight="1">
      <c r="A27" s="99" t="s">
        <v>14</v>
      </c>
      <c r="B27" s="99"/>
      <c r="C27" s="99"/>
      <c r="D27" s="108" t="s">
        <v>41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  <c r="Q27" s="2"/>
      <c r="U27" s="1">
        <v>6</v>
      </c>
      <c r="V27" s="1">
        <v>0.6</v>
      </c>
    </row>
    <row r="28" spans="1:26" ht="27" customHeight="1">
      <c r="A28" s="99" t="s">
        <v>16</v>
      </c>
      <c r="B28" s="99"/>
      <c r="C28" s="99"/>
      <c r="D28" s="113" t="s">
        <v>61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  <c r="U28" s="1">
        <v>7</v>
      </c>
      <c r="V28" s="1">
        <v>0.31</v>
      </c>
    </row>
    <row r="29" spans="1:26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</row>
    <row r="30" spans="1:26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C10:G10"/>
    <mergeCell ref="A1:N1"/>
    <mergeCell ref="A3:A5"/>
    <mergeCell ref="J3:J5"/>
    <mergeCell ref="A7:N8"/>
    <mergeCell ref="E9:F9"/>
    <mergeCell ref="E12:F12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B25:M25"/>
    <mergeCell ref="A26:B26"/>
    <mergeCell ref="C26:I26"/>
    <mergeCell ref="K26:N26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  <mergeCell ref="K29:N29"/>
    <mergeCell ref="A30:N30"/>
  </mergeCells>
  <phoneticPr fontId="5" type="noConversion"/>
  <conditionalFormatting sqref="O12:S19 O20:R20">
    <cfRule type="expression" dxfId="13" priority="6">
      <formula>#REF!="*01월*"</formula>
    </cfRule>
  </conditionalFormatting>
  <conditionalFormatting sqref="T20:Z20">
    <cfRule type="expression" dxfId="12" priority="2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1F03-B453-4549-A5E9-9C30022BF470}">
  <sheetPr codeName="Sheet3">
    <tabColor theme="0"/>
  </sheetPr>
  <dimension ref="A1:Z75"/>
  <sheetViews>
    <sheetView view="pageLayout" topLeftCell="E7" zoomScale="85" zoomScaleNormal="100" zoomScalePageLayoutView="85" workbookViewId="0">
      <selection activeCell="U21" sqref="U21:V27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69921875" style="1" customWidth="1"/>
    <col min="11" max="14" width="7.59765625" style="1" customWidth="1"/>
    <col min="15" max="15" width="15.19921875" style="1" customWidth="1"/>
    <col min="16" max="18" width="13.3984375" style="1" customWidth="1"/>
    <col min="19" max="19" width="15.69921875" style="1" bestFit="1" customWidth="1"/>
    <col min="20" max="21" width="13.3984375" style="1" customWidth="1"/>
    <col min="22" max="22" width="15.19921875" style="1" customWidth="1"/>
    <col min="23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4" t="s">
        <v>38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28" t="s">
        <v>122</v>
      </c>
      <c r="P12" s="35">
        <v>46278</v>
      </c>
      <c r="Q12" s="83">
        <v>1338.2</v>
      </c>
      <c r="R12" s="84">
        <v>390865.54</v>
      </c>
      <c r="S12" s="41">
        <v>523056265</v>
      </c>
      <c r="T12" s="43"/>
      <c r="U12" s="43"/>
      <c r="V12" s="43">
        <v>307857350</v>
      </c>
      <c r="W12" s="43">
        <f>$S12-U12-V12</f>
        <v>215198915</v>
      </c>
      <c r="X12" s="43"/>
      <c r="Y12" s="43"/>
      <c r="Z12" s="43">
        <f>SUM(T12:Y12)</f>
        <v>523056265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28" t="s">
        <v>128</v>
      </c>
      <c r="P13" s="35">
        <v>46272</v>
      </c>
      <c r="Q13" s="83">
        <v>1355.2</v>
      </c>
      <c r="R13" s="84">
        <v>11856.000000000002</v>
      </c>
      <c r="S13" s="41">
        <v>16067251</v>
      </c>
      <c r="T13" s="43"/>
      <c r="U13" s="43"/>
      <c r="V13" s="43">
        <v>5045579</v>
      </c>
      <c r="W13" s="43">
        <f t="shared" ref="W13:W18" si="0">$S13-U13-V13</f>
        <v>11021672</v>
      </c>
      <c r="Y13" s="43"/>
      <c r="Z13" s="43">
        <f>SUM(T13:W13)</f>
        <v>16067251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28" t="s">
        <v>123</v>
      </c>
      <c r="P14" s="35">
        <v>46279</v>
      </c>
      <c r="Q14" s="83">
        <v>1346.4</v>
      </c>
      <c r="R14" s="84">
        <v>21647.919999999998</v>
      </c>
      <c r="S14" s="41">
        <v>29146759</v>
      </c>
      <c r="T14" s="43"/>
      <c r="U14" s="32"/>
      <c r="V14" s="43">
        <v>16060166</v>
      </c>
      <c r="W14" s="43">
        <f t="shared" si="0"/>
        <v>13086593</v>
      </c>
      <c r="X14" s="43"/>
      <c r="Y14" s="43"/>
      <c r="Z14" s="43">
        <f>SUM(T14:X14)</f>
        <v>29146759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28" t="s">
        <v>124</v>
      </c>
      <c r="P15" s="35">
        <v>46283</v>
      </c>
      <c r="Q15" s="83">
        <v>1380.3</v>
      </c>
      <c r="R15" s="84">
        <v>406770.31999999995</v>
      </c>
      <c r="S15" s="41">
        <v>561465072</v>
      </c>
      <c r="T15" s="43"/>
      <c r="U15" s="45"/>
      <c r="V15" s="45">
        <v>333445896</v>
      </c>
      <c r="W15" s="43">
        <f t="shared" si="0"/>
        <v>228019176</v>
      </c>
      <c r="X15" s="43"/>
      <c r="Y15" s="43"/>
      <c r="Z15" s="43">
        <f>SUM(T15:X15)</f>
        <v>561465072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28" t="s">
        <v>125</v>
      </c>
      <c r="P16" s="35">
        <v>46291</v>
      </c>
      <c r="Q16" s="83">
        <v>1360</v>
      </c>
      <c r="R16" s="84">
        <v>5465.44</v>
      </c>
      <c r="S16" s="41">
        <v>7432998</v>
      </c>
      <c r="T16" s="43"/>
      <c r="U16" s="43"/>
      <c r="V16" s="45">
        <v>4446124</v>
      </c>
      <c r="W16" s="43">
        <f t="shared" si="0"/>
        <v>2986874</v>
      </c>
      <c r="X16" s="43"/>
      <c r="Y16" s="43"/>
      <c r="Z16" s="43">
        <f>SUM(T16:Y16)</f>
        <v>7432998</v>
      </c>
    </row>
    <row r="17" spans="1:26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28" t="s">
        <v>126</v>
      </c>
      <c r="P17" s="35">
        <v>46294</v>
      </c>
      <c r="Q17" s="83">
        <v>1360</v>
      </c>
      <c r="R17" s="84">
        <v>374847.56</v>
      </c>
      <c r="S17" s="41">
        <v>509792681</v>
      </c>
      <c r="T17" s="43"/>
      <c r="U17" s="43"/>
      <c r="V17" s="45">
        <v>300751927</v>
      </c>
      <c r="W17" s="43">
        <f t="shared" si="0"/>
        <v>209040754</v>
      </c>
      <c r="X17" s="43"/>
      <c r="Y17" s="43"/>
      <c r="Z17" s="43">
        <f>SUM(T17:Y17)</f>
        <v>509792681</v>
      </c>
    </row>
    <row r="18" spans="1:26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28" t="s">
        <v>127</v>
      </c>
      <c r="P18" s="35">
        <v>46289</v>
      </c>
      <c r="Q18" s="83">
        <v>1360</v>
      </c>
      <c r="R18" s="84">
        <v>23712.000000000004</v>
      </c>
      <c r="S18" s="41">
        <v>32248320</v>
      </c>
      <c r="T18" s="43"/>
      <c r="U18" s="43"/>
      <c r="V18" s="45">
        <v>10126900</v>
      </c>
      <c r="W18" s="43">
        <f t="shared" si="0"/>
        <v>22121420</v>
      </c>
      <c r="X18" s="43"/>
      <c r="Y18" s="43"/>
      <c r="Z18" s="43">
        <f>SUM(T18:Y18)</f>
        <v>32248320</v>
      </c>
    </row>
    <row r="19" spans="1:26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35"/>
      <c r="P19" s="80"/>
      <c r="Q19" s="80"/>
      <c r="R19" s="78">
        <f t="shared" ref="R19:W19" si="1">SUM(R12:R18)</f>
        <v>1235164.7799999998</v>
      </c>
      <c r="S19" s="79">
        <f t="shared" si="1"/>
        <v>1679209346</v>
      </c>
      <c r="T19" s="42"/>
      <c r="U19" s="42"/>
      <c r="V19" s="42">
        <f t="shared" si="1"/>
        <v>977733942</v>
      </c>
      <c r="W19" s="42">
        <f t="shared" si="1"/>
        <v>701475404</v>
      </c>
      <c r="X19" s="42"/>
      <c r="Y19" s="42"/>
      <c r="Z19" s="43">
        <f>SUM(T19:Y19)</f>
        <v>1679209346</v>
      </c>
    </row>
    <row r="20" spans="1:26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27"/>
      <c r="P20" s="27"/>
      <c r="Q20" s="27"/>
      <c r="S20" s="95"/>
    </row>
    <row r="21" spans="1:26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22"/>
      <c r="P21" s="22"/>
      <c r="Q21" s="22"/>
      <c r="U21" s="1">
        <v>5</v>
      </c>
      <c r="V21" s="1">
        <v>0.59</v>
      </c>
    </row>
    <row r="22" spans="1:26" ht="24" customHeight="1">
      <c r="A22" s="7"/>
      <c r="B22" s="8"/>
      <c r="C22" s="129" t="s">
        <v>7</v>
      </c>
      <c r="D22" s="130"/>
      <c r="E22" s="131" t="s">
        <v>45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23"/>
      <c r="P22" s="23"/>
      <c r="Q22" s="23"/>
      <c r="U22" s="1">
        <v>1</v>
      </c>
      <c r="V22" s="1">
        <v>0.31</v>
      </c>
    </row>
    <row r="23" spans="1:26" ht="24" customHeight="1">
      <c r="A23" s="7"/>
      <c r="B23" s="8"/>
      <c r="C23" s="129" t="s">
        <v>9</v>
      </c>
      <c r="D23" s="130"/>
      <c r="E23" s="137">
        <f>S19</f>
        <v>1679209346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"/>
      <c r="P23" s="2"/>
      <c r="Q23" s="2"/>
      <c r="U23" s="1">
        <v>2</v>
      </c>
      <c r="V23" s="1">
        <v>0.55000000000000004</v>
      </c>
    </row>
    <row r="24" spans="1:26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1679209346</v>
      </c>
      <c r="J24" s="121"/>
      <c r="K24" s="121"/>
      <c r="L24" s="121"/>
      <c r="M24" s="122"/>
      <c r="N24" s="10"/>
      <c r="O24" s="2"/>
      <c r="P24" s="2"/>
      <c r="Q24" s="2"/>
      <c r="U24" s="1">
        <v>3</v>
      </c>
      <c r="V24" s="1">
        <v>0.59</v>
      </c>
    </row>
    <row r="25" spans="1:26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"/>
      <c r="P25" s="2"/>
      <c r="Q25" s="2"/>
      <c r="U25" s="1">
        <v>4</v>
      </c>
      <c r="V25" s="1">
        <v>0.6</v>
      </c>
    </row>
    <row r="26" spans="1:26" ht="27" customHeight="1">
      <c r="A26" s="124" t="s">
        <v>12</v>
      </c>
      <c r="B26" s="125"/>
      <c r="C26" s="126" t="str">
        <f>NUMBERSTRING(I24, 1)</f>
        <v>일십육억칠천구백이십만구천삼백사십육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1679209346</v>
      </c>
      <c r="L26" s="127"/>
      <c r="M26" s="127"/>
      <c r="N26" s="128"/>
      <c r="O26" s="2"/>
      <c r="P26" s="2"/>
      <c r="Q26" s="2"/>
      <c r="U26" s="1">
        <v>6</v>
      </c>
      <c r="V26" s="1">
        <v>0.6</v>
      </c>
    </row>
    <row r="27" spans="1:26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  <c r="Q27" s="2"/>
      <c r="U27" s="1">
        <v>7</v>
      </c>
      <c r="V27" s="1">
        <v>0.31</v>
      </c>
    </row>
    <row r="28" spans="1:26" ht="27" customHeight="1">
      <c r="A28" s="99" t="s">
        <v>16</v>
      </c>
      <c r="B28" s="99"/>
      <c r="C28" s="99"/>
      <c r="D28" s="113" t="s">
        <v>61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</row>
    <row r="29" spans="1:26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</row>
    <row r="30" spans="1:26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2:S18 O19">
    <cfRule type="expression" dxfId="11" priority="3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F9FE-9F87-432D-86D0-4FA32EE64952}">
  <sheetPr codeName="Sheet4">
    <tabColor theme="0"/>
  </sheetPr>
  <dimension ref="A1:AA87"/>
  <sheetViews>
    <sheetView tabSelected="1" showWhiteSpace="0" view="pageLayout" topLeftCell="G1" zoomScale="85" zoomScaleNormal="100" zoomScalePageLayoutView="85" workbookViewId="0">
      <selection activeCell="O8" sqref="O8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19921875" style="1" customWidth="1"/>
    <col min="11" max="14" width="8.19921875" style="1" customWidth="1"/>
    <col min="15" max="18" width="13.3984375" style="1" customWidth="1"/>
    <col min="19" max="19" width="15.69921875" style="72" bestFit="1" customWidth="1"/>
    <col min="20" max="25" width="13.3984375" style="72" customWidth="1"/>
    <col min="26" max="26" width="15.5" style="72" customWidth="1"/>
    <col min="27" max="27" width="19" style="1" customWidth="1"/>
    <col min="28" max="16384" width="9" style="1"/>
  </cols>
  <sheetData>
    <row r="1" spans="1:27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7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  <c r="R3" s="73"/>
      <c r="S3" s="73"/>
      <c r="T3" s="73"/>
      <c r="U3" s="73"/>
      <c r="V3" s="73"/>
      <c r="W3" s="73"/>
      <c r="X3" s="73"/>
      <c r="Y3" s="73"/>
    </row>
    <row r="4" spans="1:27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  <c r="R4" s="73"/>
      <c r="S4" s="73"/>
      <c r="T4" s="73"/>
      <c r="U4" s="73"/>
      <c r="V4" s="73"/>
      <c r="W4" s="73"/>
      <c r="X4" s="73"/>
      <c r="Y4" s="73"/>
    </row>
    <row r="5" spans="1:27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  <c r="R5" s="73"/>
      <c r="S5" s="73"/>
      <c r="T5" s="73"/>
      <c r="U5" s="73"/>
      <c r="V5" s="73"/>
      <c r="W5" s="73"/>
      <c r="X5" s="73"/>
      <c r="Y5" s="73"/>
    </row>
    <row r="6" spans="1:27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7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7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47" t="s">
        <v>31</v>
      </c>
      <c r="P8" s="47" t="s">
        <v>32</v>
      </c>
      <c r="Q8" s="47" t="s">
        <v>33</v>
      </c>
      <c r="R8" s="47" t="s">
        <v>34</v>
      </c>
      <c r="S8" s="24" t="s">
        <v>38</v>
      </c>
      <c r="T8" s="67" t="s">
        <v>28</v>
      </c>
      <c r="U8" s="67" t="s">
        <v>29</v>
      </c>
      <c r="V8" s="67" t="s">
        <v>30</v>
      </c>
      <c r="W8" s="26" t="s">
        <v>57</v>
      </c>
      <c r="X8" s="26" t="s">
        <v>58</v>
      </c>
      <c r="Y8" s="26" t="s">
        <v>59</v>
      </c>
      <c r="Z8" s="66" t="s">
        <v>35</v>
      </c>
    </row>
    <row r="9" spans="1:27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40" t="s">
        <v>78</v>
      </c>
      <c r="P9" s="35">
        <v>46267</v>
      </c>
      <c r="Q9" s="48">
        <v>1370.3</v>
      </c>
      <c r="R9" s="31">
        <v>20779.32</v>
      </c>
      <c r="S9" s="41">
        <v>28473902</v>
      </c>
      <c r="T9" s="68"/>
      <c r="U9" s="69">
        <v>3502988</v>
      </c>
      <c r="V9" s="69">
        <v>5191331</v>
      </c>
      <c r="W9" s="69">
        <v>1373118</v>
      </c>
      <c r="X9" s="69">
        <f>$S9-T9-U9-V9-W9</f>
        <v>18406465</v>
      </c>
      <c r="Y9" s="69"/>
      <c r="Z9" s="69">
        <f>SUM(T9:Y9)</f>
        <v>28473902</v>
      </c>
      <c r="AA9" s="1" t="str">
        <f>VLOOKUP(O9,'[1]26.09(NEW)'!$C$29:$D$132,2,FALSE)</f>
        <v>41072-26-702170X</v>
      </c>
    </row>
    <row r="10" spans="1:27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40" t="s">
        <v>79</v>
      </c>
      <c r="P10" s="35">
        <v>46276</v>
      </c>
      <c r="Q10" s="48">
        <v>1338.2</v>
      </c>
      <c r="R10" s="31">
        <v>33829.919999999998</v>
      </c>
      <c r="S10" s="41">
        <v>45271198</v>
      </c>
      <c r="T10" s="69"/>
      <c r="U10" s="69"/>
      <c r="V10" s="69">
        <v>32256439</v>
      </c>
      <c r="W10" s="69">
        <f>S10-V10</f>
        <v>13014759</v>
      </c>
      <c r="X10" s="69"/>
      <c r="Y10" s="69"/>
      <c r="Z10" s="69">
        <f t="shared" ref="Z10:Z37" si="0">SUM(T10:Y10)</f>
        <v>45271198</v>
      </c>
    </row>
    <row r="11" spans="1:27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40" t="s">
        <v>80</v>
      </c>
      <c r="P11" s="35">
        <v>46266</v>
      </c>
      <c r="Q11" s="48">
        <v>1373.6</v>
      </c>
      <c r="R11" s="31">
        <v>62017.4</v>
      </c>
      <c r="S11" s="41">
        <v>85187100</v>
      </c>
      <c r="T11" s="69"/>
      <c r="U11" s="69"/>
      <c r="V11" s="69">
        <v>52063211</v>
      </c>
      <c r="W11" s="69"/>
      <c r="X11" s="69">
        <f t="shared" ref="X11:X37" si="1">$S11-T11-U11-V11-W11</f>
        <v>33123889</v>
      </c>
      <c r="Y11" s="69"/>
      <c r="Z11" s="69">
        <f t="shared" si="0"/>
        <v>85187100</v>
      </c>
      <c r="AA11" s="1" t="str">
        <f>O11&amp;" "&amp;P11&amp;"-"&amp;R11&amp;"*@"&amp;Q11</f>
        <v>DSM2608-06 46266-62017.4*@1373.6</v>
      </c>
    </row>
    <row r="12" spans="1:27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2"/>
      <c r="O12" s="40" t="s">
        <v>81</v>
      </c>
      <c r="P12" s="35">
        <v>46266</v>
      </c>
      <c r="Q12" s="48">
        <v>1373.6</v>
      </c>
      <c r="R12" s="31">
        <v>102197.75999999999</v>
      </c>
      <c r="S12" s="41">
        <v>140378843</v>
      </c>
      <c r="T12" s="69"/>
      <c r="U12" s="69"/>
      <c r="V12" s="69">
        <v>111015112</v>
      </c>
      <c r="W12" s="69">
        <f>S12-V12</f>
        <v>29363731</v>
      </c>
      <c r="X12" s="69"/>
      <c r="Y12" s="69"/>
      <c r="Z12" s="69">
        <f t="shared" si="0"/>
        <v>140378843</v>
      </c>
    </row>
    <row r="13" spans="1:27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0" t="s">
        <v>82</v>
      </c>
      <c r="P13" s="35">
        <v>46276</v>
      </c>
      <c r="Q13" s="48">
        <v>1338.2</v>
      </c>
      <c r="R13" s="31">
        <v>6048</v>
      </c>
      <c r="S13" s="41">
        <v>8093433</v>
      </c>
      <c r="T13" s="69"/>
      <c r="U13" s="69"/>
      <c r="V13" s="69">
        <v>4575856</v>
      </c>
      <c r="W13" s="69">
        <f>S13-V13</f>
        <v>3517577</v>
      </c>
      <c r="X13" s="69"/>
      <c r="Y13" s="69"/>
      <c r="Z13" s="69">
        <f t="shared" si="0"/>
        <v>8093433</v>
      </c>
    </row>
    <row r="14" spans="1:27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40" t="s">
        <v>83</v>
      </c>
      <c r="P14" s="35">
        <v>46295</v>
      </c>
      <c r="Q14" s="48">
        <v>1358.4</v>
      </c>
      <c r="R14" s="31">
        <v>6267.8</v>
      </c>
      <c r="S14" s="41">
        <v>8514179</v>
      </c>
      <c r="T14" s="69"/>
      <c r="U14" s="69"/>
      <c r="V14" s="69"/>
      <c r="W14" s="69"/>
      <c r="X14" s="69">
        <f t="shared" si="1"/>
        <v>8514179</v>
      </c>
      <c r="Y14" s="69"/>
      <c r="Z14" s="69">
        <f t="shared" si="0"/>
        <v>8514179</v>
      </c>
    </row>
    <row r="15" spans="1:27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0" t="s">
        <v>84</v>
      </c>
      <c r="P15" s="35">
        <v>46267</v>
      </c>
      <c r="Q15" s="48">
        <v>1370.3</v>
      </c>
      <c r="R15" s="31">
        <v>61116.6</v>
      </c>
      <c r="S15" s="41">
        <v>83748076</v>
      </c>
      <c r="T15" s="69"/>
      <c r="U15" s="69"/>
      <c r="V15" s="69">
        <v>68331868</v>
      </c>
      <c r="W15" s="69"/>
      <c r="X15" s="69">
        <f t="shared" si="1"/>
        <v>15416208</v>
      </c>
      <c r="Y15" s="69"/>
      <c r="Z15" s="69">
        <f t="shared" si="0"/>
        <v>83748076</v>
      </c>
    </row>
    <row r="16" spans="1:27" ht="24" customHeight="1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40" t="s">
        <v>85</v>
      </c>
      <c r="P16" s="35">
        <v>46276</v>
      </c>
      <c r="Q16" s="48">
        <v>1338.2</v>
      </c>
      <c r="R16" s="31">
        <v>60142.080000000002</v>
      </c>
      <c r="S16" s="41">
        <v>80482131</v>
      </c>
      <c r="T16" s="69"/>
      <c r="U16" s="69"/>
      <c r="V16" s="69">
        <v>57344781</v>
      </c>
      <c r="W16" s="69">
        <f t="shared" ref="W16:W19" si="2">S16-V16</f>
        <v>23137350</v>
      </c>
      <c r="X16" s="69"/>
      <c r="Y16" s="69"/>
      <c r="Z16" s="69">
        <f t="shared" si="0"/>
        <v>80482131</v>
      </c>
    </row>
    <row r="17" spans="1:26" ht="24" customHeight="1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0" t="s">
        <v>86</v>
      </c>
      <c r="P17" s="35">
        <v>46291</v>
      </c>
      <c r="Q17" s="48">
        <v>1360</v>
      </c>
      <c r="R17" s="31">
        <v>102197.75999999999</v>
      </c>
      <c r="S17" s="41">
        <v>138988953</v>
      </c>
      <c r="T17" s="69"/>
      <c r="U17" s="69"/>
      <c r="V17" s="69">
        <v>109915953</v>
      </c>
      <c r="W17" s="69">
        <f t="shared" si="2"/>
        <v>29073000</v>
      </c>
      <c r="X17" s="69"/>
      <c r="Y17" s="70"/>
      <c r="Z17" s="69">
        <f t="shared" si="0"/>
        <v>138988953</v>
      </c>
    </row>
    <row r="18" spans="1:26" ht="24" customHeight="1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0" t="s">
        <v>87</v>
      </c>
      <c r="P18" s="35">
        <v>46276</v>
      </c>
      <c r="Q18" s="49">
        <v>1338.2</v>
      </c>
      <c r="R18" s="31">
        <v>103247.84</v>
      </c>
      <c r="S18" s="41">
        <v>138166259</v>
      </c>
      <c r="T18" s="69"/>
      <c r="U18" s="69"/>
      <c r="V18" s="69">
        <v>99171989</v>
      </c>
      <c r="W18" s="69">
        <f t="shared" si="2"/>
        <v>38994270</v>
      </c>
      <c r="X18" s="69"/>
      <c r="Y18" s="69"/>
      <c r="Z18" s="69">
        <f t="shared" si="0"/>
        <v>138166259</v>
      </c>
    </row>
    <row r="19" spans="1:26" ht="24" customHeight="1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0" t="s">
        <v>88</v>
      </c>
      <c r="P19" s="35">
        <v>46276</v>
      </c>
      <c r="Q19" s="48">
        <v>1338.2</v>
      </c>
      <c r="R19" s="31">
        <v>9275.84</v>
      </c>
      <c r="S19" s="41">
        <v>12412929</v>
      </c>
      <c r="T19" s="68"/>
      <c r="U19" s="68"/>
      <c r="V19" s="69">
        <v>9570768</v>
      </c>
      <c r="W19" s="69">
        <f t="shared" si="2"/>
        <v>2842161</v>
      </c>
      <c r="X19" s="69"/>
      <c r="Y19" s="69"/>
      <c r="Z19" s="69">
        <f>SUM(T19:Y19)</f>
        <v>12412929</v>
      </c>
    </row>
    <row r="20" spans="1:26" ht="24" customHeight="1">
      <c r="A20" s="6"/>
      <c r="B20" s="2"/>
      <c r="C20" s="2"/>
      <c r="F20" s="2"/>
      <c r="G20" s="2"/>
      <c r="H20" s="2"/>
      <c r="I20" s="2"/>
      <c r="J20" s="2"/>
      <c r="K20" s="2"/>
      <c r="L20" s="2"/>
      <c r="M20" s="2"/>
      <c r="N20" s="2"/>
      <c r="O20" s="40" t="s">
        <v>89</v>
      </c>
      <c r="P20" s="35">
        <v>46288</v>
      </c>
      <c r="Q20" s="48">
        <v>1360</v>
      </c>
      <c r="R20" s="31">
        <v>55428.82</v>
      </c>
      <c r="S20" s="41">
        <v>75383195</v>
      </c>
      <c r="T20" s="69"/>
      <c r="U20" s="69"/>
      <c r="V20" s="69">
        <v>35376797</v>
      </c>
      <c r="W20" s="69"/>
      <c r="X20" s="69">
        <f t="shared" si="1"/>
        <v>40006398</v>
      </c>
      <c r="Y20" s="69"/>
      <c r="Z20" s="69">
        <f t="shared" ref="Z20:Z28" si="3">SUM(T20:Y20)</f>
        <v>75383195</v>
      </c>
    </row>
    <row r="21" spans="1:26" ht="24" customHeight="1">
      <c r="A21" s="6"/>
      <c r="B21" s="2"/>
      <c r="C21" s="2"/>
      <c r="F21" s="2"/>
      <c r="G21" s="2"/>
      <c r="H21" s="2"/>
      <c r="I21" s="2"/>
      <c r="J21" s="2"/>
      <c r="K21" s="2"/>
      <c r="L21" s="2"/>
      <c r="M21" s="2"/>
      <c r="N21" s="2"/>
      <c r="O21" s="40" t="s">
        <v>90</v>
      </c>
      <c r="P21" s="35">
        <v>46285</v>
      </c>
      <c r="Q21" s="48">
        <v>1380.3</v>
      </c>
      <c r="R21" s="31">
        <v>31631.599999999999</v>
      </c>
      <c r="S21" s="41">
        <v>43661097</v>
      </c>
      <c r="T21" s="69"/>
      <c r="U21" s="69"/>
      <c r="V21" s="69">
        <v>36031246</v>
      </c>
      <c r="W21" s="69"/>
      <c r="X21" s="69">
        <f t="shared" si="1"/>
        <v>7629851</v>
      </c>
      <c r="Y21" s="69"/>
      <c r="Z21" s="69">
        <f t="shared" si="3"/>
        <v>43661097</v>
      </c>
    </row>
    <row r="22" spans="1:26" ht="24" customHeight="1">
      <c r="A22" s="6"/>
      <c r="B22" s="2"/>
      <c r="C22" s="2"/>
      <c r="F22" s="2"/>
      <c r="G22" s="2"/>
      <c r="H22" s="2"/>
      <c r="I22" s="2"/>
      <c r="J22" s="2"/>
      <c r="K22" s="2"/>
      <c r="L22" s="2"/>
      <c r="M22" s="2"/>
      <c r="N22" s="2"/>
      <c r="O22" s="40" t="s">
        <v>91</v>
      </c>
      <c r="P22" s="35">
        <v>46291</v>
      </c>
      <c r="Q22" s="48">
        <v>1360</v>
      </c>
      <c r="R22" s="31">
        <v>102197.75999999999</v>
      </c>
      <c r="S22" s="41">
        <v>138988953</v>
      </c>
      <c r="T22" s="69"/>
      <c r="U22" s="69"/>
      <c r="V22" s="69">
        <v>109915953</v>
      </c>
      <c r="W22" s="69">
        <f t="shared" ref="W22" si="4">S22-V22</f>
        <v>29073000</v>
      </c>
      <c r="X22" s="69"/>
      <c r="Y22" s="69"/>
      <c r="Z22" s="69">
        <f t="shared" si="3"/>
        <v>138988953</v>
      </c>
    </row>
    <row r="23" spans="1:26" ht="24" customHeight="1">
      <c r="A23" s="7"/>
      <c r="B23" s="8"/>
      <c r="C23" s="8"/>
      <c r="D23" s="9"/>
      <c r="E23" s="9"/>
      <c r="F23" s="8"/>
      <c r="G23" s="8"/>
      <c r="H23" s="8"/>
      <c r="I23" s="8"/>
      <c r="J23" s="8"/>
      <c r="K23" s="8"/>
      <c r="L23" s="8"/>
      <c r="M23" s="8"/>
      <c r="N23" s="8"/>
      <c r="O23" s="40" t="s">
        <v>92</v>
      </c>
      <c r="P23" s="35">
        <v>46272</v>
      </c>
      <c r="Q23" s="48">
        <v>1355.2</v>
      </c>
      <c r="R23" s="31">
        <v>60142.080000000002</v>
      </c>
      <c r="S23" s="41">
        <v>81504546</v>
      </c>
      <c r="T23" s="69"/>
      <c r="U23" s="69"/>
      <c r="V23" s="69">
        <v>58073268</v>
      </c>
      <c r="W23" s="69">
        <f t="shared" ref="W23:W25" si="5">S23-V23</f>
        <v>23431278</v>
      </c>
      <c r="X23" s="69"/>
      <c r="Y23" s="69"/>
      <c r="Z23" s="69">
        <f t="shared" si="3"/>
        <v>81504546</v>
      </c>
    </row>
    <row r="24" spans="1:26" ht="24" customHeight="1">
      <c r="A24" s="6"/>
      <c r="B24" s="2"/>
      <c r="C24" s="2"/>
      <c r="F24" s="2"/>
      <c r="G24" s="2"/>
      <c r="H24" s="2"/>
      <c r="I24" s="2"/>
      <c r="J24" s="2"/>
      <c r="K24" s="2"/>
      <c r="L24" s="2"/>
      <c r="M24" s="2"/>
      <c r="N24" s="2"/>
      <c r="O24" s="40" t="s">
        <v>93</v>
      </c>
      <c r="P24" s="35">
        <v>46295</v>
      </c>
      <c r="Q24" s="48">
        <v>1358.4</v>
      </c>
      <c r="R24" s="31">
        <v>3412.2</v>
      </c>
      <c r="S24" s="41">
        <v>4635132</v>
      </c>
      <c r="T24" s="69"/>
      <c r="U24" s="69"/>
      <c r="V24" s="69"/>
      <c r="W24" s="69"/>
      <c r="X24" s="69">
        <f t="shared" si="1"/>
        <v>4635132</v>
      </c>
      <c r="Y24" s="69"/>
      <c r="Z24" s="69">
        <f t="shared" si="3"/>
        <v>4635132</v>
      </c>
    </row>
    <row r="25" spans="1:26" ht="24" customHeight="1">
      <c r="A25" s="6"/>
      <c r="B25" s="2"/>
      <c r="C25" s="2"/>
      <c r="F25" s="2"/>
      <c r="G25" s="2"/>
      <c r="H25" s="2"/>
      <c r="I25" s="2"/>
      <c r="J25" s="2"/>
      <c r="K25" s="2"/>
      <c r="L25" s="2"/>
      <c r="M25" s="2"/>
      <c r="N25" s="2"/>
      <c r="O25" s="40" t="s">
        <v>94</v>
      </c>
      <c r="P25" s="35">
        <v>46272</v>
      </c>
      <c r="Q25" s="48">
        <v>1355.2</v>
      </c>
      <c r="R25" s="31">
        <v>47896.28</v>
      </c>
      <c r="S25" s="41">
        <v>64909038</v>
      </c>
      <c r="T25" s="69"/>
      <c r="U25" s="69"/>
      <c r="V25" s="69">
        <v>47492691</v>
      </c>
      <c r="W25" s="69">
        <f t="shared" si="5"/>
        <v>17416347</v>
      </c>
      <c r="X25" s="69"/>
      <c r="Y25" s="69"/>
      <c r="Z25" s="69">
        <f t="shared" si="3"/>
        <v>64909038</v>
      </c>
    </row>
    <row r="26" spans="1:26" ht="27" customHeight="1">
      <c r="A26" s="6"/>
      <c r="B26" s="2"/>
      <c r="C26" s="2"/>
      <c r="F26" s="2"/>
      <c r="G26" s="2"/>
      <c r="H26" s="2"/>
      <c r="I26" s="2"/>
      <c r="J26" s="2"/>
      <c r="K26" s="2"/>
      <c r="L26" s="2"/>
      <c r="M26" s="2"/>
      <c r="N26" s="2"/>
      <c r="O26" s="40" t="s">
        <v>95</v>
      </c>
      <c r="P26" s="35">
        <v>46267</v>
      </c>
      <c r="Q26" s="48">
        <v>1370.3</v>
      </c>
      <c r="R26" s="31">
        <v>1269.5</v>
      </c>
      <c r="S26" s="41">
        <v>1739595</v>
      </c>
      <c r="T26" s="69"/>
      <c r="U26" s="69"/>
      <c r="V26" s="69">
        <v>664976</v>
      </c>
      <c r="W26" s="69"/>
      <c r="X26" s="69">
        <f t="shared" si="1"/>
        <v>1074619</v>
      </c>
      <c r="Y26" s="69"/>
      <c r="Z26" s="69">
        <f t="shared" si="3"/>
        <v>1739595</v>
      </c>
    </row>
    <row r="27" spans="1:26" ht="30" customHeight="1">
      <c r="A27" s="7"/>
      <c r="B27" s="8"/>
      <c r="C27" s="8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40" t="s">
        <v>106</v>
      </c>
      <c r="P27" s="35">
        <v>46291</v>
      </c>
      <c r="Q27" s="48">
        <v>1360</v>
      </c>
      <c r="R27" s="31">
        <v>1855.26</v>
      </c>
      <c r="S27" s="41">
        <v>2523153</v>
      </c>
      <c r="T27" s="69"/>
      <c r="U27" s="69">
        <v>1593468</v>
      </c>
      <c r="V27" s="69"/>
      <c r="W27" s="69"/>
      <c r="X27" s="69">
        <f t="shared" si="1"/>
        <v>929685</v>
      </c>
      <c r="Y27" s="70"/>
      <c r="Z27" s="69">
        <f t="shared" si="3"/>
        <v>2523153</v>
      </c>
    </row>
    <row r="28" spans="1:26" ht="27" customHeight="1">
      <c r="A28" s="6"/>
      <c r="B28" s="2"/>
      <c r="C28" s="2"/>
      <c r="F28" s="2"/>
      <c r="G28" s="2"/>
      <c r="H28" s="2"/>
      <c r="I28" s="2"/>
      <c r="J28" s="2"/>
      <c r="K28" s="2"/>
      <c r="L28" s="2"/>
      <c r="M28" s="2"/>
      <c r="N28" s="2"/>
      <c r="O28" s="40" t="s">
        <v>96</v>
      </c>
      <c r="P28" s="35">
        <v>46287</v>
      </c>
      <c r="Q28" s="49">
        <v>1384.3</v>
      </c>
      <c r="R28" s="31">
        <v>60142.080000000002</v>
      </c>
      <c r="S28" s="41">
        <v>83254681</v>
      </c>
      <c r="T28" s="69"/>
      <c r="U28" s="69"/>
      <c r="V28" s="69">
        <v>59320266</v>
      </c>
      <c r="W28" s="69">
        <f t="shared" ref="W28" si="6">S28-V28</f>
        <v>23934415</v>
      </c>
      <c r="X28" s="69"/>
      <c r="Y28" s="69"/>
      <c r="Z28" s="69">
        <f t="shared" si="3"/>
        <v>83254681</v>
      </c>
    </row>
    <row r="29" spans="1:26" ht="27" customHeight="1">
      <c r="A29" s="6"/>
      <c r="B29" s="2"/>
      <c r="C29" s="2"/>
      <c r="F29" s="2"/>
      <c r="G29" s="2"/>
      <c r="H29" s="2"/>
      <c r="I29" s="2"/>
      <c r="J29" s="2"/>
      <c r="K29" s="2"/>
      <c r="L29" s="2"/>
      <c r="M29" s="2"/>
      <c r="N29" s="2"/>
      <c r="O29" s="40" t="s">
        <v>97</v>
      </c>
      <c r="P29" s="36">
        <v>46291</v>
      </c>
      <c r="Q29" s="49">
        <v>1360</v>
      </c>
      <c r="R29" s="31">
        <v>86229.36</v>
      </c>
      <c r="S29" s="41">
        <v>117271929</v>
      </c>
      <c r="T29" s="69"/>
      <c r="U29" s="69"/>
      <c r="V29" s="69">
        <v>92741585</v>
      </c>
      <c r="W29" s="69">
        <f>$S29-$V29</f>
        <v>24530344</v>
      </c>
      <c r="X29" s="69"/>
      <c r="Y29" s="69"/>
      <c r="Z29" s="69">
        <f t="shared" si="0"/>
        <v>117271929</v>
      </c>
    </row>
    <row r="30" spans="1:26" ht="24" customHeight="1">
      <c r="A30" s="6"/>
      <c r="B30" s="2"/>
      <c r="C30" s="2"/>
      <c r="F30" s="2"/>
      <c r="G30" s="2"/>
      <c r="H30" s="2"/>
      <c r="I30" s="2"/>
      <c r="J30" s="2"/>
      <c r="K30" s="2"/>
      <c r="L30" s="2"/>
      <c r="M30" s="2"/>
      <c r="N30" s="2"/>
      <c r="O30" s="40" t="s">
        <v>98</v>
      </c>
      <c r="P30" s="36">
        <v>46291</v>
      </c>
      <c r="Q30" s="49">
        <v>1360</v>
      </c>
      <c r="R30" s="31">
        <v>30006.9</v>
      </c>
      <c r="S30" s="41">
        <v>40809384</v>
      </c>
      <c r="T30" s="69"/>
      <c r="U30" s="69"/>
      <c r="V30" s="69">
        <v>33658784</v>
      </c>
      <c r="W30" s="69"/>
      <c r="X30" s="69">
        <f t="shared" si="1"/>
        <v>7150600</v>
      </c>
      <c r="Y30" s="69"/>
      <c r="Z30" s="69">
        <f t="shared" si="0"/>
        <v>40809384</v>
      </c>
    </row>
    <row r="31" spans="1:26" ht="24" customHeight="1">
      <c r="A31" s="7"/>
      <c r="B31" s="8"/>
      <c r="C31" s="8"/>
      <c r="D31" s="9"/>
      <c r="E31" s="9"/>
      <c r="F31" s="8"/>
      <c r="G31" s="8"/>
      <c r="H31" s="8"/>
      <c r="I31" s="8"/>
      <c r="J31" s="8"/>
      <c r="K31" s="8"/>
      <c r="L31" s="8"/>
      <c r="M31" s="8"/>
      <c r="N31" s="8"/>
      <c r="O31" s="40" t="s">
        <v>99</v>
      </c>
      <c r="P31" s="36">
        <v>46291</v>
      </c>
      <c r="Q31" s="49">
        <v>1360</v>
      </c>
      <c r="R31" s="31">
        <v>86229.36</v>
      </c>
      <c r="S31" s="41">
        <v>117271929</v>
      </c>
      <c r="T31" s="69"/>
      <c r="U31" s="69"/>
      <c r="V31" s="69">
        <v>92741585</v>
      </c>
      <c r="W31" s="69">
        <f>$S31-$V31</f>
        <v>24530344</v>
      </c>
      <c r="X31" s="69"/>
      <c r="Y31" s="69"/>
      <c r="Z31" s="69">
        <f t="shared" si="0"/>
        <v>117271929</v>
      </c>
    </row>
    <row r="32" spans="1:26" ht="24" customHeight="1">
      <c r="A32" s="7"/>
      <c r="B32" s="8"/>
      <c r="C32" s="142" t="s">
        <v>5</v>
      </c>
      <c r="D32" s="143"/>
      <c r="E32" s="143"/>
      <c r="F32" s="143"/>
      <c r="G32" s="143"/>
      <c r="H32" s="143"/>
      <c r="I32" s="143"/>
      <c r="J32" s="143"/>
      <c r="K32" s="143"/>
      <c r="L32" s="143"/>
      <c r="M32" s="144"/>
      <c r="N32" s="8"/>
      <c r="O32" s="40" t="s">
        <v>100</v>
      </c>
      <c r="P32" s="36">
        <v>46295</v>
      </c>
      <c r="Q32" s="49">
        <v>1358.4</v>
      </c>
      <c r="R32" s="31">
        <v>53653.1</v>
      </c>
      <c r="S32" s="41">
        <v>72882371</v>
      </c>
      <c r="T32" s="69"/>
      <c r="U32" s="69">
        <v>6712646</v>
      </c>
      <c r="V32" s="69">
        <v>37175561</v>
      </c>
      <c r="W32" s="69"/>
      <c r="X32" s="69">
        <f t="shared" si="1"/>
        <v>28994164</v>
      </c>
      <c r="Y32" s="69"/>
      <c r="Z32" s="69">
        <f t="shared" si="0"/>
        <v>72882371</v>
      </c>
    </row>
    <row r="33" spans="1:26" ht="24" customHeight="1">
      <c r="A33" s="7"/>
      <c r="B33" s="8"/>
      <c r="C33" s="129" t="s">
        <v>6</v>
      </c>
      <c r="D33" s="130"/>
      <c r="E33" s="145"/>
      <c r="F33" s="146"/>
      <c r="G33" s="12"/>
      <c r="H33" s="147"/>
      <c r="I33" s="146"/>
      <c r="J33" s="12"/>
      <c r="K33" s="147"/>
      <c r="L33" s="146"/>
      <c r="M33" s="148"/>
      <c r="N33" s="8"/>
      <c r="O33" s="40" t="s">
        <v>101</v>
      </c>
      <c r="P33" s="36">
        <v>46293</v>
      </c>
      <c r="Q33" s="49">
        <v>1352</v>
      </c>
      <c r="R33" s="31">
        <v>12956.58</v>
      </c>
      <c r="S33" s="41">
        <v>17517296</v>
      </c>
      <c r="T33" s="71"/>
      <c r="U33" s="71">
        <v>5328318</v>
      </c>
      <c r="V33" s="69"/>
      <c r="W33" s="69"/>
      <c r="X33" s="69">
        <f t="shared" si="1"/>
        <v>12188978</v>
      </c>
      <c r="Y33" s="74"/>
      <c r="Z33" s="69">
        <f t="shared" si="0"/>
        <v>17517296</v>
      </c>
    </row>
    <row r="34" spans="1:26" ht="24" customHeight="1">
      <c r="A34" s="7"/>
      <c r="B34" s="8"/>
      <c r="C34" s="129" t="s">
        <v>7</v>
      </c>
      <c r="D34" s="130"/>
      <c r="E34" s="131" t="s">
        <v>46</v>
      </c>
      <c r="F34" s="132"/>
      <c r="G34" s="132"/>
      <c r="H34" s="133"/>
      <c r="I34" s="130" t="s">
        <v>8</v>
      </c>
      <c r="J34" s="130"/>
      <c r="K34" s="134"/>
      <c r="L34" s="135"/>
      <c r="M34" s="136"/>
      <c r="N34" s="8"/>
      <c r="O34" s="40" t="s">
        <v>102</v>
      </c>
      <c r="P34" s="36">
        <v>46280</v>
      </c>
      <c r="Q34" s="49">
        <v>1345.3</v>
      </c>
      <c r="R34" s="31">
        <v>6855.3</v>
      </c>
      <c r="S34" s="41">
        <v>9222435</v>
      </c>
      <c r="T34" s="69"/>
      <c r="U34" s="69"/>
      <c r="V34" s="69">
        <v>3525358</v>
      </c>
      <c r="W34" s="69"/>
      <c r="X34" s="69">
        <f t="shared" si="1"/>
        <v>5697077</v>
      </c>
      <c r="Y34" s="74"/>
      <c r="Z34" s="69">
        <f t="shared" si="0"/>
        <v>9222435</v>
      </c>
    </row>
    <row r="35" spans="1:26" ht="24" customHeight="1">
      <c r="A35" s="7"/>
      <c r="B35" s="8"/>
      <c r="C35" s="129" t="s">
        <v>9</v>
      </c>
      <c r="D35" s="130"/>
      <c r="E35" s="137">
        <f>S38</f>
        <v>1980039885</v>
      </c>
      <c r="F35" s="138"/>
      <c r="G35" s="138"/>
      <c r="H35" s="139"/>
      <c r="I35" s="130" t="s">
        <v>10</v>
      </c>
      <c r="J35" s="130"/>
      <c r="K35" s="137"/>
      <c r="L35" s="138"/>
      <c r="M35" s="140"/>
      <c r="N35" s="8"/>
      <c r="O35" s="40" t="s">
        <v>103</v>
      </c>
      <c r="P35" s="36">
        <v>46274</v>
      </c>
      <c r="Q35" s="49">
        <v>1341.1</v>
      </c>
      <c r="R35" s="31">
        <v>85777.44</v>
      </c>
      <c r="S35" s="41">
        <v>115036124</v>
      </c>
      <c r="T35" s="69"/>
      <c r="U35" s="69"/>
      <c r="V35" s="69">
        <v>84921609</v>
      </c>
      <c r="W35" s="69"/>
      <c r="X35" s="69">
        <f t="shared" si="1"/>
        <v>30114515</v>
      </c>
      <c r="Y35" s="69"/>
      <c r="Z35" s="69">
        <f t="shared" si="0"/>
        <v>115036124</v>
      </c>
    </row>
    <row r="36" spans="1:26" ht="24" customHeight="1">
      <c r="A36" s="7"/>
      <c r="B36" s="8"/>
      <c r="C36" s="116" t="s">
        <v>11</v>
      </c>
      <c r="D36" s="117"/>
      <c r="E36" s="118"/>
      <c r="F36" s="119"/>
      <c r="G36" s="119"/>
      <c r="H36" s="17" t="s">
        <v>21</v>
      </c>
      <c r="I36" s="120">
        <f>E35</f>
        <v>1980039885</v>
      </c>
      <c r="J36" s="121"/>
      <c r="K36" s="121"/>
      <c r="L36" s="121"/>
      <c r="M36" s="122"/>
      <c r="N36" s="8"/>
      <c r="O36" s="40" t="s">
        <v>104</v>
      </c>
      <c r="P36" s="36">
        <v>46280</v>
      </c>
      <c r="Q36" s="49">
        <v>1345.3</v>
      </c>
      <c r="R36" s="31">
        <v>63542.879999999997</v>
      </c>
      <c r="S36" s="41">
        <v>85484236</v>
      </c>
      <c r="T36" s="69"/>
      <c r="U36" s="69"/>
      <c r="V36" s="69">
        <v>61771609</v>
      </c>
      <c r="W36" s="69"/>
      <c r="X36" s="69">
        <f t="shared" si="1"/>
        <v>23712627</v>
      </c>
      <c r="Y36" s="69"/>
      <c r="Z36" s="69">
        <f t="shared" si="0"/>
        <v>85484236</v>
      </c>
    </row>
    <row r="37" spans="1:26" ht="24" customHeight="1">
      <c r="A37" s="7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8"/>
      <c r="O37" s="40" t="s">
        <v>105</v>
      </c>
      <c r="P37" s="36">
        <v>46292</v>
      </c>
      <c r="Q37" s="49">
        <v>1360</v>
      </c>
      <c r="R37" s="31">
        <v>101638.08000000002</v>
      </c>
      <c r="S37" s="41">
        <v>138227788</v>
      </c>
      <c r="T37" s="69"/>
      <c r="U37" s="69"/>
      <c r="V37" s="69">
        <v>101259005</v>
      </c>
      <c r="W37" s="69"/>
      <c r="X37" s="69">
        <f t="shared" si="1"/>
        <v>36968783</v>
      </c>
      <c r="Y37" s="69"/>
      <c r="Z37" s="69">
        <f t="shared" si="0"/>
        <v>138227788</v>
      </c>
    </row>
    <row r="38" spans="1:26" ht="24" customHeight="1">
      <c r="A38" s="124" t="s">
        <v>12</v>
      </c>
      <c r="B38" s="125"/>
      <c r="C38" s="126" t="str">
        <f>NUMBERSTRING(I36, 1)</f>
        <v>일십구억팔천삼만구천팔백팔십오</v>
      </c>
      <c r="D38" s="126"/>
      <c r="E38" s="126"/>
      <c r="F38" s="126"/>
      <c r="G38" s="126"/>
      <c r="H38" s="126"/>
      <c r="I38" s="126"/>
      <c r="J38" s="98" t="s">
        <v>13</v>
      </c>
      <c r="K38" s="127">
        <f>I36</f>
        <v>1980039885</v>
      </c>
      <c r="L38" s="127"/>
      <c r="M38" s="127"/>
      <c r="N38" s="127"/>
      <c r="O38" s="40"/>
      <c r="P38" s="40"/>
      <c r="Q38" s="40"/>
      <c r="R38" s="60">
        <f>SUM(R9:R37)</f>
        <v>1457984.9</v>
      </c>
      <c r="S38" s="61">
        <f>SUM(S9:S37)</f>
        <v>1980039885</v>
      </c>
      <c r="T38" s="92"/>
      <c r="U38" s="91">
        <f>SUM(U9:U37)</f>
        <v>17137420</v>
      </c>
      <c r="V38" s="91">
        <f>SUM(V9:V37)</f>
        <v>1404107601</v>
      </c>
      <c r="W38" s="91">
        <f>SUM(W9:W37)</f>
        <v>284231694</v>
      </c>
      <c r="X38" s="91">
        <f>SUM(X9:X37)</f>
        <v>274563170</v>
      </c>
      <c r="Y38" s="54"/>
      <c r="Z38" s="43">
        <f>SUM(T38:Y38)</f>
        <v>1980039885</v>
      </c>
    </row>
    <row r="39" spans="1:26" ht="24" customHeight="1">
      <c r="A39" s="99" t="s">
        <v>14</v>
      </c>
      <c r="B39" s="99"/>
      <c r="C39" s="99"/>
      <c r="D39" s="108" t="s">
        <v>27</v>
      </c>
      <c r="E39" s="109"/>
      <c r="F39" s="109"/>
      <c r="G39" s="109"/>
      <c r="H39" s="109"/>
      <c r="I39" s="109"/>
      <c r="J39" s="99" t="s">
        <v>15</v>
      </c>
      <c r="K39" s="99"/>
      <c r="L39" s="110"/>
      <c r="M39" s="111"/>
      <c r="N39" s="111"/>
    </row>
    <row r="40" spans="1:26" ht="24" customHeight="1">
      <c r="A40" s="99" t="s">
        <v>16</v>
      </c>
      <c r="B40" s="99"/>
      <c r="C40" s="99"/>
      <c r="D40" s="113" t="s">
        <v>37</v>
      </c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  <row r="41" spans="1:26" ht="24" customHeight="1">
      <c r="A41" s="99" t="s">
        <v>17</v>
      </c>
      <c r="B41" s="99"/>
      <c r="C41" s="99"/>
      <c r="D41" s="100" t="s">
        <v>18</v>
      </c>
      <c r="E41" s="101"/>
      <c r="F41" s="101"/>
      <c r="G41" s="102"/>
      <c r="H41" s="103" t="s">
        <v>19</v>
      </c>
      <c r="I41" s="104"/>
      <c r="J41" s="105"/>
      <c r="K41" s="106"/>
      <c r="L41" s="106"/>
      <c r="M41" s="106"/>
      <c r="N41" s="158"/>
    </row>
    <row r="42" spans="1:26" ht="24" customHeight="1">
      <c r="A42" s="107" t="s">
        <v>20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P42" s="2"/>
      <c r="Q42" s="2"/>
    </row>
    <row r="43" spans="1:26" ht="24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2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2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2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>
        <f>+C55</f>
        <v>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</sheetData>
  <mergeCells count="38">
    <mergeCell ref="A41:C41"/>
    <mergeCell ref="D41:G41"/>
    <mergeCell ref="H41:J41"/>
    <mergeCell ref="K41:N41"/>
    <mergeCell ref="A42:N42"/>
    <mergeCell ref="A39:C39"/>
    <mergeCell ref="D39:I39"/>
    <mergeCell ref="J39:K39"/>
    <mergeCell ref="L39:N39"/>
    <mergeCell ref="A40:C40"/>
    <mergeCell ref="D40:N40"/>
    <mergeCell ref="C36:D36"/>
    <mergeCell ref="E36:G36"/>
    <mergeCell ref="I36:M36"/>
    <mergeCell ref="B37:M37"/>
    <mergeCell ref="A38:B38"/>
    <mergeCell ref="K38:N38"/>
    <mergeCell ref="C38:I38"/>
    <mergeCell ref="C34:D34"/>
    <mergeCell ref="E34:H34"/>
    <mergeCell ref="I34:J34"/>
    <mergeCell ref="K34:M34"/>
    <mergeCell ref="C35:D35"/>
    <mergeCell ref="E35:H35"/>
    <mergeCell ref="I35:J35"/>
    <mergeCell ref="K35:M35"/>
    <mergeCell ref="E12:F12"/>
    <mergeCell ref="C32:M32"/>
    <mergeCell ref="C33:D33"/>
    <mergeCell ref="E33:F33"/>
    <mergeCell ref="H33:I33"/>
    <mergeCell ref="K33:M33"/>
    <mergeCell ref="C10:G10"/>
    <mergeCell ref="A1:N1"/>
    <mergeCell ref="A3:A5"/>
    <mergeCell ref="J3:J5"/>
    <mergeCell ref="A7:N8"/>
    <mergeCell ref="E9:F9"/>
  </mergeCells>
  <phoneticPr fontId="5" type="noConversion"/>
  <conditionalFormatting sqref="O9:S37 O38:Q38 T38:Y38">
    <cfRule type="expression" dxfId="10" priority="2">
      <formula>#REF!="*01월*"</formula>
    </cfRule>
  </conditionalFormatting>
  <pageMargins left="0.19685039370078741" right="0.20588235294117646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78B4-D01C-4FF5-B391-5675E4F125E8}">
  <sheetPr codeName="Sheet5">
    <tabColor theme="0"/>
  </sheetPr>
  <dimension ref="A1:Z75"/>
  <sheetViews>
    <sheetView view="pageLayout" topLeftCell="H10" zoomScale="85" zoomScaleNormal="100" zoomScalePageLayoutView="85" workbookViewId="0">
      <selection activeCell="V12" sqref="V12:V16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4.3984375" style="1" customWidth="1"/>
    <col min="11" max="14" width="6.8984375" style="1" customWidth="1"/>
    <col min="15" max="18" width="13.3984375" style="1" customWidth="1"/>
    <col min="19" max="19" width="13.3984375" style="72" customWidth="1"/>
    <col min="20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  <c r="R3" s="73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  <c r="R4" s="73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  <c r="R5" s="73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52" t="s">
        <v>31</v>
      </c>
      <c r="P11" s="52" t="s">
        <v>32</v>
      </c>
      <c r="Q11" s="52" t="s">
        <v>33</v>
      </c>
      <c r="R11" s="52" t="s">
        <v>34</v>
      </c>
      <c r="S11" s="24" t="s">
        <v>38</v>
      </c>
      <c r="T11" s="51" t="s">
        <v>28</v>
      </c>
      <c r="U11" s="51" t="s">
        <v>29</v>
      </c>
      <c r="V11" s="51" t="s">
        <v>30</v>
      </c>
      <c r="W11" s="26" t="s">
        <v>57</v>
      </c>
      <c r="X11" s="26" t="s">
        <v>58</v>
      </c>
      <c r="Y11" s="26" t="s">
        <v>59</v>
      </c>
      <c r="Z11" s="52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54" t="s">
        <v>107</v>
      </c>
      <c r="P12" s="56">
        <v>46267</v>
      </c>
      <c r="Q12" s="85">
        <v>1370.3</v>
      </c>
      <c r="R12" s="86">
        <v>47561.04</v>
      </c>
      <c r="S12" s="41">
        <v>65172893</v>
      </c>
      <c r="T12" s="44"/>
      <c r="U12" s="44"/>
      <c r="V12" s="43">
        <v>45614241</v>
      </c>
      <c r="W12" s="44"/>
      <c r="X12" s="43">
        <f>S12-V12</f>
        <v>19558652</v>
      </c>
      <c r="Y12" s="43"/>
      <c r="Z12" s="43">
        <f>SUM(T12:Y12)</f>
        <v>65172893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55" t="s">
        <v>108</v>
      </c>
      <c r="P13" s="29">
        <v>46270</v>
      </c>
      <c r="Q13" s="87">
        <v>1359.5</v>
      </c>
      <c r="R13" s="86">
        <v>32788.800000000003</v>
      </c>
      <c r="S13" s="41">
        <v>44576373</v>
      </c>
      <c r="T13" s="43"/>
      <c r="U13" s="43"/>
      <c r="V13" s="43">
        <v>31247050</v>
      </c>
      <c r="W13" s="43"/>
      <c r="X13" s="43">
        <f t="shared" ref="X13" si="0">S13-V13</f>
        <v>13329323</v>
      </c>
      <c r="Y13" s="43"/>
      <c r="Z13" s="43">
        <f t="shared" ref="Z13" si="1">SUM(T13:Y13)</f>
        <v>44576373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4" t="s">
        <v>111</v>
      </c>
      <c r="P14" s="56">
        <v>46272</v>
      </c>
      <c r="Q14" s="85">
        <v>1355.2</v>
      </c>
      <c r="R14" s="86">
        <v>62390.879999999997</v>
      </c>
      <c r="S14" s="41">
        <v>84552120</v>
      </c>
      <c r="T14" s="44"/>
      <c r="U14" s="44"/>
      <c r="V14" s="43">
        <v>60656281</v>
      </c>
      <c r="W14" s="44"/>
      <c r="X14" s="43">
        <f>S14-V14</f>
        <v>23895839</v>
      </c>
      <c r="Y14" s="43"/>
      <c r="Z14" s="43">
        <f>SUM(T14:Y14)</f>
        <v>84552120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55" t="s">
        <v>109</v>
      </c>
      <c r="P15" s="29">
        <v>46293</v>
      </c>
      <c r="Q15" s="87">
        <v>1352</v>
      </c>
      <c r="R15" s="86">
        <v>38786.400000000001</v>
      </c>
      <c r="S15" s="41">
        <v>52439212</v>
      </c>
      <c r="T15" s="43"/>
      <c r="U15" s="43"/>
      <c r="V15" s="43">
        <v>37656204</v>
      </c>
      <c r="W15" s="43"/>
      <c r="X15" s="43">
        <f t="shared" ref="X15" si="2">S15-V15</f>
        <v>14783008</v>
      </c>
      <c r="Y15" s="43"/>
      <c r="Z15" s="43">
        <f t="shared" ref="Z15" si="3">SUM(T15:Y15)</f>
        <v>52439212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54" t="s">
        <v>110</v>
      </c>
      <c r="P16" s="56">
        <v>46293</v>
      </c>
      <c r="Q16" s="85">
        <v>1352</v>
      </c>
      <c r="R16" s="86">
        <v>53401.68</v>
      </c>
      <c r="S16" s="41">
        <v>72199071</v>
      </c>
      <c r="T16" s="44"/>
      <c r="U16" s="44"/>
      <c r="V16" s="43">
        <v>50539296</v>
      </c>
      <c r="W16" s="44"/>
      <c r="X16" s="43">
        <f>S16-V16</f>
        <v>21659775</v>
      </c>
      <c r="Y16" s="43"/>
      <c r="Z16" s="43">
        <f>SUM(T16:Y16)</f>
        <v>72199071</v>
      </c>
    </row>
    <row r="17" spans="1:26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41"/>
      <c r="P17" s="41"/>
      <c r="Q17" s="41"/>
      <c r="R17" s="60">
        <f>SUM(R12:R16)</f>
        <v>234928.8</v>
      </c>
      <c r="S17" s="61">
        <f>SUM(S12:S16)</f>
        <v>318939669</v>
      </c>
      <c r="T17" s="43"/>
      <c r="U17" s="43"/>
      <c r="V17" s="43">
        <f>SUM(V12:V16)</f>
        <v>225713072</v>
      </c>
      <c r="W17" s="43"/>
      <c r="X17" s="43">
        <f>SUM(X12:X16)</f>
        <v>93226597</v>
      </c>
      <c r="Y17" s="43"/>
      <c r="Z17" s="43">
        <f>SUM(T17:Y17)</f>
        <v>318939669</v>
      </c>
    </row>
    <row r="18" spans="1:26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2"/>
      <c r="P18" s="2"/>
      <c r="Q18" s="2"/>
      <c r="S18" s="41"/>
    </row>
    <row r="19" spans="1:26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2"/>
      <c r="P19" s="2"/>
      <c r="Q19" s="2"/>
    </row>
    <row r="20" spans="1:26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2"/>
      <c r="P20" s="2"/>
      <c r="Q20" s="2"/>
    </row>
    <row r="21" spans="1:26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2"/>
      <c r="P21" s="2"/>
      <c r="Q21" s="2"/>
    </row>
    <row r="22" spans="1:26" ht="24" customHeight="1">
      <c r="A22" s="7"/>
      <c r="B22" s="8"/>
      <c r="C22" s="129" t="s">
        <v>7</v>
      </c>
      <c r="D22" s="130"/>
      <c r="E22" s="131" t="s">
        <v>47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2"/>
      <c r="P22" s="2"/>
      <c r="Q22" s="2"/>
      <c r="S22" s="41"/>
    </row>
    <row r="23" spans="1:26" ht="24" customHeight="1">
      <c r="A23" s="7"/>
      <c r="B23" s="8"/>
      <c r="C23" s="129" t="s">
        <v>9</v>
      </c>
      <c r="D23" s="130"/>
      <c r="E23" s="137">
        <f>S17</f>
        <v>318939669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"/>
      <c r="P23" s="2"/>
      <c r="Q23" s="2"/>
      <c r="S23" s="41"/>
    </row>
    <row r="24" spans="1:26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318939669</v>
      </c>
      <c r="J24" s="121"/>
      <c r="K24" s="121"/>
      <c r="L24" s="121"/>
      <c r="M24" s="122"/>
      <c r="N24" s="10"/>
      <c r="O24" s="2"/>
      <c r="P24" s="2"/>
      <c r="Q24" s="2"/>
      <c r="S24" s="41"/>
    </row>
    <row r="25" spans="1:26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"/>
      <c r="P25" s="2"/>
      <c r="Q25" s="2"/>
      <c r="S25" s="41"/>
    </row>
    <row r="26" spans="1:26" ht="27" customHeight="1">
      <c r="A26" s="124" t="s">
        <v>12</v>
      </c>
      <c r="B26" s="125"/>
      <c r="C26" s="126" t="str">
        <f>NUMBERSTRING(I24, 1)</f>
        <v>삼억일천팔백구십삼만구천육백육십구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318939669</v>
      </c>
      <c r="L26" s="127"/>
      <c r="M26" s="127"/>
      <c r="N26" s="128"/>
      <c r="O26" s="2"/>
      <c r="P26" s="2"/>
      <c r="Q26" s="2"/>
      <c r="S26" s="41"/>
    </row>
    <row r="27" spans="1:26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  <c r="Q27" s="2"/>
      <c r="S27" s="41"/>
    </row>
    <row r="28" spans="1:26" ht="27" customHeight="1">
      <c r="A28" s="99" t="s">
        <v>16</v>
      </c>
      <c r="B28" s="99"/>
      <c r="C28" s="99"/>
      <c r="D28" s="113" t="s">
        <v>37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  <c r="S28" s="41"/>
    </row>
    <row r="29" spans="1:26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  <c r="S29" s="41"/>
    </row>
    <row r="30" spans="1:26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  <c r="S30" s="41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41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1"/>
    </row>
    <row r="33" spans="1:19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1"/>
    </row>
    <row r="34" spans="1:19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1"/>
    </row>
    <row r="35" spans="1:19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41"/>
    </row>
    <row r="36" spans="1:19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S36" s="41"/>
    </row>
    <row r="37" spans="1:19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41"/>
    </row>
    <row r="38" spans="1:19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S38" s="41"/>
    </row>
    <row r="39" spans="1:1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S39" s="41"/>
    </row>
    <row r="40" spans="1:19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S40" s="41"/>
    </row>
    <row r="41" spans="1:19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S41" s="41"/>
    </row>
    <row r="42" spans="1:19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S42" s="41"/>
    </row>
    <row r="43" spans="1:19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S43" s="41"/>
    </row>
    <row r="44" spans="1:19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S44" s="77">
        <f>SUM(S17:S43)</f>
        <v>318939669</v>
      </c>
    </row>
    <row r="45" spans="1:19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9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9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9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7:Q17 S17:S18 S22:S43">
    <cfRule type="expression" dxfId="9" priority="8">
      <formula>#REF!="*01월*"</formula>
    </cfRule>
  </conditionalFormatting>
  <conditionalFormatting sqref="O12:S16">
    <cfRule type="expression" dxfId="8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4BF2-EC84-4482-9D09-F0FC68D711CA}">
  <sheetPr codeName="Sheet6">
    <tabColor theme="0"/>
  </sheetPr>
  <dimension ref="A1:Z75"/>
  <sheetViews>
    <sheetView view="pageLayout" topLeftCell="M7" zoomScale="85" zoomScaleNormal="100" zoomScalePageLayoutView="85" workbookViewId="0">
      <selection activeCell="V14" sqref="V14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69921875" style="1" customWidth="1"/>
    <col min="11" max="14" width="8.19921875" style="1" customWidth="1"/>
    <col min="15" max="18" width="13.3984375" style="1" customWidth="1"/>
    <col min="19" max="19" width="13.3984375" style="72" customWidth="1"/>
    <col min="20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  <c r="R3" s="73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  <c r="R4" s="73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  <c r="R5" s="73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4" t="s">
        <v>38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40" t="s">
        <v>136</v>
      </c>
      <c r="P12" s="36">
        <v>46275</v>
      </c>
      <c r="Q12" s="30">
        <v>1337.9</v>
      </c>
      <c r="R12" s="88">
        <v>12939</v>
      </c>
      <c r="S12" s="43">
        <v>17311088</v>
      </c>
      <c r="T12" s="43"/>
      <c r="U12" s="43"/>
      <c r="V12" s="43">
        <v>12021626</v>
      </c>
      <c r="W12" s="44"/>
      <c r="X12" s="43"/>
      <c r="Y12" s="43">
        <f>S12-V12</f>
        <v>5289462</v>
      </c>
      <c r="Z12" s="43">
        <f t="shared" ref="Z12:Z14" si="0">SUM(T12:Y12)</f>
        <v>17311088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40" t="s">
        <v>137</v>
      </c>
      <c r="P13" s="36">
        <v>46268</v>
      </c>
      <c r="Q13" s="30">
        <v>1369.4</v>
      </c>
      <c r="R13" s="88">
        <v>927.64</v>
      </c>
      <c r="S13" s="43">
        <v>1270310</v>
      </c>
      <c r="T13" s="43"/>
      <c r="U13" s="43"/>
      <c r="V13" s="43">
        <v>802532</v>
      </c>
      <c r="W13" s="43"/>
      <c r="X13" s="43"/>
      <c r="Y13" s="43">
        <f t="shared" ref="Y13:Y18" si="1">S13-V13</f>
        <v>467778</v>
      </c>
      <c r="Z13" s="43">
        <f t="shared" si="0"/>
        <v>1270310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40" t="s">
        <v>131</v>
      </c>
      <c r="P14" s="36">
        <v>46268</v>
      </c>
      <c r="Q14" s="30">
        <v>1369.4</v>
      </c>
      <c r="R14" s="88">
        <v>2301.42</v>
      </c>
      <c r="S14" s="43">
        <v>3151564</v>
      </c>
      <c r="T14" s="43"/>
      <c r="U14" s="43"/>
      <c r="V14" s="43">
        <v>1857403</v>
      </c>
      <c r="W14" s="43"/>
      <c r="X14" s="43"/>
      <c r="Y14" s="43">
        <f t="shared" si="1"/>
        <v>1294161</v>
      </c>
      <c r="Z14" s="43">
        <f t="shared" si="0"/>
        <v>3151564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40" t="s">
        <v>132</v>
      </c>
      <c r="P15" s="36">
        <v>46281</v>
      </c>
      <c r="Q15" s="30">
        <v>1353.3</v>
      </c>
      <c r="R15" s="88">
        <v>488.88</v>
      </c>
      <c r="S15" s="93">
        <v>661601</v>
      </c>
      <c r="T15" s="43"/>
      <c r="U15" s="43"/>
      <c r="V15" s="93">
        <v>393252</v>
      </c>
      <c r="W15" s="93"/>
      <c r="X15" s="43"/>
      <c r="Y15" s="43">
        <f t="shared" si="1"/>
        <v>268349</v>
      </c>
      <c r="Z15" s="43">
        <f t="shared" ref="Z15:Z18" si="2">SUM(T15:Y15)</f>
        <v>661601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40" t="s">
        <v>133</v>
      </c>
      <c r="P16" s="35">
        <v>46280</v>
      </c>
      <c r="Q16" s="30">
        <v>1345.3</v>
      </c>
      <c r="R16" s="88">
        <v>3573.68</v>
      </c>
      <c r="S16" s="43">
        <v>4807671</v>
      </c>
      <c r="T16" s="43"/>
      <c r="U16" s="43"/>
      <c r="V16" s="43">
        <v>3126781</v>
      </c>
      <c r="W16" s="43"/>
      <c r="X16" s="43"/>
      <c r="Y16" s="43">
        <f t="shared" si="1"/>
        <v>1680890</v>
      </c>
      <c r="Z16" s="43">
        <f t="shared" si="2"/>
        <v>4807671</v>
      </c>
    </row>
    <row r="17" spans="1:26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40" t="s">
        <v>134</v>
      </c>
      <c r="P17" s="36">
        <v>46274</v>
      </c>
      <c r="Q17" s="30">
        <v>1341.1</v>
      </c>
      <c r="R17" s="88">
        <v>1872.18</v>
      </c>
      <c r="S17" s="93">
        <v>2510780</v>
      </c>
      <c r="T17" s="43"/>
      <c r="U17" s="43"/>
      <c r="V17" s="93">
        <v>1543473</v>
      </c>
      <c r="W17" s="93"/>
      <c r="X17" s="43"/>
      <c r="Y17" s="43">
        <f t="shared" ref="Y17" si="3">S17-V17</f>
        <v>967307</v>
      </c>
      <c r="Z17" s="43">
        <f t="shared" ref="Z17" si="4">SUM(T17:Y17)</f>
        <v>2510780</v>
      </c>
    </row>
    <row r="18" spans="1:26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40" t="s">
        <v>135</v>
      </c>
      <c r="P18" s="36">
        <v>46275</v>
      </c>
      <c r="Q18" s="30">
        <v>1337.9</v>
      </c>
      <c r="R18" s="88">
        <v>1124.3</v>
      </c>
      <c r="S18" s="93">
        <v>1504200</v>
      </c>
      <c r="T18" s="43"/>
      <c r="U18" s="43"/>
      <c r="V18" s="93">
        <v>1022977</v>
      </c>
      <c r="W18" s="93"/>
      <c r="X18" s="43"/>
      <c r="Y18" s="43">
        <f t="shared" si="1"/>
        <v>481223</v>
      </c>
      <c r="Z18" s="43">
        <f t="shared" si="2"/>
        <v>1504200</v>
      </c>
    </row>
    <row r="19" spans="1:26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41"/>
      <c r="P19" s="41"/>
      <c r="Q19" s="41"/>
      <c r="R19" s="96">
        <f>SUM(R12:R18)</f>
        <v>23227.1</v>
      </c>
      <c r="S19" s="61">
        <f>SUM(S12:S18)</f>
        <v>31217214</v>
      </c>
      <c r="T19" s="43"/>
      <c r="U19" s="43"/>
      <c r="V19" s="43">
        <f>SUM(V12:V18)</f>
        <v>20768044</v>
      </c>
      <c r="W19" s="43"/>
      <c r="X19" s="43"/>
      <c r="Y19" s="43">
        <f>SUM(Y12:Y18)</f>
        <v>10449170</v>
      </c>
      <c r="Z19" s="43">
        <f>SUM(T19:Y19)</f>
        <v>31217214</v>
      </c>
    </row>
    <row r="20" spans="1:26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8"/>
      <c r="P20" s="8"/>
      <c r="Q20" s="8"/>
      <c r="S20" s="41"/>
    </row>
    <row r="21" spans="1:26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  <c r="Q21" s="8"/>
    </row>
    <row r="22" spans="1:26" ht="24" customHeight="1">
      <c r="A22" s="7"/>
      <c r="B22" s="8"/>
      <c r="C22" s="129" t="s">
        <v>7</v>
      </c>
      <c r="D22" s="130"/>
      <c r="E22" s="131" t="s">
        <v>48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21"/>
      <c r="P22" s="21"/>
      <c r="Q22" s="21"/>
    </row>
    <row r="23" spans="1:26" ht="24" customHeight="1">
      <c r="A23" s="7"/>
      <c r="B23" s="8"/>
      <c r="C23" s="129" t="s">
        <v>9</v>
      </c>
      <c r="D23" s="130"/>
      <c r="E23" s="137">
        <f>S19</f>
        <v>31217214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7"/>
      <c r="P23" s="27"/>
      <c r="Q23" s="27"/>
    </row>
    <row r="24" spans="1:26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31217214</v>
      </c>
      <c r="J24" s="121"/>
      <c r="K24" s="121"/>
      <c r="L24" s="121"/>
      <c r="M24" s="122"/>
      <c r="N24" s="10"/>
      <c r="O24" s="22"/>
      <c r="P24" s="22"/>
      <c r="Q24" s="22"/>
      <c r="S24" s="41"/>
    </row>
    <row r="25" spans="1:26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3"/>
      <c r="P25" s="23"/>
      <c r="Q25" s="23"/>
      <c r="S25" s="41"/>
      <c r="X25" s="11"/>
    </row>
    <row r="26" spans="1:26" ht="27" customHeight="1">
      <c r="A26" s="124" t="s">
        <v>12</v>
      </c>
      <c r="B26" s="125"/>
      <c r="C26" s="126" t="str">
        <f>NUMBERSTRING(I24, 1)</f>
        <v>삼천일백이십일만칠천이백일십사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31217214</v>
      </c>
      <c r="L26" s="127"/>
      <c r="M26" s="127"/>
      <c r="N26" s="128"/>
      <c r="O26" s="2"/>
      <c r="P26" s="2"/>
      <c r="Q26" s="2"/>
      <c r="S26" s="41"/>
    </row>
    <row r="27" spans="1:26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  <c r="Q27" s="2"/>
      <c r="S27" s="41"/>
    </row>
    <row r="28" spans="1:26" ht="27" customHeight="1">
      <c r="A28" s="99" t="s">
        <v>16</v>
      </c>
      <c r="B28" s="99"/>
      <c r="C28" s="99"/>
      <c r="D28" s="113" t="s">
        <v>37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  <c r="S28" s="41"/>
    </row>
    <row r="29" spans="1:26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  <c r="S29" s="41"/>
    </row>
    <row r="30" spans="1:26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  <c r="S30" s="41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S31" s="41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S32" s="41"/>
    </row>
    <row r="33" spans="1:19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S33" s="41"/>
    </row>
    <row r="34" spans="1:19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S34" s="41"/>
    </row>
    <row r="35" spans="1:19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41"/>
    </row>
    <row r="36" spans="1:19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S36" s="41"/>
    </row>
    <row r="37" spans="1:19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S37" s="41"/>
    </row>
    <row r="38" spans="1:19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S38" s="41"/>
    </row>
    <row r="39" spans="1:19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S39" s="41"/>
    </row>
    <row r="40" spans="1:19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S40" s="41"/>
    </row>
    <row r="41" spans="1:19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S41" s="41"/>
    </row>
    <row r="42" spans="1:19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S42" s="41"/>
    </row>
    <row r="43" spans="1:19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S43" s="41"/>
    </row>
    <row r="44" spans="1:19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S44" s="41"/>
    </row>
    <row r="45" spans="1:19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S45" s="41"/>
    </row>
    <row r="46" spans="1:19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S46" s="77">
        <f>SUM(S12:S45)</f>
        <v>62434428</v>
      </c>
    </row>
    <row r="47" spans="1:19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9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2:S18 O19:Q19 S19:S20 S24:S45">
    <cfRule type="expression" dxfId="7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9877-4B74-4A9C-A149-B3D7ADE8D415}">
  <sheetPr codeName="Sheet7">
    <tabColor theme="0"/>
  </sheetPr>
  <dimension ref="A1:Z75"/>
  <sheetViews>
    <sheetView view="pageLayout" topLeftCell="I7" zoomScale="85" zoomScaleNormal="100" zoomScalePageLayoutView="85" workbookViewId="0">
      <selection activeCell="T14" sqref="T14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69921875" style="1" customWidth="1"/>
    <col min="11" max="14" width="7.5" style="1" customWidth="1"/>
    <col min="15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4" t="s">
        <v>38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28" t="s">
        <v>112</v>
      </c>
      <c r="P12" s="36">
        <v>46267</v>
      </c>
      <c r="Q12" s="30">
        <v>1370.3</v>
      </c>
      <c r="R12" s="31">
        <v>24143.39</v>
      </c>
      <c r="S12" s="41">
        <v>33083687</v>
      </c>
      <c r="T12" s="64">
        <v>26094923</v>
      </c>
      <c r="U12" s="34"/>
      <c r="V12" s="34"/>
      <c r="W12" s="34"/>
      <c r="X12" s="34"/>
      <c r="Y12" s="34">
        <f>S12-T12</f>
        <v>6988764</v>
      </c>
      <c r="Z12" s="65">
        <f>SUM(T12:Y12)</f>
        <v>33083687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28" t="s">
        <v>113</v>
      </c>
      <c r="P13" s="36">
        <v>46276</v>
      </c>
      <c r="Q13" s="30">
        <v>1338.2</v>
      </c>
      <c r="R13" s="31">
        <v>28589.05</v>
      </c>
      <c r="S13" s="41">
        <v>38257866</v>
      </c>
      <c r="T13" s="64">
        <v>29103385</v>
      </c>
      <c r="U13" s="34"/>
      <c r="V13" s="34"/>
      <c r="W13" s="34"/>
      <c r="X13" s="34"/>
      <c r="Y13" s="34">
        <f t="shared" ref="Y13" si="0">S13-T13</f>
        <v>9154481</v>
      </c>
      <c r="Z13" s="65">
        <f t="shared" ref="Z13" si="1">SUM(T13:Y13)</f>
        <v>38257866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28" t="s">
        <v>114</v>
      </c>
      <c r="P14" s="36">
        <v>46274</v>
      </c>
      <c r="Q14" s="30">
        <v>1341.1</v>
      </c>
      <c r="R14" s="31">
        <v>8163.21</v>
      </c>
      <c r="S14" s="41">
        <v>10947680</v>
      </c>
      <c r="T14" s="64">
        <v>7170539</v>
      </c>
      <c r="U14" s="34"/>
      <c r="V14" s="34"/>
      <c r="W14" s="34"/>
      <c r="X14" s="34"/>
      <c r="Y14" s="34">
        <f>S14-T14</f>
        <v>3777141</v>
      </c>
      <c r="Z14" s="65">
        <f>SUM(T14:Y14)</f>
        <v>10947680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28" t="s">
        <v>115</v>
      </c>
      <c r="P15" s="36">
        <v>46278</v>
      </c>
      <c r="Q15" s="30">
        <v>1338.2</v>
      </c>
      <c r="R15" s="31">
        <v>16087.35</v>
      </c>
      <c r="S15" s="41">
        <v>21528091</v>
      </c>
      <c r="T15" s="64">
        <v>17436857</v>
      </c>
      <c r="U15" s="34"/>
      <c r="V15" s="34"/>
      <c r="W15" s="34"/>
      <c r="X15" s="34"/>
      <c r="Y15" s="34">
        <f>S15-T15</f>
        <v>4091234</v>
      </c>
      <c r="Z15" s="65">
        <f>SUM(T15:Y15)</f>
        <v>21528091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28" t="s">
        <v>116</v>
      </c>
      <c r="P16" s="36">
        <v>46295</v>
      </c>
      <c r="Q16" s="30">
        <v>1358.4</v>
      </c>
      <c r="R16" s="31">
        <v>27641.37</v>
      </c>
      <c r="S16" s="41">
        <v>37548037</v>
      </c>
      <c r="T16" s="64">
        <v>28657342</v>
      </c>
      <c r="U16" s="34"/>
      <c r="V16" s="34"/>
      <c r="W16" s="34"/>
      <c r="X16" s="34"/>
      <c r="Y16" s="34">
        <f t="shared" ref="Y16" si="2">S16-T16</f>
        <v>8890695</v>
      </c>
      <c r="Z16" s="65">
        <f t="shared" ref="Z16" si="3">SUM(T16:Y16)</f>
        <v>37548037</v>
      </c>
    </row>
    <row r="17" spans="1:26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28"/>
      <c r="P17" s="36"/>
      <c r="Q17" s="30"/>
      <c r="R17" s="60">
        <f>SUM(R12:R16)</f>
        <v>104624.37</v>
      </c>
      <c r="S17" s="61">
        <f>SUM(S12:S16)</f>
        <v>141365361</v>
      </c>
      <c r="T17" s="43">
        <f>SUM(T12:T16)</f>
        <v>108463046</v>
      </c>
      <c r="U17" s="43"/>
      <c r="V17" s="43"/>
      <c r="W17" s="43"/>
      <c r="X17" s="43"/>
      <c r="Y17" s="43">
        <f>SUM(Y12:Y16)</f>
        <v>32902315</v>
      </c>
      <c r="Z17" s="50">
        <f>SUM(T17:Y17)</f>
        <v>141365361</v>
      </c>
    </row>
    <row r="18" spans="1:26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2"/>
      <c r="P18" s="2"/>
      <c r="Q18" s="2"/>
      <c r="S18" s="41"/>
    </row>
    <row r="19" spans="1:26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8"/>
      <c r="P19" s="8"/>
      <c r="Q19" s="8"/>
      <c r="S19" s="41"/>
    </row>
    <row r="20" spans="1:26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8"/>
      <c r="P20" s="8"/>
      <c r="Q20" s="8"/>
      <c r="S20" s="41"/>
    </row>
    <row r="21" spans="1:26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  <c r="Q21" s="8"/>
      <c r="S21" s="41"/>
      <c r="Y21" s="11"/>
    </row>
    <row r="22" spans="1:26" ht="24" customHeight="1">
      <c r="A22" s="7"/>
      <c r="B22" s="8"/>
      <c r="C22" s="129" t="s">
        <v>7</v>
      </c>
      <c r="D22" s="130"/>
      <c r="E22" s="131" t="s">
        <v>49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8"/>
      <c r="P22" s="8"/>
      <c r="Q22" s="8"/>
      <c r="S22" s="41"/>
    </row>
    <row r="23" spans="1:26" ht="24" customHeight="1">
      <c r="A23" s="7"/>
      <c r="B23" s="8"/>
      <c r="C23" s="129" t="s">
        <v>9</v>
      </c>
      <c r="D23" s="130"/>
      <c r="E23" s="137">
        <f>S17</f>
        <v>141365361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8"/>
      <c r="P23" s="8"/>
      <c r="Q23" s="8"/>
    </row>
    <row r="24" spans="1:26" ht="24" customHeight="1">
      <c r="A24" s="7"/>
      <c r="B24" s="8"/>
      <c r="C24" s="116" t="s">
        <v>11</v>
      </c>
      <c r="D24" s="117"/>
      <c r="E24" s="159"/>
      <c r="F24" s="160"/>
      <c r="G24" s="160"/>
      <c r="H24" s="161"/>
      <c r="I24" s="120">
        <f>E23+K23</f>
        <v>141365361</v>
      </c>
      <c r="J24" s="121"/>
      <c r="K24" s="121"/>
      <c r="L24" s="121"/>
      <c r="M24" s="122"/>
      <c r="N24" s="10"/>
      <c r="O24" s="8"/>
      <c r="P24" s="8"/>
      <c r="Q24" s="8"/>
    </row>
    <row r="25" spans="1:26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8"/>
      <c r="P25" s="8"/>
      <c r="Q25" s="8"/>
    </row>
    <row r="26" spans="1:26" ht="27" customHeight="1">
      <c r="A26" s="124" t="s">
        <v>12</v>
      </c>
      <c r="B26" s="125"/>
      <c r="C26" s="126" t="str">
        <f>NUMBERSTRING(I24, 1)</f>
        <v>일억사천일백삼십육만오천삼백육십일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141365361</v>
      </c>
      <c r="L26" s="127"/>
      <c r="M26" s="127"/>
      <c r="N26" s="128"/>
      <c r="O26" s="21"/>
      <c r="P26" s="21"/>
      <c r="Q26" s="21"/>
    </row>
    <row r="27" spans="1:26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7"/>
      <c r="P27" s="27"/>
      <c r="Q27" s="27"/>
    </row>
    <row r="28" spans="1:26" ht="27" customHeight="1">
      <c r="A28" s="99" t="s">
        <v>16</v>
      </c>
      <c r="B28" s="99"/>
      <c r="C28" s="99"/>
      <c r="D28" s="113" t="s">
        <v>61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2"/>
      <c r="P28" s="22"/>
      <c r="Q28" s="22"/>
    </row>
    <row r="29" spans="1:26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3"/>
      <c r="P29" s="23"/>
      <c r="Q29" s="23"/>
      <c r="X29" s="11"/>
    </row>
    <row r="30" spans="1:26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6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6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I24:M24"/>
    <mergeCell ref="B25:M25"/>
    <mergeCell ref="A26:B26"/>
    <mergeCell ref="K26:N26"/>
    <mergeCell ref="C26:I26"/>
    <mergeCell ref="K22:M22"/>
    <mergeCell ref="C23:D23"/>
    <mergeCell ref="E23:H23"/>
    <mergeCell ref="I23:J23"/>
    <mergeCell ref="K23:M23"/>
    <mergeCell ref="C10:G10"/>
    <mergeCell ref="E24:H24"/>
    <mergeCell ref="A1:N1"/>
    <mergeCell ref="A3:A5"/>
    <mergeCell ref="J3:J5"/>
    <mergeCell ref="A7:N8"/>
    <mergeCell ref="E9:F9"/>
    <mergeCell ref="E12:F12"/>
    <mergeCell ref="C20:M20"/>
    <mergeCell ref="C21:D21"/>
    <mergeCell ref="E21:F21"/>
    <mergeCell ref="H21:I21"/>
    <mergeCell ref="K21:M21"/>
    <mergeCell ref="C22:D22"/>
    <mergeCell ref="E22:H22"/>
    <mergeCell ref="I22:J22"/>
  </mergeCells>
  <phoneticPr fontId="5" type="noConversion"/>
  <conditionalFormatting sqref="O17:Q17 S17:S22">
    <cfRule type="expression" dxfId="6" priority="2">
      <formula>#REF!="*01월*"</formula>
    </cfRule>
  </conditionalFormatting>
  <conditionalFormatting sqref="O12:T16">
    <cfRule type="expression" dxfId="5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E091-EBAA-439B-84F5-A3299F5F72DA}">
  <sheetPr codeName="Sheet8">
    <tabColor theme="0"/>
  </sheetPr>
  <dimension ref="A1:Z75"/>
  <sheetViews>
    <sheetView view="pageLayout" topLeftCell="J8" zoomScale="85" zoomScaleNormal="100" zoomScalePageLayoutView="85" workbookViewId="0">
      <selection activeCell="S15" sqref="S15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5" style="1" customWidth="1"/>
    <col min="11" max="13" width="7.5" style="1" customWidth="1"/>
    <col min="14" max="14" width="9" style="1" customWidth="1"/>
    <col min="15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4" t="s">
        <v>38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28" t="s">
        <v>117</v>
      </c>
      <c r="P12" s="35">
        <v>46273</v>
      </c>
      <c r="Q12" s="30">
        <v>1342.6</v>
      </c>
      <c r="R12" s="75">
        <v>66786.64</v>
      </c>
      <c r="S12" s="41">
        <v>89667742</v>
      </c>
      <c r="T12" s="76">
        <v>86710340</v>
      </c>
      <c r="U12" s="32"/>
      <c r="V12" s="32"/>
      <c r="W12" s="32"/>
      <c r="X12" s="34"/>
      <c r="Y12" s="34">
        <f>S12-T12-X12</f>
        <v>2957402</v>
      </c>
      <c r="Z12" s="65">
        <f t="shared" ref="Z12:Z14" si="0">SUM(T12:Y12)</f>
        <v>89667742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28" t="s">
        <v>118</v>
      </c>
      <c r="P13" s="36">
        <v>46284</v>
      </c>
      <c r="Q13" s="30">
        <v>1380.3</v>
      </c>
      <c r="R13" s="75">
        <v>25498.120000000003</v>
      </c>
      <c r="S13" s="41">
        <v>35195055</v>
      </c>
      <c r="T13" s="76">
        <v>33965206</v>
      </c>
      <c r="U13" s="32"/>
      <c r="V13" s="32"/>
      <c r="W13" s="32"/>
      <c r="X13" s="34"/>
      <c r="Y13" s="34">
        <f t="shared" ref="Y13" si="1">S13-T13-X13</f>
        <v>1229849</v>
      </c>
      <c r="Z13" s="65">
        <f t="shared" ref="Z13" si="2">SUM(T13:Y13)</f>
        <v>35195055</v>
      </c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28" t="s">
        <v>119</v>
      </c>
      <c r="P14" s="36">
        <v>46293</v>
      </c>
      <c r="Q14" s="30">
        <v>1352</v>
      </c>
      <c r="R14" s="75">
        <v>42536.56</v>
      </c>
      <c r="S14" s="41">
        <v>57509429</v>
      </c>
      <c r="T14" s="76">
        <v>54403653</v>
      </c>
      <c r="U14" s="32"/>
      <c r="V14" s="32"/>
      <c r="W14" s="32"/>
      <c r="X14" s="34"/>
      <c r="Y14" s="34">
        <f t="shared" ref="Y14" si="3">S14-T14-X14</f>
        <v>3105776</v>
      </c>
      <c r="Z14" s="65">
        <f t="shared" si="0"/>
        <v>57509429</v>
      </c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38"/>
      <c r="P15" s="38"/>
      <c r="Q15" s="38"/>
      <c r="R15" s="60">
        <f>SUM(R9:R14)</f>
        <v>134821.32</v>
      </c>
      <c r="S15" s="61">
        <f>SUM(S9:S14)</f>
        <v>182372226</v>
      </c>
      <c r="T15" s="43">
        <f>SUM(T9:T14)</f>
        <v>175079199</v>
      </c>
      <c r="U15" s="43"/>
      <c r="V15" s="43"/>
      <c r="W15" s="43"/>
      <c r="X15" s="43"/>
      <c r="Y15" s="43">
        <f>SUM(Y9:Y14)</f>
        <v>7293027</v>
      </c>
      <c r="Z15" s="50">
        <f>SUM(T15:Y15)</f>
        <v>182372226</v>
      </c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2"/>
      <c r="P16" s="2"/>
      <c r="Q16" s="2"/>
      <c r="S16" s="41"/>
    </row>
    <row r="17" spans="1:25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8"/>
      <c r="P17" s="8"/>
      <c r="Q17" s="8"/>
      <c r="S17" s="41"/>
    </row>
    <row r="18" spans="1:25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8"/>
      <c r="P18" s="8"/>
      <c r="Q18" s="8"/>
      <c r="S18" s="41"/>
    </row>
    <row r="19" spans="1:25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8"/>
      <c r="P19" s="8"/>
      <c r="Q19" s="8"/>
      <c r="S19" s="41"/>
      <c r="Y19" s="11"/>
    </row>
    <row r="20" spans="1:25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8"/>
      <c r="P20" s="8"/>
      <c r="Q20" s="8"/>
      <c r="S20" s="41"/>
    </row>
    <row r="21" spans="1:25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  <c r="Q21" s="8"/>
    </row>
    <row r="22" spans="1:25" ht="24" customHeight="1">
      <c r="A22" s="7"/>
      <c r="B22" s="8"/>
      <c r="C22" s="129" t="s">
        <v>7</v>
      </c>
      <c r="D22" s="130"/>
      <c r="E22" s="131" t="s">
        <v>50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8"/>
      <c r="P22" s="8"/>
      <c r="Q22" s="8"/>
    </row>
    <row r="23" spans="1:25" ht="24" customHeight="1">
      <c r="A23" s="7"/>
      <c r="B23" s="8"/>
      <c r="C23" s="129" t="s">
        <v>9</v>
      </c>
      <c r="D23" s="130"/>
      <c r="E23" s="137">
        <f>S15</f>
        <v>182372226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8"/>
      <c r="P23" s="8"/>
      <c r="Q23" s="8"/>
    </row>
    <row r="24" spans="1:25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182372226</v>
      </c>
      <c r="J24" s="121"/>
      <c r="K24" s="121"/>
      <c r="L24" s="121"/>
      <c r="M24" s="122"/>
      <c r="N24" s="10"/>
      <c r="O24" s="21"/>
      <c r="P24" s="21"/>
      <c r="Q24" s="21"/>
    </row>
    <row r="25" spans="1:25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7"/>
      <c r="P25" s="27"/>
      <c r="Q25" s="27"/>
    </row>
    <row r="26" spans="1:25" ht="27" customHeight="1">
      <c r="A26" s="124" t="s">
        <v>12</v>
      </c>
      <c r="B26" s="125"/>
      <c r="C26" s="126" t="str">
        <f>NUMBERSTRING(I24, 1)</f>
        <v>일억팔천이백삼십칠만이천이백이십육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182372226</v>
      </c>
      <c r="L26" s="127"/>
      <c r="M26" s="127"/>
      <c r="N26" s="128"/>
      <c r="O26" s="22"/>
      <c r="P26" s="22"/>
      <c r="Q26" s="22"/>
    </row>
    <row r="27" spans="1:25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3"/>
      <c r="P27" s="23"/>
      <c r="Q27" s="23"/>
      <c r="X27" s="11"/>
    </row>
    <row r="28" spans="1:25" ht="27" customHeight="1">
      <c r="A28" s="99" t="s">
        <v>16</v>
      </c>
      <c r="B28" s="99"/>
      <c r="C28" s="99"/>
      <c r="D28" s="113" t="s">
        <v>61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  <c r="Q28" s="2"/>
    </row>
    <row r="29" spans="1:25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</row>
    <row r="30" spans="1:25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5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5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2:S14 S16:S20">
    <cfRule type="expression" dxfId="4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3843-C2FC-4427-84C6-C94E3F1C5A27}">
  <sheetPr codeName="Sheet9">
    <tabColor theme="0"/>
  </sheetPr>
  <dimension ref="A1:Y75"/>
  <sheetViews>
    <sheetView view="pageLayout" topLeftCell="H7" zoomScale="85" zoomScaleNormal="100" zoomScalePageLayoutView="85" workbookViewId="0">
      <selection activeCell="Q14" sqref="Q14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3.69921875" style="1" customWidth="1"/>
    <col min="11" max="14" width="7.8984375" style="1" customWidth="1"/>
    <col min="15" max="15" width="13.3984375" style="1" customWidth="1"/>
    <col min="16" max="16" width="20.09765625" style="1" bestFit="1" customWidth="1"/>
    <col min="17" max="23" width="13.3984375" style="1" customWidth="1"/>
    <col min="24" max="24" width="15.5" style="1" customWidth="1"/>
    <col min="25" max="16384" width="9" style="1"/>
  </cols>
  <sheetData>
    <row r="1" spans="1:25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</row>
    <row r="3" spans="1:25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</row>
    <row r="4" spans="1:25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</row>
    <row r="5" spans="1:25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</row>
    <row r="6" spans="1:25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5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</row>
    <row r="8" spans="1:25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</row>
    <row r="9" spans="1:25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</row>
    <row r="10" spans="1:25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</row>
    <row r="11" spans="1:25" ht="40.200000000000003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89" t="s">
        <v>54</v>
      </c>
      <c r="Q11" s="24" t="s">
        <v>38</v>
      </c>
      <c r="R11" s="25" t="s">
        <v>28</v>
      </c>
      <c r="S11" s="25" t="s">
        <v>29</v>
      </c>
      <c r="T11" s="25" t="s">
        <v>30</v>
      </c>
      <c r="U11" s="26" t="s">
        <v>57</v>
      </c>
      <c r="V11" s="26" t="s">
        <v>58</v>
      </c>
      <c r="W11" s="26" t="s">
        <v>59</v>
      </c>
      <c r="X11" s="24" t="s">
        <v>35</v>
      </c>
    </row>
    <row r="12" spans="1:25" ht="26.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36" t="s">
        <v>120</v>
      </c>
      <c r="P12" s="36">
        <v>46266</v>
      </c>
      <c r="Q12" s="37">
        <v>21526400</v>
      </c>
      <c r="R12" s="57">
        <v>17737800</v>
      </c>
      <c r="S12" s="45"/>
      <c r="T12" s="45"/>
      <c r="U12" s="45"/>
      <c r="V12" s="45"/>
      <c r="W12" s="57">
        <v>3788600</v>
      </c>
      <c r="X12" s="43">
        <f>SUM(R12:W12)</f>
        <v>21526400</v>
      </c>
      <c r="Y12" s="58"/>
    </row>
    <row r="13" spans="1:25" ht="26.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36" t="s">
        <v>121</v>
      </c>
      <c r="P13" s="36">
        <v>46294</v>
      </c>
      <c r="Q13" s="37">
        <v>21526400</v>
      </c>
      <c r="R13" s="57">
        <v>17737800</v>
      </c>
      <c r="S13" s="57"/>
      <c r="T13" s="57"/>
      <c r="U13" s="57"/>
      <c r="V13" s="57"/>
      <c r="W13" s="57">
        <v>3788600</v>
      </c>
      <c r="X13" s="43">
        <f>SUM(R13:W13)</f>
        <v>21526400</v>
      </c>
      <c r="Y13" s="58"/>
    </row>
    <row r="14" spans="1:25" ht="26.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7"/>
      <c r="P14" s="57"/>
      <c r="Q14" s="81">
        <f>SUM(Q12:Q13)</f>
        <v>43052800</v>
      </c>
      <c r="R14" s="57">
        <f>SUM(R12:R13)</f>
        <v>35475600</v>
      </c>
      <c r="S14" s="57"/>
      <c r="T14" s="57"/>
      <c r="U14" s="57"/>
      <c r="V14" s="57"/>
      <c r="W14" s="57">
        <f>SUM(W12:W13)</f>
        <v>7577200</v>
      </c>
      <c r="X14" s="53">
        <f>SUM(R14:W14)</f>
        <v>43052800</v>
      </c>
      <c r="Y14" s="58"/>
    </row>
    <row r="15" spans="1:25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2"/>
      <c r="P15" s="2"/>
      <c r="Y15" s="58"/>
    </row>
    <row r="16" spans="1:25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8"/>
      <c r="P16" s="8"/>
      <c r="Y16" s="58"/>
    </row>
    <row r="17" spans="1:23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8"/>
      <c r="P17" s="8"/>
    </row>
    <row r="18" spans="1:23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8"/>
      <c r="P18" s="8"/>
      <c r="W18" s="11"/>
    </row>
    <row r="19" spans="1:23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8"/>
      <c r="P19" s="8"/>
    </row>
    <row r="20" spans="1:23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8"/>
      <c r="P20" s="8"/>
    </row>
    <row r="21" spans="1:23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</row>
    <row r="22" spans="1:23" ht="24" customHeight="1">
      <c r="A22" s="7"/>
      <c r="B22" s="8"/>
      <c r="C22" s="129" t="s">
        <v>7</v>
      </c>
      <c r="D22" s="130"/>
      <c r="E22" s="131" t="s">
        <v>51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8"/>
      <c r="P22" s="8"/>
    </row>
    <row r="23" spans="1:23" ht="24" customHeight="1">
      <c r="A23" s="7"/>
      <c r="B23" s="8"/>
      <c r="C23" s="129" t="s">
        <v>9</v>
      </c>
      <c r="D23" s="130"/>
      <c r="E23" s="137">
        <f>X14</f>
        <v>43052800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1"/>
      <c r="P23" s="21"/>
    </row>
    <row r="24" spans="1:23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43052800</v>
      </c>
      <c r="J24" s="121"/>
      <c r="K24" s="121"/>
      <c r="L24" s="121"/>
      <c r="M24" s="122"/>
      <c r="N24" s="10"/>
      <c r="O24" s="27"/>
      <c r="P24" s="27"/>
    </row>
    <row r="25" spans="1:23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2"/>
      <c r="P25" s="22"/>
    </row>
    <row r="26" spans="1:23" ht="27" customHeight="1">
      <c r="A26" s="124" t="s">
        <v>12</v>
      </c>
      <c r="B26" s="125"/>
      <c r="C26" s="126" t="str">
        <f>NUMBERSTRING(I24, 1)</f>
        <v>사천삼백오만이천팔백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43052800</v>
      </c>
      <c r="L26" s="127"/>
      <c r="M26" s="127"/>
      <c r="N26" s="128"/>
      <c r="O26" s="23"/>
      <c r="P26" s="23"/>
      <c r="V26" s="11"/>
    </row>
    <row r="27" spans="1:23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</row>
    <row r="28" spans="1:23" ht="27" customHeight="1">
      <c r="A28" s="99" t="s">
        <v>16</v>
      </c>
      <c r="B28" s="99"/>
      <c r="C28" s="99"/>
      <c r="D28" s="113" t="s">
        <v>61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</row>
    <row r="29" spans="1:23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</row>
    <row r="30" spans="1:23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</row>
    <row r="31" spans="1:23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3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2:Q13">
    <cfRule type="expression" dxfId="3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D01E-E576-4C01-ACBB-3CE68CF888D1}">
  <sheetPr codeName="Sheet10">
    <tabColor theme="0"/>
  </sheetPr>
  <dimension ref="A1:X75"/>
  <sheetViews>
    <sheetView view="pageLayout" topLeftCell="H7" zoomScale="85" zoomScaleNormal="100" zoomScalePageLayoutView="85" workbookViewId="0">
      <selection activeCell="S13" sqref="S13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7" width="4.8984375" style="1" customWidth="1"/>
    <col min="8" max="8" width="5" style="1" customWidth="1"/>
    <col min="9" max="9" width="4.09765625" style="1" customWidth="1"/>
    <col min="10" max="10" width="3.5" style="1" customWidth="1"/>
    <col min="11" max="14" width="8.09765625" style="1" customWidth="1"/>
    <col min="15" max="23" width="13.3984375" style="1" customWidth="1"/>
    <col min="24" max="24" width="15.5" style="1" customWidth="1"/>
    <col min="25" max="16384" width="9" style="1"/>
  </cols>
  <sheetData>
    <row r="1" spans="1:24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</row>
    <row r="3" spans="1:24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</row>
    <row r="4" spans="1:24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</row>
    <row r="5" spans="1:24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</row>
    <row r="6" spans="1:24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4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</row>
    <row r="8" spans="1:24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</row>
    <row r="9" spans="1:24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</row>
    <row r="10" spans="1:24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</row>
    <row r="11" spans="1:24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38</v>
      </c>
      <c r="R11" s="25" t="s">
        <v>28</v>
      </c>
      <c r="S11" s="25" t="s">
        <v>29</v>
      </c>
      <c r="T11" s="25" t="s">
        <v>30</v>
      </c>
      <c r="U11" s="26" t="s">
        <v>57</v>
      </c>
      <c r="V11" s="26" t="s">
        <v>58</v>
      </c>
      <c r="W11" s="26" t="s">
        <v>59</v>
      </c>
      <c r="X11" s="24" t="s">
        <v>35</v>
      </c>
    </row>
    <row r="12" spans="1:24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28" t="s">
        <v>129</v>
      </c>
      <c r="P12" s="36">
        <v>46276</v>
      </c>
      <c r="Q12" s="37">
        <v>23407864</v>
      </c>
      <c r="R12" s="43">
        <v>322034</v>
      </c>
      <c r="S12" s="43">
        <v>8478193</v>
      </c>
      <c r="T12" s="43"/>
      <c r="U12" s="43"/>
      <c r="V12" s="43"/>
      <c r="W12" s="43">
        <f>Q12-R12-S12-V12</f>
        <v>14607637</v>
      </c>
      <c r="X12" s="43">
        <f t="shared" ref="X12" si="0">SUM(R12:W12)</f>
        <v>23407864</v>
      </c>
    </row>
    <row r="13" spans="1:24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80"/>
      <c r="P13" s="80"/>
      <c r="Q13" s="94">
        <f>SUM(Q12:Q12)</f>
        <v>23407864</v>
      </c>
      <c r="R13" s="43">
        <f>SUM(R12:R12)</f>
        <v>322034</v>
      </c>
      <c r="S13" s="43">
        <f>SUM(S12:S12)</f>
        <v>8478193</v>
      </c>
      <c r="T13" s="43"/>
      <c r="U13" s="43"/>
      <c r="V13" s="43"/>
      <c r="W13" s="43">
        <f>SUM(W12:W12)</f>
        <v>14607637</v>
      </c>
      <c r="X13" s="53">
        <f>SUM(R13:W13)</f>
        <v>23407864</v>
      </c>
    </row>
    <row r="14" spans="1:24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8"/>
      <c r="P14" s="8"/>
      <c r="W14" s="11"/>
    </row>
    <row r="15" spans="1:24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8"/>
      <c r="P15" s="8"/>
    </row>
    <row r="16" spans="1:24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8"/>
      <c r="P16" s="8"/>
    </row>
    <row r="17" spans="1:22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8"/>
      <c r="P17" s="8"/>
    </row>
    <row r="18" spans="1:22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8"/>
      <c r="P18" s="8"/>
    </row>
    <row r="19" spans="1:22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21"/>
      <c r="P19" s="21"/>
    </row>
    <row r="20" spans="1:22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27"/>
      <c r="P20" s="27"/>
    </row>
    <row r="21" spans="1:22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22"/>
      <c r="P21" s="22"/>
    </row>
    <row r="22" spans="1:22" ht="30.6" customHeight="1">
      <c r="A22" s="7"/>
      <c r="B22" s="8"/>
      <c r="C22" s="129" t="s">
        <v>7</v>
      </c>
      <c r="D22" s="130"/>
      <c r="E22" s="131" t="s">
        <v>52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23"/>
      <c r="P22" s="23"/>
      <c r="V22" s="11"/>
    </row>
    <row r="23" spans="1:22" ht="24" customHeight="1">
      <c r="A23" s="7"/>
      <c r="B23" s="8"/>
      <c r="C23" s="129" t="s">
        <v>9</v>
      </c>
      <c r="D23" s="130"/>
      <c r="E23" s="137">
        <f>X13</f>
        <v>23407864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2"/>
      <c r="P23" s="2"/>
    </row>
    <row r="24" spans="1:22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23407864</v>
      </c>
      <c r="J24" s="121"/>
      <c r="K24" s="121"/>
      <c r="L24" s="121"/>
      <c r="M24" s="122"/>
      <c r="N24" s="10"/>
      <c r="O24" s="2"/>
      <c r="P24" s="2"/>
    </row>
    <row r="25" spans="1:22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"/>
      <c r="P25" s="2"/>
    </row>
    <row r="26" spans="1:22" ht="27" customHeight="1">
      <c r="A26" s="124" t="s">
        <v>12</v>
      </c>
      <c r="B26" s="125"/>
      <c r="C26" s="126" t="str">
        <f>NUMBERSTRING(I24, 1)</f>
        <v>이천삼백사십만칠천팔백육십사</v>
      </c>
      <c r="D26" s="126"/>
      <c r="E26" s="126"/>
      <c r="F26" s="126"/>
      <c r="G26" s="126"/>
      <c r="H26" s="126"/>
      <c r="I26" s="126"/>
      <c r="J26" s="97" t="s">
        <v>13</v>
      </c>
      <c r="K26" s="127">
        <f>I24</f>
        <v>23407864</v>
      </c>
      <c r="L26" s="127"/>
      <c r="M26" s="127"/>
      <c r="N26" s="128"/>
      <c r="O26" s="2"/>
      <c r="P26" s="2"/>
    </row>
    <row r="27" spans="1:22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"/>
      <c r="P27" s="2"/>
    </row>
    <row r="28" spans="1:22" ht="27" customHeight="1">
      <c r="A28" s="99" t="s">
        <v>16</v>
      </c>
      <c r="B28" s="99"/>
      <c r="C28" s="99"/>
      <c r="D28" s="113" t="s">
        <v>37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"/>
      <c r="P28" s="2"/>
    </row>
    <row r="29" spans="1:22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</row>
    <row r="30" spans="1:22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</row>
    <row r="31" spans="1:22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22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A29:C29"/>
    <mergeCell ref="D29:G29"/>
    <mergeCell ref="H29:J29"/>
    <mergeCell ref="K29:N29"/>
    <mergeCell ref="A30:N30"/>
    <mergeCell ref="A27:C27"/>
    <mergeCell ref="D27:I27"/>
    <mergeCell ref="J27:K27"/>
    <mergeCell ref="L27:N27"/>
    <mergeCell ref="A28:C28"/>
    <mergeCell ref="D28:N28"/>
    <mergeCell ref="C24:D24"/>
    <mergeCell ref="E24:G24"/>
    <mergeCell ref="I24:M24"/>
    <mergeCell ref="B25:M25"/>
    <mergeCell ref="A26:B26"/>
    <mergeCell ref="K26:N26"/>
    <mergeCell ref="C26:I26"/>
    <mergeCell ref="C22:D22"/>
    <mergeCell ref="E22:H22"/>
    <mergeCell ref="I22:J22"/>
    <mergeCell ref="K22:M22"/>
    <mergeCell ref="C23:D23"/>
    <mergeCell ref="E23:H23"/>
    <mergeCell ref="I23:J23"/>
    <mergeCell ref="K23:M23"/>
    <mergeCell ref="E12:F12"/>
    <mergeCell ref="C20:M20"/>
    <mergeCell ref="C21:D21"/>
    <mergeCell ref="E21:F21"/>
    <mergeCell ref="H21:I21"/>
    <mergeCell ref="K21:M21"/>
    <mergeCell ref="C10:G10"/>
    <mergeCell ref="A1:N1"/>
    <mergeCell ref="A3:A5"/>
    <mergeCell ref="J3:J5"/>
    <mergeCell ref="A7:N8"/>
    <mergeCell ref="E9:F9"/>
  </mergeCells>
  <phoneticPr fontId="5" type="noConversion"/>
  <conditionalFormatting sqref="O12:Q12">
    <cfRule type="expression" dxfId="2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0"/>
  </sheetPr>
  <dimension ref="A1:Z75"/>
  <sheetViews>
    <sheetView view="pageLayout" topLeftCell="H4" zoomScale="85" zoomScaleNormal="100" zoomScalePageLayoutView="85" workbookViewId="0">
      <selection activeCell="S9" sqref="S9"/>
    </sheetView>
  </sheetViews>
  <sheetFormatPr defaultColWidth="9" defaultRowHeight="17.399999999999999"/>
  <cols>
    <col min="1" max="1" width="3.09765625" style="1" customWidth="1"/>
    <col min="2" max="6" width="7.5" style="1" customWidth="1"/>
    <col min="7" max="8" width="4.8984375" style="1" customWidth="1"/>
    <col min="9" max="9" width="4.09765625" style="1" customWidth="1"/>
    <col min="10" max="10" width="4.19921875" style="1" customWidth="1"/>
    <col min="11" max="14" width="7.59765625" style="1" customWidth="1"/>
    <col min="15" max="25" width="13.3984375" style="1" customWidth="1"/>
    <col min="26" max="26" width="15.5" style="1" customWidth="1"/>
    <col min="27" max="16384" width="9" style="1"/>
  </cols>
  <sheetData>
    <row r="1" spans="1:26" ht="37.5" customHeight="1">
      <c r="A1" s="150" t="s">
        <v>25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8"/>
      <c r="P1" s="18"/>
      <c r="Q1" s="18"/>
    </row>
    <row r="3" spans="1:26" s="16" customFormat="1" ht="18.75" customHeight="1">
      <c r="A3" s="151" t="s">
        <v>0</v>
      </c>
      <c r="B3" s="14" t="s">
        <v>23</v>
      </c>
      <c r="C3" s="14" t="s">
        <v>24</v>
      </c>
      <c r="D3" s="14" t="s">
        <v>1</v>
      </c>
      <c r="E3" s="14" t="s">
        <v>26</v>
      </c>
      <c r="F3" s="14" t="s">
        <v>22</v>
      </c>
      <c r="G3" s="15"/>
      <c r="H3" s="15"/>
      <c r="J3" s="151" t="s">
        <v>2</v>
      </c>
      <c r="K3" s="14" t="s">
        <v>23</v>
      </c>
      <c r="L3" s="14" t="s">
        <v>24</v>
      </c>
      <c r="M3" s="14" t="s">
        <v>1</v>
      </c>
      <c r="N3" s="14" t="s">
        <v>26</v>
      </c>
      <c r="O3" s="20"/>
      <c r="P3" s="20"/>
    </row>
    <row r="4" spans="1:26" s="16" customFormat="1" ht="45" customHeight="1">
      <c r="A4" s="151"/>
      <c r="B4" s="14"/>
      <c r="C4" s="14"/>
      <c r="D4" s="14"/>
      <c r="E4" s="14"/>
      <c r="F4" s="14"/>
      <c r="G4" s="15"/>
      <c r="H4" s="15"/>
      <c r="J4" s="151"/>
      <c r="K4" s="14"/>
      <c r="L4" s="14"/>
      <c r="M4" s="14"/>
      <c r="N4" s="14"/>
      <c r="O4" s="20"/>
      <c r="P4" s="20"/>
    </row>
    <row r="5" spans="1:26" s="16" customFormat="1" ht="17.25" customHeight="1">
      <c r="A5" s="151"/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5"/>
      <c r="H5" s="15"/>
      <c r="J5" s="151"/>
      <c r="K5" s="14" t="s">
        <v>3</v>
      </c>
      <c r="L5" s="14" t="s">
        <v>3</v>
      </c>
      <c r="M5" s="14" t="s">
        <v>3</v>
      </c>
      <c r="N5" s="14" t="s">
        <v>3</v>
      </c>
      <c r="O5" s="20"/>
      <c r="P5" s="20"/>
    </row>
    <row r="6" spans="1:26" ht="6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6" ht="24" customHeight="1">
      <c r="A7" s="152" t="s">
        <v>4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4"/>
      <c r="O7" s="19"/>
      <c r="P7" s="19"/>
      <c r="Q7" s="19"/>
    </row>
    <row r="8" spans="1:26" ht="24" customHeight="1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7"/>
      <c r="O8" s="19"/>
      <c r="P8" s="19"/>
      <c r="Q8" s="19"/>
    </row>
    <row r="9" spans="1:26" ht="24" customHeight="1">
      <c r="A9" s="3"/>
      <c r="B9" s="4"/>
      <c r="C9" s="2"/>
      <c r="D9" s="2"/>
      <c r="E9" s="141"/>
      <c r="F9" s="141"/>
      <c r="G9" s="2"/>
      <c r="H9" s="2"/>
      <c r="I9" s="2"/>
      <c r="J9" s="2"/>
      <c r="K9" s="2"/>
      <c r="L9" s="2"/>
      <c r="M9" s="2"/>
      <c r="N9" s="5"/>
      <c r="O9" s="2"/>
      <c r="P9" s="2"/>
      <c r="Q9" s="2"/>
    </row>
    <row r="10" spans="1:26" ht="24" customHeight="1">
      <c r="A10" s="3"/>
      <c r="B10" s="4"/>
      <c r="C10" s="149"/>
      <c r="D10" s="149"/>
      <c r="E10" s="149"/>
      <c r="F10" s="149"/>
      <c r="G10" s="149"/>
      <c r="H10" s="4"/>
      <c r="I10" s="2"/>
      <c r="J10" s="2"/>
      <c r="K10" s="2"/>
      <c r="L10" s="2"/>
      <c r="M10" s="2"/>
      <c r="N10" s="5"/>
      <c r="O10" s="2"/>
      <c r="P10" s="2"/>
      <c r="Q10" s="2"/>
    </row>
    <row r="11" spans="1:26" ht="24" customHeight="1">
      <c r="A11" s="3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5"/>
      <c r="O11" s="24" t="s">
        <v>31</v>
      </c>
      <c r="P11" s="24" t="s">
        <v>32</v>
      </c>
      <c r="Q11" s="24" t="s">
        <v>33</v>
      </c>
      <c r="R11" s="24" t="s">
        <v>34</v>
      </c>
      <c r="S11" s="24" t="s">
        <v>38</v>
      </c>
      <c r="T11" s="25" t="s">
        <v>28</v>
      </c>
      <c r="U11" s="25" t="s">
        <v>29</v>
      </c>
      <c r="V11" s="25" t="s">
        <v>30</v>
      </c>
      <c r="W11" s="26" t="s">
        <v>57</v>
      </c>
      <c r="X11" s="26" t="s">
        <v>58</v>
      </c>
      <c r="Y11" s="26" t="s">
        <v>59</v>
      </c>
      <c r="Z11" s="24" t="s">
        <v>35</v>
      </c>
    </row>
    <row r="12" spans="1:26" ht="24" customHeight="1">
      <c r="A12" s="3"/>
      <c r="B12" s="4"/>
      <c r="C12" s="2"/>
      <c r="D12" s="2"/>
      <c r="E12" s="141"/>
      <c r="F12" s="141"/>
      <c r="G12" s="2"/>
      <c r="H12" s="2"/>
      <c r="I12" s="2"/>
      <c r="J12" s="2"/>
      <c r="K12" s="2"/>
      <c r="L12" s="2"/>
      <c r="M12" s="2"/>
      <c r="N12" s="5"/>
      <c r="O12" s="59" t="s">
        <v>130</v>
      </c>
      <c r="P12" s="36">
        <v>46272</v>
      </c>
      <c r="Q12" s="30">
        <v>1355.2</v>
      </c>
      <c r="R12" s="31">
        <v>576</v>
      </c>
      <c r="S12" s="41">
        <v>780595</v>
      </c>
      <c r="T12" s="34"/>
      <c r="U12" s="34"/>
      <c r="V12" s="34">
        <v>764983</v>
      </c>
      <c r="W12" s="34"/>
      <c r="X12" s="34">
        <f>S12-V12</f>
        <v>15612</v>
      </c>
      <c r="Y12" s="34"/>
      <c r="Z12" s="65">
        <f>SUM(T12:Y12)</f>
        <v>780595</v>
      </c>
    </row>
    <row r="13" spans="1:26" ht="24" customHeight="1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2"/>
      <c r="P13" s="2"/>
      <c r="Q13" s="2"/>
      <c r="S13" s="41"/>
    </row>
    <row r="14" spans="1:26" ht="24" customHeight="1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2"/>
      <c r="P14" s="2"/>
      <c r="Q14" s="2"/>
      <c r="S14" s="41"/>
    </row>
    <row r="15" spans="1:26" ht="24" customHeight="1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2"/>
      <c r="P15" s="2"/>
      <c r="Q15" s="2"/>
      <c r="S15" s="41"/>
    </row>
    <row r="16" spans="1:26" ht="24" customHeight="1">
      <c r="A16" s="6"/>
      <c r="B16" s="2"/>
      <c r="C16" s="2"/>
      <c r="F16" s="2"/>
      <c r="G16" s="2"/>
      <c r="H16" s="2"/>
      <c r="I16" s="2"/>
      <c r="J16" s="2"/>
      <c r="K16" s="2"/>
      <c r="L16" s="2"/>
      <c r="M16" s="2"/>
      <c r="N16" s="5"/>
      <c r="O16" s="2"/>
      <c r="P16" s="2"/>
      <c r="Q16" s="2"/>
      <c r="S16" s="41"/>
    </row>
    <row r="17" spans="1:25" ht="24" customHeight="1">
      <c r="A17" s="6"/>
      <c r="B17" s="2"/>
      <c r="C17" s="2"/>
      <c r="F17" s="2"/>
      <c r="G17" s="2"/>
      <c r="H17" s="2"/>
      <c r="I17" s="2"/>
      <c r="J17" s="2"/>
      <c r="K17" s="2"/>
      <c r="L17" s="2"/>
      <c r="M17" s="2"/>
      <c r="N17" s="5"/>
      <c r="O17" s="2"/>
      <c r="P17" s="2"/>
      <c r="Q17" s="2"/>
      <c r="S17" s="41"/>
    </row>
    <row r="18" spans="1:25" ht="24" customHeight="1">
      <c r="A18" s="6"/>
      <c r="B18" s="2"/>
      <c r="C18" s="2"/>
      <c r="F18" s="2"/>
      <c r="G18" s="2"/>
      <c r="H18" s="2"/>
      <c r="I18" s="2"/>
      <c r="J18" s="2"/>
      <c r="K18" s="2"/>
      <c r="L18" s="2"/>
      <c r="M18" s="2"/>
      <c r="N18" s="5"/>
      <c r="O18" s="8"/>
      <c r="P18" s="8"/>
      <c r="Q18" s="8"/>
      <c r="S18" s="41"/>
    </row>
    <row r="19" spans="1:25" ht="24" customHeight="1">
      <c r="A19" s="7"/>
      <c r="B19" s="8"/>
      <c r="C19" s="8"/>
      <c r="D19" s="9"/>
      <c r="E19" s="9"/>
      <c r="F19" s="8"/>
      <c r="G19" s="8"/>
      <c r="H19" s="8"/>
      <c r="I19" s="8"/>
      <c r="J19" s="8"/>
      <c r="K19" s="8"/>
      <c r="L19" s="8"/>
      <c r="M19" s="8"/>
      <c r="N19" s="10"/>
      <c r="O19" s="8"/>
      <c r="P19" s="8"/>
      <c r="Q19" s="8"/>
      <c r="S19" s="41"/>
    </row>
    <row r="20" spans="1:25" ht="24" customHeight="1">
      <c r="A20" s="7"/>
      <c r="B20" s="8"/>
      <c r="C20" s="142" t="s">
        <v>5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4"/>
      <c r="N20" s="10"/>
      <c r="O20" s="8"/>
      <c r="P20" s="8"/>
      <c r="Q20" s="8"/>
      <c r="S20" s="41"/>
      <c r="Y20" s="11"/>
    </row>
    <row r="21" spans="1:25" ht="24" customHeight="1">
      <c r="A21" s="7"/>
      <c r="B21" s="8"/>
      <c r="C21" s="129" t="s">
        <v>6</v>
      </c>
      <c r="D21" s="130"/>
      <c r="E21" s="145"/>
      <c r="F21" s="146"/>
      <c r="G21" s="12"/>
      <c r="H21" s="147"/>
      <c r="I21" s="146"/>
      <c r="J21" s="12"/>
      <c r="K21" s="147"/>
      <c r="L21" s="146"/>
      <c r="M21" s="148"/>
      <c r="N21" s="10"/>
      <c r="O21" s="8"/>
      <c r="P21" s="8"/>
      <c r="Q21" s="8"/>
      <c r="S21" s="41"/>
    </row>
    <row r="22" spans="1:25" ht="24" customHeight="1">
      <c r="A22" s="7"/>
      <c r="B22" s="8"/>
      <c r="C22" s="129" t="s">
        <v>7</v>
      </c>
      <c r="D22" s="130"/>
      <c r="E22" s="131" t="s">
        <v>53</v>
      </c>
      <c r="F22" s="132"/>
      <c r="G22" s="132"/>
      <c r="H22" s="133"/>
      <c r="I22" s="130" t="s">
        <v>8</v>
      </c>
      <c r="J22" s="130"/>
      <c r="K22" s="134"/>
      <c r="L22" s="135"/>
      <c r="M22" s="136"/>
      <c r="N22" s="10"/>
      <c r="O22" s="8"/>
      <c r="P22" s="8"/>
      <c r="Q22" s="8"/>
    </row>
    <row r="23" spans="1:25" ht="24" customHeight="1">
      <c r="A23" s="7"/>
      <c r="B23" s="8"/>
      <c r="C23" s="129" t="s">
        <v>9</v>
      </c>
      <c r="D23" s="130"/>
      <c r="E23" s="137">
        <f>S12</f>
        <v>780595</v>
      </c>
      <c r="F23" s="138"/>
      <c r="G23" s="138"/>
      <c r="H23" s="139"/>
      <c r="I23" s="130" t="s">
        <v>10</v>
      </c>
      <c r="J23" s="130"/>
      <c r="K23" s="137"/>
      <c r="L23" s="138"/>
      <c r="M23" s="140"/>
      <c r="N23" s="10"/>
      <c r="O23" s="8"/>
      <c r="P23" s="8"/>
      <c r="Q23" s="8"/>
    </row>
    <row r="24" spans="1:25" ht="24" customHeight="1">
      <c r="A24" s="7"/>
      <c r="B24" s="8"/>
      <c r="C24" s="116" t="s">
        <v>11</v>
      </c>
      <c r="D24" s="117"/>
      <c r="E24" s="118"/>
      <c r="F24" s="119"/>
      <c r="G24" s="119"/>
      <c r="H24" s="17" t="s">
        <v>21</v>
      </c>
      <c r="I24" s="120">
        <f>E23+K23</f>
        <v>780595</v>
      </c>
      <c r="J24" s="121"/>
      <c r="K24" s="121"/>
      <c r="L24" s="121"/>
      <c r="M24" s="122"/>
      <c r="N24" s="10"/>
      <c r="O24" s="8"/>
      <c r="P24" s="8"/>
      <c r="Q24" s="8"/>
    </row>
    <row r="25" spans="1:25" ht="24" customHeight="1">
      <c r="A25" s="7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0"/>
      <c r="O25" s="21"/>
      <c r="P25" s="21"/>
      <c r="Q25" s="21"/>
    </row>
    <row r="26" spans="1:25" ht="27" customHeight="1">
      <c r="A26" s="124" t="s">
        <v>12</v>
      </c>
      <c r="B26" s="125"/>
      <c r="C26" s="162" t="str">
        <f>NUMBERSTRING(I24, 1)</f>
        <v>칠십팔만오백구십오</v>
      </c>
      <c r="D26" s="162"/>
      <c r="E26" s="162"/>
      <c r="F26" s="162"/>
      <c r="G26" s="13"/>
      <c r="H26" s="13"/>
      <c r="I26" s="13"/>
      <c r="J26" s="13" t="s">
        <v>13</v>
      </c>
      <c r="K26" s="127">
        <f>I24</f>
        <v>780595</v>
      </c>
      <c r="L26" s="127"/>
      <c r="M26" s="127"/>
      <c r="N26" s="128"/>
      <c r="O26" s="27"/>
      <c r="P26" s="27"/>
      <c r="Q26" s="27"/>
    </row>
    <row r="27" spans="1:25" ht="30" customHeight="1">
      <c r="A27" s="99" t="s">
        <v>14</v>
      </c>
      <c r="B27" s="99"/>
      <c r="C27" s="99"/>
      <c r="D27" s="108" t="s">
        <v>27</v>
      </c>
      <c r="E27" s="109"/>
      <c r="F27" s="109"/>
      <c r="G27" s="109"/>
      <c r="H27" s="109"/>
      <c r="I27" s="109"/>
      <c r="J27" s="99" t="s">
        <v>15</v>
      </c>
      <c r="K27" s="99"/>
      <c r="L27" s="110"/>
      <c r="M27" s="111"/>
      <c r="N27" s="112"/>
      <c r="O27" s="22"/>
      <c r="P27" s="22"/>
      <c r="Q27" s="22"/>
    </row>
    <row r="28" spans="1:25" ht="27" customHeight="1">
      <c r="A28" s="99" t="s">
        <v>16</v>
      </c>
      <c r="B28" s="99"/>
      <c r="C28" s="99"/>
      <c r="D28" s="113" t="s">
        <v>36</v>
      </c>
      <c r="E28" s="114"/>
      <c r="F28" s="114"/>
      <c r="G28" s="114"/>
      <c r="H28" s="114"/>
      <c r="I28" s="114"/>
      <c r="J28" s="114"/>
      <c r="K28" s="114"/>
      <c r="L28" s="114"/>
      <c r="M28" s="114"/>
      <c r="N28" s="115"/>
      <c r="O28" s="23"/>
      <c r="P28" s="23"/>
      <c r="Q28" s="23"/>
      <c r="X28" s="11"/>
    </row>
    <row r="29" spans="1:25" ht="27" customHeight="1">
      <c r="A29" s="99" t="s">
        <v>17</v>
      </c>
      <c r="B29" s="99"/>
      <c r="C29" s="99"/>
      <c r="D29" s="100" t="s">
        <v>18</v>
      </c>
      <c r="E29" s="101"/>
      <c r="F29" s="101"/>
      <c r="G29" s="102"/>
      <c r="H29" s="103" t="s">
        <v>19</v>
      </c>
      <c r="I29" s="104"/>
      <c r="J29" s="105"/>
      <c r="K29" s="106"/>
      <c r="L29" s="106"/>
      <c r="M29" s="106"/>
      <c r="N29" s="106"/>
      <c r="O29" s="2"/>
      <c r="P29" s="2"/>
      <c r="Q29" s="2"/>
    </row>
    <row r="30" spans="1:25" ht="24" customHeight="1">
      <c r="A30" s="107" t="s">
        <v>20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2"/>
      <c r="P30" s="2"/>
      <c r="Q30" s="2"/>
    </row>
    <row r="31" spans="1:25" ht="24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25" ht="24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24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24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2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24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24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24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24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24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2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24" customHeight="1">
      <c r="A43" s="2">
        <f>+C43</f>
        <v>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24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24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24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24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24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24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24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24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24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2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24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24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24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24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24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2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2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2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2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2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2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2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2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</sheetData>
  <mergeCells count="38">
    <mergeCell ref="C10:G10"/>
    <mergeCell ref="A1:N1"/>
    <mergeCell ref="A3:A5"/>
    <mergeCell ref="A7:N8"/>
    <mergeCell ref="E9:F9"/>
    <mergeCell ref="J3:J5"/>
    <mergeCell ref="E12:F12"/>
    <mergeCell ref="C20:M20"/>
    <mergeCell ref="C21:D21"/>
    <mergeCell ref="E21:F21"/>
    <mergeCell ref="H21:I21"/>
    <mergeCell ref="K21:M21"/>
    <mergeCell ref="C22:D22"/>
    <mergeCell ref="E22:H22"/>
    <mergeCell ref="I22:J22"/>
    <mergeCell ref="K22:M22"/>
    <mergeCell ref="C23:D23"/>
    <mergeCell ref="E23:H23"/>
    <mergeCell ref="I23:J23"/>
    <mergeCell ref="K23:M23"/>
    <mergeCell ref="C24:D24"/>
    <mergeCell ref="E24:G24"/>
    <mergeCell ref="I24:M24"/>
    <mergeCell ref="B25:M25"/>
    <mergeCell ref="A26:B26"/>
    <mergeCell ref="C26:F26"/>
    <mergeCell ref="K26:N26"/>
    <mergeCell ref="A27:C27"/>
    <mergeCell ref="D27:I27"/>
    <mergeCell ref="J27:K27"/>
    <mergeCell ref="L27:N27"/>
    <mergeCell ref="A28:C28"/>
    <mergeCell ref="D28:N28"/>
    <mergeCell ref="A29:C29"/>
    <mergeCell ref="D29:G29"/>
    <mergeCell ref="H29:J29"/>
    <mergeCell ref="K29:N29"/>
    <mergeCell ref="A30:N30"/>
  </mergeCells>
  <phoneticPr fontId="5" type="noConversion"/>
  <conditionalFormatting sqref="O12:R12">
    <cfRule type="expression" dxfId="1" priority="2">
      <formula>#REF!="*01월*"</formula>
    </cfRule>
  </conditionalFormatting>
  <conditionalFormatting sqref="S12:S21">
    <cfRule type="expression" dxfId="0" priority="1">
      <formula>#REF!="*01월*"</formula>
    </cfRule>
  </conditionalFormatting>
  <pageMargins left="0.19685039370078741" right="0.19685039370078741" top="0.94488188976377963" bottom="0.56999999999999995" header="0.31496062992125984" footer="0.56000000000000005"/>
  <pageSetup paperSize="9" orientation="portrait" r:id="rId1"/>
  <headerFooter>
    <oddFooter>&amp;C&amp;"윤명조,보통"대  신  금  속   주  식  회  사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툴링비+PPAP</vt:lpstr>
      <vt:lpstr>ALLISON 관세</vt:lpstr>
      <vt:lpstr>ALLISON</vt:lpstr>
      <vt:lpstr>MERCURY</vt:lpstr>
      <vt:lpstr>POLARIS</vt:lpstr>
      <vt:lpstr>EMERSON</vt:lpstr>
      <vt:lpstr>AMAT</vt:lpstr>
      <vt:lpstr>SAM</vt:lpstr>
      <vt:lpstr>ATLAS COPCO</vt:lpstr>
      <vt:lpstr>BERGEN ENGINE</vt:lpstr>
      <vt:lpstr>DOMETIC</vt:lpstr>
      <vt:lpstr>ALLISON!Print_Area</vt:lpstr>
      <vt:lpstr>'ALLISON 관세'!Print_Area</vt:lpstr>
      <vt:lpstr>AMAT!Print_Area</vt:lpstr>
      <vt:lpstr>'ATLAS COPCO'!Print_Area</vt:lpstr>
      <vt:lpstr>'BERGEN ENGINE'!Print_Area</vt:lpstr>
      <vt:lpstr>DOMETIC!Print_Area</vt:lpstr>
      <vt:lpstr>EMERSON!Print_Area</vt:lpstr>
      <vt:lpstr>MERCURY!Print_Area</vt:lpstr>
      <vt:lpstr>POLARIS!Print_Area</vt:lpstr>
      <vt:lpstr>SAM!Print_Area</vt:lpstr>
      <vt:lpstr>'툴링비+PPAP'!Print_Area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2026-09-05T07:52:46Z</cp:lastPrinted>
  <dcterms:created xsi:type="dcterms:W3CDTF">2016-11-18T08:46:02Z</dcterms:created>
  <dcterms:modified xsi:type="dcterms:W3CDTF">2026-10-28T00:19:33Z</dcterms:modified>
</cp:coreProperties>
</file>