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O:\전사문서함\대신금속(주)\지원부서\영업관리실\해외영업팀\1.결산 및 월말 마감\2026년 매출\9월\매출마감\"/>
    </mc:Choice>
  </mc:AlternateContent>
  <xr:revisionPtr revIDLastSave="0" documentId="13_ncr:1_{5D5FAB03-5369-4651-A7C0-5C0760BD08C4}" xr6:coauthVersionLast="47" xr6:coauthVersionMax="47" xr10:uidLastSave="{00000000-0000-0000-0000-000000000000}"/>
  <bookViews>
    <workbookView xWindow="-108" yWindow="-108" windowWidth="23256" windowHeight="12456" xr2:uid="{D520F696-79DC-449F-8964-4E91D8DD3D37}"/>
  </bookViews>
  <sheets>
    <sheet name="26.9月당월_면장" sheetId="2" r:id="rId1"/>
    <sheet name="26.9月이월_면장" sheetId="4" r:id="rId2"/>
    <sheet name="26.9月라인별" sheetId="3" r:id="rId3"/>
    <sheet name="환율" sheetId="5" r:id="rId4"/>
  </sheets>
  <externalReferences>
    <externalReference r:id="rId5"/>
  </externalReferences>
  <definedNames>
    <definedName name="_xlnm._FilterDatabase" localSheetId="0" hidden="1">'26.9月당월_면장'!$A$5:$F$76</definedName>
    <definedName name="_xlnm.Print_Area" localSheetId="0">'26.9月당월_면장'!$A$1:$K$85</definedName>
    <definedName name="_xlnm.Print_Area" localSheetId="1">'26.9月이월_면장'!$A$1:$K$39</definedName>
    <definedName name="_xlnm.Print_Area" localSheetId="3">환율!$A$2254:$B$2285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9" i="2" l="1"/>
  <c r="L78" i="2"/>
  <c r="F16" i="4" l="1"/>
  <c r="H16" i="4" s="1"/>
  <c r="F15" i="4"/>
  <c r="H15" i="4" s="1"/>
  <c r="F14" i="4"/>
  <c r="H14" i="4" s="1"/>
  <c r="F13" i="4"/>
  <c r="H13" i="4" s="1"/>
  <c r="G27" i="4"/>
  <c r="F46" i="2"/>
  <c r="H46" i="2" s="1"/>
  <c r="F28" i="4"/>
  <c r="H28" i="4" s="1"/>
  <c r="I29" i="4"/>
  <c r="J75" i="2"/>
  <c r="I75" i="2"/>
  <c r="I15" i="2"/>
  <c r="I84" i="2" s="1"/>
  <c r="H15" i="2"/>
  <c r="H13" i="2"/>
  <c r="H11" i="2"/>
  <c r="H10" i="2"/>
  <c r="F12" i="4" l="1"/>
  <c r="H12" i="4" s="1"/>
  <c r="F9" i="4"/>
  <c r="H9" i="4" s="1"/>
  <c r="F8" i="4"/>
  <c r="H8" i="4" s="1"/>
  <c r="F10" i="4"/>
  <c r="H10" i="4" s="1"/>
  <c r="F21" i="2"/>
  <c r="H21" i="2" s="1"/>
  <c r="G25" i="4"/>
  <c r="G26" i="4"/>
  <c r="I24" i="4" l="1"/>
  <c r="F72" i="2" l="1"/>
  <c r="H72" i="2" s="1"/>
  <c r="F71" i="2"/>
  <c r="H71" i="2" s="1"/>
  <c r="F50" i="2"/>
  <c r="I50" i="2" l="1"/>
  <c r="H50" i="2"/>
  <c r="F8" i="2"/>
  <c r="H8" i="2" s="1"/>
  <c r="F33" i="4" l="1"/>
  <c r="F32" i="4"/>
  <c r="H32" i="4" s="1"/>
  <c r="F31" i="4"/>
  <c r="F30" i="4"/>
  <c r="F29" i="4"/>
  <c r="F24" i="4"/>
  <c r="F23" i="4"/>
  <c r="F22" i="4"/>
  <c r="F21" i="4"/>
  <c r="F20" i="4"/>
  <c r="F19" i="4"/>
  <c r="F18" i="4"/>
  <c r="F17" i="4"/>
  <c r="F11" i="4"/>
  <c r="F73" i="2"/>
  <c r="H73" i="2" s="1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49" i="2"/>
  <c r="F48" i="2"/>
  <c r="F47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0" i="2"/>
  <c r="F19" i="2"/>
  <c r="F18" i="2"/>
  <c r="F17" i="2"/>
  <c r="F16" i="2"/>
  <c r="F12" i="2"/>
  <c r="H12" i="2" s="1"/>
  <c r="F9" i="2"/>
  <c r="F7" i="2"/>
  <c r="J51" i="2" l="1"/>
  <c r="L69" i="2"/>
  <c r="L52" i="2"/>
  <c r="L22" i="2"/>
  <c r="L17" i="2"/>
  <c r="H23" i="4"/>
  <c r="H22" i="4"/>
  <c r="H21" i="4"/>
  <c r="H20" i="4"/>
  <c r="H19" i="4"/>
  <c r="H18" i="4"/>
  <c r="H17" i="4"/>
  <c r="H57" i="2" l="1"/>
  <c r="H58" i="2"/>
  <c r="H39" i="2"/>
  <c r="H60" i="2"/>
  <c r="H70" i="2"/>
  <c r="H67" i="2"/>
  <c r="H65" i="2"/>
  <c r="H66" i="2"/>
  <c r="H44" i="2"/>
  <c r="H45" i="2"/>
  <c r="H40" i="2"/>
  <c r="H41" i="2"/>
  <c r="H42" i="2"/>
  <c r="H43" i="2"/>
  <c r="H35" i="2"/>
  <c r="H36" i="2"/>
  <c r="H37" i="2"/>
  <c r="H38" i="2"/>
  <c r="I23" i="4" l="1"/>
  <c r="L24" i="4" s="1"/>
  <c r="H47" i="2" l="1"/>
  <c r="I33" i="4" l="1"/>
  <c r="H33" i="4"/>
  <c r="I12" i="4" l="1"/>
  <c r="H11" i="4"/>
  <c r="H14" i="2" l="1"/>
  <c r="L59" i="2" l="1"/>
  <c r="I77" i="2" s="1"/>
  <c r="H55" i="2" l="1"/>
  <c r="H56" i="2"/>
  <c r="L7" i="2" l="1"/>
  <c r="H49" i="2"/>
  <c r="G51" i="2"/>
  <c r="H18" i="2"/>
  <c r="H19" i="2"/>
  <c r="H20" i="2"/>
  <c r="I16" i="2"/>
  <c r="H16" i="2"/>
  <c r="J16" i="2" l="1"/>
  <c r="H54" i="2"/>
  <c r="F54" i="3" l="1"/>
  <c r="F53" i="3"/>
  <c r="F52" i="3"/>
  <c r="F51" i="3"/>
  <c r="F50" i="3"/>
  <c r="F49" i="3"/>
  <c r="F55" i="3"/>
  <c r="F56" i="3"/>
  <c r="F48" i="3"/>
  <c r="H30" i="4" l="1"/>
  <c r="H29" i="4" l="1"/>
  <c r="J29" i="4" s="1"/>
  <c r="I30" i="4" l="1"/>
  <c r="J27" i="4"/>
  <c r="H31" i="4"/>
  <c r="I51" i="2"/>
  <c r="G34" i="4" l="1"/>
  <c r="G76" i="2"/>
  <c r="I21" i="2"/>
  <c r="I47" i="2" l="1"/>
  <c r="L47" i="2" s="1"/>
  <c r="H53" i="2"/>
  <c r="I73" i="2"/>
  <c r="H7" i="2" l="1"/>
  <c r="I68" i="2" l="1"/>
  <c r="H25" i="2" l="1"/>
  <c r="H69" i="2"/>
  <c r="M69" i="2" s="1"/>
  <c r="H64" i="2"/>
  <c r="H63" i="2"/>
  <c r="H62" i="2"/>
  <c r="H29" i="2"/>
  <c r="H28" i="2"/>
  <c r="H27" i="2"/>
  <c r="H26" i="2"/>
  <c r="H24" i="2"/>
  <c r="H23" i="2"/>
  <c r="H22" i="2"/>
  <c r="H17" i="2"/>
  <c r="M17" i="2" s="1"/>
  <c r="K49" i="3" l="1"/>
  <c r="K50" i="3"/>
  <c r="K51" i="3"/>
  <c r="K52" i="3"/>
  <c r="K53" i="3"/>
  <c r="K54" i="3"/>
  <c r="K55" i="3"/>
  <c r="K56" i="3"/>
  <c r="J33" i="4" l="1"/>
  <c r="J23" i="4" l="1"/>
  <c r="I32" i="4" l="1"/>
  <c r="I37" i="4" s="1"/>
  <c r="J30" i="4" l="1"/>
  <c r="H61" i="2" l="1"/>
  <c r="J32" i="4" l="1"/>
  <c r="J12" i="4" l="1"/>
  <c r="H9" i="2" l="1"/>
  <c r="J15" i="2" s="1"/>
  <c r="J84" i="2" s="1"/>
  <c r="H48" i="2" l="1"/>
  <c r="J50" i="2" s="1"/>
  <c r="H32" i="2"/>
  <c r="H31" i="2"/>
  <c r="H30" i="2"/>
  <c r="H24" i="4" l="1"/>
  <c r="H34" i="4" s="1"/>
  <c r="J24" i="4" l="1"/>
  <c r="M24" i="4" s="1"/>
  <c r="F76" i="2"/>
  <c r="I58" i="2"/>
  <c r="I81" i="2" s="1"/>
  <c r="I61" i="2"/>
  <c r="H52" i="2"/>
  <c r="M52" i="2" s="1"/>
  <c r="H34" i="2"/>
  <c r="H33" i="2"/>
  <c r="M22" i="2" l="1"/>
  <c r="J21" i="2"/>
  <c r="J58" i="2" l="1"/>
  <c r="J81" i="2" l="1"/>
  <c r="B2347" i="5"/>
  <c r="B2346" i="5"/>
  <c r="E1233" i="5"/>
  <c r="F857" i="5"/>
  <c r="F856" i="5"/>
  <c r="F855" i="5"/>
  <c r="F854" i="5"/>
  <c r="J37" i="4" l="1"/>
  <c r="J83" i="4"/>
  <c r="I83" i="4"/>
  <c r="H68" i="2" l="1"/>
  <c r="I80" i="2"/>
  <c r="J47" i="2" l="1"/>
  <c r="M47" i="2" l="1"/>
  <c r="J80" i="2"/>
  <c r="J73" i="2" l="1"/>
  <c r="H59" i="2" l="1"/>
  <c r="M59" i="2" l="1"/>
  <c r="J77" i="2" s="1"/>
  <c r="H76" i="2"/>
  <c r="J68" i="2"/>
  <c r="J61" i="2"/>
  <c r="J92" i="4"/>
  <c r="J93" i="4" s="1"/>
  <c r="I92" i="4" l="1"/>
  <c r="I93" i="4" s="1"/>
  <c r="F26" i="3" l="1"/>
  <c r="F24" i="3"/>
  <c r="F11" i="3"/>
  <c r="F18" i="3"/>
  <c r="F6" i="3" l="1"/>
  <c r="F7" i="3"/>
  <c r="F8" i="3"/>
  <c r="F9" i="3"/>
  <c r="F10" i="3"/>
  <c r="F12" i="3"/>
  <c r="F13" i="3"/>
  <c r="F5" i="3" l="1"/>
  <c r="J58" i="3" l="1"/>
  <c r="J59" i="3" s="1"/>
  <c r="I82" i="2"/>
  <c r="J82" i="2" l="1"/>
  <c r="I76" i="2" l="1"/>
  <c r="J76" i="2" l="1"/>
  <c r="B33" i="3" l="1"/>
  <c r="C33" i="3"/>
  <c r="D33" i="3"/>
  <c r="E33" i="3"/>
  <c r="G33" i="3"/>
  <c r="H33" i="3"/>
  <c r="I33" i="3"/>
  <c r="B34" i="3"/>
  <c r="C34" i="3"/>
  <c r="D34" i="3"/>
  <c r="E34" i="3"/>
  <c r="G34" i="3"/>
  <c r="H34" i="3"/>
  <c r="I34" i="3"/>
  <c r="B35" i="3"/>
  <c r="C35" i="3"/>
  <c r="D35" i="3"/>
  <c r="E35" i="3"/>
  <c r="G35" i="3"/>
  <c r="H35" i="3"/>
  <c r="I35" i="3"/>
  <c r="B36" i="3"/>
  <c r="C36" i="3"/>
  <c r="D36" i="3"/>
  <c r="E36" i="3"/>
  <c r="F36" i="3"/>
  <c r="G36" i="3"/>
  <c r="H36" i="3"/>
  <c r="I36" i="3"/>
  <c r="B37" i="3"/>
  <c r="C37" i="3"/>
  <c r="D37" i="3"/>
  <c r="E37" i="3"/>
  <c r="G37" i="3"/>
  <c r="H37" i="3"/>
  <c r="I37" i="3"/>
  <c r="B38" i="3"/>
  <c r="C38" i="3"/>
  <c r="D38" i="3"/>
  <c r="E38" i="3"/>
  <c r="G38" i="3"/>
  <c r="H38" i="3"/>
  <c r="I38" i="3"/>
  <c r="B39" i="3"/>
  <c r="C39" i="3"/>
  <c r="D39" i="3"/>
  <c r="E39" i="3"/>
  <c r="G39" i="3"/>
  <c r="H39" i="3"/>
  <c r="I39" i="3"/>
  <c r="B40" i="3"/>
  <c r="C40" i="3"/>
  <c r="D40" i="3"/>
  <c r="E40" i="3"/>
  <c r="G40" i="3"/>
  <c r="H40" i="3"/>
  <c r="I40" i="3"/>
  <c r="C32" i="3"/>
  <c r="D32" i="3"/>
  <c r="E32" i="3"/>
  <c r="G32" i="3"/>
  <c r="H32" i="3"/>
  <c r="I32" i="3"/>
  <c r="B32" i="3"/>
  <c r="J14" i="3"/>
  <c r="I14" i="3"/>
  <c r="H14" i="3"/>
  <c r="G14" i="3"/>
  <c r="E14" i="3"/>
  <c r="D14" i="3"/>
  <c r="C14" i="3"/>
  <c r="B14" i="3"/>
  <c r="K13" i="3"/>
  <c r="K12" i="3"/>
  <c r="K11" i="3"/>
  <c r="K10" i="3"/>
  <c r="K9" i="3"/>
  <c r="K8" i="3"/>
  <c r="K7" i="3"/>
  <c r="K6" i="3"/>
  <c r="K5" i="3"/>
  <c r="F14" i="3" l="1"/>
  <c r="K14" i="3" s="1"/>
  <c r="J41" i="3"/>
  <c r="I36" i="4"/>
  <c r="J36" i="4"/>
  <c r="K22" i="3" l="1"/>
  <c r="F25" i="3"/>
  <c r="F23" i="3"/>
  <c r="F21" i="3"/>
  <c r="F20" i="3"/>
  <c r="F19" i="3"/>
  <c r="J27" i="3"/>
  <c r="I27" i="3"/>
  <c r="H27" i="3"/>
  <c r="G27" i="3"/>
  <c r="E27" i="3"/>
  <c r="D27" i="3"/>
  <c r="C27" i="3"/>
  <c r="B27" i="3"/>
  <c r="K21" i="3" l="1"/>
  <c r="F35" i="3"/>
  <c r="K19" i="3"/>
  <c r="F33" i="3"/>
  <c r="K20" i="3"/>
  <c r="F34" i="3"/>
  <c r="K23" i="3"/>
  <c r="F37" i="3"/>
  <c r="K37" i="3" s="1"/>
  <c r="K24" i="3"/>
  <c r="F38" i="3"/>
  <c r="K38" i="3" s="1"/>
  <c r="K25" i="3"/>
  <c r="F39" i="3"/>
  <c r="K39" i="3" s="1"/>
  <c r="K26" i="3"/>
  <c r="F40" i="3"/>
  <c r="K40" i="3" s="1"/>
  <c r="K18" i="3"/>
  <c r="F32" i="3"/>
  <c r="K32" i="3" s="1"/>
  <c r="C41" i="3"/>
  <c r="I41" i="3"/>
  <c r="E41" i="3"/>
  <c r="F27" i="3"/>
  <c r="K27" i="3" s="1"/>
  <c r="H41" i="3" l="1"/>
  <c r="G41" i="3"/>
  <c r="K36" i="3"/>
  <c r="B41" i="3"/>
  <c r="K35" i="3"/>
  <c r="D41" i="3"/>
  <c r="K33" i="3"/>
  <c r="K34" i="3"/>
  <c r="J83" i="2"/>
  <c r="I83" i="2"/>
  <c r="K58" i="3" l="1"/>
  <c r="J85" i="2"/>
  <c r="I85" i="2"/>
  <c r="F41" i="3"/>
  <c r="K41" i="3" s="1"/>
  <c r="L76" i="2" l="1"/>
  <c r="L77" i="2" s="1"/>
  <c r="H57" i="3"/>
  <c r="D57" i="3"/>
  <c r="H58" i="3" l="1"/>
  <c r="B57" i="3"/>
  <c r="B58" i="3" s="1"/>
  <c r="G57" i="3"/>
  <c r="C57" i="3"/>
  <c r="C58" i="3" s="1"/>
  <c r="I57" i="3"/>
  <c r="I58" i="3" s="1"/>
  <c r="G58" i="3" l="1"/>
  <c r="K48" i="3"/>
  <c r="K57" i="3" s="1"/>
  <c r="K59" i="3" s="1"/>
  <c r="E57" i="3"/>
  <c r="F57" i="3" l="1"/>
  <c r="E58" i="3"/>
  <c r="E59" i="3" s="1"/>
  <c r="I27" i="4"/>
  <c r="G85" i="4"/>
  <c r="H85" i="4"/>
  <c r="I34" i="4" l="1"/>
  <c r="I35" i="4"/>
  <c r="I38" i="4" s="1"/>
  <c r="I78" i="2" s="1"/>
  <c r="I79" i="2" s="1"/>
  <c r="I39" i="4" l="1"/>
  <c r="J34" i="4"/>
  <c r="J35" i="4"/>
  <c r="J38" i="4" s="1"/>
  <c r="J78" i="2" s="1"/>
  <c r="J79" i="2" s="1"/>
  <c r="J39" i="4" l="1"/>
</calcChain>
</file>

<file path=xl/sharedStrings.xml><?xml version="1.0" encoding="utf-8"?>
<sst xmlns="http://schemas.openxmlformats.org/spreadsheetml/2006/main" count="504" uniqueCount="290">
  <si>
    <t>거래처</t>
    <phoneticPr fontId="7" type="noConversion"/>
  </si>
  <si>
    <t>BL일자</t>
    <phoneticPr fontId="7" type="noConversion"/>
  </si>
  <si>
    <t>환율</t>
    <phoneticPr fontId="7" type="noConversion"/>
  </si>
  <si>
    <t>금          액</t>
    <phoneticPr fontId="7" type="noConversion"/>
  </si>
  <si>
    <t>BERGEN ENGINE</t>
    <phoneticPr fontId="2" type="noConversion"/>
  </si>
  <si>
    <t>공장구분</t>
    <phoneticPr fontId="2" type="noConversion"/>
  </si>
  <si>
    <t>마산1</t>
    <phoneticPr fontId="2" type="noConversion"/>
  </si>
  <si>
    <t>MERCURY</t>
    <phoneticPr fontId="2" type="noConversion"/>
  </si>
  <si>
    <t>마산2</t>
    <phoneticPr fontId="2" type="noConversion"/>
  </si>
  <si>
    <t>비  고</t>
    <phoneticPr fontId="7" type="noConversion"/>
  </si>
  <si>
    <t xml:space="preserve"> </t>
    <phoneticPr fontId="2" type="noConversion"/>
  </si>
  <si>
    <t>INVOICE NO</t>
    <phoneticPr fontId="10" type="noConversion"/>
  </si>
  <si>
    <t>합      계</t>
    <phoneticPr fontId="7" type="noConversion"/>
  </si>
  <si>
    <t>수출신고필증 NO.</t>
    <phoneticPr fontId="2" type="noConversion"/>
  </si>
  <si>
    <t>금  액(원화)</t>
    <phoneticPr fontId="7" type="noConversion"/>
  </si>
  <si>
    <t>금액(외화)</t>
    <phoneticPr fontId="7" type="noConversion"/>
  </si>
  <si>
    <t>마산1</t>
  </si>
  <si>
    <t>ALLISON</t>
    <phoneticPr fontId="2" type="noConversion"/>
  </si>
  <si>
    <t>SAM</t>
    <phoneticPr fontId="2" type="noConversion"/>
  </si>
  <si>
    <t>마산3</t>
    <phoneticPr fontId="2" type="noConversion"/>
  </si>
  <si>
    <t>EMERSON</t>
    <phoneticPr fontId="2" type="noConversion"/>
  </si>
  <si>
    <t>AMAT</t>
    <phoneticPr fontId="2" type="noConversion"/>
  </si>
  <si>
    <t>마산1공장</t>
    <phoneticPr fontId="2" type="noConversion"/>
  </si>
  <si>
    <t>마산2공장</t>
  </si>
  <si>
    <t>마산3공장</t>
  </si>
  <si>
    <t>마산1,2,3공장</t>
    <phoneticPr fontId="2" type="noConversion"/>
  </si>
  <si>
    <t>대신금속㈜</t>
    <phoneticPr fontId="2" type="noConversion"/>
  </si>
  <si>
    <t>공장별 매출 [이월]
당월출하 익월선적분</t>
    <phoneticPr fontId="2" type="noConversion"/>
  </si>
  <si>
    <t>업 체 별 합 계</t>
    <phoneticPr fontId="2" type="noConversion"/>
  </si>
  <si>
    <t>업체명</t>
    <phoneticPr fontId="2" type="noConversion"/>
  </si>
  <si>
    <t>소재비</t>
    <phoneticPr fontId="2" type="noConversion"/>
  </si>
  <si>
    <t>소재합계</t>
    <phoneticPr fontId="2" type="noConversion"/>
  </si>
  <si>
    <t>가공1</t>
    <phoneticPr fontId="2" type="noConversion"/>
  </si>
  <si>
    <t>가공2</t>
  </si>
  <si>
    <t>가공3</t>
  </si>
  <si>
    <t>기타</t>
    <phoneticPr fontId="2" type="noConversion"/>
  </si>
  <si>
    <t>POLARIS</t>
    <phoneticPr fontId="2" type="noConversion"/>
  </si>
  <si>
    <t>사형</t>
    <phoneticPr fontId="2" type="noConversion"/>
  </si>
  <si>
    <t>자동</t>
    <phoneticPr fontId="2" type="noConversion"/>
  </si>
  <si>
    <t>금형1 (앨리슨외)</t>
    <phoneticPr fontId="2" type="noConversion"/>
  </si>
  <si>
    <t>금형2 (앨리슨)</t>
    <phoneticPr fontId="2" type="noConversion"/>
  </si>
  <si>
    <t>합 계</t>
    <phoneticPr fontId="2" type="noConversion"/>
  </si>
  <si>
    <t>비 고</t>
    <phoneticPr fontId="2" type="noConversion"/>
  </si>
  <si>
    <t>해외영업팀</t>
    <phoneticPr fontId="2" type="noConversion"/>
  </si>
  <si>
    <t xml:space="preserve">                     ※ 당월출하 익월선적</t>
    <phoneticPr fontId="2" type="noConversion"/>
  </si>
  <si>
    <t>ATLAS COPCO</t>
    <phoneticPr fontId="2" type="noConversion"/>
  </si>
  <si>
    <t>원화수출</t>
  </si>
  <si>
    <t>3월 출하</t>
    <phoneticPr fontId="2" type="noConversion"/>
  </si>
  <si>
    <t>3월 매출</t>
    <phoneticPr fontId="2" type="noConversion"/>
  </si>
  <si>
    <t>3월 이월</t>
    <phoneticPr fontId="2" type="noConversion"/>
  </si>
  <si>
    <t>툴링비</t>
    <phoneticPr fontId="2" type="noConversion"/>
  </si>
  <si>
    <t>공장별 매출+툴링비</t>
    <phoneticPr fontId="2" type="noConversion"/>
  </si>
  <si>
    <t xml:space="preserve">  Allison</t>
  </si>
  <si>
    <t xml:space="preserve">  Mercury</t>
  </si>
  <si>
    <t xml:space="preserve">   Polaris</t>
  </si>
  <si>
    <t xml:space="preserve">   Emerson</t>
  </si>
  <si>
    <t>　Mic</t>
  </si>
  <si>
    <t>　Sam</t>
  </si>
  <si>
    <t>　Atlas Copco</t>
  </si>
  <si>
    <t>　Bergen engine</t>
  </si>
  <si>
    <t xml:space="preserve">　Dometic </t>
  </si>
  <si>
    <t>매출마감일 기준  BL 미발행</t>
    <phoneticPr fontId="2" type="noConversion"/>
  </si>
  <si>
    <t>앨리슨 관세</t>
    <phoneticPr fontId="2" type="noConversion"/>
  </si>
  <si>
    <t>2월 이월금액</t>
  </si>
  <si>
    <t>2월 이월금액</t>
    <phoneticPr fontId="2" type="noConversion"/>
  </si>
  <si>
    <t>3월 출하 금액</t>
    <phoneticPr fontId="2" type="noConversion"/>
  </si>
  <si>
    <t>MC</t>
    <phoneticPr fontId="2" type="noConversion"/>
  </si>
  <si>
    <t>공장별 매출+툴링비+PPAP</t>
    <phoneticPr fontId="2" type="noConversion"/>
  </si>
  <si>
    <t>관세</t>
    <phoneticPr fontId="2" type="noConversion"/>
  </si>
  <si>
    <t>마산2</t>
    <phoneticPr fontId="2" type="noConversion"/>
  </si>
  <si>
    <t>전자세금계산서</t>
    <phoneticPr fontId="2" type="noConversion"/>
  </si>
  <si>
    <t>DSM2604-AT01</t>
    <phoneticPr fontId="2" type="noConversion"/>
  </si>
  <si>
    <t>DSM2604-AT02</t>
    <phoneticPr fontId="2" type="noConversion"/>
  </si>
  <si>
    <t>툴링비+PPAP+관세</t>
    <phoneticPr fontId="2" type="noConversion"/>
  </si>
  <si>
    <t>날짜</t>
    <phoneticPr fontId="10" type="noConversion"/>
  </si>
  <si>
    <t>환율</t>
    <phoneticPr fontId="10" type="noConversion"/>
  </si>
  <si>
    <t>-</t>
    <phoneticPr fontId="7" type="noConversion"/>
  </si>
  <si>
    <t>SEASTAR</t>
    <phoneticPr fontId="2" type="noConversion"/>
  </si>
  <si>
    <t>콜라</t>
    <phoneticPr fontId="2" type="noConversion"/>
  </si>
  <si>
    <t>mercury</t>
    <phoneticPr fontId="2" type="noConversion"/>
  </si>
  <si>
    <t>SINKO</t>
    <phoneticPr fontId="2" type="noConversion"/>
  </si>
  <si>
    <t>X</t>
    <phoneticPr fontId="2" type="noConversion"/>
  </si>
  <si>
    <t>R&amp;R</t>
    <phoneticPr fontId="2" type="noConversion"/>
  </si>
  <si>
    <t>OSHKOSH</t>
    <phoneticPr fontId="2" type="noConversion"/>
  </si>
  <si>
    <t>3월 환율</t>
    <phoneticPr fontId="2" type="noConversion"/>
  </si>
  <si>
    <t>정확한 금액은 10일 이후
국세청에서 확인 가능</t>
    <phoneticPr fontId="2" type="noConversion"/>
  </si>
  <si>
    <t>차월 이월 금액</t>
    <phoneticPr fontId="2" type="noConversion"/>
  </si>
  <si>
    <t>BERGEN
ENGINE</t>
    <phoneticPr fontId="2" type="noConversion"/>
  </si>
  <si>
    <t>MERCURY CHINA</t>
    <phoneticPr fontId="2" type="noConversion"/>
  </si>
  <si>
    <t>원화수출(1,350원 기준원화 적용)</t>
    <phoneticPr fontId="2" type="noConversion"/>
  </si>
  <si>
    <t>국내(1,350원 기준원화 적용)</t>
    <phoneticPr fontId="2" type="noConversion"/>
  </si>
  <si>
    <t>SAM</t>
    <phoneticPr fontId="2" type="noConversion"/>
  </si>
  <si>
    <t>MIC
(AMAT)</t>
    <phoneticPr fontId="2" type="noConversion"/>
  </si>
  <si>
    <t>2026년 7월 수출매출(프로젝트별 실적금액)</t>
    <phoneticPr fontId="2" type="noConversion"/>
  </si>
  <si>
    <t>DOMETIC</t>
    <phoneticPr fontId="2" type="noConversion"/>
  </si>
  <si>
    <t>DSM2608-04</t>
  </si>
  <si>
    <t>DSM2608-05</t>
  </si>
  <si>
    <t>DSM2608-06</t>
  </si>
  <si>
    <t>DSM2608-07</t>
  </si>
  <si>
    <t>DSM2608-08</t>
  </si>
  <si>
    <t>DSM2608-09</t>
  </si>
  <si>
    <t>DSM2608-10</t>
  </si>
  <si>
    <t>DSM2608-11</t>
  </si>
  <si>
    <t>DSM2608-12</t>
  </si>
  <si>
    <t>DSM2608-13</t>
  </si>
  <si>
    <t>DSM2608-14</t>
  </si>
  <si>
    <t>DSM2608-15</t>
  </si>
  <si>
    <t>DSM2608-16</t>
  </si>
  <si>
    <t>2608P02</t>
  </si>
  <si>
    <t>2608P04</t>
  </si>
  <si>
    <t>8월 매출-비율</t>
    <phoneticPr fontId="2" type="noConversion"/>
  </si>
  <si>
    <t>41072-26-702076X</t>
  </si>
  <si>
    <t>41072-26-702074X</t>
  </si>
  <si>
    <t>41072-26-702075X</t>
  </si>
  <si>
    <t>41072-26-702073X</t>
  </si>
  <si>
    <t>툴링비</t>
    <phoneticPr fontId="2" type="noConversion"/>
  </si>
  <si>
    <t>DSM2608-17</t>
  </si>
  <si>
    <t>DSM2608-18</t>
  </si>
  <si>
    <t>DSM2608-AL05</t>
  </si>
  <si>
    <t>DSM2608-19</t>
  </si>
  <si>
    <t>41072-26-702170X</t>
  </si>
  <si>
    <t>41072-26-702171X</t>
  </si>
  <si>
    <t>41072-26-702172X</t>
  </si>
  <si>
    <t>41072-26-702173X</t>
  </si>
  <si>
    <t>41072-26-702174X</t>
  </si>
  <si>
    <t>41072-26-702175X</t>
  </si>
  <si>
    <t>41072-26-702010X</t>
  </si>
  <si>
    <t>41072-26-702183X</t>
  </si>
  <si>
    <t>2608P06</t>
    <phoneticPr fontId="2" type="noConversion"/>
  </si>
  <si>
    <t>DSM2608-20</t>
  </si>
  <si>
    <t>41072-26-702176X</t>
  </si>
  <si>
    <t>41072-26-702306X</t>
  </si>
  <si>
    <t>41072-26-702307X</t>
  </si>
  <si>
    <t>41072-26-702308X</t>
  </si>
  <si>
    <t>41072-26-702309X</t>
  </si>
  <si>
    <t>41072-26-702310X</t>
  </si>
  <si>
    <t>41072-26-201550X</t>
  </si>
  <si>
    <t>DSM2608-AL06</t>
  </si>
  <si>
    <t>DSM2608-AM03</t>
  </si>
  <si>
    <t>41072-26-702340X</t>
    <phoneticPr fontId="2" type="noConversion"/>
  </si>
  <si>
    <t>2026년   9월</t>
    <phoneticPr fontId="2" type="noConversion"/>
  </si>
  <si>
    <t>8월 이월 금액</t>
    <phoneticPr fontId="2" type="noConversion"/>
  </si>
  <si>
    <t>9월 출하 금액
(당월+차월 이월-전월 이월)</t>
    <phoneticPr fontId="2" type="noConversion"/>
  </si>
  <si>
    <t>공장별 매출
(9월 출항 금액)</t>
    <phoneticPr fontId="2" type="noConversion"/>
  </si>
  <si>
    <t>10월 이월 금액</t>
    <phoneticPr fontId="2" type="noConversion"/>
  </si>
  <si>
    <t>9월 출하 금액
(당월+이월-전월 이월)</t>
    <phoneticPr fontId="2" type="noConversion"/>
  </si>
  <si>
    <t xml:space="preserve">                2026년  09월 수출마감내역</t>
    <phoneticPr fontId="7" type="noConversion"/>
  </si>
  <si>
    <t>2609P01</t>
    <phoneticPr fontId="2" type="noConversion"/>
  </si>
  <si>
    <t>2609P02</t>
  </si>
  <si>
    <t>2609P03</t>
  </si>
  <si>
    <t>2609P04</t>
  </si>
  <si>
    <t>2609P05</t>
  </si>
  <si>
    <t>2609P06</t>
  </si>
  <si>
    <t>2609P07</t>
  </si>
  <si>
    <t>DSM2609-01</t>
    <phoneticPr fontId="2" type="noConversion"/>
  </si>
  <si>
    <t>DSM2609-02</t>
  </si>
  <si>
    <t>DSM2609-03</t>
  </si>
  <si>
    <t>DSM2609-04</t>
  </si>
  <si>
    <t>DSM2609-05</t>
  </si>
  <si>
    <t>DSM2609-06</t>
  </si>
  <si>
    <t>41072-26-702429X</t>
  </si>
  <si>
    <t>41072-26-702430X</t>
  </si>
  <si>
    <t>41072-26-702431X</t>
  </si>
  <si>
    <t>DSM2609-07</t>
  </si>
  <si>
    <t>DSM2609-08</t>
  </si>
  <si>
    <t>DSM2609-09</t>
  </si>
  <si>
    <t>DSM2609-10</t>
  </si>
  <si>
    <t>DSM2609-12</t>
  </si>
  <si>
    <t>DSM2609-13</t>
  </si>
  <si>
    <t>DSM2609-14</t>
  </si>
  <si>
    <t>DSM2609-15</t>
  </si>
  <si>
    <t>DSM2609-MC01</t>
  </si>
  <si>
    <t>41072-26-702435X</t>
  </si>
  <si>
    <t>41072-26-702341X</t>
  </si>
  <si>
    <t>41072-26-702346X</t>
  </si>
  <si>
    <t>DSM2608-SM02</t>
  </si>
  <si>
    <t>41129-26-080188X</t>
  </si>
  <si>
    <t>DSM2608-AM02</t>
  </si>
  <si>
    <t>20576-26-080599X</t>
  </si>
  <si>
    <t>20576-26-090059X</t>
  </si>
  <si>
    <t xml:space="preserve">                    2026년  09월 수출마감 이월내역</t>
    <phoneticPr fontId="7" type="noConversion"/>
  </si>
  <si>
    <t>9월 매출 + 이월</t>
    <phoneticPr fontId="2" type="noConversion"/>
  </si>
  <si>
    <t>DSM2609-EM01</t>
    <phoneticPr fontId="2" type="noConversion"/>
  </si>
  <si>
    <t>41072-26-702374X</t>
  </si>
  <si>
    <t>41072-26-702427X</t>
  </si>
  <si>
    <t>DSM2609-EM03</t>
  </si>
  <si>
    <t>41072-26-702428X</t>
  </si>
  <si>
    <t xml:space="preserve">DSM2609-SE01 </t>
  </si>
  <si>
    <t xml:space="preserve">41072-26-702473X </t>
  </si>
  <si>
    <t>41072-26-702484X</t>
  </si>
  <si>
    <t>DSM2609-R01</t>
  </si>
  <si>
    <t>41072-26-702490X</t>
  </si>
  <si>
    <t>41072-26-702489X</t>
  </si>
  <si>
    <t>DSM2609-EM04</t>
  </si>
  <si>
    <t>DSM2609-EM05</t>
  </si>
  <si>
    <t>DSM2609-EM06</t>
  </si>
  <si>
    <t>DSM2609-EM07</t>
  </si>
  <si>
    <t>41072-26-702508X</t>
  </si>
  <si>
    <t>41072-26-702509X</t>
  </si>
  <si>
    <t>DSM2609-AM01</t>
    <phoneticPr fontId="2" type="noConversion"/>
  </si>
  <si>
    <t>20576-26-090160X</t>
  </si>
  <si>
    <t>41072-26-702539X</t>
  </si>
  <si>
    <t>41072-26-702540X</t>
  </si>
  <si>
    <t>DSM2609-MC02</t>
  </si>
  <si>
    <t>DSM2609-SM01</t>
    <phoneticPr fontId="2" type="noConversion"/>
  </si>
  <si>
    <t>41129-26-090105X</t>
  </si>
  <si>
    <t>DSM2609-AM02</t>
    <phoneticPr fontId="2" type="noConversion"/>
  </si>
  <si>
    <t>41072-26-702561X</t>
  </si>
  <si>
    <t>41072-26-702562X</t>
  </si>
  <si>
    <t>41072-26-702563X</t>
  </si>
  <si>
    <t>41072-26-702564X</t>
  </si>
  <si>
    <t>41072-26-702565X</t>
  </si>
  <si>
    <t>41072-26-702566X</t>
  </si>
  <si>
    <t>DSM2608-21</t>
  </si>
  <si>
    <t>41072-26-702334X</t>
  </si>
  <si>
    <t>41072-26-702486X</t>
  </si>
  <si>
    <t>41072-26-702487X</t>
  </si>
  <si>
    <t>41072-26-702529X</t>
  </si>
  <si>
    <t>41072-26-702492X</t>
  </si>
  <si>
    <t>41072-26-702488X</t>
  </si>
  <si>
    <t>DSM2609-R02</t>
  </si>
  <si>
    <t>20576-26-090233X</t>
  </si>
  <si>
    <t>DSM2608-AL05(관세)</t>
    <phoneticPr fontId="2" type="noConversion"/>
  </si>
  <si>
    <t>DSM2609-AL03(관세)</t>
    <phoneticPr fontId="2" type="noConversion"/>
  </si>
  <si>
    <t>DSM2609-AL01</t>
    <phoneticPr fontId="2" type="noConversion"/>
  </si>
  <si>
    <t>DSM2609-AL02</t>
  </si>
  <si>
    <t>DSM2609-AL03</t>
  </si>
  <si>
    <t>41072-26-702570X</t>
  </si>
  <si>
    <t>DSM2609-AL04</t>
  </si>
  <si>
    <t>41072-26-702637X</t>
  </si>
  <si>
    <t>DSM2609-EM08</t>
  </si>
  <si>
    <t>DSM2609-EM02</t>
    <phoneticPr fontId="2" type="noConversion"/>
  </si>
  <si>
    <t>DSM2609-16</t>
  </si>
  <si>
    <t>DSM2609-18</t>
  </si>
  <si>
    <t>DSM2609-19</t>
  </si>
  <si>
    <t>DSM2609-20</t>
  </si>
  <si>
    <t>DSM2609-21</t>
  </si>
  <si>
    <t>41072-26-201636X</t>
  </si>
  <si>
    <t>41072-26-201637X</t>
  </si>
  <si>
    <t>41072-26-201638X</t>
  </si>
  <si>
    <t>41072-26-201639X</t>
  </si>
  <si>
    <t>41072-26-201640X</t>
  </si>
  <si>
    <t>41072-26-702580X</t>
  </si>
  <si>
    <t>41072-26-201642X</t>
  </si>
  <si>
    <t>머큐리 무상 샘플</t>
    <phoneticPr fontId="2" type="noConversion"/>
  </si>
  <si>
    <t>DSM2609-SAMPLE1</t>
    <phoneticPr fontId="2" type="noConversion"/>
  </si>
  <si>
    <t>DSM2609-AL06(관세)</t>
    <phoneticPr fontId="2" type="noConversion"/>
  </si>
  <si>
    <t>DSM2609-EM09</t>
    <phoneticPr fontId="2" type="noConversion"/>
  </si>
  <si>
    <t>DSM2609-R04</t>
    <phoneticPr fontId="2" type="noConversion"/>
  </si>
  <si>
    <t>DSM2609-R03</t>
    <phoneticPr fontId="2" type="noConversion"/>
  </si>
  <si>
    <t>DSM2609-AL06</t>
  </si>
  <si>
    <t>DSM2609-MC03</t>
  </si>
  <si>
    <t>DSM2609-SM03</t>
    <phoneticPr fontId="2" type="noConversion"/>
  </si>
  <si>
    <t>DSM2609-AL07</t>
  </si>
  <si>
    <t>DSM2609-AM03</t>
    <phoneticPr fontId="2" type="noConversion"/>
  </si>
  <si>
    <t>DSM2609-AM04</t>
    <phoneticPr fontId="2" type="noConversion"/>
  </si>
  <si>
    <t>41072-26-702756X</t>
  </si>
  <si>
    <t>41129-26-090201X</t>
  </si>
  <si>
    <t>41072-26-702728X</t>
  </si>
  <si>
    <t>41072-26-702543X</t>
  </si>
  <si>
    <t>41072-26-702677X</t>
  </si>
  <si>
    <t>41072-26-702716X</t>
  </si>
  <si>
    <t>41072-26-702718X</t>
  </si>
  <si>
    <t>41072-26-702719X</t>
  </si>
  <si>
    <t>41072-26-702720X</t>
  </si>
  <si>
    <t>41072-26-702638X</t>
  </si>
  <si>
    <t>41072-26-702771X</t>
  </si>
  <si>
    <t>20576-26-090564X</t>
  </si>
  <si>
    <t>DSM2609-SM04</t>
    <phoneticPr fontId="2" type="noConversion"/>
  </si>
  <si>
    <t>DSM2609-AL09</t>
    <phoneticPr fontId="2" type="noConversion"/>
  </si>
  <si>
    <t>8월 오기재 관세 차액분
(DSM2608-AL03(관세)</t>
    <phoneticPr fontId="2" type="noConversion"/>
  </si>
  <si>
    <t>마산2</t>
    <phoneticPr fontId="2" type="noConversion"/>
  </si>
  <si>
    <t>DSM2609-AL01(관세)</t>
    <phoneticPr fontId="2" type="noConversion"/>
  </si>
  <si>
    <t>DSM2609-AL02(관세)</t>
    <phoneticPr fontId="2" type="noConversion"/>
  </si>
  <si>
    <t>DSM2609-AL04(관세)</t>
    <phoneticPr fontId="2" type="noConversion"/>
  </si>
  <si>
    <t>DSM2609-AL07(관세)</t>
    <phoneticPr fontId="2" type="noConversion"/>
  </si>
  <si>
    <t>마산2</t>
    <phoneticPr fontId="2" type="noConversion"/>
  </si>
  <si>
    <t>마산3</t>
    <phoneticPr fontId="2" type="noConversion"/>
  </si>
  <si>
    <t>DSM2609-AT01</t>
    <phoneticPr fontId="2" type="noConversion"/>
  </si>
  <si>
    <t>DSM2609-AT02</t>
    <phoneticPr fontId="2" type="noConversion"/>
  </si>
  <si>
    <t>25년도 전자세금계산서 누락분</t>
    <phoneticPr fontId="2" type="noConversion"/>
  </si>
  <si>
    <t>41072-26-702438X</t>
  </si>
  <si>
    <t>41072-26-702727X</t>
  </si>
  <si>
    <t>41072-26-702849X</t>
    <phoneticPr fontId="2" type="noConversion"/>
  </si>
  <si>
    <t>41072-26-702795X</t>
    <phoneticPr fontId="2" type="noConversion"/>
  </si>
  <si>
    <t>41072-26-702792X</t>
    <phoneticPr fontId="2" type="noConversion"/>
  </si>
  <si>
    <t>41129-26-090282X</t>
    <phoneticPr fontId="2" type="noConversion"/>
  </si>
  <si>
    <t>센타하우징 15개 출하
8월 출하 건으로 10월 이월</t>
    <phoneticPr fontId="2" type="noConversion"/>
  </si>
  <si>
    <t>8월 이월 금액 중 10월 이월 금액 포함
($97,949.28/\132,789,838)</t>
    <phoneticPr fontId="2" type="noConversion"/>
  </si>
  <si>
    <t>25년도 세금계산서 누락분 제외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</si>
</sst>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2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6" formatCode="\$#,##0.00_);[Red]\(\$#,##0.00\)"/>
    <numFmt numFmtId="176" formatCode="mm&quot;월&quot;\ dd&quot;일&quot;"/>
    <numFmt numFmtId="177" formatCode="_-* #,##0.00_-;\-* #,##0.00_-;_-* &quot;-&quot;_-;_-@_-"/>
    <numFmt numFmtId="178" formatCode="\$#,##0.00;[Red]\-\$#,##0.00"/>
    <numFmt numFmtId="179" formatCode="&quot;₩&quot;#,##0_);[Red]\(&quot;₩&quot;#,##0\)"/>
    <numFmt numFmtId="180" formatCode="_ * #,##0_ ;_ * \-#,##0_ ;_ * &quot;-&quot;_ ;_ @_ "/>
    <numFmt numFmtId="181" formatCode="&quot;$&quot;#,##0.00_);\(&quot;$&quot;#,##0.00\)"/>
    <numFmt numFmtId="182" formatCode="_ &quot;₩&quot;* #,##0_ ;_ &quot;₩&quot;* \-#,##0_ ;_ &quot;₩&quot;* &quot;-&quot;_ ;_ @_ "/>
    <numFmt numFmtId="183" formatCode="_ &quot;₩&quot;* #,##0.00_ ;_ &quot;₩&quot;* \-#,##0.00_ ;_ &quot;₩&quot;* &quot;-&quot;??_ ;_ @_ "/>
    <numFmt numFmtId="184" formatCode="&quot;₩&quot;#,##0;&quot;₩&quot;\-#,##0"/>
    <numFmt numFmtId="185" formatCode="&quot;₩&quot;#,##0.00\ ;\(&quot;₩&quot;#,##0.00\)"/>
    <numFmt numFmtId="186" formatCode="#,##0;[Red]&quot;-&quot;#,##0"/>
    <numFmt numFmtId="187" formatCode="#,##0_-;&quot;△&quot;#,##0_-"/>
    <numFmt numFmtId="188" formatCode="&quot;₩&quot;#,##0.00;[Red]&quot;₩&quot;\-#,##0.00"/>
    <numFmt numFmtId="189" formatCode="@\ \ \ \ \ \ \ \ \ \ \ \ \ \ \ "/>
    <numFmt numFmtId="190" formatCode="#,##0%;[Red]\(#,##0%\)"/>
    <numFmt numFmtId="191" formatCode="#,##0;[Red]&quot;△&quot;#,##0"/>
    <numFmt numFmtId="192" formatCode="#,##0.0"/>
    <numFmt numFmtId="193" formatCode="_-[$€-2]* #,##0.00_-;\-[$€-2]* #,##0.00_-;_-[$€-2]* &quot;-&quot;??_-"/>
    <numFmt numFmtId="194" formatCode="#,##0\ &quot;F&quot;;[Red]\-#,##0\ &quot;F&quot;"/>
    <numFmt numFmtId="195" formatCode="#,##0.00;[Red]&quot;-&quot;#,##0.00"/>
    <numFmt numFmtId="196" formatCode="_ &quot;₩&quot;* #,##0.00_ ;_ &quot;₩&quot;* &quot;₩&quot;&quot;₩&quot;&quot;₩&quot;&quot;₩&quot;&quot;₩&quot;&quot;₩&quot;&quot;₩&quot;\-#,##0.00_ ;_ &quot;₩&quot;* &quot;-&quot;??_ ;_ @_ "/>
    <numFmt numFmtId="197" formatCode="&quot;₩&quot;#,##0;&quot;₩&quot;&quot;₩&quot;&quot;₩&quot;&quot;₩&quot;&quot;₩&quot;&quot;₩&quot;&quot;₩&quot;&quot;₩&quot;&quot;₩&quot;\-#,##0"/>
    <numFmt numFmtId="198" formatCode="&quot;₩&quot;#,##0;[Red]&quot;₩&quot;\-#,##0"/>
    <numFmt numFmtId="199" formatCode="&quot;₩&quot;#,##0.00;&quot;₩&quot;\-#,##0.00"/>
    <numFmt numFmtId="200" formatCode="&quot;$&quot;\ #,##0"/>
    <numFmt numFmtId="201" formatCode="&quot;₩&quot;#,##0;&quot;₩&quot;&quot;₩&quot;&quot;₩&quot;&quot;₩&quot;&quot;₩&quot;&quot;₩&quot;&quot;₩&quot;&quot;₩&quot;\-#,##0"/>
    <numFmt numFmtId="202" formatCode="_ * #,##0.00_ ;_ * &quot;₩&quot;&quot;₩&quot;&quot;₩&quot;&quot;₩&quot;&quot;₩&quot;&quot;₩&quot;&quot;₩&quot;&quot;₩&quot;&quot;₩&quot;&quot;₩&quot;\-#,##0.00_ ;_ * &quot;-&quot;??_ ;_ @_ "/>
    <numFmt numFmtId="203" formatCode="_ * #,##0_ ;_ * &quot;₩&quot;&quot;₩&quot;&quot;₩&quot;&quot;₩&quot;&quot;₩&quot;&quot;₩&quot;\-#,##0_ ;_ * &quot;-&quot;_ ;_ @_ "/>
    <numFmt numFmtId="204" formatCode="_ &quot;₩&quot;* #,##0_ ;_ &quot;₩&quot;* &quot;₩&quot;\-#,##0_ ;_ &quot;₩&quot;* &quot;-&quot;_ ;_ @_ "/>
    <numFmt numFmtId="205" formatCode="#."/>
    <numFmt numFmtId="206" formatCode="0.000_ "/>
    <numFmt numFmtId="207" formatCode="\$#,##0.00"/>
    <numFmt numFmtId="208" formatCode="&quot;₩&quot;#,##0"/>
    <numFmt numFmtId="209" formatCode="_-* #,##0.0_-;\-* #,##0.0_-;_-* &quot;-&quot;_-;_-@_-"/>
    <numFmt numFmtId="210" formatCode="_-* #,##0.0000000_-;\-* #,##0.0000000_-;_-* &quot;-&quot;_-;_-@_-"/>
    <numFmt numFmtId="211" formatCode="#,##0_);[Red]\(#,##0\)"/>
  </numFmts>
  <fonts count="150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6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b/>
      <sz val="24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b/>
      <i/>
      <sz val="10"/>
      <name val="Arial"/>
      <family val="2"/>
    </font>
    <font>
      <sz val="9"/>
      <color indexed="8"/>
      <name val="굴림체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rgb="FF9C0006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Times New Roman"/>
      <family val="1"/>
    </font>
    <font>
      <b/>
      <sz val="11"/>
      <name val="맑은 고딕"/>
      <family val="3"/>
      <charset val="129"/>
      <scheme val="major"/>
    </font>
    <font>
      <sz val="11"/>
      <color rgb="FF9C0006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9"/>
      <name val="Times New Roman"/>
      <family val="1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0"/>
      <name val="Bookman Old Style"/>
      <family val="1"/>
    </font>
    <font>
      <u/>
      <sz val="10"/>
      <color indexed="12"/>
      <name val="Bookman Old Style"/>
      <family val="1"/>
    </font>
    <font>
      <b/>
      <sz val="12"/>
      <name val="Arial"/>
      <family val="2"/>
    </font>
    <font>
      <sz val="8"/>
      <name val="Arial"/>
      <family val="2"/>
    </font>
    <font>
      <sz val="9"/>
      <name val="굴림"/>
      <family val="3"/>
      <charset val="129"/>
    </font>
    <font>
      <b/>
      <sz val="9"/>
      <name val="Times New Roman"/>
      <family val="1"/>
    </font>
    <font>
      <sz val="12"/>
      <name val="돋움"/>
      <family val="3"/>
      <charset val="129"/>
    </font>
    <font>
      <sz val="12"/>
      <name val="Times New Roman"/>
      <family val="1"/>
    </font>
    <font>
      <sz val="12"/>
      <name val="돋움체"/>
      <family val="3"/>
      <charset val="129"/>
    </font>
    <font>
      <sz val="12"/>
      <name val="바탕체"/>
      <family val="1"/>
      <charset val="129"/>
    </font>
    <font>
      <sz val="12"/>
      <name val="¹UAAA¼"/>
      <family val="1"/>
      <charset val="129"/>
    </font>
    <font>
      <sz val="11"/>
      <name val="μ¸¿o"/>
      <family val="3"/>
      <charset val="129"/>
    </font>
    <font>
      <sz val="10"/>
      <name val="굴림체"/>
      <family val="3"/>
      <charset val="129"/>
    </font>
    <font>
      <sz val="10"/>
      <name val="Helv"/>
      <family val="2"/>
    </font>
    <font>
      <sz val="7"/>
      <name val="바탕체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10"/>
      <color indexed="14"/>
      <name val="MS Sans Serif"/>
      <family val="2"/>
    </font>
    <font>
      <sz val="14"/>
      <name val="뼻뮝"/>
      <family val="3"/>
      <charset val="129"/>
    </font>
    <font>
      <sz val="12"/>
      <name val="뼻뮝"/>
      <family val="3"/>
      <charset val="129"/>
    </font>
    <font>
      <b/>
      <sz val="12"/>
      <color indexed="16"/>
      <name val="굴림체"/>
      <family val="3"/>
      <charset val="129"/>
    </font>
    <font>
      <b/>
      <sz val="18"/>
      <name val="궁서체"/>
      <family val="1"/>
      <charset val="129"/>
    </font>
    <font>
      <sz val="12"/>
      <name val="굴림체"/>
      <family val="3"/>
      <charset val="129"/>
    </font>
    <font>
      <sz val="11"/>
      <name val="굴림체"/>
      <family val="3"/>
      <charset val="129"/>
    </font>
    <font>
      <sz val="11"/>
      <name val="돋움체"/>
      <family val="3"/>
      <charset val="129"/>
    </font>
    <font>
      <sz val="12"/>
      <name val="©öUAAA¨ù"/>
      <family val="3"/>
      <charset val="129"/>
    </font>
    <font>
      <sz val="12"/>
      <name val="¹ÙÅÁÃ¼"/>
      <family val="1"/>
      <charset val="129"/>
    </font>
    <font>
      <sz val="11"/>
      <name val="µ¸¿ò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ⓒoUAAA¨u"/>
      <family val="1"/>
      <charset val="129"/>
    </font>
    <font>
      <sz val="14"/>
      <name val="¾©"/>
      <family val="1"/>
      <charset val="129"/>
    </font>
    <font>
      <sz val="12"/>
      <name val="±¼¸²A¼"/>
      <family val="3"/>
      <charset val="129"/>
    </font>
    <font>
      <sz val="12"/>
      <color indexed="32"/>
      <name val="MIN 훈민08체"/>
      <family val="3"/>
      <charset val="129"/>
    </font>
    <font>
      <sz val="12"/>
      <name val="System"/>
      <family val="2"/>
      <charset val="129"/>
    </font>
    <font>
      <sz val="18"/>
      <name val="HY견고딕"/>
      <family val="1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i/>
      <sz val="14"/>
      <name val="HY헤드라인M"/>
      <family val="1"/>
      <charset val="129"/>
    </font>
    <font>
      <u/>
      <sz val="9"/>
      <color indexed="36"/>
      <name val="바탕체"/>
      <family val="1"/>
      <charset val="129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b/>
      <sz val="10"/>
      <name val="Helv"/>
      <family val="2"/>
    </font>
    <font>
      <b/>
      <sz val="12"/>
      <name val="Helv"/>
      <family val="2"/>
    </font>
    <font>
      <sz val="10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sz val="10"/>
      <color indexed="8"/>
      <name val="Arial"/>
      <family val="2"/>
    </font>
    <font>
      <sz val="14"/>
      <name val="–¾’©"/>
      <family val="3"/>
      <charset val="129"/>
    </font>
    <font>
      <sz val="12"/>
      <color indexed="32"/>
      <name val="모음디"/>
      <family val="1"/>
      <charset val="129"/>
    </font>
    <font>
      <sz val="12"/>
      <name val="¾©"/>
      <family val="1"/>
      <charset val="129"/>
    </font>
    <font>
      <sz val="12"/>
      <name val="¨?¨Ï"/>
      <family val="1"/>
      <charset val="129"/>
    </font>
    <font>
      <sz val="11"/>
      <color indexed="8"/>
      <name val="宋体"/>
      <family val="3"/>
      <charset val="255"/>
    </font>
    <font>
      <sz val="11"/>
      <color indexed="9"/>
      <name val="宋体"/>
      <family val="3"/>
      <charset val="255"/>
    </font>
    <font>
      <sz val="12"/>
      <name val="¨IoUAAA¡§u"/>
      <family val="1"/>
      <charset val="129"/>
    </font>
    <font>
      <sz val="10"/>
      <name val="MS Serif"/>
      <family val="1"/>
    </font>
    <font>
      <sz val="10"/>
      <color indexed="16"/>
      <name val="MS Serif"/>
      <family val="1"/>
    </font>
    <font>
      <b/>
      <sz val="18"/>
      <name val="Arial"/>
      <family val="2"/>
    </font>
    <font>
      <sz val="10"/>
      <color indexed="12"/>
      <name val="Arial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8"/>
      <color indexed="8"/>
      <name val="Helv"/>
      <family val="2"/>
    </font>
    <font>
      <sz val="8"/>
      <color indexed="12"/>
      <name val="Arial"/>
      <family val="2"/>
    </font>
    <font>
      <b/>
      <sz val="18"/>
      <color indexed="56"/>
      <name val="宋体"/>
      <family val="3"/>
      <charset val="255"/>
    </font>
    <font>
      <b/>
      <sz val="11"/>
      <color indexed="9"/>
      <name val="宋体"/>
      <family val="3"/>
      <charset val="255"/>
    </font>
    <font>
      <sz val="11"/>
      <color indexed="60"/>
      <name val="宋体"/>
      <family val="3"/>
      <charset val="255"/>
    </font>
    <font>
      <sz val="11"/>
      <color indexed="52"/>
      <name val="宋体"/>
      <family val="3"/>
      <charset val="255"/>
    </font>
    <font>
      <b/>
      <sz val="15"/>
      <color indexed="56"/>
      <name val="宋体"/>
      <family val="3"/>
      <charset val="255"/>
    </font>
    <font>
      <b/>
      <sz val="13"/>
      <color indexed="56"/>
      <name val="宋体"/>
      <family val="3"/>
      <charset val="255"/>
    </font>
    <font>
      <b/>
      <sz val="11"/>
      <color indexed="56"/>
      <name val="宋体"/>
      <family val="3"/>
      <charset val="255"/>
    </font>
    <font>
      <sz val="11"/>
      <color indexed="10"/>
      <name val="宋体"/>
      <family val="3"/>
      <charset val="255"/>
    </font>
    <font>
      <b/>
      <sz val="11"/>
      <color indexed="52"/>
      <name val="宋体"/>
      <family val="3"/>
      <charset val="255"/>
    </font>
    <font>
      <sz val="11"/>
      <color indexed="17"/>
      <name val="宋体"/>
      <family val="3"/>
      <charset val="255"/>
    </font>
    <font>
      <sz val="12"/>
      <name val="宋体"/>
      <family val="3"/>
      <charset val="255"/>
    </font>
    <font>
      <i/>
      <sz val="11"/>
      <color indexed="23"/>
      <name val="宋体"/>
      <family val="3"/>
      <charset val="255"/>
    </font>
    <font>
      <sz val="11"/>
      <color indexed="62"/>
      <name val="宋体"/>
      <family val="3"/>
      <charset val="255"/>
    </font>
    <font>
      <b/>
      <sz val="11"/>
      <color indexed="63"/>
      <name val="宋体"/>
      <family val="3"/>
      <charset val="255"/>
    </font>
    <font>
      <sz val="11"/>
      <color indexed="20"/>
      <name val="宋体"/>
      <family val="3"/>
      <charset val="255"/>
    </font>
    <font>
      <sz val="12"/>
      <name val="新細明體"/>
      <family val="1"/>
      <charset val="134"/>
    </font>
    <font>
      <b/>
      <sz val="11"/>
      <color indexed="8"/>
      <name val="宋体"/>
      <family val="3"/>
      <charset val="255"/>
    </font>
    <font>
      <sz val="11"/>
      <name val="ＭＳ Ｐゴシック"/>
      <family val="2"/>
      <charset val="128"/>
    </font>
    <font>
      <sz val="11"/>
      <name val="明朝"/>
      <family val="1"/>
      <charset val="128"/>
    </font>
    <font>
      <sz val="10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"/>
      <color indexed="0"/>
      <name val="Courier"/>
      <family val="3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theme="10"/>
      <name val="돋움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10"/>
      <color rgb="FF0000FF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  <font>
      <sz val="8.5"/>
      <color rgb="FF666666"/>
      <name val="Malgun Gothic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lightGray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gray0625">
        <fgColor indexed="15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auto="1"/>
      </right>
      <top/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CFD0CF"/>
      </left>
      <right/>
      <top style="thin">
        <color rgb="FFCFD0CF"/>
      </top>
      <bottom style="thin">
        <color rgb="FFCFD0CF"/>
      </bottom>
      <diagonal/>
    </border>
    <border>
      <left/>
      <right style="thin">
        <color rgb="FFCFD0CF"/>
      </right>
      <top style="thin">
        <color rgb="FFCFD0CF"/>
      </top>
      <bottom style="thin">
        <color rgb="FFCFD0CF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3230">
    <xf numFmtId="0" fontId="0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9" fillId="0" borderId="0"/>
    <xf numFmtId="41" fontId="20" fillId="0" borderId="0" applyFont="0" applyFill="0" applyBorder="0" applyAlignment="0" applyProtection="0"/>
    <xf numFmtId="0" fontId="21" fillId="0" borderId="0"/>
    <xf numFmtId="0" fontId="19" fillId="0" borderId="0"/>
    <xf numFmtId="0" fontId="3" fillId="0" borderId="0"/>
    <xf numFmtId="180" fontId="3" fillId="0" borderId="0" applyFont="0" applyFill="0" applyBorder="0" applyAlignment="0" applyProtection="0"/>
    <xf numFmtId="0" fontId="3" fillId="0" borderId="0">
      <alignment vertical="center"/>
    </xf>
    <xf numFmtId="0" fontId="23" fillId="0" borderId="0">
      <alignment vertical="center"/>
    </xf>
    <xf numFmtId="0" fontId="24" fillId="0" borderId="0"/>
    <xf numFmtId="0" fontId="25" fillId="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0" fontId="27" fillId="0" borderId="0"/>
    <xf numFmtId="0" fontId="22" fillId="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3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9" fillId="0" borderId="0"/>
    <xf numFmtId="180" fontId="3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9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186" fontId="46" fillId="0" borderId="0"/>
    <xf numFmtId="186" fontId="46" fillId="0" borderId="0"/>
    <xf numFmtId="0" fontId="46" fillId="0" borderId="0"/>
    <xf numFmtId="0" fontId="46" fillId="0" borderId="0"/>
    <xf numFmtId="0" fontId="46" fillId="0" borderId="0"/>
    <xf numFmtId="0" fontId="50" fillId="0" borderId="0"/>
    <xf numFmtId="0" fontId="4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9" fillId="0" borderId="0"/>
    <xf numFmtId="0" fontId="19" fillId="0" borderId="0"/>
    <xf numFmtId="0" fontId="44" fillId="0" borderId="0"/>
    <xf numFmtId="0" fontId="44" fillId="0" borderId="0"/>
    <xf numFmtId="40" fontId="69" fillId="0" borderId="0" applyFont="0" applyFill="0" applyBorder="0" applyAlignment="0" applyProtection="0"/>
    <xf numFmtId="38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91" fillId="0" borderId="0"/>
    <xf numFmtId="0" fontId="90" fillId="0" borderId="0"/>
    <xf numFmtId="0" fontId="44" fillId="0" borderId="0"/>
    <xf numFmtId="186" fontId="46" fillId="0" borderId="0"/>
    <xf numFmtId="0" fontId="19" fillId="0" borderId="0"/>
    <xf numFmtId="0" fontId="48" fillId="0" borderId="0" applyFont="0" applyFill="0" applyBorder="0" applyAlignment="0" applyProtection="0"/>
    <xf numFmtId="0" fontId="49" fillId="8" borderId="0">
      <protection locked="0"/>
    </xf>
    <xf numFmtId="0" fontId="50" fillId="8" borderId="0">
      <protection locked="0"/>
    </xf>
    <xf numFmtId="0" fontId="50" fillId="8" borderId="0">
      <protection locked="0"/>
    </xf>
    <xf numFmtId="0" fontId="50" fillId="8" borderId="0">
      <protection locked="0"/>
    </xf>
    <xf numFmtId="0" fontId="50" fillId="8" borderId="0">
      <protection locked="0"/>
    </xf>
    <xf numFmtId="0" fontId="50" fillId="8" borderId="0">
      <protection locked="0"/>
    </xf>
    <xf numFmtId="0" fontId="50" fillId="8" borderId="0">
      <protection locked="0"/>
    </xf>
    <xf numFmtId="0" fontId="50" fillId="8" borderId="0">
      <protection locked="0"/>
    </xf>
    <xf numFmtId="4" fontId="51" fillId="0" borderId="18">
      <alignment vertical="center"/>
    </xf>
    <xf numFmtId="4" fontId="51" fillId="0" borderId="18">
      <alignment vertical="center"/>
    </xf>
    <xf numFmtId="4" fontId="51" fillId="0" borderId="18">
      <alignment vertical="center"/>
    </xf>
    <xf numFmtId="0" fontId="124" fillId="9" borderId="0" applyNumberFormat="0" applyBorder="0" applyAlignment="0" applyProtection="0">
      <alignment vertical="center"/>
    </xf>
    <xf numFmtId="0" fontId="124" fillId="10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3" borderId="0" applyNumberFormat="0" applyBorder="0" applyAlignment="0" applyProtection="0">
      <alignment vertical="center"/>
    </xf>
    <xf numFmtId="0" fontId="124" fillId="14" borderId="0" applyNumberFormat="0" applyBorder="0" applyAlignment="0" applyProtection="0">
      <alignment vertical="center"/>
    </xf>
    <xf numFmtId="0" fontId="92" fillId="9" borderId="0" applyNumberFormat="0" applyBorder="0" applyAlignment="0" applyProtection="0">
      <alignment vertical="center"/>
    </xf>
    <xf numFmtId="0" fontId="92" fillId="9" borderId="0" applyNumberFormat="0" applyBorder="0" applyAlignment="0" applyProtection="0">
      <alignment vertical="center"/>
    </xf>
    <xf numFmtId="0" fontId="92" fillId="10" borderId="0" applyNumberFormat="0" applyBorder="0" applyAlignment="0" applyProtection="0">
      <alignment vertical="center"/>
    </xf>
    <xf numFmtId="0" fontId="92" fillId="10" borderId="0" applyNumberFormat="0" applyBorder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3" borderId="0" applyNumberFormat="0" applyBorder="0" applyAlignment="0" applyProtection="0">
      <alignment vertical="center"/>
    </xf>
    <xf numFmtId="0" fontId="92" fillId="13" borderId="0" applyNumberFormat="0" applyBorder="0" applyAlignment="0" applyProtection="0">
      <alignment vertical="center"/>
    </xf>
    <xf numFmtId="0" fontId="92" fillId="14" borderId="0" applyNumberFormat="0" applyBorder="0" applyAlignment="0" applyProtection="0">
      <alignment vertical="center"/>
    </xf>
    <xf numFmtId="0" fontId="92" fillId="14" borderId="0" applyNumberFormat="0" applyBorder="0" applyAlignment="0" applyProtection="0">
      <alignment vertical="center"/>
    </xf>
    <xf numFmtId="0" fontId="92" fillId="9" borderId="0" applyNumberFormat="0" applyBorder="0" applyAlignment="0" applyProtection="0">
      <alignment vertical="center"/>
    </xf>
    <xf numFmtId="0" fontId="92" fillId="9" borderId="0" applyNumberFormat="0" applyBorder="0" applyAlignment="0" applyProtection="0">
      <alignment vertical="center"/>
    </xf>
    <xf numFmtId="0" fontId="92" fillId="10" borderId="0" applyNumberFormat="0" applyBorder="0" applyAlignment="0" applyProtection="0">
      <alignment vertical="center"/>
    </xf>
    <xf numFmtId="0" fontId="92" fillId="10" borderId="0" applyNumberFormat="0" applyBorder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3" borderId="0" applyNumberFormat="0" applyBorder="0" applyAlignment="0" applyProtection="0">
      <alignment vertical="center"/>
    </xf>
    <xf numFmtId="0" fontId="92" fillId="13" borderId="0" applyNumberFormat="0" applyBorder="0" applyAlignment="0" applyProtection="0">
      <alignment vertical="center"/>
    </xf>
    <xf numFmtId="0" fontId="92" fillId="14" borderId="0" applyNumberFormat="0" applyBorder="0" applyAlignment="0" applyProtection="0">
      <alignment vertical="center"/>
    </xf>
    <xf numFmtId="0" fontId="92" fillId="14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7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8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8" borderId="0" applyNumberFormat="0" applyBorder="0" applyAlignment="0" applyProtection="0">
      <alignment vertical="center"/>
    </xf>
    <xf numFmtId="0" fontId="92" fillId="18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8" borderId="0" applyNumberFormat="0" applyBorder="0" applyAlignment="0" applyProtection="0">
      <alignment vertical="center"/>
    </xf>
    <xf numFmtId="0" fontId="92" fillId="18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7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1" borderId="0" applyNumberFormat="0" applyBorder="0" applyAlignment="0" applyProtection="0">
      <alignment vertical="center"/>
    </xf>
    <xf numFmtId="0" fontId="125" fillId="22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7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1" borderId="0" applyNumberFormat="0" applyBorder="0" applyAlignment="0" applyProtection="0">
      <alignment vertical="center"/>
    </xf>
    <xf numFmtId="0" fontId="93" fillId="22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7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1" borderId="0" applyNumberFormat="0" applyBorder="0" applyAlignment="0" applyProtection="0">
      <alignment vertical="center"/>
    </xf>
    <xf numFmtId="0" fontId="93" fillId="22" borderId="0" applyNumberFormat="0" applyBorder="0" applyAlignment="0" applyProtection="0">
      <alignment vertical="center"/>
    </xf>
    <xf numFmtId="0" fontId="4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186" fontId="84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3" fillId="0" borderId="0" applyFont="0" applyFill="0" applyBorder="0" applyAlignment="0" applyProtection="0"/>
    <xf numFmtId="195" fontId="84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5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1" borderId="0" applyNumberFormat="0" applyBorder="0" applyAlignment="0" applyProtection="0">
      <alignment vertical="center"/>
    </xf>
    <xf numFmtId="0" fontId="125" fillId="26" borderId="0" applyNumberFormat="0" applyBorder="0" applyAlignment="0" applyProtection="0">
      <alignment vertical="center"/>
    </xf>
    <xf numFmtId="181" fontId="60" fillId="27" borderId="20">
      <alignment horizontal="center" vertical="center"/>
    </xf>
    <xf numFmtId="0" fontId="64" fillId="0" borderId="0" applyFont="0" applyFill="0" applyBorder="0" applyAlignment="0" applyProtection="0"/>
    <xf numFmtId="182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196" fontId="47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4" fillId="0" borderId="0" applyFont="0" applyFill="0" applyBorder="0" applyAlignment="0" applyProtection="0"/>
    <xf numFmtId="183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197" fontId="4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198" fontId="84" fillId="0" borderId="0" applyFont="0" applyFill="0" applyBorder="0" applyAlignment="0" applyProtection="0"/>
    <xf numFmtId="198" fontId="84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64" fillId="0" borderId="0" applyFont="0" applyFill="0" applyBorder="0" applyAlignment="0" applyProtection="0"/>
    <xf numFmtId="18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64" fillId="0" borderId="0" applyFont="0" applyFill="0" applyBorder="0" applyAlignment="0" applyProtection="0"/>
    <xf numFmtId="43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27" fillId="10" borderId="0" applyNumberFormat="0" applyBorder="0" applyAlignment="0" applyProtection="0">
      <alignment vertical="center"/>
    </xf>
    <xf numFmtId="0" fontId="71" fillId="28" borderId="10">
      <alignment horizontal="center" vertical="center"/>
    </xf>
    <xf numFmtId="0" fontId="71" fillId="28" borderId="10">
      <alignment horizontal="center" vertical="center"/>
    </xf>
    <xf numFmtId="0" fontId="71" fillId="28" borderId="10">
      <alignment horizontal="center" vertical="center"/>
    </xf>
    <xf numFmtId="0" fontId="71" fillId="28" borderId="10">
      <alignment horizontal="center" vertical="center"/>
    </xf>
    <xf numFmtId="0" fontId="71" fillId="28" borderId="10">
      <alignment horizontal="center" vertical="center"/>
    </xf>
    <xf numFmtId="0" fontId="71" fillId="28" borderId="10">
      <alignment horizontal="center" vertical="center"/>
    </xf>
    <xf numFmtId="0" fontId="71" fillId="28" borderId="10">
      <alignment horizontal="center" vertical="center"/>
    </xf>
    <xf numFmtId="0" fontId="71" fillId="28" borderId="10">
      <alignment horizontal="center" vertical="center"/>
    </xf>
    <xf numFmtId="0" fontId="84" fillId="0" borderId="0"/>
    <xf numFmtId="0" fontId="68" fillId="0" borderId="0"/>
    <xf numFmtId="0" fontId="72" fillId="0" borderId="0"/>
    <xf numFmtId="0" fontId="73" fillId="0" borderId="0"/>
    <xf numFmtId="0" fontId="72" fillId="0" borderId="0"/>
    <xf numFmtId="0" fontId="77" fillId="0" borderId="0"/>
    <xf numFmtId="0" fontId="64" fillId="0" borderId="0"/>
    <xf numFmtId="0" fontId="47" fillId="0" borderId="0"/>
    <xf numFmtId="0" fontId="64" fillId="0" borderId="0"/>
    <xf numFmtId="0" fontId="47" fillId="0" borderId="0"/>
    <xf numFmtId="0" fontId="64" fillId="0" borderId="0"/>
    <xf numFmtId="0" fontId="48" fillId="0" borderId="0"/>
    <xf numFmtId="0" fontId="64" fillId="0" borderId="0"/>
    <xf numFmtId="0" fontId="72" fillId="0" borderId="0"/>
    <xf numFmtId="0" fontId="64" fillId="0" borderId="0"/>
    <xf numFmtId="0" fontId="47" fillId="0" borderId="0"/>
    <xf numFmtId="0" fontId="74" fillId="0" borderId="0"/>
    <xf numFmtId="0" fontId="75" fillId="0" borderId="0"/>
    <xf numFmtId="0" fontId="74" fillId="0" borderId="0"/>
    <xf numFmtId="0" fontId="48" fillId="0" borderId="0"/>
    <xf numFmtId="0" fontId="65" fillId="0" borderId="0"/>
    <xf numFmtId="0" fontId="48" fillId="0" borderId="0"/>
    <xf numFmtId="0" fontId="65" fillId="0" borderId="0"/>
    <xf numFmtId="0" fontId="47" fillId="0" borderId="0"/>
    <xf numFmtId="0" fontId="65" fillId="0" borderId="0"/>
    <xf numFmtId="0" fontId="48" fillId="0" borderId="0"/>
    <xf numFmtId="0" fontId="65" fillId="0" borderId="0"/>
    <xf numFmtId="0" fontId="66" fillId="0" borderId="0"/>
    <xf numFmtId="0" fontId="67" fillId="0" borderId="0"/>
    <xf numFmtId="0" fontId="47" fillId="0" borderId="0"/>
    <xf numFmtId="0" fontId="64" fillId="0" borderId="0"/>
    <xf numFmtId="0" fontId="47" fillId="0" borderId="0"/>
    <xf numFmtId="0" fontId="64" fillId="0" borderId="0"/>
    <xf numFmtId="0" fontId="48" fillId="0" borderId="0"/>
    <xf numFmtId="0" fontId="65" fillId="0" borderId="0"/>
    <xf numFmtId="0" fontId="47" fillId="0" borderId="0"/>
    <xf numFmtId="0" fontId="64" fillId="0" borderId="0"/>
    <xf numFmtId="0" fontId="47" fillId="0" borderId="0"/>
    <xf numFmtId="0" fontId="64" fillId="0" borderId="0"/>
    <xf numFmtId="0" fontId="70" fillId="0" borderId="0"/>
    <xf numFmtId="0" fontId="76" fillId="0" borderId="0"/>
    <xf numFmtId="0" fontId="48" fillId="0" borderId="0"/>
    <xf numFmtId="0" fontId="64" fillId="0" borderId="0"/>
    <xf numFmtId="0" fontId="66" fillId="0" borderId="0"/>
    <xf numFmtId="0" fontId="67" fillId="0" borderId="0"/>
    <xf numFmtId="0" fontId="77" fillId="0" borderId="0"/>
    <xf numFmtId="0" fontId="64" fillId="0" borderId="0"/>
    <xf numFmtId="0" fontId="47" fillId="0" borderId="0"/>
    <xf numFmtId="0" fontId="64" fillId="0" borderId="0"/>
    <xf numFmtId="0" fontId="48" fillId="0" borderId="0"/>
    <xf numFmtId="0" fontId="65" fillId="0" borderId="0"/>
    <xf numFmtId="0" fontId="47" fillId="0" borderId="0"/>
    <xf numFmtId="0" fontId="64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8" fillId="0" borderId="0"/>
    <xf numFmtId="0" fontId="79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0" fillId="0" borderId="0"/>
    <xf numFmtId="0" fontId="76" fillId="0" borderId="0"/>
    <xf numFmtId="0" fontId="72" fillId="0" borderId="0"/>
    <xf numFmtId="0" fontId="72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47" fillId="0" borderId="0" applyBorder="0"/>
    <xf numFmtId="0" fontId="64" fillId="0" borderId="0" applyBorder="0"/>
    <xf numFmtId="0" fontId="48" fillId="0" borderId="0"/>
    <xf numFmtId="0" fontId="65" fillId="0" borderId="0"/>
    <xf numFmtId="0" fontId="47" fillId="0" borderId="0"/>
    <xf numFmtId="0" fontId="64" fillId="0" borderId="0"/>
    <xf numFmtId="0" fontId="47" fillId="0" borderId="0"/>
    <xf numFmtId="0" fontId="46" fillId="0" borderId="0" applyFill="0" applyBorder="0" applyAlignment="0"/>
    <xf numFmtId="0" fontId="128" fillId="6" borderId="21" applyNumberFormat="0" applyAlignment="0" applyProtection="0">
      <alignment vertical="center"/>
    </xf>
    <xf numFmtId="0" fontId="82" fillId="0" borderId="0"/>
    <xf numFmtId="0" fontId="129" fillId="29" borderId="22" applyNumberFormat="0" applyAlignment="0" applyProtection="0">
      <alignment vertical="center"/>
    </xf>
    <xf numFmtId="3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0" fontId="95" fillId="0" borderId="0" applyNumberFormat="0" applyAlignment="0">
      <alignment horizontal="left"/>
    </xf>
    <xf numFmtId="0" fontId="4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3" fillId="0" borderId="0"/>
    <xf numFmtId="192" fontId="3" fillId="0" borderId="0">
      <protection locked="0"/>
    </xf>
    <xf numFmtId="0" fontId="96" fillId="0" borderId="0" applyNumberFormat="0" applyAlignment="0">
      <alignment horizontal="left"/>
    </xf>
    <xf numFmtId="0" fontId="31" fillId="0" borderId="0">
      <alignment horizontal="left"/>
    </xf>
    <xf numFmtId="193" fontId="3" fillId="0" borderId="0" applyFont="0" applyFill="0" applyBorder="0" applyAlignment="0" applyProtection="0"/>
    <xf numFmtId="0" fontId="130" fillId="0" borderId="0" applyNumberFormat="0" applyFill="0" applyBorder="0" applyAlignment="0" applyProtection="0">
      <alignment vertical="center"/>
    </xf>
    <xf numFmtId="192" fontId="3" fillId="0" borderId="0">
      <protection locked="0"/>
    </xf>
    <xf numFmtId="0" fontId="131" fillId="11" borderId="0" applyNumberFormat="0" applyBorder="0" applyAlignment="0" applyProtection="0">
      <alignment vertical="center"/>
    </xf>
    <xf numFmtId="38" fontId="40" fillId="7" borderId="0" applyNumberFormat="0" applyBorder="0" applyAlignment="0" applyProtection="0"/>
    <xf numFmtId="0" fontId="83" fillId="0" borderId="0">
      <alignment horizontal="left"/>
    </xf>
    <xf numFmtId="0" fontId="39" fillId="0" borderId="17" applyNumberFormat="0" applyAlignment="0" applyProtection="0">
      <alignment horizontal="left" vertical="center"/>
    </xf>
    <xf numFmtId="0" fontId="39" fillId="0" borderId="3">
      <alignment horizontal="left" vertical="center"/>
    </xf>
    <xf numFmtId="0" fontId="39" fillId="0" borderId="3">
      <alignment horizontal="left" vertical="center"/>
    </xf>
    <xf numFmtId="0" fontId="97" fillId="0" borderId="0" applyNumberFormat="0" applyFill="0" applyBorder="0" applyAlignment="0" applyProtection="0"/>
    <xf numFmtId="0" fontId="132" fillId="0" borderId="23" applyNumberFormat="0" applyFill="0" applyAlignment="0" applyProtection="0">
      <alignment vertical="center"/>
    </xf>
    <xf numFmtId="0" fontId="39" fillId="0" borderId="0" applyNumberFormat="0" applyFill="0" applyBorder="0" applyAlignment="0" applyProtection="0"/>
    <xf numFmtId="0" fontId="133" fillId="0" borderId="24" applyNumberFormat="0" applyFill="0" applyAlignment="0" applyProtection="0">
      <alignment vertical="center"/>
    </xf>
    <xf numFmtId="0" fontId="134" fillId="0" borderId="25" applyNumberFormat="0" applyFill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92" fontId="3" fillId="0" borderId="0">
      <protection locked="0"/>
    </xf>
    <xf numFmtId="192" fontId="3" fillId="0" borderId="0">
      <protection locked="0"/>
    </xf>
    <xf numFmtId="0" fontId="98" fillId="0" borderId="26" applyNumberFormat="0" applyFill="0" applyAlignment="0" applyProtection="0"/>
    <xf numFmtId="0" fontId="46" fillId="0" borderId="0" applyFont="0" applyFill="0" applyBorder="0" applyAlignment="0" applyProtection="0"/>
    <xf numFmtId="0" fontId="135" fillId="14" borderId="21" applyNumberFormat="0" applyAlignment="0" applyProtection="0">
      <alignment vertical="center"/>
    </xf>
    <xf numFmtId="10" fontId="40" fillId="7" borderId="1" applyNumberFormat="0" applyBorder="0" applyAlignment="0" applyProtection="0"/>
    <xf numFmtId="10" fontId="40" fillId="7" borderId="1" applyNumberFormat="0" applyBorder="0" applyAlignment="0" applyProtection="0"/>
    <xf numFmtId="10" fontId="40" fillId="7" borderId="1" applyNumberFormat="0" applyBorder="0" applyAlignment="0" applyProtection="0"/>
    <xf numFmtId="10" fontId="40" fillId="7" borderId="1" applyNumberFormat="0" applyBorder="0" applyAlignment="0" applyProtection="0"/>
    <xf numFmtId="0" fontId="46" fillId="0" borderId="0" applyFont="0" applyFill="0" applyBorder="0" applyAlignment="0" applyProtection="0"/>
    <xf numFmtId="0" fontId="136" fillId="0" borderId="27" applyNumberFormat="0" applyFill="0" applyAlignment="0" applyProtection="0">
      <alignment vertical="center"/>
    </xf>
    <xf numFmtId="38" fontId="84" fillId="0" borderId="0" applyFont="0" applyFill="0" applyBorder="0" applyAlignment="0" applyProtection="0"/>
    <xf numFmtId="40" fontId="84" fillId="0" borderId="0" applyFont="0" applyFill="0" applyBorder="0" applyAlignment="0" applyProtection="0"/>
    <xf numFmtId="0" fontId="85" fillId="0" borderId="14"/>
    <xf numFmtId="0" fontId="85" fillId="0" borderId="14"/>
    <xf numFmtId="0" fontId="85" fillId="0" borderId="14"/>
    <xf numFmtId="194" fontId="84" fillId="0" borderId="0" applyFont="0" applyFill="0" applyBorder="0" applyAlignment="0" applyProtection="0"/>
    <xf numFmtId="198" fontId="32" fillId="0" borderId="0" applyFont="0" applyFill="0" applyBorder="0" applyAlignment="0" applyProtection="0"/>
    <xf numFmtId="0" fontId="137" fillId="30" borderId="0" applyNumberFormat="0" applyBorder="0" applyAlignment="0" applyProtection="0">
      <alignment vertical="center"/>
    </xf>
    <xf numFmtId="37" fontId="86" fillId="0" borderId="0"/>
    <xf numFmtId="0" fontId="46" fillId="0" borderId="0"/>
    <xf numFmtId="0" fontId="19" fillId="0" borderId="0"/>
    <xf numFmtId="0" fontId="3" fillId="31" borderId="28" applyNumberFormat="0" applyFont="0" applyAlignment="0" applyProtection="0">
      <alignment vertical="center"/>
    </xf>
    <xf numFmtId="191" fontId="87" fillId="32" borderId="0">
      <alignment vertical="center"/>
    </xf>
    <xf numFmtId="40" fontId="56" fillId="0" borderId="0" applyFont="0" applyFill="0" applyBorder="0" applyAlignment="0" applyProtection="0"/>
    <xf numFmtId="40" fontId="88" fillId="0" borderId="0" applyFont="0" applyFill="0" applyBorder="0" applyAlignment="0" applyProtection="0"/>
    <xf numFmtId="38" fontId="88" fillId="0" borderId="0" applyFont="0" applyFill="0" applyBorder="0" applyAlignment="0" applyProtection="0"/>
    <xf numFmtId="0" fontId="138" fillId="6" borderId="29" applyNumberFormat="0" applyAlignment="0" applyProtection="0">
      <alignment vertical="center"/>
    </xf>
    <xf numFmtId="10" fontId="19" fillId="0" borderId="0" applyFont="0" applyFill="0" applyBorder="0" applyAlignment="0" applyProtection="0"/>
    <xf numFmtId="9" fontId="19" fillId="0" borderId="0" applyFont="0" applyFill="0" applyProtection="0"/>
    <xf numFmtId="4" fontId="31" fillId="0" borderId="0">
      <alignment horizontal="right"/>
    </xf>
    <xf numFmtId="0" fontId="47" fillId="0" borderId="0" applyFont="0" applyFill="0" applyBorder="0" applyAlignment="0" applyProtection="0"/>
    <xf numFmtId="0" fontId="89" fillId="33" borderId="10">
      <alignment horizontal="center" vertical="center"/>
    </xf>
    <xf numFmtId="0" fontId="89" fillId="33" borderId="10">
      <alignment horizontal="center" vertical="center"/>
    </xf>
    <xf numFmtId="0" fontId="89" fillId="33" borderId="10">
      <alignment horizontal="center" vertical="center"/>
    </xf>
    <xf numFmtId="0" fontId="89" fillId="33" borderId="10">
      <alignment horizontal="center" vertical="center"/>
    </xf>
    <xf numFmtId="0" fontId="89" fillId="33" borderId="10">
      <alignment horizontal="center" vertical="center"/>
    </xf>
    <xf numFmtId="0" fontId="89" fillId="33" borderId="10">
      <alignment horizontal="center" vertical="center"/>
    </xf>
    <xf numFmtId="0" fontId="89" fillId="33" borderId="10">
      <alignment horizontal="center" vertical="center"/>
    </xf>
    <xf numFmtId="0" fontId="89" fillId="33" borderId="10">
      <alignment horizontal="center" vertical="center"/>
    </xf>
    <xf numFmtId="4" fontId="99" fillId="0" borderId="0">
      <alignment horizontal="right"/>
    </xf>
    <xf numFmtId="30" fontId="100" fillId="0" borderId="0" applyNumberFormat="0" applyFill="0" applyBorder="0" applyAlignment="0" applyProtection="0">
      <alignment horizontal="left"/>
    </xf>
    <xf numFmtId="0" fontId="3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101" fillId="0" borderId="0">
      <alignment horizontal="left"/>
    </xf>
    <xf numFmtId="198" fontId="32" fillId="0" borderId="0">
      <alignment horizontal="center"/>
    </xf>
    <xf numFmtId="0" fontId="85" fillId="0" borderId="0"/>
    <xf numFmtId="40" fontId="102" fillId="0" borderId="0" applyBorder="0">
      <alignment horizontal="right"/>
    </xf>
    <xf numFmtId="0" fontId="47" fillId="0" borderId="0"/>
    <xf numFmtId="0" fontId="42" fillId="0" borderId="0">
      <alignment horizontal="center"/>
    </xf>
    <xf numFmtId="0" fontId="139" fillId="0" borderId="0" applyNumberFormat="0" applyFill="0" applyBorder="0" applyAlignment="0" applyProtection="0">
      <alignment vertical="center"/>
    </xf>
    <xf numFmtId="192" fontId="3" fillId="0" borderId="19">
      <protection locked="0"/>
    </xf>
    <xf numFmtId="0" fontId="140" fillId="0" borderId="30" applyNumberFormat="0" applyFill="0" applyAlignment="0" applyProtection="0">
      <alignment vertical="center"/>
    </xf>
    <xf numFmtId="37" fontId="40" fillId="34" borderId="0" applyNumberFormat="0" applyBorder="0" applyAlignment="0" applyProtection="0"/>
    <xf numFmtId="37" fontId="40" fillId="0" borderId="0"/>
    <xf numFmtId="3" fontId="103" fillId="0" borderId="26" applyProtection="0"/>
    <xf numFmtId="0" fontId="141" fillId="0" borderId="0" applyNumberFormat="0" applyFill="0" applyBorder="0" applyAlignment="0" applyProtection="0">
      <alignment vertical="center"/>
    </xf>
    <xf numFmtId="0" fontId="47" fillId="0" borderId="0" applyFont="0" applyFill="0" applyBorder="0" applyAlignment="0" applyProtection="0"/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5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1" borderId="0" applyNumberFormat="0" applyBorder="0" applyAlignment="0" applyProtection="0">
      <alignment vertical="center"/>
    </xf>
    <xf numFmtId="0" fontId="93" fillId="26" borderId="0" applyNumberFormat="0" applyBorder="0" applyAlignment="0" applyProtection="0">
      <alignment vertical="center"/>
    </xf>
    <xf numFmtId="0" fontId="19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04" fillId="0" borderId="0" applyNumberFormat="0" applyFill="0" applyBorder="0" applyAlignment="0" applyProtection="0">
      <alignment vertical="center"/>
    </xf>
    <xf numFmtId="0" fontId="105" fillId="29" borderId="22" applyNumberFormat="0" applyAlignment="0" applyProtection="0">
      <alignment vertical="center"/>
    </xf>
    <xf numFmtId="0" fontId="106" fillId="30" borderId="0" applyNumberFormat="0" applyBorder="0" applyAlignment="0" applyProtection="0">
      <alignment vertical="center"/>
    </xf>
    <xf numFmtId="0" fontId="3" fillId="31" borderId="28" applyNumberFormat="0" applyFont="0" applyAlignment="0" applyProtection="0">
      <alignment vertical="center"/>
    </xf>
    <xf numFmtId="0" fontId="3" fillId="31" borderId="28" applyNumberFormat="0" applyFont="0" applyAlignment="0" applyProtection="0">
      <alignment vertical="center"/>
    </xf>
    <xf numFmtId="0" fontId="107" fillId="0" borderId="27" applyNumberFormat="0" applyFill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5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1" borderId="0" applyNumberFormat="0" applyBorder="0" applyAlignment="0" applyProtection="0">
      <alignment vertical="center"/>
    </xf>
    <xf numFmtId="0" fontId="93" fillId="26" borderId="0" applyNumberFormat="0" applyBorder="0" applyAlignment="0" applyProtection="0">
      <alignment vertical="center"/>
    </xf>
    <xf numFmtId="0" fontId="105" fillId="29" borderId="22" applyNumberFormat="0" applyAlignment="0" applyProtection="0">
      <alignment vertical="center"/>
    </xf>
    <xf numFmtId="0" fontId="108" fillId="0" borderId="23" applyNumberFormat="0" applyFill="0" applyAlignment="0" applyProtection="0">
      <alignment vertical="center"/>
    </xf>
    <xf numFmtId="0" fontId="109" fillId="0" borderId="24" applyNumberFormat="0" applyFill="0" applyAlignment="0" applyProtection="0">
      <alignment vertical="center"/>
    </xf>
    <xf numFmtId="0" fontId="110" fillId="0" borderId="25" applyNumberFormat="0" applyFill="0" applyAlignment="0" applyProtection="0">
      <alignment vertical="center"/>
    </xf>
    <xf numFmtId="0" fontId="110" fillId="0" borderId="25" applyNumberFormat="0" applyFill="0" applyAlignment="0" applyProtection="0">
      <alignment vertical="center"/>
    </xf>
    <xf numFmtId="0" fontId="110" fillId="0" borderId="25" applyNumberFormat="0" applyFill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6" borderId="21" applyNumberFormat="0" applyAlignment="0" applyProtection="0">
      <alignment vertical="center"/>
    </xf>
    <xf numFmtId="0" fontId="112" fillId="6" borderId="21" applyNumberFormat="0" applyAlignment="0" applyProtection="0">
      <alignment vertical="center"/>
    </xf>
    <xf numFmtId="0" fontId="112" fillId="6" borderId="21" applyNumberFormat="0" applyAlignment="0" applyProtection="0">
      <alignment vertical="center"/>
    </xf>
    <xf numFmtId="0" fontId="112" fillId="6" borderId="21" applyNumberFormat="0" applyAlignment="0" applyProtection="0">
      <alignment vertical="center"/>
    </xf>
    <xf numFmtId="2" fontId="52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06" fillId="30" borderId="0" applyNumberFormat="0" applyBorder="0" applyAlignment="0" applyProtection="0">
      <alignment vertical="center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5" fillId="0" borderId="0" applyNumberFormat="0" applyFill="0" applyBorder="0" applyAlignment="0" applyProtection="0"/>
    <xf numFmtId="200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3" fillId="11" borderId="0" applyNumberFormat="0" applyBorder="0" applyAlignment="0" applyProtection="0">
      <alignment vertical="center"/>
    </xf>
    <xf numFmtId="0" fontId="107" fillId="0" borderId="27" applyNumberFormat="0" applyFill="0" applyAlignment="0" applyProtection="0">
      <alignment vertical="center"/>
    </xf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205" fontId="126" fillId="0" borderId="0">
      <protection locked="0"/>
    </xf>
    <xf numFmtId="205" fontId="126" fillId="0" borderId="0">
      <protection locked="0"/>
    </xf>
    <xf numFmtId="205" fontId="126" fillId="0" borderId="0">
      <protection locked="0"/>
    </xf>
    <xf numFmtId="9" fontId="41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57" fillId="0" borderId="0"/>
    <xf numFmtId="0" fontId="114" fillId="0" borderId="0">
      <alignment vertical="center"/>
    </xf>
    <xf numFmtId="0" fontId="115" fillId="0" borderId="0" applyNumberFormat="0" applyFill="0" applyBorder="0" applyAlignment="0" applyProtection="0">
      <alignment vertical="center"/>
    </xf>
    <xf numFmtId="0" fontId="3" fillId="0" borderId="0" applyFont="0" applyFill="0" applyBorder="0" applyAlignment="0" applyProtection="0"/>
    <xf numFmtId="0" fontId="116" fillId="14" borderId="21" applyNumberFormat="0" applyAlignment="0" applyProtection="0">
      <alignment vertical="center"/>
    </xf>
    <xf numFmtId="0" fontId="116" fillId="14" borderId="21" applyNumberFormat="0" applyAlignment="0" applyProtection="0">
      <alignment vertical="center"/>
    </xf>
    <xf numFmtId="0" fontId="117" fillId="6" borderId="29" applyNumberFormat="0" applyAlignment="0" applyProtection="0">
      <alignment vertical="center"/>
    </xf>
    <xf numFmtId="0" fontId="117" fillId="6" borderId="29" applyNumberFormat="0" applyAlignment="0" applyProtection="0">
      <alignment vertical="center"/>
    </xf>
    <xf numFmtId="187" fontId="19" fillId="0" borderId="0">
      <alignment horizontal="right" vertical="center"/>
    </xf>
    <xf numFmtId="186" fontId="58" fillId="0" borderId="0">
      <alignment vertical="center"/>
    </xf>
    <xf numFmtId="3" fontId="46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0" fontId="3" fillId="0" borderId="0" applyFont="0" applyFill="0" applyBorder="0" applyAlignment="0" applyProtection="0"/>
    <xf numFmtId="0" fontId="19" fillId="0" borderId="0"/>
    <xf numFmtId="0" fontId="3" fillId="0" borderId="0" applyFont="0" applyFill="0" applyBorder="0" applyAlignment="0" applyProtection="0"/>
    <xf numFmtId="201" fontId="19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203" fontId="19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19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3" fontId="19" fillId="0" borderId="0" applyFont="0" applyFill="0" applyBorder="0" applyAlignment="0" applyProtection="0"/>
    <xf numFmtId="20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03" fontId="19" fillId="0" borderId="0" applyFont="0" applyFill="0" applyBorder="0" applyAlignment="0" applyProtection="0"/>
    <xf numFmtId="0" fontId="46" fillId="0" borderId="0"/>
    <xf numFmtId="0" fontId="46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0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203" fontId="19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20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0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03" fontId="19" fillId="0" borderId="0" applyFont="0" applyFill="0" applyBorder="0" applyAlignment="0" applyProtection="0"/>
    <xf numFmtId="20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203" fontId="19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0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01" fontId="19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3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8" fillId="10" borderId="0" applyNumberFormat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19" fillId="0" borderId="0"/>
    <xf numFmtId="41" fontId="3" fillId="0" borderId="0" applyFont="0" applyFill="0" applyBorder="0" applyAlignment="0" applyProtection="0"/>
    <xf numFmtId="0" fontId="116" fillId="14" borderId="21" applyNumberFormat="0" applyAlignment="0" applyProtection="0">
      <alignment vertical="center"/>
    </xf>
    <xf numFmtId="0" fontId="116" fillId="14" borderId="21" applyNumberFormat="0" applyAlignment="0" applyProtection="0">
      <alignment vertical="center"/>
    </xf>
    <xf numFmtId="4" fontId="52" fillId="0" borderId="0" applyFont="0" applyFill="0" applyBorder="0" applyAlignment="0" applyProtection="0"/>
    <xf numFmtId="3" fontId="52" fillId="0" borderId="0" applyFont="0" applyFill="0" applyBorder="0" applyAlignment="0" applyProtection="0"/>
    <xf numFmtId="0" fontId="3" fillId="31" borderId="28" applyNumberFormat="0" applyFont="0" applyAlignment="0" applyProtection="0">
      <alignment vertical="center"/>
    </xf>
    <xf numFmtId="0" fontId="3" fillId="31" borderId="28" applyNumberFormat="0" applyFont="0" applyAlignment="0" applyProtection="0">
      <alignment vertical="center"/>
    </xf>
    <xf numFmtId="0" fontId="120" fillId="0" borderId="30" applyNumberFormat="0" applyFill="0" applyAlignment="0" applyProtection="0">
      <alignment vertical="center"/>
    </xf>
    <xf numFmtId="0" fontId="120" fillId="0" borderId="30" applyNumberFormat="0" applyFill="0" applyAlignment="0" applyProtection="0">
      <alignment vertical="center"/>
    </xf>
    <xf numFmtId="0" fontId="118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118" fillId="10" borderId="0" applyNumberFormat="0" applyBorder="0" applyAlignment="0" applyProtection="0">
      <alignment vertical="center"/>
    </xf>
    <xf numFmtId="0" fontId="118" fillId="10" borderId="0" applyNumberFormat="0" applyBorder="0" applyAlignment="0" applyProtection="0">
      <alignment vertical="center"/>
    </xf>
    <xf numFmtId="0" fontId="118" fillId="10" borderId="0" applyNumberFormat="0" applyBorder="0" applyAlignment="0" applyProtection="0">
      <alignment vertical="center"/>
    </xf>
    <xf numFmtId="0" fontId="118" fillId="10" borderId="0" applyNumberFormat="0" applyBorder="0" applyAlignment="0" applyProtection="0">
      <alignment vertical="center"/>
    </xf>
    <xf numFmtId="0" fontId="118" fillId="10" borderId="0" applyNumberFormat="0" applyBorder="0" applyAlignment="0" applyProtection="0">
      <alignment vertical="center"/>
    </xf>
    <xf numFmtId="0" fontId="118" fillId="10" borderId="0" applyNumberFormat="0" applyBorder="0" applyAlignment="0" applyProtection="0">
      <alignment vertical="center"/>
    </xf>
    <xf numFmtId="0" fontId="118" fillId="10" borderId="0" applyNumberFormat="0" applyBorder="0" applyAlignment="0" applyProtection="0">
      <alignment vertical="center"/>
    </xf>
    <xf numFmtId="0" fontId="118" fillId="10" borderId="0" applyNumberFormat="0" applyBorder="0" applyAlignment="0" applyProtection="0">
      <alignment vertical="center"/>
    </xf>
    <xf numFmtId="0" fontId="118" fillId="10" borderId="0" applyNumberFormat="0" applyBorder="0" applyAlignment="0" applyProtection="0">
      <alignment vertical="center"/>
    </xf>
    <xf numFmtId="43" fontId="119" fillId="0" borderId="0" applyFont="0" applyFill="0" applyBorder="0" applyAlignment="0" applyProtection="0"/>
    <xf numFmtId="187" fontId="59" fillId="0" borderId="0">
      <alignment vertical="center"/>
    </xf>
    <xf numFmtId="0" fontId="117" fillId="6" borderId="29" applyNumberFormat="0" applyAlignment="0" applyProtection="0">
      <alignment vertical="center"/>
    </xf>
    <xf numFmtId="0" fontId="117" fillId="6" borderId="29" applyNumberFormat="0" applyAlignment="0" applyProtection="0">
      <alignment vertical="center"/>
    </xf>
    <xf numFmtId="205" fontId="126" fillId="0" borderId="0">
      <protection locked="0"/>
    </xf>
    <xf numFmtId="205" fontId="126" fillId="0" borderId="0">
      <protection locked="0"/>
    </xf>
    <xf numFmtId="205" fontId="126" fillId="0" borderId="0">
      <protection locked="0"/>
    </xf>
    <xf numFmtId="0" fontId="46" fillId="0" borderId="0" applyFont="0" applyFill="0" applyBorder="0" applyAlignment="0" applyProtection="0"/>
    <xf numFmtId="205" fontId="126" fillId="0" borderId="0">
      <protection locked="0"/>
    </xf>
    <xf numFmtId="0" fontId="46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46" fillId="0" borderId="0" applyFont="0" applyFill="0" applyBorder="0" applyAlignment="0" applyProtection="0"/>
    <xf numFmtId="42" fontId="61" fillId="0" borderId="0" applyFont="0" applyFill="0" applyBorder="0" applyAlignment="0" applyProtection="0"/>
    <xf numFmtId="205" fontId="126" fillId="0" borderId="0">
      <protection locked="0"/>
    </xf>
    <xf numFmtId="205" fontId="126" fillId="0" borderId="0">
      <protection locked="0"/>
    </xf>
    <xf numFmtId="205" fontId="126" fillId="0" borderId="0">
      <protection locked="0"/>
    </xf>
    <xf numFmtId="188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90" fontId="3" fillId="0" borderId="0" applyFont="0" applyFill="0" applyBorder="0" applyAlignment="0" applyProtection="0"/>
    <xf numFmtId="188" fontId="46" fillId="0" borderId="0" applyFont="0" applyFill="0" applyBorder="0" applyAlignment="0" applyProtection="0"/>
    <xf numFmtId="183" fontId="49" fillId="0" borderId="0" applyFont="0" applyFill="0" applyBorder="0" applyAlignment="0" applyProtection="0"/>
    <xf numFmtId="189" fontId="3" fillId="0" borderId="0" applyFont="0" applyFill="0" applyBorder="0" applyAlignment="0" applyProtection="0"/>
    <xf numFmtId="42" fontId="45" fillId="0" borderId="0" applyFont="0" applyFill="0" applyBorder="0" applyAlignment="0" applyProtection="0"/>
    <xf numFmtId="182" fontId="3" fillId="0" borderId="0" applyFont="0" applyFill="0" applyBorder="0" applyAlignment="0" applyProtection="0"/>
    <xf numFmtId="0" fontId="62" fillId="0" borderId="0" applyFont="0" applyFill="0" applyBorder="0" applyAlignment="0" applyProtection="0"/>
    <xf numFmtId="205" fontId="126" fillId="0" borderId="0">
      <protection locked="0"/>
    </xf>
    <xf numFmtId="188" fontId="121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/>
    <xf numFmtId="42" fontId="4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6" fontId="122" fillId="0" borderId="0" applyFont="0" applyFill="0" applyBorder="0" applyAlignment="0" applyProtection="0"/>
    <xf numFmtId="10" fontId="52" fillId="0" borderId="0" applyFont="0" applyFill="0" applyBorder="0" applyAlignment="0" applyProtection="0"/>
    <xf numFmtId="0" fontId="3" fillId="0" borderId="0">
      <alignment vertical="center"/>
    </xf>
    <xf numFmtId="205" fontId="126" fillId="0" borderId="0">
      <protection locked="0"/>
    </xf>
    <xf numFmtId="205" fontId="126" fillId="0" borderId="0">
      <protection locked="0"/>
    </xf>
    <xf numFmtId="205" fontId="126" fillId="0" borderId="0">
      <protection locked="0"/>
    </xf>
    <xf numFmtId="191" fontId="19" fillId="0" borderId="10">
      <alignment vertical="center"/>
    </xf>
    <xf numFmtId="0" fontId="104" fillId="0" borderId="0" applyNumberFormat="0" applyFill="0" applyBorder="0" applyAlignment="0" applyProtection="0">
      <alignment vertical="center"/>
    </xf>
    <xf numFmtId="0" fontId="108" fillId="0" borderId="23" applyNumberFormat="0" applyFill="0" applyAlignment="0" applyProtection="0">
      <alignment vertical="center"/>
    </xf>
    <xf numFmtId="0" fontId="109" fillId="0" borderId="24" applyNumberFormat="0" applyFill="0" applyAlignment="0" applyProtection="0">
      <alignment vertical="center"/>
    </xf>
    <xf numFmtId="0" fontId="110" fillId="0" borderId="25" applyNumberFormat="0" applyFill="0" applyAlignment="0" applyProtection="0">
      <alignment vertical="center"/>
    </xf>
    <xf numFmtId="0" fontId="110" fillId="0" borderId="25" applyNumberFormat="0" applyFill="0" applyAlignment="0" applyProtection="0">
      <alignment vertical="center"/>
    </xf>
    <xf numFmtId="0" fontId="110" fillId="0" borderId="25" applyNumberFormat="0" applyFill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/>
    <xf numFmtId="0" fontId="3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43" fillId="0" borderId="0"/>
    <xf numFmtId="0" fontId="12" fillId="0" borderId="0">
      <alignment vertical="center"/>
    </xf>
    <xf numFmtId="0" fontId="37" fillId="0" borderId="0"/>
    <xf numFmtId="0" fontId="3" fillId="0" borderId="0"/>
    <xf numFmtId="0" fontId="3" fillId="0" borderId="0"/>
    <xf numFmtId="0" fontId="3" fillId="0" borderId="0">
      <alignment vertical="center"/>
    </xf>
    <xf numFmtId="0" fontId="12" fillId="0" borderId="0">
      <alignment vertical="center"/>
    </xf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3" fillId="0" borderId="0"/>
    <xf numFmtId="0" fontId="3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19" fillId="0" borderId="0"/>
    <xf numFmtId="0" fontId="12" fillId="0" borderId="0">
      <alignment vertical="center"/>
    </xf>
    <xf numFmtId="0" fontId="12" fillId="0" borderId="0">
      <alignment vertical="center"/>
    </xf>
    <xf numFmtId="0" fontId="3" fillId="0" borderId="0"/>
    <xf numFmtId="0" fontId="12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7" fillId="0" borderId="0"/>
    <xf numFmtId="0" fontId="12" fillId="0" borderId="0">
      <alignment vertical="center"/>
    </xf>
    <xf numFmtId="0" fontId="12" fillId="0" borderId="0">
      <alignment vertical="center"/>
    </xf>
    <xf numFmtId="0" fontId="3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>
      <alignment vertical="center"/>
    </xf>
    <xf numFmtId="0" fontId="3" fillId="0" borderId="0"/>
    <xf numFmtId="0" fontId="12" fillId="0" borderId="0">
      <alignment vertical="center"/>
    </xf>
    <xf numFmtId="0" fontId="3" fillId="0" borderId="0"/>
    <xf numFmtId="0" fontId="12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/>
    <xf numFmtId="0" fontId="123" fillId="0" borderId="0"/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52" fillId="0" borderId="31" applyNumberFormat="0" applyFont="0" applyFill="0" applyAlignment="0" applyProtection="0"/>
    <xf numFmtId="40" fontId="121" fillId="0" borderId="0" applyFont="0" applyFill="0" applyBorder="0" applyAlignment="0" applyProtection="0"/>
    <xf numFmtId="38" fontId="121" fillId="0" borderId="0" applyFont="0" applyFill="0" applyBorder="0" applyAlignment="0" applyProtection="0"/>
    <xf numFmtId="0" fontId="115" fillId="0" borderId="0" applyNumberFormat="0" applyFill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185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0" fontId="120" fillId="0" borderId="30" applyNumberFormat="0" applyFill="0" applyAlignment="0" applyProtection="0">
      <alignment vertical="center"/>
    </xf>
    <xf numFmtId="0" fontId="120" fillId="0" borderId="30" applyNumberFormat="0" applyFill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0" fontId="43" fillId="0" borderId="0"/>
    <xf numFmtId="0" fontId="43" fillId="0" borderId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/>
    <xf numFmtId="42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0" fontId="19" fillId="0" borderId="0"/>
    <xf numFmtId="180" fontId="3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0" fontId="19" fillId="0" borderId="0"/>
    <xf numFmtId="0" fontId="19" fillId="0" borderId="0"/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/>
    <xf numFmtId="42" fontId="4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43" fillId="0" borderId="0"/>
    <xf numFmtId="0" fontId="43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9" fillId="0" borderId="0"/>
    <xf numFmtId="0" fontId="21" fillId="0" borderId="0"/>
    <xf numFmtId="0" fontId="30" fillId="0" borderId="0">
      <alignment vertical="center"/>
    </xf>
    <xf numFmtId="0" fontId="24" fillId="0" borderId="0"/>
    <xf numFmtId="42" fontId="3" fillId="0" borderId="0" applyFont="0" applyFill="0" applyBorder="0" applyAlignment="0" applyProtection="0"/>
    <xf numFmtId="0" fontId="43" fillId="0" borderId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/>
    <xf numFmtId="42" fontId="4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/>
    <xf numFmtId="42" fontId="4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85" fillId="0" borderId="14"/>
    <xf numFmtId="0" fontId="85" fillId="0" borderId="14"/>
    <xf numFmtId="0" fontId="85" fillId="0" borderId="14"/>
    <xf numFmtId="41" fontId="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/>
    <xf numFmtId="42" fontId="4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/>
    <xf numFmtId="42" fontId="4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/>
    <xf numFmtId="42" fontId="4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/>
    <xf numFmtId="42" fontId="4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27" fillId="0" borderId="0"/>
    <xf numFmtId="9" fontId="18" fillId="0" borderId="0" applyFont="0" applyFill="0" applyBorder="0" applyAlignment="0" applyProtection="0">
      <alignment vertical="center"/>
    </xf>
  </cellStyleXfs>
  <cellXfs count="397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top"/>
    </xf>
    <xf numFmtId="178" fontId="12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179" fontId="9" fillId="3" borderId="1" xfId="2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177" fontId="9" fillId="3" borderId="1" xfId="1" applyNumberFormat="1" applyFont="1" applyFill="1" applyBorder="1" applyAlignment="1">
      <alignment horizontal="right" vertical="center"/>
    </xf>
    <xf numFmtId="0" fontId="6" fillId="0" borderId="0" xfId="0" applyFont="1">
      <alignment vertical="center"/>
    </xf>
    <xf numFmtId="0" fontId="9" fillId="0" borderId="32" xfId="1" applyFont="1" applyBorder="1" applyAlignment="1">
      <alignment horizontal="center" vertical="center" wrapText="1"/>
    </xf>
    <xf numFmtId="17" fontId="14" fillId="2" borderId="32" xfId="1" applyNumberFormat="1" applyFont="1" applyFill="1" applyBorder="1" applyAlignment="1">
      <alignment horizontal="center" vertical="center"/>
    </xf>
    <xf numFmtId="176" fontId="15" fillId="2" borderId="32" xfId="1" applyNumberFormat="1" applyFont="1" applyFill="1" applyBorder="1" applyAlignment="1">
      <alignment horizontal="center" vertical="center"/>
    </xf>
    <xf numFmtId="0" fontId="9" fillId="0" borderId="33" xfId="1" applyFont="1" applyBorder="1" applyAlignment="1">
      <alignment horizontal="center" vertical="center" wrapText="1"/>
    </xf>
    <xf numFmtId="176" fontId="15" fillId="2" borderId="33" xfId="1" applyNumberFormat="1" applyFont="1" applyFill="1" applyBorder="1" applyAlignment="1">
      <alignment horizontal="center" vertical="center"/>
    </xf>
    <xf numFmtId="176" fontId="14" fillId="2" borderId="33" xfId="1" applyNumberFormat="1" applyFont="1" applyFill="1" applyBorder="1" applyAlignment="1">
      <alignment horizontal="center" vertical="center"/>
    </xf>
    <xf numFmtId="17" fontId="14" fillId="2" borderId="33" xfId="1" applyNumberFormat="1" applyFont="1" applyFill="1" applyBorder="1" applyAlignment="1">
      <alignment horizontal="center" vertical="center"/>
    </xf>
    <xf numFmtId="26" fontId="0" fillId="0" borderId="0" xfId="0" applyNumberFormat="1">
      <alignment vertical="center"/>
    </xf>
    <xf numFmtId="26" fontId="8" fillId="0" borderId="0" xfId="0" applyNumberFormat="1" applyFont="1">
      <alignment vertical="center"/>
    </xf>
    <xf numFmtId="26" fontId="8" fillId="0" borderId="0" xfId="0" applyNumberFormat="1" applyFont="1" applyAlignment="1">
      <alignment vertical="top"/>
    </xf>
    <xf numFmtId="6" fontId="14" fillId="2" borderId="36" xfId="1" applyNumberFormat="1" applyFont="1" applyFill="1" applyBorder="1" applyAlignment="1">
      <alignment horizontal="right" vertical="center"/>
    </xf>
    <xf numFmtId="6" fontId="14" fillId="2" borderId="37" xfId="1" applyNumberFormat="1" applyFont="1" applyFill="1" applyBorder="1" applyAlignment="1">
      <alignment horizontal="right" vertical="center"/>
    </xf>
    <xf numFmtId="26" fontId="14" fillId="2" borderId="44" xfId="1" applyNumberFormat="1" applyFont="1" applyFill="1" applyBorder="1" applyAlignment="1">
      <alignment horizontal="right" vertical="center"/>
    </xf>
    <xf numFmtId="6" fontId="14" fillId="2" borderId="45" xfId="1" applyNumberFormat="1" applyFont="1" applyFill="1" applyBorder="1" applyAlignment="1">
      <alignment horizontal="right" vertical="center"/>
    </xf>
    <xf numFmtId="26" fontId="14" fillId="2" borderId="46" xfId="1" applyNumberFormat="1" applyFont="1" applyFill="1" applyBorder="1" applyAlignment="1">
      <alignment horizontal="right" vertical="center"/>
    </xf>
    <xf numFmtId="6" fontId="14" fillId="2" borderId="47" xfId="1" applyNumberFormat="1" applyFont="1" applyFill="1" applyBorder="1" applyAlignment="1">
      <alignment horizontal="right" vertical="center"/>
    </xf>
    <xf numFmtId="177" fontId="9" fillId="3" borderId="2" xfId="1" applyNumberFormat="1" applyFont="1" applyFill="1" applyBorder="1" applyAlignment="1">
      <alignment horizontal="right" vertical="center"/>
    </xf>
    <xf numFmtId="26" fontId="9" fillId="3" borderId="48" xfId="1" applyNumberFormat="1" applyFont="1" applyFill="1" applyBorder="1" applyAlignment="1">
      <alignment horizontal="right" vertical="center"/>
    </xf>
    <xf numFmtId="177" fontId="9" fillId="3" borderId="7" xfId="1" applyNumberFormat="1" applyFont="1" applyFill="1" applyBorder="1" applyAlignment="1">
      <alignment horizontal="right" vertical="center"/>
    </xf>
    <xf numFmtId="26" fontId="9" fillId="3" borderId="44" xfId="1" applyNumberFormat="1" applyFont="1" applyFill="1" applyBorder="1" applyAlignment="1">
      <alignment horizontal="right" vertical="center"/>
    </xf>
    <xf numFmtId="177" fontId="9" fillId="3" borderId="32" xfId="1" applyNumberFormat="1" applyFont="1" applyFill="1" applyBorder="1" applyAlignment="1">
      <alignment horizontal="right" vertical="center"/>
    </xf>
    <xf numFmtId="179" fontId="9" fillId="3" borderId="41" xfId="1" applyNumberFormat="1" applyFont="1" applyFill="1" applyBorder="1" applyAlignment="1">
      <alignment horizontal="right" vertical="center"/>
    </xf>
    <xf numFmtId="179" fontId="9" fillId="3" borderId="43" xfId="1" applyNumberFormat="1" applyFont="1" applyFill="1" applyBorder="1" applyAlignment="1">
      <alignment horizontal="right" vertical="center"/>
    </xf>
    <xf numFmtId="179" fontId="9" fillId="3" borderId="45" xfId="1" applyNumberFormat="1" applyFont="1" applyFill="1" applyBorder="1" applyAlignment="1">
      <alignment horizontal="right" vertical="center"/>
    </xf>
    <xf numFmtId="179" fontId="9" fillId="3" borderId="49" xfId="1" applyNumberFormat="1" applyFont="1" applyFill="1" applyBorder="1" applyAlignment="1">
      <alignment horizontal="right" vertical="center"/>
    </xf>
    <xf numFmtId="0" fontId="9" fillId="0" borderId="0" xfId="0" applyFont="1">
      <alignment vertical="center"/>
    </xf>
    <xf numFmtId="26" fontId="28" fillId="3" borderId="40" xfId="1" applyNumberFormat="1" applyFont="1" applyFill="1" applyBorder="1" applyAlignment="1">
      <alignment horizontal="right" vertical="center"/>
    </xf>
    <xf numFmtId="179" fontId="28" fillId="3" borderId="41" xfId="1" applyNumberFormat="1" applyFont="1" applyFill="1" applyBorder="1" applyAlignment="1">
      <alignment horizontal="right" vertical="center"/>
    </xf>
    <xf numFmtId="26" fontId="9" fillId="3" borderId="5" xfId="1" applyNumberFormat="1" applyFont="1" applyFill="1" applyBorder="1" applyAlignment="1">
      <alignment horizontal="right" vertical="center"/>
    </xf>
    <xf numFmtId="26" fontId="9" fillId="3" borderId="9" xfId="1" applyNumberFormat="1" applyFont="1" applyFill="1" applyBorder="1" applyAlignment="1">
      <alignment horizontal="right" vertical="center"/>
    </xf>
    <xf numFmtId="26" fontId="9" fillId="3" borderId="51" xfId="1" applyNumberFormat="1" applyFont="1" applyFill="1" applyBorder="1" applyAlignment="1">
      <alignment horizontal="right" vertical="center"/>
    </xf>
    <xf numFmtId="26" fontId="9" fillId="3" borderId="15" xfId="1" applyNumberFormat="1" applyFont="1" applyFill="1" applyBorder="1" applyAlignment="1">
      <alignment horizontal="right" vertical="center"/>
    </xf>
    <xf numFmtId="26" fontId="14" fillId="2" borderId="58" xfId="1" applyNumberFormat="1" applyFont="1" applyFill="1" applyBorder="1" applyAlignment="1">
      <alignment horizontal="right" vertical="center"/>
    </xf>
    <xf numFmtId="6" fontId="14" fillId="2" borderId="59" xfId="1" applyNumberFormat="1" applyFont="1" applyFill="1" applyBorder="1" applyAlignment="1">
      <alignment horizontal="right" vertical="center"/>
    </xf>
    <xf numFmtId="0" fontId="9" fillId="0" borderId="57" xfId="1" applyFont="1" applyBorder="1" applyAlignment="1">
      <alignment horizontal="center" vertical="center" wrapText="1"/>
    </xf>
    <xf numFmtId="0" fontId="9" fillId="0" borderId="62" xfId="1" applyFont="1" applyBorder="1" applyAlignment="1">
      <alignment horizontal="center" vertical="center" wrapText="1"/>
    </xf>
    <xf numFmtId="176" fontId="15" fillId="2" borderId="62" xfId="1" applyNumberFormat="1" applyFont="1" applyFill="1" applyBorder="1" applyAlignment="1">
      <alignment horizontal="center" vertical="center"/>
    </xf>
    <xf numFmtId="6" fontId="14" fillId="2" borderId="63" xfId="1" applyNumberFormat="1" applyFont="1" applyFill="1" applyBorder="1" applyAlignment="1">
      <alignment horizontal="right" vertical="center"/>
    </xf>
    <xf numFmtId="6" fontId="14" fillId="2" borderId="65" xfId="1" applyNumberFormat="1" applyFont="1" applyFill="1" applyBorder="1" applyAlignment="1">
      <alignment horizontal="right" vertical="center"/>
    </xf>
    <xf numFmtId="176" fontId="14" fillId="2" borderId="62" xfId="1" applyNumberFormat="1" applyFont="1" applyFill="1" applyBorder="1" applyAlignment="1">
      <alignment horizontal="center" vertical="center"/>
    </xf>
    <xf numFmtId="26" fontId="14" fillId="2" borderId="66" xfId="1" applyNumberFormat="1" applyFont="1" applyFill="1" applyBorder="1" applyAlignment="1">
      <alignment horizontal="right" vertical="center"/>
    </xf>
    <xf numFmtId="176" fontId="15" fillId="0" borderId="33" xfId="1" applyNumberFormat="1" applyFont="1" applyBorder="1" applyAlignment="1">
      <alignment horizontal="center" vertical="center"/>
    </xf>
    <xf numFmtId="177" fontId="14" fillId="0" borderId="33" xfId="2" applyNumberFormat="1" applyFont="1" applyFill="1" applyBorder="1" applyAlignment="1">
      <alignment horizontal="center" vertical="center"/>
    </xf>
    <xf numFmtId="17" fontId="14" fillId="0" borderId="33" xfId="1" applyNumberFormat="1" applyFont="1" applyBorder="1" applyAlignment="1">
      <alignment horizontal="center" vertical="center"/>
    </xf>
    <xf numFmtId="176" fontId="14" fillId="0" borderId="33" xfId="1" applyNumberFormat="1" applyFont="1" applyBorder="1" applyAlignment="1">
      <alignment horizontal="center" vertical="center"/>
    </xf>
    <xf numFmtId="17" fontId="14" fillId="0" borderId="62" xfId="1" applyNumberFormat="1" applyFont="1" applyBorder="1" applyAlignment="1">
      <alignment horizontal="center" vertical="center"/>
    </xf>
    <xf numFmtId="176" fontId="15" fillId="0" borderId="62" xfId="1" applyNumberFormat="1" applyFont="1" applyBorder="1" applyAlignment="1">
      <alignment horizontal="center" vertical="center"/>
    </xf>
    <xf numFmtId="177" fontId="14" fillId="0" borderId="62" xfId="2" applyNumberFormat="1" applyFont="1" applyFill="1" applyBorder="1" applyAlignment="1">
      <alignment horizontal="center" vertical="center"/>
    </xf>
    <xf numFmtId="17" fontId="14" fillId="0" borderId="32" xfId="1" applyNumberFormat="1" applyFont="1" applyBorder="1" applyAlignment="1">
      <alignment horizontal="center" vertical="center"/>
    </xf>
    <xf numFmtId="176" fontId="15" fillId="0" borderId="32" xfId="1" applyNumberFormat="1" applyFont="1" applyBorder="1" applyAlignment="1">
      <alignment horizontal="center" vertical="center"/>
    </xf>
    <xf numFmtId="176" fontId="14" fillId="0" borderId="32" xfId="1" applyNumberFormat="1" applyFont="1" applyBorder="1" applyAlignment="1">
      <alignment horizontal="center" vertical="center"/>
    </xf>
    <xf numFmtId="178" fontId="15" fillId="0" borderId="38" xfId="3" applyNumberFormat="1" applyFont="1" applyFill="1" applyBorder="1" applyAlignment="1">
      <alignment horizontal="right" vertical="center"/>
    </xf>
    <xf numFmtId="6" fontId="14" fillId="2" borderId="68" xfId="1" applyNumberFormat="1" applyFont="1" applyFill="1" applyBorder="1" applyAlignment="1">
      <alignment horizontal="right" vertical="center"/>
    </xf>
    <xf numFmtId="178" fontId="11" fillId="3" borderId="71" xfId="1" applyNumberFormat="1" applyFont="1" applyFill="1" applyBorder="1" applyAlignment="1">
      <alignment horizontal="center" vertical="center"/>
    </xf>
    <xf numFmtId="178" fontId="15" fillId="2" borderId="51" xfId="3" applyNumberFormat="1" applyFont="1" applyFill="1" applyBorder="1" applyAlignment="1">
      <alignment horizontal="right" vertical="center"/>
    </xf>
    <xf numFmtId="41" fontId="13" fillId="0" borderId="0" xfId="0" applyNumberFormat="1" applyFont="1" applyAlignment="1">
      <alignment horizontal="center" vertical="center"/>
    </xf>
    <xf numFmtId="41" fontId="16" fillId="0" borderId="0" xfId="0" applyNumberFormat="1" applyFont="1" applyAlignment="1">
      <alignment horizontal="left" vertical="center"/>
    </xf>
    <xf numFmtId="41" fontId="16" fillId="0" borderId="0" xfId="0" applyNumberFormat="1" applyFont="1" applyAlignment="1">
      <alignment horizontal="center" vertical="center"/>
    </xf>
    <xf numFmtId="41" fontId="16" fillId="3" borderId="40" xfId="0" applyNumberFormat="1" applyFont="1" applyFill="1" applyBorder="1" applyAlignment="1">
      <alignment horizontal="center" vertical="center"/>
    </xf>
    <xf numFmtId="41" fontId="16" fillId="3" borderId="54" xfId="0" applyNumberFormat="1" applyFont="1" applyFill="1" applyBorder="1" applyAlignment="1">
      <alignment horizontal="center" vertical="center"/>
    </xf>
    <xf numFmtId="41" fontId="16" fillId="3" borderId="55" xfId="0" applyNumberFormat="1" applyFont="1" applyFill="1" applyBorder="1" applyAlignment="1">
      <alignment horizontal="center" vertical="center"/>
    </xf>
    <xf numFmtId="41" fontId="1" fillId="0" borderId="1" xfId="0" applyNumberFormat="1" applyFont="1" applyBorder="1" applyAlignment="1">
      <alignment horizontal="center" vertical="center"/>
    </xf>
    <xf numFmtId="41" fontId="1" fillId="0" borderId="40" xfId="4" applyFont="1" applyBorder="1" applyAlignment="1">
      <alignment horizontal="center" vertical="center"/>
    </xf>
    <xf numFmtId="41" fontId="1" fillId="0" borderId="54" xfId="4" applyFont="1" applyBorder="1" applyAlignment="1">
      <alignment horizontal="center" vertical="center"/>
    </xf>
    <xf numFmtId="41" fontId="1" fillId="0" borderId="41" xfId="4" applyFont="1" applyBorder="1" applyAlignment="1">
      <alignment horizontal="center" vertical="center"/>
    </xf>
    <xf numFmtId="41" fontId="1" fillId="0" borderId="4" xfId="4" applyFont="1" applyBorder="1" applyAlignment="1">
      <alignment horizontal="center" vertical="center"/>
    </xf>
    <xf numFmtId="41" fontId="1" fillId="0" borderId="1" xfId="4" applyFont="1" applyBorder="1" applyAlignment="1">
      <alignment horizontal="center" vertical="center"/>
    </xf>
    <xf numFmtId="41" fontId="1" fillId="0" borderId="55" xfId="4" applyFont="1" applyBorder="1" applyAlignment="1">
      <alignment horizontal="center" vertical="center"/>
    </xf>
    <xf numFmtId="41" fontId="16" fillId="3" borderId="1" xfId="0" applyNumberFormat="1" applyFont="1" applyFill="1" applyBorder="1" applyAlignment="1">
      <alignment horizontal="center" vertical="center"/>
    </xf>
    <xf numFmtId="41" fontId="16" fillId="3" borderId="40" xfId="4" applyFont="1" applyFill="1" applyBorder="1" applyAlignment="1">
      <alignment horizontal="center" vertical="center"/>
    </xf>
    <xf numFmtId="41" fontId="16" fillId="3" borderId="54" xfId="4" applyFont="1" applyFill="1" applyBorder="1" applyAlignment="1">
      <alignment horizontal="center" vertical="center"/>
    </xf>
    <xf numFmtId="41" fontId="16" fillId="3" borderId="55" xfId="4" applyFont="1" applyFill="1" applyBorder="1" applyAlignment="1">
      <alignment horizontal="center" vertical="center"/>
    </xf>
    <xf numFmtId="41" fontId="16" fillId="3" borderId="41" xfId="4" applyFont="1" applyFill="1" applyBorder="1" applyAlignment="1">
      <alignment horizontal="center" vertical="center"/>
    </xf>
    <xf numFmtId="41" fontId="16" fillId="3" borderId="4" xfId="4" applyFont="1" applyFill="1" applyBorder="1" applyAlignment="1">
      <alignment horizontal="center" vertical="center"/>
    </xf>
    <xf numFmtId="41" fontId="16" fillId="3" borderId="1" xfId="4" applyFont="1" applyFill="1" applyBorder="1" applyAlignment="1">
      <alignment horizontal="center" vertical="center"/>
    </xf>
    <xf numFmtId="41" fontId="1" fillId="0" borderId="1" xfId="3229" applyNumberFormat="1" applyFont="1" applyBorder="1" applyAlignment="1">
      <alignment horizontal="center" vertical="center"/>
    </xf>
    <xf numFmtId="0" fontId="144" fillId="35" borderId="0" xfId="0" applyFont="1" applyFill="1">
      <alignment vertical="center"/>
    </xf>
    <xf numFmtId="206" fontId="13" fillId="0" borderId="0" xfId="0" applyNumberFormat="1" applyFont="1" applyAlignment="1">
      <alignment horizontal="center" vertical="center"/>
    </xf>
    <xf numFmtId="6" fontId="16" fillId="0" borderId="0" xfId="0" applyNumberFormat="1" applyFont="1">
      <alignment vertical="center"/>
    </xf>
    <xf numFmtId="179" fontId="28" fillId="3" borderId="40" xfId="1" applyNumberFormat="1" applyFont="1" applyFill="1" applyBorder="1" applyAlignment="1">
      <alignment horizontal="right" vertical="center"/>
    </xf>
    <xf numFmtId="179" fontId="0" fillId="0" borderId="0" xfId="0" applyNumberFormat="1">
      <alignment vertical="center"/>
    </xf>
    <xf numFmtId="6" fontId="14" fillId="2" borderId="67" xfId="1" applyNumberFormat="1" applyFont="1" applyFill="1" applyBorder="1" applyAlignment="1">
      <alignment horizontal="right" vertical="center"/>
    </xf>
    <xf numFmtId="178" fontId="15" fillId="0" borderId="39" xfId="3" applyNumberFormat="1" applyFont="1" applyFill="1" applyBorder="1" applyAlignment="1">
      <alignment horizontal="right" vertical="center"/>
    </xf>
    <xf numFmtId="26" fontId="14" fillId="0" borderId="46" xfId="1" applyNumberFormat="1" applyFont="1" applyBorder="1" applyAlignment="1">
      <alignment horizontal="right" vertical="center"/>
    </xf>
    <xf numFmtId="6" fontId="14" fillId="0" borderId="47" xfId="1" applyNumberFormat="1" applyFont="1" applyBorder="1" applyAlignment="1">
      <alignment horizontal="right" vertical="center"/>
    </xf>
    <xf numFmtId="17" fontId="14" fillId="0" borderId="57" xfId="1" applyNumberFormat="1" applyFont="1" applyBorder="1" applyAlignment="1">
      <alignment horizontal="center" vertical="center"/>
    </xf>
    <xf numFmtId="179" fontId="146" fillId="3" borderId="41" xfId="1" applyNumberFormat="1" applyFont="1" applyFill="1" applyBorder="1" applyAlignment="1">
      <alignment horizontal="right" vertical="center"/>
    </xf>
    <xf numFmtId="14" fontId="0" fillId="0" borderId="0" xfId="0" applyNumberFormat="1">
      <alignment vertical="center"/>
    </xf>
    <xf numFmtId="26" fontId="146" fillId="3" borderId="40" xfId="1" applyNumberFormat="1" applyFont="1" applyFill="1" applyBorder="1" applyAlignment="1">
      <alignment horizontal="right" vertical="center"/>
    </xf>
    <xf numFmtId="0" fontId="14" fillId="0" borderId="1" xfId="0" applyFont="1" applyBorder="1" applyAlignment="1">
      <alignment horizontal="center"/>
    </xf>
    <xf numFmtId="177" fontId="14" fillId="0" borderId="1" xfId="4" applyNumberFormat="1" applyFont="1" applyBorder="1" applyAlignment="1">
      <alignment horizontal="center"/>
    </xf>
    <xf numFmtId="14" fontId="14" fillId="0" borderId="1" xfId="0" applyNumberFormat="1" applyFont="1" applyBorder="1" applyAlignment="1"/>
    <xf numFmtId="177" fontId="14" fillId="0" borderId="1" xfId="4" applyNumberFormat="1" applyFont="1" applyBorder="1">
      <alignment vertical="center"/>
    </xf>
    <xf numFmtId="41" fontId="0" fillId="0" borderId="0" xfId="4" applyFont="1">
      <alignment vertical="center"/>
    </xf>
    <xf numFmtId="176" fontId="0" fillId="0" borderId="0" xfId="0" applyNumberFormat="1">
      <alignment vertical="center"/>
    </xf>
    <xf numFmtId="177" fontId="15" fillId="0" borderId="1" xfId="4" applyNumberFormat="1" applyFont="1" applyBorder="1">
      <alignment vertical="center"/>
    </xf>
    <xf numFmtId="177" fontId="0" fillId="0" borderId="0" xfId="4" applyNumberFormat="1" applyFont="1">
      <alignment vertical="center"/>
    </xf>
    <xf numFmtId="41" fontId="0" fillId="0" borderId="0" xfId="0" applyNumberFormat="1">
      <alignment vertical="center"/>
    </xf>
    <xf numFmtId="43" fontId="0" fillId="0" borderId="0" xfId="0" applyNumberFormat="1">
      <alignment vertical="center"/>
    </xf>
    <xf numFmtId="209" fontId="0" fillId="0" borderId="0" xfId="4" applyNumberFormat="1" applyFont="1">
      <alignment vertical="center"/>
    </xf>
    <xf numFmtId="177" fontId="15" fillId="0" borderId="1" xfId="4" applyNumberFormat="1" applyFont="1" applyFill="1" applyBorder="1">
      <alignment vertical="center"/>
    </xf>
    <xf numFmtId="14" fontId="15" fillId="0" borderId="1" xfId="0" applyNumberFormat="1" applyFont="1" applyBorder="1">
      <alignment vertical="center"/>
    </xf>
    <xf numFmtId="4" fontId="149" fillId="0" borderId="80" xfId="25" applyNumberFormat="1" applyFont="1" applyBorder="1" applyAlignment="1">
      <alignment vertical="top" shrinkToFit="1"/>
    </xf>
    <xf numFmtId="4" fontId="149" fillId="0" borderId="81" xfId="25" applyNumberFormat="1" applyFont="1" applyBorder="1" applyAlignment="1">
      <alignment vertical="top" shrinkToFit="1"/>
    </xf>
    <xf numFmtId="14" fontId="15" fillId="0" borderId="5" xfId="0" applyNumberFormat="1" applyFont="1" applyBorder="1">
      <alignment vertical="center"/>
    </xf>
    <xf numFmtId="14" fontId="15" fillId="0" borderId="4" xfId="0" applyNumberFormat="1" applyFont="1" applyBorder="1">
      <alignment vertical="center"/>
    </xf>
    <xf numFmtId="4" fontId="149" fillId="0" borderId="0" xfId="25" applyNumberFormat="1" applyFont="1" applyAlignment="1">
      <alignment vertical="top" shrinkToFit="1"/>
    </xf>
    <xf numFmtId="210" fontId="0" fillId="0" borderId="0" xfId="4" applyNumberFormat="1" applyFont="1">
      <alignment vertical="center"/>
    </xf>
    <xf numFmtId="14" fontId="15" fillId="36" borderId="1" xfId="0" applyNumberFormat="1" applyFont="1" applyFill="1" applyBorder="1">
      <alignment vertical="center"/>
    </xf>
    <xf numFmtId="177" fontId="15" fillId="36" borderId="1" xfId="4" applyNumberFormat="1" applyFont="1" applyFill="1" applyBorder="1">
      <alignment vertical="center"/>
    </xf>
    <xf numFmtId="14" fontId="15" fillId="2" borderId="1" xfId="0" applyNumberFormat="1" applyFont="1" applyFill="1" applyBorder="1">
      <alignment vertical="center"/>
    </xf>
    <xf numFmtId="177" fontId="15" fillId="2" borderId="1" xfId="4" applyNumberFormat="1" applyFont="1" applyFill="1" applyBorder="1">
      <alignment vertical="center"/>
    </xf>
    <xf numFmtId="0" fontId="15" fillId="0" borderId="1" xfId="0" applyFont="1" applyBorder="1">
      <alignment vertical="center"/>
    </xf>
    <xf numFmtId="6" fontId="14" fillId="2" borderId="77" xfId="1" applyNumberFormat="1" applyFont="1" applyFill="1" applyBorder="1" applyAlignment="1">
      <alignment horizontal="center" vertical="center"/>
    </xf>
    <xf numFmtId="0" fontId="9" fillId="3" borderId="89" xfId="1" applyFont="1" applyFill="1" applyBorder="1" applyAlignment="1">
      <alignment horizontal="center" vertical="center"/>
    </xf>
    <xf numFmtId="178" fontId="145" fillId="3" borderId="90" xfId="3" applyNumberFormat="1" applyFont="1" applyFill="1" applyBorder="1" applyAlignment="1">
      <alignment horizontal="right" vertical="center"/>
    </xf>
    <xf numFmtId="6" fontId="145" fillId="3" borderId="79" xfId="1" applyNumberFormat="1" applyFont="1" applyFill="1" applyBorder="1" applyAlignment="1">
      <alignment horizontal="right" vertical="center"/>
    </xf>
    <xf numFmtId="26" fontId="147" fillId="3" borderId="91" xfId="1" applyNumberFormat="1" applyFont="1" applyFill="1" applyBorder="1" applyAlignment="1">
      <alignment horizontal="right" vertical="center"/>
    </xf>
    <xf numFmtId="179" fontId="147" fillId="3" borderId="92" xfId="1" applyNumberFormat="1" applyFont="1" applyFill="1" applyBorder="1" applyAlignment="1">
      <alignment horizontal="right" vertical="center"/>
    </xf>
    <xf numFmtId="179" fontId="9" fillId="3" borderId="93" xfId="2" applyNumberFormat="1" applyFont="1" applyFill="1" applyBorder="1" applyAlignment="1">
      <alignment horizontal="center" vertical="center"/>
    </xf>
    <xf numFmtId="178" fontId="15" fillId="2" borderId="75" xfId="3" applyNumberFormat="1" applyFont="1" applyFill="1" applyBorder="1" applyAlignment="1">
      <alignment horizontal="right" vertical="center"/>
    </xf>
    <xf numFmtId="17" fontId="14" fillId="0" borderId="53" xfId="1" applyNumberFormat="1" applyFont="1" applyBorder="1" applyAlignment="1">
      <alignment horizontal="center" vertical="center"/>
    </xf>
    <xf numFmtId="176" fontId="15" fillId="0" borderId="53" xfId="1" applyNumberFormat="1" applyFont="1" applyBorder="1" applyAlignment="1">
      <alignment horizontal="center" vertical="center"/>
    </xf>
    <xf numFmtId="177" fontId="14" fillId="0" borderId="57" xfId="2" applyNumberFormat="1" applyFont="1" applyFill="1" applyBorder="1" applyAlignment="1">
      <alignment horizontal="center" vertical="center"/>
    </xf>
    <xf numFmtId="26" fontId="4" fillId="0" borderId="0" xfId="0" applyNumberFormat="1" applyFont="1">
      <alignment vertical="center"/>
    </xf>
    <xf numFmtId="207" fontId="28" fillId="3" borderId="1" xfId="1" applyNumberFormat="1" applyFont="1" applyFill="1" applyBorder="1" applyAlignment="1">
      <alignment horizontal="right" vertical="center"/>
    </xf>
    <xf numFmtId="208" fontId="28" fillId="3" borderId="1" xfId="1" applyNumberFormat="1" applyFont="1" applyFill="1" applyBorder="1" applyAlignment="1">
      <alignment horizontal="right" vertical="center"/>
    </xf>
    <xf numFmtId="179" fontId="9" fillId="3" borderId="100" xfId="2" applyNumberFormat="1" applyFont="1" applyFill="1" applyBorder="1" applyAlignment="1">
      <alignment horizontal="center" vertical="center"/>
    </xf>
    <xf numFmtId="6" fontId="14" fillId="2" borderId="76" xfId="1" applyNumberFormat="1" applyFont="1" applyFill="1" applyBorder="1" applyAlignment="1">
      <alignment horizontal="center" vertical="center"/>
    </xf>
    <xf numFmtId="0" fontId="9" fillId="3" borderId="7" xfId="1" applyFont="1" applyFill="1" applyBorder="1" applyAlignment="1">
      <alignment horizontal="center" vertical="center"/>
    </xf>
    <xf numFmtId="0" fontId="9" fillId="3" borderId="7" xfId="1" applyFont="1" applyFill="1" applyBorder="1" applyAlignment="1">
      <alignment horizontal="center" vertical="center" wrapText="1"/>
    </xf>
    <xf numFmtId="178" fontId="11" fillId="3" borderId="103" xfId="3" applyNumberFormat="1" applyFont="1" applyFill="1" applyBorder="1" applyAlignment="1">
      <alignment horizontal="right" vertical="center"/>
    </xf>
    <xf numFmtId="6" fontId="9" fillId="3" borderId="13" xfId="1" applyNumberFormat="1" applyFont="1" applyFill="1" applyBorder="1" applyAlignment="1">
      <alignment horizontal="right" vertical="center"/>
    </xf>
    <xf numFmtId="177" fontId="9" fillId="3" borderId="89" xfId="1" applyNumberFormat="1" applyFont="1" applyFill="1" applyBorder="1" applyAlignment="1">
      <alignment horizontal="center" vertical="center" wrapText="1"/>
    </xf>
    <xf numFmtId="6" fontId="14" fillId="0" borderId="36" xfId="1" applyNumberFormat="1" applyFont="1" applyBorder="1" applyAlignment="1">
      <alignment horizontal="right" vertical="center"/>
    </xf>
    <xf numFmtId="179" fontId="4" fillId="0" borderId="0" xfId="0" applyNumberFormat="1" applyFont="1">
      <alignment vertical="center"/>
    </xf>
    <xf numFmtId="26" fontId="28" fillId="3" borderId="42" xfId="1" applyNumberFormat="1" applyFont="1" applyFill="1" applyBorder="1" applyAlignment="1">
      <alignment horizontal="right" vertical="center"/>
    </xf>
    <xf numFmtId="179" fontId="28" fillId="3" borderId="42" xfId="1" applyNumberFormat="1" applyFont="1" applyFill="1" applyBorder="1" applyAlignment="1">
      <alignment horizontal="right" vertical="center"/>
    </xf>
    <xf numFmtId="26" fontId="9" fillId="3" borderId="69" xfId="1" applyNumberFormat="1" applyFont="1" applyFill="1" applyBorder="1" applyAlignment="1">
      <alignment horizontal="right" vertical="center"/>
    </xf>
    <xf numFmtId="179" fontId="9" fillId="3" borderId="70" xfId="1" applyNumberFormat="1" applyFont="1" applyFill="1" applyBorder="1" applyAlignment="1">
      <alignment horizontal="right" vertical="center"/>
    </xf>
    <xf numFmtId="178" fontId="11" fillId="3" borderId="1" xfId="1" applyNumberFormat="1" applyFont="1" applyFill="1" applyBorder="1" applyAlignment="1">
      <alignment horizontal="center" vertical="center"/>
    </xf>
    <xf numFmtId="176" fontId="15" fillId="0" borderId="57" xfId="1" applyNumberFormat="1" applyFont="1" applyBorder="1" applyAlignment="1">
      <alignment horizontal="center" vertical="center"/>
    </xf>
    <xf numFmtId="6" fontId="14" fillId="2" borderId="104" xfId="1" applyNumberFormat="1" applyFont="1" applyFill="1" applyBorder="1" applyAlignment="1">
      <alignment horizontal="right" vertical="center"/>
    </xf>
    <xf numFmtId="0" fontId="9" fillId="0" borderId="6" xfId="1" applyFont="1" applyBorder="1" applyAlignment="1">
      <alignment horizontal="center" vertical="center" wrapText="1"/>
    </xf>
    <xf numFmtId="177" fontId="14" fillId="0" borderId="32" xfId="2" applyNumberFormat="1" applyFont="1" applyFill="1" applyBorder="1" applyAlignment="1">
      <alignment horizontal="center" vertical="center"/>
    </xf>
    <xf numFmtId="6" fontId="14" fillId="0" borderId="45" xfId="1" applyNumberFormat="1" applyFont="1" applyBorder="1" applyAlignment="1">
      <alignment horizontal="right" vertical="center"/>
    </xf>
    <xf numFmtId="176" fontId="14" fillId="0" borderId="62" xfId="1" applyNumberFormat="1" applyFont="1" applyBorder="1" applyAlignment="1">
      <alignment horizontal="center" vertical="center"/>
    </xf>
    <xf numFmtId="6" fontId="14" fillId="0" borderId="63" xfId="1" applyNumberFormat="1" applyFont="1" applyBorder="1" applyAlignment="1">
      <alignment horizontal="right" vertical="center"/>
    </xf>
    <xf numFmtId="26" fontId="14" fillId="0" borderId="64" xfId="1" applyNumberFormat="1" applyFont="1" applyBorder="1" applyAlignment="1">
      <alignment horizontal="right" vertical="center"/>
    </xf>
    <xf numFmtId="6" fontId="14" fillId="0" borderId="65" xfId="1" applyNumberFormat="1" applyFont="1" applyBorder="1" applyAlignment="1">
      <alignment horizontal="right" vertical="center"/>
    </xf>
    <xf numFmtId="178" fontId="15" fillId="0" borderId="46" xfId="3" applyNumberFormat="1" applyFont="1" applyFill="1" applyBorder="1" applyAlignment="1">
      <alignment horizontal="right" vertical="center"/>
    </xf>
    <xf numFmtId="6" fontId="14" fillId="0" borderId="37" xfId="1" applyNumberFormat="1" applyFont="1" applyBorder="1" applyAlignment="1">
      <alignment horizontal="right" vertical="center"/>
    </xf>
    <xf numFmtId="6" fontId="14" fillId="2" borderId="74" xfId="1" applyNumberFormat="1" applyFont="1" applyFill="1" applyBorder="1" applyAlignment="1">
      <alignment horizontal="center" vertical="center"/>
    </xf>
    <xf numFmtId="26" fontId="148" fillId="3" borderId="95" xfId="1" applyNumberFormat="1" applyFont="1" applyFill="1" applyBorder="1" applyAlignment="1">
      <alignment horizontal="right" vertical="center"/>
    </xf>
    <xf numFmtId="179" fontId="148" fillId="3" borderId="95" xfId="1" applyNumberFormat="1" applyFont="1" applyFill="1" applyBorder="1" applyAlignment="1">
      <alignment horizontal="right" vertical="center"/>
    </xf>
    <xf numFmtId="26" fontId="14" fillId="0" borderId="44" xfId="1" applyNumberFormat="1" applyFont="1" applyBorder="1" applyAlignment="1">
      <alignment horizontal="right" vertical="center"/>
    </xf>
    <xf numFmtId="0" fontId="16" fillId="35" borderId="0" xfId="0" applyFont="1" applyFill="1">
      <alignment vertical="center"/>
    </xf>
    <xf numFmtId="0" fontId="13" fillId="35" borderId="0" xfId="0" applyFont="1" applyFill="1">
      <alignment vertical="center"/>
    </xf>
    <xf numFmtId="26" fontId="16" fillId="0" borderId="0" xfId="0" applyNumberFormat="1" applyFont="1">
      <alignment vertical="center"/>
    </xf>
    <xf numFmtId="26" fontId="14" fillId="0" borderId="62" xfId="1" applyNumberFormat="1" applyFont="1" applyBorder="1" applyAlignment="1">
      <alignment horizontal="right" vertical="center"/>
    </xf>
    <xf numFmtId="0" fontId="13" fillId="0" borderId="36" xfId="0" applyFont="1" applyBorder="1">
      <alignment vertical="center"/>
    </xf>
    <xf numFmtId="17" fontId="14" fillId="0" borderId="61" xfId="1" applyNumberFormat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 wrapText="1"/>
    </xf>
    <xf numFmtId="17" fontId="14" fillId="0" borderId="6" xfId="1" applyNumberFormat="1" applyFont="1" applyBorder="1" applyAlignment="1">
      <alignment horizontal="center" vertical="center"/>
    </xf>
    <xf numFmtId="176" fontId="14" fillId="0" borderId="6" xfId="1" applyNumberFormat="1" applyFont="1" applyBorder="1" applyAlignment="1">
      <alignment horizontal="center" vertical="center"/>
    </xf>
    <xf numFmtId="177" fontId="14" fillId="0" borderId="53" xfId="2" applyNumberFormat="1" applyFont="1" applyFill="1" applyBorder="1" applyAlignment="1">
      <alignment horizontal="center" vertical="center"/>
    </xf>
    <xf numFmtId="178" fontId="15" fillId="0" borderId="114" xfId="3" applyNumberFormat="1" applyFont="1" applyFill="1" applyBorder="1" applyAlignment="1">
      <alignment horizontal="right" vertical="center"/>
    </xf>
    <xf numFmtId="6" fontId="14" fillId="0" borderId="102" xfId="1" applyNumberFormat="1" applyFont="1" applyBorder="1" applyAlignment="1">
      <alignment horizontal="right" vertical="center"/>
    </xf>
    <xf numFmtId="26" fontId="14" fillId="0" borderId="32" xfId="1" applyNumberFormat="1" applyFont="1" applyBorder="1" applyAlignment="1">
      <alignment horizontal="right" vertical="center"/>
    </xf>
    <xf numFmtId="6" fontId="14" fillId="0" borderId="68" xfId="1" applyNumberFormat="1" applyFont="1" applyBorder="1" applyAlignment="1">
      <alignment horizontal="right" vertical="center"/>
    </xf>
    <xf numFmtId="0" fontId="9" fillId="0" borderId="72" xfId="1" applyFont="1" applyBorder="1" applyAlignment="1">
      <alignment horizontal="center" vertical="center" wrapText="1"/>
    </xf>
    <xf numFmtId="26" fontId="14" fillId="0" borderId="66" xfId="1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5" fillId="37" borderId="0" xfId="0" applyFont="1" applyFill="1">
      <alignment vertical="center"/>
    </xf>
    <xf numFmtId="0" fontId="8" fillId="0" borderId="0" xfId="0" applyFont="1" applyAlignment="1">
      <alignment horizontal="center" vertical="center"/>
    </xf>
    <xf numFmtId="6" fontId="14" fillId="0" borderId="85" xfId="1" applyNumberFormat="1" applyFont="1" applyBorder="1" applyAlignment="1">
      <alignment horizontal="center" vertical="center"/>
    </xf>
    <xf numFmtId="6" fontId="14" fillId="0" borderId="76" xfId="1" applyNumberFormat="1" applyFont="1" applyBorder="1" applyAlignment="1">
      <alignment horizontal="center" vertical="center"/>
    </xf>
    <xf numFmtId="6" fontId="14" fillId="0" borderId="74" xfId="1" applyNumberFormat="1" applyFont="1" applyBorder="1" applyAlignment="1">
      <alignment horizontal="center" vertical="center"/>
    </xf>
    <xf numFmtId="6" fontId="14" fillId="2" borderId="88" xfId="1" applyNumberFormat="1" applyFont="1" applyFill="1" applyBorder="1" applyAlignment="1">
      <alignment horizontal="center" vertical="center"/>
    </xf>
    <xf numFmtId="6" fontId="14" fillId="2" borderId="101" xfId="1" applyNumberFormat="1" applyFont="1" applyFill="1" applyBorder="1" applyAlignment="1">
      <alignment horizontal="center" vertical="center"/>
    </xf>
    <xf numFmtId="6" fontId="14" fillId="0" borderId="77" xfId="1" applyNumberFormat="1" applyFont="1" applyBorder="1" applyAlignment="1">
      <alignment horizontal="center" vertical="center"/>
    </xf>
    <xf numFmtId="6" fontId="14" fillId="0" borderId="87" xfId="1" applyNumberFormat="1" applyFont="1" applyBorder="1" applyAlignment="1">
      <alignment horizontal="center" vertical="center"/>
    </xf>
    <xf numFmtId="177" fontId="9" fillId="3" borderId="98" xfId="1" applyNumberFormat="1" applyFont="1" applyFill="1" applyBorder="1" applyAlignment="1">
      <alignment horizontal="center" vertical="center"/>
    </xf>
    <xf numFmtId="177" fontId="9" fillId="3" borderId="108" xfId="1" applyNumberFormat="1" applyFont="1" applyFill="1" applyBorder="1" applyAlignment="1">
      <alignment horizontal="center" vertical="center"/>
    </xf>
    <xf numFmtId="177" fontId="9" fillId="3" borderId="108" xfId="1" applyNumberFormat="1" applyFont="1" applyFill="1" applyBorder="1" applyAlignment="1">
      <alignment horizontal="center" vertical="center" wrapText="1"/>
    </xf>
    <xf numFmtId="177" fontId="9" fillId="3" borderId="85" xfId="1" applyNumberFormat="1" applyFont="1" applyFill="1" applyBorder="1" applyAlignment="1">
      <alignment horizontal="center" vertical="center"/>
    </xf>
    <xf numFmtId="177" fontId="9" fillId="3" borderId="74" xfId="1" applyNumberFormat="1" applyFont="1" applyFill="1" applyBorder="1" applyAlignment="1">
      <alignment horizontal="center" vertical="center" wrapText="1"/>
    </xf>
    <xf numFmtId="177" fontId="9" fillId="3" borderId="109" xfId="1" applyNumberFormat="1" applyFont="1" applyFill="1" applyBorder="1" applyAlignment="1">
      <alignment horizontal="center" vertical="center"/>
    </xf>
    <xf numFmtId="177" fontId="9" fillId="3" borderId="111" xfId="1" applyNumberFormat="1" applyFont="1" applyFill="1" applyBorder="1" applyAlignment="1">
      <alignment horizontal="center" vertical="center"/>
    </xf>
    <xf numFmtId="178" fontId="14" fillId="2" borderId="46" xfId="1" applyNumberFormat="1" applyFont="1" applyFill="1" applyBorder="1" applyAlignment="1">
      <alignment horizontal="right" vertical="center"/>
    </xf>
    <xf numFmtId="0" fontId="14" fillId="2" borderId="0" xfId="1" applyFont="1" applyFill="1" applyAlignment="1">
      <alignment horizontal="right" vertical="center"/>
    </xf>
    <xf numFmtId="0" fontId="9" fillId="0" borderId="115" xfId="1" applyFont="1" applyBorder="1" applyAlignment="1">
      <alignment horizontal="center" vertical="center" wrapText="1"/>
    </xf>
    <xf numFmtId="0" fontId="9" fillId="0" borderId="61" xfId="1" applyFont="1" applyBorder="1" applyAlignment="1">
      <alignment horizontal="center" vertical="center" wrapText="1"/>
    </xf>
    <xf numFmtId="6" fontId="14" fillId="2" borderId="101" xfId="1" applyNumberFormat="1" applyFont="1" applyFill="1" applyBorder="1" applyAlignment="1">
      <alignment horizontal="center" vertical="center" wrapText="1"/>
    </xf>
    <xf numFmtId="211" fontId="13" fillId="0" borderId="1" xfId="0" applyNumberFormat="1" applyFont="1" applyBorder="1" applyAlignment="1">
      <alignment horizontal="center" vertical="center"/>
    </xf>
    <xf numFmtId="211" fontId="14" fillId="0" borderId="1" xfId="1" applyNumberFormat="1" applyFont="1" applyBorder="1" applyAlignment="1">
      <alignment horizontal="right" vertical="center"/>
    </xf>
    <xf numFmtId="211" fontId="14" fillId="0" borderId="1" xfId="1" applyNumberFormat="1" applyFont="1" applyBorder="1" applyAlignment="1">
      <alignment horizontal="center" vertical="center"/>
    </xf>
    <xf numFmtId="6" fontId="16" fillId="35" borderId="0" xfId="0" applyNumberFormat="1" applyFont="1" applyFill="1">
      <alignment vertical="center"/>
    </xf>
    <xf numFmtId="6" fontId="4" fillId="0" borderId="0" xfId="0" applyNumberFormat="1" applyFont="1">
      <alignment vertical="center"/>
    </xf>
    <xf numFmtId="6" fontId="13" fillId="0" borderId="0" xfId="0" applyNumberFormat="1" applyFont="1">
      <alignment vertical="center"/>
    </xf>
    <xf numFmtId="178" fontId="16" fillId="0" borderId="0" xfId="0" applyNumberFormat="1" applyFont="1">
      <alignment vertical="center"/>
    </xf>
    <xf numFmtId="177" fontId="14" fillId="0" borderId="72" xfId="2" applyNumberFormat="1" applyFont="1" applyFill="1" applyBorder="1" applyAlignment="1">
      <alignment horizontal="center" vertical="center"/>
    </xf>
    <xf numFmtId="176" fontId="15" fillId="0" borderId="72" xfId="1" applyNumberFormat="1" applyFont="1" applyBorder="1" applyAlignment="1">
      <alignment horizontal="center" vertical="center"/>
    </xf>
    <xf numFmtId="6" fontId="14" fillId="0" borderId="82" xfId="1" applyNumberFormat="1" applyFont="1" applyBorder="1" applyAlignment="1">
      <alignment horizontal="right" vertical="center"/>
    </xf>
    <xf numFmtId="176" fontId="15" fillId="0" borderId="6" xfId="1" applyNumberFormat="1" applyFont="1" applyBorder="1" applyAlignment="1">
      <alignment horizontal="center" vertical="center"/>
    </xf>
    <xf numFmtId="6" fontId="14" fillId="0" borderId="74" xfId="1" applyNumberFormat="1" applyFont="1" applyBorder="1" applyAlignment="1">
      <alignment horizontal="right" vertical="center"/>
    </xf>
    <xf numFmtId="178" fontId="14" fillId="0" borderId="70" xfId="1" applyNumberFormat="1" applyFont="1" applyBorder="1" applyAlignment="1">
      <alignment horizontal="right" vertical="center"/>
    </xf>
    <xf numFmtId="6" fontId="14" fillId="0" borderId="70" xfId="1" applyNumberFormat="1" applyFont="1" applyBorder="1" applyAlignment="1">
      <alignment horizontal="right" vertical="center"/>
    </xf>
    <xf numFmtId="178" fontId="14" fillId="0" borderId="113" xfId="1" applyNumberFormat="1" applyFont="1" applyBorder="1" applyAlignment="1">
      <alignment horizontal="right" vertical="center"/>
    </xf>
    <xf numFmtId="6" fontId="14" fillId="0" borderId="113" xfId="1" applyNumberFormat="1" applyFont="1" applyBorder="1" applyAlignment="1">
      <alignment horizontal="right" vertical="center"/>
    </xf>
    <xf numFmtId="6" fontId="14" fillId="0" borderId="116" xfId="1" applyNumberFormat="1" applyFont="1" applyBorder="1" applyAlignment="1">
      <alignment horizontal="right" vertical="center"/>
    </xf>
    <xf numFmtId="26" fontId="14" fillId="0" borderId="56" xfId="1" applyNumberFormat="1" applyFont="1" applyBorder="1" applyAlignment="1">
      <alignment horizontal="right" vertical="center"/>
    </xf>
    <xf numFmtId="26" fontId="14" fillId="0" borderId="57" xfId="1" applyNumberFormat="1" applyFont="1" applyBorder="1" applyAlignment="1">
      <alignment horizontal="right" vertical="center"/>
    </xf>
    <xf numFmtId="6" fontId="14" fillId="0" borderId="57" xfId="1" applyNumberFormat="1" applyFont="1" applyBorder="1" applyAlignment="1">
      <alignment horizontal="right" vertical="center"/>
    </xf>
    <xf numFmtId="6" fontId="14" fillId="0" borderId="72" xfId="1" applyNumberFormat="1" applyFont="1" applyBorder="1" applyAlignment="1">
      <alignment horizontal="right" vertical="center"/>
    </xf>
    <xf numFmtId="178" fontId="15" fillId="0" borderId="51" xfId="3" applyNumberFormat="1" applyFont="1" applyFill="1" applyBorder="1" applyAlignment="1">
      <alignment horizontal="right" vertical="center"/>
    </xf>
    <xf numFmtId="6" fontId="14" fillId="0" borderId="59" xfId="1" applyNumberFormat="1" applyFont="1" applyBorder="1" applyAlignment="1">
      <alignment horizontal="right" vertical="center"/>
    </xf>
    <xf numFmtId="178" fontId="16" fillId="0" borderId="0" xfId="0" applyNumberFormat="1" applyFont="1" applyAlignment="1">
      <alignment horizontal="center" vertical="center"/>
    </xf>
    <xf numFmtId="6" fontId="13" fillId="0" borderId="0" xfId="0" applyNumberFormat="1" applyFont="1" applyAlignment="1">
      <alignment horizontal="center" vertical="center"/>
    </xf>
    <xf numFmtId="208" fontId="0" fillId="0" borderId="0" xfId="0" applyNumberFormat="1" applyAlignment="1">
      <alignment horizontal="left" vertical="center"/>
    </xf>
    <xf numFmtId="178" fontId="4" fillId="0" borderId="0" xfId="0" applyNumberFormat="1" applyFont="1">
      <alignment vertical="center"/>
    </xf>
    <xf numFmtId="6" fontId="0" fillId="0" borderId="0" xfId="0" applyNumberFormat="1">
      <alignment vertical="center"/>
    </xf>
    <xf numFmtId="178" fontId="15" fillId="0" borderId="73" xfId="3" applyNumberFormat="1" applyFont="1" applyFill="1" applyBorder="1" applyAlignment="1">
      <alignment horizontal="right" vertical="center"/>
    </xf>
    <xf numFmtId="6" fontId="14" fillId="0" borderId="96" xfId="1" applyNumberFormat="1" applyFont="1" applyBorder="1" applyAlignment="1">
      <alignment horizontal="right" vertical="center"/>
    </xf>
    <xf numFmtId="177" fontId="9" fillId="3" borderId="108" xfId="1" applyNumberFormat="1" applyFont="1" applyFill="1" applyBorder="1" applyAlignment="1">
      <alignment horizontal="left" vertical="center"/>
    </xf>
    <xf numFmtId="6" fontId="14" fillId="0" borderId="77" xfId="1" applyNumberFormat="1" applyFont="1" applyBorder="1" applyAlignment="1">
      <alignment horizontal="right" vertical="center"/>
    </xf>
    <xf numFmtId="178" fontId="14" fillId="0" borderId="6" xfId="1" applyNumberFormat="1" applyFont="1" applyBorder="1" applyAlignment="1">
      <alignment horizontal="right" vertical="center"/>
    </xf>
    <xf numFmtId="26" fontId="14" fillId="0" borderId="72" xfId="1" applyNumberFormat="1" applyFont="1" applyBorder="1" applyAlignment="1">
      <alignment horizontal="right" vertical="center"/>
    </xf>
    <xf numFmtId="178" fontId="15" fillId="0" borderId="44" xfId="3" applyNumberFormat="1" applyFont="1" applyFill="1" applyBorder="1" applyAlignment="1">
      <alignment horizontal="right" vertical="center"/>
    </xf>
    <xf numFmtId="178" fontId="15" fillId="0" borderId="112" xfId="3" applyNumberFormat="1" applyFont="1" applyFill="1" applyBorder="1" applyAlignment="1">
      <alignment horizontal="right" vertical="center"/>
    </xf>
    <xf numFmtId="178" fontId="15" fillId="0" borderId="64" xfId="3" applyNumberFormat="1" applyFont="1" applyFill="1" applyBorder="1" applyAlignment="1">
      <alignment horizontal="right" vertical="center"/>
    </xf>
    <xf numFmtId="178" fontId="15" fillId="0" borderId="69" xfId="3" applyNumberFormat="1" applyFont="1" applyFill="1" applyBorder="1" applyAlignment="1">
      <alignment horizontal="right" vertical="center"/>
    </xf>
    <xf numFmtId="178" fontId="15" fillId="0" borderId="117" xfId="3" applyNumberFormat="1" applyFont="1" applyFill="1" applyBorder="1" applyAlignment="1">
      <alignment horizontal="right" vertical="center"/>
    </xf>
    <xf numFmtId="178" fontId="15" fillId="0" borderId="58" xfId="3" applyNumberFormat="1" applyFont="1" applyFill="1" applyBorder="1" applyAlignment="1">
      <alignment horizontal="right" vertical="center"/>
    </xf>
    <xf numFmtId="178" fontId="15" fillId="2" borderId="46" xfId="3" applyNumberFormat="1" applyFont="1" applyFill="1" applyBorder="1" applyAlignment="1">
      <alignment horizontal="right" vertical="center"/>
    </xf>
    <xf numFmtId="177" fontId="14" fillId="0" borderId="6" xfId="2" applyNumberFormat="1" applyFont="1" applyFill="1" applyBorder="1" applyAlignment="1">
      <alignment horizontal="center" vertical="center"/>
    </xf>
    <xf numFmtId="17" fontId="14" fillId="0" borderId="72" xfId="1" applyNumberFormat="1" applyFont="1" applyBorder="1" applyAlignment="1">
      <alignment horizontal="center" vertical="center"/>
    </xf>
    <xf numFmtId="26" fontId="14" fillId="2" borderId="117" xfId="1" applyNumberFormat="1" applyFont="1" applyFill="1" applyBorder="1" applyAlignment="1">
      <alignment horizontal="right" vertical="center"/>
    </xf>
    <xf numFmtId="6" fontId="14" fillId="2" borderId="118" xfId="1" applyNumberFormat="1" applyFont="1" applyFill="1" applyBorder="1" applyAlignment="1">
      <alignment horizontal="right" vertical="center"/>
    </xf>
    <xf numFmtId="178" fontId="15" fillId="2" borderId="58" xfId="3" applyNumberFormat="1" applyFont="1" applyFill="1" applyBorder="1" applyAlignment="1">
      <alignment horizontal="right" vertical="center"/>
    </xf>
    <xf numFmtId="6" fontId="14" fillId="2" borderId="88" xfId="1" applyNumberFormat="1" applyFont="1" applyFill="1" applyBorder="1" applyAlignment="1">
      <alignment horizontal="left" vertical="center"/>
    </xf>
    <xf numFmtId="6" fontId="14" fillId="2" borderId="88" xfId="1" applyNumberFormat="1" applyFont="1" applyFill="1" applyBorder="1" applyAlignment="1">
      <alignment horizontal="center" vertical="center" wrapText="1"/>
    </xf>
    <xf numFmtId="176" fontId="15" fillId="0" borderId="61" xfId="1" applyNumberFormat="1" applyFont="1" applyBorder="1" applyAlignment="1">
      <alignment horizontal="center" vertical="center"/>
    </xf>
    <xf numFmtId="177" fontId="14" fillId="0" borderId="61" xfId="2" applyNumberFormat="1" applyFont="1" applyFill="1" applyBorder="1" applyAlignment="1">
      <alignment horizontal="center" vertical="center"/>
    </xf>
    <xf numFmtId="26" fontId="14" fillId="2" borderId="119" xfId="1" applyNumberFormat="1" applyFont="1" applyFill="1" applyBorder="1" applyAlignment="1">
      <alignment horizontal="right" vertical="center"/>
    </xf>
    <xf numFmtId="6" fontId="14" fillId="2" borderId="120" xfId="1" applyNumberFormat="1" applyFont="1" applyFill="1" applyBorder="1" applyAlignment="1">
      <alignment horizontal="right" vertical="center"/>
    </xf>
    <xf numFmtId="6" fontId="14" fillId="2" borderId="94" xfId="1" applyNumberFormat="1" applyFont="1" applyFill="1" applyBorder="1" applyAlignment="1">
      <alignment horizontal="center" vertical="center"/>
    </xf>
    <xf numFmtId="179" fontId="4" fillId="0" borderId="0" xfId="0" applyNumberFormat="1" applyFont="1" applyAlignment="1">
      <alignment horizontal="left" vertical="center"/>
    </xf>
    <xf numFmtId="208" fontId="13" fillId="0" borderId="0" xfId="0" applyNumberFormat="1" applyFont="1">
      <alignment vertical="center"/>
    </xf>
    <xf numFmtId="6" fontId="16" fillId="0" borderId="0" xfId="0" applyNumberFormat="1" applyFont="1" applyAlignment="1">
      <alignment horizontal="center" vertical="center"/>
    </xf>
    <xf numFmtId="26" fontId="14" fillId="0" borderId="75" xfId="1" applyNumberFormat="1" applyFont="1" applyBorder="1" applyAlignment="1">
      <alignment horizontal="right" vertical="center"/>
    </xf>
    <xf numFmtId="26" fontId="14" fillId="0" borderId="51" xfId="1" applyNumberFormat="1" applyFont="1" applyBorder="1" applyAlignment="1">
      <alignment horizontal="right" vertical="center"/>
    </xf>
    <xf numFmtId="26" fontId="14" fillId="2" borderId="18" xfId="1" applyNumberFormat="1" applyFont="1" applyFill="1" applyBorder="1" applyAlignment="1">
      <alignment horizontal="right" vertical="center"/>
    </xf>
    <xf numFmtId="178" fontId="15" fillId="0" borderId="75" xfId="3" applyNumberFormat="1" applyFont="1" applyFill="1" applyBorder="1" applyAlignment="1">
      <alignment horizontal="right" vertical="center"/>
    </xf>
    <xf numFmtId="176" fontId="14" fillId="0" borderId="72" xfId="1" applyNumberFormat="1" applyFont="1" applyBorder="1" applyAlignment="1">
      <alignment horizontal="center" vertical="center"/>
    </xf>
    <xf numFmtId="178" fontId="15" fillId="2" borderId="44" xfId="3" applyNumberFormat="1" applyFont="1" applyFill="1" applyBorder="1" applyAlignment="1">
      <alignment horizontal="right" vertical="center"/>
    </xf>
    <xf numFmtId="178" fontId="15" fillId="0" borderId="105" xfId="3" applyNumberFormat="1" applyFont="1" applyFill="1" applyBorder="1" applyAlignment="1">
      <alignment horizontal="right" vertical="center"/>
    </xf>
    <xf numFmtId="6" fontId="14" fillId="0" borderId="88" xfId="1" applyNumberFormat="1" applyFont="1" applyBorder="1" applyAlignment="1">
      <alignment horizontal="center" vertical="center"/>
    </xf>
    <xf numFmtId="0" fontId="9" fillId="0" borderId="83" xfId="1" applyFont="1" applyBorder="1" applyAlignment="1">
      <alignment horizontal="center" vertical="center" wrapText="1"/>
    </xf>
    <xf numFmtId="26" fontId="14" fillId="2" borderId="69" xfId="1" applyNumberFormat="1" applyFont="1" applyFill="1" applyBorder="1" applyAlignment="1">
      <alignment horizontal="right" vertical="center"/>
    </xf>
    <xf numFmtId="6" fontId="14" fillId="2" borderId="70" xfId="1" applyNumberFormat="1" applyFont="1" applyFill="1" applyBorder="1" applyAlignment="1">
      <alignment horizontal="right" vertical="center"/>
    </xf>
    <xf numFmtId="178" fontId="15" fillId="2" borderId="121" xfId="3" applyNumberFormat="1" applyFont="1" applyFill="1" applyBorder="1" applyAlignment="1">
      <alignment horizontal="right" vertical="center"/>
    </xf>
    <xf numFmtId="17" fontId="14" fillId="2" borderId="53" xfId="1" applyNumberFormat="1" applyFont="1" applyFill="1" applyBorder="1" applyAlignment="1">
      <alignment horizontal="center" vertical="center"/>
    </xf>
    <xf numFmtId="178" fontId="15" fillId="2" borderId="122" xfId="3" applyNumberFormat="1" applyFont="1" applyFill="1" applyBorder="1" applyAlignment="1">
      <alignment horizontal="right" vertical="center"/>
    </xf>
    <xf numFmtId="17" fontId="14" fillId="2" borderId="61" xfId="1" applyNumberFormat="1" applyFont="1" applyFill="1" applyBorder="1" applyAlignment="1">
      <alignment horizontal="center" vertical="center" wrapText="1"/>
    </xf>
    <xf numFmtId="178" fontId="15" fillId="2" borderId="69" xfId="3" applyNumberFormat="1" applyFont="1" applyFill="1" applyBorder="1" applyAlignment="1">
      <alignment horizontal="right" vertical="center"/>
    </xf>
    <xf numFmtId="6" fontId="14" fillId="0" borderId="67" xfId="1" applyNumberFormat="1" applyFont="1" applyBorder="1" applyAlignment="1">
      <alignment horizontal="right" vertical="center"/>
    </xf>
    <xf numFmtId="176" fontId="14" fillId="0" borderId="57" xfId="1" applyNumberFormat="1" applyFont="1" applyBorder="1" applyAlignment="1">
      <alignment horizontal="center" vertical="center"/>
    </xf>
    <xf numFmtId="26" fontId="14" fillId="0" borderId="112" xfId="1" applyNumberFormat="1" applyFont="1" applyBorder="1" applyAlignment="1">
      <alignment horizontal="right" vertical="center"/>
    </xf>
    <xf numFmtId="0" fontId="9" fillId="0" borderId="18" xfId="1" applyFont="1" applyBorder="1" applyAlignment="1">
      <alignment horizontal="center" vertical="center" wrapText="1"/>
    </xf>
    <xf numFmtId="176" fontId="15" fillId="2" borderId="6" xfId="1" applyNumberFormat="1" applyFont="1" applyFill="1" applyBorder="1" applyAlignment="1">
      <alignment horizontal="center" vertical="center"/>
    </xf>
    <xf numFmtId="17" fontId="14" fillId="2" borderId="6" xfId="1" applyNumberFormat="1" applyFont="1" applyFill="1" applyBorder="1" applyAlignment="1">
      <alignment horizontal="center" vertical="center"/>
    </xf>
    <xf numFmtId="178" fontId="15" fillId="0" borderId="123" xfId="3" applyNumberFormat="1" applyFont="1" applyFill="1" applyBorder="1" applyAlignment="1">
      <alignment horizontal="right" vertical="center"/>
    </xf>
    <xf numFmtId="176" fontId="14" fillId="2" borderId="6" xfId="1" applyNumberFormat="1" applyFont="1" applyFill="1" applyBorder="1" applyAlignment="1">
      <alignment horizontal="center" vertical="center"/>
    </xf>
    <xf numFmtId="178" fontId="15" fillId="2" borderId="117" xfId="3" applyNumberFormat="1" applyFont="1" applyFill="1" applyBorder="1" applyAlignment="1">
      <alignment horizontal="right" vertical="center"/>
    </xf>
    <xf numFmtId="6" fontId="14" fillId="0" borderId="118" xfId="1" applyNumberFormat="1" applyFont="1" applyBorder="1" applyAlignment="1">
      <alignment horizontal="right" vertical="center"/>
    </xf>
    <xf numFmtId="6" fontId="14" fillId="2" borderId="85" xfId="1" applyNumberFormat="1" applyFont="1" applyFill="1" applyBorder="1" applyAlignment="1">
      <alignment horizontal="center" vertical="center"/>
    </xf>
    <xf numFmtId="17" fontId="14" fillId="2" borderId="61" xfId="1" applyNumberFormat="1" applyFont="1" applyFill="1" applyBorder="1" applyAlignment="1">
      <alignment horizontal="center" vertical="center"/>
    </xf>
    <xf numFmtId="177" fontId="14" fillId="2" borderId="57" xfId="2" applyNumberFormat="1" applyFont="1" applyFill="1" applyBorder="1" applyAlignment="1">
      <alignment horizontal="center" vertical="center"/>
    </xf>
    <xf numFmtId="178" fontId="15" fillId="2" borderId="105" xfId="3" applyNumberFormat="1" applyFont="1" applyFill="1" applyBorder="1" applyAlignment="1">
      <alignment horizontal="right" vertical="center"/>
    </xf>
    <xf numFmtId="6" fontId="14" fillId="0" borderId="120" xfId="1" applyNumberFormat="1" applyFont="1" applyBorder="1" applyAlignment="1">
      <alignment horizontal="right" vertical="center"/>
    </xf>
    <xf numFmtId="26" fontId="14" fillId="2" borderId="112" xfId="1" applyNumberFormat="1" applyFont="1" applyFill="1" applyBorder="1" applyAlignment="1">
      <alignment horizontal="right" vertical="center"/>
    </xf>
    <xf numFmtId="6" fontId="14" fillId="2" borderId="113" xfId="1" applyNumberFormat="1" applyFont="1" applyFill="1" applyBorder="1" applyAlignment="1">
      <alignment horizontal="right" vertical="center"/>
    </xf>
    <xf numFmtId="176" fontId="14" fillId="2" borderId="57" xfId="1" applyNumberFormat="1" applyFont="1" applyFill="1" applyBorder="1" applyAlignment="1">
      <alignment horizontal="center" vertical="center"/>
    </xf>
    <xf numFmtId="6" fontId="14" fillId="0" borderId="56" xfId="1" applyNumberFormat="1" applyFont="1" applyBorder="1" applyAlignment="1">
      <alignment horizontal="right" vertical="center"/>
    </xf>
    <xf numFmtId="6" fontId="14" fillId="0" borderId="33" xfId="1" applyNumberFormat="1" applyFont="1" applyBorder="1" applyAlignment="1">
      <alignment horizontal="center" vertical="center"/>
    </xf>
    <xf numFmtId="26" fontId="14" fillId="0" borderId="6" xfId="1" applyNumberFormat="1" applyFont="1" applyBorder="1" applyAlignment="1">
      <alignment horizontal="right" vertical="center"/>
    </xf>
    <xf numFmtId="6" fontId="14" fillId="0" borderId="12" xfId="1" applyNumberFormat="1" applyFont="1" applyBorder="1" applyAlignment="1">
      <alignment horizontal="right" vertical="center"/>
    </xf>
    <xf numFmtId="178" fontId="15" fillId="0" borderId="119" xfId="3" applyNumberFormat="1" applyFont="1" applyFill="1" applyBorder="1" applyAlignment="1">
      <alignment horizontal="right" vertical="center"/>
    </xf>
    <xf numFmtId="26" fontId="14" fillId="2" borderId="64" xfId="1" applyNumberFormat="1" applyFont="1" applyFill="1" applyBorder="1" applyAlignment="1">
      <alignment horizontal="right" vertical="center"/>
    </xf>
    <xf numFmtId="178" fontId="15" fillId="0" borderId="121" xfId="3" applyNumberFormat="1" applyFont="1" applyFill="1" applyBorder="1" applyAlignment="1">
      <alignment horizontal="right" vertical="center"/>
    </xf>
    <xf numFmtId="207" fontId="4" fillId="0" borderId="0" xfId="0" applyNumberFormat="1" applyFont="1">
      <alignment vertical="center"/>
    </xf>
    <xf numFmtId="178" fontId="15" fillId="0" borderId="124" xfId="3" applyNumberFormat="1" applyFont="1" applyFill="1" applyBorder="1" applyAlignment="1">
      <alignment horizontal="right" vertical="center"/>
    </xf>
    <xf numFmtId="6" fontId="14" fillId="2" borderId="125" xfId="1" applyNumberFormat="1" applyFont="1" applyFill="1" applyBorder="1" applyAlignment="1">
      <alignment horizontal="right" vertical="center"/>
    </xf>
    <xf numFmtId="207" fontId="4" fillId="0" borderId="0" xfId="0" applyNumberFormat="1" applyFont="1" applyAlignment="1">
      <alignment horizontal="left" vertical="center"/>
    </xf>
    <xf numFmtId="6" fontId="14" fillId="0" borderId="62" xfId="1" applyNumberFormat="1" applyFont="1" applyBorder="1" applyAlignment="1">
      <alignment horizontal="center" vertical="center" wrapText="1"/>
    </xf>
    <xf numFmtId="0" fontId="9" fillId="0" borderId="97" xfId="1" applyFont="1" applyBorder="1" applyAlignment="1">
      <alignment horizontal="center" vertical="center" wrapText="1"/>
    </xf>
    <xf numFmtId="0" fontId="9" fillId="0" borderId="107" xfId="1" applyFont="1" applyBorder="1" applyAlignment="1">
      <alignment horizontal="center" vertical="center" wrapText="1"/>
    </xf>
    <xf numFmtId="0" fontId="9" fillId="0" borderId="110" xfId="1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9" fillId="3" borderId="97" xfId="1" applyFont="1" applyFill="1" applyBorder="1" applyAlignment="1">
      <alignment horizontal="center" vertical="center" wrapText="1"/>
    </xf>
    <xf numFmtId="0" fontId="9" fillId="3" borderId="99" xfId="1" applyFont="1" applyFill="1" applyBorder="1" applyAlignment="1">
      <alignment horizontal="center" vertical="center" wrapText="1"/>
    </xf>
    <xf numFmtId="0" fontId="9" fillId="3" borderId="89" xfId="1" applyFont="1" applyFill="1" applyBorder="1" applyAlignment="1">
      <alignment horizontal="center" vertical="center" wrapText="1"/>
    </xf>
    <xf numFmtId="0" fontId="9" fillId="3" borderId="95" xfId="1" applyFont="1" applyFill="1" applyBorder="1" applyAlignment="1">
      <alignment horizontal="center" vertical="center" wrapText="1"/>
    </xf>
    <xf numFmtId="0" fontId="9" fillId="3" borderId="89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177" fontId="9" fillId="3" borderId="89" xfId="2" applyNumberFormat="1" applyFont="1" applyFill="1" applyBorder="1" applyAlignment="1">
      <alignment horizontal="center" vertical="center"/>
    </xf>
    <xf numFmtId="177" fontId="9" fillId="3" borderId="2" xfId="2" applyNumberFormat="1" applyFont="1" applyFill="1" applyBorder="1" applyAlignment="1">
      <alignment horizontal="center" vertical="center"/>
    </xf>
    <xf numFmtId="0" fontId="9" fillId="3" borderId="89" xfId="0" applyFont="1" applyFill="1" applyBorder="1" applyAlignment="1">
      <alignment horizontal="center" vertical="center"/>
    </xf>
    <xf numFmtId="0" fontId="9" fillId="3" borderId="98" xfId="0" applyFont="1" applyFill="1" applyBorder="1" applyAlignment="1">
      <alignment horizontal="center" vertical="center"/>
    </xf>
    <xf numFmtId="179" fontId="9" fillId="3" borderId="42" xfId="2" applyNumberFormat="1" applyFont="1" applyFill="1" applyBorder="1" applyAlignment="1">
      <alignment horizontal="center" vertical="center"/>
    </xf>
    <xf numFmtId="179" fontId="9" fillId="3" borderId="43" xfId="2" applyNumberFormat="1" applyFont="1" applyFill="1" applyBorder="1" applyAlignment="1">
      <alignment horizontal="center" vertical="center"/>
    </xf>
    <xf numFmtId="176" fontId="15" fillId="2" borderId="61" xfId="1" applyNumberFormat="1" applyFont="1" applyFill="1" applyBorder="1" applyAlignment="1">
      <alignment horizontal="center" vertical="center"/>
    </xf>
    <xf numFmtId="176" fontId="15" fillId="2" borderId="6" xfId="1" applyNumberFormat="1" applyFont="1" applyFill="1" applyBorder="1" applyAlignment="1">
      <alignment horizontal="center" vertical="center"/>
    </xf>
    <xf numFmtId="0" fontId="9" fillId="0" borderId="83" xfId="1" applyFont="1" applyBorder="1" applyAlignment="1">
      <alignment horizontal="center" vertical="center" wrapText="1"/>
    </xf>
    <xf numFmtId="0" fontId="9" fillId="0" borderId="84" xfId="1" applyFont="1" applyBorder="1" applyAlignment="1">
      <alignment horizontal="center" vertical="center" wrapText="1"/>
    </xf>
    <xf numFmtId="6" fontId="14" fillId="2" borderId="94" xfId="1" applyNumberFormat="1" applyFont="1" applyFill="1" applyBorder="1" applyAlignment="1">
      <alignment horizontal="center" vertical="center" wrapText="1"/>
    </xf>
    <xf numFmtId="6" fontId="14" fillId="2" borderId="85" xfId="1" applyNumberFormat="1" applyFont="1" applyFill="1" applyBorder="1" applyAlignment="1">
      <alignment horizontal="center" vertical="center" wrapText="1"/>
    </xf>
    <xf numFmtId="6" fontId="14" fillId="2" borderId="87" xfId="1" applyNumberFormat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28" fillId="3" borderId="9" xfId="1" applyFont="1" applyFill="1" applyBorder="1" applyAlignment="1">
      <alignment horizontal="center" vertical="center"/>
    </xf>
    <xf numFmtId="0" fontId="28" fillId="3" borderId="11" xfId="1" applyFont="1" applyFill="1" applyBorder="1" applyAlignment="1">
      <alignment horizontal="center" vertical="center"/>
    </xf>
    <xf numFmtId="0" fontId="8" fillId="3" borderId="107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8" fillId="3" borderId="110" xfId="1" applyFont="1" applyFill="1" applyBorder="1" applyAlignment="1">
      <alignment horizontal="center" vertical="center" wrapText="1"/>
    </xf>
    <xf numFmtId="0" fontId="8" fillId="3" borderId="95" xfId="1" applyFont="1" applyFill="1" applyBorder="1" applyAlignment="1">
      <alignment horizontal="center" vertical="center" wrapText="1"/>
    </xf>
    <xf numFmtId="0" fontId="28" fillId="3" borderId="95" xfId="1" applyFont="1" applyFill="1" applyBorder="1" applyAlignment="1">
      <alignment horizontal="center" vertical="center"/>
    </xf>
    <xf numFmtId="0" fontId="28" fillId="3" borderId="5" xfId="1" applyFont="1" applyFill="1" applyBorder="1" applyAlignment="1">
      <alignment horizontal="center" vertical="center"/>
    </xf>
    <xf numFmtId="0" fontId="28" fillId="3" borderId="4" xfId="1" applyFont="1" applyFill="1" applyBorder="1" applyAlignment="1">
      <alignment horizontal="center" vertical="center"/>
    </xf>
    <xf numFmtId="0" fontId="28" fillId="3" borderId="1" xfId="1" applyFont="1" applyFill="1" applyBorder="1" applyAlignment="1">
      <alignment horizontal="center" vertical="center" wrapText="1"/>
    </xf>
    <xf numFmtId="0" fontId="28" fillId="3" borderId="1" xfId="1" applyFont="1" applyFill="1" applyBorder="1" applyAlignment="1">
      <alignment horizontal="center" vertical="center"/>
    </xf>
    <xf numFmtId="0" fontId="9" fillId="3" borderId="52" xfId="1" applyFont="1" applyFill="1" applyBorder="1" applyAlignment="1">
      <alignment horizontal="center" vertical="center"/>
    </xf>
    <xf numFmtId="0" fontId="9" fillId="3" borderId="34" xfId="1" applyFont="1" applyFill="1" applyBorder="1" applyAlignment="1">
      <alignment horizontal="center" vertical="center"/>
    </xf>
    <xf numFmtId="0" fontId="9" fillId="3" borderId="60" xfId="1" applyFont="1" applyFill="1" applyBorder="1" applyAlignment="1">
      <alignment horizontal="center" vertical="center"/>
    </xf>
    <xf numFmtId="0" fontId="9" fillId="3" borderId="37" xfId="1" applyFont="1" applyFill="1" applyBorder="1" applyAlignment="1">
      <alignment horizontal="center" vertical="center"/>
    </xf>
    <xf numFmtId="0" fontId="9" fillId="3" borderId="51" xfId="1" applyFont="1" applyFill="1" applyBorder="1" applyAlignment="1">
      <alignment horizontal="center" vertical="center"/>
    </xf>
    <xf numFmtId="0" fontId="9" fillId="3" borderId="36" xfId="1" applyFont="1" applyFill="1" applyBorder="1" applyAlignment="1">
      <alignment horizontal="center" vertical="center"/>
    </xf>
    <xf numFmtId="0" fontId="8" fillId="3" borderId="7" xfId="1" applyFont="1" applyFill="1" applyBorder="1" applyAlignment="1">
      <alignment horizontal="center" vertical="center" wrapText="1"/>
    </xf>
    <xf numFmtId="0" fontId="9" fillId="3" borderId="106" xfId="1" applyFont="1" applyFill="1" applyBorder="1" applyAlignment="1">
      <alignment horizontal="center" vertical="center" wrapText="1"/>
    </xf>
    <xf numFmtId="0" fontId="9" fillId="3" borderId="78" xfId="1" applyFont="1" applyFill="1" applyBorder="1" applyAlignment="1">
      <alignment horizontal="center" vertical="center" wrapText="1"/>
    </xf>
    <xf numFmtId="0" fontId="9" fillId="3" borderId="79" xfId="1" applyFont="1" applyFill="1" applyBorder="1" applyAlignment="1">
      <alignment horizontal="center" vertical="center" wrapText="1"/>
    </xf>
    <xf numFmtId="0" fontId="9" fillId="0" borderId="86" xfId="1" applyFont="1" applyBorder="1" applyAlignment="1">
      <alignment horizontal="center" vertical="center" wrapText="1"/>
    </xf>
    <xf numFmtId="176" fontId="15" fillId="2" borderId="56" xfId="1" applyNumberFormat="1" applyFont="1" applyFill="1" applyBorder="1" applyAlignment="1">
      <alignment horizontal="center" vertical="center"/>
    </xf>
    <xf numFmtId="0" fontId="9" fillId="0" borderId="61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3" borderId="15" xfId="1" applyFont="1" applyFill="1" applyBorder="1" applyAlignment="1">
      <alignment horizontal="center" vertical="center" wrapText="1"/>
    </xf>
    <xf numFmtId="0" fontId="9" fillId="3" borderId="8" xfId="1" applyFont="1" applyFill="1" applyBorder="1" applyAlignment="1">
      <alignment horizontal="center" vertical="center" wrapText="1"/>
    </xf>
    <xf numFmtId="0" fontId="9" fillId="3" borderId="13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56" xfId="1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8" fillId="3" borderId="9" xfId="1" applyFont="1" applyFill="1" applyBorder="1" applyAlignment="1">
      <alignment horizontal="center" vertical="center" wrapText="1"/>
    </xf>
    <xf numFmtId="0" fontId="8" fillId="3" borderId="16" xfId="1" applyFont="1" applyFill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3" borderId="10" xfId="1" applyFont="1" applyFill="1" applyBorder="1" applyAlignment="1">
      <alignment horizontal="center" vertical="center" wrapText="1"/>
    </xf>
    <xf numFmtId="0" fontId="8" fillId="3" borderId="0" xfId="1" applyFont="1" applyFill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0" fontId="9" fillId="3" borderId="50" xfId="1" applyFont="1" applyFill="1" applyBorder="1" applyAlignment="1">
      <alignment horizontal="center" vertical="center"/>
    </xf>
    <xf numFmtId="0" fontId="9" fillId="3" borderId="35" xfId="1" applyFont="1" applyFill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right" vertical="center"/>
    </xf>
    <xf numFmtId="0" fontId="9" fillId="3" borderId="1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/>
    </xf>
    <xf numFmtId="177" fontId="9" fillId="3" borderId="1" xfId="2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1" fontId="16" fillId="3" borderId="2" xfId="0" applyNumberFormat="1" applyFont="1" applyFill="1" applyBorder="1" applyAlignment="1">
      <alignment horizontal="center" vertical="center"/>
    </xf>
    <xf numFmtId="41" fontId="16" fillId="3" borderId="7" xfId="0" applyNumberFormat="1" applyFont="1" applyFill="1" applyBorder="1" applyAlignment="1">
      <alignment horizontal="center" vertical="center"/>
    </xf>
    <xf numFmtId="41" fontId="16" fillId="3" borderId="5" xfId="0" applyNumberFormat="1" applyFont="1" applyFill="1" applyBorder="1" applyAlignment="1">
      <alignment horizontal="center" vertical="center"/>
    </xf>
    <xf numFmtId="41" fontId="16" fillId="3" borderId="3" xfId="0" applyNumberFormat="1" applyFont="1" applyFill="1" applyBorder="1" applyAlignment="1">
      <alignment horizontal="center" vertical="center"/>
    </xf>
    <xf numFmtId="41" fontId="16" fillId="3" borderId="43" xfId="0" applyNumberFormat="1" applyFont="1" applyFill="1" applyBorder="1" applyAlignment="1">
      <alignment horizontal="center" vertical="center"/>
    </xf>
    <xf numFmtId="41" fontId="16" fillId="3" borderId="49" xfId="0" applyNumberFormat="1" applyFont="1" applyFill="1" applyBorder="1" applyAlignment="1">
      <alignment horizontal="center" vertical="center"/>
    </xf>
    <xf numFmtId="41" fontId="16" fillId="3" borderId="11" xfId="0" applyNumberFormat="1" applyFont="1" applyFill="1" applyBorder="1" applyAlignment="1">
      <alignment horizontal="center" vertical="center"/>
    </xf>
    <xf numFmtId="41" fontId="16" fillId="3" borderId="13" xfId="0" applyNumberFormat="1" applyFont="1" applyFill="1" applyBorder="1" applyAlignment="1">
      <alignment horizontal="center" vertical="center"/>
    </xf>
    <xf numFmtId="41" fontId="143" fillId="0" borderId="0" xfId="0" applyNumberFormat="1" applyFont="1" applyAlignment="1">
      <alignment horizontal="center" vertical="center"/>
    </xf>
    <xf numFmtId="177" fontId="9" fillId="3" borderId="100" xfId="1" applyNumberFormat="1" applyFont="1" applyFill="1" applyBorder="1" applyAlignment="1">
      <alignment horizontal="center" vertical="center" wrapText="1"/>
    </xf>
    <xf numFmtId="177" fontId="9" fillId="3" borderId="109" xfId="1" applyNumberFormat="1" applyFont="1" applyFill="1" applyBorder="1" applyAlignment="1">
      <alignment horizontal="center" vertical="center" wrapText="1"/>
    </xf>
  </cellXfs>
  <cellStyles count="3230">
    <cellStyle name="_x0005__x0010__x0010_" xfId="85" xr:uid="{E3579756-A8D3-4E2D-96AD-DF2AB46B462A}"/>
    <cellStyle name="_x0007__x0011__x0011_" xfId="86" xr:uid="{02A88477-F950-4A06-88C1-3BE1C26AB63F}"/>
    <cellStyle name="          _x000d__x000a_mouse.drv=lmouse.drv" xfId="87" xr:uid="{46B705FD-6432-44DA-A250-11FF2DBECD4E}"/>
    <cellStyle name="_x0005__x0010__x0010_ 2" xfId="2138" xr:uid="{239A9A11-8720-420F-92AD-6CB6974D95A3}"/>
    <cellStyle name="_x0005__x0010__x0010_ 2 2" xfId="2475" xr:uid="{7592A7EA-9B1F-4AF0-9977-6D817B4D1F63}"/>
    <cellStyle name="_x0005__x0010__x0010_ 2 2 2" xfId="3132" xr:uid="{F6FDA4B4-5B85-49C0-983F-CFD4499CAD0F}"/>
    <cellStyle name="_x0005__x0010__x0010_ 2 3" xfId="2805" xr:uid="{77FAA5C7-9D51-431D-A839-1D8E7C366148}"/>
    <cellStyle name="_x0005__x0010__x0010_ 3" xfId="2241" xr:uid="{2F60D43C-7214-4CE8-8E89-73A276A4B88D}"/>
    <cellStyle name="_x0005__x0010__x0010_ 3 2" xfId="2569" xr:uid="{4F0A4C67-4202-492C-8E89-86B11CC985AB}"/>
    <cellStyle name="_x0005__x0010__x0010_ 3 2 2" xfId="3226" xr:uid="{856FC532-3B85-4EB3-93AD-98145506E92E}"/>
    <cellStyle name="_x0005__x0010__x0010_ 3 3" xfId="2899" xr:uid="{ACE98E19-E054-465B-B02D-912BAE5F7D4B}"/>
    <cellStyle name="_x0005__x0010__x0010_ 4" xfId="2243" xr:uid="{0206FFBA-CF94-4BB1-891D-6DA6DF555DC1}"/>
    <cellStyle name="_x0005__x0010__x0010_ 4 2" xfId="2570" xr:uid="{B42855B8-624F-4165-925C-A5A0C1F1F1E3}"/>
    <cellStyle name="_x0005__x0010__x0010_ 4 2 2" xfId="3227" xr:uid="{BFA7A687-4EAF-4021-BED0-2A9ACC63168D}"/>
    <cellStyle name="_x0005__x0010__x0010_ 4 3" xfId="2900" xr:uid="{50D6C902-9D6F-4453-A043-EEAC98A882EE}"/>
    <cellStyle name="_x0005__x0010__x0010_ 5" xfId="2282" xr:uid="{340D21EA-5020-4C85-8E4E-1E49295C3431}"/>
    <cellStyle name="_x0005__x0010__x0010_ 5 2" xfId="2939" xr:uid="{524E3273-4946-4B38-ABDA-EB171C310D8C}"/>
    <cellStyle name="_x0005__x0010__x0010_ 6" xfId="2609" xr:uid="{593BC2E3-F3B5-47B3-9A93-1B2F29FB5A4E}"/>
    <cellStyle name="_x000d_$" xfId="88" xr:uid="{3FA0C2E0-58C6-494F-B849-F045AF1C5E2D}"/>
    <cellStyle name="_x000d_;&amp;?;" xfId="89" xr:uid="{19AD15F7-AD35-422A-B5A5-DA78F82F0AF4}"/>
    <cellStyle name="_x000d_蛜Ǿ[0" xfId="90" xr:uid="{10823E4E-427D-4F9B-A6F0-A8A6045180AF}"/>
    <cellStyle name="_x000d_蛜Ǿ[0 2" xfId="2139" xr:uid="{5B5C5515-4CA5-4AC7-83F5-A0DAFFAB7911}"/>
    <cellStyle name="_x000d_蛜Ǿ[0 2 2" xfId="2476" xr:uid="{EBAFB7A1-729C-4B48-BAB8-A3C09365A8F8}"/>
    <cellStyle name="_x000d_蛜Ǿ[0 2 2 2" xfId="3133" xr:uid="{506FE72D-0357-4351-9CAD-78078CAF15B7}"/>
    <cellStyle name="_x000d_蛜Ǿ[0 2 3" xfId="2806" xr:uid="{A66D6DD4-1F1D-46A3-B925-9788F0DEB779}"/>
    <cellStyle name="_x000d_蛜Ǿ[0 3" xfId="2283" xr:uid="{D7F74198-B6EC-4ABD-BA62-0B6F6B619B5E}"/>
    <cellStyle name="_x000d_蛜Ǿ[0 3 2" xfId="2940" xr:uid="{AF9DE726-0599-4AFA-97C0-0981E580CDD6}"/>
    <cellStyle name="_x000d_蛜Ǿ[0 4" xfId="2610" xr:uid="{445C3CA9-F898-40F4-B9A8-99F717C63B7B}"/>
    <cellStyle name="#.0" xfId="91" xr:uid="{BE90840E-995D-48FC-993B-90EF7873781F}"/>
    <cellStyle name=".0" xfId="92" xr:uid="{A6F351D7-7A16-4BC4-8623-C288CCB12926}"/>
    <cellStyle name="??&amp;O?&amp;H?_x0008__x000f__x0007_?_x0007__x0001__x0001_" xfId="93" xr:uid="{85BCC60E-7285-4C77-B203-2127205D6D69}"/>
    <cellStyle name="??&amp;O?&amp;H?_x0008_??_x0007__x0001__x0001_" xfId="94" xr:uid="{38423D04-7D6A-487B-89BE-3FFDD00EFE9D}"/>
    <cellStyle name="_B4 Vendor List-20090901CY" xfId="95" xr:uid="{FC2E3312-97B5-46C4-AC80-8FDD580683E5}"/>
    <cellStyle name="_Bidding_WH_status_check_090615" xfId="96" xr:uid="{A492CA83-D4DB-46AA-BA3F-16A34684ED1D}"/>
    <cellStyle name="_BOE B3 Rework system utility(090706)" xfId="97" xr:uid="{63051729-814B-4392-BE9C-D4B2FA47BA7C}"/>
    <cellStyle name="_Book2" xfId="98" xr:uid="{78383A13-734D-4548-934E-22204A24F48F}"/>
    <cellStyle name="_EMD외자재수급(4,5,6월)" xfId="99" xr:uid="{7CE15E67-408C-49A5-AEDF-6C961E9627E1}"/>
    <cellStyle name="_KCT C_F U_T(05.03.14)" xfId="100" xr:uid="{45E915EE-2154-4DB1-912E-912C3A07B05E}"/>
    <cellStyle name="|: 获取数据 ..." xfId="101" xr:uid="{9117BA29-BD6C-456C-87A3-8E56CA69E665}"/>
    <cellStyle name="¤@?e_TEST-1 " xfId="102" xr:uid="{69054852-881E-4FC7-B688-A87CADCE5A56}"/>
    <cellStyle name="æØè [0.00]_PRODUCT DETAIL Q1" xfId="103" xr:uid="{E9AA956C-3CC3-4D6E-90C1-8FCDD7CC5E7E}"/>
    <cellStyle name="æØè_PRODUCT DETAIL Q1" xfId="104" xr:uid="{6C10A9BC-500A-43F1-94AD-BA84FD634AB5}"/>
    <cellStyle name="ÊÝ [0.00]_PRODUCT DETAIL Q1" xfId="105" xr:uid="{E5E1BC23-A825-4FD3-99C6-CA975F6B2EEE}"/>
    <cellStyle name="ÊÝ_PRODUCT DETAIL Q1" xfId="106" xr:uid="{EF507C88-C60A-43CA-92CC-EBE9948643CB}"/>
    <cellStyle name="W?_BOOKSHIP_¨öCAuCoE©÷ " xfId="107" xr:uid="{8A96D91A-5FA8-4F10-B487-8C9896D4F400}"/>
    <cellStyle name="W_BOOKSHIP" xfId="108" xr:uid="{76C07B30-1C58-41B6-A49F-9A131B87DF8A}"/>
    <cellStyle name="0,0_x000d__x000a_NA_x000d__x000a_" xfId="109" xr:uid="{2F03E6D0-3478-4180-9943-48E3545FF403}"/>
    <cellStyle name="0.0" xfId="110" xr:uid="{220C3DCB-4C55-458A-874B-F560D00CAE98}"/>
    <cellStyle name="0뾍R_x0005_?뾍b_x0005_" xfId="111" xr:uid="{49F449C5-15AF-4C77-93A0-19B0FF656491}"/>
    <cellStyle name="¼AU≫?XLS!check_filesche|_x0005_" xfId="112" xr:uid="{E4491CBE-0208-4ABD-BE9F-37BF44CDC6BE}"/>
    <cellStyle name="1" xfId="113" xr:uid="{D4F766BC-1131-4AC0-A2A4-6645A6373E1E}"/>
    <cellStyle name="1_1127PHM (2)" xfId="114" xr:uid="{32E9DB4B-5037-4CA2-990D-A6476B69D659}"/>
    <cellStyle name="1_1127PHM (4)" xfId="115" xr:uid="{7E9E0461-5A71-4412-AF1E-3D739D700340}"/>
    <cellStyle name="1_2000PN지침" xfId="116" xr:uid="{0ABC27DC-EEC6-4AB5-8126-90E153F0C5EF}"/>
    <cellStyle name="1_918PHM (2)" xfId="117" xr:uid="{819BE6DB-1C97-44CB-AB74-D7C4D1E7D828}"/>
    <cellStyle name="1_97년PI333종합" xfId="118" xr:uid="{DA2282DF-4B05-4AD0-B29E-82D2F423CD3C}"/>
    <cellStyle name="1_CRD판매 (2)" xfId="119" xr:uid="{46AB7753-9B91-46AD-94A2-38998D13D45B}"/>
    <cellStyle name="1_MC&amp;다변화" xfId="120" xr:uid="{21BE84D1-2901-4A4C-89B7-18CC863E62A7}"/>
    <cellStyle name="100" xfId="121" xr:uid="{ADD5F29C-7343-4B0B-BF55-447CC4C91673}"/>
    <cellStyle name="100 2" xfId="122" xr:uid="{C414E234-49E7-450F-9EB0-12FC112BEBBA}"/>
    <cellStyle name="100 2 2" xfId="123" xr:uid="{06028E3F-2E3C-480F-97C2-534F4A8CCF99}"/>
    <cellStyle name="20% - Accent1" xfId="124" xr:uid="{173095B0-4FC5-4486-81C7-2AE552962932}"/>
    <cellStyle name="20% - Accent2" xfId="125" xr:uid="{C47518A6-0431-497B-A33A-EE57F0195EEE}"/>
    <cellStyle name="20% - Accent3" xfId="126" xr:uid="{56A076B6-20EB-449B-8A06-58C5E505CC73}"/>
    <cellStyle name="20% - Accent4" xfId="127" xr:uid="{FEBF5286-9EA7-4B8A-B39F-3818D4BB947B}"/>
    <cellStyle name="20% - Accent5" xfId="128" xr:uid="{DC822D87-966D-4937-B7A4-30D69ABA0D51}"/>
    <cellStyle name="20% - Accent6" xfId="129" xr:uid="{AD09903A-E9C3-47C3-8FF0-6A7E0C2240D9}"/>
    <cellStyle name="20% - アクセント 1" xfId="130" xr:uid="{36C572F5-2659-44CA-AE0E-E34B8862E9DC}"/>
    <cellStyle name="20% - アクセント 1 2" xfId="131" xr:uid="{D1095907-A94C-44C0-AD55-972750169794}"/>
    <cellStyle name="20% - アクセント 2" xfId="132" xr:uid="{00A12D3F-6106-4812-8668-C16295127353}"/>
    <cellStyle name="20% - アクセント 2 2" xfId="133" xr:uid="{C9A2EE1C-4727-4F9A-B7BF-31BA35AD3129}"/>
    <cellStyle name="20% - アクセント 3" xfId="134" xr:uid="{2D922868-C07E-4A98-A362-60F1C918446E}"/>
    <cellStyle name="20% - アクセント 3 2" xfId="135" xr:uid="{6F43AE04-AFDD-49B8-A293-59C93B612477}"/>
    <cellStyle name="20% - アクセント 4" xfId="136" xr:uid="{4B571682-1BA6-4291-AAF1-EB6AF38F15B8}"/>
    <cellStyle name="20% - アクセント 4 2" xfId="137" xr:uid="{C1849F4B-1674-4447-B9E8-F9E1D71AE26B}"/>
    <cellStyle name="20% - アクセント 5" xfId="138" xr:uid="{D6F7D6C5-3024-4F9E-96E4-80DF775AD449}"/>
    <cellStyle name="20% - アクセント 5 2" xfId="139" xr:uid="{61B98FED-C851-49A8-BE28-3FF67A495D4F}"/>
    <cellStyle name="20% - アクセント 6" xfId="140" xr:uid="{50F83569-2D55-41A1-863B-56B583B3AD9F}"/>
    <cellStyle name="20% - アクセント 6 2" xfId="141" xr:uid="{93FC7CA7-9811-4261-BCCF-42698C39A5D8}"/>
    <cellStyle name="20% - 强调文字颜色 1" xfId="142" xr:uid="{391575E2-AF66-429F-99EE-37B957262DFD}"/>
    <cellStyle name="20% - 强调文字颜色 1 2" xfId="143" xr:uid="{299E8AF7-76EF-4D83-A1DD-D67959E7D515}"/>
    <cellStyle name="20% - 强调文字颜色 2" xfId="144" xr:uid="{FF86DABE-E841-46D4-8088-6A8595001F31}"/>
    <cellStyle name="20% - 强调文字颜色 2 2" xfId="145" xr:uid="{1CFD75FD-4ABF-4662-8531-F30A70DF0A85}"/>
    <cellStyle name="20% - 强调文字颜色 3" xfId="146" xr:uid="{AEF3A63A-F761-4AB7-9D0D-50D84A7A1A96}"/>
    <cellStyle name="20% - 强调文字颜色 3 2" xfId="147" xr:uid="{A18342D3-BAD6-4098-99F8-E06E0A22553C}"/>
    <cellStyle name="20% - 强调文字颜色 4" xfId="148" xr:uid="{D99DBFA2-4880-4839-B9ED-359F19611EAC}"/>
    <cellStyle name="20% - 强调文字颜色 4 2" xfId="149" xr:uid="{038A22EE-1EA4-4A4E-896A-B61B714F38AD}"/>
    <cellStyle name="20% - 强调文字颜色 5" xfId="150" xr:uid="{E649589E-4D4D-47E9-8CA1-7F6D2BD332A4}"/>
    <cellStyle name="20% - 强调文字颜色 5 2" xfId="151" xr:uid="{DEAFD8A7-3953-4421-8D56-2B3F79715973}"/>
    <cellStyle name="20% - 强调文字颜色 6" xfId="152" xr:uid="{79551481-1BA3-4200-99FC-9CE2995652A7}"/>
    <cellStyle name="20% - 强调文字颜色 6 2" xfId="153" xr:uid="{97709E4A-A1AD-4EC7-BF16-6A4DEC7B7AD3}"/>
    <cellStyle name="40% - Accent1" xfId="154" xr:uid="{E7C5636E-EEEE-4DB7-AACA-01C515B40F16}"/>
    <cellStyle name="40% - Accent2" xfId="155" xr:uid="{38E64548-0D3D-4206-A832-D5A4C88F7B6D}"/>
    <cellStyle name="40% - Accent3" xfId="156" xr:uid="{9CA9FF86-C914-45A1-89F0-D60D6E6D26B9}"/>
    <cellStyle name="40% - Accent4" xfId="157" xr:uid="{255FA680-5F33-4921-83E7-14EA3EE9A711}"/>
    <cellStyle name="40% - Accent5" xfId="158" xr:uid="{920CF5C2-FC61-467F-8E8C-1660A52D1323}"/>
    <cellStyle name="40% - Accent6" xfId="159" xr:uid="{BABD7910-CB3E-4E8B-B1CD-B1724ACBA395}"/>
    <cellStyle name="40% - アクセント 1" xfId="160" xr:uid="{E06EAF93-B85C-4EFB-816E-999B50CA712E}"/>
    <cellStyle name="40% - アクセント 1 2" xfId="161" xr:uid="{BEFED490-B59A-4245-9C34-BBFC7B46012C}"/>
    <cellStyle name="40% - アクセント 2" xfId="162" xr:uid="{468F15C6-E7E0-4E83-B989-F6832254DDA4}"/>
    <cellStyle name="40% - アクセント 2 2" xfId="163" xr:uid="{6A8B1EB5-0C28-4795-99AA-2D9ACA170A4F}"/>
    <cellStyle name="40% - アクセント 3" xfId="164" xr:uid="{948785BE-CF90-4F34-B756-3EFB54EBDDB1}"/>
    <cellStyle name="40% - アクセント 3 2" xfId="165" xr:uid="{CED61133-E5F2-4520-9676-889DBE7DB543}"/>
    <cellStyle name="40% - アクセント 4" xfId="166" xr:uid="{87A11E4E-6B3F-40DC-8506-383563B7BEFA}"/>
    <cellStyle name="40% - アクセント 4 2" xfId="167" xr:uid="{BDD6DB8A-C3CF-4E7B-AC09-B0779F7682E5}"/>
    <cellStyle name="40% - アクセント 5" xfId="168" xr:uid="{079C322F-6C2C-4F69-AF1D-1AC57A89C13B}"/>
    <cellStyle name="40% - アクセント 5 2" xfId="169" xr:uid="{F30B008E-3B2D-4A83-9459-FD52BCBCA900}"/>
    <cellStyle name="40% - アクセント 6" xfId="170" xr:uid="{730107A0-507E-4CF5-B8CD-557179480D4B}"/>
    <cellStyle name="40% - アクセント 6 2" xfId="171" xr:uid="{CD9F6E6F-4655-40E5-9EB3-DC7A6BAD8287}"/>
    <cellStyle name="40% - 强调文字颜色 1" xfId="172" xr:uid="{D5F88A19-F7A6-4D8D-8269-849E1FBD0FEC}"/>
    <cellStyle name="40% - 强调文字颜色 1 2" xfId="173" xr:uid="{F747B814-7FA1-4200-833F-5E1978BA8C53}"/>
    <cellStyle name="40% - 强调文字颜色 2" xfId="174" xr:uid="{E24FF768-C0E3-430C-ADED-865FBC8F2629}"/>
    <cellStyle name="40% - 强调文字颜色 2 2" xfId="175" xr:uid="{854A7E4D-FD65-43A7-AEF2-358BD0D046DF}"/>
    <cellStyle name="40% - 强调文字颜色 3" xfId="176" xr:uid="{AA0DC4CB-26E1-433A-93F9-94F24F2AAAC6}"/>
    <cellStyle name="40% - 强调文字颜色 3 2" xfId="177" xr:uid="{63E95ABC-06EF-4155-AC50-9DA564AB7FF3}"/>
    <cellStyle name="40% - 强调文字颜色 4" xfId="178" xr:uid="{2C8F66FD-FB0C-4B20-9B2F-4F2336496FBD}"/>
    <cellStyle name="40% - 强调文字颜色 4 2" xfId="179" xr:uid="{083266C4-99A6-4E79-8487-7BD9C27170EF}"/>
    <cellStyle name="40% - 强调文字颜色 5" xfId="180" xr:uid="{DA82DE5E-2215-47E8-B474-A5F6513FC5C0}"/>
    <cellStyle name="40% - 强调文字颜色 5 2" xfId="181" xr:uid="{CE6C6798-7590-489F-8719-17E8A5CEBC95}"/>
    <cellStyle name="40% - 强调文字颜色 6" xfId="182" xr:uid="{CCCA1B81-3596-4D96-B28C-9BAFE9101C75}"/>
    <cellStyle name="40% - 强调文字颜色 6 2" xfId="183" xr:uid="{BE97584F-F2BD-4620-99A3-4E3062B9F9D6}"/>
    <cellStyle name="60% - Accent1" xfId="184" xr:uid="{F1ACDA23-7760-419F-8AEA-ABFCA2D5FDE0}"/>
    <cellStyle name="60% - Accent2" xfId="185" xr:uid="{1F1B8285-C71B-47F1-9421-8A550F278CF1}"/>
    <cellStyle name="60% - Accent3" xfId="186" xr:uid="{8267A70C-7D9C-483E-91B0-C0792875D1C4}"/>
    <cellStyle name="60% - Accent4" xfId="187" xr:uid="{36E039E2-DD70-4FF2-A899-BF488BC30DDA}"/>
    <cellStyle name="60% - Accent5" xfId="188" xr:uid="{EC48963F-F40E-4A4A-8B46-1DF5BBD0772C}"/>
    <cellStyle name="60% - Accent6" xfId="189" xr:uid="{D4696D15-65F4-4F72-9E0E-B01E3ABB35BF}"/>
    <cellStyle name="60% - アクセント 1" xfId="190" xr:uid="{04CF72DE-B501-40DB-A7CF-2675FB5550DA}"/>
    <cellStyle name="60% - アクセント 2" xfId="191" xr:uid="{0DF09BD0-C89A-40C2-A70A-D62834326DC3}"/>
    <cellStyle name="60% - アクセント 3" xfId="192" xr:uid="{A7EE1544-38DA-4592-81FE-23ADE2505917}"/>
    <cellStyle name="60% - アクセント 4" xfId="193" xr:uid="{4A8CE19A-D11F-4483-BBAA-63D8F3855889}"/>
    <cellStyle name="60% - アクセント 5" xfId="194" xr:uid="{0A90460D-0401-40CC-834A-5A59039C176F}"/>
    <cellStyle name="60% - アクセント 6" xfId="195" xr:uid="{EC6465EF-304D-440B-A4B2-6645F031A994}"/>
    <cellStyle name="60% - 强调文字颜色 1" xfId="196" xr:uid="{9B104BB6-3384-4C59-B273-4B55424D7149}"/>
    <cellStyle name="60% - 强调文字颜色 2" xfId="197" xr:uid="{E50E99FC-2B6B-447E-974A-0E40D5B7491F}"/>
    <cellStyle name="60% - 强调文字颜色 3" xfId="198" xr:uid="{F78A1F4C-E815-4CDD-8E15-AF79BF33F1E8}"/>
    <cellStyle name="60% - 强调文字颜色 4" xfId="199" xr:uid="{39149088-F090-43E3-8DB4-CE38F69EB7BE}"/>
    <cellStyle name="60% - 强调文字颜色 5" xfId="200" xr:uid="{0FB61332-119C-4BBF-88D8-5C170E497338}"/>
    <cellStyle name="60% - 强调文字颜色 6" xfId="201" xr:uid="{A04D7E11-EC0C-4540-A2AE-71B482973117}"/>
    <cellStyle name="a_Q2 FY96" xfId="202" xr:uid="{88FE4489-FA32-4DC9-952E-221AFFE2035A}"/>
    <cellStyle name="A¡§¡ⓒ¡E¡þ¡EO [0]_¡§oCAuCoE¨I¡A " xfId="203" xr:uid="{64C779CB-B80A-4815-9872-1D9842E986EB}"/>
    <cellStyle name="A¡§¡ⓒ¡E¡þ¡EO_¡§oCAuCoE¨I¡A " xfId="204" xr:uid="{93757326-2D67-486D-9CF6-9C0FB4023597}"/>
    <cellStyle name="A¨­¢¬¢Ò [0]_¡Æ¨ÏAo" xfId="205" xr:uid="{584636EA-16B1-49A8-A410-B20C1B7AA358}"/>
    <cellStyle name="A¨­￠￢￠O [0]_¨oCAuCoEⓒ÷ " xfId="206" xr:uid="{A45402D3-32FA-4E1C-BC39-B70C845E540A}"/>
    <cellStyle name="A¨­¢¬¢Ò [0]_INQUIRY ¢¯¥ì¨ú¡ÀA©¬A©ª " xfId="207" xr:uid="{C028373C-8A55-4913-A2CE-9E0147165153}"/>
    <cellStyle name="A¨­¢¬¢Ò_¡Æ¨ÏAo" xfId="208" xr:uid="{433FBAA1-2402-42A4-900E-CB8C0A0D7252}"/>
    <cellStyle name="A¨­￠￢￠O_¨oCAuCoEⓒ÷ " xfId="209" xr:uid="{12005D4D-E5DE-4A52-B0E6-62A52C8DD233}"/>
    <cellStyle name="A¨­¢¬¢Ò_INQUIRY ¢¯¥ì¨ú¡ÀA©¬A©ª " xfId="210" xr:uid="{7F3757AE-D372-420A-8F93-EF757B44BD92}"/>
    <cellStyle name="Accent1" xfId="211" xr:uid="{3F025FAD-626C-441F-8351-634D17EF4A4A}"/>
    <cellStyle name="Accent2" xfId="212" xr:uid="{27BD69D2-999C-4364-A3FA-DC84028D10E3}"/>
    <cellStyle name="Accent3" xfId="213" xr:uid="{0009D391-619F-4A72-BBD1-87E090651AC1}"/>
    <cellStyle name="Accent4" xfId="214" xr:uid="{D729BFC7-D64F-4FD4-8199-D40D463D5FAD}"/>
    <cellStyle name="Accent5" xfId="215" xr:uid="{680EB6E9-B4C7-4427-A859-32D9E45092FE}"/>
    <cellStyle name="Accent6" xfId="216" xr:uid="{F1CC5628-6036-4005-9B7C-9494E6D1B1CE}"/>
    <cellStyle name="Actual Date" xfId="217" xr:uid="{8691F420-C001-4DC4-A753-F9E26A5B5ABF}"/>
    <cellStyle name="ÅëÈ­ [0]_ ´ë    Çü " xfId="218" xr:uid="{D1B21FD9-9131-47A2-A91B-A3EE9646F1CB}"/>
    <cellStyle name="AeE­ [0]_ ¸n A÷_V100 ºI¹I,³≫¼o 2.2 PILOT " xfId="219" xr:uid="{9444BD27-2A76-4A75-98E6-8B7EAD8C071A}"/>
    <cellStyle name="ÅëÈ­ [0]_¡Ú¾ÈÜ¬ Á¾ÇÕºñ±³ " xfId="220" xr:uid="{C5505429-1311-42AE-812E-BD33F498E2FD}"/>
    <cellStyle name="AeE­ [0]_¸AAa" xfId="221" xr:uid="{B7ACAD79-5DCB-4D6A-B02D-0570BF5845C4}"/>
    <cellStyle name="ÅëÈ­ [0]_¼­½ÄÃ¼01_ÅõÀÔ°èÈ¹ " xfId="222" xr:uid="{68F68797-8D78-492B-920A-8685D6FEAF12}"/>
    <cellStyle name="AeE­ [0]_¼­½AAI¶÷_AoAO°eE¹ " xfId="223" xr:uid="{6E38ECD9-4DE3-4A75-851F-D1E5735C82DA}"/>
    <cellStyle name="ÅëÈ­ [0]_¼­½ÄÀÏ¶÷_ÅõÀÔ°èÈ¹ " xfId="224" xr:uid="{5D469F4C-6794-4802-A829-8661FDA019E4}"/>
    <cellStyle name="AeE­ [0]_1.ÆC¸A½CAu " xfId="225" xr:uid="{300E7C49-6130-41D0-9598-C65E68689059}"/>
    <cellStyle name="ÅëÈ­ [0]_1.ÆÇ¸Å½ÇÀû " xfId="226" xr:uid="{FFBB8B7A-49A8-41F2-B62E-F22515421AC4}"/>
    <cellStyle name="AeE­ [0]_1.SUMMARY " xfId="227" xr:uid="{A1D591D7-3D73-4E79-889D-4632A91E1892}"/>
    <cellStyle name="ÅëÈ­ [0]_1.SUMMARY " xfId="228" xr:uid="{2D79FE39-6643-4C5E-B21A-5BC98FF176E9}"/>
    <cellStyle name="AeE­ [0]_2.CONCEPT " xfId="229" xr:uid="{6A1B3048-5A35-425C-9BCA-26427CC637CC}"/>
    <cellStyle name="ÅëÈ­ [0]_2.CONCEPT " xfId="230" xr:uid="{535720BC-0B25-4726-82D5-FECDC4A1BC9F}"/>
    <cellStyle name="AeE­ [0]_3.MSCHEDULE¿μ¹R " xfId="231" xr:uid="{0477FCC3-D64B-49AA-8376-46AEADD2D9CB}"/>
    <cellStyle name="ÅëÈ­ [0]_3PJTR°èÈ¹ " xfId="232" xr:uid="{EFB8D7D5-3301-48DF-8930-10E03686C47C}"/>
    <cellStyle name="AeE­ [0]_4 " xfId="233" xr:uid="{859187C3-8DE5-47D6-BD97-BD30173DB6E1}"/>
    <cellStyle name="ÅëÈ­ [0]_4 " xfId="234" xr:uid="{CD21AF8F-9A86-464A-8045-C9BC84626239}"/>
    <cellStyle name="AeE­ [0]_6-3°æAi·A " xfId="235" xr:uid="{8F697F75-8734-4F17-BE11-181400D66A15}"/>
    <cellStyle name="ÅëÈ­ [0]_6-3°æÀï·Â " xfId="236" xr:uid="{681E8E24-4BB9-424E-8516-B27E1C27B999}"/>
    <cellStyle name="AeE­ [0]_7.MASTER SCHEDULE " xfId="237" xr:uid="{EABA51FE-8C2C-4BF4-8824-A5A1D0C1D9DE}"/>
    <cellStyle name="ÅëÈ­ [0]_7.MASTER SCHEDULE " xfId="238" xr:uid="{6ADEADDF-E176-4360-B404-ABD08FABA7AE}"/>
    <cellStyle name="AeE­ [0]_AI¿ø°eE¹ " xfId="239" xr:uid="{5C1F54D1-D99F-4C09-9E71-54027DFD8C5A}"/>
    <cellStyle name="ÅëÈ­ [0]_ÀÎ¿ø°èÈ¹ " xfId="240" xr:uid="{2998E8A2-B7D3-4028-B457-CE60BE22BBAB}"/>
    <cellStyle name="AeE­ [0]_AOA¾AIA¤ " xfId="241" xr:uid="{09FFBFC9-4C19-4350-B467-FB4E2B6EEEA2}"/>
    <cellStyle name="ÅëÈ­ [0]_ÃÖÁ¾ÀÏÁ¤ " xfId="242" xr:uid="{576A78D0-9A98-479F-AA6E-E5795713F879}"/>
    <cellStyle name="AeE­ [0]_INQUIRY ¿μ¾÷AßAø " xfId="243" xr:uid="{CFC5902B-7C51-420F-9E8B-1B663ACDB4B7}"/>
    <cellStyle name="ÅëÈ­ [0]_MKN-M1.1 " xfId="244" xr:uid="{A58F5F62-9542-4230-81AE-4420ACF54C52}"/>
    <cellStyle name="AeE­ [0]_ºÐ·u±a01_AoAO°eE¹ " xfId="245" xr:uid="{41748362-F9C8-4474-8F1B-B64C31591950}"/>
    <cellStyle name="ÅëÈ­ [0]_ºÐ·ù±â01_ÅõÀÔ°èÈ¹ " xfId="246" xr:uid="{225559A4-CAE9-4F5B-BB81-A1F3300D686A}"/>
    <cellStyle name="AeE­ [0]_ºÐ·u±a02_AoAO°eE¹ " xfId="247" xr:uid="{9F28FB84-F819-409D-8A0B-740C353A7EEC}"/>
    <cellStyle name="ÅëÈ­ [0]_ºÐ·ù±â02_ÅõÀÔ°èÈ¹ " xfId="248" xr:uid="{9CBA4BD3-F167-462B-8251-1A3D1E8997AB}"/>
    <cellStyle name="AeE­ [0]_ºÐ·u±a03_AoAO°eE¹ " xfId="249" xr:uid="{35815C59-90F8-42C0-A0BB-D1689DD5AD8C}"/>
    <cellStyle name="ÅëÈ­ [0]_ºÐ·ù±â03_ÅõÀÔ°èÈ¹ " xfId="250" xr:uid="{7AFC9CA5-BEDF-4711-8923-60695A089847}"/>
    <cellStyle name="AeE­ [0]_ºÐ·u±aAØ_AoAO°eE¹ " xfId="251" xr:uid="{19403594-4F64-469E-A83A-091D4B7FA4B5}"/>
    <cellStyle name="ÅëÈ­ [0]_ºÐ·ù±âÁØ_ÅõÀÔ°èÈ¹ " xfId="252" xr:uid="{EAF2459B-4E44-47B8-81CA-ADB38B7D7508}"/>
    <cellStyle name="AeE­ [0]_ºÐ·u±aE￡_AoAO°eE¹ " xfId="253" xr:uid="{A513046D-C771-47F9-992C-CA90C6EE90FF}"/>
    <cellStyle name="ÅëÈ­ [0]_ºÐ·ù±âÈ£_ÅõÀÔ°èÈ¹ " xfId="254" xr:uid="{ABE4583F-C74B-4A1A-A86A-DA0B86DF60D7}"/>
    <cellStyle name="AeE­ [0]_SAMPLE " xfId="255" xr:uid="{F3A1A692-36F5-4CA0-94CB-7D354994C912}"/>
    <cellStyle name="ÅëÈ­ [0]_SAMPLE " xfId="256" xr:uid="{9F6503FC-2326-4C0D-9867-4007431C9062}"/>
    <cellStyle name="AeE­ [0]_Sheet1 (2)_1.SUMMARY " xfId="257" xr:uid="{E601CA16-C7FF-475E-823D-9E36250250A5}"/>
    <cellStyle name="ÅëÈ­ [0]_Sheet1 (2)_1.SUMMARY " xfId="258" xr:uid="{A4777658-4DF0-4F9A-BBBB-CC12C03B2EE2}"/>
    <cellStyle name="AeE­ [0]_Sheet1_XD AOA¾AIA¤ " xfId="259" xr:uid="{831E62F7-5990-4774-BA06-CAAECA918A26}"/>
    <cellStyle name="ÅëÈ­ [0]_Sheet1_XD ÃÖÁ¾ÀÏÁ¤ " xfId="260" xr:uid="{ABFA6930-D2CB-4224-B742-222102C51691}"/>
    <cellStyle name="AeE­ [0]_SMG-CKD-d1.1 " xfId="261" xr:uid="{C45F62BE-DACD-4AD4-9C13-4786F491FA76}"/>
    <cellStyle name="ÅëÈ­ [0]_SMG-CKD-d1.1 " xfId="262" xr:uid="{4F1BF238-91EE-4AF0-B9DF-7E1CABC5A73D}"/>
    <cellStyle name="ÅëÈ­_ ´ë    Çü " xfId="263" xr:uid="{0ADE7694-0288-4029-9370-4430D1E670A6}"/>
    <cellStyle name="AeE­_ ¸n A÷_V100 ºI¹I,³≫¼o 2.2 PILOT " xfId="264" xr:uid="{842A45D7-0085-45C5-B403-2D0228D63F1F}"/>
    <cellStyle name="ÅëÈ­_¡Ú¾ÈÜ¬ Á¾ÇÕºñ±³ " xfId="265" xr:uid="{A7819899-04BF-468A-BB13-D067675D11F0}"/>
    <cellStyle name="AeE­_¸AAa" xfId="266" xr:uid="{8E48E5FF-61D9-41D7-B798-A54A1A7CE23B}"/>
    <cellStyle name="ÅëÈ­_¼­½ÄÃ¼01_ÅõÀÔ°èÈ¹ " xfId="267" xr:uid="{B46C6BAD-8F36-4A39-A34F-B9E062420745}"/>
    <cellStyle name="AeE­_¼­½AAI¶÷_AoAO°eE¹ " xfId="268" xr:uid="{972712A9-5626-4DE8-802B-13B46B25EE65}"/>
    <cellStyle name="ÅëÈ­_¼­½ÄÀÏ¶÷_ÅõÀÔ°èÈ¹ " xfId="269" xr:uid="{CAC85E05-5C51-4003-9C93-E405000D807C}"/>
    <cellStyle name="AeE­_1.ÆC¸A½CAu " xfId="270" xr:uid="{104FCC00-7A81-4C5A-94FF-9D91FC7C1B1D}"/>
    <cellStyle name="ÅëÈ­_1.ÆÇ¸Å½ÇÀû " xfId="271" xr:uid="{91028991-8040-4F72-9AB3-6E48CC2B31A8}"/>
    <cellStyle name="AeE­_1.SUMMARY " xfId="272" xr:uid="{849673FA-3D28-4DEC-8782-CE2BF113A4C4}"/>
    <cellStyle name="ÅëÈ­_1.SUMMARY " xfId="273" xr:uid="{4ADADA2B-A329-406E-9308-569668BD71A4}"/>
    <cellStyle name="AeE­_2.CONCEPT " xfId="274" xr:uid="{4AAEB33D-0A9C-4883-9C2F-89F78B69023F}"/>
    <cellStyle name="ÅëÈ­_2.CONCEPT " xfId="275" xr:uid="{419EA2D5-9A01-404C-A54B-CA46D45A9D30}"/>
    <cellStyle name="AeE­_3.MSCHEDULE¿μ¹R " xfId="276" xr:uid="{201E4E7F-7DB8-4B16-9339-40FE7059CF14}"/>
    <cellStyle name="ÅëÈ­_3PJTR°èÈ¹ " xfId="277" xr:uid="{A6E28E18-2DA8-4F92-A450-DBCE1D2E5C22}"/>
    <cellStyle name="AeE­_4 " xfId="278" xr:uid="{5F3B5002-F5A6-454E-B51E-D3236DE570A3}"/>
    <cellStyle name="ÅëÈ­_4 " xfId="279" xr:uid="{AA6E6F97-4C0F-4BA7-9A0C-B4E3EF50F300}"/>
    <cellStyle name="AeE­_6-3°æAi·A " xfId="280" xr:uid="{BA751A83-9F6A-468D-818E-6329804C1103}"/>
    <cellStyle name="ÅëÈ­_6-3°æÀï·Â " xfId="281" xr:uid="{410CC708-3717-4BB8-890E-849A18AB92FE}"/>
    <cellStyle name="AeE­_7.MASTER SCHEDULE " xfId="282" xr:uid="{03ED1737-2397-4292-8989-1102265AE3E0}"/>
    <cellStyle name="ÅëÈ­_7.MASTER SCHEDULE " xfId="283" xr:uid="{7E1C9E47-8EB3-47ED-B0FE-925A977592AA}"/>
    <cellStyle name="AeE­_AI¿ø°eE¹ " xfId="284" xr:uid="{00231CD2-8436-4645-98C2-42221866ED5D}"/>
    <cellStyle name="ÅëÈ­_ÀÎ¿ø°èÈ¹ " xfId="285" xr:uid="{6563CB98-7EC4-42C9-B671-F03E9AF87E8D}"/>
    <cellStyle name="AeE­_AOA¾AIA¤ " xfId="286" xr:uid="{0BDF14E1-FE21-480C-9F95-399411117B5B}"/>
    <cellStyle name="ÅëÈ­_ÃÖÁ¾ÀÏÁ¤ " xfId="287" xr:uid="{E652A038-2259-410B-98AA-99C9E2A63BA8}"/>
    <cellStyle name="AeE­_INQUIRY ¿μ¾÷AßAø " xfId="288" xr:uid="{74662C39-4324-4B9B-82D5-2CAE9FFF9940}"/>
    <cellStyle name="ÅëÈ­_MKN-M1.1 " xfId="289" xr:uid="{A30D8A05-C721-41FA-A043-5AC5AE3D52FE}"/>
    <cellStyle name="AeE­_ºÐ·u±a01_AoAO°eE¹ " xfId="290" xr:uid="{2D0E38F6-90D4-4753-BAB1-8765B28C44A8}"/>
    <cellStyle name="ÅëÈ­_ºÐ·ù±â01_ÅõÀÔ°èÈ¹ " xfId="291" xr:uid="{3C2996E0-71DB-48DD-8558-BA9EBFD51E17}"/>
    <cellStyle name="AeE­_ºÐ·u±a02_AoAO°eE¹ " xfId="292" xr:uid="{F78FF598-836B-442E-827D-AD9949439FE2}"/>
    <cellStyle name="ÅëÈ­_ºÐ·ù±â02_ÅõÀÔ°èÈ¹ " xfId="293" xr:uid="{16B5C578-0B86-4ABE-B240-37851C340BD5}"/>
    <cellStyle name="AeE­_ºÐ·u±a03_AoAO°eE¹ " xfId="294" xr:uid="{E718AFA4-6496-4F68-979B-0FAC861CE6A7}"/>
    <cellStyle name="ÅëÈ­_ºÐ·ù±â03_ÅõÀÔ°èÈ¹ " xfId="295" xr:uid="{4C0D4FB5-E347-46C2-97E1-B66E2DA5B0A1}"/>
    <cellStyle name="AeE­_ºÐ·u±aAØ_AoAO°eE¹ " xfId="296" xr:uid="{14C49C74-D626-4E21-B5E1-495390CC7FDF}"/>
    <cellStyle name="ÅëÈ­_ºÐ·ù±âÁØ_ÅõÀÔ°èÈ¹ " xfId="297" xr:uid="{EFA60A94-D0A5-4665-96D5-72DFF408EDF4}"/>
    <cellStyle name="AeE­_ºÐ·u±aE￡_AoAO°eE¹ " xfId="298" xr:uid="{66AF01A9-3AE8-442F-9E5E-AB55677D784E}"/>
    <cellStyle name="ÅëÈ­_ºÐ·ù±âÈ£_ÅõÀÔ°èÈ¹ " xfId="299" xr:uid="{928DD915-D0F9-4940-AE1F-D9358F247F77}"/>
    <cellStyle name="AeE­_SAMPLE " xfId="300" xr:uid="{5F37E502-AC08-4FD5-B494-538838B70DD0}"/>
    <cellStyle name="ÅëÈ­_SAMPLE " xfId="301" xr:uid="{45082EEB-0014-45F5-97CE-F1D92A33EF2B}"/>
    <cellStyle name="AeE­_Sheet1 (2)_1.SUMMARY " xfId="302" xr:uid="{05E708B4-FE18-47A4-9B7E-B145692F96EC}"/>
    <cellStyle name="ÅëÈ­_Sheet1 (2)_1.SUMMARY " xfId="303" xr:uid="{AF0CF85A-C8BF-4879-8ABD-689CAE99B03A}"/>
    <cellStyle name="AeE­_Sheet1_XD AOA¾AIA¤ " xfId="304" xr:uid="{5F95A41B-E152-4A47-84E5-B9AF17C602C7}"/>
    <cellStyle name="ÅëÈ­_Sheet1_XD ÃÖÁ¾ÀÏÁ¤ " xfId="305" xr:uid="{36CAFA02-C763-4B03-8C3A-B99C7E54BF53}"/>
    <cellStyle name="AeE­_SMG-CKD-d1.1 " xfId="306" xr:uid="{DD62F686-5315-4A3A-95A9-DF1FD9FB598F}"/>
    <cellStyle name="ÅëÈ­_SMG-CKD-d1.1 " xfId="307" xr:uid="{7BA86CEF-C584-4FD3-B1F7-16FD744887D0}"/>
    <cellStyle name="AeE¡© [0]_¡Æ¨ÏAo" xfId="308" xr:uid="{55E76C7F-6B73-4709-BA5D-CB721265288F}"/>
    <cellStyle name="AeE¡©_¡Æ¨ÏAo" xfId="309" xr:uid="{66F747F3-74E4-42E0-9671-3A988E17FA20}"/>
    <cellStyle name="AeE¡ⓒ [0]_¨oCAuCoEⓒ÷ " xfId="310" xr:uid="{70FD3CA9-F0E8-4FD3-9008-B7D368B6A87D}"/>
    <cellStyle name="AeE¡ⓒ_¨oCAuCoEⓒ÷ " xfId="311" xr:uid="{DE33C774-D766-4833-906C-7B052F76DA4B}"/>
    <cellStyle name="AeE￠R¨I [0]_¡§oCAuCoE¨I¡A " xfId="312" xr:uid="{BCAFF282-6AC4-4EE3-AE4E-57B1BD25A95D}"/>
    <cellStyle name="AeE￠R¨I_¡§oCAuCoE¨I¡A " xfId="313" xr:uid="{58B86243-F006-4541-B4D2-520E662DFB6C}"/>
    <cellStyle name="ÄÞ¸¶ [0]_ ´ë    Çü " xfId="314" xr:uid="{2979B832-3D2D-43E4-9C1F-31D04ADCD9C7}"/>
    <cellStyle name="AÞ¸¶ [0]_ ¸n A÷_V100 ºI¹I,³≫¼o 2.2 PILOT " xfId="315" xr:uid="{67F5A348-910B-41B0-8345-BB6B6FBA9BBA}"/>
    <cellStyle name="ÄÞ¸¶ [0]_¡Ú¾ÈÜ¬ Á¾ÇÕºñ±³ " xfId="316" xr:uid="{3B366672-88D9-4EEE-86A2-1BE4EB206A40}"/>
    <cellStyle name="AÞ¸¶ [0]_¿i¿μ¾E " xfId="317" xr:uid="{48165605-C113-4DB9-BFB9-B88537286F79}"/>
    <cellStyle name="ÄÞ¸¶ [0]_½ÇÀûÇöÈ² " xfId="318" xr:uid="{351E3A11-F672-44C5-BAC8-785767294185}"/>
    <cellStyle name="AÞ¸¶ [0]_½CAuCoE² _01하반기上" xfId="319" xr:uid="{CFFD09DB-993D-424A-895C-B4A3D5920320}"/>
    <cellStyle name="ÄÞ¸¶ [0]_1.SUMMARY " xfId="320" xr:uid="{BD5DBBB5-FE95-430A-8C05-D5F82BAB7167}"/>
    <cellStyle name="AÞ¸¶ [0]_2.CONCEPT " xfId="321" xr:uid="{5B881EF3-2EB5-477F-98AD-52DB5C5AAD8B}"/>
    <cellStyle name="ÄÞ¸¶ [0]_2.CONCEPT " xfId="322" xr:uid="{E597AE4E-9D52-4F46-B577-425394109D62}"/>
    <cellStyle name="AÞ¸¶ [0]_3.MSCHEDULE¿μ¹R " xfId="323" xr:uid="{D0798FED-835A-414B-B162-1D8B17156F5B}"/>
    <cellStyle name="ÄÞ¸¶ [0]_3PJTR°èÈ¹ " xfId="324" xr:uid="{588C2672-9FBE-4547-8707-F92438E52112}"/>
    <cellStyle name="AÞ¸¶ [0]_4 " xfId="325" xr:uid="{1D5FCC9F-AF4D-4E1B-8FFD-DF09B2A85BF5}"/>
    <cellStyle name="ÄÞ¸¶ [0]_4 " xfId="326" xr:uid="{11A176BC-DF90-4D80-A45B-540A150BAADB}"/>
    <cellStyle name="AÞ¸¶ [0]_6-3°æAi·A " xfId="327" xr:uid="{8871D438-82CD-4371-A7B8-3810DB72CA7B}"/>
    <cellStyle name="ÄÞ¸¶ [0]_6-3°æÀï·Â " xfId="328" xr:uid="{E7179D8A-CFFF-4A44-80C0-4E624697F141}"/>
    <cellStyle name="AÞ¸¶ [0]_7.MASTER SCHEDULE " xfId="329" xr:uid="{7B212762-BF90-48DC-9702-3F40136D78C6}"/>
    <cellStyle name="ÄÞ¸¶ [0]_7.MASTER SCHEDULE " xfId="330" xr:uid="{EFF3B277-B3EA-460E-9062-04D71B0C9AB0}"/>
    <cellStyle name="AÞ¸¶ [0]_AI¿ø°eE¹ " xfId="331" xr:uid="{F663F670-959F-48D6-BC32-4DF4D22E2084}"/>
    <cellStyle name="ÄÞ¸¶ [0]_ÀÎ¿ø°èÈ¹ " xfId="332" xr:uid="{AC01DBFE-A51D-4666-A3E5-69E3918C5DAC}"/>
    <cellStyle name="AÞ¸¶ [0]_AOA¾AIA¤ " xfId="333" xr:uid="{621B626D-0DE3-4374-9D8C-A79D9388E3B3}"/>
    <cellStyle name="ÄÞ¸¶ [0]_ÃÖÁ¾ÀÏÁ¤ " xfId="334" xr:uid="{23E5BBFA-812D-4EFA-B64A-2DE7CC70AD66}"/>
    <cellStyle name="AÞ¸¶ [0]_INQUIRY ¿μ¾÷AßAø " xfId="335" xr:uid="{7E080CD8-E98B-411B-8D98-430CADC8973E}"/>
    <cellStyle name="ÄÞ¸¶ [0]_MKN-M1.1 " xfId="336" xr:uid="{0261CCEE-AC63-402E-B833-AAC24E466B90}"/>
    <cellStyle name="AÞ¸¶ [0]_SAMPLE " xfId="337" xr:uid="{EB9D5669-3A8D-451D-87C5-8C2FC8450B38}"/>
    <cellStyle name="ÄÞ¸¶ [0]_SAMPLE " xfId="338" xr:uid="{2395EF67-3DB0-4E2E-85C1-DC3423B2600E}"/>
    <cellStyle name="AÞ¸¶ [0]_Sheet1 (2)_1.SUMMARY " xfId="339" xr:uid="{E2D5E11B-1044-4229-B7DC-0F4B0EA36B8C}"/>
    <cellStyle name="ÄÞ¸¶ [0]_Sheet1 (2)_1.SUMMARY " xfId="340" xr:uid="{592B4CAC-1E5F-4E52-B40B-26E95A5EB2A1}"/>
    <cellStyle name="AÞ¸¶ [0]_Sheet1_XD AOA¾AIA¤ " xfId="341" xr:uid="{CCB99053-E5A1-4CA0-888F-F27B4B696FE0}"/>
    <cellStyle name="ÄÞ¸¶ [0]_Sheet1_XD ÃÖÁ¾ÀÏÁ¤ " xfId="342" xr:uid="{66EDFA41-6824-4B1F-85E7-2E33537008F4}"/>
    <cellStyle name="AÞ¸¶ [0]_SMG-CKD-d1.1 " xfId="343" xr:uid="{234C1B91-284F-4906-8964-B76FBD788BF5}"/>
    <cellStyle name="ÄÞ¸¶ [0]_SMG-CKD-d1.1 " xfId="344" xr:uid="{79FACAA7-D78B-422E-B8FB-D1A61F6B957D}"/>
    <cellStyle name="AÞ¸¶,_x0005__x0014_" xfId="345" xr:uid="{8353AED4-D2EB-41C5-AE5B-A6052B8929C0}"/>
    <cellStyle name="ÄÞ¸¶_ ´ë    Çü " xfId="346" xr:uid="{1B5C5743-9FAA-4F3E-893C-F3C814EA2F9C}"/>
    <cellStyle name="AÞ¸¶_!!!GO" xfId="347" xr:uid="{5252CD93-FC63-4A43-8248-B590BB761CA4}"/>
    <cellStyle name="ÄÞ¸¶_¡Ú¾ÈÜ¬ Á¾ÇÕºñ±³ " xfId="348" xr:uid="{5007918C-103F-4C67-AFB3-80FC207772E3}"/>
    <cellStyle name="AÞ¸¶_¿i¿μ¾E " xfId="349" xr:uid="{34E27B38-2D11-4593-994B-A1B4079AC6F5}"/>
    <cellStyle name="ÄÞ¸¶_½ÇÀûÇöÈ² " xfId="350" xr:uid="{2B25A633-58C5-4D36-9A4D-952BCF1B9251}"/>
    <cellStyle name="AÞ¸¶_2.CONCEPT " xfId="351" xr:uid="{02693723-F977-4C70-852C-2A43D9BA35C2}"/>
    <cellStyle name="ÄÞ¸¶_2.CONCEPT " xfId="352" xr:uid="{294A4679-08B9-44CE-812A-B9295B9C4EFD}"/>
    <cellStyle name="AÞ¸¶_3.MSCHEDULE¿μ¹R " xfId="353" xr:uid="{01617B1E-D002-44F3-A6BD-94EAD8DA0942}"/>
    <cellStyle name="ÄÞ¸¶_3PJTR°èÈ¹ " xfId="354" xr:uid="{2F5EA0C8-73DE-4AEA-BE81-EFE18D7BED39}"/>
    <cellStyle name="AÞ¸¶_4 " xfId="355" xr:uid="{C48AAC8E-6E4E-4338-86C0-80592C0379B4}"/>
    <cellStyle name="ÄÞ¸¶_4 " xfId="356" xr:uid="{7CFF240F-09BF-4A70-A6A7-97105C6E5668}"/>
    <cellStyle name="AÞ¸¶_6-3°æAi·A " xfId="357" xr:uid="{8E84582E-7D2B-41A4-8D4C-514C875546FB}"/>
    <cellStyle name="ÄÞ¸¶_6-3°æÀï·Â " xfId="358" xr:uid="{4E1D8E15-90E4-46CE-BEB3-2B66C5AF7847}"/>
    <cellStyle name="AÞ¸¶_7.MASTER SCHEDULE " xfId="359" xr:uid="{2F5C9C3A-0BBC-4F30-A84F-E00FE831A3DB}"/>
    <cellStyle name="ÄÞ¸¶_7.MASTER SCHEDULE " xfId="360" xr:uid="{89BCA03B-E6B7-4ABA-80B9-F5689108FC1B}"/>
    <cellStyle name="AÞ¸¶_AI¿ø°eE¹ " xfId="361" xr:uid="{C024434C-86E4-4C3B-92D0-48B067371506}"/>
    <cellStyle name="ÄÞ¸¶_ÀÎ¿ø°èÈ¹ " xfId="362" xr:uid="{C59756FC-286B-4AB9-9C51-A2E59BAF643E}"/>
    <cellStyle name="AÞ¸¶_AOA¾AIA¤ " xfId="363" xr:uid="{D9F76870-882F-42FE-9B33-2CCACC0D21C7}"/>
    <cellStyle name="ÄÞ¸¶_ÃÖÁ¾ÀÏÁ¤ " xfId="364" xr:uid="{95291714-E64B-4141-8310-98BFD81D88F3}"/>
    <cellStyle name="AÞ¸¶_INQUIRY ¿μ¾÷AßAø " xfId="365" xr:uid="{3713F819-C097-4959-BF9F-DA8ABCB69599}"/>
    <cellStyle name="ÄÞ¸¶_MKN-M1.1 " xfId="366" xr:uid="{6721F7E9-429B-4FBB-A81B-B9A12E8049D0}"/>
    <cellStyle name="AÞ¸¶_SAMPLE " xfId="367" xr:uid="{E475F7BF-8DEB-4AFE-9ED8-AE97BA9CCD05}"/>
    <cellStyle name="ÄÞ¸¶_SAMPLE " xfId="368" xr:uid="{15DF2AF6-9EAA-4A4D-B74B-9AE6E5BBD918}"/>
    <cellStyle name="AÞ¸¶_Sheet1 (2)_1.SUMMARY " xfId="369" xr:uid="{F2E2397C-1484-4364-8203-DBE8706BB641}"/>
    <cellStyle name="ÄÞ¸¶_Sheet1 (2)_1.SUMMARY " xfId="370" xr:uid="{5350FDCE-F680-4AF7-9BBE-98F936CC13E2}"/>
    <cellStyle name="AÞ¸¶_Sheet1_XD AOA¾AIA¤ " xfId="371" xr:uid="{80462886-EC9A-4249-8848-E02C0BF9598D}"/>
    <cellStyle name="ÄÞ¸¶_Sheet1_XD ÃÖÁ¾ÀÏÁ¤ " xfId="372" xr:uid="{6F123B6C-CF03-40A6-8D79-A6AA105C74FA}"/>
    <cellStyle name="AÞ¸¶_SMG-CKD-d1.1 " xfId="373" xr:uid="{85CD413D-B4C0-4A20-8733-FCE158F212E6}"/>
    <cellStyle name="ÄÞ¸¶_SMG-CKD-d1.1 " xfId="374" xr:uid="{EB91CDE2-BBC6-4ABA-95D6-36E76A540060}"/>
    <cellStyle name="_x0002_b" xfId="375" xr:uid="{7AE19EDC-EA3E-405F-8A5F-CBAA9D5793A6}"/>
    <cellStyle name="_x0002_b 2" xfId="2140" xr:uid="{97C150CE-4ECC-4D09-9079-ECB4CCBF8ED9}"/>
    <cellStyle name="_x0002_b 2 2" xfId="2477" xr:uid="{130487F1-9A8F-425B-9715-FC570B2C90A2}"/>
    <cellStyle name="_x0002_b 2 2 2" xfId="3134" xr:uid="{5781DE5C-C409-42C1-93F6-E2CA9AD9469A}"/>
    <cellStyle name="_x0002_b 2 3" xfId="2807" xr:uid="{C4A5E9AA-B0D7-4F03-962E-16FE08C9578B}"/>
    <cellStyle name="_x0002_b 3" xfId="2284" xr:uid="{CCE2B5CC-7481-419E-A5E2-8F2A1B607E02}"/>
    <cellStyle name="_x0002_b 3 2" xfId="2941" xr:uid="{D0CF8BA9-B3A4-4061-8FF4-FE12E4D265A6}"/>
    <cellStyle name="_x0002_b 4" xfId="2611" xr:uid="{51C14C82-F3A6-4233-8FB0-8C519A800E1F}"/>
    <cellStyle name="Bad" xfId="376" xr:uid="{450DF030-F026-4888-B8E2-8F8C22C6BCD9}"/>
    <cellStyle name="C_TITLE" xfId="377" xr:uid="{035D094C-78A1-4D1E-B420-E299E139AED0}"/>
    <cellStyle name="C_TITLE_10월생산계획" xfId="378" xr:uid="{57951DB7-0C65-4698-BCF4-EB52A4B7867E}"/>
    <cellStyle name="C_TITLE_6월생산계획" xfId="379" xr:uid="{0CA753D5-F921-41AE-BB5F-042CF5F97335}"/>
    <cellStyle name="C_TITLE_6월생산계획_2011년 10월 생산계획" xfId="380" xr:uid="{72D630F2-BE14-4246-AD10-AD787EDF0E25}"/>
    <cellStyle name="C_TITLE_6월생산계획_2011년 8월 생산계획-수정" xfId="381" xr:uid="{23654735-1ADE-413F-B2CA-CBB375CCA8FD}"/>
    <cellStyle name="C_TITLE_6월생산계획_2011년 9월 생산계획" xfId="382" xr:uid="{A36C08B3-F5B6-4BA6-8B87-F96B1C1432F9}"/>
    <cellStyle name="C_TITLE_8월생산계획(1)" xfId="383" xr:uid="{3C50AE8A-505A-4415-8157-5612841B700D}"/>
    <cellStyle name="C_TITLE_8월생산계획110805" xfId="384" xr:uid="{7561592C-5FAD-436C-9F67-37390F18DC04}"/>
    <cellStyle name="C¡ÍA¨ª_¡Æ¨ÏAo" xfId="385" xr:uid="{C4E599A3-2EC9-4962-BAA4-072B24361663}"/>
    <cellStyle name="C¡IA¨ª_¡Æ￠R¨uO￠￢¡ÆAIA￠´_￥iⓒ￡A¨IAIA￠´ " xfId="386" xr:uid="{3359AE11-0498-4446-BF92-291C39C9DFF0}"/>
    <cellStyle name="C¡ÍA¨ª_¡íc¨ú¡À¨¬I¨¬¡Æ AN¡Æe " xfId="387" xr:uid="{34845227-3CC2-4D40-8CD0-B6818CFC5ED6}"/>
    <cellStyle name="C¡IA¨ª_¡ic¨u¡A¨￢I¨￢¡Æ AN¡Æe _철도청 전동차 개조 14량 생산 계획(2002.3.26)" xfId="388" xr:uid="{D090C3FA-07EF-4193-9E7C-E01A596557D9}"/>
    <cellStyle name="C￠RIA¡§¨￡_￠Ric¡§u￠RA¡§¡þI¡§¡þ￠R¨¡ AN￠R¨¡e " xfId="389" xr:uid="{1C0F11F7-1485-4F31-954C-012BD40BED9B}"/>
    <cellStyle name="C￥AØ_  FAB AIA¤  " xfId="390" xr:uid="{5E78AF0E-0DDC-4920-905C-1ECC70B3E6E8}"/>
    <cellStyle name="Ç¥ÁØ_ ´ë    Çü " xfId="391" xr:uid="{9CEE01E1-CCDB-4019-9A4B-2A2CCAD2BF35}"/>
    <cellStyle name="C￥AØ_¡ßFO AoAUºnºn±³ " xfId="392" xr:uid="{1FB2D1D8-FDC4-4AE7-9FB5-031E0AC644E5}"/>
    <cellStyle name="Ç¥ÁØ_¡ßFO ÅõÀÚºñºñ±³ " xfId="393" xr:uid="{4C2B08F4-DA01-4421-96E9-28A7034D0C90}"/>
    <cellStyle name="C￥AØ_¿￢±¸¼O °ø≫cCoE² " xfId="394" xr:uid="{D5F47010-EE9A-4CEA-9259-F4629DB9CE81}"/>
    <cellStyle name="Ç¥ÁØ_¿µ¾÷ÇöÈ² " xfId="395" xr:uid="{C009392D-E925-4AE2-AD75-3A964A4D55DA}"/>
    <cellStyle name="C￥AØ_¿i¿μ¾E " xfId="396" xr:uid="{5C882D86-BBF3-4D01-9BD0-1E278FC12536}"/>
    <cellStyle name="Ç¥ÁØ_±â¾È " xfId="397" xr:uid="{7764FCE8-176C-432C-A330-1CE61C99B82F}"/>
    <cellStyle name="C￥AØ_≫c¾÷ºIº° AN°e " xfId="398" xr:uid="{333F08D2-2BA9-4CF3-A667-ED8997BF6D81}"/>
    <cellStyle name="Ç¥ÁØ_°¡¼Ö¸°ÀÏÁ¤_µðÁ©ÀÏÁ¤ " xfId="399" xr:uid="{739FA34F-19ED-4972-9AF1-33BDBEA20096}"/>
    <cellStyle name="C￥AØ_°¡¼O¸°AIA¤_μðAⓒAIA¤ " xfId="400" xr:uid="{44C08811-8EDC-40C5-AFB6-8E217FB039D0}"/>
    <cellStyle name="Ç¥ÁØ_°³¹ßÀÏÁ¤ " xfId="401" xr:uid="{A3D260FE-1AAC-4B98-9303-494202959024}"/>
    <cellStyle name="C￥AØ_°³¹ßAIA¤  (2)_°³¹ßAIA¤ " xfId="402" xr:uid="{8070E4B6-071E-4003-966C-7E11BD124E69}"/>
    <cellStyle name="Ç¥ÁØ_°³¹ßÀÏÁ¤  (2)_°³¹ßÀÏÁ¤ " xfId="403" xr:uid="{1C735CC9-9111-497D-8D2C-16A0A00CBAD7}"/>
    <cellStyle name="C￥AØ_°u¸RC×¸n_¾÷A¾º° " xfId="404" xr:uid="{4E99D5DC-EA2D-4285-9BF1-0AFD757AF646}"/>
    <cellStyle name="Ç¥ÁØ_1.ÆÇ¸Å½ÇÀû " xfId="405" xr:uid="{8C533605-BD11-4610-8BCD-18A2F2785CCC}"/>
    <cellStyle name="C￥AØ_1.SUMMARY " xfId="406" xr:uid="{7CF42067-148C-40CF-A7C2-AD4663AC0593}"/>
    <cellStyle name="Ç¥ÁØ_1.SUMMARY " xfId="407" xr:uid="{65D602C4-1B03-4B65-8AF0-045A8DDF4F30}"/>
    <cellStyle name="C￥AØ_10+10 " xfId="408" xr:uid="{1B6A4FBF-D810-4418-AD81-811375BBB9E4}"/>
    <cellStyle name="Ç¥ÁØ_2.CONCEPT " xfId="409" xr:uid="{EC686AC7-BBFC-46E4-A42D-7CFC1C1C3CFB}"/>
    <cellStyle name="C￥AØ_3.MSCHEDULE¿μ¹R " xfId="410" xr:uid="{CD1166AF-809F-4900-95CC-0E23FC73FE47}"/>
    <cellStyle name="Ç¥ÁØ_3PJTR°èÈ¹ " xfId="411" xr:uid="{4C3740BF-F9D2-4416-B3E7-21A58A584BC6}"/>
    <cellStyle name="C￥AØ_4 " xfId="412" xr:uid="{AC0CAED9-8C66-4E33-BEDE-0A3EE8CD4408}"/>
    <cellStyle name="Ç¥ÁØ_4 " xfId="413" xr:uid="{D39818EE-03FE-41DE-8782-7B15D8DCA78B}"/>
    <cellStyle name="C￥AØ_5-1±¤°i " xfId="414" xr:uid="{5995FD22-5EC4-4AF4-81C7-FE670DEDCBE5}"/>
    <cellStyle name="Ç¥ÁØ_5-1±¤°í " xfId="415" xr:uid="{8886C466-FBEE-43AB-A789-D784BC28D8A2}"/>
    <cellStyle name="C￥AØ_6-3°æAi·A " xfId="416" xr:uid="{2535939F-0501-47E9-89DD-F40B7F995784}"/>
    <cellStyle name="Ç¥ÁØ_6-3°æÀï·Â " xfId="417" xr:uid="{38C88057-979E-402E-8814-2D2FD4D41992}"/>
    <cellStyle name="C￥AØ_7.MASTER SCHEDULE " xfId="418" xr:uid="{1DD94780-D683-4F35-90E0-BAC635BE34A0}"/>
    <cellStyle name="Ç¥ÁØ_7.MASTER SCHEDULE " xfId="419" xr:uid="{66F62A9A-5313-42AC-A79D-C8B5CA9E1515}"/>
    <cellStyle name="C￥AØ_96AI¿ø°e2 " xfId="420" xr:uid="{55B7E832-7EBA-49B1-BA48-94758B27A934}"/>
    <cellStyle name="Ç¥ÁØ_96ÀÎ¿ø°è2 " xfId="421" xr:uid="{336659DA-A313-425E-A86A-C66B347A7210}"/>
    <cellStyle name="C￥AØ_96AI¿ø°O 3 " xfId="422" xr:uid="{8779F5B3-3E25-42CB-AFFB-AE3478FE04BD}"/>
    <cellStyle name="Ç¥ÁØ_96ÀÎ¿ø°Ô 3 " xfId="423" xr:uid="{5334B6CF-CBFA-49FB-B3A5-4117D6CCAFC9}"/>
    <cellStyle name="C￥AØ_A·ºI2 " xfId="424" xr:uid="{ADCBD095-45E7-4D83-94D6-E4569B9B0948}"/>
    <cellStyle name="Ç¥ÁØ_Ã·ºÎ2 " xfId="425" xr:uid="{91A3557E-50D3-4349-BFD6-3B31E73F2C4D}"/>
    <cellStyle name="C￥AØ_Æi¼º¸RCA " xfId="426" xr:uid="{F2ECDAEE-78A5-4972-BE9C-BE6021B40242}"/>
    <cellStyle name="Ç¥ÁØ_ÃÖÁ¾ÀÏÁ¤ " xfId="427" xr:uid="{7378B80D-62C3-4561-963E-4ED2E84D4143}"/>
    <cellStyle name="C￥AØ_AoAUºn(ºI¼­º°,°eA¤º°) " xfId="428" xr:uid="{C7D9D685-9819-434E-95AF-0247EF76C9BB}"/>
    <cellStyle name="Ç¥ÁØ_ÅõÀÚºñ(ºÎ¼­º°,°èÁ¤º°) " xfId="429" xr:uid="{B258E679-9653-4F40-8D43-30D19488A17E}"/>
    <cellStyle name="C￥AØ_Aß±a≫y≫e°eE¹ " xfId="430" xr:uid="{1B6E6D47-79CA-4385-851D-5CD2B068BA31}"/>
    <cellStyle name="Ç¥ÁØ_Áý°èÇ¥(2¿ù) " xfId="431" xr:uid="{856240D0-36BB-4ED5-AE58-E47171248FC2}"/>
    <cellStyle name="C￥AØ_C￥Ao " xfId="432" xr:uid="{9990D28A-A744-4A5A-A3C6-014B2C4AFFB4}"/>
    <cellStyle name="Ç¥ÁØ_ÇùÁ¶Àü_ÅõÀÔ°èÈ¹ " xfId="433" xr:uid="{49F2EF46-5FE9-4C10-A176-AC424B4B42E3}"/>
    <cellStyle name="C￥AØ_lx-taxi " xfId="434" xr:uid="{07A050E2-9AC1-4F56-874B-4D8458967FD9}"/>
    <cellStyle name="Ç¥ÁØ_lx-taxi " xfId="435" xr:uid="{02D0CDE0-9C85-42E2-B100-2D7D483CB0A8}"/>
    <cellStyle name="C￥AØ_M105CDT " xfId="436" xr:uid="{8FC7C3C3-4DCA-477C-89E7-848D7D9BE229}"/>
    <cellStyle name="Ç¥ÁØ_MKN-M1.1 " xfId="437" xr:uid="{8DBF0184-CBA7-454E-8C8A-F2BF89C6754F}"/>
    <cellStyle name="C￥AØ_page 2 " xfId="438" xr:uid="{48B97BF7-0A71-4325-8197-1CEC775C09B1}"/>
    <cellStyle name="Ç¥ÁØ_page 2 " xfId="439" xr:uid="{9956BD4A-CA13-4820-A74D-8219CDD50847}"/>
    <cellStyle name="C￥AØ_page 2  2" xfId="440" xr:uid="{078BFCE4-5E1C-4F94-AD33-2EF3A6AC248C}"/>
    <cellStyle name="Ç¥ÁØ_page 2  2" xfId="441" xr:uid="{11AD847C-5940-49E3-8A2E-E0A2459E809F}"/>
    <cellStyle name="C￥AØ_page 2  3" xfId="442" xr:uid="{17C84C07-C4F2-47A8-856D-77C5BDE2C882}"/>
    <cellStyle name="Ç¥ÁØ_page 2  3" xfId="443" xr:uid="{105C0BB6-DE79-4FA0-BFD9-B13911DD08D9}"/>
    <cellStyle name="C￥AØ_page 2  4" xfId="444" xr:uid="{D496B85F-E0A4-487D-A533-317024887C90}"/>
    <cellStyle name="Ç¥ÁØ_page 2  4" xfId="445" xr:uid="{EFC9BE94-198F-40F0-9569-49D0EFCB0897}"/>
    <cellStyle name="C￥AØ_page 2  5" xfId="446" xr:uid="{5B01876A-EFEE-43CD-BFB2-67EFC38EDA46}"/>
    <cellStyle name="Ç¥ÁØ_page 2  5" xfId="447" xr:uid="{7B2E9AC6-0F12-4617-89B4-662F46F80C8A}"/>
    <cellStyle name="C￥AØ_page 2  6" xfId="448" xr:uid="{98151B43-652A-4B59-B046-6D8559E62237}"/>
    <cellStyle name="Ç¥ÁØ_page 2  6" xfId="449" xr:uid="{992B37F8-878C-4C46-B06D-08EBCAF02884}"/>
    <cellStyle name="C￥AØ_page 2 _030514-생산팀 감사자료" xfId="450" xr:uid="{24D355E8-4DF9-4DAE-BF37-C271DD0A64A0}"/>
    <cellStyle name="Ç¥ÁØ_page 2 _030514-생산팀 감사자료" xfId="451" xr:uid="{0F05B4CC-B3C1-4D4B-AD19-AB916626C4DB}"/>
    <cellStyle name="C￥AØ_page 2 _030514-생산팀 감사자료 2" xfId="452" xr:uid="{B367FB21-AB59-4C81-B30F-BE5C8A783F1D}"/>
    <cellStyle name="Ç¥ÁØ_page 2 _030514-생산팀 감사자료 2" xfId="453" xr:uid="{635F592C-326C-4CD2-A07A-25A0F7486D56}"/>
    <cellStyle name="C￥AØ_page 2 _030514-생산팀 감사자료 3" xfId="454" xr:uid="{8DFFB91E-D090-4E8E-BD46-D924E575F0BC}"/>
    <cellStyle name="Ç¥ÁØ_page 2 _030514-생산팀 감사자료 3" xfId="455" xr:uid="{7A96D768-19AB-4C84-B551-E50D227C7517}"/>
    <cellStyle name="C￥AØ_page 2 _030514-생산팀 감사자료 4" xfId="456" xr:uid="{B41CCAC7-E23E-4447-A7B3-8B99ED64D36A}"/>
    <cellStyle name="Ç¥ÁØ_page 2 _030514-생산팀 감사자료 4" xfId="457" xr:uid="{CB99C2EA-157E-4BB1-BE11-9D87AB28C730}"/>
    <cellStyle name="C￥AØ_page 2 _030514-생산팀 감사자료 5" xfId="458" xr:uid="{2030612B-CB3E-49EC-8DAD-8A4A1EAEC94F}"/>
    <cellStyle name="Ç¥ÁØ_page 2 _030514-생산팀 감사자료 5" xfId="459" xr:uid="{4F054C27-B423-4D9B-A81C-11D9A4DE2981}"/>
    <cellStyle name="C￥AØ_page 2 _030514-생산팀 감사자료 6" xfId="460" xr:uid="{B41AF327-0214-4E2B-AB3B-19A9B2CE6E98}"/>
    <cellStyle name="Ç¥ÁØ_page 2 _030514-생산팀 감사자료 6" xfId="461" xr:uid="{512CF3FB-CBF9-45C6-9D9A-A527F9F5B847}"/>
    <cellStyle name="C￥AØ_page 2 _030514-생산팀 감사자료_10월생산계획" xfId="462" xr:uid="{FE2F6517-F412-4A1D-AFB2-5CA6784C2623}"/>
    <cellStyle name="Ç¥ÁØ_page 2 _030514-생산팀 감사자료_10월생산계획" xfId="463" xr:uid="{A940D1E0-3E48-4CF9-B3E8-E114D516F81D}"/>
    <cellStyle name="C￥AØ_page 2 _030514-생산팀 감사자료_6월생산계획" xfId="464" xr:uid="{64F85EA7-9EBB-44EC-9659-C23C8A38BE55}"/>
    <cellStyle name="Ç¥ÁØ_page 2 _030514-생산팀 감사자료_6월생산계획" xfId="465" xr:uid="{AD658ACD-96DD-4356-9848-28E1D6014062}"/>
    <cellStyle name="C￥AØ_page 2 _030514-생산팀 감사자료_8월생산계획(1)" xfId="466" xr:uid="{9DAF1F2C-F8E9-4A71-A2A3-CA8A52149D91}"/>
    <cellStyle name="Ç¥ÁØ_page 2 _030514-생산팀 감사자료_8월생산계획(1)" xfId="467" xr:uid="{C9789263-C9F7-4B2D-92A0-09FAAF1B97E2}"/>
    <cellStyle name="C￥AØ_page 2 _030514-생산팀 감사자료_8월생산계획110805" xfId="468" xr:uid="{B994AACC-9187-41B8-96C3-35948217EE0E}"/>
    <cellStyle name="Ç¥ÁØ_page 2 _030514-생산팀 감사자료_8월생산계획110805" xfId="469" xr:uid="{E6935C81-FDAB-451D-AFC2-422EFAE53729}"/>
    <cellStyle name="C￥AØ_page 2 _030516-0516생산효율반보고자료통보" xfId="470" xr:uid="{CB906F74-635C-4317-8353-7E12988D7A78}"/>
    <cellStyle name="Ç¥ÁØ_page 2 _030516-0516생산효율반보고자료통보" xfId="471" xr:uid="{C9C923B8-C430-41E0-A55C-C42CB38BC516}"/>
    <cellStyle name="C￥AØ_page 2 _030929-사무실 조직도 및 현장조직도-2003930" xfId="472" xr:uid="{0F976532-A830-422A-BB0A-79438DCF2ECE}"/>
    <cellStyle name="Ç¥ÁØ_page 2 _030929-사무실 조직도 및 현장조직도-2003930" xfId="473" xr:uid="{27EA097B-DD76-4CF7-8CFC-2D958B428921}"/>
    <cellStyle name="C￥AØ_page 2 _03년도 기술연기소(중기부문) 투자계획" xfId="474" xr:uid="{68D9B1FA-8E48-4953-BA04-36F5B832C16C}"/>
    <cellStyle name="Ç¥ÁØ_page 2 _03년도 기술연기소(중기부문) 투자계획" xfId="475" xr:uid="{E9010140-5087-45AD-9888-3AE68CB59B69}"/>
    <cellStyle name="C￥AØ_page 2 _06년,07년 대일일계획-060616-2006616" xfId="476" xr:uid="{BC592CEA-4730-4162-B49F-BFD3C64AF390}"/>
    <cellStyle name="Ç¥ÁØ_page 2 _06년,07년 대일일계획-060616-2006616" xfId="477" xr:uid="{A7696385-036B-4FFE-979B-8B095096ADCB}"/>
    <cellStyle name="C￥AØ_page 2 _06년,07년 대일일계획-060616-2006616 2" xfId="478" xr:uid="{034FC95C-6CAB-4E7F-9968-A3797A8FF140}"/>
    <cellStyle name="Ç¥ÁØ_page 2 _06년,07년 대일일계획-060616-2006616 2" xfId="479" xr:uid="{6D586A05-953E-4542-8D94-F5AD58F11986}"/>
    <cellStyle name="C￥AØ_page 2 _06년,07년 대일일계획-060616-2006616 3" xfId="480" xr:uid="{1624075F-3CCF-4041-9681-A4AE6E2F3B3B}"/>
    <cellStyle name="Ç¥ÁØ_page 2 _06년,07년 대일일계획-060616-2006616 3" xfId="481" xr:uid="{1D118EF0-0381-4525-9B3D-19B234C9F1FD}"/>
    <cellStyle name="C￥AØ_page 2 _06년,07년 대일일계획-060616-2006616 4" xfId="482" xr:uid="{402BB905-CFDF-47F7-8D56-42CD4E29DFA9}"/>
    <cellStyle name="Ç¥ÁØ_page 2 _06년,07년 대일일계획-060616-2006616 4" xfId="483" xr:uid="{251031F9-D908-4622-ABB4-0C3C1D7AEF72}"/>
    <cellStyle name="C￥AØ_page 2 _06년,07년 대일일계획-060616-2006616 5" xfId="484" xr:uid="{957380A0-540A-4866-A32D-C293A7B0393E}"/>
    <cellStyle name="Ç¥ÁØ_page 2 _06년,07년 대일일계획-060616-2006616 5" xfId="485" xr:uid="{E355AEDC-C89F-42E1-8A5E-309CA14DA4D5}"/>
    <cellStyle name="C￥AØ_page 2 _06년,07년 대일일계획-060616-2006616 6" xfId="486" xr:uid="{CE4720E7-EA73-4CF0-9282-8766B9A8AFBF}"/>
    <cellStyle name="Ç¥ÁØ_page 2 _06년,07년 대일일계획-060616-2006616 6" xfId="487" xr:uid="{DE973EE0-A787-4036-942B-37DA81551808}"/>
    <cellStyle name="C￥AØ_page 2 _06년,07년 대일일계획-060616-2006616_10월생산계획" xfId="488" xr:uid="{8BA61E76-DF15-4E84-9026-FA61E9A950CA}"/>
    <cellStyle name="Ç¥ÁØ_page 2 _06년,07년 대일일계획-060616-2006616_10월생산계획" xfId="489" xr:uid="{747C42B4-D786-4D7F-9C05-43AE451936B1}"/>
    <cellStyle name="C￥AØ_page 2 _06년,07년 대일일계획-060616-2006616_6월생산계획" xfId="490" xr:uid="{3257B128-118A-464F-9419-3DBAE4EB4AAB}"/>
    <cellStyle name="Ç¥ÁØ_page 2 _06년,07년 대일일계획-060616-2006616_6월생산계획" xfId="491" xr:uid="{5C8271EE-B8AA-48B2-B21B-618B58258865}"/>
    <cellStyle name="C￥AØ_page 2 _06년,07년 대일일계획-060616-2006616_8월생산계획(1)" xfId="492" xr:uid="{F98D7117-D065-41A6-B67F-4E81A01C33DD}"/>
    <cellStyle name="Ç¥ÁØ_page 2 _06년,07년 대일일계획-060616-2006616_8월생산계획(1)" xfId="493" xr:uid="{7CACF905-8177-4D63-8B2B-06ABD309F350}"/>
    <cellStyle name="C￥AØ_page 2 _06년,07년 대일일계획-060616-2006616_8월생산계획110805" xfId="494" xr:uid="{2521DEA1-ABF6-428E-9D87-0E409175B57C}"/>
    <cellStyle name="Ç¥ÁØ_page 2 _06년,07년 대일일계획-060616-2006616_8월생산계획110805" xfId="495" xr:uid="{583A8D35-CD08-44C6-9FC6-74C96A2E12D4}"/>
    <cellStyle name="C￥AØ_page 2 _06년,07년 대일일계획-2006614" xfId="496" xr:uid="{3DD9B6F7-1C09-4CC1-BA20-6A42CAA39D7D}"/>
    <cellStyle name="Ç¥ÁØ_page 2 _06년,07년 대일일계획-2006614" xfId="497" xr:uid="{885C55F8-CE7D-40C1-AE78-07E83487C679}"/>
    <cellStyle name="C￥AØ_page 2 _06년,07년 대일일계획-2006614 2" xfId="498" xr:uid="{11258403-0647-4F5D-8D12-AC821F88C32D}"/>
    <cellStyle name="Ç¥ÁØ_page 2 _06년,07년 대일일계획-2006614 2" xfId="499" xr:uid="{1783316B-42F4-4D88-879E-887C9BD03921}"/>
    <cellStyle name="C￥AØ_page 2 _06년,07년 대일일계획-2006614 3" xfId="500" xr:uid="{B3B187AA-9A92-45CA-A56E-8C90EDB1754A}"/>
    <cellStyle name="Ç¥ÁØ_page 2 _06년,07년 대일일계획-2006614 3" xfId="501" xr:uid="{5D74978E-1612-4D9A-9D29-0D2DE39C2401}"/>
    <cellStyle name="C￥AØ_page 2 _06년,07년 대일일계획-2006614 4" xfId="502" xr:uid="{3CCFCE54-C236-4666-827B-3704B8D1074C}"/>
    <cellStyle name="Ç¥ÁØ_page 2 _06년,07년 대일일계획-2006614 4" xfId="503" xr:uid="{0C75DA42-DCD0-4661-B214-A22A5B9C741B}"/>
    <cellStyle name="C￥AØ_page 2 _06년,07년 대일일계획-2006614 5" xfId="504" xr:uid="{76AABEFA-A234-42FD-9364-FC5C98CE1003}"/>
    <cellStyle name="Ç¥ÁØ_page 2 _06년,07년 대일일계획-2006614 5" xfId="505" xr:uid="{CDEEFF5C-F4B0-4803-B8EF-5F5F155ACFD8}"/>
    <cellStyle name="C￥AØ_page 2 _06년,07년 대일일계획-2006614 6" xfId="506" xr:uid="{94184C52-BB93-4179-92FC-FBD1895BB303}"/>
    <cellStyle name="Ç¥ÁØ_page 2 _06년,07년 대일일계획-2006614 6" xfId="507" xr:uid="{F5A3562C-C0B1-4D8F-9C97-6074AA0F99DD}"/>
    <cellStyle name="C￥AØ_page 2 _06년,07년 대일일계획-2006614_10월생산계획" xfId="508" xr:uid="{6BC75536-6921-4124-A7BB-5B32AE617766}"/>
    <cellStyle name="Ç¥ÁØ_page 2 _06년,07년 대일일계획-2006614_10월생산계획" xfId="509" xr:uid="{46C798F6-461B-4D2A-84FE-2E63917609DA}"/>
    <cellStyle name="C￥AØ_page 2 _06년,07년 대일일계획-2006614_6월생산계획" xfId="510" xr:uid="{7D494B19-46E0-4B00-B4B9-7F83421D5A17}"/>
    <cellStyle name="Ç¥ÁØ_page 2 _06년,07년 대일일계획-2006614_6월생산계획" xfId="511" xr:uid="{4DF107F2-A688-4A4B-A378-CD0C4AD96F09}"/>
    <cellStyle name="C￥AØ_page 2 _06년,07년 대일일계획-2006614_8월생산계획(1)" xfId="512" xr:uid="{2AD9FCDB-543B-49D3-BF08-E75B452D7493}"/>
    <cellStyle name="Ç¥ÁØ_page 2 _06년,07년 대일일계획-2006614_8월생산계획(1)" xfId="513" xr:uid="{AB791DF5-BCAE-4339-A5A7-00970A3A13AF}"/>
    <cellStyle name="C￥AØ_page 2 _06년,07년 대일일계획-2006614_8월생산계획110805" xfId="514" xr:uid="{7C57896C-58EE-4589-AB43-609DB1616ADC}"/>
    <cellStyle name="Ç¥ÁØ_page 2 _06년,07년 대일일계획-2006614_8월생산계획110805" xfId="515" xr:uid="{671E8BD6-49F1-4DB0-98FC-15B44D678084}"/>
    <cellStyle name="C￥AØ_page 2 _06년,07년 대일일계획-2006615" xfId="516" xr:uid="{5AF34198-D11A-4A3A-9F81-3D4138840368}"/>
    <cellStyle name="Ç¥ÁØ_page 2 _06년,07년 대일일계획-2006615" xfId="517" xr:uid="{4CA44E0E-BAF9-4F6C-BE2F-B5E9F1AF2FF4}"/>
    <cellStyle name="C￥AØ_page 2 _06년,07년 대일일계획-2006615 2" xfId="518" xr:uid="{F3535E8C-0861-4FD5-8BEA-927DAD327BB2}"/>
    <cellStyle name="Ç¥ÁØ_page 2 _06년,07년 대일일계획-2006615 2" xfId="519" xr:uid="{42180CD0-A50F-49B9-BB0C-E4000B61716B}"/>
    <cellStyle name="C￥AØ_page 2 _06년,07년 대일일계획-2006615 3" xfId="520" xr:uid="{2895E69B-9AA4-4C5D-8820-FEC772E28438}"/>
    <cellStyle name="Ç¥ÁØ_page 2 _06년,07년 대일일계획-2006615 3" xfId="521" xr:uid="{802CEAF2-87C1-4505-B498-C49200A518F9}"/>
    <cellStyle name="C￥AØ_page 2 _06년,07년 대일일계획-2006615 4" xfId="522" xr:uid="{D8E30EBF-603F-40FA-A216-D16E401B876D}"/>
    <cellStyle name="Ç¥ÁØ_page 2 _06년,07년 대일일계획-2006615 4" xfId="523" xr:uid="{E8CDAA10-49C2-480C-BDB3-9EBEC08FE303}"/>
    <cellStyle name="C￥AØ_page 2 _06년,07년 대일일계획-2006615 5" xfId="524" xr:uid="{4563AC1B-8469-4C9D-91DA-562F7B86D38A}"/>
    <cellStyle name="Ç¥ÁØ_page 2 _06년,07년 대일일계획-2006615 5" xfId="525" xr:uid="{59008F78-B7F4-4B9E-B38B-280732D6A62F}"/>
    <cellStyle name="C￥AØ_page 2 _06년,07년 대일일계획-2006615 6" xfId="526" xr:uid="{6D383FDC-E621-4700-8892-EDA0B12CD351}"/>
    <cellStyle name="Ç¥ÁØ_page 2 _06년,07년 대일일계획-2006615 6" xfId="527" xr:uid="{92E534E9-B547-40F8-801A-3A98867FB331}"/>
    <cellStyle name="C￥AØ_page 2 _06년,07년 대일일계획-2006615_10월생산계획" xfId="528" xr:uid="{303ABF22-576B-4B89-BB7D-6EAF1418E8E5}"/>
    <cellStyle name="Ç¥ÁØ_page 2 _06년,07년 대일일계획-2006615_10월생산계획" xfId="529" xr:uid="{BE4F8166-2FC8-4158-9DC1-27CB136B8057}"/>
    <cellStyle name="C￥AØ_page 2 _06년,07년 대일일계획-2006615_6월생산계획" xfId="530" xr:uid="{5E46AE2F-1DD6-4F9B-A80D-93529F998396}"/>
    <cellStyle name="Ç¥ÁØ_page 2 _06년,07년 대일일계획-2006615_6월생산계획" xfId="531" xr:uid="{2C0C0951-1B5F-45C4-B731-D18E9B63BEED}"/>
    <cellStyle name="C￥AØ_page 2 _06년,07년 대일일계획-2006615_8월생산계획(1)" xfId="532" xr:uid="{DAA95B4E-33E7-430B-A333-C8B2A97BCEC9}"/>
    <cellStyle name="Ç¥ÁØ_page 2 _06년,07년 대일일계획-2006615_8월생산계획(1)" xfId="533" xr:uid="{8D1B037B-6455-4D24-B6E9-832A160CB8E7}"/>
    <cellStyle name="C￥AØ_page 2 _06년,07년 대일일계획-2006615_8월생산계획110805" xfId="534" xr:uid="{93BE1E12-AE10-4FCA-975C-6FC2C3154842}"/>
    <cellStyle name="Ç¥ÁØ_page 2 _06년,07년 대일일계획-2006615_8월생산계획110805" xfId="535" xr:uid="{505DFAEE-A2AE-4C82-85D7-6F9E22D67E69}"/>
    <cellStyle name="C￥AØ_page 2 _06년,07년 대일정계획(REV.1)-060706-200677" xfId="536" xr:uid="{8CCC0C57-BD5E-4BA2-A617-C5EF72C7013E}"/>
    <cellStyle name="Ç¥ÁØ_page 2 _06년,07년 대일정계획(REV.1)-060706-200677" xfId="537" xr:uid="{28944212-09A4-4E5B-85EF-4F6A2407FE09}"/>
    <cellStyle name="C￥AØ_page 2 _06년,07년 대일정계획(REV.1)-060706-200677 2" xfId="538" xr:uid="{CAEF43F4-C403-41FA-9061-B32A91D99BAF}"/>
    <cellStyle name="Ç¥ÁØ_page 2 _06년,07년 대일정계획(REV.1)-060706-200677 2" xfId="539" xr:uid="{160DDDA2-3FB1-47D6-9593-9E1C1A65B2D5}"/>
    <cellStyle name="C￥AØ_page 2 _06년,07년 대일정계획(REV.1)-060706-200677 3" xfId="540" xr:uid="{413B4692-C9B9-498C-88F9-3D0FA9774887}"/>
    <cellStyle name="Ç¥ÁØ_page 2 _06년,07년 대일정계획(REV.1)-060706-200677 3" xfId="541" xr:uid="{CC968253-0A99-4924-8C5D-4FDC338F22B8}"/>
    <cellStyle name="C￥AØ_page 2 _06년,07년 대일정계획(REV.1)-060706-200677 4" xfId="542" xr:uid="{34CC5B94-21DA-4E3C-B9BE-7AD7172AD9FF}"/>
    <cellStyle name="Ç¥ÁØ_page 2 _06년,07년 대일정계획(REV.1)-060706-200677 4" xfId="543" xr:uid="{9949FA2F-35B0-4EDF-A623-AAC60321B136}"/>
    <cellStyle name="C￥AØ_page 2 _06년,07년 대일정계획(REV.1)-060706-200677 5" xfId="544" xr:uid="{829D8001-FEB3-404E-97A4-2DE9CC86345D}"/>
    <cellStyle name="Ç¥ÁØ_page 2 _06년,07년 대일정계획(REV.1)-060706-200677 5" xfId="545" xr:uid="{AD7F72C7-08FB-4907-B07C-328C06A0C004}"/>
    <cellStyle name="C￥AØ_page 2 _06년,07년 대일정계획(REV.1)-060706-200677 6" xfId="546" xr:uid="{0CC8607A-05F0-4D2D-8548-26DB9773E53A}"/>
    <cellStyle name="Ç¥ÁØ_page 2 _06년,07년 대일정계획(REV.1)-060706-200677 6" xfId="547" xr:uid="{3F0D57F0-C144-4509-A9D1-B1A4618AC6B8}"/>
    <cellStyle name="C￥AØ_page 2 _06년,07년 대일정계획(REV.1)-060706-200677_10월생산계획" xfId="548" xr:uid="{820C80A4-42BD-4021-A702-51CC92B37772}"/>
    <cellStyle name="Ç¥ÁØ_page 2 _06년,07년 대일정계획(REV.1)-060706-200677_10월생산계획" xfId="549" xr:uid="{88A41F1A-6612-48D7-B4D2-48F8EA595027}"/>
    <cellStyle name="C￥AØ_page 2 _06년,07년 대일정계획(REV.1)-060706-200677_6월생산계획" xfId="550" xr:uid="{BB06DA07-3A8B-4FF3-8ABF-D61EAA6E54F2}"/>
    <cellStyle name="Ç¥ÁØ_page 2 _06년,07년 대일정계획(REV.1)-060706-200677_6월생산계획" xfId="551" xr:uid="{F79FD5DE-AB41-4C4C-8A56-9E5B5782CE8E}"/>
    <cellStyle name="C￥AØ_page 2 _06년,07년 대일정계획(REV.1)-060706-200677_8월생산계획(1)" xfId="552" xr:uid="{9C6950D4-164F-473E-AE99-9C868C07B9B9}"/>
    <cellStyle name="Ç¥ÁØ_page 2 _06년,07년 대일정계획(REV.1)-060706-200677_8월생산계획(1)" xfId="553" xr:uid="{2B6244B5-5B21-4709-9BED-B97C43F48BF8}"/>
    <cellStyle name="C￥AØ_page 2 _06년,07년 대일정계획(REV.1)-060706-200677_8월생산계획110805" xfId="554" xr:uid="{C3343F60-268D-4732-9396-F21AC04B62E2}"/>
    <cellStyle name="Ç¥ÁØ_page 2 _06년,07년 대일정계획(REV.1)-060706-200677_8월생산계획110805" xfId="555" xr:uid="{6F840BA2-0E1D-4197-B21C-2003E5ED1831}"/>
    <cellStyle name="C￥AØ_page 2 _10월생산계획" xfId="556" xr:uid="{52FAA778-7FDB-409E-A322-1473D986CEF3}"/>
    <cellStyle name="Ç¥ÁØ_page 2 _10월생산계획" xfId="557" xr:uid="{8E6A64A5-5428-4715-8E67-839323FDA017}"/>
    <cellStyle name="C￥AØ_page 2 _1차 종합보고(030221)" xfId="558" xr:uid="{D9687385-D623-439B-BBA3-646F66ACE542}"/>
    <cellStyle name="Ç¥ÁØ_page 2 _1차 종합보고(030221)" xfId="559" xr:uid="{A4D63F44-FEF8-463A-8995-49E641AF5BA7}"/>
    <cellStyle name="C￥AØ_page 2 _1차 종합보고(030221) 2" xfId="560" xr:uid="{8A605EBE-C14A-4336-95D6-DB0AEA7E20B4}"/>
    <cellStyle name="Ç¥ÁØ_page 2 _1차 종합보고(030221) 2" xfId="561" xr:uid="{9D407C8B-D199-441D-B24E-65B8A6026B2E}"/>
    <cellStyle name="C￥AØ_page 2 _1차 종합보고(030221) 3" xfId="562" xr:uid="{406FBFF0-47AB-42EE-88E2-0EE5DB6AAD26}"/>
    <cellStyle name="Ç¥ÁØ_page 2 _1차 종합보고(030221) 3" xfId="563" xr:uid="{3A540B7D-6599-4E98-86AA-6EE1946CD1FE}"/>
    <cellStyle name="C￥AØ_page 2 _1차 종합보고(030221) 4" xfId="564" xr:uid="{ABF69EC3-6249-4FF6-BBF0-2DAF6457F9F3}"/>
    <cellStyle name="Ç¥ÁØ_page 2 _1차 종합보고(030221) 4" xfId="565" xr:uid="{D7E65E76-9EAC-45D2-A2ED-0A3E7E8C28F9}"/>
    <cellStyle name="C￥AØ_page 2 _1차 종합보고(030221) 5" xfId="566" xr:uid="{5B766A53-408A-462E-BBE0-48FE2270748C}"/>
    <cellStyle name="Ç¥ÁØ_page 2 _1차 종합보고(030221) 5" xfId="567" xr:uid="{CD6DC760-2BCE-4841-A8E3-2A215870D7DD}"/>
    <cellStyle name="C￥AØ_page 2 _1차 종합보고(030221) 6" xfId="568" xr:uid="{13883542-1304-4CF7-8C2F-879E2F00A382}"/>
    <cellStyle name="Ç¥ÁØ_page 2 _1차 종합보고(030221) 6" xfId="569" xr:uid="{05AED064-1C2B-40BA-B4EC-635E768A54ED}"/>
    <cellStyle name="C￥AØ_page 2 _1차 종합보고(030221)_10월생산계획" xfId="570" xr:uid="{C49BA3C7-C0E0-4226-91A3-150D1F6606CF}"/>
    <cellStyle name="Ç¥ÁØ_page 2 _1차 종합보고(030221)_10월생산계획" xfId="571" xr:uid="{2C2FFD59-F76A-44B3-A66B-B450C67E8045}"/>
    <cellStyle name="C￥AØ_page 2 _1차 종합보고(030221)_6월생산계획" xfId="572" xr:uid="{A62CE571-5B71-4721-A03B-A374DA73787F}"/>
    <cellStyle name="Ç¥ÁØ_page 2 _1차 종합보고(030221)_6월생산계획" xfId="573" xr:uid="{9A9D1F86-8343-4C5B-A4AF-4C317154040B}"/>
    <cellStyle name="C￥AØ_page 2 _1차 종합보고(030221)_8월생산계획(1)" xfId="574" xr:uid="{B94FD036-13BC-4DFA-8DCF-974B71D31F5B}"/>
    <cellStyle name="Ç¥ÁØ_page 2 _1차 종합보고(030221)_8월생산계획(1)" xfId="575" xr:uid="{BA276C7E-5AAA-47B4-B62F-3859B11578D3}"/>
    <cellStyle name="C￥AØ_page 2 _1차 종합보고(030221)_8월생산계획110805" xfId="576" xr:uid="{7D7A97B7-D633-4011-BFAD-525C4B093A41}"/>
    <cellStyle name="Ç¥ÁØ_page 2 _1차 종합보고(030221)_8월생산계획110805" xfId="577" xr:uid="{9DCE7AFF-D2C9-4502-9136-A666DA787F5A}"/>
    <cellStyle name="C￥AØ_page 2 _2002 투자 미집행내역" xfId="578" xr:uid="{C66D4C63-1F60-4527-B7E6-32FEB0A4A3C9}"/>
    <cellStyle name="Ç¥ÁØ_page 2 _2002 투자 미집행내역" xfId="579" xr:uid="{7CD30D62-7E1D-4749-9D30-8530DC51F45C}"/>
    <cellStyle name="C￥AØ_page 2 _2002년 철차부문투자예상실적1114" xfId="580" xr:uid="{C22F59C7-ED5A-43FE-8B4E-DDC0BF990660}"/>
    <cellStyle name="Ç¥ÁØ_page 2 _2002년 철차부문투자예상실적1114" xfId="581" xr:uid="{31D48CA9-F59E-4558-8667-F68BBCCEE658}"/>
    <cellStyle name="C￥AØ_page 2 _2003년 시설투자 계획_TPI " xfId="582" xr:uid="{46662062-FEF1-4535-8AC4-DFE7321E67DD}"/>
    <cellStyle name="Ç¥ÁØ_page 2 _2003년 시설투자 계획_TPI " xfId="583" xr:uid="{01FA2426-2E06-494A-A839-41F55EA2F730}"/>
    <cellStyle name="C￥AØ_page 2 _2003년 시설투자 계획_TPI  2" xfId="584" xr:uid="{B5362292-9807-4EE6-9BBD-E206B5BBD344}"/>
    <cellStyle name="Ç¥ÁØ_page 2 _2003년 시설투자 계획_TPI  2" xfId="585" xr:uid="{8403C466-589E-48C5-970F-AF9131181871}"/>
    <cellStyle name="C￥AØ_page 2 _2003년 시설투자 계획_TPI  3" xfId="586" xr:uid="{F877DD39-8C68-46B3-80EE-9DFA4DDF53E4}"/>
    <cellStyle name="Ç¥ÁØ_page 2 _2003년 시설투자 계획_TPI  3" xfId="587" xr:uid="{449D0155-8848-491B-9B24-BD7E12E57DDC}"/>
    <cellStyle name="C￥AØ_page 2 _2003년 시설투자 계획_TPI  4" xfId="588" xr:uid="{C8E67940-5EF2-467A-8219-C78621D5B632}"/>
    <cellStyle name="Ç¥ÁØ_page 2 _2003년 시설투자 계획_TPI  4" xfId="589" xr:uid="{AC0DE8B5-6D92-442A-BEEB-7978FF33E256}"/>
    <cellStyle name="C￥AØ_page 2 _2003년 시설투자 계획_TPI  5" xfId="590" xr:uid="{A9732DEB-63A4-466D-A4B5-C0D354D080C6}"/>
    <cellStyle name="Ç¥ÁØ_page 2 _2003년 시설투자 계획_TPI  5" xfId="591" xr:uid="{25324939-6904-42A3-A485-188C652FAA27}"/>
    <cellStyle name="C￥AØ_page 2 _2003년 시설투자 계획_TPI  6" xfId="592" xr:uid="{6575E141-F51D-44B9-9462-A5546E65E63A}"/>
    <cellStyle name="Ç¥ÁØ_page 2 _2003년 시설투자 계획_TPI  6" xfId="593" xr:uid="{F54F018F-2D06-42D2-91D4-05C3E1434BBF}"/>
    <cellStyle name="C￥AØ_page 2 _2003년 시설투자 계획_TPI _10월생산계획" xfId="594" xr:uid="{698F34E5-67C9-4808-A586-993A8ADB0D92}"/>
    <cellStyle name="Ç¥ÁØ_page 2 _2003년 시설투자 계획_TPI _10월생산계획" xfId="595" xr:uid="{7F3BEE9B-DC0D-47C8-9BBD-4B97CD23C857}"/>
    <cellStyle name="C￥AØ_page 2 _2003년 시설투자 계획_TPI _6월생산계획" xfId="596" xr:uid="{161AD8E4-AF99-4835-868E-4975B89C5EF2}"/>
    <cellStyle name="Ç¥ÁØ_page 2 _2003년 시설투자 계획_TPI _6월생산계획" xfId="597" xr:uid="{8023B143-9CCD-49B0-878E-2C1DB09F7D28}"/>
    <cellStyle name="C￥AØ_page 2 _2003년 시설투자 계획_TPI _8월생산계획(1)" xfId="598" xr:uid="{8A25ED56-1B19-4F50-81AC-A1BCCCD2315D}"/>
    <cellStyle name="Ç¥ÁØ_page 2 _2003년 시설투자 계획_TPI _8월생산계획(1)" xfId="599" xr:uid="{E5FE67D0-5250-4DA0-AFEA-70B81BAA9C70}"/>
    <cellStyle name="C￥AØ_page 2 _2003년 시설투자 계획_TPI _8월생산계획110805" xfId="600" xr:uid="{006B035A-85B8-49F3-BDCD-980CF7CD92E6}"/>
    <cellStyle name="Ç¥ÁØ_page 2 _2003년 시설투자 계획_TPI _8월생산계획110805" xfId="601" xr:uid="{5AA662D7-5084-4E14-A703-CAE4CF7D8553}"/>
    <cellStyle name="C￥AØ_page 2 _2003년및중장기투자계획_중앙연구소_020926" xfId="602" xr:uid="{9B485049-A3ED-4EAE-8E73-1C4135271913}"/>
    <cellStyle name="Ç¥ÁØ_page 2 _2003년및중장기투자계획_중앙연구소_020926" xfId="603" xr:uid="{2B43822C-53C7-4652-9AA0-4BB3BDE4C146}"/>
    <cellStyle name="C￥AØ_page 2 _2003년투자계획수정최종0106" xfId="604" xr:uid="{B7FEDA61-E8C0-43ED-99A6-55C89DC5B291}"/>
    <cellStyle name="Ç¥ÁØ_page 2 _2003년투자계획수정최종0106" xfId="605" xr:uid="{6F139C71-3EB4-4A30-AA9A-0497A722A6AD}"/>
    <cellStyle name="C￥AØ_page 2 _2003년투자종합최종(0106)R2_code" xfId="606" xr:uid="{A88ED0A9-D450-4A70-B9CF-8392B4B388D5}"/>
    <cellStyle name="Ç¥ÁØ_page 2 _2003년투자종합최종(0106)R2_code" xfId="607" xr:uid="{D054D1B7-D664-4DFB-95CA-EA5CBFC7A1CE}"/>
    <cellStyle name="C￥AØ_page 2 _2003년투자종합최종(0106)R2_code 2" xfId="608" xr:uid="{BCE6CC98-B850-412E-8EDC-ED8711393608}"/>
    <cellStyle name="Ç¥ÁØ_page 2 _2003년투자종합최종(0106)R2_code 2" xfId="609" xr:uid="{AF059A13-82DA-4AEB-9B34-2872562A55AF}"/>
    <cellStyle name="C￥AØ_page 2 _2003년투자종합최종(0106)R2_code 3" xfId="610" xr:uid="{804A2CDE-B006-4C16-8298-8F64B9123643}"/>
    <cellStyle name="Ç¥ÁØ_page 2 _2003년투자종합최종(0106)R2_code 3" xfId="611" xr:uid="{8F2798EA-9614-4261-A7BA-E41C41146248}"/>
    <cellStyle name="C￥AØ_page 2 _2003년투자종합최종(0106)R2_code 4" xfId="612" xr:uid="{C7B76D76-DEFB-49A1-A629-8EFB05048327}"/>
    <cellStyle name="Ç¥ÁØ_page 2 _2003년투자종합최종(0106)R2_code 4" xfId="613" xr:uid="{EC09913D-665E-4092-888F-765971CB54B5}"/>
    <cellStyle name="C￥AØ_page 2 _2003년투자종합최종(0106)R2_code 5" xfId="614" xr:uid="{5FFA2BAD-70ED-407C-A18F-1751722CB88C}"/>
    <cellStyle name="Ç¥ÁØ_page 2 _2003년투자종합최종(0106)R2_code 5" xfId="615" xr:uid="{43734675-248B-436C-A8D6-44C1CDAB3DE6}"/>
    <cellStyle name="C￥AØ_page 2 _2003년투자종합최종(0106)R2_code 6" xfId="616" xr:uid="{3EEBBDB8-F4E6-47BF-AA3D-626BE185E9C7}"/>
    <cellStyle name="Ç¥ÁØ_page 2 _2003년투자종합최종(0106)R2_code 6" xfId="617" xr:uid="{1AD365B9-C31B-45FB-A6E5-502B031999FA}"/>
    <cellStyle name="C￥AØ_page 2 _2003년투자종합최종(0106)R2_code_10월생산계획" xfId="618" xr:uid="{E360A587-07F5-4F8D-875A-AD6A87FB83E3}"/>
    <cellStyle name="Ç¥ÁØ_page 2 _2003년투자종합최종(0106)R2_code_10월생산계획" xfId="619" xr:uid="{775BFFF6-4CB3-487B-B8B7-49378BFE3645}"/>
    <cellStyle name="C￥AØ_page 2 _2003년투자종합최종(0106)R2_code_6월생산계획" xfId="620" xr:uid="{B5E04135-4453-4611-8551-577FCA871956}"/>
    <cellStyle name="Ç¥ÁØ_page 2 _2003년투자종합최종(0106)R2_code_6월생산계획" xfId="621" xr:uid="{D45A0BF5-D1C8-4730-86F5-7FAB8A7A774C}"/>
    <cellStyle name="C￥AØ_page 2 _2003년투자종합최종(0106)R2_code_8월생산계획(1)" xfId="622" xr:uid="{F80F3625-760F-4B75-9573-B23085BFF82D}"/>
    <cellStyle name="Ç¥ÁØ_page 2 _2003년투자종합최종(0106)R2_code_8월생산계획(1)" xfId="623" xr:uid="{A92A55BE-77E6-4858-8B0B-1CDDF7445DC4}"/>
    <cellStyle name="C￥AØ_page 2 _2003년투자종합최종(0106)R2_code_8월생산계획110805" xfId="624" xr:uid="{0044C379-1365-4EA0-A4C2-CC6F52921DC3}"/>
    <cellStyle name="Ç¥ÁØ_page 2 _2003년투자종합최종(0106)R2_code_8월생산계획110805" xfId="625" xr:uid="{E0560F59-9867-4428-BD18-9F4455CB81F3}"/>
    <cellStyle name="C￥AØ_page 2 _2003년투자종합최종(0109)" xfId="626" xr:uid="{E20D663C-4902-4787-805D-6C4888A154E9}"/>
    <cellStyle name="Ç¥ÁØ_page 2 _2003년투자종합최종(0109)" xfId="627" xr:uid="{9526CA72-6C12-4755-A0B0-1F90625FD584}"/>
    <cellStyle name="C￥AØ_page 2 _2003년투자종합최종(0109) 2" xfId="628" xr:uid="{95ED9CF0-28D1-4DC5-B15A-BEF28BCA25CA}"/>
    <cellStyle name="Ç¥ÁØ_page 2 _2003년투자종합최종(0109) 2" xfId="629" xr:uid="{6506D62D-7BDA-4219-AC94-44E4C534C28C}"/>
    <cellStyle name="C￥AØ_page 2 _2003년투자종합최종(0109) 3" xfId="630" xr:uid="{23879DD8-D01D-4820-A82B-25C23A544FFC}"/>
    <cellStyle name="Ç¥ÁØ_page 2 _2003년투자종합최종(0109) 3" xfId="631" xr:uid="{C69F8FDC-20F2-4696-A030-D5E24F53B441}"/>
    <cellStyle name="C￥AØ_page 2 _2003년투자종합최종(0109) 4" xfId="632" xr:uid="{DD615CC2-7684-426B-9D0B-A8459C688C4A}"/>
    <cellStyle name="Ç¥ÁØ_page 2 _2003년투자종합최종(0109) 4" xfId="633" xr:uid="{D7F457AC-35C1-4580-BB8F-4677AFBE079C}"/>
    <cellStyle name="C￥AØ_page 2 _2003년투자종합최종(0109) 5" xfId="634" xr:uid="{522C2541-9F2E-4158-B130-FDCAC8A4EEFB}"/>
    <cellStyle name="Ç¥ÁØ_page 2 _2003년투자종합최종(0109) 5" xfId="635" xr:uid="{6E5AA67F-072B-4F24-8670-34E2F247B290}"/>
    <cellStyle name="C￥AØ_page 2 _2003년투자종합최종(0109) 6" xfId="636" xr:uid="{417E6518-ED7D-4A1B-A128-1C5AF6835F77}"/>
    <cellStyle name="Ç¥ÁØ_page 2 _2003년투자종합최종(0109) 6" xfId="637" xr:uid="{65536FBE-F10E-42C9-9435-5A2F8E422766}"/>
    <cellStyle name="C￥AØ_page 2 _2003년투자종합최종(0109)_10월생산계획" xfId="638" xr:uid="{A5F6DB6E-B9F8-42F2-8A65-772847278707}"/>
    <cellStyle name="Ç¥ÁØ_page 2 _2003년투자종합최종(0109)_10월생산계획" xfId="639" xr:uid="{716F7696-83DE-4D5E-BC93-A87DA8FD7755}"/>
    <cellStyle name="C￥AØ_page 2 _2003년투자종합최종(0109)_6월생산계획" xfId="640" xr:uid="{2A12BFF8-0B59-4999-A9C6-DBD156426C33}"/>
    <cellStyle name="Ç¥ÁØ_page 2 _2003년투자종합최종(0109)_6월생산계획" xfId="641" xr:uid="{9469EF1B-D52A-4705-837A-917BA910512D}"/>
    <cellStyle name="C￥AØ_page 2 _2003년투자종합최종(0109)_8월생산계획(1)" xfId="642" xr:uid="{AC1D089D-94E7-488A-8070-FFEAEA0351A9}"/>
    <cellStyle name="Ç¥ÁØ_page 2 _2003년투자종합최종(0109)_8월생산계획(1)" xfId="643" xr:uid="{6A706C4A-9387-45BC-8379-364519CCB50A}"/>
    <cellStyle name="C￥AØ_page 2 _2003년투자종합최종(0109)_8월생산계획110805" xfId="644" xr:uid="{D697A204-E3D4-447D-BC46-ECFC60FF67A9}"/>
    <cellStyle name="Ç¥ÁØ_page 2 _2003년투자종합최종(0109)_8월생산계획110805" xfId="645" xr:uid="{7064DC7E-24E3-436B-BABE-D307C2B38675}"/>
    <cellStyle name="C￥AØ_page 2 _2003년투자종합최종(12.18)사장님결재_통보용" xfId="646" xr:uid="{16DC03F3-33D9-4B48-A586-C7EC9557B65B}"/>
    <cellStyle name="Ç¥ÁØ_page 2 _2003년투자종합최종(12.18)사장님결재_통보용" xfId="647" xr:uid="{F12C7F0F-175E-4B61-8375-49E52BB4C3D3}"/>
    <cellStyle name="C￥AØ_page 2 _2003년투자종합최종(12.18)사장님결재_통보용 2" xfId="648" xr:uid="{CE71B2BA-CD31-4942-84DB-E28536788859}"/>
    <cellStyle name="Ç¥ÁØ_page 2 _2003년투자종합최종(12.18)사장님결재_통보용 2" xfId="649" xr:uid="{49C6EAAE-F98F-4A13-ACEA-62BFDF938335}"/>
    <cellStyle name="C￥AØ_page 2 _2003년투자종합최종(12.18)사장님결재_통보용 3" xfId="650" xr:uid="{5D0764E4-28B3-46CF-AE01-FAEBBF1FC632}"/>
    <cellStyle name="Ç¥ÁØ_page 2 _2003년투자종합최종(12.18)사장님결재_통보용 3" xfId="651" xr:uid="{0502F603-8CB2-4106-A6CD-176BA73AF1F1}"/>
    <cellStyle name="C￥AØ_page 2 _2003년투자종합최종(12.18)사장님결재_통보용 4" xfId="652" xr:uid="{38A0DA22-AB19-4FC5-80EE-B5562410670C}"/>
    <cellStyle name="Ç¥ÁØ_page 2 _2003년투자종합최종(12.18)사장님결재_통보용 4" xfId="653" xr:uid="{CCAE1594-984F-4FAE-A31E-D5DD297DA7AD}"/>
    <cellStyle name="C￥AØ_page 2 _2003년투자종합최종(12.18)사장님결재_통보용 5" xfId="654" xr:uid="{72482AAA-D107-41C9-9290-024EC73EE39A}"/>
    <cellStyle name="Ç¥ÁØ_page 2 _2003년투자종합최종(12.18)사장님결재_통보용 5" xfId="655" xr:uid="{41BC0F60-379F-495B-A561-EAB186606C51}"/>
    <cellStyle name="C￥AØ_page 2 _2003년투자종합최종(12.18)사장님결재_통보용 6" xfId="656" xr:uid="{DDA50473-ED9F-45F1-BE46-E1DBE96457F9}"/>
    <cellStyle name="Ç¥ÁØ_page 2 _2003년투자종합최종(12.18)사장님결재_통보용 6" xfId="657" xr:uid="{9FD42A85-ADBF-4906-98BC-A3882988F7C7}"/>
    <cellStyle name="C￥AØ_page 2 _2003년투자종합최종(12.18)사장님결재_통보용_10월생산계획" xfId="658" xr:uid="{201232E2-4522-4162-9E4F-AE4B8041056B}"/>
    <cellStyle name="Ç¥ÁØ_page 2 _2003년투자종합최종(12.18)사장님결재_통보용_10월생산계획" xfId="659" xr:uid="{3F0F270D-8191-4EBD-AF6E-B87E1971ED3E}"/>
    <cellStyle name="C￥AØ_page 2 _2003년투자종합최종(12.18)사장님결재_통보용_6월생산계획" xfId="660" xr:uid="{3EEA0200-2642-49E2-BBEB-2B9B397FF6A7}"/>
    <cellStyle name="Ç¥ÁØ_page 2 _2003년투자종합최종(12.18)사장님결재_통보용_6월생산계획" xfId="661" xr:uid="{0922DFB2-F1AB-4937-87EC-9E7344F959E8}"/>
    <cellStyle name="C￥AØ_page 2 _2003년투자종합최종(12.18)사장님결재_통보용_8월생산계획(1)" xfId="662" xr:uid="{907AA9C4-FFB6-4659-94AA-DAE801FCE96C}"/>
    <cellStyle name="Ç¥ÁØ_page 2 _2003년투자종합최종(12.18)사장님결재_통보용_8월생산계획(1)" xfId="663" xr:uid="{AF9A0FB3-9EB0-400F-BBC4-82D2D38C99AE}"/>
    <cellStyle name="C￥AØ_page 2 _2003년투자종합최종(12.18)사장님결재_통보용_8월생산계획110805" xfId="664" xr:uid="{ECFF1608-A87D-48AB-9A86-F202B77F1A79}"/>
    <cellStyle name="Ç¥ÁØ_page 2 _2003년투자종합최종(12.18)사장님결재_통보용_8월생산계획110805" xfId="665" xr:uid="{71A1FC6D-8FAB-40C1-83CF-DFC5FC10B7C0}"/>
    <cellStyle name="C￥AØ_page 2 _2003시설투자실적집계(03.08.18)대금지불기준(작업용-2)" xfId="666" xr:uid="{1E2F6966-5651-4627-A624-01E9C12935B9}"/>
    <cellStyle name="Ç¥ÁØ_page 2 _2003시설투자실적집계(03.08.18)대금지불기준(작업용-2)" xfId="667" xr:uid="{C1E38373-A0D3-43FE-8185-38B1B12DD107}"/>
    <cellStyle name="C￥AØ_page 2 _2004 기관차  생산량 검토" xfId="668" xr:uid="{240E4BC8-4C11-49D7-B71E-3BAD3ACA3554}"/>
    <cellStyle name="Ç¥ÁØ_page 2 _2004 기관차  생산량 검토" xfId="669" xr:uid="{CDF516F5-8AD4-42C4-8656-9F9899CE961D}"/>
    <cellStyle name="C￥AØ_page 2 _2004 기관차  생산량 검토 2" xfId="670" xr:uid="{9F86BD1F-9683-4149-8E65-27267B130301}"/>
    <cellStyle name="Ç¥ÁØ_page 2 _2004 기관차  생산량 검토 2" xfId="671" xr:uid="{1F726ECC-603A-4B50-B67E-161C0A0A3C5E}"/>
    <cellStyle name="C￥AØ_page 2 _2004 기관차  생산량 검토 3" xfId="672" xr:uid="{171E1779-5125-48B4-AA8E-4E68153E2596}"/>
    <cellStyle name="Ç¥ÁØ_page 2 _2004 기관차  생산량 검토 3" xfId="673" xr:uid="{141876ED-84C9-402D-927A-40152C96272C}"/>
    <cellStyle name="C￥AØ_page 2 _2004 기관차  생산량 검토 4" xfId="674" xr:uid="{D77AA83D-9198-4D6C-BA82-7D546974D290}"/>
    <cellStyle name="Ç¥ÁØ_page 2 _2004 기관차  생산량 검토 4" xfId="675" xr:uid="{D2993A44-0194-47CC-8290-BCA39F5C4E7B}"/>
    <cellStyle name="C￥AØ_page 2 _2004 기관차  생산량 검토 5" xfId="676" xr:uid="{2EBCDF06-843A-48BF-8082-BB75AA3E74F6}"/>
    <cellStyle name="Ç¥ÁØ_page 2 _2004 기관차  생산량 검토 5" xfId="677" xr:uid="{7268E6E2-D4B7-4A5E-9A65-0BCADA3282D4}"/>
    <cellStyle name="C￥AØ_page 2 _2004 기관차  생산량 검토 6" xfId="678" xr:uid="{3BD84503-9F51-431C-BEB9-2A075DC76784}"/>
    <cellStyle name="Ç¥ÁØ_page 2 _2004 기관차  생산량 검토 6" xfId="679" xr:uid="{450C0CEC-6D01-4A32-BCCA-70802D74BFE8}"/>
    <cellStyle name="C￥AØ_page 2 _2004 기관차  생산량 검토_10월생산계획" xfId="680" xr:uid="{857C6A80-913D-4E6C-91C4-8D24C9A01925}"/>
    <cellStyle name="Ç¥ÁØ_page 2 _2004 기관차  생산량 검토_10월생산계획" xfId="681" xr:uid="{221893CA-36E7-4EEA-93D2-7B3A474E37FE}"/>
    <cellStyle name="C￥AØ_page 2 _2004 기관차  생산량 검토_6월생산계획" xfId="682" xr:uid="{EBAC822C-ACB7-4028-969E-7214F43FE1F1}"/>
    <cellStyle name="Ç¥ÁØ_page 2 _2004 기관차  생산량 검토_6월생산계획" xfId="683" xr:uid="{1EE9B835-152B-4C36-9091-AE2FAFA080E2}"/>
    <cellStyle name="C￥AØ_page 2 _2004 기관차  생산량 검토_8월생산계획(1)" xfId="684" xr:uid="{CDEFBA12-F2D3-4DE8-8395-6330DFB69E9B}"/>
    <cellStyle name="Ç¥ÁØ_page 2 _2004 기관차  생산량 검토_8월생산계획(1)" xfId="685" xr:uid="{063F13CD-E15A-48D0-BEB4-341BD3CE33DB}"/>
    <cellStyle name="C￥AØ_page 2 _2004 기관차  생산량 검토_8월생산계획110805" xfId="686" xr:uid="{55792D57-B359-4297-9C2C-F85CF242CB32}"/>
    <cellStyle name="Ç¥ÁØ_page 2 _2004 기관차  생산량 검토_8월생산계획110805" xfId="687" xr:uid="{ED2283AF-B3E5-423C-9211-6A8CBDB40730}"/>
    <cellStyle name="C￥AØ_page 2 _2004기관차 생산계획 보고-040212" xfId="688" xr:uid="{68730910-9F1C-4167-8BC2-552187AD45A3}"/>
    <cellStyle name="Ç¥ÁØ_page 2 _2004기관차 생산계획 보고-040212" xfId="689" xr:uid="{55913801-BD98-40F6-911E-03A4648B7A6E}"/>
    <cellStyle name="C￥AØ_page 2 _6월생산계획" xfId="690" xr:uid="{5270402F-6BCE-4729-81F3-DD6F64999BBD}"/>
    <cellStyle name="Ç¥ÁØ_page 2 _6월생산계획" xfId="691" xr:uid="{51D6D395-EF26-4190-9FC1-F34109CAE86F}"/>
    <cellStyle name="C￥AØ_page 2 _8월생산계획(1)" xfId="692" xr:uid="{0ECD0A21-A29D-4F65-B82F-1D25744C9462}"/>
    <cellStyle name="Ç¥ÁØ_page 2 _8월생산계획(1)" xfId="693" xr:uid="{06D9E351-D647-46C5-9D81-F301E6D83E1D}"/>
    <cellStyle name="C￥AØ_page 2 _8월생산계획110805" xfId="694" xr:uid="{E2CF3C8D-9781-43BA-8CED-FD8FD1649901}"/>
    <cellStyle name="Ç¥ÁØ_page 2 _8월생산계획110805" xfId="695" xr:uid="{E654DD1E-BA31-4CE9-A9EE-78C2F5D5F928}"/>
    <cellStyle name="C￥AØ_page 2 _Book1" xfId="696" xr:uid="{ECE16794-78B1-46E1-BBC8-C7E8D3DDBA42}"/>
    <cellStyle name="Ç¥ÁØ_page 2 _Book1" xfId="697" xr:uid="{18B26496-A697-4C33-B01B-763AD40E2099}"/>
    <cellStyle name="C￥AØ_page 2 _Book2" xfId="698" xr:uid="{56923780-EF2A-4E34-AB5E-28606D771456}"/>
    <cellStyle name="Ç¥ÁØ_page 2 _Book2" xfId="699" xr:uid="{1C6AA430-D121-43BD-BEC3-E0382569C184}"/>
    <cellStyle name="C￥AØ_page 2 _Book2 2" xfId="700" xr:uid="{33436744-DC04-4DDB-9360-F14B88E06908}"/>
    <cellStyle name="Ç¥ÁØ_page 2 _Book2 2" xfId="701" xr:uid="{9983FDAE-8E75-4272-BA2E-C05F7CF4B51D}"/>
    <cellStyle name="C￥AØ_page 2 _Book2 3" xfId="702" xr:uid="{110E0F9D-8FDC-421E-A9B3-97F1B85107B7}"/>
    <cellStyle name="Ç¥ÁØ_page 2 _Book2 3" xfId="703" xr:uid="{F0AF479E-8679-4D08-8D64-B0F0E5F7086D}"/>
    <cellStyle name="C￥AØ_page 2 _Book2 4" xfId="704" xr:uid="{A010A925-37D3-4EC8-9E84-9C581ABF9B8E}"/>
    <cellStyle name="Ç¥ÁØ_page 2 _Book2 4" xfId="705" xr:uid="{2928C7DA-8E87-43FE-BD3A-28A942592D00}"/>
    <cellStyle name="C￥AØ_page 2 _Book2 5" xfId="706" xr:uid="{C5719869-2083-4B15-9836-BA0399D848A5}"/>
    <cellStyle name="Ç¥ÁØ_page 2 _Book2 5" xfId="707" xr:uid="{400E8AE7-26C2-4A35-8384-8B3F16392648}"/>
    <cellStyle name="C￥AØ_page 2 _Book2 6" xfId="708" xr:uid="{EE107826-D39E-463D-BCDD-9F73764F8217}"/>
    <cellStyle name="Ç¥ÁØ_page 2 _Book2 6" xfId="709" xr:uid="{1BDACBB9-18FF-43C3-AF05-2A8E771AE6BC}"/>
    <cellStyle name="C￥AØ_page 2 _Book2_10월생산계획" xfId="710" xr:uid="{CF9CD72E-FD14-4D27-B4A2-54EC6DA407A6}"/>
    <cellStyle name="Ç¥ÁØ_page 2 _Book2_10월생산계획" xfId="711" xr:uid="{5B85B157-AED8-4E44-AFDF-53F87EA980A9}"/>
    <cellStyle name="C￥AØ_page 2 _Book2_6월생산계획" xfId="712" xr:uid="{75DD73BF-05A9-4B5C-9AD2-62C026B4ACE6}"/>
    <cellStyle name="Ç¥ÁØ_page 2 _Book2_6월생산계획" xfId="713" xr:uid="{0028D0B6-43E7-4198-9671-6262DF32674A}"/>
    <cellStyle name="C￥AØ_page 2 _Book2_8월생산계획(1)" xfId="714" xr:uid="{BB15F70F-7856-4A9A-A11F-D53BEA97E0F6}"/>
    <cellStyle name="Ç¥ÁØ_page 2 _Book2_8월생산계획(1)" xfId="715" xr:uid="{1B881404-96B2-4594-B78C-60A2DE3886BE}"/>
    <cellStyle name="C￥AØ_page 2 _Book2_8월생산계획110805" xfId="716" xr:uid="{FDA84882-A234-4721-A639-D8B49B0FC4EE}"/>
    <cellStyle name="Ç¥ÁØ_page 2 _Book2_8월생산계획110805" xfId="717" xr:uid="{FDCEC933-1428-4C0A-9E48-02436A00392C}"/>
    <cellStyle name="C￥AØ_page 2 _J2-7003(생산효율개선계획(아테네전동차)" xfId="718" xr:uid="{4A02ABCD-3202-4610-947B-C14CBEB69F2A}"/>
    <cellStyle name="Ç¥ÁØ_page 2 _J2-7003(생산효율개선계획(아테네전동차)" xfId="719" xr:uid="{89D6240E-9236-4ED7-9406-DFCE47902471}"/>
    <cellStyle name="C￥AØ_page 2 _J4-7011(생산 효율개선계획 보고-200301)" xfId="720" xr:uid="{499C87B4-4330-47D0-9585-15B1B08F9A40}"/>
    <cellStyle name="Ç¥ÁØ_page 2 _J4-7011(생산 효율개선계획 보고-200301)" xfId="721" xr:uid="{0E9C484B-4226-4351-9E7A-CFD1ACF84844}"/>
    <cellStyle name="C￥AØ_page 2 _J4-7011(생산 효율개선계획 보고-200301) 2" xfId="722" xr:uid="{0E53E453-F210-4D06-983B-FEB24F68070E}"/>
    <cellStyle name="Ç¥ÁØ_page 2 _J4-7011(생산 효율개선계획 보고-200301) 2" xfId="723" xr:uid="{C4A6C76F-5A2E-40F2-8C75-43A4D245CED8}"/>
    <cellStyle name="C￥AØ_page 2 _J4-7011(생산 효율개선계획 보고-200301) 3" xfId="724" xr:uid="{53D96B77-B928-45A2-AA32-8A9AB2A00E00}"/>
    <cellStyle name="Ç¥ÁØ_page 2 _J4-7011(생산 효율개선계획 보고-200301) 3" xfId="725" xr:uid="{7A0B5523-846A-4979-B032-6F84BBCE082E}"/>
    <cellStyle name="C￥AØ_page 2 _J4-7011(생산 효율개선계획 보고-200301) 4" xfId="726" xr:uid="{E42BF7EE-7D2D-4AFE-8A9B-8EC624CF8490}"/>
    <cellStyle name="Ç¥ÁØ_page 2 _J4-7011(생산 효율개선계획 보고-200301) 4" xfId="727" xr:uid="{D71AD2C6-B1F1-49BD-9E8F-4964343BE179}"/>
    <cellStyle name="C￥AØ_page 2 _J4-7011(생산 효율개선계획 보고-200301) 5" xfId="728" xr:uid="{652B34A6-7BD2-4AA1-975D-F6ADE92435F5}"/>
    <cellStyle name="Ç¥ÁØ_page 2 _J4-7011(생산 효율개선계획 보고-200301) 5" xfId="729" xr:uid="{F4620CA8-C16D-40A5-9D24-19F6C1124CC2}"/>
    <cellStyle name="C￥AØ_page 2 _J4-7011(생산 효율개선계획 보고-200301) 6" xfId="730" xr:uid="{23497A37-A44A-4003-9C23-FC82CC351D54}"/>
    <cellStyle name="Ç¥ÁØ_page 2 _J4-7011(생산 효율개선계획 보고-200301) 6" xfId="731" xr:uid="{5D32DCB9-0DA2-44CF-B211-BA304C2C48F3}"/>
    <cellStyle name="C￥AØ_page 2 _J4-7011(생산 효율개선계획 보고-200301)_10월생산계획" xfId="732" xr:uid="{9C65C9D3-71AF-40A6-B493-F6C18B6EAF85}"/>
    <cellStyle name="Ç¥ÁØ_page 2 _J4-7011(생산 효율개선계획 보고-200301)_10월생산계획" xfId="733" xr:uid="{306EF7F4-1D3F-4425-BD22-0B5C87CCB520}"/>
    <cellStyle name="C￥AØ_page 2 _J4-7011(생산 효율개선계획 보고-200301)_6월생산계획" xfId="734" xr:uid="{A2609DCB-2E45-42D8-AB04-542BD021FF0E}"/>
    <cellStyle name="Ç¥ÁØ_page 2 _J4-7011(생산 효율개선계획 보고-200301)_6월생산계획" xfId="735" xr:uid="{42714820-54D0-4CA5-AF0E-1DEF301DAD27}"/>
    <cellStyle name="C￥AØ_page 2 _J4-7011(생산 효율개선계획 보고-200301)_8월생산계획(1)" xfId="736" xr:uid="{DA1127BF-49CE-4401-BA8F-80859F28F804}"/>
    <cellStyle name="Ç¥ÁØ_page 2 _J4-7011(생산 효율개선계획 보고-200301)_8월생산계획(1)" xfId="737" xr:uid="{3441A737-ED1B-4A75-9954-219E54083875}"/>
    <cellStyle name="C￥AØ_page 2 _J4-7011(생산 효율개선계획 보고-200301)_8월생산계획110805" xfId="738" xr:uid="{2A0526EB-7D06-4A46-8A01-6B2A4046E5A6}"/>
    <cellStyle name="Ç¥ÁØ_page 2 _J4-7011(생산 효율개선계획 보고-200301)_8월생산계획110805" xfId="739" xr:uid="{6D2ACE5B-C2E8-43F2-8073-709BB1E4C25A}"/>
    <cellStyle name="C￥AØ_page 2 _J4-7022(동력객차 생산효율향상 1차 보고자료(030221)" xfId="740" xr:uid="{7B0A0B25-8872-422B-BC77-4958CEE80A80}"/>
    <cellStyle name="Ç¥ÁØ_page 2 _J4-7022(동력객차 생산효율향상 1차 보고자료(030221)" xfId="741" xr:uid="{8B0819BA-7592-42C4-BCD9-CBA3D926643B}"/>
    <cellStyle name="C￥AØ_page 2 _J4-7022(동력객차 생산효율향상 1차 보고자료(030221) 2" xfId="742" xr:uid="{4E43AD89-D934-44DA-90D6-B560F7801A73}"/>
    <cellStyle name="Ç¥ÁØ_page 2 _J4-7022(동력객차 생산효율향상 1차 보고자료(030221) 2" xfId="743" xr:uid="{9ECF0B69-1D5F-4635-9D40-389FC0DC3F58}"/>
    <cellStyle name="C￥AØ_page 2 _J4-7022(동력객차 생산효율향상 1차 보고자료(030221) 3" xfId="744" xr:uid="{29EC9E2B-A801-482E-9FEC-FBD2F3A41C5D}"/>
    <cellStyle name="Ç¥ÁØ_page 2 _J4-7022(동력객차 생산효율향상 1차 보고자료(030221) 3" xfId="745" xr:uid="{766F34FC-A227-4084-AE54-B76F879F1749}"/>
    <cellStyle name="C￥AØ_page 2 _J4-7022(동력객차 생산효율향상 1차 보고자료(030221) 4" xfId="746" xr:uid="{77932B93-754B-45BF-81C9-6DCC00F40726}"/>
    <cellStyle name="Ç¥ÁØ_page 2 _J4-7022(동력객차 생산효율향상 1차 보고자료(030221) 4" xfId="747" xr:uid="{6A375DED-E911-4D0A-AAB0-76521DFB8473}"/>
    <cellStyle name="C￥AØ_page 2 _J4-7022(동력객차 생산효율향상 1차 보고자료(030221) 5" xfId="748" xr:uid="{BFCF19E2-D12A-4A06-A054-42E50D1CA848}"/>
    <cellStyle name="Ç¥ÁØ_page 2 _J4-7022(동력객차 생산효율향상 1차 보고자료(030221) 5" xfId="749" xr:uid="{59036579-4E6E-48C8-A2E1-6093B1E87EEF}"/>
    <cellStyle name="C￥AØ_page 2 _J4-7022(동력객차 생산효율향상 1차 보고자료(030221) 6" xfId="750" xr:uid="{DD62EA7B-757E-4169-A30B-2D4989066014}"/>
    <cellStyle name="Ç¥ÁØ_page 2 _J4-7022(동력객차 생산효율향상 1차 보고자료(030221) 6" xfId="751" xr:uid="{172BD140-EB1B-4E12-A1CC-AB12B488E0D8}"/>
    <cellStyle name="C￥AØ_page 2 _J4-7022(동력객차 생산효율향상 1차 보고자료(030221)_10월생산계획" xfId="752" xr:uid="{BC0C6D0D-B539-47C6-B62B-8ABEC30A914D}"/>
    <cellStyle name="Ç¥ÁØ_page 2 _J4-7022(동력객차 생산효율향상 1차 보고자료(030221)_10월생산계획" xfId="753" xr:uid="{3101C588-C2CD-471E-8160-FB79C5297422}"/>
    <cellStyle name="C￥AØ_page 2 _J4-7022(동력객차 생산효율향상 1차 보고자료(030221)_6월생산계획" xfId="754" xr:uid="{80C61794-4874-43C0-8C59-FC9B2AD9A476}"/>
    <cellStyle name="Ç¥ÁØ_page 2 _J4-7022(동력객차 생산효율향상 1차 보고자료(030221)_6월생산계획" xfId="755" xr:uid="{799C4771-6C02-42B1-AF8E-7C87621958B3}"/>
    <cellStyle name="C￥AØ_page 2 _J4-7022(동력객차 생산효율향상 1차 보고자료(030221)_8월생산계획(1)" xfId="756" xr:uid="{1BC6252A-A0D1-43AF-9803-3F29E8173C43}"/>
    <cellStyle name="Ç¥ÁØ_page 2 _J4-7022(동력객차 생산효율향상 1차 보고자료(030221)_8월생산계획(1)" xfId="757" xr:uid="{AF232D52-2413-4C0E-A0C2-7F237F43C174}"/>
    <cellStyle name="C￥AØ_page 2 _J4-7022(동력객차 생산효율향상 1차 보고자료(030221)_8월생산계획110805" xfId="758" xr:uid="{D366D98E-5DDF-4CDC-A83C-9C8FD45B56F3}"/>
    <cellStyle name="Ç¥ÁØ_page 2 _J4-7022(동력객차 생산효율향상 1차 보고자료(030221)_8월생산계획110805" xfId="759" xr:uid="{72FC52A4-359F-4554-85D0-C83D20657C47}"/>
    <cellStyle name="C￥AØ_page 2 _J4-7023(생산 효율개선 1차수 종합보고(030221)" xfId="760" xr:uid="{ED649471-3AED-42A2-8543-398420F97667}"/>
    <cellStyle name="Ç¥ÁØ_page 2 _J4-7023(생산 효율개선 1차수 종합보고(030221)" xfId="761" xr:uid="{DF64A1DE-FB95-46A0-B34C-B4D25FD04730}"/>
    <cellStyle name="C￥AØ_page 2 _J4-7024(생산 효율개선관련 팀별개선대책발표(030221))" xfId="762" xr:uid="{54FC6FB4-E5B5-4DD3-916A-B2CB87BC62D8}"/>
    <cellStyle name="Ç¥ÁØ_page 2 _J4-7024(생산 효율개선관련 팀별개선대책발표(030221))" xfId="763" xr:uid="{635A264B-F582-4C12-8DE6-9D6200C13A8C}"/>
    <cellStyle name="C￥AØ_page 2 _J4-7024(생산 효율개선관련 팀별개선대책발표(030221)) 2" xfId="764" xr:uid="{8F277D25-999C-4373-9A67-F44C31813CE7}"/>
    <cellStyle name="Ç¥ÁØ_page 2 _J4-7024(생산 효율개선관련 팀별개선대책발표(030221)) 2" xfId="765" xr:uid="{0801C16E-3748-4985-BB70-790637D0BC80}"/>
    <cellStyle name="C￥AØ_page 2 _J4-7024(생산 효율개선관련 팀별개선대책발표(030221)) 3" xfId="766" xr:uid="{E9497B17-D061-4B0A-BF5E-854428F7552B}"/>
    <cellStyle name="Ç¥ÁØ_page 2 _J4-7024(생산 효율개선관련 팀별개선대책발표(030221)) 3" xfId="767" xr:uid="{38301127-0E98-4DB8-B0F6-1994A7F5520E}"/>
    <cellStyle name="C￥AØ_page 2 _J4-7024(생산 효율개선관련 팀별개선대책발표(030221)) 4" xfId="768" xr:uid="{58D8F0DB-980D-4466-AA96-2DF2FF794328}"/>
    <cellStyle name="Ç¥ÁØ_page 2 _J4-7024(생산 효율개선관련 팀별개선대책발표(030221)) 4" xfId="769" xr:uid="{54461BA1-5761-4D15-9990-778D12050EBE}"/>
    <cellStyle name="C￥AØ_page 2 _J4-7024(생산 효율개선관련 팀별개선대책발표(030221)) 5" xfId="770" xr:uid="{0A34CF46-C54E-4FD7-9B2A-4ED52F7CE353}"/>
    <cellStyle name="Ç¥ÁØ_page 2 _J4-7024(생산 효율개선관련 팀별개선대책발표(030221)) 5" xfId="771" xr:uid="{9F76E51E-DA0C-435A-9ED9-46B2BAE81EA7}"/>
    <cellStyle name="C￥AØ_page 2 _J4-7024(생산 효율개선관련 팀별개선대책발표(030221)) 6" xfId="772" xr:uid="{17C636E9-827C-4B94-8214-5EB619571374}"/>
    <cellStyle name="Ç¥ÁØ_page 2 _J4-7024(생산 효율개선관련 팀별개선대책발표(030221)) 6" xfId="773" xr:uid="{BC254E8D-223D-4D35-80C6-E45F3DEC806A}"/>
    <cellStyle name="C￥AØ_page 2 _J4-7024(생산 효율개선관련 팀별개선대책발표(030221))_10월생산계획" xfId="774" xr:uid="{18570850-BF35-4ABC-8462-F3EA096B2B4D}"/>
    <cellStyle name="Ç¥ÁØ_page 2 _J4-7024(생산 효율개선관련 팀별개선대책발표(030221))_10월생산계획" xfId="775" xr:uid="{E684D653-43EB-4930-8A14-5374493BD4CA}"/>
    <cellStyle name="C￥AØ_page 2 _J4-7024(생산 효율개선관련 팀별개선대책발표(030221))_6월생산계획" xfId="776" xr:uid="{F75568D6-E836-4A27-A1B6-F0E2670D1F34}"/>
    <cellStyle name="Ç¥ÁØ_page 2 _J4-7024(생산 효율개선관련 팀별개선대책발표(030221))_6월생산계획" xfId="777" xr:uid="{85D5FDC7-7B1D-4BC7-9B24-D23EC98613DD}"/>
    <cellStyle name="C￥AØ_page 2 _J4-7024(생산 효율개선관련 팀별개선대책발표(030221))_8월생산계획(1)" xfId="778" xr:uid="{C2641B6B-83A5-4637-BBBE-6BFEBECB1ABC}"/>
    <cellStyle name="Ç¥ÁØ_page 2 _J4-7024(생산 효율개선관련 팀별개선대책발표(030221))_8월생산계획(1)" xfId="779" xr:uid="{7A6FF614-2BA9-4FB4-B2C7-33929A1B25AD}"/>
    <cellStyle name="C￥AØ_page 2 _J4-7024(생산 효율개선관련 팀별개선대책발표(030221))_8월생산계획110805" xfId="780" xr:uid="{9AB26031-6117-45D3-AFB3-86EC167D3116}"/>
    <cellStyle name="Ç¥ÁØ_page 2 _J4-7024(생산 효율개선관련 팀별개선대책발표(030221))_8월생산계획110805" xfId="781" xr:uid="{95BA6BEB-A091-4C60-8636-093B2F2A0DC5}"/>
    <cellStyle name="C￥AØ_page 2 _QC조직도030820-2003929" xfId="782" xr:uid="{F09C830E-F315-420C-829A-78693F9FD428}"/>
    <cellStyle name="Ç¥ÁØ_page 2 _QC조직도030820-2003929" xfId="783" xr:uid="{BD22E18B-2CA8-4DC3-ACDE-086BC63CA309}"/>
    <cellStyle name="C￥AØ_page 2 _공장장회의-20040302" xfId="784" xr:uid="{DB967B23-617C-40A5-BA14-24398F3CAC12}"/>
    <cellStyle name="Ç¥ÁØ_page 2 _공장장회의-20040302" xfId="785" xr:uid="{D4F62CAE-C046-4A8F-8CE2-06F624EFFEE4}"/>
    <cellStyle name="C￥AØ_page 2 _공장장회의-20040302 2" xfId="786" xr:uid="{501C357F-F02C-447F-BF52-0DC06C3B3CD5}"/>
    <cellStyle name="Ç¥ÁØ_page 2 _공장장회의-20040302 2" xfId="787" xr:uid="{6EB11408-A593-4828-923F-6D8C7C5C6B64}"/>
    <cellStyle name="C￥AØ_page 2 _공장장회의-20040302 3" xfId="788" xr:uid="{ABCD8BA6-10BC-4BA5-BA16-C89E9BD89A77}"/>
    <cellStyle name="Ç¥ÁØ_page 2 _공장장회의-20040302 3" xfId="789" xr:uid="{704CCF82-802B-4005-A3E3-82C1E5CF1291}"/>
    <cellStyle name="C￥AØ_page 2 _공장장회의-20040302 4" xfId="790" xr:uid="{C4FFD3FA-7537-4B71-AD2B-5D8DCCA2236E}"/>
    <cellStyle name="Ç¥ÁØ_page 2 _공장장회의-20040302 4" xfId="791" xr:uid="{1CE85CB3-7735-45D0-8507-828955EEEA6F}"/>
    <cellStyle name="C￥AØ_page 2 _공장장회의-20040302 5" xfId="792" xr:uid="{CB79AAB5-3D09-484D-BE1E-B7FC60E9C172}"/>
    <cellStyle name="Ç¥ÁØ_page 2 _공장장회의-20040302 5" xfId="793" xr:uid="{7B97DEAA-ACD9-44F0-A7F3-D1C7886E02F1}"/>
    <cellStyle name="C￥AØ_page 2 _공장장회의-20040302 6" xfId="794" xr:uid="{264B2B7D-2414-4D41-92D2-9E1B2594B006}"/>
    <cellStyle name="Ç¥ÁØ_page 2 _공장장회의-20040302 6" xfId="795" xr:uid="{50E0D404-AE61-43E9-8EE1-4B5FBEBD144B}"/>
    <cellStyle name="C￥AØ_page 2 _공장장회의-20040302_10월생산계획" xfId="796" xr:uid="{8F9466F2-0529-4F58-A808-DCC5B6E3F49C}"/>
    <cellStyle name="Ç¥ÁØ_page 2 _공장장회의-20040302_10월생산계획" xfId="797" xr:uid="{D5E69127-B664-401A-B14B-602E521ECED4}"/>
    <cellStyle name="C￥AØ_page 2 _공장장회의-20040302_6월생산계획" xfId="798" xr:uid="{A7A1C06D-122D-40A0-AE55-4CF172EDC285}"/>
    <cellStyle name="Ç¥ÁØ_page 2 _공장장회의-20040302_6월생산계획" xfId="799" xr:uid="{8BCDE6A3-C515-4D1F-8934-84167E67573E}"/>
    <cellStyle name="C￥AØ_page 2 _공장장회의-20040302_8월생산계획(1)" xfId="800" xr:uid="{4DD96A33-A119-4460-A9DE-3D2B3B92833B}"/>
    <cellStyle name="Ç¥ÁØ_page 2 _공장장회의-20040302_8월생산계획(1)" xfId="801" xr:uid="{C1A6ABD6-E1DB-42EA-8254-A94836E1ED39}"/>
    <cellStyle name="C￥AØ_page 2 _공장장회의-20040302_8월생산계획110805" xfId="802" xr:uid="{C757C1C8-19E4-488D-ABF8-BCCCE4C7C90F}"/>
    <cellStyle name="Ç¥ÁØ_page 2 _공장장회의-20040302_8월생산계획110805" xfId="803" xr:uid="{C4564C94-8CD0-4B27-B714-7772ADF50638}"/>
    <cellStyle name="C￥AØ_page 2 _공장장회의-2004316" xfId="804" xr:uid="{B425311B-E5A4-476C-AD6E-D666D2948F0A}"/>
    <cellStyle name="Ç¥ÁØ_page 2 _공장장회의-2004316" xfId="805" xr:uid="{9F07585F-BDAA-4DAB-BFFF-B9D1D27E0ED4}"/>
    <cellStyle name="C￥AØ_page 2 _관리현장구분_제출현황_2003_2월_4주" xfId="806" xr:uid="{B3ABB5E1-73B1-4115-BEEE-EBDBB1D1D640}"/>
    <cellStyle name="Ç¥ÁØ_page 2 _관리현장구분_제출현황_2003_2월_4주" xfId="807" xr:uid="{2A71B774-39A7-4DCD-ABEB-F4601CFB3259}"/>
    <cellStyle name="C￥AØ_page 2 _관리현장구분_제출현황_2003_3월_1주-200337" xfId="808" xr:uid="{103AFD35-963F-488B-BAD7-A257BF81595E}"/>
    <cellStyle name="Ç¥ÁØ_page 2 _관리현장구분_제출현황_2003_3월_1주-200337" xfId="809" xr:uid="{D56E2305-1391-40E9-93BE-2706274A3CA7}"/>
    <cellStyle name="C￥AØ_page 2 _구체대차표준mh절감추진계획(사장님보고완)" xfId="810" xr:uid="{C3C669FC-1E0D-42CA-8540-809F0F6CCD41}"/>
    <cellStyle name="Ç¥ÁØ_page 2 _구체대차표준mh절감추진계획(사장님보고완)" xfId="811" xr:uid="{8677AF79-E46C-47FE-9C1F-7254C96DF5DC}"/>
    <cellStyle name="C￥AØ_page 2 _기관차 라인 부하(방8+3량)" xfId="812" xr:uid="{91F80D76-51EB-4758-8D1E-1C10E608B4DB}"/>
    <cellStyle name="Ç¥ÁØ_page 2 _기관차 라인 부하(방8+3량)" xfId="813" xr:uid="{52623220-2735-4623-AE7A-4C87B4D1084B}"/>
    <cellStyle name="C￥AØ_page 2 _기관차 라인 부하(방8+3량) 2" xfId="814" xr:uid="{A88A376A-302F-4527-B52A-EAFA2B001178}"/>
    <cellStyle name="Ç¥ÁØ_page 2 _기관차 라인 부하(방8+3량) 2" xfId="815" xr:uid="{7B7306C8-3DFD-4C91-8F5F-1FA28F06B84C}"/>
    <cellStyle name="C￥AØ_page 2 _기관차 라인 부하(방8+3량) 3" xfId="816" xr:uid="{A7383925-841C-4CE5-9ECB-429BD50651A3}"/>
    <cellStyle name="Ç¥ÁØ_page 2 _기관차 라인 부하(방8+3량) 3" xfId="817" xr:uid="{3F96E421-909D-48B4-91C4-3647E2C02E0B}"/>
    <cellStyle name="C￥AØ_page 2 _기관차 라인 부하(방8+3량) 4" xfId="818" xr:uid="{40499D7C-21F8-485C-BA83-7CFC33078A93}"/>
    <cellStyle name="Ç¥ÁØ_page 2 _기관차 라인 부하(방8+3량) 4" xfId="819" xr:uid="{7801FCE5-1C03-4A1C-88DE-C2449C23C1CE}"/>
    <cellStyle name="C￥AØ_page 2 _기관차 라인 부하(방8+3량) 5" xfId="820" xr:uid="{CD58E312-ED9F-4E20-B033-6745D487A88E}"/>
    <cellStyle name="Ç¥ÁØ_page 2 _기관차 라인 부하(방8+3량) 5" xfId="821" xr:uid="{913709FC-51F2-499E-989F-C0DAA904893E}"/>
    <cellStyle name="C￥AØ_page 2 _기관차 라인 부하(방8+3량) 6" xfId="822" xr:uid="{968D4383-5AA7-4DF2-B781-3481DED047FF}"/>
    <cellStyle name="Ç¥ÁØ_page 2 _기관차 라인 부하(방8+3량) 6" xfId="823" xr:uid="{3E88A0B0-0EC5-4775-A0D3-28AA2AD46072}"/>
    <cellStyle name="C￥AØ_page 2 _기관차 라인 부하(방8+3량)_10월생산계획" xfId="824" xr:uid="{A3145DCB-597E-4CF5-B981-B6F041E15461}"/>
    <cellStyle name="Ç¥ÁØ_page 2 _기관차 라인 부하(방8+3량)_10월생산계획" xfId="825" xr:uid="{3F4C8662-ECB4-4DE0-99F7-4959698E24AF}"/>
    <cellStyle name="C￥AØ_page 2 _기관차 라인 부하(방8+3량)_6월생산계획" xfId="826" xr:uid="{CF0CDD08-9C41-4837-8F06-AFA31B7D0BBB}"/>
    <cellStyle name="Ç¥ÁØ_page 2 _기관차 라인 부하(방8+3량)_6월생산계획" xfId="827" xr:uid="{D44D7560-3FD9-4BB0-94B5-FFB0E9AEA688}"/>
    <cellStyle name="C￥AØ_page 2 _기관차 라인 부하(방8+3량)_8월생산계획(1)" xfId="828" xr:uid="{18AC14D5-9728-4116-B7B9-5977BFA680B2}"/>
    <cellStyle name="Ç¥ÁØ_page 2 _기관차 라인 부하(방8+3량)_8월생산계획(1)" xfId="829" xr:uid="{58FEBDC1-624D-46B2-8246-2937ECA99D5B}"/>
    <cellStyle name="C￥AØ_page 2 _기관차 라인 부하(방8+3량)_8월생산계획110805" xfId="830" xr:uid="{9EB11E14-105A-4F2E-8882-67615B8CE8F4}"/>
    <cellStyle name="Ç¥ÁØ_page 2 _기관차 라인 부하(방8+3량)_8월생산계획110805" xfId="831" xr:uid="{FAB4581D-173F-4407-820B-C4CE93603C1E}"/>
    <cellStyle name="C￥AØ_page 2 _도장진행-1.18" xfId="832" xr:uid="{9AC991C1-A55B-44CD-A860-EAB176D687DE}"/>
    <cellStyle name="Ç¥ÁØ_page 2 _도장진행-1.18" xfId="833" xr:uid="{CFA524B1-C7F1-457C-8078-F176487EAE60}"/>
    <cellStyle name="C￥AØ_page 2 _동력차생산팀 생산성저조검토0531-2003531" xfId="834" xr:uid="{A425C90D-DC79-444B-BA3B-362CEB9E5252}"/>
    <cellStyle name="Ç¥ÁØ_page 2 _동력차생산팀 생산성저조검토0531-2003531" xfId="835" xr:uid="{4CA96E85-DFAD-4C93-AB98-C0B8B0337124}"/>
    <cellStyle name="C￥AØ_page 2 _동력차생산팀 생산성저조검토0531-200369" xfId="836" xr:uid="{332F4305-FD57-45C7-B17C-A5212C96E8EB}"/>
    <cellStyle name="Ç¥ÁØ_page 2 _동력차생산팀 생산성저조검토0531-200369" xfId="837" xr:uid="{D43AB184-DC4B-47DE-A361-8FE8E5130C26}"/>
    <cellStyle name="C￥AØ_page 2 _로보트가동율 관련 자료r1" xfId="838" xr:uid="{B0A407B2-80A1-4FDB-8D8D-84BCAE47CE4E}"/>
    <cellStyle name="Ç¥ÁØ_page 2 _로보트가동율 관련 자료r1" xfId="839" xr:uid="{A51F5EFE-A4A0-45E3-9534-0FB4B165267A}"/>
    <cellStyle name="C￥AØ_page 2 _민학기차장님(3월19일)J4-7028(생산 효율개선계획 보고(동력차 2차)-20030317)" xfId="840" xr:uid="{C366885C-96F0-4BA3-8A37-5794AD9DAFD2}"/>
    <cellStyle name="Ç¥ÁØ_page 2 _민학기차장님(3월19일)J4-7028(생산 효율개선계획 보고(동력차 2차)-20030317)" xfId="841" xr:uid="{42FF2A4C-A9EE-4163-B434-91AA7D368BFA}"/>
    <cellStyle name="C￥AØ_page 2 _방글라 기본계획" xfId="842" xr:uid="{7EE7638C-939B-4CA8-B49F-4D3549624C7C}"/>
    <cellStyle name="Ç¥ÁØ_page 2 _방글라 기본계획" xfId="843" xr:uid="{01AD6050-E200-4DDF-AE8A-A7B236FB3380}"/>
    <cellStyle name="C￥AØ_page 2 _배오민(uf)" xfId="844" xr:uid="{C611AF71-6707-4027-BF0A-61328BED3C98}"/>
    <cellStyle name="Ç¥ÁØ_page 2 _배오민(uf)" xfId="845" xr:uid="{B1E883A6-3038-4250-9AA1-C49DE004ADAD}"/>
    <cellStyle name="C￥AØ_page 2 _변대호-J2-7003(생산효율개선계획(아테네전동차)" xfId="846" xr:uid="{B9191F60-FE6A-428B-9BDB-CB459B8FA395}"/>
    <cellStyle name="Ç¥ÁØ_page 2 _변대호-J2-7003(생산효율개선계획(아테네전동차)" xfId="847" xr:uid="{2C10ACF8-3642-432D-B9D6-0D58DB802251}"/>
    <cellStyle name="C￥AØ_page 2 _변대호-J4-7028(생산효율개선계획(인도전동차)" xfId="848" xr:uid="{6985A7D5-0B32-42CC-99EA-BD634D44CD78}"/>
    <cellStyle name="Ç¥ÁØ_page 2 _변대호-J4-7028(생산효율개선계획(인도전동차)" xfId="849" xr:uid="{B69EFBC0-554C-4596-9AC4-086A656896DC}"/>
    <cellStyle name="C￥AØ_page 2 _비상생산" xfId="850" xr:uid="{55FA9727-90BB-4810-870D-E312D8ED97DF}"/>
    <cellStyle name="Ç¥ÁØ_page 2 _비상생산" xfId="851" xr:uid="{2C0BDFF1-92F3-4AA3-9665-8C9FF4169F54}"/>
    <cellStyle name="C￥AØ_page 2 _비상생산_경쟁력비교" xfId="852" xr:uid="{FFA206F6-2DF1-432B-B2C6-143B97E48BB3}"/>
    <cellStyle name="Ç¥ÁØ_page 2 _비상생산_경쟁력비교" xfId="853" xr:uid="{38379983-1CD8-46B4-96CC-B42EE7B485EB}"/>
    <cellStyle name="C￥AØ_page 2 _사내외주업체" xfId="854" xr:uid="{3F8C163C-C177-4CF4-AFA3-F0986C11EE6C}"/>
    <cellStyle name="Ç¥ÁØ_page 2 _사내외주업체" xfId="855" xr:uid="{8FD74928-9521-41B5-8FE3-F5D39967B8A7}"/>
    <cellStyle name="C￥AØ_page 2 _사내외주업체_경쟁력비교" xfId="856" xr:uid="{049751E5-CD0E-4046-ACED-C057B39F552D}"/>
    <cellStyle name="Ç¥ÁØ_page 2 _사내외주업체_경쟁력비교" xfId="857" xr:uid="{D9B1F065-7807-4C70-AB74-BA9A3F477E8A}"/>
    <cellStyle name="C￥AØ_page 2 _사본 - 공장장회의-20040210-200429" xfId="858" xr:uid="{49C78879-F96C-4060-A6A5-CB49CA4027A7}"/>
    <cellStyle name="Ç¥ÁØ_page 2 _사본 - 공장장회의-20040210-200429" xfId="859" xr:uid="{0D106514-D9CD-40C7-AB3E-B103664C5FCD}"/>
    <cellStyle name="C￥AØ_page 2 _사본 - 공장장회의-20040210-200429 2" xfId="860" xr:uid="{8A8F37E9-1DF7-4E5E-B359-FE7E7F91F5F9}"/>
    <cellStyle name="Ç¥ÁØ_page 2 _사본 - 공장장회의-20040210-200429 2" xfId="861" xr:uid="{CEDCB2C1-60B4-47B8-8628-1E86A943BBCB}"/>
    <cellStyle name="C￥AØ_page 2 _사본 - 공장장회의-20040210-200429 3" xfId="862" xr:uid="{1D0B3EC9-08C4-4C09-A4A7-8C5B62DCC8A6}"/>
    <cellStyle name="Ç¥ÁØ_page 2 _사본 - 공장장회의-20040210-200429 3" xfId="863" xr:uid="{75A259A8-F92E-40E6-BC3B-D49B6E175CB9}"/>
    <cellStyle name="C￥AØ_page 2 _사본 - 공장장회의-20040210-200429 4" xfId="864" xr:uid="{33B6BA5E-8586-4999-84AC-F2A46233B0BA}"/>
    <cellStyle name="Ç¥ÁØ_page 2 _사본 - 공장장회의-20040210-200429 4" xfId="865" xr:uid="{E9FFF704-414B-424E-B410-BAD6B6F2D188}"/>
    <cellStyle name="C￥AØ_page 2 _사본 - 공장장회의-20040210-200429 5" xfId="866" xr:uid="{5ACDA46F-857D-422D-A128-677939F85DD2}"/>
    <cellStyle name="Ç¥ÁØ_page 2 _사본 - 공장장회의-20040210-200429 5" xfId="867" xr:uid="{85E05CC4-1D6E-4E82-8778-E9951F16FA41}"/>
    <cellStyle name="C￥AØ_page 2 _사본 - 공장장회의-20040210-200429 6" xfId="868" xr:uid="{9513DE01-425A-4E70-ACDF-688CA4AF1813}"/>
    <cellStyle name="Ç¥ÁØ_page 2 _사본 - 공장장회의-20040210-200429 6" xfId="869" xr:uid="{F829817B-B04D-4FC9-8619-074741C8AACA}"/>
    <cellStyle name="C￥AØ_page 2 _사본 - 공장장회의-20040210-200429_10월생산계획" xfId="870" xr:uid="{27D6A94A-4C11-4D4F-8919-5D54E7338B94}"/>
    <cellStyle name="Ç¥ÁØ_page 2 _사본 - 공장장회의-20040210-200429_10월생산계획" xfId="871" xr:uid="{1AEC0369-493B-4687-83F0-A2EBC362C335}"/>
    <cellStyle name="C￥AØ_page 2 _사본 - 공장장회의-20040210-200429_6월생산계획" xfId="872" xr:uid="{F2C40640-7149-4B7C-8422-FF471DF1602A}"/>
    <cellStyle name="Ç¥ÁØ_page 2 _사본 - 공장장회의-20040210-200429_6월생산계획" xfId="873" xr:uid="{67C43BBE-E1DD-47EA-9F3C-1F8BE05C2A52}"/>
    <cellStyle name="C￥AØ_page 2 _사본 - 공장장회의-20040210-200429_8월생산계획(1)" xfId="874" xr:uid="{BA4C6DF5-42D7-4665-985F-E15E05030CEC}"/>
    <cellStyle name="Ç¥ÁØ_page 2 _사본 - 공장장회의-20040210-200429_8월생산계획(1)" xfId="875" xr:uid="{1CD23DBE-7166-492E-B368-C4B8378AE277}"/>
    <cellStyle name="C￥AØ_page 2 _사본 - 공장장회의-20040210-200429_8월생산계획110805" xfId="876" xr:uid="{995C6A48-AEB0-4AA8-B704-602C4442CAF1}"/>
    <cellStyle name="Ç¥ÁØ_page 2 _사본 - 공장장회의-20040210-200429_8월생산계획110805" xfId="877" xr:uid="{115C5071-73B8-4D0E-9FC4-19204CBE9B66}"/>
    <cellStyle name="C￥AØ_page 2 _생산계획(SE개선후)1203배포용-2003129" xfId="878" xr:uid="{3F972B3D-67A8-4B15-9012-66DCBD4AE08F}"/>
    <cellStyle name="Ç¥ÁØ_page 2 _생산계획(SE개선후)1203배포용-2003129" xfId="879" xr:uid="{39442494-4D04-42F2-8C54-068694B8467A}"/>
    <cellStyle name="C￥AØ_page 2 _생산기술조직도-2003929" xfId="880" xr:uid="{4307E9B5-C425-4B9B-8E16-1246B9286733}"/>
    <cellStyle name="Ç¥ÁØ_page 2 _생산기술조직도-2003929" xfId="881" xr:uid="{B20261A0-DD49-4D5B-94A5-5FDC801D04B0}"/>
    <cellStyle name="C￥AØ_page 2 _생산효율개선 TFT 추진현황" xfId="882" xr:uid="{F3E03BB6-CB0B-4750-9E11-A1D5F84A84C2}"/>
    <cellStyle name="Ç¥ÁØ_page 2 _생산효율개선 TFT 추진현황" xfId="883" xr:uid="{F3C7DD6B-590E-4733-8C03-8C318974F2F0}"/>
    <cellStyle name="C￥AØ_page 2 _유연계획(4월)-양식-2004322" xfId="884" xr:uid="{E3B77140-7D77-402E-81AD-DC9CB49846DD}"/>
    <cellStyle name="Ç¥ÁØ_page 2 _유연계획(4월)-양식-2004322" xfId="885" xr:uid="{ECB2AC3F-A98A-4C53-ABFB-BCF93C702330}"/>
    <cellStyle name="C￥AØ_page 2 _이란MOCK_UP&amp;양산생산계획(1024 LEAD TIME포함)" xfId="886" xr:uid="{AC4DF2A0-3A9D-4340-AD84-463270AD8397}"/>
    <cellStyle name="Ç¥ÁØ_page 2 _이란MOCK_UP&amp;양산생산계획(1024 LEAD TIME포함)" xfId="887" xr:uid="{13222989-B3A5-4524-9EBE-69CB1C15A9B2}"/>
    <cellStyle name="C￥AØ_page 2 _일일계획(MOCK UP)" xfId="888" xr:uid="{CE3FD109-2DB8-4CDE-B218-3B432CE9781A}"/>
    <cellStyle name="Ç¥ÁØ_page 2 _일일계획(MOCK UP)" xfId="889" xr:uid="{22F23B3F-759D-4749-8DD6-88C7C8A3F3C3}"/>
    <cellStyle name="C￥AØ_page 2 _자기부상 생산만회 계획 보고-200441-200447" xfId="890" xr:uid="{E93AD203-4157-4C76-9C3A-AD989677BB0A}"/>
    <cellStyle name="Ç¥ÁØ_page 2 _자기부상 생산만회 계획 보고-200441-200447" xfId="891" xr:uid="{B69737A8-1F35-4093-91F0-08AF7E1BEFA7}"/>
    <cellStyle name="C￥AØ_page 2 _장상길-사본 - 생산 효율개선계획 보고(Series-1차)-20030324-20030327" xfId="892" xr:uid="{F189618C-1141-4783-A0E2-33A0B2399E11}"/>
    <cellStyle name="Ç¥ÁØ_page 2 _장상길-사본 - 생산 효율개선계획 보고(Series-1차)-20030324-20030327" xfId="893" xr:uid="{0F45E306-DDB5-40AD-8684-EB780D6FA884}"/>
    <cellStyle name="C￥AØ_page 2 _장상길-생산 효율개선계획 보고(Series-1차)-20030324-20030327" xfId="894" xr:uid="{814FDA30-6682-484E-B4E3-4ED29F4C8DF5}"/>
    <cellStyle name="Ç¥ÁØ_page 2 _장상길-생산 효율개선계획 보고(Series-1차)-20030324-20030327" xfId="895" xr:uid="{A00E754B-12B0-40F8-AAD8-1963DDBA860A}"/>
    <cellStyle name="C￥AØ_page 2 _장상길-생산 효율개선계획 보고(Series-2차)-20030324-20030327" xfId="896" xr:uid="{CAA52B8C-CBBD-41B3-9B31-908B3471D209}"/>
    <cellStyle name="Ç¥ÁØ_page 2 _장상길-생산 효율개선계획 보고(Series-2차)-20030324-20030327" xfId="897" xr:uid="{218AAACC-10EC-4161-8D0A-6BE73101BDA3}"/>
    <cellStyle name="C￥AØ_page 2 _전기기관차 18량 세부일정 협의-협조전 첨부용" xfId="898" xr:uid="{B7A3FCB0-A8B1-46B3-894C-2F06699B0AD0}"/>
    <cellStyle name="Ç¥ÁØ_page 2 _전기기관차 18량 세부일정 협의-협조전 첨부용" xfId="899" xr:uid="{E4EDAA96-3DBF-4757-B997-FD90F44A7EA7}"/>
    <cellStyle name="C￥AØ_page 2 _전기기관차 18량 세부일정 협의-협조전 첨부용 2" xfId="900" xr:uid="{10CEAA3E-8881-413E-9D3C-D814EA15AC23}"/>
    <cellStyle name="Ç¥ÁØ_page 2 _전기기관차 18량 세부일정 협의-협조전 첨부용 2" xfId="901" xr:uid="{3472B2F5-03B2-4FBF-8E2E-6118A32737BB}"/>
    <cellStyle name="C￥AØ_page 2 _전기기관차 18량 세부일정 협의-협조전 첨부용 3" xfId="902" xr:uid="{F9EF1F04-2F1E-4ABA-9053-0F55CB762633}"/>
    <cellStyle name="Ç¥ÁØ_page 2 _전기기관차 18량 세부일정 협의-협조전 첨부용 3" xfId="903" xr:uid="{E8AEB675-A238-4083-BCD9-0BE8678BDEBC}"/>
    <cellStyle name="C￥AØ_page 2 _전기기관차 18량 세부일정 협의-협조전 첨부용 4" xfId="904" xr:uid="{C2E41245-76B1-4743-89D3-852B972A1842}"/>
    <cellStyle name="Ç¥ÁØ_page 2 _전기기관차 18량 세부일정 협의-협조전 첨부용 4" xfId="905" xr:uid="{C31C668A-51D1-4E03-A363-0413AFA8EE32}"/>
    <cellStyle name="C￥AØ_page 2 _전기기관차 18량 세부일정 협의-협조전 첨부용 5" xfId="906" xr:uid="{D9D2A176-2674-4FC0-9F21-5EA09168662E}"/>
    <cellStyle name="Ç¥ÁØ_page 2 _전기기관차 18량 세부일정 협의-협조전 첨부용 5" xfId="907" xr:uid="{632C7787-1C02-4A8D-9367-3C2652873565}"/>
    <cellStyle name="C￥AØ_page 2 _전기기관차 18량 세부일정 협의-협조전 첨부용 6" xfId="908" xr:uid="{81EAB9C2-BD5D-49E4-B860-22D1CA9E9721}"/>
    <cellStyle name="Ç¥ÁØ_page 2 _전기기관차 18량 세부일정 협의-협조전 첨부용 6" xfId="909" xr:uid="{D130931D-30BE-46C6-A58E-36BB31B5540C}"/>
    <cellStyle name="C￥AØ_page 2 _전기기관차 18량 세부일정 협의-협조전 첨부용_10월생산계획" xfId="910" xr:uid="{02D91D79-051E-4DB6-9F2D-CB5C46387287}"/>
    <cellStyle name="Ç¥ÁØ_page 2 _전기기관차 18량 세부일정 협의-협조전 첨부용_10월생산계획" xfId="911" xr:uid="{0B9C977A-B95A-4330-B7C5-925D74905950}"/>
    <cellStyle name="C￥AØ_page 2 _전기기관차 18량 세부일정 협의-협조전 첨부용_6월생산계획" xfId="912" xr:uid="{85FB373F-5E1A-4850-B825-1BCCE3820446}"/>
    <cellStyle name="Ç¥ÁØ_page 2 _전기기관차 18량 세부일정 협의-협조전 첨부용_6월생산계획" xfId="913" xr:uid="{F1B4CD26-2FB6-41CF-B681-E3A486CBC67C}"/>
    <cellStyle name="C￥AØ_page 2 _전기기관차 18량 세부일정 협의-협조전 첨부용_8월생산계획(1)" xfId="914" xr:uid="{A2F1387F-0FD8-4485-9B9A-5C9E285B6260}"/>
    <cellStyle name="Ç¥ÁØ_page 2 _전기기관차 18량 세부일정 협의-협조전 첨부용_8월생산계획(1)" xfId="915" xr:uid="{6E822A6B-F3E1-49AA-BA88-EF1091D664FF}"/>
    <cellStyle name="C￥AØ_page 2 _전기기관차 18량 세부일정 협의-협조전 첨부용_8월생산계획110805" xfId="916" xr:uid="{31875E50-96C4-497A-B772-6A3F721EB1F5}"/>
    <cellStyle name="Ç¥ÁØ_page 2 _전기기관차 18량 세부일정 협의-협조전 첨부용_8월생산계획110805" xfId="917" xr:uid="{45A0B966-EB28-432C-A353-9E7F2B008030}"/>
    <cellStyle name="C￥AØ_page 2 _전기기관차 문제점 보고" xfId="918" xr:uid="{8C303186-48CF-41A1-9E90-2B9C7C332334}"/>
    <cellStyle name="Ç¥ÁØ_page 2 _전기기관차 문제점 보고" xfId="919" xr:uid="{33D3104F-5F68-4079-9F3D-938ECD470F53}"/>
    <cellStyle name="C￥AØ_page 2 _전기기관차 문제점 보고 2" xfId="920" xr:uid="{38E866C9-57D5-4BDC-AF35-3A27D43B88AB}"/>
    <cellStyle name="Ç¥ÁØ_page 2 _전기기관차 문제점 보고 2" xfId="921" xr:uid="{04ABD1C2-9A6A-4C8D-9F93-273B6547DB28}"/>
    <cellStyle name="C￥AØ_page 2 _전기기관차 문제점 보고 3" xfId="922" xr:uid="{4BCFED0F-6E6C-49A8-8F4A-BABCD616045B}"/>
    <cellStyle name="Ç¥ÁØ_page 2 _전기기관차 문제점 보고 3" xfId="923" xr:uid="{0D5EF969-84FE-4596-9321-D269B8CF62EA}"/>
    <cellStyle name="C￥AØ_page 2 _전기기관차 문제점 보고 4" xfId="924" xr:uid="{465A8A3A-DA95-456D-8DC5-85A4058BB327}"/>
    <cellStyle name="Ç¥ÁØ_page 2 _전기기관차 문제점 보고 4" xfId="925" xr:uid="{78A73E1D-E509-4755-86B3-0749AE32867E}"/>
    <cellStyle name="C￥AØ_page 2 _전기기관차 문제점 보고 5" xfId="926" xr:uid="{736A3B23-C9C3-46A0-80A1-A8E5C7FBB6E6}"/>
    <cellStyle name="Ç¥ÁØ_page 2 _전기기관차 문제점 보고 5" xfId="927" xr:uid="{6C72C66D-475B-4A6F-AC97-9F82F3C50B14}"/>
    <cellStyle name="C￥AØ_page 2 _전기기관차 문제점 보고 6" xfId="928" xr:uid="{208F117D-E895-41E5-A789-45585F7BEEBC}"/>
    <cellStyle name="Ç¥ÁØ_page 2 _전기기관차 문제점 보고 6" xfId="929" xr:uid="{4396B729-F943-47FE-ABD9-F853C874C09D}"/>
    <cellStyle name="C￥AØ_page 2 _전기기관차 문제점 보고_10월생산계획" xfId="930" xr:uid="{BB05A486-E0D7-42BF-A22E-EE3B81F72EC6}"/>
    <cellStyle name="Ç¥ÁØ_page 2 _전기기관차 문제점 보고_10월생산계획" xfId="931" xr:uid="{E3A3CC3B-4CC4-4A70-BE9F-8697DD188459}"/>
    <cellStyle name="C￥AØ_page 2 _전기기관차 문제점 보고_6월생산계획" xfId="932" xr:uid="{B98757C1-D7F9-43D3-A96E-1CCAE8BC95F3}"/>
    <cellStyle name="Ç¥ÁØ_page 2 _전기기관차 문제점 보고_6월생산계획" xfId="933" xr:uid="{F909E9FA-BCAA-4D96-803A-92A98FD8E0AC}"/>
    <cellStyle name="C￥AØ_page 2 _전기기관차 문제점 보고_8월생산계획(1)" xfId="934" xr:uid="{533D75DD-3D4A-4FA9-A460-111BE757D8E1}"/>
    <cellStyle name="Ç¥ÁØ_page 2 _전기기관차 문제점 보고_8월생산계획(1)" xfId="935" xr:uid="{BDE07CAD-F222-40C8-AF71-E8300186511D}"/>
    <cellStyle name="C￥AØ_page 2 _전기기관차 문제점 보고_8월생산계획110805" xfId="936" xr:uid="{28877A57-32F4-4B01-83E0-7AC2719B85BE}"/>
    <cellStyle name="Ç¥ÁØ_page 2 _전기기관차 문제점 보고_8월생산계획110805" xfId="937" xr:uid="{F7DB88F2-10E7-4882-86F2-A799387641C1}"/>
    <cellStyle name="C￥AØ_page 2 _전체 제작일정12.29" xfId="938" xr:uid="{A62169B8-FCDF-40AD-AE77-E2DC66A4C5D6}"/>
    <cellStyle name="Ç¥ÁØ_page 2 _전체 제작일정12.29" xfId="939" xr:uid="{6A9BD7D7-ECA1-4D19-A78D-048E7D9FDFEC}"/>
    <cellStyle name="C￥AØ_page 2 _전체 제작일정12.29 2" xfId="940" xr:uid="{89B50A98-EC3C-4A60-AFF3-7E7A38CA4782}"/>
    <cellStyle name="Ç¥ÁØ_page 2 _전체 제작일정12.29 2" xfId="941" xr:uid="{6C9A729F-3BBF-4D46-BE98-B27CCB1281BB}"/>
    <cellStyle name="C￥AØ_page 2 _전체 제작일정12.29 3" xfId="942" xr:uid="{01844DA6-EB6D-4DDA-95E8-D2707FDD2344}"/>
    <cellStyle name="Ç¥ÁØ_page 2 _전체 제작일정12.29 3" xfId="943" xr:uid="{88E98A8B-D4BE-43AC-AB69-BBE8963528FB}"/>
    <cellStyle name="C￥AØ_page 2 _전체 제작일정12.29 4" xfId="944" xr:uid="{F52B086B-2BC3-4592-BFC1-93437420E75A}"/>
    <cellStyle name="Ç¥ÁØ_page 2 _전체 제작일정12.29 4" xfId="945" xr:uid="{0D96A1DB-71F5-4705-9BDB-8FD53BA6B595}"/>
    <cellStyle name="C￥AØ_page 2 _전체 제작일정12.29 5" xfId="946" xr:uid="{B0B72E0C-BAAE-4C8D-8862-CC44B0B8333E}"/>
    <cellStyle name="Ç¥ÁØ_page 2 _전체 제작일정12.29 5" xfId="947" xr:uid="{E0D56303-F3AC-4F93-AC75-A60DCD225D00}"/>
    <cellStyle name="C￥AØ_page 2 _전체 제작일정12.29 6" xfId="948" xr:uid="{600407B0-C3CD-488D-BFA6-32511AA372FF}"/>
    <cellStyle name="Ç¥ÁØ_page 2 _전체 제작일정12.29 6" xfId="949" xr:uid="{C55511E3-3E1D-4FBA-98BD-8A712BA3C45F}"/>
    <cellStyle name="C￥AØ_page 2 _전체 제작일정12.29_10월생산계획" xfId="950" xr:uid="{7C52EEAE-4938-49D3-B908-03C8381F43E7}"/>
    <cellStyle name="Ç¥ÁØ_page 2 _전체 제작일정12.29_10월생산계획" xfId="951" xr:uid="{44705D54-B9E2-4AB1-8451-24EED89BB5EE}"/>
    <cellStyle name="C￥AØ_page 2 _전체 제작일정12.29_6월생산계획" xfId="952" xr:uid="{CFA2BCA3-8E9B-40C9-A08F-D3AD3677D90E}"/>
    <cellStyle name="Ç¥ÁØ_page 2 _전체 제작일정12.29_6월생산계획" xfId="953" xr:uid="{854F941A-A12C-4216-86B3-8E8BCD09C255}"/>
    <cellStyle name="C￥AØ_page 2 _전체 제작일정12.29_8월생산계획(1)" xfId="954" xr:uid="{D0C78015-8F74-4BBB-BB06-24A6463F71FD}"/>
    <cellStyle name="Ç¥ÁØ_page 2 _전체 제작일정12.29_8월생산계획(1)" xfId="955" xr:uid="{4BEC7B71-FAC3-4450-90BE-DBC10373FB9B}"/>
    <cellStyle name="C￥AØ_page 2 _전체 제작일정12.29_8월생산계획110805" xfId="956" xr:uid="{1BF68CAA-D738-42BD-8906-AC1B1B2FF8D4}"/>
    <cellStyle name="Ç¥ÁØ_page 2 _전체 제작일정12.29_8월생산계획110805" xfId="957" xr:uid="{C001C587-C4F8-4125-AE0D-0B7CC8A7BA1D}"/>
    <cellStyle name="C￥AØ_page 2 _전체 제작일정2.3(8+3)" xfId="958" xr:uid="{226147C5-C664-441C-9083-B629ED0E7DF9}"/>
    <cellStyle name="Ç¥ÁØ_page 2 _전체 제작일정2.3(8+3)" xfId="959" xr:uid="{529ED12F-DDB8-4CA8-88BC-59A6E55FF0B9}"/>
    <cellStyle name="C￥AØ_page 2 _전체 제작일정2.3(8+3) 2" xfId="960" xr:uid="{0FFA16A7-F1D9-451C-859B-C7B616ACFC56}"/>
    <cellStyle name="Ç¥ÁØ_page 2 _전체 제작일정2.3(8+3) 2" xfId="961" xr:uid="{51A1B79F-9C99-496C-BC40-89CA5FCC8F41}"/>
    <cellStyle name="C￥AØ_page 2 _전체 제작일정2.3(8+3) 3" xfId="962" xr:uid="{2559EAD6-3181-4B50-A5E3-495047DA310D}"/>
    <cellStyle name="Ç¥ÁØ_page 2 _전체 제작일정2.3(8+3) 3" xfId="963" xr:uid="{977D047E-AA98-4F47-ACFA-5189D4211215}"/>
    <cellStyle name="C￥AØ_page 2 _전체 제작일정2.3(8+3) 4" xfId="964" xr:uid="{BD6441BD-1E10-4088-8D25-00F179A8B8D8}"/>
    <cellStyle name="Ç¥ÁØ_page 2 _전체 제작일정2.3(8+3) 4" xfId="965" xr:uid="{0238AA8B-884D-4969-AEBC-D6C8E823AA2C}"/>
    <cellStyle name="C￥AØ_page 2 _전체 제작일정2.3(8+3) 5" xfId="966" xr:uid="{07EA7895-86EC-4FE4-8225-DBDA6B851A19}"/>
    <cellStyle name="Ç¥ÁØ_page 2 _전체 제작일정2.3(8+3) 5" xfId="967" xr:uid="{E2E9C68E-AFA7-4F7A-864C-D27CE482AE9E}"/>
    <cellStyle name="C￥AØ_page 2 _전체 제작일정2.3(8+3) 6" xfId="968" xr:uid="{8C7F20D0-F2DE-47FD-BE78-BE5E0300E34C}"/>
    <cellStyle name="Ç¥ÁØ_page 2 _전체 제작일정2.3(8+3) 6" xfId="969" xr:uid="{480144A9-A113-41A8-AD2A-B76BF325580E}"/>
    <cellStyle name="C￥AØ_page 2 _전체 제작일정2.3(8+3)_10월생산계획" xfId="970" xr:uid="{194E5FA4-E259-456D-A3C2-B44F12948F05}"/>
    <cellStyle name="Ç¥ÁØ_page 2 _전체 제작일정2.3(8+3)_10월생산계획" xfId="971" xr:uid="{CCCE9D8E-5C18-444B-9407-75E13F7E841C}"/>
    <cellStyle name="C￥AØ_page 2 _전체 제작일정2.3(8+3)_6월생산계획" xfId="972" xr:uid="{4E6EEFC0-DAE4-49F7-BC74-DEC76ED1FC53}"/>
    <cellStyle name="Ç¥ÁØ_page 2 _전체 제작일정2.3(8+3)_6월생산계획" xfId="973" xr:uid="{D7E9E872-3789-4539-A5BD-8761EF748719}"/>
    <cellStyle name="C￥AØ_page 2 _전체 제작일정2.3(8+3)_8월생산계획(1)" xfId="974" xr:uid="{16C539C8-F9F7-4EB1-8267-6AE4E55574ED}"/>
    <cellStyle name="Ç¥ÁØ_page 2 _전체 제작일정2.3(8+3)_8월생산계획(1)" xfId="975" xr:uid="{29FA3731-A293-4EF3-BFEE-E6C536923211}"/>
    <cellStyle name="C￥AØ_page 2 _전체 제작일정2.3(8+3)_8월생산계획110805" xfId="976" xr:uid="{F30BD09A-71C2-4BC0-93D2-E6767F6BFBB9}"/>
    <cellStyle name="Ç¥ÁØ_page 2 _전체 제작일정2.3(8+3)_8월생산계획110805" xfId="977" xr:uid="{53020BF3-09DA-4CE8-A584-C1E1C647BB70}"/>
    <cellStyle name="C￥AØ_page 2 _제작일정R1 1.28" xfId="978" xr:uid="{24E0B5FD-30A1-46BD-B3EA-9CDA18938BE0}"/>
    <cellStyle name="Ç¥ÁØ_page 2 _제작일정R1 1.28" xfId="979" xr:uid="{DA9F4060-652E-42A7-9648-FB9879A6DC10}"/>
    <cellStyle name="C￥AØ_page 2 _제작일정R1 1.28 2" xfId="980" xr:uid="{A45DDFA7-7A2B-483C-9FD6-17D92A99B813}"/>
    <cellStyle name="Ç¥ÁØ_page 2 _제작일정R1 1.28 2" xfId="981" xr:uid="{68221747-640C-4DF1-AF39-A1EFBB8114E4}"/>
    <cellStyle name="C￥AØ_page 2 _제작일정R1 1.28 3" xfId="982" xr:uid="{779F9D09-81FA-4F62-8745-308BB28BF79A}"/>
    <cellStyle name="Ç¥ÁØ_page 2 _제작일정R1 1.28 3" xfId="983" xr:uid="{BBBC0542-DB07-4C2D-817D-B3E27B1097BC}"/>
    <cellStyle name="C￥AØ_page 2 _제작일정R1 1.28 4" xfId="984" xr:uid="{725B4435-D787-4AF4-9107-1A59B7B76F2B}"/>
    <cellStyle name="Ç¥ÁØ_page 2 _제작일정R1 1.28 4" xfId="985" xr:uid="{B8E7349C-8338-42E0-B3F5-3120445BEF01}"/>
    <cellStyle name="C￥AØ_page 2 _제작일정R1 1.28 5" xfId="986" xr:uid="{EBA1F374-7A56-479B-8100-A067B29EF5E5}"/>
    <cellStyle name="Ç¥ÁØ_page 2 _제작일정R1 1.28 5" xfId="987" xr:uid="{DF0AB855-A2D9-4CA4-BA03-47F532F44029}"/>
    <cellStyle name="C￥AØ_page 2 _제작일정R1 1.28 6" xfId="988" xr:uid="{91D3DD4C-6BA0-4341-BD99-7EC289E906A3}"/>
    <cellStyle name="Ç¥ÁØ_page 2 _제작일정R1 1.28 6" xfId="989" xr:uid="{095BF460-6040-4B37-90EB-F4E06DF86D69}"/>
    <cellStyle name="C￥AØ_page 2 _제작일정R1 1.28_10월생산계획" xfId="990" xr:uid="{DCB7755C-78B6-481A-B38D-33EB26D1A828}"/>
    <cellStyle name="Ç¥ÁØ_page 2 _제작일정R1 1.28_10월생산계획" xfId="991" xr:uid="{C83CD811-BB7E-44F3-8190-1E470B07EEF3}"/>
    <cellStyle name="C￥AØ_page 2 _제작일정R1 1.28_6월생산계획" xfId="992" xr:uid="{5139878A-48D5-46E2-817F-14E501E45BD4}"/>
    <cellStyle name="Ç¥ÁØ_page 2 _제작일정R1 1.28_6월생산계획" xfId="993" xr:uid="{65C69255-76C7-47AA-8BBE-C3A173546168}"/>
    <cellStyle name="C￥AØ_page 2 _제작일정R1 1.28_8월생산계획(1)" xfId="994" xr:uid="{2FD04178-CC83-43CA-9F17-486AB00BDE8C}"/>
    <cellStyle name="Ç¥ÁØ_page 2 _제작일정R1 1.28_8월생산계획(1)" xfId="995" xr:uid="{B7D11720-6910-4097-BB0A-ABDE2C71BD09}"/>
    <cellStyle name="C￥AØ_page 2 _제작일정R1 1.28_8월생산계획110805" xfId="996" xr:uid="{F0E19C3B-4091-46C9-A581-21B92855FA55}"/>
    <cellStyle name="Ç¥ÁØ_page 2 _제작일정R1 1.28_8월생산계획110805" xfId="997" xr:uid="{6432D231-E302-4B60-8FE9-7E0D1214BFCD}"/>
    <cellStyle name="C￥AØ_page 2 _조직도" xfId="998" xr:uid="{4A6D1B06-7D84-4B84-B2D3-DC3DE37F32B1}"/>
    <cellStyle name="Ç¥ÁØ_page 2 _조직도" xfId="999" xr:uid="{43ED42EC-E253-4C7D-A637-99B3AEE4C461}"/>
    <cellStyle name="C￥AØ_page 2 _조직도 2" xfId="1000" xr:uid="{B32A74D4-C8FE-4648-96D1-F0AE6712AF6A}"/>
    <cellStyle name="Ç¥ÁØ_page 2 _조직도 2" xfId="1001" xr:uid="{1517E0A9-B0FC-4D51-A50F-F1EEA7B11F8B}"/>
    <cellStyle name="C￥AØ_page 2 _조직도 3" xfId="1002" xr:uid="{F968992B-53D9-45FB-B32D-88A6F0DBC35F}"/>
    <cellStyle name="Ç¥ÁØ_page 2 _조직도 3" xfId="1003" xr:uid="{DA71FA66-9E3A-4F6F-B54C-105858B22326}"/>
    <cellStyle name="C￥AØ_page 2 _조직도 4" xfId="1004" xr:uid="{82BA9FF3-EC6C-4EDA-8C47-31E8FB09FB1E}"/>
    <cellStyle name="Ç¥ÁØ_page 2 _조직도 4" xfId="1005" xr:uid="{175A8AAA-048A-4755-B425-F1136196FFA9}"/>
    <cellStyle name="C￥AØ_page 2 _조직도 5" xfId="1006" xr:uid="{81EF6F3A-3882-4C8D-B4C4-430510B8CFCC}"/>
    <cellStyle name="Ç¥ÁØ_page 2 _조직도 5" xfId="1007" xr:uid="{12940F26-06F8-4869-849A-5B475B2F85DB}"/>
    <cellStyle name="C￥AØ_page 2 _조직도 6" xfId="1008" xr:uid="{F92591B3-2279-4F62-9F1A-1197C3C9F923}"/>
    <cellStyle name="Ç¥ÁØ_page 2 _조직도 6" xfId="1009" xr:uid="{3AAA2FA1-A2F9-4EF9-8A0C-9C5EE8CA4D07}"/>
    <cellStyle name="C￥AØ_page 2 _조직도_10월생산계획" xfId="1010" xr:uid="{9CDFB41A-8753-411B-9198-CDD2AC0F2353}"/>
    <cellStyle name="Ç¥ÁØ_page 2 _조직도_10월생산계획" xfId="1011" xr:uid="{6CA9C86D-CD1F-4E5F-ABDE-BDDD33614E07}"/>
    <cellStyle name="C￥AØ_page 2 _조직도_6월생산계획" xfId="1012" xr:uid="{2ABFF3C1-58DE-4004-BD4F-4816A5EF2C80}"/>
    <cellStyle name="Ç¥ÁØ_page 2 _조직도_6월생산계획" xfId="1013" xr:uid="{C2259CFD-66E6-4268-AA50-A53E45BDE978}"/>
    <cellStyle name="C￥AØ_page 2 _조직도_8월생산계획(1)" xfId="1014" xr:uid="{2A7F36AB-10B2-497F-A581-A35C63F29B19}"/>
    <cellStyle name="Ç¥ÁØ_page 2 _조직도_8월생산계획(1)" xfId="1015" xr:uid="{39290623-9CA1-4776-8083-7A5B1E3E9B10}"/>
    <cellStyle name="C￥AØ_page 2 _조직도_8월생산계획110805" xfId="1016" xr:uid="{FAD97A24-C727-4B7F-9143-72FBF8AB41CA}"/>
    <cellStyle name="Ç¥ÁØ_page 2 _조직도_8월생산계획110805" xfId="1017" xr:uid="{4D538705-C721-4DC5-A3A1-66442067FAE4}"/>
    <cellStyle name="C￥AØ_page 2 _주간공정회의자료(3월11일)부문장주재" xfId="1018" xr:uid="{AAEA2CB0-3AF9-4A60-98CF-F0D7B11E33FF}"/>
    <cellStyle name="Ç¥ÁØ_page 2 _주간공정회의자료(3월11일)부문장주재" xfId="1019" xr:uid="{E103FF1F-C353-4E55-A217-F0040B47B4FF}"/>
    <cellStyle name="C￥AØ_page 2 _주간공정회의자료(3월11일)부문장주재 2" xfId="1020" xr:uid="{20160C45-C83D-44BD-B379-7F872C335117}"/>
    <cellStyle name="Ç¥ÁØ_page 2 _주간공정회의자료(3월11일)부문장주재 2" xfId="1021" xr:uid="{CBB228F2-F770-46A6-A9E4-8E028C2000AF}"/>
    <cellStyle name="C￥AØ_page 2 _주간공정회의자료(3월11일)부문장주재 3" xfId="1022" xr:uid="{184D0A5C-2658-42E1-8F9D-805DDBE1559B}"/>
    <cellStyle name="Ç¥ÁØ_page 2 _주간공정회의자료(3월11일)부문장주재 3" xfId="1023" xr:uid="{E002922D-5E10-4DC0-B2B2-82D650004AAC}"/>
    <cellStyle name="C￥AØ_page 2 _주간공정회의자료(3월11일)부문장주재 4" xfId="1024" xr:uid="{DA1B8C02-6BDC-4A52-9819-AF9049056338}"/>
    <cellStyle name="Ç¥ÁØ_page 2 _주간공정회의자료(3월11일)부문장주재 4" xfId="1025" xr:uid="{413731B0-3FB6-4B9B-B31E-35C49E59DE50}"/>
    <cellStyle name="C￥AØ_page 2 _주간공정회의자료(3월11일)부문장주재 5" xfId="1026" xr:uid="{055D6667-ECBD-4270-83F1-46B82394E18C}"/>
    <cellStyle name="Ç¥ÁØ_page 2 _주간공정회의자료(3월11일)부문장주재 5" xfId="1027" xr:uid="{3622EC7E-501B-45AA-A7BA-78434618BB03}"/>
    <cellStyle name="C￥AØ_page 2 _주간공정회의자료(3월11일)부문장주재 6" xfId="1028" xr:uid="{AE108415-5F5B-44DC-8DC8-887D9958E0BF}"/>
    <cellStyle name="Ç¥ÁØ_page 2 _주간공정회의자료(3월11일)부문장주재 6" xfId="1029" xr:uid="{9D062894-E276-42A4-8B90-3A2AE2484274}"/>
    <cellStyle name="C￥AØ_page 2 _주간공정회의자료(3월11일)부문장주재_10월생산계획" xfId="1030" xr:uid="{B50221CE-27C0-4B9E-A36A-E48B7E2A7B4D}"/>
    <cellStyle name="Ç¥ÁØ_page 2 _주간공정회의자료(3월11일)부문장주재_10월생산계획" xfId="1031" xr:uid="{CEB01DF8-F0B8-4766-9483-C32D7A6BCC2E}"/>
    <cellStyle name="C￥AØ_page 2 _주간공정회의자료(3월11일)부문장주재_6월생산계획" xfId="1032" xr:uid="{D67B443E-16A4-415C-B54C-DF99E98F3B87}"/>
    <cellStyle name="Ç¥ÁØ_page 2 _주간공정회의자료(3월11일)부문장주재_6월생산계획" xfId="1033" xr:uid="{E0A92DC6-6DF3-4005-ACF0-F3F298D25B4C}"/>
    <cellStyle name="C￥AØ_page 2 _주간공정회의자료(3월11일)부문장주재_8월생산계획(1)" xfId="1034" xr:uid="{E225BDF4-603B-4405-8785-0E876A90CBD5}"/>
    <cellStyle name="Ç¥ÁØ_page 2 _주간공정회의자료(3월11일)부문장주재_8월생산계획(1)" xfId="1035" xr:uid="{A6931148-8BD2-468F-8C49-E6A2C7C71485}"/>
    <cellStyle name="C￥AØ_page 2 _주간공정회의자료(3월11일)부문장주재_8월생산계획110805" xfId="1036" xr:uid="{326F585D-E67F-4086-9B97-E23FBF3C66EF}"/>
    <cellStyle name="Ç¥ÁØ_page 2 _주간공정회의자료(3월11일)부문장주재_8월생산계획110805" xfId="1037" xr:uid="{7F707671-BCC3-404B-8ABE-BC90728B4D63}"/>
    <cellStyle name="C￥AØ_page 2 _주간공정회의자료(3월4일)부문장주재-200438" xfId="1038" xr:uid="{9857635D-98BB-43C5-B6C7-ADB5A89CF567}"/>
    <cellStyle name="Ç¥ÁØ_page 2 _주간공정회의자료(3월4일)부문장주재-200438" xfId="1039" xr:uid="{7DD40871-2076-4ACD-BC33-56F1D2E3948D}"/>
    <cellStyle name="C￥AØ_page 2 _주간공정회의자료(3월4일)부문장주재-200438 2" xfId="1040" xr:uid="{F720FDC0-8020-4468-9960-C401785FD3FC}"/>
    <cellStyle name="Ç¥ÁØ_page 2 _주간공정회의자료(3월4일)부문장주재-200438 2" xfId="1041" xr:uid="{E6AE0187-4463-4499-9990-6E6E2DF6A21C}"/>
    <cellStyle name="C￥AØ_page 2 _주간공정회의자료(3월4일)부문장주재-200438 3" xfId="1042" xr:uid="{200E7A60-D18C-47BC-B996-4595E0CECF1A}"/>
    <cellStyle name="Ç¥ÁØ_page 2 _주간공정회의자료(3월4일)부문장주재-200438 3" xfId="1043" xr:uid="{1A95E204-90F2-4D58-8306-67B0DB125CDB}"/>
    <cellStyle name="C￥AØ_page 2 _주간공정회의자료(3월4일)부문장주재-200438 4" xfId="1044" xr:uid="{1C04E40D-0C33-494A-9D6F-A97F1FDAE71D}"/>
    <cellStyle name="Ç¥ÁØ_page 2 _주간공정회의자료(3월4일)부문장주재-200438 4" xfId="1045" xr:uid="{BAED9FC5-B23D-4EDF-86BE-EF6AD218BB6F}"/>
    <cellStyle name="C￥AØ_page 2 _주간공정회의자료(3월4일)부문장주재-200438 5" xfId="1046" xr:uid="{DEB136F3-1C92-4D25-BE10-9DB421AB5AE5}"/>
    <cellStyle name="Ç¥ÁØ_page 2 _주간공정회의자료(3월4일)부문장주재-200438 5" xfId="1047" xr:uid="{39DB79A2-99E8-4FF0-B31C-A63A3CEF73D0}"/>
    <cellStyle name="C￥AØ_page 2 _주간공정회의자료(3월4일)부문장주재-200438 6" xfId="1048" xr:uid="{738C7342-E13B-4708-9A0B-0FE2371CCF39}"/>
    <cellStyle name="Ç¥ÁØ_page 2 _주간공정회의자료(3월4일)부문장주재-200438 6" xfId="1049" xr:uid="{18B2D8B7-DAA8-4FF9-9694-7C3930F7D24B}"/>
    <cellStyle name="C￥AØ_page 2 _주간공정회의자료(3월4일)부문장주재-200438_10월생산계획" xfId="1050" xr:uid="{F614026E-200A-44DA-84DB-EF8F976DA4AB}"/>
    <cellStyle name="Ç¥ÁØ_page 2 _주간공정회의자료(3월4일)부문장주재-200438_10월생산계획" xfId="1051" xr:uid="{130E7839-403E-4BDE-9BF3-C19A333EC35D}"/>
    <cellStyle name="C￥AØ_page 2 _주간공정회의자료(3월4일)부문장주재-200438_6월생산계획" xfId="1052" xr:uid="{68B1AA2C-BCFA-4356-BA85-49746811197A}"/>
    <cellStyle name="Ç¥ÁØ_page 2 _주간공정회의자료(3월4일)부문장주재-200438_6월생산계획" xfId="1053" xr:uid="{E8DCA707-0D4E-40D1-91CC-621DF37DF608}"/>
    <cellStyle name="C￥AØ_page 2 _주간공정회의자료(3월4일)부문장주재-200438_8월생산계획(1)" xfId="1054" xr:uid="{053E7228-2821-404C-AC9F-C32E6EA20115}"/>
    <cellStyle name="Ç¥ÁØ_page 2 _주간공정회의자료(3월4일)부문장주재-200438_8월생산계획(1)" xfId="1055" xr:uid="{EE7263B1-9F2C-410C-B90A-859BB73F82B5}"/>
    <cellStyle name="C￥AØ_page 2 _주간공정회의자료(3월4일)부문장주재-200438_8월생산계획110805" xfId="1056" xr:uid="{E98A0C6E-DA50-4505-AFF5-15F5204868F5}"/>
    <cellStyle name="Ç¥ÁØ_page 2 _주간공정회의자료(3월4일)부문장주재-200438_8월생산계획110805" xfId="1057" xr:uid="{4912C2DE-6C2E-4B6F-A661-61B7FB23C5D3}"/>
    <cellStyle name="C￥AØ_page 2 _철도청 전동차 개조 14량 생산 계획(2002.3.26)" xfId="1058" xr:uid="{5D616730-C6EE-4BF7-A866-5D4B5E420BC6}"/>
    <cellStyle name="Ç¥ÁØ_page 2 _철도청 전동차 개조 14량 생산 계획(2002.3.26)" xfId="1059" xr:uid="{36190F58-CCE6-41F4-93D8-C6BD2B0A01E3}"/>
    <cellStyle name="C￥AØ_page 2 _철차부문중장기 투자계획최종안R1" xfId="1060" xr:uid="{7CC4B45D-F01C-4393-98A9-079A67CA9AC7}"/>
    <cellStyle name="Ç¥ÁØ_page 2 _철차부문중장기 투자계획최종안R1" xfId="1061" xr:uid="{39D4111B-6454-4E03-B842-9F6B6CA28B92}"/>
    <cellStyle name="C￥AØ_page 2 _플랜트연구팀-2003년도투자계획-021114" xfId="1062" xr:uid="{53CC6FF9-FEC0-4687-91E3-7926F6ECB6DD}"/>
    <cellStyle name="Ç¥ÁØ_page 2 _플랜트연구팀-2003년도투자계획-021114" xfId="1063" xr:uid="{01C8C43C-5C5A-4FEB-91DD-439187B6FB9D}"/>
    <cellStyle name="C￥AØ_page 2 _효율9월1주(전장1,3반)-2003918-2003919" xfId="1064" xr:uid="{BBE62B67-CCDA-45CB-83B0-E3CA587C2FEE}"/>
    <cellStyle name="Ç¥ÁØ_page 2 _효율9월1주(전장1,3반)-2003918-2003919" xfId="1065" xr:uid="{A85D06A0-5D20-4CF2-A227-2E1AA49CE707}"/>
    <cellStyle name="C￥AØ_RDTR99ML " xfId="1066" xr:uid="{1677CE58-C52D-44DD-BE5B-7EA120BF29C2}"/>
    <cellStyle name="Ç¥ÁØ_RDTR99ML " xfId="1067" xr:uid="{29F5B105-75AB-46B7-A759-91BF7F4D0C83}"/>
    <cellStyle name="C￥AØ_Sheet1_¿μ¾÷CoE² " xfId="1068" xr:uid="{CACF36EF-5050-472E-BF46-22489705A86B}"/>
    <cellStyle name="Ç¥ÁØ_Sheet1_0N-HANDLING " xfId="1069" xr:uid="{9984A2CC-A8F7-4C0B-8EFF-6815C18429A3}"/>
    <cellStyle name="C￥AØ_Sheet1_Ay°eC￥(2¿u) " xfId="1070" xr:uid="{D098FB33-89FD-43C0-A178-757357D8DC5D}"/>
    <cellStyle name="Ç¥ÁØ_Sheet1_Áý°èÇ¥(2¿ù) " xfId="1071" xr:uid="{21730FE9-6423-4E48-92EA-49700E8A1F92}"/>
    <cellStyle name="C￥AØ_SMG-CKD-d1.1 " xfId="1072" xr:uid="{9038FE58-4E02-48E4-93CA-DB5567F177F2}"/>
    <cellStyle name="Ç¥ÁØ_SMG-CKD-d1.1 " xfId="1073" xr:uid="{EE74DB12-CE50-42F6-916D-23F9FB45E9D0}"/>
    <cellStyle name="C￥AØ_WIPER " xfId="1074" xr:uid="{522269BA-F545-4297-A096-2A43C69D8017}"/>
    <cellStyle name="Ç¥ÁØ_WIPER " xfId="1075" xr:uid="{724A33BF-2C5D-4E60-AB8E-56070A50E663}"/>
    <cellStyle name="C￥AØ_XD AOA¾AIA¤ " xfId="1076" xr:uid="{EDC44258-A59F-4640-8E63-2426E336F615}"/>
    <cellStyle name="Ç¥ÁØ_XD ÃÖÁ¾ÀÏÁ¤ " xfId="1077" xr:uid="{1F8043A1-253F-426C-A4E4-4D63052C86F6}"/>
    <cellStyle name="C￥AØ_μðAⓒAIA¤ " xfId="1078" xr:uid="{D4016107-5DA0-4D9C-A5ED-D2D4627CB3F9}"/>
    <cellStyle name="Calc Currency (0)" xfId="1079" xr:uid="{218970A4-515A-4C45-A933-AA01671C00AE}"/>
    <cellStyle name="Calculation" xfId="1080" xr:uid="{E9471AC4-5E3F-4C0D-B50F-F18A38CFC4D2}"/>
    <cellStyle name="category" xfId="1081" xr:uid="{26AE0A2A-3B57-43E0-B961-DC1EC988D0B6}"/>
    <cellStyle name="Check Cell" xfId="1082" xr:uid="{672BA26A-E8B3-451C-91A2-77905C4A12EB}"/>
    <cellStyle name="Comma [0]" xfId="1083" xr:uid="{24B04012-3992-4A32-97BA-2E8405495FE2}"/>
    <cellStyle name="Comma_ SG&amp;A Bridge" xfId="1084" xr:uid="{7E1CEEFD-7BF9-4EAA-9C28-F923B7FD3612}"/>
    <cellStyle name="Comma0" xfId="1085" xr:uid="{2979D3B9-814C-4A96-84AA-DE249F4ACDF4}"/>
    <cellStyle name="Copied" xfId="1086" xr:uid="{695A5E23-1C3E-4E18-8EBA-E59766C41175}"/>
    <cellStyle name="Curren?_x0012_퐀_x0017_?" xfId="1087" xr:uid="{819FA323-F1EE-45DC-AB60-65B3D224A8B2}"/>
    <cellStyle name="Currency [0]" xfId="1088" xr:uid="{5EE8FC3E-0C24-4E07-ACDE-4850F1289B4A}"/>
    <cellStyle name="Currency_ SG&amp;A Bridge " xfId="1089" xr:uid="{3FF47991-D48C-42B2-8358-EA1018A167F7}"/>
    <cellStyle name="Currency0" xfId="1090" xr:uid="{F150A828-E816-4E09-A91A-ADAA52DDF976}"/>
    <cellStyle name="Currency1" xfId="1091" xr:uid="{30BB2E3B-97ED-4A91-A15A-6DF06FB8DB3D}"/>
    <cellStyle name="Date" xfId="1092" xr:uid="{79497574-2420-4BAC-AFCD-7225576F7FF9}"/>
    <cellStyle name="Entered" xfId="1093" xr:uid="{D4416000-D529-4BC5-819C-206903585B5C}"/>
    <cellStyle name="entry" xfId="1094" xr:uid="{9DD3E791-CA16-472D-AAA7-610BE195C974}"/>
    <cellStyle name="Euro" xfId="1095" xr:uid="{898A5BA7-C4F7-4D29-9DF2-5F59B299D867}"/>
    <cellStyle name="Explanatory Text" xfId="1096" xr:uid="{899AC47A-7164-420D-8F36-F1A588BD3F27}"/>
    <cellStyle name="Fixed" xfId="1097" xr:uid="{BB2D9922-A114-47E0-9CA1-425C67EF6021}"/>
    <cellStyle name="Good" xfId="1098" xr:uid="{B7A280CE-274B-476F-8EDB-D92C2492CBF2}"/>
    <cellStyle name="Grey" xfId="1099" xr:uid="{6A1E448D-E72C-4920-9694-D4BAAFCE60B2}"/>
    <cellStyle name="HEADER" xfId="1100" xr:uid="{FEB354FC-7458-4DED-BF23-BD03A1C0EACD}"/>
    <cellStyle name="Header1" xfId="1101" xr:uid="{15411E40-0AB8-446D-B058-42CA97CF2B0C}"/>
    <cellStyle name="Header2" xfId="1102" xr:uid="{E6995936-2806-4551-894C-1BE2C852F2A8}"/>
    <cellStyle name="Header2 2" xfId="1103" xr:uid="{C6ED498D-DB7F-4885-908E-67A023258D96}"/>
    <cellStyle name="Heading 1" xfId="1104" xr:uid="{6D72A4EC-3522-44D2-881B-0D68BA7D41B9}"/>
    <cellStyle name="Heading 1 2" xfId="1105" xr:uid="{A8AAD35C-BA5A-453C-899C-E222A8B55B4A}"/>
    <cellStyle name="Heading 2" xfId="1106" xr:uid="{86E2FE83-B2C9-463C-93A9-24D9041C9848}"/>
    <cellStyle name="Heading 2 2" xfId="1107" xr:uid="{2B28CB43-CF70-41C9-A9EA-0E4D46EED7AF}"/>
    <cellStyle name="Heading 3" xfId="1108" xr:uid="{65FE0560-0ED5-4F41-AD63-DE9848A4564E}"/>
    <cellStyle name="Heading 4" xfId="1109" xr:uid="{D1505CBB-B444-4BC9-A42C-6E0586E665FE}"/>
    <cellStyle name="Heading1" xfId="1110" xr:uid="{0F8658A2-E001-4F0B-8EEC-B3CF72723D2D}"/>
    <cellStyle name="Heading2" xfId="1111" xr:uid="{B930627F-F579-4DF9-9BB8-14753184D00C}"/>
    <cellStyle name="HIGHLIGHT" xfId="1112" xr:uid="{0F306D68-D597-48A3-8B88-515ECFE17F5D}"/>
    <cellStyle name="iles|_x0005_h" xfId="1113" xr:uid="{112F06AD-CA3E-44C6-ABA0-F881DE6E7B9B}"/>
    <cellStyle name="Input" xfId="1114" xr:uid="{B91E091D-9CBC-4BA3-AD32-C9FEA8D80470}"/>
    <cellStyle name="Input [yellow]" xfId="1115" xr:uid="{C7F5A67F-D5B4-4D39-8889-F43C74AEA622}"/>
    <cellStyle name="Input [yellow] 2" xfId="1116" xr:uid="{A0A5055A-3E2F-465B-84EE-4AE2F11DB294}"/>
    <cellStyle name="Input [yellow] 2 2" xfId="1117" xr:uid="{E1C20B67-9B98-4197-BD29-E06A80CCEABF}"/>
    <cellStyle name="Input [yellow] 3" xfId="1118" xr:uid="{EA2B9AF8-A156-4995-8BA0-B9CC5E5CBE9A}"/>
    <cellStyle name="les" xfId="1119" xr:uid="{D72A3B55-C7A6-4904-8801-9CA584C2F224}"/>
    <cellStyle name="Linked Cell" xfId="1120" xr:uid="{E3E21F5B-1EEF-445A-8B00-C31800997F47}"/>
    <cellStyle name="Milliers [0]" xfId="1121" xr:uid="{F4ED6ECE-39D1-4344-A759-78C53918BBF1}"/>
    <cellStyle name="Milliers_!!!GO" xfId="1122" xr:uid="{BD0F25FC-A002-4637-BA67-0DE256A9080D}"/>
    <cellStyle name="Model" xfId="1123" xr:uid="{31389A1B-F77B-427B-8333-ED87FA13D092}"/>
    <cellStyle name="Model 2" xfId="1124" xr:uid="{4CA506CB-B25C-4CCD-A7B8-58DAE3EC560E}"/>
    <cellStyle name="Model 2 2" xfId="1125" xr:uid="{2E493C44-24BD-4229-B444-E329126D0A0E}"/>
    <cellStyle name="Model 2 2 2" xfId="2614" xr:uid="{C2955AC2-FCA7-47C7-97A8-75A559E64D15}"/>
    <cellStyle name="Model 2 3" xfId="2613" xr:uid="{85C4B0AA-B070-4486-BEF0-EFDA19D1CAA0}"/>
    <cellStyle name="Model 3" xfId="2612" xr:uid="{C46CE5CB-A8EF-433B-89B9-E1745A7FAFC2}"/>
    <cellStyle name="Mon?aire [0]" xfId="1126" xr:uid="{C4126037-3FEA-4584-867D-E0E2E3109FAD}"/>
    <cellStyle name="Mon?aire_!!!GO" xfId="1127" xr:uid="{8C77A0C5-E33D-49FA-87C2-F00F366674CD}"/>
    <cellStyle name="Neutral" xfId="1128" xr:uid="{837243FB-9D0F-4284-960E-B6146D958A30}"/>
    <cellStyle name="no dec" xfId="1129" xr:uid="{B6EAD82F-F1E5-411C-8963-3A5F9705CAC7}"/>
    <cellStyle name="Normal - Style1" xfId="1130" xr:uid="{D118EB1F-2049-43A9-BFA6-A2BE8A931E96}"/>
    <cellStyle name="Normal_ SG&amp;A Bridge " xfId="1131" xr:uid="{92996C27-5F82-435E-ACFE-388DC1921492}"/>
    <cellStyle name="Note" xfId="1132" xr:uid="{032C6C56-45C5-4DFF-BC53-03196E8D60F9}"/>
    <cellStyle name="NUM_" xfId="1133" xr:uid="{038A9292-D913-4157-8B10-5145466E06CD}"/>
    <cellStyle name="o??귟 [0.00]_PRODUCT DETAIL Q1" xfId="1134" xr:uid="{34671C49-DEE1-45BB-B8F9-4CBE05C19BB9}"/>
    <cellStyle name="Œ…‹æØ‚è [0.00]_PRODUCT DETAIL Q1" xfId="1135" xr:uid="{AFFCB50D-2848-4902-B3C7-9483C72ACBE3}"/>
    <cellStyle name="Œ…‹æØ‚è_PRODUCT DETAIL Q1" xfId="1136" xr:uid="{D41BA5EA-3D44-4644-BE14-F776CDF1CB2B}"/>
    <cellStyle name="Output" xfId="1137" xr:uid="{5C86ABAA-0CF1-42D8-8303-40CFC3C9F255}"/>
    <cellStyle name="Percent [2]" xfId="1138" xr:uid="{45149DBE-8FF4-4765-99E4-447A482EEEDE}"/>
    <cellStyle name="Percent_!!!GO" xfId="1139" xr:uid="{C6A1231C-7A63-48EF-A0AD-54102CD48E0F}"/>
    <cellStyle name="price" xfId="1140" xr:uid="{F68A9643-4B89-4827-AB3C-CF5121677A57}"/>
    <cellStyle name="R?" xfId="1141" xr:uid="{FFE9F348-D778-43F3-B1AC-67D9A21922CE}"/>
    <cellStyle name="R_TITLE" xfId="1142" xr:uid="{4CCBA963-B12C-4591-94A1-6A7AED92B970}"/>
    <cellStyle name="R_TITLE_10월생산계획" xfId="1143" xr:uid="{9B40449F-025B-4BA9-BD51-822FECC633F9}"/>
    <cellStyle name="R_TITLE_6월생산계획" xfId="1144" xr:uid="{68BBA3D6-8C82-4F60-AA6B-98F2481030E3}"/>
    <cellStyle name="R_TITLE_6월생산계획_2011년 10월 생산계획" xfId="1145" xr:uid="{0244A4F2-9ADD-42AE-9D93-1A52DC6062F1}"/>
    <cellStyle name="R_TITLE_6월생산계획_2011년 8월 생산계획-수정" xfId="1146" xr:uid="{D5B3695B-44C3-4F64-9CF3-EFC0F3E94909}"/>
    <cellStyle name="R_TITLE_6월생산계획_2011년 9월 생산계획" xfId="1147" xr:uid="{9049BDD1-184E-4B8E-BC8D-5A66A4A9B9F0}"/>
    <cellStyle name="R_TITLE_8월생산계획(1)" xfId="1148" xr:uid="{5B1101FF-EA1E-454F-B297-56CBE807241B}"/>
    <cellStyle name="R_TITLE_8월생산계획110805" xfId="1149" xr:uid="{31446E12-F3BB-43C3-9F04-055518C1B183}"/>
    <cellStyle name="revised" xfId="1150" xr:uid="{25FB28E8-9438-47D6-B5AE-196EE5139C57}"/>
    <cellStyle name="RevList" xfId="1151" xr:uid="{96EEC7A6-E4CC-4D2F-A18A-05F4FBC651BC}"/>
    <cellStyle name="roux_laroux" xfId="1152" xr:uid="{C1B8F75D-A099-4C7A-9C7D-B4B93B307F1F}"/>
    <cellStyle name="sche|_x0005_" xfId="1153" xr:uid="{035B53FD-78B2-4B19-8BE2-93B259B08973}"/>
    <cellStyle name="section" xfId="1154" xr:uid="{03ADDB82-0F05-4774-975D-959F20A37F1B}"/>
    <cellStyle name="STANDARD" xfId="1155" xr:uid="{400B47E7-0412-44D4-8DFF-143CAE53BD6E}"/>
    <cellStyle name="subhead" xfId="1156" xr:uid="{97FDAF6A-E547-422B-8216-E2A4656FCC4E}"/>
    <cellStyle name="Subtotal" xfId="1157" xr:uid="{E6EAAA72-F8F0-4E4F-BDE5-AE4D5597049E}"/>
    <cellStyle name="þ_x001d_ð'&amp;Oy?Hy9_x0008__x000f__x0007_æ_x0007__x0007__x0001__x0001_" xfId="1158" xr:uid="{A453D3F5-619E-4D01-85F2-BE701FABAF80}"/>
    <cellStyle name="title" xfId="1159" xr:uid="{FB47B090-826B-46CB-B66B-FA3C869BE29E}"/>
    <cellStyle name="Title 2" xfId="1160" xr:uid="{37A1FF0C-6F52-424D-89A3-1B3D60AD0702}"/>
    <cellStyle name="Total" xfId="1161" xr:uid="{56E741C8-88DD-41B3-BF91-01ECD87FAB15}"/>
    <cellStyle name="Total 2" xfId="1162" xr:uid="{EAB050F8-713F-4E97-BF3F-73EA97069911}"/>
    <cellStyle name="Unprot" xfId="1163" xr:uid="{A47C90FA-2E5D-480E-B60B-72E6BAF9E4DC}"/>
    <cellStyle name="Unprot$" xfId="1164" xr:uid="{12D9C9F8-ED50-4EB1-A944-81E980875A7E}"/>
    <cellStyle name="Unprotect" xfId="1165" xr:uid="{9AB179EC-5D4F-46D6-828A-50E0B3E74B71}"/>
    <cellStyle name="Warning Text" xfId="1166" xr:uid="{09F9DC06-3E1C-402F-91D8-0CF85C4FFD73}"/>
    <cellStyle name="XLS'|_x0005_t" xfId="1167" xr:uid="{F736B390-7B29-4412-8604-C6F826B4DA5E}"/>
    <cellStyle name="アクセント 1" xfId="1168" xr:uid="{AEAFD3B9-446D-42FD-9823-5A306CB8375C}"/>
    <cellStyle name="アクセント 2" xfId="1169" xr:uid="{3CC311B5-DBAF-4DCA-9D09-AFDC90A73622}"/>
    <cellStyle name="アクセント 3" xfId="1170" xr:uid="{821EF053-16BC-4607-8FBA-7DC8A2CE9859}"/>
    <cellStyle name="アクセント 4" xfId="1171" xr:uid="{9D2E1A72-3604-471C-B666-1ED1F09E7C1B}"/>
    <cellStyle name="アクセント 5" xfId="1172" xr:uid="{18ECB90A-B7CD-4537-9F05-4E613786FD16}"/>
    <cellStyle name="アクセント 6" xfId="1173" xr:uid="{F5A3E861-4AF1-429E-B179-B060D5A7F2E8}"/>
    <cellStyle name="スタイル 1" xfId="1174" xr:uid="{2BB1FB54-CC87-408B-B3FD-4F44D8879437}"/>
    <cellStyle name="スタイル 2" xfId="1175" xr:uid="{1B17A809-9F94-4650-9727-D46BC27CDEA0}"/>
    <cellStyle name="スタイル 3" xfId="1176" xr:uid="{F46E226D-7B4C-46DE-ADD9-ACCAD2C8A0AD}"/>
    <cellStyle name="タイトル" xfId="1177" xr:uid="{788E078F-B004-489E-8D1A-EE43956214D8}"/>
    <cellStyle name="チェック セル" xfId="1178" xr:uid="{D9FF983F-CE17-468E-9BEF-7451D757CF0C}"/>
    <cellStyle name="どちらでもない" xfId="1179" xr:uid="{1BD0A4A2-C7E7-4FB5-B218-D097F2A98EB5}"/>
    <cellStyle name="メモ" xfId="1180" xr:uid="{DBEBB384-9500-49B2-AF14-40DA3F3026A6}"/>
    <cellStyle name="メモ 2" xfId="1181" xr:uid="{67184329-E09D-4011-984E-8AB9D0C84995}"/>
    <cellStyle name="リンク セル" xfId="1182" xr:uid="{0DF89202-5581-4E65-8C9F-C7F2E3C6E8F2}"/>
    <cellStyle name="强调文字颜色 1" xfId="1183" xr:uid="{D6C99994-0139-4434-B72C-63CFD7108B0F}"/>
    <cellStyle name="强调文字颜色 2" xfId="1184" xr:uid="{04232CED-8821-444A-9CF1-2DFC53DD5CB0}"/>
    <cellStyle name="强调文字颜色 3" xfId="1185" xr:uid="{ABFCDA6A-9EC1-41EA-93F8-257DE93764B5}"/>
    <cellStyle name="强调文字颜色 4" xfId="1186" xr:uid="{5AF55E97-C2A5-4AD8-97C5-1E418BE6F4B4}"/>
    <cellStyle name="强调文字颜色 5" xfId="1187" xr:uid="{86A960F6-33D4-4163-B22C-78AAD5E35C05}"/>
    <cellStyle name="强调文字颜色 6" xfId="1188" xr:uid="{B3F91C73-23DE-4DE6-9A26-A564567FFB99}"/>
    <cellStyle name="강조색1 2" xfId="26" xr:uid="{B84ECCEF-F439-4F92-B6FD-D3607C195007}"/>
    <cellStyle name="강조색1 3" xfId="19" xr:uid="{9E819559-1E3D-4047-9168-2743A0859BBE}"/>
    <cellStyle name="检查单元格" xfId="1189" xr:uid="{99712E1F-CC17-4094-A6B7-FD70F492683D}"/>
    <cellStyle name="見出し 1" xfId="1190" xr:uid="{79B102E6-457A-4FC6-85E5-A2CD2611FF15}"/>
    <cellStyle name="見出し 2" xfId="1191" xr:uid="{2EC7733A-A19A-4E50-AD9E-1BEEF1E48418}"/>
    <cellStyle name="見出し 3" xfId="1192" xr:uid="{6D57A169-16E1-42C3-90ED-F82C587D48D2}"/>
    <cellStyle name="見出し 3 2" xfId="1193" xr:uid="{13A72187-77E6-4439-8CBA-6A0B794A136D}"/>
    <cellStyle name="見出し 3 2 2" xfId="1194" xr:uid="{F2096992-64F7-4885-93BC-E2322F512125}"/>
    <cellStyle name="見出し 4" xfId="1195" xr:uid="{EDEAA520-F94B-4E46-9B4B-DBA27F93EBC3}"/>
    <cellStyle name="警告文" xfId="1196" xr:uid="{46C08FD1-DE60-4400-BC34-A3B1E5193E6D}"/>
    <cellStyle name="警告文本" xfId="1197" xr:uid="{3EB23ABB-8F45-460F-A203-02917ACDD8C4}"/>
    <cellStyle name="計算" xfId="1198" xr:uid="{6E457EA8-AF72-4923-AFB4-6E8F67587D11}"/>
    <cellStyle name="计算" xfId="1199" xr:uid="{8A64808F-C686-4ACE-BFB8-E835F903E27C}"/>
    <cellStyle name="計算 2" xfId="1200" xr:uid="{1418FFD7-E79C-46A9-B248-B57B160024F2}"/>
    <cellStyle name="计算 2" xfId="1201" xr:uid="{E212A123-072A-4126-98B7-4F47852FF732}"/>
    <cellStyle name="고정소숫점" xfId="1202" xr:uid="{2459C3B2-7593-4E5A-BC66-5C2D364B28D9}"/>
    <cellStyle name="고정출력1" xfId="1203" xr:uid="{B6C6ED81-867C-4695-AC9C-42C90D287A44}"/>
    <cellStyle name="고정출력2" xfId="1204" xr:uid="{EDEAFC1D-6D3A-43F9-A4DB-970691347A42}"/>
    <cellStyle name="适中" xfId="1205" xr:uid="{D9141289-7756-4C60-9444-48F9B4EC7097}"/>
    <cellStyle name="나쁨 2" xfId="27" xr:uid="{FEAF9E77-14CE-4A37-BF96-705E570CD425}"/>
    <cellStyle name="나쁨 3" xfId="18" xr:uid="{4053D7AE-45BE-4C51-949E-292239A039B8}"/>
    <cellStyle name="날짜" xfId="1206" xr:uid="{749E058A-F4DF-4EF8-AC3F-B01FAB2099D6}"/>
    <cellStyle name="달러" xfId="1207" xr:uid="{E9549E92-7B95-478B-BD52-1607B748CEA5}"/>
    <cellStyle name="뒤에 오는 하이퍼링크" xfId="1208" xr:uid="{D10BF76A-ADB8-492A-87AA-0F41F9358F88}"/>
    <cellStyle name="딶" xfId="1209" xr:uid="{D6BE5118-4C4F-4219-993C-A355A6448795}"/>
    <cellStyle name="똿뗦먛귟 [0.00]_NT Server " xfId="1210" xr:uid="{DB9E9895-9AFB-489A-B7A5-FD0D6EC518F0}"/>
    <cellStyle name="똿뗦먛귟_NT Server " xfId="1211" xr:uid="{533456B6-69CC-479A-A3C3-ACD59AA29A22}"/>
    <cellStyle name="良い" xfId="1212" xr:uid="{CEBBDC21-651A-4F50-A46D-F968447A805E}"/>
    <cellStyle name="链接单元格" xfId="1213" xr:uid="{35292985-EB24-4F70-9F45-A943A0344DC1}"/>
    <cellStyle name="믅됞 [0.00]_NT Server " xfId="1214" xr:uid="{CBF07943-9F0F-4F7F-AD97-1623478B664C}"/>
    <cellStyle name="믅됞_NT Server " xfId="1215" xr:uid="{22EF9179-D44E-4276-ACC9-834047440370}"/>
    <cellStyle name="백" xfId="1216" xr:uid="{7E0C7992-0A6D-4634-AFF6-245CBFEBD7E0}"/>
    <cellStyle name="백_Daeshin Price List (122309)" xfId="1217" xr:uid="{6B7F7DB1-7932-4825-95DD-F83A6EB11442}"/>
    <cellStyle name="백_Daeshin Price List (122309)_Daeshin Pricing and Calculations 7Jun12" xfId="1218" xr:uid="{05CE3CEA-041B-4460-814C-08ED13C72DAB}"/>
    <cellStyle name="백분율" xfId="3229" builtinId="5"/>
    <cellStyle name="백분율 [0]" xfId="1219" xr:uid="{8E0A234E-AD35-402B-AF13-50E9054FDC0C}"/>
    <cellStyle name="백분율 10" xfId="1220" xr:uid="{6B49FAC8-C398-4FAE-B4D2-768C363D18D4}"/>
    <cellStyle name="백분율 10 2" xfId="1221" xr:uid="{DA5D037E-D5DD-424F-85B9-410F33127BC0}"/>
    <cellStyle name="백분율 100" xfId="1222" xr:uid="{ABFAD8CE-12D3-40EA-983A-CE1C716D64B0}"/>
    <cellStyle name="백분율 100 2" xfId="1223" xr:uid="{2B1DED0F-ED3A-4E3C-9764-7DCCB8F1C9BF}"/>
    <cellStyle name="백분율 101" xfId="1224" xr:uid="{BE5C8343-C9D4-43AD-A1AD-99CEFB0F36AD}"/>
    <cellStyle name="백분율 101 2" xfId="1225" xr:uid="{859BA9D8-D3D5-4E00-B1EB-CAB0FE858413}"/>
    <cellStyle name="백분율 102" xfId="1226" xr:uid="{7DF9D7BA-4914-401A-B5E5-DBCCDF136F50}"/>
    <cellStyle name="백분율 102 2" xfId="1227" xr:uid="{5E7EEE8F-E2F2-4E04-A51D-7F763B287772}"/>
    <cellStyle name="백분율 103" xfId="1228" xr:uid="{D0CA8F9D-210D-4383-BACC-6655B1AC68BE}"/>
    <cellStyle name="백분율 103 2" xfId="1229" xr:uid="{2C55FBAA-D400-4B75-868D-8D2B70295DDE}"/>
    <cellStyle name="백분율 104" xfId="1230" xr:uid="{77D8D785-33E2-40EC-8F43-2915AEF92D8D}"/>
    <cellStyle name="백분율 104 2" xfId="1231" xr:uid="{0CDBB3B8-D090-4F08-99B7-8F1900E94A83}"/>
    <cellStyle name="백분율 105" xfId="1232" xr:uid="{EF231C3F-AF56-4B56-9668-AA2FE6D3EC6D}"/>
    <cellStyle name="백분율 105 2" xfId="1233" xr:uid="{353D9AF3-AAAF-463F-9626-F8E9B3B64292}"/>
    <cellStyle name="백분율 106" xfId="1234" xr:uid="{8FE06C23-5770-4E7B-9AF9-478088FC0D53}"/>
    <cellStyle name="백분율 106 2" xfId="1235" xr:uid="{434650C4-8EF3-4D9A-AE1A-63A902E7B9C5}"/>
    <cellStyle name="백분율 107" xfId="1236" xr:uid="{299E1999-6179-43E7-8459-A450CA5CFA88}"/>
    <cellStyle name="백분율 107 2" xfId="1237" xr:uid="{42647BE3-57BE-487E-8AD9-5BA7D1FCFCE4}"/>
    <cellStyle name="백분율 108" xfId="1238" xr:uid="{8AA557A8-AE81-44F3-B842-C3935E7D9579}"/>
    <cellStyle name="백분율 108 2" xfId="1239" xr:uid="{2F9BD9E9-9840-45CC-9B5A-F5920E832B23}"/>
    <cellStyle name="백분율 109" xfId="1240" xr:uid="{A0687CB2-37CC-43F8-84C9-245FA21035D7}"/>
    <cellStyle name="백분율 109 2" xfId="1241" xr:uid="{1E43788D-D733-4920-9B0D-C85E9C1C75C6}"/>
    <cellStyle name="백분율 11" xfId="1242" xr:uid="{66655F21-B261-4E9A-986C-AFD935523E06}"/>
    <cellStyle name="백분율 11 2" xfId="1243" xr:uid="{E35391E7-3EE7-42D9-B274-0DC83788834A}"/>
    <cellStyle name="백분율 110" xfId="1244" xr:uid="{75174996-D4A0-4E72-B20B-FCD4884B854E}"/>
    <cellStyle name="백분율 110 2" xfId="1245" xr:uid="{78A505A2-FBBF-41ED-AE6B-78ECCD7D83EA}"/>
    <cellStyle name="백분율 111" xfId="1246" xr:uid="{1F5E824A-0364-414C-99B4-9D4F416C9DEE}"/>
    <cellStyle name="백분율 111 2" xfId="1247" xr:uid="{CE97F743-C42E-4935-A1D1-D38916E41D69}"/>
    <cellStyle name="백분율 112" xfId="1248" xr:uid="{04D50910-0460-4E59-9A27-CF71920D71C7}"/>
    <cellStyle name="백분율 112 2" xfId="1249" xr:uid="{F3AD6F0F-F394-4D4A-AA0F-C5ED92837C1F}"/>
    <cellStyle name="백분율 113" xfId="1250" xr:uid="{5A79647C-DA03-482A-BBCE-23ADEBD9DDE3}"/>
    <cellStyle name="백분율 113 2" xfId="1251" xr:uid="{77D9D075-F5B4-459F-8584-5AFE90C94551}"/>
    <cellStyle name="백분율 114" xfId="1252" xr:uid="{F784BB4D-EC07-47CD-88FD-DAEE2AE588AA}"/>
    <cellStyle name="백분율 114 2" xfId="1253" xr:uid="{AA1B4507-4689-4102-80FD-C327C66AB3FC}"/>
    <cellStyle name="백분율 115" xfId="1254" xr:uid="{19DE2629-26CE-47FF-A7C1-9B5B60E00544}"/>
    <cellStyle name="백분율 115 2" xfId="1255" xr:uid="{5D568797-0896-447D-BE25-3941068B9A85}"/>
    <cellStyle name="백분율 116" xfId="1256" xr:uid="{471D1050-F326-4453-8DD4-540FDAA3006C}"/>
    <cellStyle name="백분율 116 2" xfId="1257" xr:uid="{9B7285E4-64B9-4293-8724-126644CA3E7C}"/>
    <cellStyle name="백분율 117" xfId="1258" xr:uid="{40F0010A-08A2-43A1-A361-B9F0516CEFA0}"/>
    <cellStyle name="백분율 117 2" xfId="1259" xr:uid="{51C5BA10-0FE2-47DC-AE74-B211CBFDF668}"/>
    <cellStyle name="백분율 118" xfId="1260" xr:uid="{33897717-6ECB-41F9-85D6-3B853D1446EA}"/>
    <cellStyle name="백분율 118 2" xfId="1261" xr:uid="{6F0835E2-869C-4D7E-B6DD-BC1E1F48363B}"/>
    <cellStyle name="백분율 119" xfId="1262" xr:uid="{D35764F0-EB05-4DC7-9FA4-501445B0142D}"/>
    <cellStyle name="백분율 119 2" xfId="1263" xr:uid="{889F8384-83F3-47DD-997C-29955984FABA}"/>
    <cellStyle name="백분율 12" xfId="1264" xr:uid="{F5A67B7F-EADB-4B80-8EA0-3076737CA028}"/>
    <cellStyle name="백분율 12 2" xfId="1265" xr:uid="{864ABC00-F8FD-42DE-99B8-7B3606A431EB}"/>
    <cellStyle name="백분율 120" xfId="1266" xr:uid="{BE4F06E7-FDB3-4AC8-BCCE-E8ED644F48CB}"/>
    <cellStyle name="백분율 120 2" xfId="1267" xr:uid="{381E22A5-FB71-4A3D-AC19-E48F9B7DA7DF}"/>
    <cellStyle name="백분율 121" xfId="1268" xr:uid="{3F4E4F8C-B18D-4AC7-9FE3-B2B4017553D7}"/>
    <cellStyle name="백분율 121 2" xfId="1269" xr:uid="{BFE7372A-9188-468B-9A1D-A165C8EB85DF}"/>
    <cellStyle name="백분율 122" xfId="1270" xr:uid="{CD94B01B-76BE-4190-8B46-0F4F8C968E7B}"/>
    <cellStyle name="백분율 122 2" xfId="1271" xr:uid="{40E55CE9-8F7F-41D4-814C-8B039477DF18}"/>
    <cellStyle name="백분율 123" xfId="1272" xr:uid="{8A74481A-390C-48F5-844C-D5827C9AE4EA}"/>
    <cellStyle name="백분율 123 2" xfId="1273" xr:uid="{E2C317E2-0DE3-405D-A087-18460C8D7551}"/>
    <cellStyle name="백분율 124" xfId="1274" xr:uid="{AD6916FF-59D9-4789-A0AB-E639DBE9DA74}"/>
    <cellStyle name="백분율 124 2" xfId="1275" xr:uid="{F8C82991-AD99-470F-A98D-0DAA3ABB0A2F}"/>
    <cellStyle name="백분율 125" xfId="1276" xr:uid="{EC143DA7-97ED-41A1-B7F0-7A55CEC6D998}"/>
    <cellStyle name="백분율 125 2" xfId="1277" xr:uid="{2132B6B8-70E2-4056-9B6E-375FB459FE7E}"/>
    <cellStyle name="백분율 126" xfId="1278" xr:uid="{FA8C189E-17A1-4ACA-A86F-E75B9B302EAC}"/>
    <cellStyle name="백분율 126 2" xfId="1279" xr:uid="{539F1604-0D3F-41DC-96ED-C078CD2BF48F}"/>
    <cellStyle name="백분율 127" xfId="1280" xr:uid="{C544479E-5331-42EC-A703-6B6B5276F80E}"/>
    <cellStyle name="백분율 127 2" xfId="1281" xr:uid="{8C827F9A-D8EE-418A-A47E-E7A2D4DACCD7}"/>
    <cellStyle name="백분율 128" xfId="1282" xr:uid="{2B44F146-B04F-4199-80F0-371ABFBD4F60}"/>
    <cellStyle name="백분율 128 2" xfId="1283" xr:uid="{BA781F6A-C309-44B2-A466-3BE83998FCFD}"/>
    <cellStyle name="백분율 129" xfId="1284" xr:uid="{B81EBC99-15EC-4A60-BCA6-C575D6F31B5C}"/>
    <cellStyle name="백분율 129 2" xfId="1285" xr:uid="{C011DD73-27DF-45BA-8CCF-9123F7240A72}"/>
    <cellStyle name="백분율 13" xfId="1286" xr:uid="{EF635957-5BB5-4C52-8AD0-D36FA75834EC}"/>
    <cellStyle name="백분율 13 2" xfId="1287" xr:uid="{AAD3BDEF-5224-4A22-B061-10C60550B640}"/>
    <cellStyle name="백분율 130" xfId="1288" xr:uid="{3F182CB9-F408-47EA-9743-057D9D1C9ADC}"/>
    <cellStyle name="백분율 130 2" xfId="1289" xr:uid="{3C82294B-52EE-4C0C-A9A8-8B428F56253E}"/>
    <cellStyle name="백분율 131" xfId="1290" xr:uid="{E445AA91-D85A-40D1-BEA3-E97FDEFD69D5}"/>
    <cellStyle name="백분율 131 2" xfId="1291" xr:uid="{DA8BEB29-E268-4865-9971-33BDF7A29E8C}"/>
    <cellStyle name="백분율 132" xfId="1292" xr:uid="{22AD3C35-40D9-4FCE-9174-D2849311E779}"/>
    <cellStyle name="백분율 132 2" xfId="1293" xr:uid="{0DEBF706-B4EB-41B7-8463-8B4B74488956}"/>
    <cellStyle name="백분율 133" xfId="1294" xr:uid="{B582A96B-4292-4650-B669-9FFDFA4D4148}"/>
    <cellStyle name="백분율 133 2" xfId="1295" xr:uid="{E233AB6A-8A89-419F-AFE2-EEC6317E54D1}"/>
    <cellStyle name="백분율 134" xfId="1296" xr:uid="{67F4D97F-FB3B-42A6-9C14-8E5CFD250BCA}"/>
    <cellStyle name="백분율 134 2" xfId="1297" xr:uid="{84F8F7C1-ADD0-427F-974D-9A19732CD274}"/>
    <cellStyle name="백분율 135" xfId="1298" xr:uid="{803882DE-E97B-4FCD-9B39-79C06214DB16}"/>
    <cellStyle name="백분율 135 2" xfId="1299" xr:uid="{4F7F6853-9DD0-44A6-8214-84EB5A84AE91}"/>
    <cellStyle name="백분율 136" xfId="1300" xr:uid="{3A2E0DBC-DFEE-4165-ADAE-31DF5ABEAFC2}"/>
    <cellStyle name="백분율 136 2" xfId="1301" xr:uid="{2DDD4322-8E38-4323-A9A1-27F38B59B175}"/>
    <cellStyle name="백분율 137" xfId="1302" xr:uid="{51914E9C-E849-4898-B603-D8D3CD47D2A8}"/>
    <cellStyle name="백분율 137 2" xfId="1303" xr:uid="{289AD8D5-6DE8-4151-866E-17BDAC5B7396}"/>
    <cellStyle name="백분율 138" xfId="1304" xr:uid="{B24F3084-A474-42B7-B2E6-6CB947A44E97}"/>
    <cellStyle name="백분율 138 2" xfId="1305" xr:uid="{E0C139ED-C1A4-4CFE-9AA6-271EB3AD9F00}"/>
    <cellStyle name="백분율 139" xfId="1306" xr:uid="{957F0F34-9E99-4C37-958B-4A2A15622EA6}"/>
    <cellStyle name="백분율 139 2" xfId="1307" xr:uid="{D5184BCE-0B8A-4F9A-84CE-3902301A5CA6}"/>
    <cellStyle name="백분율 14" xfId="1308" xr:uid="{3692EE86-0D13-4AC9-AF44-0755E89BF65B}"/>
    <cellStyle name="백분율 14 2" xfId="1309" xr:uid="{F5CFF3DC-02EC-44CE-BD60-DBABB01DB833}"/>
    <cellStyle name="백분율 140" xfId="1310" xr:uid="{6D307DBB-987F-41D5-8E6E-5BAA14FF3CAD}"/>
    <cellStyle name="백분율 140 2" xfId="1311" xr:uid="{D377272F-179F-4DFF-9F17-736AFD308FAD}"/>
    <cellStyle name="백분율 141" xfId="1312" xr:uid="{3CEFBF97-1764-4024-871A-9C0F30FCF147}"/>
    <cellStyle name="백분율 141 2" xfId="1313" xr:uid="{5477908B-AF67-4E54-BC18-0BD7111BF053}"/>
    <cellStyle name="백분율 142" xfId="1314" xr:uid="{9A934CAE-5089-4397-8C8D-BC26DC431F4C}"/>
    <cellStyle name="백분율 142 2" xfId="1315" xr:uid="{587E745F-E7F4-4CA4-8DFA-ADA991DF0C46}"/>
    <cellStyle name="백분율 143" xfId="1316" xr:uid="{73299A7A-00FA-421F-9B12-9BDEBEE93B16}"/>
    <cellStyle name="백분율 143 2" xfId="1317" xr:uid="{E0002C44-C3C4-4556-8917-C0FBF7CD7B1B}"/>
    <cellStyle name="백분율 144" xfId="1318" xr:uid="{B3F7633A-82D5-42B1-A244-C2C9442B6B6B}"/>
    <cellStyle name="백분율 144 2" xfId="1319" xr:uid="{EDADEA35-D782-4524-846D-663CA64A0B9C}"/>
    <cellStyle name="백분율 145" xfId="1320" xr:uid="{E7677CAA-C550-4F21-AA55-CDFD5A075DC9}"/>
    <cellStyle name="백분율 145 2" xfId="1321" xr:uid="{B9A7ED3B-5520-4527-A278-A07B8C66BEEB}"/>
    <cellStyle name="백분율 146" xfId="1322" xr:uid="{115B9AAB-0094-46FA-99AC-7CC4152E3E52}"/>
    <cellStyle name="백분율 146 2" xfId="1323" xr:uid="{5EBCB323-E48C-4442-ABF1-696A2F1B47F2}"/>
    <cellStyle name="백분율 147" xfId="1324" xr:uid="{0F968D87-283C-485B-AD02-54CA9D02DE7E}"/>
    <cellStyle name="백분율 147 2" xfId="1325" xr:uid="{DB5EE1CF-6234-438D-9EF6-FCD04D2F0096}"/>
    <cellStyle name="백분율 148" xfId="1326" xr:uid="{9A05F948-9C6C-4C74-9CBF-6A2994CF3F7F}"/>
    <cellStyle name="백분율 148 2" xfId="1327" xr:uid="{390595C2-C394-407C-BF3F-067681DD5C27}"/>
    <cellStyle name="백분율 149" xfId="1328" xr:uid="{FEF6128E-1D99-42F3-9F0C-8E784A43C4FD}"/>
    <cellStyle name="백분율 149 2" xfId="1329" xr:uid="{3FDC2449-1174-49A6-A0FC-A8E85FB92B1B}"/>
    <cellStyle name="백분율 15" xfId="1330" xr:uid="{6B5323BC-E416-4494-9C68-3EE923E3C030}"/>
    <cellStyle name="백분율 15 2" xfId="1331" xr:uid="{0DCC2F22-C399-462E-857A-6F0C157E1DD0}"/>
    <cellStyle name="백분율 150" xfId="1332" xr:uid="{BE950E8C-5A2F-44AB-ABC8-FDAFA33AC5FC}"/>
    <cellStyle name="백분율 150 2" xfId="1333" xr:uid="{10CE6995-D5F0-4B89-9D5D-684272B0A93B}"/>
    <cellStyle name="백분율 151" xfId="1334" xr:uid="{79EB992C-13C3-4A51-A428-FA1590A63860}"/>
    <cellStyle name="백분율 151 2" xfId="1335" xr:uid="{41AF9E84-A897-4058-8D09-2488F9BD4B8D}"/>
    <cellStyle name="백분율 152" xfId="1336" xr:uid="{707F2270-6F4D-4375-9B05-5ADA7AA2DAB1}"/>
    <cellStyle name="백분율 152 2" xfId="1337" xr:uid="{843F77E9-BA60-4C7D-9FEE-A66AFDDC4B05}"/>
    <cellStyle name="백분율 153" xfId="1338" xr:uid="{31A0D2D2-FAC5-4D04-8E70-B3C519AE7DD7}"/>
    <cellStyle name="백분율 153 2" xfId="1339" xr:uid="{391ADE7F-C251-48DB-A898-EBA44D08FD03}"/>
    <cellStyle name="백분율 154" xfId="1340" xr:uid="{8F936604-744D-4DF5-9537-B9B1ADEAF435}"/>
    <cellStyle name="백분율 154 2" xfId="1341" xr:uid="{3B0B1B9B-96E5-4E8E-8399-11B0A7EF096D}"/>
    <cellStyle name="백분율 155" xfId="1342" xr:uid="{939A3B70-7020-427D-8C40-5EF11C93F564}"/>
    <cellStyle name="백분율 155 2" xfId="1343" xr:uid="{9748A3B5-C86E-4187-ABBD-9D4EF3E2C121}"/>
    <cellStyle name="백분율 156" xfId="1344" xr:uid="{9EFF786D-0F64-4A56-80DB-F28F4849B403}"/>
    <cellStyle name="백분율 156 2" xfId="1345" xr:uid="{BC05AC61-98DB-4B45-8164-2C4CDF877B4F}"/>
    <cellStyle name="백분율 157" xfId="1346" xr:uid="{B4579470-B19E-41E9-A2C7-1AC120050CCA}"/>
    <cellStyle name="백분율 157 2" xfId="1347" xr:uid="{846A50E7-3D04-4428-9FE1-980C45AE1FA8}"/>
    <cellStyle name="백분율 158" xfId="1348" xr:uid="{E28D5764-C88B-4A48-AEDC-6EA131DEA9E5}"/>
    <cellStyle name="백분율 158 2" xfId="1349" xr:uid="{48055E97-4F7C-48F2-A0C9-04CBA70C610D}"/>
    <cellStyle name="백분율 159" xfId="1350" xr:uid="{085FC367-507C-41CE-98A3-E4397AC8F570}"/>
    <cellStyle name="백분율 159 2" xfId="1351" xr:uid="{9C42E798-4DB5-4546-9B1A-138B8CA07545}"/>
    <cellStyle name="백분율 16" xfId="1352" xr:uid="{37ECF77F-F8F0-4529-AE8B-89C0C11C8B28}"/>
    <cellStyle name="백분율 16 2" xfId="1353" xr:uid="{F367D6C7-4A25-4AAA-8925-6A9564478DFD}"/>
    <cellStyle name="백분율 160" xfId="1354" xr:uid="{5BEAD2F3-08D2-4183-AA60-066E35BCFBF2}"/>
    <cellStyle name="백분율 160 2" xfId="1355" xr:uid="{5D7CCC31-CC4C-47C8-A6E3-803AD368B65A}"/>
    <cellStyle name="백분율 161" xfId="1356" xr:uid="{A72753CE-5600-49C7-8C80-4C41D3DE538B}"/>
    <cellStyle name="백분율 161 2" xfId="1357" xr:uid="{145B6CB6-6411-44C2-8018-F6264C780F80}"/>
    <cellStyle name="백분율 162" xfId="1358" xr:uid="{E85D62AE-A509-4E42-978C-47CD287CA7B3}"/>
    <cellStyle name="백분율 162 2" xfId="1359" xr:uid="{A9446C38-A629-4C2B-81FB-CE7D30EB686E}"/>
    <cellStyle name="백분율 163" xfId="1360" xr:uid="{1F54AB9F-ABD7-4758-8EF9-D28B60561506}"/>
    <cellStyle name="백분율 164" xfId="1361" xr:uid="{9A9B9167-0470-47C3-9C65-23AEAEF7A95A}"/>
    <cellStyle name="백분율 165" xfId="1362" xr:uid="{AEC6F2E4-ACA4-4BB5-B26C-7E8456D3CE84}"/>
    <cellStyle name="백분율 166" xfId="1363" xr:uid="{3D19B817-6420-44D4-9F7D-C167A532EA59}"/>
    <cellStyle name="백분율 167" xfId="1364" xr:uid="{2FB79873-E3F1-45A7-88CD-A516347FE388}"/>
    <cellStyle name="백분율 168" xfId="1365" xr:uid="{9B25349A-9685-4E31-8058-7FD5378D9FAD}"/>
    <cellStyle name="백분율 169" xfId="1366" xr:uid="{39B49DBD-E063-4F21-8FD8-CF81C61575B8}"/>
    <cellStyle name="백분율 17" xfId="1367" xr:uid="{1507B480-B25F-405F-901C-3EC3060A410E}"/>
    <cellStyle name="백분율 17 2" xfId="1368" xr:uid="{12725206-BC6F-4DEA-9338-AC3079CA39B1}"/>
    <cellStyle name="백분율 170" xfId="1369" xr:uid="{A54A586F-8E4C-4518-B12B-E825F1901ABA}"/>
    <cellStyle name="백분율 171" xfId="1370" xr:uid="{DB03A81C-AB1C-4088-A427-B8C66871C42C}"/>
    <cellStyle name="백분율 172" xfId="1371" xr:uid="{5F4B40BA-F3C6-441C-B022-FF9D7C70D3A2}"/>
    <cellStyle name="백분율 173" xfId="1372" xr:uid="{1F4725A8-CC61-4071-8DC5-BA7CD9200BD2}"/>
    <cellStyle name="백분율 174" xfId="1373" xr:uid="{5BF1C7AA-231D-43C7-A380-0CE9F1DCB03F}"/>
    <cellStyle name="백분율 175" xfId="1374" xr:uid="{0C31807D-0B7E-44B6-8122-07248F205D63}"/>
    <cellStyle name="백분율 176" xfId="1375" xr:uid="{4D369481-21E6-4853-AD98-F0666B4E8954}"/>
    <cellStyle name="백분율 177" xfId="1376" xr:uid="{AA157FCE-8B08-425F-B4AC-59CFB0EE6F1D}"/>
    <cellStyle name="백분율 178" xfId="1377" xr:uid="{BCA616BE-9EAE-4C7A-A772-EA61A3F56D83}"/>
    <cellStyle name="백분율 179" xfId="1378" xr:uid="{5B3D3867-B58C-4090-A0E6-BEEA557DEE7E}"/>
    <cellStyle name="백분율 18" xfId="1379" xr:uid="{9F0BE7AD-9168-4C4E-B4BE-4B421FAC862A}"/>
    <cellStyle name="백분율 18 2" xfId="1380" xr:uid="{74DDFDFB-C89A-4595-8DE5-E5199C1A98C2}"/>
    <cellStyle name="백분율 180" xfId="1381" xr:uid="{478B6948-09BB-4981-994D-9674C8334A08}"/>
    <cellStyle name="백분율 181" xfId="1382" xr:uid="{281BD0A4-B520-41A6-98D7-0C4BAD49DB7D}"/>
    <cellStyle name="백분율 182" xfId="1383" xr:uid="{D273EC87-3FBE-41D6-A3E5-456490D230B6}"/>
    <cellStyle name="백분율 183" xfId="1384" xr:uid="{40A62331-B7F9-462D-9A66-504C86CF8F5B}"/>
    <cellStyle name="백분율 184" xfId="1385" xr:uid="{CFB2407E-79F6-413D-BDE2-40D7D1D48281}"/>
    <cellStyle name="백분율 185" xfId="1386" xr:uid="{54AE3C05-F332-487F-A362-2F0398D37F85}"/>
    <cellStyle name="백분율 186" xfId="1387" xr:uid="{F84743E9-BFF5-4831-831A-42F2DE6E08D7}"/>
    <cellStyle name="백분율 187" xfId="1388" xr:uid="{2B54D044-172C-476C-B34B-601E49561207}"/>
    <cellStyle name="백분율 188" xfId="1389" xr:uid="{E7BB9BD1-C840-42D6-AD67-28D2CE0DD22C}"/>
    <cellStyle name="백분율 189" xfId="1390" xr:uid="{6A49503D-B132-49AB-9BB9-10636832EF10}"/>
    <cellStyle name="백분율 19" xfId="1391" xr:uid="{8BBF604E-C8A3-403F-B9FB-506971B16ACD}"/>
    <cellStyle name="백분율 19 2" xfId="1392" xr:uid="{D471A022-F667-4F6D-8E29-518943981226}"/>
    <cellStyle name="백분율 190" xfId="1393" xr:uid="{6910D9A9-04E3-4129-AD60-B64C6FFE5ED2}"/>
    <cellStyle name="백분율 191" xfId="1394" xr:uid="{228501BF-C540-4E0E-9EF7-A9CBD05AC575}"/>
    <cellStyle name="백분율 192" xfId="1395" xr:uid="{7A6AB787-4953-4641-B639-C8773AA48EAA}"/>
    <cellStyle name="백분율 193" xfId="1396" xr:uid="{1AB1270B-5807-405F-8B5F-355046126AD8}"/>
    <cellStyle name="백분율 194" xfId="1397" xr:uid="{AA80FFFD-CB48-4DA2-A0E1-53D126B61524}"/>
    <cellStyle name="백분율 195" xfId="1398" xr:uid="{BAAD5C95-6FBB-4D5F-8212-70F695F6714F}"/>
    <cellStyle name="백분율 196" xfId="1399" xr:uid="{DB39C441-C584-47E5-BAAD-8F9DD46A1FA5}"/>
    <cellStyle name="백분율 197" xfId="1400" xr:uid="{D9800226-4949-474C-885A-19EEC7B8F487}"/>
    <cellStyle name="백분율 198" xfId="1401" xr:uid="{6C145F8F-EA4D-4E35-AD44-93D7617F3F29}"/>
    <cellStyle name="백분율 199" xfId="1402" xr:uid="{9450A141-7AF8-4001-831A-BEE2DE623506}"/>
    <cellStyle name="백분율 2" xfId="28" xr:uid="{828634C1-E5DB-407F-A82D-5D60459748FD}"/>
    <cellStyle name="백분율 2 2" xfId="1404" xr:uid="{C5D3C122-3895-4156-8328-4573604C14DA}"/>
    <cellStyle name="백분율 2 2 2" xfId="1405" xr:uid="{5CD41906-9EA5-4890-AE92-3D2FD89158F0}"/>
    <cellStyle name="백분율 2 2 3" xfId="1406" xr:uid="{DC4F1370-6A98-4D9A-9088-705FBC53BD52}"/>
    <cellStyle name="백분율 2 2 4" xfId="1407" xr:uid="{9D84F5F7-5273-40E6-AC7A-B544F2650320}"/>
    <cellStyle name="백분율 2 3" xfId="1408" xr:uid="{C0FBE84C-B365-4648-8F6B-4889FA66425B}"/>
    <cellStyle name="백분율 2 4" xfId="1409" xr:uid="{F461A075-B959-4C1B-BB1E-7FBEF47392FE}"/>
    <cellStyle name="백분율 2 5" xfId="1403" xr:uid="{6AD0F357-E1C5-4C7A-9A44-205AF7FD6CA2}"/>
    <cellStyle name="백분율 20" xfId="1410" xr:uid="{0AE4CAFE-9D03-4608-BD99-333C46D0CA48}"/>
    <cellStyle name="백분율 20 2" xfId="1411" xr:uid="{AA85ED4A-5D60-4B3A-A671-D74C4E48A59D}"/>
    <cellStyle name="백분율 200" xfId="1412" xr:uid="{53B55405-BEE8-4859-BAA2-4138559E713D}"/>
    <cellStyle name="백분율 201" xfId="1413" xr:uid="{C65C7CA2-047F-4702-8A49-031719E00F63}"/>
    <cellStyle name="백분율 202" xfId="1414" xr:uid="{61CC5A3E-3FF7-4672-8683-4F1C12D1B365}"/>
    <cellStyle name="백분율 203" xfId="1415" xr:uid="{DCFF807E-DCFC-42AA-821E-E69AFCEA5F14}"/>
    <cellStyle name="백분율 204" xfId="1416" xr:uid="{DB1D7BE9-1885-4A07-B31F-1294A3A14FC1}"/>
    <cellStyle name="백분율 205" xfId="1417" xr:uid="{7FEF6313-7441-4EE4-856B-493083F65408}"/>
    <cellStyle name="백분율 206" xfId="1418" xr:uid="{93666BE2-E6C2-4490-B2F2-57395CA80CEA}"/>
    <cellStyle name="백분율 207" xfId="1419" xr:uid="{F5E6616D-A7CF-45F6-99C6-2CB5B1822623}"/>
    <cellStyle name="백분율 208" xfId="1420" xr:uid="{773E009A-4E8E-4081-B799-C03E58880B4A}"/>
    <cellStyle name="백분율 209" xfId="1421" xr:uid="{F4A8E001-4012-48FF-B81F-6DA8D64C5DD5}"/>
    <cellStyle name="백분율 21" xfId="1422" xr:uid="{519F0C31-DC1D-486D-BDC3-AE2292E6FC03}"/>
    <cellStyle name="백분율 21 2" xfId="1423" xr:uid="{550AB39D-1045-4529-A700-9BAA672DAD03}"/>
    <cellStyle name="백분율 210" xfId="1424" xr:uid="{79E4D81E-22BA-4335-9AAD-265EBB031476}"/>
    <cellStyle name="백분율 211" xfId="1425" xr:uid="{A63031FA-96E3-4CAD-B30E-EE30DA0A9996}"/>
    <cellStyle name="백분율 212" xfId="1426" xr:uid="{13C60095-C4B0-4534-A6EA-355F09EA3A42}"/>
    <cellStyle name="백분율 213" xfId="1427" xr:uid="{B6D2BADA-564F-4027-A6E2-6F2A5B7C80DC}"/>
    <cellStyle name="백분율 214" xfId="1428" xr:uid="{3A979B6C-7CF2-4D42-A714-35341940B395}"/>
    <cellStyle name="백분율 215" xfId="1429" xr:uid="{050CD614-366D-4FDD-81E9-90B6025F56A2}"/>
    <cellStyle name="백분율 216" xfId="1430" xr:uid="{223E84FA-E07C-4CCF-8191-15E9849BE5D2}"/>
    <cellStyle name="백분율 217" xfId="1431" xr:uid="{C7239C1E-AB67-4813-8C0B-1D0696737E19}"/>
    <cellStyle name="백분율 218" xfId="1432" xr:uid="{E9CC78D5-7465-4B18-815A-0C39E1D5E72C}"/>
    <cellStyle name="백분율 219" xfId="1433" xr:uid="{30E266E1-6E84-43D1-98F4-1361047FBA19}"/>
    <cellStyle name="백분율 22" xfId="1434" xr:uid="{1C76D955-E2E4-48A1-A5E3-BE2B261A6F0F}"/>
    <cellStyle name="백분율 22 2" xfId="1435" xr:uid="{CD9D272A-C9C9-4356-9C4B-34D17AD97A97}"/>
    <cellStyle name="백분율 23" xfId="1436" xr:uid="{BBD050F1-3E73-4297-B572-66E0237E77F6}"/>
    <cellStyle name="백분율 23 2" xfId="1437" xr:uid="{9B855758-2B9D-4F85-BCF1-DB479E336478}"/>
    <cellStyle name="백분율 24" xfId="1438" xr:uid="{E0E5589D-11B3-41A4-8CAA-0F1CDEAF3054}"/>
    <cellStyle name="백분율 24 2" xfId="1439" xr:uid="{CCF04CDE-230D-40F5-B435-A994B8349669}"/>
    <cellStyle name="백분율 25" xfId="1440" xr:uid="{05823D13-A901-4192-9D84-5B481A44B51A}"/>
    <cellStyle name="백분율 25 2" xfId="1441" xr:uid="{4DA8646F-815A-4F8E-98D9-AC5E12BE240F}"/>
    <cellStyle name="백분율 26" xfId="1442" xr:uid="{05C85B2B-C047-44F9-B0F4-290A71462924}"/>
    <cellStyle name="백분율 26 2" xfId="1443" xr:uid="{5C5254D3-F876-4BBC-BA1A-D8B61AA72E6D}"/>
    <cellStyle name="백분율 27" xfId="1444" xr:uid="{6AC9B9EA-4308-4190-87D5-C0C1ACAE7E2C}"/>
    <cellStyle name="백분율 27 2" xfId="1445" xr:uid="{13C96C02-72F2-4BB9-841B-5A85D5525FAA}"/>
    <cellStyle name="백분율 28" xfId="1446" xr:uid="{9D6324B1-4C92-4503-A238-0CABCB16F8B3}"/>
    <cellStyle name="백분율 28 2" xfId="1447" xr:uid="{7B2C996F-5281-4FDC-9BAE-57AAF84B3427}"/>
    <cellStyle name="백분율 29" xfId="1448" xr:uid="{9182EB48-8ED1-472F-BB04-28B0A30D6E37}"/>
    <cellStyle name="백분율 29 2" xfId="1449" xr:uid="{BE586064-EE8B-4292-9105-A61EF1A098B5}"/>
    <cellStyle name="백분율 3" xfId="1450" xr:uid="{29055EE8-E1A3-47ED-96B0-9FCE8B95EFFE}"/>
    <cellStyle name="백분율 3 2" xfId="1451" xr:uid="{5C196555-54AD-4F7C-B5CC-28EB72BA9014}"/>
    <cellStyle name="백분율 3 3" xfId="1452" xr:uid="{E88730AC-67D7-478F-BAE3-B8EE03AD1645}"/>
    <cellStyle name="백분율 3 4" xfId="1453" xr:uid="{4757CB5B-2963-4254-9FAD-B862678E45C0}"/>
    <cellStyle name="백분율 3 5" xfId="1454" xr:uid="{A4526BE5-C451-4FAF-9BB4-D055CB59BCA9}"/>
    <cellStyle name="백분율 30" xfId="1455" xr:uid="{1988F19D-59C8-4BCA-85AA-56B2FA569458}"/>
    <cellStyle name="백분율 30 2" xfId="1456" xr:uid="{E9FEDF97-7A95-47C7-9A5C-CEB77586F2F9}"/>
    <cellStyle name="백분율 31" xfId="1457" xr:uid="{11050090-0B0E-4D12-8726-9AC80CB7AB87}"/>
    <cellStyle name="백분율 31 2" xfId="1458" xr:uid="{E7A54A5D-203A-4997-A82D-538026CEDAAF}"/>
    <cellStyle name="백분율 32" xfId="1459" xr:uid="{AAB10B3B-F298-4C4E-9DD9-A52AD3DB6281}"/>
    <cellStyle name="백분율 32 2" xfId="1460" xr:uid="{7686B5DD-E176-4B66-A438-56978B079CFE}"/>
    <cellStyle name="백분율 33" xfId="1461" xr:uid="{B6D11C18-1825-4B4D-BA20-2BA35BE66FDE}"/>
    <cellStyle name="백분율 33 2" xfId="1462" xr:uid="{E673F0A7-F380-4C6C-8EB0-C5165DE1E783}"/>
    <cellStyle name="백분율 34" xfId="1463" xr:uid="{7A5393F1-731E-488F-BE1B-15CBF044D279}"/>
    <cellStyle name="백분율 34 2" xfId="1464" xr:uid="{27858079-A5E8-43CC-AA7D-84E0E3BCE0FF}"/>
    <cellStyle name="백분율 35" xfId="1465" xr:uid="{DE24B490-ADB4-4D60-952B-7EDAEDC51B0F}"/>
    <cellStyle name="백분율 35 2" xfId="1466" xr:uid="{449EF4D8-E1C2-4D66-BF5D-714D70254DEF}"/>
    <cellStyle name="백분율 36" xfId="1467" xr:uid="{81D3466B-1765-4785-BA1F-25B94274C5F5}"/>
    <cellStyle name="백분율 36 2" xfId="1468" xr:uid="{0157D23C-3DF7-4777-994E-28DC04D85F66}"/>
    <cellStyle name="백분율 37" xfId="1469" xr:uid="{27860CC5-DD56-44E8-BAE4-8194ABD5F1E2}"/>
    <cellStyle name="백분율 37 2" xfId="1470" xr:uid="{A50A7AAE-2F1A-4DA1-96F9-B409322CABC6}"/>
    <cellStyle name="백분율 38" xfId="1471" xr:uid="{7BBEAE4A-D20E-4955-B6A5-BBA97ED294C1}"/>
    <cellStyle name="백분율 38 2" xfId="1472" xr:uid="{8F769B8C-F114-4B6A-BAA6-9E744B445DD8}"/>
    <cellStyle name="백분율 39" xfId="1473" xr:uid="{06351413-D475-4397-9D2C-57719CFF1485}"/>
    <cellStyle name="백분율 39 2" xfId="1474" xr:uid="{92C3C5EB-CA6C-4A86-9539-93EDCAF9CEFB}"/>
    <cellStyle name="백분율 4" xfId="1475" xr:uid="{C01C25E8-7C25-4709-AE95-A1C3B95328C3}"/>
    <cellStyle name="백분율 4 2" xfId="1476" xr:uid="{D160753A-0024-4424-B0FC-EFCEF0A7FC0B}"/>
    <cellStyle name="백분율 4 3" xfId="1477" xr:uid="{85806295-EDB9-43CB-926D-5DC2BC26B7A8}"/>
    <cellStyle name="백분율 4 4" xfId="1478" xr:uid="{786D7286-B1D5-4533-B1DB-095796694FA1}"/>
    <cellStyle name="백분율 4 5" xfId="1479" xr:uid="{23F5FE38-7347-4372-BE61-A2AA8C1668A3}"/>
    <cellStyle name="백분율 40" xfId="1480" xr:uid="{54338560-E689-4599-9E18-E1073F24D567}"/>
    <cellStyle name="백분율 40 2" xfId="1481" xr:uid="{A1A533DF-A780-4DDA-B912-7D54700B2955}"/>
    <cellStyle name="백분율 41" xfId="1482" xr:uid="{7354C118-6DAC-47D7-9A25-8978961C4CE6}"/>
    <cellStyle name="백분율 41 2" xfId="1483" xr:uid="{094593E8-23B5-4B9C-8147-2E7F9D0508A0}"/>
    <cellStyle name="백분율 42" xfId="1484" xr:uid="{223D90B8-476B-45BA-A418-55549A7CC740}"/>
    <cellStyle name="백분율 42 2" xfId="1485" xr:uid="{7CC53226-57F2-43E4-9136-39BCAF6D3D01}"/>
    <cellStyle name="백분율 43" xfId="1486" xr:uid="{FF6D5E34-C9B6-4FEB-8228-91C33F621E52}"/>
    <cellStyle name="백분율 43 2" xfId="1487" xr:uid="{E445EF5E-21FF-4FB5-8C67-582AD221176E}"/>
    <cellStyle name="백분율 44" xfId="1488" xr:uid="{4B75744F-1CD5-41EB-AF73-FE2CDCE02455}"/>
    <cellStyle name="백분율 44 2" xfId="1489" xr:uid="{5698E944-92C2-475C-9E65-DB5C709AE0EA}"/>
    <cellStyle name="백분율 45" xfId="1490" xr:uid="{0C506333-FF4F-458C-97B5-620D8FF8533C}"/>
    <cellStyle name="백분율 45 2" xfId="1491" xr:uid="{F070E5EB-B9EC-4C20-8712-853A0558D7C2}"/>
    <cellStyle name="백분율 46" xfId="1492" xr:uid="{B34C1275-4B10-484F-9606-2E71FADFA816}"/>
    <cellStyle name="백분율 46 2" xfId="1493" xr:uid="{AE08C231-EB99-4F8A-A62F-2118C73DA7D7}"/>
    <cellStyle name="백분율 47" xfId="1494" xr:uid="{07505152-5AA0-42EC-9340-EC54BB02DC5E}"/>
    <cellStyle name="백분율 47 2" xfId="1495" xr:uid="{8BBB34D0-F534-433F-B7BD-96E8F7B9D589}"/>
    <cellStyle name="백분율 48" xfId="1496" xr:uid="{4BE2CCD4-2C37-4935-B1D7-156BA2E0F7AC}"/>
    <cellStyle name="백분율 48 2" xfId="1497" xr:uid="{6162D0B0-063A-404C-A3B9-200ACFD7F976}"/>
    <cellStyle name="백분율 49" xfId="1498" xr:uid="{5A8C23BB-944E-4488-A3E3-32B80061808F}"/>
    <cellStyle name="백분율 49 2" xfId="1499" xr:uid="{1F89D154-E352-48EE-99A0-BE50617F9C72}"/>
    <cellStyle name="백분율 5" xfId="1500" xr:uid="{E293BE0A-C24B-4830-B901-7E4540E8FF62}"/>
    <cellStyle name="백분율 5 2" xfId="1501" xr:uid="{AF647D53-7614-4497-A760-5F5327077C73}"/>
    <cellStyle name="백분율 5 3" xfId="1502" xr:uid="{70432039-10ED-435A-BDCC-AA3B793ED455}"/>
    <cellStyle name="백분율 50" xfId="1503" xr:uid="{B8937DCE-05B0-428A-9484-C1F818A345FE}"/>
    <cellStyle name="백분율 50 2" xfId="1504" xr:uid="{FEBDAE74-C1AE-4AC8-BB4C-370772D32BFD}"/>
    <cellStyle name="백분율 51" xfId="1505" xr:uid="{5CA4C248-F35B-4F4A-9C5D-D456C8507225}"/>
    <cellStyle name="백분율 51 2" xfId="1506" xr:uid="{B51AA994-7E0B-458B-A48E-E25BD2685B2A}"/>
    <cellStyle name="백분율 52" xfId="1507" xr:uid="{7CF5EA8A-D8CC-4025-9DCD-15099F87B5B4}"/>
    <cellStyle name="백분율 52 2" xfId="1508" xr:uid="{7CF80C05-D488-406F-BAA5-4D5C216BA50D}"/>
    <cellStyle name="백분율 53" xfId="1509" xr:uid="{634641CF-05BC-4B23-8756-2135CD85321B}"/>
    <cellStyle name="백분율 53 2" xfId="1510" xr:uid="{C23A2858-056C-4DFA-A4BA-16CE433DBAA6}"/>
    <cellStyle name="백분율 54" xfId="1511" xr:uid="{80AC19DD-F483-4351-9B04-B6C860E311A0}"/>
    <cellStyle name="백분율 54 2" xfId="1512" xr:uid="{D613BCE9-AA4A-4F66-8948-22FC37D8E054}"/>
    <cellStyle name="백분율 55" xfId="1513" xr:uid="{6E14C1A6-3C36-468F-8472-C783BBB772BF}"/>
    <cellStyle name="백분율 55 2" xfId="1514" xr:uid="{4EA6D06D-046C-45B9-BCDC-E877F5099902}"/>
    <cellStyle name="백분율 56" xfId="1515" xr:uid="{B8EF095F-425B-4B59-9F5C-5488D9F7229E}"/>
    <cellStyle name="백분율 56 2" xfId="1516" xr:uid="{5330DC8A-782E-4B8F-832C-66E69052A1A6}"/>
    <cellStyle name="백분율 57" xfId="1517" xr:uid="{B07FF8CF-D5A0-477F-842E-789F5893ADE0}"/>
    <cellStyle name="백분율 57 2" xfId="1518" xr:uid="{1053C38F-521C-479C-932C-E172CC257E49}"/>
    <cellStyle name="백분율 58" xfId="1519" xr:uid="{56159C61-DEB1-40D9-A91B-BA5E050D945D}"/>
    <cellStyle name="백분율 58 2" xfId="1520" xr:uid="{B7D8937F-CF41-4447-BF73-FF4104CDF206}"/>
    <cellStyle name="백분율 59" xfId="1521" xr:uid="{75E85E1B-AE84-42CB-A55B-7E5E20767C93}"/>
    <cellStyle name="백분율 59 2" xfId="1522" xr:uid="{D000E7B1-FF4E-4559-A4BC-D37A8969CC3A}"/>
    <cellStyle name="백분율 6" xfId="1523" xr:uid="{1A0F8032-78BE-4A72-B2DE-7B1CD9F2EAE5}"/>
    <cellStyle name="백분율 60" xfId="1524" xr:uid="{31934C47-CA9B-4560-B9B8-CBF526E39F5B}"/>
    <cellStyle name="백분율 60 2" xfId="1525" xr:uid="{DC3816B6-BFB5-4AF1-A3A7-FE2C955A9CA3}"/>
    <cellStyle name="백분율 61" xfId="1526" xr:uid="{54505F4C-7FD0-48FF-8074-C31C9ABDBCBC}"/>
    <cellStyle name="백분율 61 2" xfId="1527" xr:uid="{656479EA-DCBD-493D-8EDD-097E206BB1F8}"/>
    <cellStyle name="백분율 62" xfId="1528" xr:uid="{0D611D58-D414-45FA-856D-6DABA2808800}"/>
    <cellStyle name="백분율 62 2" xfId="1529" xr:uid="{A2139F78-1B3F-459C-9074-7A07C6F77BB3}"/>
    <cellStyle name="백분율 63" xfId="1530" xr:uid="{E283A3B4-E600-4C5E-AB38-1BF5EE64FC4C}"/>
    <cellStyle name="백분율 63 2" xfId="1531" xr:uid="{0E2AD8EE-946D-4B4D-BDF7-936DEEBD9F90}"/>
    <cellStyle name="백분율 64" xfId="1532" xr:uid="{A76BF328-1A3A-4F9D-8C06-916C8BD016D7}"/>
    <cellStyle name="백분율 64 2" xfId="1533" xr:uid="{190EBA10-282F-466B-B5CF-2A5DDDD19150}"/>
    <cellStyle name="백분율 65" xfId="1534" xr:uid="{2C4CE11C-1ED3-43C0-9F1C-891680E1FFD5}"/>
    <cellStyle name="백분율 65 2" xfId="1535" xr:uid="{206326C4-1709-4DF1-AB7B-3DFED31BF2CA}"/>
    <cellStyle name="백분율 66" xfId="1536" xr:uid="{0B7D0802-0BEE-4336-8F59-4AD1C0827C70}"/>
    <cellStyle name="백분율 66 2" xfId="1537" xr:uid="{96AB2D51-E986-4023-AB58-194D4E7B37BB}"/>
    <cellStyle name="백분율 67" xfId="1538" xr:uid="{D70D0513-2F3B-4643-967B-3BF700605C9B}"/>
    <cellStyle name="백분율 67 2" xfId="1539" xr:uid="{01F858FD-C53F-463B-9B4A-4912501E7D07}"/>
    <cellStyle name="백분율 68" xfId="1540" xr:uid="{C27B525F-02A7-4762-A085-3FD09AB8C294}"/>
    <cellStyle name="백분율 68 2" xfId="1541" xr:uid="{E5D4104F-4AE1-4240-9828-97FB68BE05A6}"/>
    <cellStyle name="백분율 69" xfId="1542" xr:uid="{5B1F47B9-4A1B-44B6-9E0C-BB6376371480}"/>
    <cellStyle name="백분율 69 2" xfId="1543" xr:uid="{2752DA1D-D2C2-41F1-AD50-2D822CBD904B}"/>
    <cellStyle name="백분율 7" xfId="1544" xr:uid="{C9ADA55E-B430-441D-870A-AEB216B04A7D}"/>
    <cellStyle name="백분율 70" xfId="1545" xr:uid="{14F44C7E-CC3F-4C8E-8E44-BE0EB1A0E7C7}"/>
    <cellStyle name="백분율 70 2" xfId="1546" xr:uid="{15D91414-C2A9-4B8D-8E44-3BBB92D2D93E}"/>
    <cellStyle name="백분율 71" xfId="1547" xr:uid="{10A0BE1F-B5DB-42C8-9B8D-9EEB0D0891BA}"/>
    <cellStyle name="백분율 71 2" xfId="1548" xr:uid="{FA131C89-B598-4FE2-8046-9E7660C60150}"/>
    <cellStyle name="백분율 72" xfId="1549" xr:uid="{FCF7542F-453F-46A6-A566-18AAD30E27FD}"/>
    <cellStyle name="백분율 72 2" xfId="1550" xr:uid="{7F0BEDD6-F74D-427B-B3E1-419D6F4432D4}"/>
    <cellStyle name="백분율 73" xfId="1551" xr:uid="{29D036EA-C74F-4D7C-A7D2-91EE6C102123}"/>
    <cellStyle name="백분율 73 2" xfId="1552" xr:uid="{725F8DE1-7C89-4F00-907C-563314020A4A}"/>
    <cellStyle name="백분율 74" xfId="1553" xr:uid="{798C9A7B-56DF-424D-8DC7-0B4F396C18A9}"/>
    <cellStyle name="백분율 74 2" xfId="1554" xr:uid="{F77F62B7-7718-4EE2-B703-6C2225A1EBE5}"/>
    <cellStyle name="백분율 75" xfId="1555" xr:uid="{5608210F-198D-4BC8-A515-AF130F88C1C5}"/>
    <cellStyle name="백분율 75 2" xfId="1556" xr:uid="{18E5BDDC-5BF8-4C59-AE23-A887E282D06B}"/>
    <cellStyle name="백분율 76" xfId="1557" xr:uid="{4CFF7B55-4DF5-44B6-930E-4692B298C2EA}"/>
    <cellStyle name="백분율 76 2" xfId="1558" xr:uid="{81A91CAB-0F63-42DD-A279-26AF3B7AB988}"/>
    <cellStyle name="백분율 77" xfId="1559" xr:uid="{CC81C690-BF21-497A-98FF-A1BC7A044088}"/>
    <cellStyle name="백분율 77 2" xfId="1560" xr:uid="{B8B38681-8D33-4906-8C55-CF0432E77826}"/>
    <cellStyle name="백분율 78" xfId="1561" xr:uid="{FF830671-D393-4CFF-98A5-94B40437A111}"/>
    <cellStyle name="백분율 78 2" xfId="1562" xr:uid="{2C75A1CC-4702-4FBF-BAC4-EF128EA1097A}"/>
    <cellStyle name="백분율 79" xfId="1563" xr:uid="{AFC25864-DD71-4180-8185-AAD1B246A076}"/>
    <cellStyle name="백분율 79 2" xfId="1564" xr:uid="{143C0EBD-3B23-4CBA-960C-CAAA0C4A631F}"/>
    <cellStyle name="백분율 8" xfId="1565" xr:uid="{E34E2892-538E-4730-88E2-9526276F63A9}"/>
    <cellStyle name="백분율 80" xfId="1566" xr:uid="{1319AC23-B6FE-43DE-95D5-8FF69313E161}"/>
    <cellStyle name="백분율 80 2" xfId="1567" xr:uid="{DA1FBAF3-7571-47CC-8FE4-EA7B4C767910}"/>
    <cellStyle name="백분율 81" xfId="1568" xr:uid="{2FCF8015-4F3E-4782-80AF-ED0698D37354}"/>
    <cellStyle name="백분율 81 2" xfId="1569" xr:uid="{1CE8C7E7-E7CE-468E-9DA1-8F87BDF07A1E}"/>
    <cellStyle name="백분율 82" xfId="1570" xr:uid="{E5926D2F-34E4-4DEA-B3E3-72395C42ABC7}"/>
    <cellStyle name="백분율 82 2" xfId="1571" xr:uid="{D79774E1-CD43-485B-AC72-15F5B65175C2}"/>
    <cellStyle name="백분율 83" xfId="1572" xr:uid="{380DBF99-3D74-417F-BC55-DA106AF2B7F7}"/>
    <cellStyle name="백분율 83 2" xfId="1573" xr:uid="{6F9A26B0-9A74-453B-BBEC-4953C3E3623B}"/>
    <cellStyle name="백분율 84" xfId="1574" xr:uid="{FF03D524-3AFA-4469-8DB9-145176DE8C3E}"/>
    <cellStyle name="백분율 84 2" xfId="1575" xr:uid="{B5957156-06F3-4FC5-AB64-D019567ED40C}"/>
    <cellStyle name="백분율 85" xfId="1576" xr:uid="{0F5F5586-3D5A-4AE3-8F00-C80AAF3C03F0}"/>
    <cellStyle name="백분율 85 2" xfId="1577" xr:uid="{2F5F2048-F57B-4FF5-BD11-F6E9276E1CEF}"/>
    <cellStyle name="백분율 86" xfId="1578" xr:uid="{DBC9C84F-4332-46AF-94B7-2333B8694818}"/>
    <cellStyle name="백분율 86 2" xfId="1579" xr:uid="{773C9CF7-8B3B-4CD7-BE98-E2F8CD61CDBE}"/>
    <cellStyle name="백분율 87" xfId="1580" xr:uid="{0BA58993-4E67-4AA1-971A-8610061ABD85}"/>
    <cellStyle name="백분율 87 2" xfId="1581" xr:uid="{EC85FF4E-9201-4460-859C-AEA1076A39E8}"/>
    <cellStyle name="백분율 88" xfId="1582" xr:uid="{FCD69628-953A-4389-8635-6BFD73B63141}"/>
    <cellStyle name="백분율 88 2" xfId="1583" xr:uid="{2295059D-4705-4196-B870-000B374530F3}"/>
    <cellStyle name="백분율 89" xfId="1584" xr:uid="{40A30ADB-DB61-4129-B7CC-E2B98A50E652}"/>
    <cellStyle name="백분율 89 2" xfId="1585" xr:uid="{71E048FC-0FB5-46F3-84A8-8E8D45D25845}"/>
    <cellStyle name="백분율 9" xfId="1586" xr:uid="{9A34B8C0-9F15-4019-902F-BCB1C7D8347F}"/>
    <cellStyle name="백분율 9 2" xfId="1587" xr:uid="{723478CA-4050-4686-8DD4-55A1BF139D5A}"/>
    <cellStyle name="백분율 90" xfId="1588" xr:uid="{C901CA6C-F429-4E80-9425-9D0A8EF8AC6B}"/>
    <cellStyle name="백분율 90 2" xfId="1589" xr:uid="{6CFE83EC-89B0-4973-81C7-64C40DEF7298}"/>
    <cellStyle name="백분율 91" xfId="1590" xr:uid="{B8610033-ECE5-46C7-9F87-AE5CD4EBD7C6}"/>
    <cellStyle name="백분율 91 2" xfId="1591" xr:uid="{24A9AECB-4963-4087-8010-EB2113ED3D58}"/>
    <cellStyle name="백분율 92" xfId="1592" xr:uid="{0C452AA3-47C4-4775-92B1-5A143E7A54D5}"/>
    <cellStyle name="백분율 92 2" xfId="1593" xr:uid="{C50598AE-5055-4878-AA6F-B2FD7C3ACF71}"/>
    <cellStyle name="백분율 93" xfId="1594" xr:uid="{CD448D4C-6D81-4961-9874-8B21FD746F63}"/>
    <cellStyle name="백분율 93 2" xfId="1595" xr:uid="{F8AFF0B3-13FB-4EF8-B543-5FEAB06115BE}"/>
    <cellStyle name="백분율 94" xfId="1596" xr:uid="{F15ACE3B-B555-461D-97AB-0E274FAA89B8}"/>
    <cellStyle name="백분율 94 2" xfId="1597" xr:uid="{26A47594-8B92-4B88-BE03-9B078A4946DC}"/>
    <cellStyle name="백분율 95" xfId="1598" xr:uid="{852EB2B3-CC21-4E22-B7C2-944BCA91FA97}"/>
    <cellStyle name="백분율 95 2" xfId="1599" xr:uid="{F510C905-C0AD-479B-89B1-3561F90957DB}"/>
    <cellStyle name="백분율 96" xfId="1600" xr:uid="{98E4E80B-09AF-45E6-84BE-980E525C03E4}"/>
    <cellStyle name="백분율 96 2" xfId="1601" xr:uid="{7245569E-39A5-4209-8880-174A6414D600}"/>
    <cellStyle name="백분율 97" xfId="1602" xr:uid="{738339ED-215A-4A40-AD15-866F4C2118F7}"/>
    <cellStyle name="백분율 97 2" xfId="1603" xr:uid="{62ABCE47-969A-42CE-BAAA-C4ECEA7B77C6}"/>
    <cellStyle name="백분율 98" xfId="1604" xr:uid="{8F194E47-90E7-41AB-9739-953E9CA17265}"/>
    <cellStyle name="백분율 98 2" xfId="1605" xr:uid="{00DD6608-0162-448A-A564-570416B36DCC}"/>
    <cellStyle name="백분율 99" xfId="1606" xr:uid="{5F725C2C-01E0-4985-B722-5632194DDCF9}"/>
    <cellStyle name="백분율 99 2" xfId="1607" xr:uid="{AC943B7A-F145-4C45-B043-CD7F82626AD0}"/>
    <cellStyle name="뷭?" xfId="1608" xr:uid="{50D22D7B-C09C-4906-BC08-C4C5A6C51817}"/>
    <cellStyle name="常规 3" xfId="1609" xr:uid="{69452E32-6F4F-42C1-B46E-A2FD019B97A7}"/>
    <cellStyle name="説明文" xfId="1610" xr:uid="{1060A99A-237C-4B45-B2B3-00F2C1CD1F5E}"/>
    <cellStyle name="셈迷?XLS!check_filesche|_x0005_" xfId="1611" xr:uid="{AE552CF2-F63C-4B0A-89B5-B7B2434CF6F3}"/>
    <cellStyle name="输入" xfId="1612" xr:uid="{FA970C29-DE3D-4579-8656-219924F4B922}"/>
    <cellStyle name="输入 2" xfId="1613" xr:uid="{38563CC3-6D31-4E49-B084-47AEA5F4D2FD}"/>
    <cellStyle name="输出" xfId="1614" xr:uid="{0E466B0E-5429-4B47-B5C3-F12A3D810AAC}"/>
    <cellStyle name="输出 2" xfId="1615" xr:uid="{3BD5C94E-41F7-4960-A224-9A711376C7CC}"/>
    <cellStyle name="숫자" xfId="1616" xr:uid="{6F02422F-E85D-45A3-B5C3-E13979F529F3}"/>
    <cellStyle name="숫자(R)" xfId="1617" xr:uid="{4462BEC8-F27A-4E3D-85BB-14A0E9B29F8A}"/>
    <cellStyle name="숫자_BOE B4 PJT 모델별 사양서-100902(1)" xfId="1618" xr:uid="{4BFB57A3-BF0F-407E-9A84-8F568E600EB4}"/>
    <cellStyle name="쉼표 [0]" xfId="4" builtinId="6"/>
    <cellStyle name="쉼표 [0] 10" xfId="1620" xr:uid="{4CCBDAF2-DC95-47DF-876F-D493DBAA1957}"/>
    <cellStyle name="쉼표 [0] 10 2" xfId="2286" xr:uid="{1AF672C2-D4FA-461D-A086-D9C6D547210A}"/>
    <cellStyle name="쉼표 [0] 10 2 2" xfId="2943" xr:uid="{E2F63E33-E08F-4DF1-B8DE-F3BB604CD0FF}"/>
    <cellStyle name="쉼표 [0] 10 3" xfId="2616" xr:uid="{948D84D3-3964-4B49-86A5-624C4FFC59E4}"/>
    <cellStyle name="쉼표 [0] 11" xfId="1619" xr:uid="{99DFFB6F-6C90-4E5E-BFC8-2AEEE0FB4A86}"/>
    <cellStyle name="쉼표 [0] 11 2" xfId="2142" xr:uid="{D1CA7DBF-0E32-4E9B-9CAE-79014390D4CF}"/>
    <cellStyle name="쉼표 [0] 11 2 2" xfId="2479" xr:uid="{984DE81A-8006-4F98-9F85-F3BF0F503212}"/>
    <cellStyle name="쉼표 [0] 11 2 2 2" xfId="3136" xr:uid="{7BDA7233-9852-4CC2-9FE5-2DBD11AF6486}"/>
    <cellStyle name="쉼표 [0] 11 2 3" xfId="2809" xr:uid="{1F97B02E-E373-44C2-BA9F-54C8F3B6EC25}"/>
    <cellStyle name="쉼표 [0] 11 3" xfId="2285" xr:uid="{5FF5A9B9-A55F-44C9-9B5B-3449B5F82D6E}"/>
    <cellStyle name="쉼표 [0] 11 3 2" xfId="2942" xr:uid="{516B0ECD-314C-437B-A808-B0F167739EC2}"/>
    <cellStyle name="쉼표 [0] 11 4" xfId="2615" xr:uid="{E4E07613-46C1-4C97-9B5E-7F9060BFD142}"/>
    <cellStyle name="쉼표 [0] 12" xfId="2028" xr:uid="{3D0C879F-2EAF-4A6D-A172-8A0ED4F28055}"/>
    <cellStyle name="쉼표 [0] 12 2" xfId="2373" xr:uid="{7DE872C4-FDCD-42EE-8B1F-91B1172045A4}"/>
    <cellStyle name="쉼표 [0] 12 2 2" xfId="3030" xr:uid="{678230FA-84B7-4931-9BA6-3C4D093F5C7A}"/>
    <cellStyle name="쉼표 [0] 12 3" xfId="2703" xr:uid="{91F543C7-B457-44D1-B220-CA16301DFEBF}"/>
    <cellStyle name="쉼표 [0] 13" xfId="2033" xr:uid="{ADA6B239-3668-4986-A688-EF6E5EDAFC35}"/>
    <cellStyle name="쉼표 [0] 13 2" xfId="2376" xr:uid="{AF4809D6-4D91-45C2-AEFF-EDEE0BFACF60}"/>
    <cellStyle name="쉼표 [0] 13 2 2" xfId="3033" xr:uid="{46C8FA7D-18FD-442C-B71D-7D0F6A6DE6C3}"/>
    <cellStyle name="쉼표 [0] 13 3" xfId="2706" xr:uid="{05C30B39-5CE8-453D-8879-CD8EBBDB3091}"/>
    <cellStyle name="쉼표 [0] 14" xfId="2040" xr:uid="{16CF11DC-B52C-49B6-B851-5DACA41B3411}"/>
    <cellStyle name="쉼표 [0] 14 2" xfId="2383" xr:uid="{DE74D7B7-4BCD-4033-867C-6170DEEEF08A}"/>
    <cellStyle name="쉼표 [0] 14 2 2" xfId="3040" xr:uid="{F946E180-E798-45BA-AB5F-C9B3647DB7C5}"/>
    <cellStyle name="쉼표 [0] 14 3" xfId="2713" xr:uid="{F4EB0BE5-8278-4720-A721-6B7620C9E022}"/>
    <cellStyle name="쉼표 [0] 15" xfId="2047" xr:uid="{B811CAF4-1131-4610-9192-924C163B1776}"/>
    <cellStyle name="쉼표 [0] 15 2" xfId="2390" xr:uid="{9A27F594-ABB7-4F0E-8B58-DD57640899BD}"/>
    <cellStyle name="쉼표 [0] 15 2 2" xfId="3047" xr:uid="{4E3A80F1-29CA-45E4-8976-634BF4447005}"/>
    <cellStyle name="쉼표 [0] 15 3" xfId="2720" xr:uid="{7094EF77-77DF-4FA0-AF0F-F87BC944B15C}"/>
    <cellStyle name="쉼표 [0] 16" xfId="2054" xr:uid="{D397F17F-2F3E-4073-9A11-82419972489B}"/>
    <cellStyle name="쉼표 [0] 16 2" xfId="2397" xr:uid="{10680FD4-DCE2-409A-8093-0EA24D002E02}"/>
    <cellStyle name="쉼표 [0] 16 2 2" xfId="3054" xr:uid="{9F9411E3-9AC8-4FFC-8089-0D2AD484DFAF}"/>
    <cellStyle name="쉼표 [0] 16 3" xfId="2727" xr:uid="{4EF932EE-D897-4873-8127-1C831B2A0760}"/>
    <cellStyle name="쉼표 [0] 17" xfId="2063" xr:uid="{8BB8A1C6-90B4-43A5-AA90-ADF00E0F1F35}"/>
    <cellStyle name="쉼표 [0] 17 2" xfId="2406" xr:uid="{667847CB-9A46-4D3D-9F99-A8FD573460D0}"/>
    <cellStyle name="쉼표 [0] 17 2 2" xfId="3063" xr:uid="{C8BC0381-F98D-40CE-83D2-707C4464A3E0}"/>
    <cellStyle name="쉼표 [0] 17 3" xfId="2736" xr:uid="{DE1A0D8F-A97D-40B2-A1A8-7BC342356DBE}"/>
    <cellStyle name="쉼표 [0] 18" xfId="2084" xr:uid="{5DF71BAC-D1C6-4714-B774-3A96F0BDE843}"/>
    <cellStyle name="쉼표 [0] 18 2" xfId="2421" xr:uid="{9D36908A-2ADD-4067-8823-E9A0581086EE}"/>
    <cellStyle name="쉼표 [0] 18 2 2" xfId="3078" xr:uid="{43F3295B-63C5-4379-BE16-51100E757DF4}"/>
    <cellStyle name="쉼표 [0] 18 3" xfId="2751" xr:uid="{7963D570-7AD7-4D6E-86EC-264E9FEC5CD0}"/>
    <cellStyle name="쉼표 [0] 19" xfId="2095" xr:uid="{000B4763-016C-466A-A25C-94F9A524DC04}"/>
    <cellStyle name="쉼표 [0] 19 2" xfId="2432" xr:uid="{D3111DAA-2E34-4D88-9805-37F53A593C19}"/>
    <cellStyle name="쉼표 [0] 19 2 2" xfId="3089" xr:uid="{9394073B-1BD4-4B66-932A-DE4EAB5DE2FB}"/>
    <cellStyle name="쉼표 [0] 19 3" xfId="2762" xr:uid="{F56729AE-40E5-45B3-B945-8EAD7D013920}"/>
    <cellStyle name="쉼표 [0] 2" xfId="2" xr:uid="{0F8CC5CA-4A14-4721-82B6-593592550BEF}"/>
    <cellStyle name="쉼표 [0] 2 10" xfId="2062" xr:uid="{69B3912C-6E06-487D-99CC-A4822402239E}"/>
    <cellStyle name="쉼표 [0] 2 10 2" xfId="2405" xr:uid="{3065ABA1-DE3F-4EA3-9C38-3C9D69C60424}"/>
    <cellStyle name="쉼표 [0] 2 10 2 2" xfId="3062" xr:uid="{D6889712-E45F-4A2C-9207-166D03FCB669}"/>
    <cellStyle name="쉼표 [0] 2 10 3" xfId="2735" xr:uid="{13AAA93D-E13E-4D71-BF4E-4AAC8D591819}"/>
    <cellStyle name="쉼표 [0] 2 11" xfId="2083" xr:uid="{648EBAF4-5704-4F47-97B9-E94D3717C105}"/>
    <cellStyle name="쉼표 [0] 2 11 2" xfId="2420" xr:uid="{AE96B983-3186-4FCE-938A-851006154780}"/>
    <cellStyle name="쉼표 [0] 2 11 2 2" xfId="3077" xr:uid="{4EEC2B7F-D18E-4A5E-81FF-536B54ED4B37}"/>
    <cellStyle name="쉼표 [0] 2 11 3" xfId="2750" xr:uid="{92CF39B2-3507-434C-8622-16F47B1AAA63}"/>
    <cellStyle name="쉼표 [0] 2 12" xfId="2094" xr:uid="{F17C9880-3A92-4439-AD6F-917E84C3B491}"/>
    <cellStyle name="쉼표 [0] 2 12 2" xfId="2431" xr:uid="{F9FCEA72-4632-4D26-A23E-6596D3DB134A}"/>
    <cellStyle name="쉼표 [0] 2 12 2 2" xfId="3088" xr:uid="{CB763817-647B-4EF7-A8DA-F0C105066487}"/>
    <cellStyle name="쉼표 [0] 2 12 3" xfId="2761" xr:uid="{46C2976C-53B5-48B1-A4BE-115E686C9AED}"/>
    <cellStyle name="쉼표 [0] 2 13" xfId="2109" xr:uid="{6F88E417-E521-47FE-854E-86EAA9829A53}"/>
    <cellStyle name="쉼표 [0] 2 13 2" xfId="2446" xr:uid="{FC7A94C7-86AC-4928-9B31-8F4CB2328CE2}"/>
    <cellStyle name="쉼표 [0] 2 13 2 2" xfId="3103" xr:uid="{A79B458B-78EE-4D12-AEF4-B7726C2ADB2A}"/>
    <cellStyle name="쉼표 [0] 2 13 3" xfId="2776" xr:uid="{E3F0CCD1-8321-4ADB-8941-6CBA32F299F7}"/>
    <cellStyle name="쉼표 [0] 2 14" xfId="2125" xr:uid="{2B5CD234-0917-44A8-B20B-72AEC3D8384F}"/>
    <cellStyle name="쉼표 [0] 2 14 2" xfId="2462" xr:uid="{2C8DF43D-44AC-4CEA-9740-84DCD014FBBE}"/>
    <cellStyle name="쉼표 [0] 2 14 2 2" xfId="3119" xr:uid="{332E00D1-693C-4EE4-935B-01CEC9A95B41}"/>
    <cellStyle name="쉼표 [0] 2 14 3" xfId="2792" xr:uid="{D4907257-D77F-481C-BA45-F09F12EC4057}"/>
    <cellStyle name="쉼표 [0] 2 15" xfId="2132" xr:uid="{A16AE07C-C99E-41D1-A16B-76ECBC833D0B}"/>
    <cellStyle name="쉼표 [0] 2 15 2" xfId="2469" xr:uid="{F9F65CFF-EC63-4493-9228-D1B84ECE5143}"/>
    <cellStyle name="쉼표 [0] 2 15 2 2" xfId="3126" xr:uid="{810EA19A-A155-462D-80E8-6BC2B09B8572}"/>
    <cellStyle name="쉼표 [0] 2 15 3" xfId="2799" xr:uid="{1494A615-1AC4-4C86-985D-E0D57BCBFD8C}"/>
    <cellStyle name="쉼표 [0] 2 16" xfId="73" xr:uid="{BEA7959F-0805-473B-8A4A-5F3BFFD0A0A7}"/>
    <cellStyle name="쉼표 [0] 2 16 2" xfId="2272" xr:uid="{DC992A76-5F46-4603-AFFD-4B8A6E2D219D}"/>
    <cellStyle name="쉼표 [0] 2 16 2 2" xfId="2929" xr:uid="{D6F15B3E-782F-4BE3-ABC8-6D4756E90888}"/>
    <cellStyle name="쉼표 [0] 2 16 3" xfId="2599" xr:uid="{5879FE61-880E-4566-BFF6-3410D29A4D29}"/>
    <cellStyle name="쉼표 [0] 2 17" xfId="2245" xr:uid="{DB835A53-BE95-449C-A6EF-D790454107A5}"/>
    <cellStyle name="쉼표 [0] 2 17 2" xfId="2902" xr:uid="{75DCD21E-1AD3-40E0-9CC9-16D17E3A7251}"/>
    <cellStyle name="쉼표 [0] 2 18" xfId="2572" xr:uid="{ADFB34D5-F40D-4DE1-AB7E-2DA865D393A5}"/>
    <cellStyle name="쉼표 [0] 2 19" xfId="44" xr:uid="{9CE7DEEB-0C8F-4E1B-93E4-3A0C41B7A3E7}"/>
    <cellStyle name="쉼표 [0] 2 2" xfId="22" xr:uid="{975AB883-E56D-4B23-A189-E00EAD74A3D7}"/>
    <cellStyle name="쉼표 [0] 2 2 10" xfId="2085" xr:uid="{F4280BFF-5C5D-43C5-A8E2-6CBEC45DCE00}"/>
    <cellStyle name="쉼표 [0] 2 2 10 2" xfId="2422" xr:uid="{C7595108-70B9-4FE9-A8BE-F0B2AEDCED58}"/>
    <cellStyle name="쉼표 [0] 2 2 10 2 2" xfId="3079" xr:uid="{4A4BC68B-7E89-48A6-9EAF-167C9DA22E04}"/>
    <cellStyle name="쉼표 [0] 2 2 10 3" xfId="2752" xr:uid="{341BC4E9-6555-44D9-8FD4-C5FBAC6219CC}"/>
    <cellStyle name="쉼표 [0] 2 2 11" xfId="2096" xr:uid="{4BA3FE8D-47DC-4AAD-8FDD-C266E565FF26}"/>
    <cellStyle name="쉼표 [0] 2 2 11 2" xfId="2433" xr:uid="{6605D603-D729-43DD-A95F-81D862545F7E}"/>
    <cellStyle name="쉼표 [0] 2 2 11 2 2" xfId="3090" xr:uid="{38EA165C-6DFF-4B3F-8E32-C2F88E66F657}"/>
    <cellStyle name="쉼표 [0] 2 2 11 3" xfId="2763" xr:uid="{F459D160-9F10-48F4-AA0F-61E0D1393A07}"/>
    <cellStyle name="쉼표 [0] 2 2 12" xfId="2111" xr:uid="{AB9CC8F2-DB3B-4746-A559-14774D643B4E}"/>
    <cellStyle name="쉼표 [0] 2 2 12 2" xfId="2448" xr:uid="{06D11E02-8470-4C3F-B65D-F22FD5458029}"/>
    <cellStyle name="쉼표 [0] 2 2 12 2 2" xfId="3105" xr:uid="{277541EE-5199-4AAB-AFE3-683F2A01F22B}"/>
    <cellStyle name="쉼표 [0] 2 2 12 3" xfId="2778" xr:uid="{FD5F410B-9C71-4612-AAA2-B48F296E06D8}"/>
    <cellStyle name="쉼표 [0] 2 2 13" xfId="2128" xr:uid="{B56DCD21-E055-4A33-877E-1386C4BC711F}"/>
    <cellStyle name="쉼표 [0] 2 2 13 2" xfId="2465" xr:uid="{CD498EE5-2001-4D26-BC77-451D192662DC}"/>
    <cellStyle name="쉼표 [0] 2 2 13 2 2" xfId="3122" xr:uid="{1D1B935B-80ED-4A2B-A4E9-4780591BBE30}"/>
    <cellStyle name="쉼표 [0] 2 2 13 3" xfId="2795" xr:uid="{2EEFC48D-4920-4357-BCB5-5B9C4526DDA2}"/>
    <cellStyle name="쉼표 [0] 2 2 14" xfId="2135" xr:uid="{42EDBC39-E17A-47BF-89D3-CC46970C5B16}"/>
    <cellStyle name="쉼표 [0] 2 2 14 2" xfId="2472" xr:uid="{935BAFF4-778D-433A-8408-4532672D2047}"/>
    <cellStyle name="쉼표 [0] 2 2 14 2 2" xfId="3129" xr:uid="{F7B7E767-A29C-46DD-ADD6-1432F0BF126E}"/>
    <cellStyle name="쉼표 [0] 2 2 14 3" xfId="2802" xr:uid="{E04A56F9-7B55-4722-AC8E-F650CBBECF42}"/>
    <cellStyle name="쉼표 [0] 2 2 15" xfId="2143" xr:uid="{E5A1D433-30A6-4DFF-8357-028D59EF1A45}"/>
    <cellStyle name="쉼표 [0] 2 2 15 2" xfId="2480" xr:uid="{C78C00BA-8EE7-4FE6-9B50-93F03B7F36AC}"/>
    <cellStyle name="쉼표 [0] 2 2 15 2 2" xfId="3137" xr:uid="{E56AAB92-AF58-4BBC-AA03-0F654B5983F8}"/>
    <cellStyle name="쉼표 [0] 2 2 15 3" xfId="2810" xr:uid="{E4644599-1E83-4E60-9157-8817285A35B9}"/>
    <cellStyle name="쉼표 [0] 2 2 16" xfId="82" xr:uid="{18DE463B-011B-478A-BB79-55B31AF288BD}"/>
    <cellStyle name="쉼표 [0] 2 2 16 2" xfId="2279" xr:uid="{F5B02405-319D-4B49-8144-834BBDBE6424}"/>
    <cellStyle name="쉼표 [0] 2 2 16 2 2" xfId="2936" xr:uid="{BCB8296D-F521-4518-B74E-A148C8D64CD6}"/>
    <cellStyle name="쉼표 [0] 2 2 16 3" xfId="2606" xr:uid="{4005A836-1979-4DCC-8554-BFA5B96A1CBB}"/>
    <cellStyle name="쉼표 [0] 2 2 17" xfId="2247" xr:uid="{DE2FE60F-B238-4EAC-B070-FBECCD60472E}"/>
    <cellStyle name="쉼표 [0] 2 2 17 2" xfId="2904" xr:uid="{847DAFB5-D0D8-4CEC-9A24-B3D70201AB63}"/>
    <cellStyle name="쉼표 [0] 2 2 18" xfId="2574" xr:uid="{221B21C7-6D8B-4A46-89C6-57424171FF19}"/>
    <cellStyle name="쉼표 [0] 2 2 19" xfId="47" xr:uid="{BA8DD50E-2D0D-4D85-A26B-03E298C16175}"/>
    <cellStyle name="쉼표 [0] 2 2 2" xfId="31" xr:uid="{2D17B693-DC83-442D-A9D3-2BDCA701F604}"/>
    <cellStyle name="쉼표 [0] 2 2 2 10" xfId="54" xr:uid="{DACA211A-8E15-4EDD-B408-95122F334D13}"/>
    <cellStyle name="쉼표 [0] 2 2 2 2" xfId="69" xr:uid="{7F9F7DAC-3289-4EB3-B48F-4A60542C7861}"/>
    <cellStyle name="쉼표 [0] 2 2 2 2 2" xfId="2072" xr:uid="{C6EE4290-67B4-4753-B2B2-A98C82A7557C}"/>
    <cellStyle name="쉼표 [0] 2 2 2 2 2 2" xfId="2414" xr:uid="{425CD493-3ED2-4CD6-A137-4F653DF77A63}"/>
    <cellStyle name="쉼표 [0] 2 2 2 2 2 2 2" xfId="3071" xr:uid="{1420EC56-9C1F-4C73-AF5C-669D0CBFB220}"/>
    <cellStyle name="쉼표 [0] 2 2 2 2 2 3" xfId="2744" xr:uid="{5A66FA62-EFAA-41EA-8ACF-2B68904EC883}"/>
    <cellStyle name="쉼표 [0] 2 2 2 2 3" xfId="2268" xr:uid="{BA40CEE2-8A63-4717-81E4-192544FFC121}"/>
    <cellStyle name="쉼표 [0] 2 2 2 2 3 2" xfId="2925" xr:uid="{9244036F-DD86-4498-B7DA-4AB27E34C608}"/>
    <cellStyle name="쉼표 [0] 2 2 2 2 4" xfId="2595" xr:uid="{9EE649B4-EFB7-42FA-AA11-DE75CE297FD7}"/>
    <cellStyle name="쉼표 [0] 2 2 2 3" xfId="2092" xr:uid="{00682BB1-ABBF-4C31-9E1D-A8E367EFB18C}"/>
    <cellStyle name="쉼표 [0] 2 2 2 3 2" xfId="2429" xr:uid="{0D164C27-4726-409A-A12B-47AA68532650}"/>
    <cellStyle name="쉼표 [0] 2 2 2 3 2 2" xfId="3086" xr:uid="{106CE41A-834A-41C9-BF8F-2646E523C273}"/>
    <cellStyle name="쉼표 [0] 2 2 2 3 3" xfId="2759" xr:uid="{0C9E6A7B-96DA-4590-8F66-1F9B8FF3DF21}"/>
    <cellStyle name="쉼표 [0] 2 2 2 4" xfId="2103" xr:uid="{290B71E4-D302-434B-AB4E-A2CE4BA5B70C}"/>
    <cellStyle name="쉼표 [0] 2 2 2 4 2" xfId="2440" xr:uid="{18CDB876-BCD0-4007-B9BE-DDB05DC22A14}"/>
    <cellStyle name="쉼표 [0] 2 2 2 4 2 2" xfId="3097" xr:uid="{ED0DB456-0358-48A4-A35E-ECFF5EB6C77C}"/>
    <cellStyle name="쉼표 [0] 2 2 2 4 3" xfId="2770" xr:uid="{0DB29D8C-0BCC-4374-BE10-F9EA303BE22B}"/>
    <cellStyle name="쉼표 [0] 2 2 2 5" xfId="2118" xr:uid="{AC573248-683F-4889-9F9E-F6B11805C5FE}"/>
    <cellStyle name="쉼표 [0] 2 2 2 5 2" xfId="2455" xr:uid="{D57AA7CE-5EB8-4E3D-A337-AA38195AC170}"/>
    <cellStyle name="쉼표 [0] 2 2 2 5 2 2" xfId="3112" xr:uid="{12CC4853-231B-41F7-AB6C-A03D23C7E80B}"/>
    <cellStyle name="쉼표 [0] 2 2 2 5 3" xfId="2785" xr:uid="{C737BA5E-0E16-49C0-BACA-CB8219EF7315}"/>
    <cellStyle name="쉼표 [0] 2 2 2 6" xfId="2144" xr:uid="{4A0A40F5-5B35-43D8-A069-0886D2B02884}"/>
    <cellStyle name="쉼표 [0] 2 2 2 6 2" xfId="2481" xr:uid="{D55FBDF2-7D08-477F-9AE8-86EDA76EFEE1}"/>
    <cellStyle name="쉼표 [0] 2 2 2 6 2 2" xfId="3138" xr:uid="{A4C421AA-4B66-4939-BAE7-28344BE85565}"/>
    <cellStyle name="쉼표 [0] 2 2 2 6 3" xfId="2811" xr:uid="{BDF99253-1F12-4619-B3CE-49FFC5FCE458}"/>
    <cellStyle name="쉼표 [0] 2 2 2 7" xfId="1623" xr:uid="{B1CAE59D-A0B9-4DB8-BD79-BCC4FA5D4D88}"/>
    <cellStyle name="쉼표 [0] 2 2 2 7 2" xfId="2289" xr:uid="{C757534B-D8D1-4121-9CBC-389E43FB5A0F}"/>
    <cellStyle name="쉼표 [0] 2 2 2 7 2 2" xfId="2946" xr:uid="{FC68A23A-4392-4BA2-A247-C7C7DE070BEB}"/>
    <cellStyle name="쉼표 [0] 2 2 2 7 3" xfId="2619" xr:uid="{BD16AF1A-1169-49E6-98F7-DB7F7CF55553}"/>
    <cellStyle name="쉼표 [0] 2 2 2 8" xfId="2254" xr:uid="{13E77B81-451B-41C8-97B5-FFBFB6E46843}"/>
    <cellStyle name="쉼표 [0] 2 2 2 8 2" xfId="2911" xr:uid="{9B2724FD-B473-4829-9B82-DFD77B480C48}"/>
    <cellStyle name="쉼표 [0] 2 2 2 9" xfId="2581" xr:uid="{C89651CD-D92E-41A2-980E-B54722C6D52D}"/>
    <cellStyle name="쉼표 [0] 2 2 3" xfId="61" xr:uid="{F8CC233A-62F2-4A1C-9C68-0FE9D778045D}"/>
    <cellStyle name="쉼표 [0] 2 2 3 2" xfId="2145" xr:uid="{1C1726DA-4681-4CAA-B0E4-761D050489F4}"/>
    <cellStyle name="쉼표 [0] 2 2 3 2 2" xfId="2482" xr:uid="{E283E2E9-EC70-40D7-97E3-F278D98F4FA3}"/>
    <cellStyle name="쉼표 [0] 2 2 3 2 2 2" xfId="3139" xr:uid="{B8D80A4A-3AC2-458A-8E6C-5870BC09824A}"/>
    <cellStyle name="쉼표 [0] 2 2 3 2 3" xfId="2812" xr:uid="{BBDC9405-0501-46B5-9F85-55AAF996D092}"/>
    <cellStyle name="쉼표 [0] 2 2 3 3" xfId="1624" xr:uid="{04720CDE-5A73-4A15-BFC9-CC90ECB8C6F0}"/>
    <cellStyle name="쉼표 [0] 2 2 3 3 2" xfId="2290" xr:uid="{966D40FC-38BA-4298-9AEB-982442C369D3}"/>
    <cellStyle name="쉼표 [0] 2 2 3 3 2 2" xfId="2947" xr:uid="{500FB353-9FA8-4FEA-B176-7EE5274B4BD9}"/>
    <cellStyle name="쉼표 [0] 2 2 3 3 3" xfId="2620" xr:uid="{4630134B-68B8-4FF1-B9A4-FDB62424CF45}"/>
    <cellStyle name="쉼표 [0] 2 2 3 4" xfId="2260" xr:uid="{0AE92148-1CD4-4D49-B834-9B244C4F02BF}"/>
    <cellStyle name="쉼표 [0] 2 2 3 4 2" xfId="2917" xr:uid="{28856965-0DB2-4A5B-A2DB-3C5A7C389F55}"/>
    <cellStyle name="쉼표 [0] 2 2 3 5" xfId="2587" xr:uid="{260B1544-BAF4-4804-B76A-68FF0F77E8D9}"/>
    <cellStyle name="쉼표 [0] 2 2 4" xfId="1622" xr:uid="{598FB17C-821E-4C16-9B77-D2F4AD0969FA}"/>
    <cellStyle name="쉼표 [0] 2 2 4 2" xfId="2146" xr:uid="{3A12AD43-9001-45ED-87DD-A03401BD2033}"/>
    <cellStyle name="쉼표 [0] 2 2 4 2 2" xfId="2483" xr:uid="{11E6B659-631F-4B9F-B115-AB3C5BAB1D9D}"/>
    <cellStyle name="쉼표 [0] 2 2 4 2 2 2" xfId="3140" xr:uid="{98FB4156-478C-49F5-9D36-ADBD12EB1A3D}"/>
    <cellStyle name="쉼표 [0] 2 2 4 2 3" xfId="2813" xr:uid="{4216BBE4-8D7A-411E-9C85-178851D00DC2}"/>
    <cellStyle name="쉼표 [0] 2 2 4 3" xfId="2288" xr:uid="{A3A941C5-3180-432F-BA78-C3200AB00DF6}"/>
    <cellStyle name="쉼표 [0] 2 2 4 3 2" xfId="2945" xr:uid="{5B40C07C-1497-4AAB-AADF-84AE615AC744}"/>
    <cellStyle name="쉼표 [0] 2 2 4 4" xfId="2618" xr:uid="{5715861B-8295-484D-9BD2-9B573DDE439E}"/>
    <cellStyle name="쉼표 [0] 2 2 5" xfId="2037" xr:uid="{71B38329-1F2C-4AB2-8FD6-1CB0161FA0EC}"/>
    <cellStyle name="쉼표 [0] 2 2 5 2" xfId="2380" xr:uid="{7E906080-E332-43C1-8942-277BD0C72495}"/>
    <cellStyle name="쉼표 [0] 2 2 5 2 2" xfId="3037" xr:uid="{AA6D5A43-4103-453C-8795-7A9912748AF0}"/>
    <cellStyle name="쉼표 [0] 2 2 5 3" xfId="2710" xr:uid="{1DAA1003-007D-4983-949F-C24342741D69}"/>
    <cellStyle name="쉼표 [0] 2 2 6" xfId="2044" xr:uid="{743239DA-C3E9-438F-B03D-124153AB7DD9}"/>
    <cellStyle name="쉼표 [0] 2 2 6 2" xfId="2387" xr:uid="{17B966E5-B02A-4D5B-A55E-B90CE5D50EFB}"/>
    <cellStyle name="쉼표 [0] 2 2 6 2 2" xfId="3044" xr:uid="{523337A8-7054-4B41-BB20-6CCFD2E51ED4}"/>
    <cellStyle name="쉼표 [0] 2 2 6 3" xfId="2717" xr:uid="{74379F92-E989-4778-8B81-76273808B30A}"/>
    <cellStyle name="쉼표 [0] 2 2 7" xfId="2051" xr:uid="{D3DA8E8A-27EC-4413-9408-C02ED297A572}"/>
    <cellStyle name="쉼표 [0] 2 2 7 2" xfId="2394" xr:uid="{43D382C8-FA1B-46BA-A172-1D483487B50A}"/>
    <cellStyle name="쉼표 [0] 2 2 7 2 2" xfId="3051" xr:uid="{504C971B-DEC0-47C0-886C-F7BD47D31ED8}"/>
    <cellStyle name="쉼표 [0] 2 2 7 3" xfId="2724" xr:uid="{F1C39E6D-5641-4829-8C50-4A5293494741}"/>
    <cellStyle name="쉼표 [0] 2 2 8" xfId="2058" xr:uid="{3B2C473B-EE20-406D-872C-25D3AA4A1E7E}"/>
    <cellStyle name="쉼표 [0] 2 2 8 2" xfId="2401" xr:uid="{30035714-4A57-405D-B31D-07D0FC05DE1D}"/>
    <cellStyle name="쉼표 [0] 2 2 8 2 2" xfId="3058" xr:uid="{B20841BD-112B-4B90-9DD6-7427F64655B8}"/>
    <cellStyle name="쉼표 [0] 2 2 8 3" xfId="2731" xr:uid="{CE18C63D-32A9-484B-92DE-1D23CF8DBF97}"/>
    <cellStyle name="쉼표 [0] 2 2 9" xfId="2065" xr:uid="{AF218763-A25E-4045-8003-6C22D6203898}"/>
    <cellStyle name="쉼표 [0] 2 2 9 2" xfId="2407" xr:uid="{8250835C-719D-44A9-9CC3-261720C26D34}"/>
    <cellStyle name="쉼표 [0] 2 2 9 2 2" xfId="3064" xr:uid="{A50C2094-BA1B-4888-B85E-E8A7E8B5C745}"/>
    <cellStyle name="쉼표 [0] 2 2 9 3" xfId="2737" xr:uid="{4EC23C34-DE70-4ACA-BE40-0B38B50E5F23}"/>
    <cellStyle name="쉼표 [0] 2 20" xfId="6" xr:uid="{80D77BD8-8EBB-4CBF-9976-99FA92AC6B93}"/>
    <cellStyle name="쉼표 [0] 2 3" xfId="30" xr:uid="{4673A138-2ABF-4727-8CEA-984F1EBC58E5}"/>
    <cellStyle name="쉼표 [0] 2 3 10" xfId="2575" xr:uid="{537E0D0A-8793-4CD4-9E50-81116901E89E}"/>
    <cellStyle name="쉼표 [0] 2 3 11" xfId="48" xr:uid="{A4C012EC-7C4F-4931-B4D9-101768256DAE}"/>
    <cellStyle name="쉼표 [0] 2 3 2" xfId="49" xr:uid="{B68E1B33-2276-4A6F-A6A9-EEEEE34056DB}"/>
    <cellStyle name="쉼표 [0] 2 3 2 2" xfId="64" xr:uid="{B2BE64D9-7976-43AC-BD72-1B76E5374BAF}"/>
    <cellStyle name="쉼표 [0] 2 3 2 2 2" xfId="2067" xr:uid="{B33DCAFE-3C4C-464F-8689-0C27AD6A7387}"/>
    <cellStyle name="쉼표 [0] 2 3 2 2 2 2" xfId="2409" xr:uid="{F0D7B09B-E76B-4EFC-AB41-A87234848FE2}"/>
    <cellStyle name="쉼표 [0] 2 3 2 2 2 2 2" xfId="3066" xr:uid="{4DA7F7B3-8526-4818-A655-AF13EFC2BBCE}"/>
    <cellStyle name="쉼표 [0] 2 3 2 2 2 3" xfId="2739" xr:uid="{666EB35D-B169-4A4A-B14A-05CACD6FF427}"/>
    <cellStyle name="쉼표 [0] 2 3 2 2 3" xfId="2263" xr:uid="{2B71CA1D-708B-4B66-9E08-F28BF7F212B4}"/>
    <cellStyle name="쉼표 [0] 2 3 2 2 3 2" xfId="2920" xr:uid="{8C64AA35-7D75-450C-B8A4-E90A4E3A41DD}"/>
    <cellStyle name="쉼표 [0] 2 3 2 2 4" xfId="2590" xr:uid="{9DE66372-E7FE-4FC0-A44E-D18FD3D3F33D}"/>
    <cellStyle name="쉼표 [0] 2 3 2 3" xfId="2087" xr:uid="{BCF41E7E-A5F4-417E-A750-706F9B29F93F}"/>
    <cellStyle name="쉼표 [0] 2 3 2 3 2" xfId="2424" xr:uid="{1939D4D8-213A-44C9-A6BA-4D03B54AF650}"/>
    <cellStyle name="쉼표 [0] 2 3 2 3 2 2" xfId="3081" xr:uid="{D39E5196-0E9F-450B-8DBD-0725BD19C5F5}"/>
    <cellStyle name="쉼표 [0] 2 3 2 3 3" xfId="2754" xr:uid="{0A07ACD4-0176-41CF-A0B5-B1B232F38BAC}"/>
    <cellStyle name="쉼표 [0] 2 3 2 4" xfId="2098" xr:uid="{13C035D9-E896-4430-A063-46C30091AD8B}"/>
    <cellStyle name="쉼표 [0] 2 3 2 4 2" xfId="2435" xr:uid="{EE5F4F76-7048-4FBB-8F6B-1BE42ED3C307}"/>
    <cellStyle name="쉼표 [0] 2 3 2 4 2 2" xfId="3092" xr:uid="{37D97DD8-521B-4EA7-AE52-24075DED1D57}"/>
    <cellStyle name="쉼표 [0] 2 3 2 4 3" xfId="2765" xr:uid="{26A8B0BD-59F6-4BFF-B10B-54CE97947BF7}"/>
    <cellStyle name="쉼표 [0] 2 3 2 5" xfId="2113" xr:uid="{7F948BB9-8794-484C-A2A6-85F49D560C74}"/>
    <cellStyle name="쉼표 [0] 2 3 2 5 2" xfId="2450" xr:uid="{935FE1A3-B581-4B04-A5F4-AFC91250696D}"/>
    <cellStyle name="쉼표 [0] 2 3 2 5 2 2" xfId="3107" xr:uid="{6912E829-C3CE-473C-9158-68DB77C0C069}"/>
    <cellStyle name="쉼표 [0] 2 3 2 5 3" xfId="2780" xr:uid="{42350D50-A7E4-4993-8FEC-C7E061163BF9}"/>
    <cellStyle name="쉼표 [0] 2 3 2 6" xfId="2147" xr:uid="{E3103998-9485-463C-AFE9-7DDBF3239134}"/>
    <cellStyle name="쉼표 [0] 2 3 2 6 2" xfId="2484" xr:uid="{F55A6073-D14F-4D02-AD27-C7E3D3A380AB}"/>
    <cellStyle name="쉼표 [0] 2 3 2 6 2 2" xfId="3141" xr:uid="{8247A6B0-09B4-4F99-833E-64752249D594}"/>
    <cellStyle name="쉼표 [0] 2 3 2 6 3" xfId="2814" xr:uid="{EC1A9808-F6C7-482F-ADEF-90EE7322FDD8}"/>
    <cellStyle name="쉼표 [0] 2 3 2 7" xfId="1626" xr:uid="{EA89E32A-A590-4EB7-BA0A-8DA1F11AD74A}"/>
    <cellStyle name="쉼표 [0] 2 3 2 7 2" xfId="2292" xr:uid="{D151D04A-4E46-4B2E-AB60-6FDD697E58D1}"/>
    <cellStyle name="쉼표 [0] 2 3 2 7 2 2" xfId="2949" xr:uid="{DC584958-A00F-4145-8E16-DBFDB9F8C39A}"/>
    <cellStyle name="쉼표 [0] 2 3 2 7 3" xfId="2622" xr:uid="{E30D8A46-4930-4915-95E6-DDB0D9103F4B}"/>
    <cellStyle name="쉼표 [0] 2 3 2 8" xfId="2249" xr:uid="{F67A671E-82C4-4921-99D3-6A4B9BC4418E}"/>
    <cellStyle name="쉼표 [0] 2 3 2 8 2" xfId="2906" xr:uid="{EFDAE813-3EDE-4D01-AA48-5EBC214805B4}"/>
    <cellStyle name="쉼표 [0] 2 3 2 9" xfId="2576" xr:uid="{03BBF6F0-56EC-4CF3-A6E9-FF17497CE1C2}"/>
    <cellStyle name="쉼표 [0] 2 3 3" xfId="63" xr:uid="{FBBBDD74-C2BE-41E8-94BA-A4345FC57D3C}"/>
    <cellStyle name="쉼표 [0] 2 3 3 2" xfId="1625" xr:uid="{894BA6B6-9E5C-40F2-90C2-42FC294FEB6D}"/>
    <cellStyle name="쉼표 [0] 2 3 3 2 2" xfId="2291" xr:uid="{9BE36C9A-22E2-4839-9D4D-355C4CDCD778}"/>
    <cellStyle name="쉼표 [0] 2 3 3 2 2 2" xfId="2948" xr:uid="{8DCC6B56-2673-4E39-9D8E-EB5B82B29684}"/>
    <cellStyle name="쉼표 [0] 2 3 3 2 3" xfId="2621" xr:uid="{DD244058-716A-4D2D-A9D5-A9E8A57A2F64}"/>
    <cellStyle name="쉼표 [0] 2 3 3 3" xfId="2262" xr:uid="{DE2A4094-3065-4C16-8AE5-E87A692DC756}"/>
    <cellStyle name="쉼표 [0] 2 3 3 3 2" xfId="2919" xr:uid="{D44F9A40-046A-45CC-973A-3FE824272852}"/>
    <cellStyle name="쉼표 [0] 2 3 3 4" xfId="2589" xr:uid="{EF168EF7-830F-4260-9A00-5C785E809E98}"/>
    <cellStyle name="쉼표 [0] 2 3 4" xfId="2066" xr:uid="{A13BCD41-DB12-4230-A008-C6277D50BCBF}"/>
    <cellStyle name="쉼표 [0] 2 3 4 2" xfId="2408" xr:uid="{E27C12AD-7459-48B7-A5F0-7647B816DF26}"/>
    <cellStyle name="쉼표 [0] 2 3 4 2 2" xfId="3065" xr:uid="{19BFEA02-F94B-473E-B139-9383D7D9541D}"/>
    <cellStyle name="쉼표 [0] 2 3 4 3" xfId="2738" xr:uid="{AF95DE74-E84A-4472-A95B-8A792F84A8F2}"/>
    <cellStyle name="쉼표 [0] 2 3 5" xfId="2086" xr:uid="{50E5A028-0402-46B1-97DA-F2893039767F}"/>
    <cellStyle name="쉼표 [0] 2 3 5 2" xfId="2423" xr:uid="{B3FF60FB-0A68-4DA9-AAC1-FF1506AE497D}"/>
    <cellStyle name="쉼표 [0] 2 3 5 2 2" xfId="3080" xr:uid="{BD630771-569E-45A4-ADFD-32B946A01D9B}"/>
    <cellStyle name="쉼표 [0] 2 3 5 3" xfId="2753" xr:uid="{BB9458BF-7CEA-4B8C-9413-3184127F82BF}"/>
    <cellStyle name="쉼표 [0] 2 3 6" xfId="2097" xr:uid="{8330A6C3-974C-4DC8-BEEE-1FD6208821C6}"/>
    <cellStyle name="쉼표 [0] 2 3 6 2" xfId="2434" xr:uid="{3CDC5A44-8B09-47AC-BDA0-A80E2CB91428}"/>
    <cellStyle name="쉼표 [0] 2 3 6 2 2" xfId="3091" xr:uid="{04963B17-7E97-4576-9DEB-E8288EC652EC}"/>
    <cellStyle name="쉼표 [0] 2 3 6 3" xfId="2764" xr:uid="{4267A360-E6E8-4960-888C-0CFB0C2F3F5B}"/>
    <cellStyle name="쉼표 [0] 2 3 7" xfId="2112" xr:uid="{2D614991-7F03-4299-8122-B030EDFE0D6C}"/>
    <cellStyle name="쉼표 [0] 2 3 7 2" xfId="2449" xr:uid="{111794B0-2908-4CE3-A2CB-D25889EB24C8}"/>
    <cellStyle name="쉼표 [0] 2 3 7 2 2" xfId="3106" xr:uid="{682B21F8-B3ED-428D-90B9-B93CBB895D2A}"/>
    <cellStyle name="쉼표 [0] 2 3 7 3" xfId="2779" xr:uid="{6BB8AEE3-9BE6-406B-8B4A-12D9EEEFFC9A}"/>
    <cellStyle name="쉼표 [0] 2 3 8" xfId="78" xr:uid="{8D70D6F9-E873-46B5-8DBC-48311623F6C3}"/>
    <cellStyle name="쉼표 [0] 2 3 8 2" xfId="2275" xr:uid="{2F8787E1-D438-4E19-9157-852FB6C93319}"/>
    <cellStyle name="쉼표 [0] 2 3 8 2 2" xfId="2932" xr:uid="{917BC7C0-A287-46C6-BFED-DAE9A4E46921}"/>
    <cellStyle name="쉼표 [0] 2 3 8 3" xfId="2602" xr:uid="{1D63B733-DA84-49CD-9F0A-D33EBC8E55B8}"/>
    <cellStyle name="쉼표 [0] 2 3 9" xfId="2248" xr:uid="{3C573B74-256D-4536-8FE9-DA188F7430EB}"/>
    <cellStyle name="쉼표 [0] 2 3 9 2" xfId="2905" xr:uid="{E5128621-3B37-477C-9767-827F1990504A}"/>
    <cellStyle name="쉼표 [0] 2 4" xfId="59" xr:uid="{3D23EDEA-92E2-49A0-A5FB-F0A7E4D8D924}"/>
    <cellStyle name="쉼표 [0] 2 4 2" xfId="2075" xr:uid="{E103FFCC-D695-4694-9873-CEF5B3402B82}"/>
    <cellStyle name="쉼표 [0] 2 4 2 2" xfId="2416" xr:uid="{96E6F95B-F1D3-4BCF-A163-D86B17427029}"/>
    <cellStyle name="쉼표 [0] 2 4 2 2 2" xfId="3073" xr:uid="{57E70EF1-CD25-4A13-97D9-68E87ED2E939}"/>
    <cellStyle name="쉼표 [0] 2 4 2 3" xfId="2746" xr:uid="{AF200555-BEF0-4D96-8461-97FF8B583A24}"/>
    <cellStyle name="쉼표 [0] 2 4 3" xfId="2105" xr:uid="{63328478-A74E-4295-9BA6-15B2959A83A9}"/>
    <cellStyle name="쉼표 [0] 2 4 3 2" xfId="2442" xr:uid="{8E8FE6B4-5850-47CF-8D97-9EDAA5D5054E}"/>
    <cellStyle name="쉼표 [0] 2 4 3 2 2" xfId="3099" xr:uid="{FA65CC72-6FB9-4A93-9ACB-603E324BA13A}"/>
    <cellStyle name="쉼표 [0] 2 4 3 3" xfId="2772" xr:uid="{D20B4AC6-F90C-495B-9E9C-17525D38DB87}"/>
    <cellStyle name="쉼표 [0] 2 4 4" xfId="2120" xr:uid="{28C9C952-1287-4035-8A26-BC5A76E21AEA}"/>
    <cellStyle name="쉼표 [0] 2 4 4 2" xfId="2457" xr:uid="{D3981F71-C1A6-4692-A025-B617E9860022}"/>
    <cellStyle name="쉼표 [0] 2 4 4 2 2" xfId="3114" xr:uid="{6387CBBD-9A72-49D4-BFA7-3C465407A182}"/>
    <cellStyle name="쉼표 [0] 2 4 4 3" xfId="2787" xr:uid="{CD5BFD83-C31C-482F-BE3C-08CA1771283F}"/>
    <cellStyle name="쉼표 [0] 2 4 5" xfId="2148" xr:uid="{34D71E3E-4192-4B37-9637-C0DE0410F66E}"/>
    <cellStyle name="쉼표 [0] 2 4 5 2" xfId="2485" xr:uid="{5A6B930B-B9C9-45F5-AAD1-D96736919C95}"/>
    <cellStyle name="쉼표 [0] 2 4 5 2 2" xfId="3142" xr:uid="{67699B19-7248-4308-8C87-C341405B6BB3}"/>
    <cellStyle name="쉼표 [0] 2 4 5 3" xfId="2815" xr:uid="{2F8B497F-4383-4F6C-80F8-BFAAE3033B37}"/>
    <cellStyle name="쉼표 [0] 2 4 6" xfId="1627" xr:uid="{68290866-ED4E-4201-9084-3AD36387E7B6}"/>
    <cellStyle name="쉼표 [0] 2 4 6 2" xfId="2293" xr:uid="{C68CF62A-730A-4E27-8893-2926B84393C8}"/>
    <cellStyle name="쉼표 [0] 2 4 6 2 2" xfId="2950" xr:uid="{9C5AB9F7-8E99-4E2C-A121-C5298F5CAF62}"/>
    <cellStyle name="쉼표 [0] 2 4 6 3" xfId="2623" xr:uid="{5F74ACB5-A2EA-4EB1-9655-6F00E2F01165}"/>
    <cellStyle name="쉼표 [0] 2 4 7" xfId="2258" xr:uid="{69CE22C6-E5EA-4FE5-ACD3-F3B8ABBC3A81}"/>
    <cellStyle name="쉼표 [0] 2 4 7 2" xfId="2915" xr:uid="{21354488-7069-454C-A3FC-14DD02EE8772}"/>
    <cellStyle name="쉼표 [0] 2 4 8" xfId="2585" xr:uid="{F6D536B0-8CE6-40ED-BA1F-72FEFFA36EDE}"/>
    <cellStyle name="쉼표 [0] 2 5" xfId="1621" xr:uid="{BB0972D4-75C9-4307-B277-4B8913106BFE}"/>
    <cellStyle name="쉼표 [0] 2 5 2" xfId="2149" xr:uid="{B5BF055F-4B56-4D57-97C4-9F70F90FCB19}"/>
    <cellStyle name="쉼표 [0] 2 5 2 2" xfId="2486" xr:uid="{E7C982C4-86EA-4A22-817E-3F5833F824E6}"/>
    <cellStyle name="쉼표 [0] 2 5 2 2 2" xfId="3143" xr:uid="{77E7F5E6-227B-4A6B-BF64-5EAC1BF5F5A1}"/>
    <cellStyle name="쉼표 [0] 2 5 2 3" xfId="2816" xr:uid="{8AEBBCE1-655D-460E-A95F-7D35370FC38D}"/>
    <cellStyle name="쉼표 [0] 2 5 3" xfId="2287" xr:uid="{3CCAB0B8-1B13-4597-9443-7F5A18F9E204}"/>
    <cellStyle name="쉼표 [0] 2 5 3 2" xfId="2944" xr:uid="{21F45CDD-74E4-467A-9116-B84F147E054F}"/>
    <cellStyle name="쉼표 [0] 2 5 4" xfId="2617" xr:uid="{FAF21AFB-F3DA-4E13-AAA9-4670D56173CE}"/>
    <cellStyle name="쉼표 [0] 2 6" xfId="2034" xr:uid="{6BBDF976-ABA4-463A-98B9-9EBF251D1421}"/>
    <cellStyle name="쉼표 [0] 2 6 2" xfId="2377" xr:uid="{61F2791F-8B39-42C6-ACD8-578B0434AC57}"/>
    <cellStyle name="쉼표 [0] 2 6 2 2" xfId="3034" xr:uid="{660E1623-3600-46D6-9E45-DCF0CFD40DBC}"/>
    <cellStyle name="쉼표 [0] 2 6 3" xfId="2707" xr:uid="{48D7CAE7-29BB-472D-9D09-6BF286AC3E8B}"/>
    <cellStyle name="쉼표 [0] 2 7" xfId="2041" xr:uid="{029CD60A-5EC2-4035-B8AE-AC03ABC13DB8}"/>
    <cellStyle name="쉼표 [0] 2 7 2" xfId="2384" xr:uid="{01704457-C0DC-4CEB-A22F-1F9F514764E3}"/>
    <cellStyle name="쉼표 [0] 2 7 2 2" xfId="3041" xr:uid="{0434F512-8F1D-4CCB-99BA-42333A0D2A14}"/>
    <cellStyle name="쉼표 [0] 2 7 3" xfId="2714" xr:uid="{E4AEDB01-4F42-414C-94D0-908BAB76EB55}"/>
    <cellStyle name="쉼표 [0] 2 8" xfId="2048" xr:uid="{3E1FFE40-A392-448B-AA0F-3F9B758D832E}"/>
    <cellStyle name="쉼표 [0] 2 8 2" xfId="2391" xr:uid="{E61DE6FD-B972-43C8-8C94-CF509AE2FBB0}"/>
    <cellStyle name="쉼표 [0] 2 8 2 2" xfId="3048" xr:uid="{8206E1C5-DFDA-43FE-9291-0EB728F76FC3}"/>
    <cellStyle name="쉼표 [0] 2 8 3" xfId="2721" xr:uid="{9C7F53E4-D2F0-4BEA-99B3-AF34EE59EDE3}"/>
    <cellStyle name="쉼표 [0] 2 9" xfId="2055" xr:uid="{65C2E1BA-A532-4155-B0FB-27762C3818D7}"/>
    <cellStyle name="쉼표 [0] 2 9 2" xfId="2398" xr:uid="{A3422143-442F-4D49-AE0B-8962DE704C22}"/>
    <cellStyle name="쉼표 [0] 2 9 2 2" xfId="3055" xr:uid="{3CD76270-EB19-4479-B16B-5B5E29E14ADE}"/>
    <cellStyle name="쉼표 [0] 2 9 3" xfId="2728" xr:uid="{3DC06E7A-AA80-4A8D-9D16-383732C543BD}"/>
    <cellStyle name="쉼표 [0] 20" xfId="2110" xr:uid="{33589523-AFC7-42FE-B9DB-FBD17FE08E86}"/>
    <cellStyle name="쉼표 [0] 20 2" xfId="2447" xr:uid="{C7E6F2C4-0732-4587-94E0-05F2DFEAC241}"/>
    <cellStyle name="쉼표 [0] 20 2 2" xfId="3104" xr:uid="{7D921D2B-CBBA-4A7C-9907-1B9796E28BB3}"/>
    <cellStyle name="쉼표 [0] 20 3" xfId="2777" xr:uid="{B68B0D8E-6FBC-44D7-836B-64FC2AED7296}"/>
    <cellStyle name="쉼표 [0] 21" xfId="2123" xr:uid="{1F941D20-2447-4C80-A6C7-60CD9186A689}"/>
    <cellStyle name="쉼표 [0] 21 2" xfId="2460" xr:uid="{E38A4D75-975F-41C8-A16A-3B746E47E18D}"/>
    <cellStyle name="쉼표 [0] 21 2 2" xfId="3117" xr:uid="{E59688A0-33D8-4187-931A-2A34EDEAF6F5}"/>
    <cellStyle name="쉼표 [0] 21 3" xfId="2790" xr:uid="{6C7FBCB7-C797-48D2-AFE7-6242A3A5475F}"/>
    <cellStyle name="쉼표 [0] 22" xfId="2124" xr:uid="{446F8199-C8F7-4028-A025-DB4D26D1890D}"/>
    <cellStyle name="쉼표 [0] 22 2" xfId="2461" xr:uid="{7637073D-411E-4382-89A8-75D01D245455}"/>
    <cellStyle name="쉼표 [0] 22 2 2" xfId="3118" xr:uid="{9FD04910-FA2E-422A-9E37-30F8BBF28516}"/>
    <cellStyle name="쉼표 [0] 22 3" xfId="2791" xr:uid="{206E3308-C908-456E-B9BF-D96EAB48152E}"/>
    <cellStyle name="쉼표 [0] 23" xfId="2131" xr:uid="{83E21C90-D0BC-48DD-92C7-A5FDC813DC33}"/>
    <cellStyle name="쉼표 [0] 23 2" xfId="2468" xr:uid="{30D2C33E-8EF4-44F6-B294-995C7AF6A405}"/>
    <cellStyle name="쉼표 [0] 23 2 2" xfId="3125" xr:uid="{EECBFB4C-3810-4D31-B941-110EE136FC4A}"/>
    <cellStyle name="쉼표 [0] 23 3" xfId="2798" xr:uid="{C0CC233F-3C40-4338-8124-038A7E9CA125}"/>
    <cellStyle name="쉼표 [0] 24" xfId="2141" xr:uid="{9AB14036-A7A2-4337-ABD2-CF8A71C519FE}"/>
    <cellStyle name="쉼표 [0] 24 2" xfId="2478" xr:uid="{0B858EE6-6372-4D9C-8661-DD022BA4B7AB}"/>
    <cellStyle name="쉼표 [0] 24 2 2" xfId="3135" xr:uid="{D318EE95-964E-4FAD-BADD-599F9C36C83A}"/>
    <cellStyle name="쉼표 [0] 24 3" xfId="2808" xr:uid="{AE39DD27-0951-4766-8616-168CC586E9DF}"/>
    <cellStyle name="쉼표 [0] 25" xfId="76" xr:uid="{CCBEA41B-8B38-4569-AD47-3E550B23A138}"/>
    <cellStyle name="쉼표 [0] 25 2" xfId="2273" xr:uid="{8A612B0B-50C5-4416-8112-4812EB06BE9C}"/>
    <cellStyle name="쉼표 [0] 25 2 2" xfId="2930" xr:uid="{8F17C544-3905-42A5-9582-B395D805BBBD}"/>
    <cellStyle name="쉼표 [0] 25 3" xfId="2600" xr:uid="{9ABF16A9-A5B5-4535-A7B6-E7EA0F0F9EDA}"/>
    <cellStyle name="쉼표 [0] 26" xfId="2246" xr:uid="{539C5BD4-6E52-4AAC-B9AB-6914E578ECBB}"/>
    <cellStyle name="쉼표 [0] 26 2" xfId="2903" xr:uid="{E69B5A6A-CA56-49E1-9FCD-4ADE91C93663}"/>
    <cellStyle name="쉼표 [0] 27" xfId="2573" xr:uid="{59DF8FE0-6BC0-477E-8373-64E263EF4D1E}"/>
    <cellStyle name="쉼표 [0] 28" xfId="45" xr:uid="{E741D94E-269D-4598-B0A2-56E752726605}"/>
    <cellStyle name="쉼표 [0] 29" xfId="5" xr:uid="{8AA7BBB6-2DD1-4F8F-83D6-D81565CE2BC8}"/>
    <cellStyle name="쉼표 [0] 3" xfId="10" xr:uid="{6CD57254-3903-4191-8CE6-7681DC773A14}"/>
    <cellStyle name="쉼표 [0] 3 2" xfId="24" xr:uid="{F72695BE-ED8E-4576-A5E3-93BA7F63025C}"/>
    <cellStyle name="쉼표 [0] 3 2 10" xfId="2102" xr:uid="{F6FEC96B-FCD8-4FC5-A34C-F868CBADAEF9}"/>
    <cellStyle name="쉼표 [0] 3 2 10 2" xfId="2439" xr:uid="{180448C7-1C2C-45C6-B6EC-4B48D10763FD}"/>
    <cellStyle name="쉼표 [0] 3 2 10 2 2" xfId="3096" xr:uid="{F41C1800-A6E0-4C7F-A3B0-6468D73F6C5D}"/>
    <cellStyle name="쉼표 [0] 3 2 10 3" xfId="2769" xr:uid="{DCF53541-8DD4-4BEE-A1DF-EC7CB88CCCDB}"/>
    <cellStyle name="쉼표 [0] 3 2 11" xfId="2117" xr:uid="{04336823-A343-450A-B602-1BADF3F45F1D}"/>
    <cellStyle name="쉼표 [0] 3 2 11 2" xfId="2454" xr:uid="{66A9F944-DA92-4341-8870-ACBFBEC490E5}"/>
    <cellStyle name="쉼표 [0] 3 2 11 2 2" xfId="3111" xr:uid="{44E4DBFF-AC60-4C51-B4EE-6C3BC57B8077}"/>
    <cellStyle name="쉼표 [0] 3 2 11 3" xfId="2784" xr:uid="{C0C2584A-2FF0-4585-AE24-09D87B0D6805}"/>
    <cellStyle name="쉼표 [0] 3 2 12" xfId="2130" xr:uid="{40208371-69F9-437F-B526-EC6EE63A8F90}"/>
    <cellStyle name="쉼표 [0] 3 2 12 2" xfId="2467" xr:uid="{CFDE7B66-10D2-41D3-911A-55AA4D7F690D}"/>
    <cellStyle name="쉼표 [0] 3 2 12 2 2" xfId="3124" xr:uid="{2262D000-FE03-45F0-9845-7CC3107A4A81}"/>
    <cellStyle name="쉼표 [0] 3 2 12 3" xfId="2797" xr:uid="{FEB90738-8B57-4CE7-AF26-1694A437D777}"/>
    <cellStyle name="쉼표 [0] 3 2 13" xfId="2137" xr:uid="{2813BCCB-7377-4C5E-9E39-3CC195E7C474}"/>
    <cellStyle name="쉼표 [0] 3 2 13 2" xfId="2474" xr:uid="{89D2BE00-C9BC-44A3-9B11-0FFE4556B7E7}"/>
    <cellStyle name="쉼표 [0] 3 2 13 2 2" xfId="3131" xr:uid="{B87C3AC9-4999-4BD1-B472-7468E5E4FCB7}"/>
    <cellStyle name="쉼표 [0] 3 2 13 3" xfId="2804" xr:uid="{1297FF0F-E337-4EB4-93AD-7340BDEAA3F2}"/>
    <cellStyle name="쉼표 [0] 3 2 14" xfId="2151" xr:uid="{79938047-A248-4682-ACF3-23F326DC0F8D}"/>
    <cellStyle name="쉼표 [0] 3 2 14 2" xfId="2488" xr:uid="{701294BC-15DF-4D27-A171-C848E74D6E9C}"/>
    <cellStyle name="쉼표 [0] 3 2 14 2 2" xfId="3145" xr:uid="{E9EDA8C4-B6BE-4E44-83A4-563155B4E707}"/>
    <cellStyle name="쉼표 [0] 3 2 14 3" xfId="2818" xr:uid="{ACE70ABE-9D77-4AB2-9065-9C874578F5EB}"/>
    <cellStyle name="쉼표 [0] 3 2 15" xfId="84" xr:uid="{862A108C-98DD-46C9-A5F4-8C1ABECAA8AA}"/>
    <cellStyle name="쉼표 [0] 3 2 15 2" xfId="2281" xr:uid="{6E0D2E29-D889-41A6-9873-C6E5770003A3}"/>
    <cellStyle name="쉼표 [0] 3 2 15 2 2" xfId="2938" xr:uid="{1EC0BD73-1B90-4C97-9E72-5BF48F883D1F}"/>
    <cellStyle name="쉼표 [0] 3 2 15 3" xfId="2608" xr:uid="{022D871D-EEDD-4D3A-A22E-6A88C6263A72}"/>
    <cellStyle name="쉼표 [0] 3 2 16" xfId="2253" xr:uid="{7ADB2F5F-63FA-4129-88AE-5AAC3E9DF133}"/>
    <cellStyle name="쉼표 [0] 3 2 16 2" xfId="2910" xr:uid="{27AC7096-2F0E-4DFD-A42D-AF8E9036C4D8}"/>
    <cellStyle name="쉼표 [0] 3 2 17" xfId="2580" xr:uid="{D2D120CB-BF98-4658-9EB8-FC5B7C489073}"/>
    <cellStyle name="쉼표 [0] 3 2 18" xfId="53" xr:uid="{ECB88C26-4668-415B-BF47-E8EF0A57C229}"/>
    <cellStyle name="쉼표 [0] 3 2 2" xfId="33" xr:uid="{9E2C949F-ED75-48C0-8770-7C42AA332221}"/>
    <cellStyle name="쉼표 [0] 3 2 2 2" xfId="2152" xr:uid="{A1D20D95-6213-4CD2-BE9B-4A2C28F25978}"/>
    <cellStyle name="쉼표 [0] 3 2 2 2 2" xfId="2489" xr:uid="{647CF684-10E6-49E8-80F4-9413EA615646}"/>
    <cellStyle name="쉼표 [0] 3 2 2 2 2 2" xfId="3146" xr:uid="{A05C64FA-9876-4273-A338-6FDBE06CF519}"/>
    <cellStyle name="쉼표 [0] 3 2 2 2 3" xfId="2819" xr:uid="{0B3E20BD-8E0B-401C-9108-4489372C7138}"/>
    <cellStyle name="쉼표 [0] 3 2 2 3" xfId="1629" xr:uid="{5F1AAF0D-EF02-4F80-B6B8-E453D329D716}"/>
    <cellStyle name="쉼표 [0] 3 2 2 3 2" xfId="2295" xr:uid="{9BFEF482-EF66-4C75-A6C2-5B1C71B87AF2}"/>
    <cellStyle name="쉼표 [0] 3 2 2 3 2 2" xfId="2952" xr:uid="{AEEA8101-B48E-4E4D-91F7-E351BA60DA4A}"/>
    <cellStyle name="쉼표 [0] 3 2 2 3 3" xfId="2625" xr:uid="{9CE84530-D60E-444F-AEFC-1906AB94939E}"/>
    <cellStyle name="쉼표 [0] 3 2 2 4" xfId="2267" xr:uid="{4D0549EB-295B-43EE-B98D-FDA825F91C99}"/>
    <cellStyle name="쉼표 [0] 3 2 2 4 2" xfId="2924" xr:uid="{0D95E610-0C93-47E4-B0B5-7939D4FF85D7}"/>
    <cellStyle name="쉼표 [0] 3 2 2 5" xfId="2594" xr:uid="{BEA0108A-2AFE-4816-9568-D10CDDB82F18}"/>
    <cellStyle name="쉼표 [0] 3 2 2 6" xfId="68" xr:uid="{00946495-37B4-4F27-B430-4A60BC9571B7}"/>
    <cellStyle name="쉼표 [0] 3 2 3" xfId="2030" xr:uid="{3AA5F3BF-21D7-4A16-BE58-EBAC5C25F052}"/>
    <cellStyle name="쉼표 [0] 3 2 3 2" xfId="2375" xr:uid="{572D61A1-ADEA-48DA-BA2E-39B6668A2DA3}"/>
    <cellStyle name="쉼표 [0] 3 2 3 2 2" xfId="3032" xr:uid="{907BBD73-E603-410D-9BF9-B31CF2DDC65F}"/>
    <cellStyle name="쉼표 [0] 3 2 3 3" xfId="2705" xr:uid="{AFF1C2BC-9DAF-4284-9624-99967F1B7556}"/>
    <cellStyle name="쉼표 [0] 3 2 4" xfId="2039" xr:uid="{43DFF171-5615-49F7-968E-6424A0830A34}"/>
    <cellStyle name="쉼표 [0] 3 2 4 2" xfId="2382" xr:uid="{7037429C-1746-4C52-9AC4-313005CAA53E}"/>
    <cellStyle name="쉼표 [0] 3 2 4 2 2" xfId="3039" xr:uid="{6EC83C3A-3519-441D-907F-2D808B714EAD}"/>
    <cellStyle name="쉼표 [0] 3 2 4 3" xfId="2712" xr:uid="{27BBC107-C63B-42F7-AC4E-6A4798330702}"/>
    <cellStyle name="쉼표 [0] 3 2 5" xfId="2046" xr:uid="{0181C6FD-F558-4140-8E5F-00414DCA5965}"/>
    <cellStyle name="쉼표 [0] 3 2 5 2" xfId="2389" xr:uid="{2DE47F8A-C588-4A8C-8D35-745481A1B5B4}"/>
    <cellStyle name="쉼표 [0] 3 2 5 2 2" xfId="3046" xr:uid="{AF700F40-A3C7-49D2-A5A4-8EA72C3364DD}"/>
    <cellStyle name="쉼표 [0] 3 2 5 3" xfId="2719" xr:uid="{C0D4A4E0-C61E-41E3-883C-DF6E925C9781}"/>
    <cellStyle name="쉼표 [0] 3 2 6" xfId="2053" xr:uid="{97DDFAF5-059B-4D03-96DE-8F4C1B20F28C}"/>
    <cellStyle name="쉼표 [0] 3 2 6 2" xfId="2396" xr:uid="{EB9ABF91-BCE7-4601-8A61-CF5184DA35B6}"/>
    <cellStyle name="쉼표 [0] 3 2 6 2 2" xfId="3053" xr:uid="{90C69515-36BD-440A-B3D6-A5E9E08937CF}"/>
    <cellStyle name="쉼표 [0] 3 2 6 3" xfId="2726" xr:uid="{60671AD8-FB35-4DF1-834C-CE34239427FF}"/>
    <cellStyle name="쉼표 [0] 3 2 7" xfId="2060" xr:uid="{D0272484-18C0-4E10-9CC3-DFEB3729923B}"/>
    <cellStyle name="쉼표 [0] 3 2 7 2" xfId="2403" xr:uid="{E27CC74B-218B-4133-BDFE-91E48A00A5DC}"/>
    <cellStyle name="쉼표 [0] 3 2 7 2 2" xfId="3060" xr:uid="{4DD43403-1994-46AF-AAA5-B8427E46FEA7}"/>
    <cellStyle name="쉼표 [0] 3 2 7 3" xfId="2733" xr:uid="{3B56C53A-A5E3-43C5-BA0C-55C5F01B4706}"/>
    <cellStyle name="쉼표 [0] 3 2 8" xfId="2071" xr:uid="{DC02A4B3-B5E4-4992-A68D-E76C06770E48}"/>
    <cellStyle name="쉼표 [0] 3 2 8 2" xfId="2413" xr:uid="{27FC9332-4222-4B1B-9E50-CC5A203A8AAE}"/>
    <cellStyle name="쉼표 [0] 3 2 8 2 2" xfId="3070" xr:uid="{C1944D1A-80B7-481D-B737-0B062E67A251}"/>
    <cellStyle name="쉼표 [0] 3 2 8 3" xfId="2743" xr:uid="{5D002387-1B8E-4700-91A4-7996A991349C}"/>
    <cellStyle name="쉼표 [0] 3 2 9" xfId="2091" xr:uid="{679638F5-2E23-4DB4-B22D-BB1EBEF81E28}"/>
    <cellStyle name="쉼표 [0] 3 2 9 2" xfId="2428" xr:uid="{66EFD899-F662-4457-AFAF-CD9D7CF74F99}"/>
    <cellStyle name="쉼표 [0] 3 2 9 2 2" xfId="3085" xr:uid="{A7E66D56-5FA7-48DB-95A6-001A9108BF4C}"/>
    <cellStyle name="쉼표 [0] 3 2 9 3" xfId="2758" xr:uid="{14D4A51D-299D-41D3-9061-7184AB3276B8}"/>
    <cellStyle name="쉼표 [0] 3 3" xfId="32" xr:uid="{658F0BA5-EA02-46B4-98D3-2AEB522D6F1D}"/>
    <cellStyle name="쉼표 [0] 3 3 10" xfId="62" xr:uid="{33D61D8A-47F4-4742-B0AC-9533193CE65A}"/>
    <cellStyle name="쉼표 [0] 3 3 2" xfId="1630" xr:uid="{54B14D53-240B-4FE9-85B4-C7C807DEAE0E}"/>
    <cellStyle name="쉼표 [0] 3 3 2 2" xfId="2296" xr:uid="{2980E7C2-BFBC-4683-9CBB-BD107EA27C2C}"/>
    <cellStyle name="쉼표 [0] 3 3 2 2 2" xfId="2953" xr:uid="{13DBCD74-0C9E-4A04-BCF0-E5937ACD6AE0}"/>
    <cellStyle name="쉼표 [0] 3 3 2 3" xfId="2626" xr:uid="{F6B99CE1-F318-40FD-9C6E-C6E63DE1B7DA}"/>
    <cellStyle name="쉼표 [0] 3 3 3" xfId="2076" xr:uid="{2E4E6B0F-7385-4F22-80BC-55BE27520828}"/>
    <cellStyle name="쉼표 [0] 3 3 3 2" xfId="2417" xr:uid="{FB631DE9-BE29-48EF-9EC2-7CA175D54D50}"/>
    <cellStyle name="쉼표 [0] 3 3 3 2 2" xfId="3074" xr:uid="{EF2CFFC1-E020-4039-85AA-54A982375AEC}"/>
    <cellStyle name="쉼표 [0] 3 3 3 3" xfId="2747" xr:uid="{F4992136-BEA2-4CAB-9A1F-D9258862199E}"/>
    <cellStyle name="쉼표 [0] 3 3 4" xfId="2106" xr:uid="{6A7D2280-CFB8-4FA1-8A97-B7602C6206F2}"/>
    <cellStyle name="쉼표 [0] 3 3 4 2" xfId="2443" xr:uid="{3205CE93-C6EF-4DB6-908E-82A4D0CF22B9}"/>
    <cellStyle name="쉼표 [0] 3 3 4 2 2" xfId="3100" xr:uid="{2E5F4F94-ECD3-4A4F-9AE0-3DCA5079D9D0}"/>
    <cellStyle name="쉼표 [0] 3 3 4 3" xfId="2773" xr:uid="{3C90AE48-A979-4350-9CCF-ED02D2614D85}"/>
    <cellStyle name="쉼표 [0] 3 3 5" xfId="2121" xr:uid="{77C70A94-F09F-4669-A621-BE944BC7E658}"/>
    <cellStyle name="쉼표 [0] 3 3 5 2" xfId="2458" xr:uid="{83277F57-B6A0-431C-84F5-BA240289A8C7}"/>
    <cellStyle name="쉼표 [0] 3 3 5 2 2" xfId="3115" xr:uid="{F6FAAEAF-353A-445F-AC11-BFAC56058D4C}"/>
    <cellStyle name="쉼표 [0] 3 3 5 3" xfId="2788" xr:uid="{60EF3BAA-A32E-4460-A92C-00DFFE8AC999}"/>
    <cellStyle name="쉼표 [0] 3 3 6" xfId="2153" xr:uid="{7AD9C15A-19DD-40F1-99D6-B61E8C4D2A3C}"/>
    <cellStyle name="쉼표 [0] 3 3 6 2" xfId="2490" xr:uid="{B3288718-7091-4186-B643-077073723F4C}"/>
    <cellStyle name="쉼표 [0] 3 3 6 2 2" xfId="3147" xr:uid="{D5B44A1F-C017-4788-834E-8A8717D01A0D}"/>
    <cellStyle name="쉼표 [0] 3 3 6 3" xfId="2820" xr:uid="{8EC7E862-9A03-4AA8-AEB7-01ECD0B5D406}"/>
    <cellStyle name="쉼표 [0] 3 3 7" xfId="80" xr:uid="{0FAB6024-5D08-45CF-AC00-0B62DD6E1A8B}"/>
    <cellStyle name="쉼표 [0] 3 3 7 2" xfId="2277" xr:uid="{B589D53F-D552-4B5C-A7B5-53FD8726E4DF}"/>
    <cellStyle name="쉼표 [0] 3 3 7 2 2" xfId="2934" xr:uid="{ACEE500D-B7E7-4054-B26F-C79FD1E268E7}"/>
    <cellStyle name="쉼표 [0] 3 3 7 3" xfId="2604" xr:uid="{069E4444-0443-4C45-8A2B-C72082E3802D}"/>
    <cellStyle name="쉼표 [0] 3 3 8" xfId="2261" xr:uid="{3336CF94-0907-488D-A80B-2574322F565C}"/>
    <cellStyle name="쉼표 [0] 3 3 8 2" xfId="2918" xr:uid="{97F22A90-8C96-42A5-BE59-35E13BC89C94}"/>
    <cellStyle name="쉼표 [0] 3 3 9" xfId="2588" xr:uid="{5B79B6AC-042F-416F-81B8-4E7B5AB01E58}"/>
    <cellStyle name="쉼표 [0] 3 4" xfId="1631" xr:uid="{89FB7FCF-5512-43CA-83DA-E9B8DD34E248}"/>
    <cellStyle name="쉼표 [0] 3 4 2" xfId="2154" xr:uid="{DB6802C4-9DAF-4F19-8AF0-983D4ADA0517}"/>
    <cellStyle name="쉼표 [0] 3 4 2 2" xfId="2491" xr:uid="{F60EAE71-C822-4AF4-9BB4-F2816DFC70EA}"/>
    <cellStyle name="쉼표 [0] 3 4 2 2 2" xfId="3148" xr:uid="{225159CA-7E0E-44C0-8E4C-5811EBB22640}"/>
    <cellStyle name="쉼표 [0] 3 4 2 3" xfId="2821" xr:uid="{F534C643-5EE5-416C-96D4-A29847143CCE}"/>
    <cellStyle name="쉼표 [0] 3 4 3" xfId="2297" xr:uid="{916FB6F0-6A5E-4518-A854-AA05B5A813E3}"/>
    <cellStyle name="쉼표 [0] 3 4 3 2" xfId="2954" xr:uid="{59DCF2F6-9A1F-4B9D-8DD9-E3ACD05DEB7A}"/>
    <cellStyle name="쉼표 [0] 3 4 4" xfId="2627" xr:uid="{E41F58AB-38CA-42E3-BAB7-EF6AEB48ECA2}"/>
    <cellStyle name="쉼표 [0] 3 5" xfId="1632" xr:uid="{ACEFAD67-F800-436A-86AA-CAE840B2007A}"/>
    <cellStyle name="쉼표 [0] 3 6" xfId="1628" xr:uid="{969F8784-D44A-4836-8D52-487549478743}"/>
    <cellStyle name="쉼표 [0] 3 6 2" xfId="2155" xr:uid="{F161CB9B-92A6-41B8-81E9-FD97344DE21E}"/>
    <cellStyle name="쉼표 [0] 3 6 2 2" xfId="2492" xr:uid="{E46356DC-D445-4C85-93B0-B8D6418B8720}"/>
    <cellStyle name="쉼표 [0] 3 6 2 2 2" xfId="3149" xr:uid="{CF43DD3B-DC10-4104-BA2D-9844F410E58A}"/>
    <cellStyle name="쉼표 [0] 3 6 2 3" xfId="2822" xr:uid="{741E74E7-F017-472E-85ED-D6C857AF9D84}"/>
    <cellStyle name="쉼표 [0] 3 6 3" xfId="2294" xr:uid="{16B952F3-075B-44C8-B308-5374BFA8E1A3}"/>
    <cellStyle name="쉼표 [0] 3 6 3 2" xfId="2951" xr:uid="{3957AD80-0736-441C-BD43-B265427E4A9A}"/>
    <cellStyle name="쉼표 [0] 3 6 4" xfId="2624" xr:uid="{55A770B2-3519-420F-8444-4B2FF11D5E64}"/>
    <cellStyle name="쉼표 [0] 3 7" xfId="2150" xr:uid="{DAF93469-4150-4962-BFA0-DFFD5C3A4668}"/>
    <cellStyle name="쉼표 [0] 3 7 2" xfId="2487" xr:uid="{0997C222-1022-418F-BE04-F559935F7E60}"/>
    <cellStyle name="쉼표 [0] 3 7 2 2" xfId="3144" xr:uid="{F18029E6-EBAF-4D46-9385-E019D0CD1AB4}"/>
    <cellStyle name="쉼표 [0] 3 7 3" xfId="2817" xr:uid="{28BD16B6-88DE-4D1B-A12B-3932C0606197}"/>
    <cellStyle name="쉼표 [0] 4" xfId="14" xr:uid="{6F895AC5-8A2B-417E-BEE0-C2C873874D59}"/>
    <cellStyle name="쉼표 [0] 4 10" xfId="75" xr:uid="{F1CF076B-F20D-49AF-AA12-65ACE4261776}"/>
    <cellStyle name="쉼표 [0] 4 11" xfId="2250" xr:uid="{461D55C8-0319-42DD-9756-48BD90AF4E73}"/>
    <cellStyle name="쉼표 [0] 4 11 2" xfId="2907" xr:uid="{2690C860-5946-4576-B469-58F2283EC14C}"/>
    <cellStyle name="쉼표 [0] 4 12" xfId="2577" xr:uid="{2D2ADC58-2FCA-4CC7-8ADD-F763C9073D3B}"/>
    <cellStyle name="쉼표 [0] 4 13" xfId="50" xr:uid="{AB956BA3-FE19-41D7-BD01-1A4D63ACAB13}"/>
    <cellStyle name="쉼표 [0] 4 2" xfId="65" xr:uid="{95303436-165F-4B6A-B897-6723CE7516C8}"/>
    <cellStyle name="쉼표 [0] 4 2 2" xfId="2078" xr:uid="{D42F9EF4-6925-40D3-8A54-A5E25D912637}"/>
    <cellStyle name="쉼표 [0] 4 2 3" xfId="2157" xr:uid="{7D974CF3-2E7F-45BA-9FE0-E6DBDACFD755}"/>
    <cellStyle name="쉼표 [0] 4 2 3 2" xfId="2494" xr:uid="{E0E20F97-112A-4A58-9E31-28FB3D4CB297}"/>
    <cellStyle name="쉼표 [0] 4 2 3 2 2" xfId="3151" xr:uid="{041064E3-07F4-4ACE-A1DE-BA7E963760BF}"/>
    <cellStyle name="쉼표 [0] 4 2 3 3" xfId="2824" xr:uid="{8C0D7D11-F9A2-4689-AC90-EF8FF1ACC98A}"/>
    <cellStyle name="쉼표 [0] 4 2 4" xfId="1634" xr:uid="{E8707498-7F10-4E5A-91BF-C6E887607A35}"/>
    <cellStyle name="쉼표 [0] 4 2 4 2" xfId="2299" xr:uid="{BB7E538A-32D8-4274-AABE-A17EFB1BD522}"/>
    <cellStyle name="쉼표 [0] 4 2 4 2 2" xfId="2956" xr:uid="{592ECF0D-E878-45A1-BC03-92DA22AC8BBC}"/>
    <cellStyle name="쉼표 [0] 4 2 4 3" xfId="2629" xr:uid="{5A9B940D-82B1-4B38-A4F4-9003A07CB800}"/>
    <cellStyle name="쉼표 [0] 4 2 5" xfId="2264" xr:uid="{11BF6B6C-4542-4CEC-A98B-DA3AA6F38751}"/>
    <cellStyle name="쉼표 [0] 4 2 5 2" xfId="2921" xr:uid="{6E5101B0-44C6-4412-90BF-EAEF4B77E361}"/>
    <cellStyle name="쉼표 [0] 4 2 6" xfId="2591" xr:uid="{B2A94E54-F47D-4213-BE11-FA4645A34176}"/>
    <cellStyle name="쉼표 [0] 4 3" xfId="1635" xr:uid="{59D1063F-CE44-41A4-9819-2B110318ED71}"/>
    <cellStyle name="쉼표 [0] 4 4" xfId="1633" xr:uid="{11C6EC4F-6EF4-44BD-BC40-A5F6A260D141}"/>
    <cellStyle name="쉼표 [0] 4 4 2" xfId="2298" xr:uid="{4E227AC7-03B5-4416-9B11-138B6BB2551B}"/>
    <cellStyle name="쉼표 [0] 4 4 2 2" xfId="2955" xr:uid="{575BB4BE-F668-490E-AA7F-E4513DA21765}"/>
    <cellStyle name="쉼표 [0] 4 4 3" xfId="2628" xr:uid="{9ED003CC-3A4B-4BBC-B017-8572B3E23C92}"/>
    <cellStyle name="쉼표 [0] 4 5" xfId="2068" xr:uid="{8DF6B82D-052B-4B5C-8A77-31137FA64E6D}"/>
    <cellStyle name="쉼표 [0] 4 5 2" xfId="2410" xr:uid="{033963A9-039F-4377-A5EC-CA049CAD9A13}"/>
    <cellStyle name="쉼표 [0] 4 5 2 2" xfId="3067" xr:uid="{F9F1A341-A640-41CA-994D-85CAC79A13A1}"/>
    <cellStyle name="쉼표 [0] 4 5 3" xfId="2740" xr:uid="{A2D7C26F-1007-4E2C-811E-185AECE4892D}"/>
    <cellStyle name="쉼표 [0] 4 6" xfId="2088" xr:uid="{CCA96621-D843-42F1-BA12-158555AA9BA0}"/>
    <cellStyle name="쉼표 [0] 4 6 2" xfId="2425" xr:uid="{68B160A6-CE50-458A-B9E1-B31D657D316C}"/>
    <cellStyle name="쉼표 [0] 4 6 2 2" xfId="3082" xr:uid="{9B28C493-415D-4B49-87F0-93818D794A5A}"/>
    <cellStyle name="쉼표 [0] 4 6 3" xfId="2755" xr:uid="{636CC3C7-9143-4F8B-991D-B5684290F845}"/>
    <cellStyle name="쉼표 [0] 4 7" xfId="2099" xr:uid="{80D6B0D8-771D-41B3-BD42-9C5F676E664D}"/>
    <cellStyle name="쉼표 [0] 4 7 2" xfId="2436" xr:uid="{E6C5472A-2E90-4CE5-932E-BB223C88CA8F}"/>
    <cellStyle name="쉼표 [0] 4 7 2 2" xfId="3093" xr:uid="{183E2845-58EF-4F5D-B471-D685B22B2CDE}"/>
    <cellStyle name="쉼표 [0] 4 7 3" xfId="2766" xr:uid="{7D814A68-C09F-4A07-91CF-7BB0C8250875}"/>
    <cellStyle name="쉼표 [0] 4 8" xfId="2114" xr:uid="{30F6D45B-1668-4D2F-9224-B3AFB878CFDF}"/>
    <cellStyle name="쉼표 [0] 4 8 2" xfId="2451" xr:uid="{DB962AF4-7832-4CD8-8405-D6BF6AF3C31C}"/>
    <cellStyle name="쉼표 [0] 4 8 2 2" xfId="3108" xr:uid="{23151100-AFA4-459D-AE89-B3AEEB65A2EB}"/>
    <cellStyle name="쉼표 [0] 4 8 3" xfId="2781" xr:uid="{5494AF26-C1CB-4C6E-9EF2-FFFA755D3561}"/>
    <cellStyle name="쉼표 [0] 4 9" xfId="2156" xr:uid="{1FC3950F-91A9-4987-8A3D-CDB7425DA355}"/>
    <cellStyle name="쉼표 [0] 4 9 2" xfId="2493" xr:uid="{A2EDB572-73F1-4C5B-B4B8-30F616EAC5B1}"/>
    <cellStyle name="쉼표 [0] 4 9 2 2" xfId="3150" xr:uid="{CABA4B9B-5936-433C-9D99-C864914AF1A4}"/>
    <cellStyle name="쉼표 [0] 4 9 3" xfId="2823" xr:uid="{45E78962-1574-4986-81CD-DFE9F86392BF}"/>
    <cellStyle name="쉼표 [0] 5" xfId="21" xr:uid="{B4CDB458-D1DF-4E43-9B77-A0BDECC45C7C}"/>
    <cellStyle name="쉼표 [0] 5 10" xfId="2069" xr:uid="{3A0C5DCF-4E70-4016-91E0-D81CC4D6699A}"/>
    <cellStyle name="쉼표 [0] 5 10 2" xfId="2411" xr:uid="{DB44EA9B-3A35-4E98-8CA5-68D1F9A30B33}"/>
    <cellStyle name="쉼표 [0] 5 10 2 2" xfId="3068" xr:uid="{E6070D2B-3A55-4575-B7BF-3A1639DE19B3}"/>
    <cellStyle name="쉼표 [0] 5 10 3" xfId="2741" xr:uid="{BCA2BFD6-91D0-44F2-9681-C333552E390C}"/>
    <cellStyle name="쉼표 [0] 5 11" xfId="2089" xr:uid="{ECCE1FA3-ABB3-4DB6-A38E-A5AF344CD63D}"/>
    <cellStyle name="쉼표 [0] 5 11 2" xfId="2426" xr:uid="{5663E507-DEA4-4470-8292-B4887C323337}"/>
    <cellStyle name="쉼표 [0] 5 11 2 2" xfId="3083" xr:uid="{FA8514E0-3D2C-4BEB-BA9A-1DD29C3547F1}"/>
    <cellStyle name="쉼표 [0] 5 11 3" xfId="2756" xr:uid="{4609B861-1C1F-4478-9718-345FD4E95450}"/>
    <cellStyle name="쉼표 [0] 5 12" xfId="2100" xr:uid="{BA23FA98-3CD2-4D3C-9C81-B88510A57E66}"/>
    <cellStyle name="쉼표 [0] 5 12 2" xfId="2437" xr:uid="{9D035960-090E-4091-9503-45BE73A74754}"/>
    <cellStyle name="쉼표 [0] 5 12 2 2" xfId="3094" xr:uid="{DF24287F-496C-49E7-8F86-614C2803CBB3}"/>
    <cellStyle name="쉼표 [0] 5 12 3" xfId="2767" xr:uid="{976EBC70-CC88-4EAA-BAB1-AE15E3EE95D0}"/>
    <cellStyle name="쉼표 [0] 5 13" xfId="2115" xr:uid="{B3F9E8FB-40EF-4A10-88DC-468832C2C9A4}"/>
    <cellStyle name="쉼표 [0] 5 13 2" xfId="2452" xr:uid="{F5DE068A-3F14-4B81-89BC-DA1295172945}"/>
    <cellStyle name="쉼표 [0] 5 13 2 2" xfId="3109" xr:uid="{264AEDC7-7C8C-4EDF-B6EA-8AFF1683E893}"/>
    <cellStyle name="쉼표 [0] 5 13 3" xfId="2782" xr:uid="{9BEAFE11-BF61-43D8-A3BD-A31589D773B1}"/>
    <cellStyle name="쉼표 [0] 5 14" xfId="2127" xr:uid="{6691BA03-7441-4ACA-A554-9169B2158FFB}"/>
    <cellStyle name="쉼표 [0] 5 14 2" xfId="2464" xr:uid="{BD2E3012-2552-472C-9CA4-BC2F7F53DB25}"/>
    <cellStyle name="쉼표 [0] 5 14 2 2" xfId="3121" xr:uid="{A2461AA6-E5EF-4ADB-9023-0F6A4D397611}"/>
    <cellStyle name="쉼표 [0] 5 14 3" xfId="2794" xr:uid="{A5D9A4E7-4B75-40F7-A2EC-00216ECC55AF}"/>
    <cellStyle name="쉼표 [0] 5 15" xfId="2134" xr:uid="{008D0E80-8823-417A-BCDD-594628E6B521}"/>
    <cellStyle name="쉼표 [0] 5 15 2" xfId="2471" xr:uid="{2856CC9E-A0D5-4316-88C5-87ECE3B94050}"/>
    <cellStyle name="쉼표 [0] 5 15 2 2" xfId="3128" xr:uid="{C859EF63-A972-4F36-97F1-353E1507AEA0}"/>
    <cellStyle name="쉼표 [0] 5 15 3" xfId="2801" xr:uid="{E51D63ED-724A-4D44-82ED-5EB042ED9DFC}"/>
    <cellStyle name="쉼표 [0] 5 16" xfId="2158" xr:uid="{E62275C0-2996-401B-BD1D-7E3F6BC0E05A}"/>
    <cellStyle name="쉼표 [0] 5 16 2" xfId="2495" xr:uid="{197F15EE-FEBD-46FF-A814-0AEBE3602AEC}"/>
    <cellStyle name="쉼표 [0] 5 16 2 2" xfId="3152" xr:uid="{26D1B732-614E-4DF5-BFCE-FFBE79096521}"/>
    <cellStyle name="쉼표 [0] 5 16 3" xfId="2825" xr:uid="{50EE3E84-6778-46B2-97AE-BE2B1BEDCF04}"/>
    <cellStyle name="쉼표 [0] 5 17" xfId="81" xr:uid="{67F9D679-8625-4ACE-B8F5-599B40F0A0A6}"/>
    <cellStyle name="쉼표 [0] 5 17 2" xfId="2278" xr:uid="{8CEC29B2-4358-404D-BC44-149C53055931}"/>
    <cellStyle name="쉼표 [0] 5 17 2 2" xfId="2935" xr:uid="{BA0AA361-5AD6-4ED0-B1FA-60B9C97786BE}"/>
    <cellStyle name="쉼표 [0] 5 17 3" xfId="2605" xr:uid="{77A250ED-2FBF-4211-99E9-FAC300F7EAA6}"/>
    <cellStyle name="쉼표 [0] 5 18" xfId="2251" xr:uid="{A710500B-B8C1-4E08-B35E-61A19AA02189}"/>
    <cellStyle name="쉼표 [0] 5 18 2" xfId="2908" xr:uid="{BAB073AA-DD22-452F-B0E7-B8A5B01EB52D}"/>
    <cellStyle name="쉼표 [0] 5 19" xfId="2578" xr:uid="{6039B07E-EDBC-40CA-8465-C83AB7EF3FDC}"/>
    <cellStyle name="쉼표 [0] 5 2" xfId="34" xr:uid="{619B4423-E7C8-47AE-9518-5B1963E05DD9}"/>
    <cellStyle name="쉼표 [0] 5 2 2" xfId="2159" xr:uid="{21695A9B-AC0C-42A0-925B-33F40C807742}"/>
    <cellStyle name="쉼표 [0] 5 2 2 2" xfId="2496" xr:uid="{0B68D570-0455-421F-9689-26A417584EF8}"/>
    <cellStyle name="쉼표 [0] 5 2 2 2 2" xfId="3153" xr:uid="{502F5F06-C683-47C2-8BCE-5BD2B3CD87FD}"/>
    <cellStyle name="쉼표 [0] 5 2 2 3" xfId="2826" xr:uid="{746A8C53-837B-4581-A2A7-18350E02A3C8}"/>
    <cellStyle name="쉼표 [0] 5 2 3" xfId="1637" xr:uid="{658D8768-15A0-40FF-970C-0837DF0F7AC7}"/>
    <cellStyle name="쉼표 [0] 5 2 3 2" xfId="2301" xr:uid="{19E01938-E922-40AE-9E16-EB87355B4FBD}"/>
    <cellStyle name="쉼표 [0] 5 2 3 2 2" xfId="2958" xr:uid="{FE8B89F9-2DAD-4745-9698-5465F4AD4330}"/>
    <cellStyle name="쉼표 [0] 5 2 3 3" xfId="2631" xr:uid="{24D23225-1D71-4309-B717-32C239D77989}"/>
    <cellStyle name="쉼표 [0] 5 2 4" xfId="2265" xr:uid="{1A7B1696-0E1D-4F58-B600-418E38BDA3BA}"/>
    <cellStyle name="쉼표 [0] 5 2 4 2" xfId="2922" xr:uid="{EBD630DF-443B-4B89-A8BF-C961EA8325B3}"/>
    <cellStyle name="쉼표 [0] 5 2 5" xfId="2592" xr:uid="{F96332D3-DC3D-4393-96F4-CC56E05DAC8C}"/>
    <cellStyle name="쉼표 [0] 5 2 6" xfId="66" xr:uid="{62963F01-4327-4A09-9B33-C09B4CF07B86}"/>
    <cellStyle name="쉼표 [0] 5 20" xfId="51" xr:uid="{29CC68D6-894E-4FF3-87C3-7060538BBF7F}"/>
    <cellStyle name="쉼표 [0] 5 3" xfId="1638" xr:uid="{91623C3B-CAA6-4CDA-B6DC-979F0273044E}"/>
    <cellStyle name="쉼표 [0] 5 3 2" xfId="2302" xr:uid="{7E83275A-CB01-4389-B54E-26D2B0276676}"/>
    <cellStyle name="쉼표 [0] 5 3 2 2" xfId="2959" xr:uid="{44712E24-4BD1-416D-9385-C6C47BBCD8F1}"/>
    <cellStyle name="쉼표 [0] 5 3 3" xfId="2632" xr:uid="{C873D3F4-D6F6-4D9F-99BD-CBA379FC0AC0}"/>
    <cellStyle name="쉼표 [0] 5 4" xfId="1636" xr:uid="{7495DAFD-233A-4F5A-A38C-8876F7071735}"/>
    <cellStyle name="쉼표 [0] 5 4 2" xfId="2160" xr:uid="{67B76FAC-4FEB-4CE6-A99D-A2AC1BA9C61F}"/>
    <cellStyle name="쉼표 [0] 5 4 2 2" xfId="2497" xr:uid="{1A95CFF1-BC79-48A0-8CC4-9DB9C80E1778}"/>
    <cellStyle name="쉼표 [0] 5 4 2 2 2" xfId="3154" xr:uid="{DE583933-F30B-4DF9-9CDD-CFA01F4FD6E1}"/>
    <cellStyle name="쉼표 [0] 5 4 2 3" xfId="2827" xr:uid="{83BF0EBE-9B40-43E1-872F-9BADBF47D863}"/>
    <cellStyle name="쉼표 [0] 5 4 3" xfId="2300" xr:uid="{3A89400F-B405-4AE6-9653-5F0E65988729}"/>
    <cellStyle name="쉼표 [0] 5 4 3 2" xfId="2957" xr:uid="{79F96A4F-C6E7-45B9-B3CD-336F83907DEB}"/>
    <cellStyle name="쉼표 [0] 5 4 4" xfId="2630" xr:uid="{2B0C405B-027D-4E01-9DEC-D803FEFEC075}"/>
    <cellStyle name="쉼표 [0] 5 5" xfId="2029" xr:uid="{A14E2D70-3315-4BEF-984C-09571D8CA7AA}"/>
    <cellStyle name="쉼표 [0] 5 5 2" xfId="2374" xr:uid="{1E2E8BB3-D561-47EE-8C04-6329AAB54918}"/>
    <cellStyle name="쉼표 [0] 5 5 2 2" xfId="3031" xr:uid="{1C373DFF-32A7-48B2-B56C-FC7E251EC447}"/>
    <cellStyle name="쉼표 [0] 5 5 3" xfId="2704" xr:uid="{D08FD7F9-B1B2-4807-B8DC-C09E162E5935}"/>
    <cellStyle name="쉼표 [0] 5 6" xfId="2036" xr:uid="{54E1DEA5-5551-4123-A595-AFEF0A5EC979}"/>
    <cellStyle name="쉼표 [0] 5 6 2" xfId="2379" xr:uid="{53B0DCCF-673E-40A6-8EFD-25F3622F7F9A}"/>
    <cellStyle name="쉼표 [0] 5 6 2 2" xfId="3036" xr:uid="{2FEDB2C0-6887-4D4C-84AD-801C08C04B66}"/>
    <cellStyle name="쉼표 [0] 5 6 3" xfId="2709" xr:uid="{8BD742F9-8C34-4ACC-801A-955216C2C54F}"/>
    <cellStyle name="쉼표 [0] 5 7" xfId="2043" xr:uid="{203CE52E-0C1A-42F6-B72E-3F77D1CA7737}"/>
    <cellStyle name="쉼표 [0] 5 7 2" xfId="2386" xr:uid="{5DA7B8A1-CEB5-4DC4-9A26-D5C83A801516}"/>
    <cellStyle name="쉼표 [0] 5 7 2 2" xfId="3043" xr:uid="{31A46BF9-5B74-4EA0-8371-BBA12262B975}"/>
    <cellStyle name="쉼표 [0] 5 7 3" xfId="2716" xr:uid="{43830F0E-C2B3-482C-BD59-DAF7FC7B9CB3}"/>
    <cellStyle name="쉼표 [0] 5 8" xfId="2050" xr:uid="{B28A2BBD-7FA7-4091-AECA-902555AF91EC}"/>
    <cellStyle name="쉼표 [0] 5 8 2" xfId="2393" xr:uid="{747882EF-C613-433D-87AC-A08D53AC35F5}"/>
    <cellStyle name="쉼표 [0] 5 8 2 2" xfId="3050" xr:uid="{BDDE96EA-19CD-42C4-82DA-75516650BE51}"/>
    <cellStyle name="쉼표 [0] 5 8 3" xfId="2723" xr:uid="{664EC444-32FE-477B-A0BA-62D8C1901E08}"/>
    <cellStyle name="쉼표 [0] 5 9" xfId="2057" xr:uid="{CD5B3F24-058C-4AB1-8046-517478D92251}"/>
    <cellStyle name="쉼표 [0] 5 9 2" xfId="2400" xr:uid="{117814D1-ADA3-401B-A7E3-356FCD846DEA}"/>
    <cellStyle name="쉼표 [0] 5 9 2 2" xfId="3057" xr:uid="{0B3C0441-EC07-490D-8202-6DB87F2085C5}"/>
    <cellStyle name="쉼표 [0] 5 9 3" xfId="2730" xr:uid="{982F02BF-5B1F-4626-9DC4-0ED3AF34AF4C}"/>
    <cellStyle name="쉼표 [0] 6" xfId="35" xr:uid="{72621C57-C91F-4B17-9EB4-56B381C61142}"/>
    <cellStyle name="쉼표 [0] 6 10" xfId="2161" xr:uid="{4D5FE569-71A6-4D53-A345-80C9297D85D4}"/>
    <cellStyle name="쉼표 [0] 6 10 2" xfId="2498" xr:uid="{3C6AE866-92F6-43E0-906C-34AF40244BDC}"/>
    <cellStyle name="쉼표 [0] 6 10 2 2" xfId="3155" xr:uid="{CA77ED17-59A4-4815-8282-0D4212E5F811}"/>
    <cellStyle name="쉼표 [0] 6 10 3" xfId="2828" xr:uid="{FF17251F-3B01-4F82-BC24-1E9172187E66}"/>
    <cellStyle name="쉼표 [0] 6 11" xfId="77" xr:uid="{800A3360-212A-4296-8DE3-32E498A09A3B}"/>
    <cellStyle name="쉼표 [0] 6 11 2" xfId="2274" xr:uid="{ECD137F9-DBAC-4B86-B4D4-04F8FE327364}"/>
    <cellStyle name="쉼표 [0] 6 11 2 2" xfId="2931" xr:uid="{F85AD11C-836B-47BB-98EC-6489FC17E47A}"/>
    <cellStyle name="쉼표 [0] 6 11 3" xfId="2601" xr:uid="{CEB68191-BD3E-4CF7-9C56-D3A97BBCEF46}"/>
    <cellStyle name="쉼표 [0] 6 12" xfId="2252" xr:uid="{AB0C4463-EEE5-42AC-BDCF-551B3569BF99}"/>
    <cellStyle name="쉼표 [0] 6 12 2" xfId="2909" xr:uid="{2796A01D-BBAD-4037-A13D-81A2E784694A}"/>
    <cellStyle name="쉼표 [0] 6 13" xfId="2579" xr:uid="{3D9C13A0-6A84-43A6-A642-B180E6B0ADE6}"/>
    <cellStyle name="쉼표 [0] 6 14" xfId="52" xr:uid="{CFB2A1ED-1512-4595-923F-8A57147447BF}"/>
    <cellStyle name="쉼표 [0] 6 2" xfId="67" xr:uid="{69922AF1-4473-4638-8DCE-C60F4E05A567}"/>
    <cellStyle name="쉼표 [0] 6 2 2" xfId="2162" xr:uid="{56F19DAC-9937-4AE0-BB7E-FDF1ABA71E66}"/>
    <cellStyle name="쉼표 [0] 6 2 2 2" xfId="2499" xr:uid="{9B632D7F-B8C5-4883-858A-854BE63D821F}"/>
    <cellStyle name="쉼표 [0] 6 2 2 2 2" xfId="3156" xr:uid="{794BAA6A-8D29-404F-A453-850F4F74E7BE}"/>
    <cellStyle name="쉼표 [0] 6 2 2 3" xfId="2829" xr:uid="{9A09808C-0112-4688-9E8D-A5524E51D140}"/>
    <cellStyle name="쉼표 [0] 6 2 3" xfId="1640" xr:uid="{D0210B96-F52B-46A6-A7B9-452CF8D94204}"/>
    <cellStyle name="쉼표 [0] 6 2 3 2" xfId="2304" xr:uid="{CF770A00-0715-4F29-BD0B-E8463C3FA39B}"/>
    <cellStyle name="쉼표 [0] 6 2 3 2 2" xfId="2961" xr:uid="{FDEBC434-1980-468A-96C6-7B3316A4B88E}"/>
    <cellStyle name="쉼표 [0] 6 2 3 3" xfId="2634" xr:uid="{5941DB8A-ADC1-4596-A322-7B896FBF4E6D}"/>
    <cellStyle name="쉼표 [0] 6 2 4" xfId="2266" xr:uid="{E86ED07B-F76C-418D-AAA1-5EC8B1778B13}"/>
    <cellStyle name="쉼표 [0] 6 2 4 2" xfId="2923" xr:uid="{E4BC5FFF-7CAD-4284-8CA1-26F580B1FE34}"/>
    <cellStyle name="쉼표 [0] 6 2 5" xfId="2593" xr:uid="{500D9912-ACD4-4582-BAFF-6C250F2C1965}"/>
    <cellStyle name="쉼표 [0] 6 3" xfId="1641" xr:uid="{93FC3BC5-BE2C-46BE-A4B1-F976343CDF63}"/>
    <cellStyle name="쉼표 [0] 6 3 2" xfId="2163" xr:uid="{FA344B6E-74E5-4401-8E4C-39FEF18E2634}"/>
    <cellStyle name="쉼표 [0] 6 3 2 2" xfId="2500" xr:uid="{2C86D35A-5A2A-4204-8CBF-D38471899A27}"/>
    <cellStyle name="쉼표 [0] 6 3 2 2 2" xfId="3157" xr:uid="{488CA217-3519-4BE4-92EE-900664742556}"/>
    <cellStyle name="쉼표 [0] 6 3 2 3" xfId="2830" xr:uid="{2DBE6D66-C807-469D-8938-47079A84A183}"/>
    <cellStyle name="쉼표 [0] 6 3 3" xfId="2305" xr:uid="{AAAB1D9E-C5E9-4ADC-901D-026666CD703C}"/>
    <cellStyle name="쉼표 [0] 6 3 3 2" xfId="2962" xr:uid="{3F17583E-216A-4A8F-A685-03AA6F3384B1}"/>
    <cellStyle name="쉼표 [0] 6 3 4" xfId="2635" xr:uid="{B8BCE927-0770-4FB6-8B9E-7E1923628B9E}"/>
    <cellStyle name="쉼표 [0] 6 4" xfId="1642" xr:uid="{598DE09F-091E-498A-9B54-D5FA6F9D4A1E}"/>
    <cellStyle name="쉼표 [0] 6 4 2" xfId="2164" xr:uid="{261BB430-768B-4196-8DA8-48A052DAD779}"/>
    <cellStyle name="쉼표 [0] 6 4 2 2" xfId="2501" xr:uid="{4ABE50D3-B00A-4F17-854C-BF5AFB15DFB2}"/>
    <cellStyle name="쉼표 [0] 6 4 2 2 2" xfId="3158" xr:uid="{ACB8CC8B-DCEC-4A36-99E5-7F1E41B94A85}"/>
    <cellStyle name="쉼표 [0] 6 4 2 3" xfId="2831" xr:uid="{20AA3243-92B6-477A-8C5F-E3CB5FBF0C1A}"/>
    <cellStyle name="쉼표 [0] 6 4 3" xfId="2306" xr:uid="{44B51A65-24E6-4D35-A74F-5401E5171847}"/>
    <cellStyle name="쉼표 [0] 6 4 3 2" xfId="2963" xr:uid="{AE3232D4-8CD0-4A2B-8E03-0ACABBCA562A}"/>
    <cellStyle name="쉼표 [0] 6 4 4" xfId="2636" xr:uid="{7F6DFEB7-5964-4626-8583-CA4C6A6E22D4}"/>
    <cellStyle name="쉼표 [0] 6 5" xfId="1639" xr:uid="{48FE4368-90B2-4FD7-95E6-664A3601D1B6}"/>
    <cellStyle name="쉼표 [0] 6 5 2" xfId="2303" xr:uid="{C240D07D-2F87-4F87-A65C-C452163585B3}"/>
    <cellStyle name="쉼표 [0] 6 5 2 2" xfId="2960" xr:uid="{53AA3911-4BD6-426F-92FA-FD33E5005892}"/>
    <cellStyle name="쉼표 [0] 6 5 3" xfId="2633" xr:uid="{E6EB29EE-C127-4542-B9AE-54BC4B65C2B2}"/>
    <cellStyle name="쉼표 [0] 6 6" xfId="2070" xr:uid="{A7E037A8-331D-4E0B-98FA-5B647C4DDE1F}"/>
    <cellStyle name="쉼표 [0] 6 6 2" xfId="2412" xr:uid="{44B20233-FB0C-4BC2-B412-89EE9A17E774}"/>
    <cellStyle name="쉼표 [0] 6 6 2 2" xfId="3069" xr:uid="{92A254B5-E2A2-44F7-A512-6BDE22AC7137}"/>
    <cellStyle name="쉼표 [0] 6 6 3" xfId="2742" xr:uid="{AC288431-7EF5-42C7-ABCB-83D0AF98A423}"/>
    <cellStyle name="쉼표 [0] 6 7" xfId="2090" xr:uid="{57228543-08A3-4C70-8378-47CCB34045E5}"/>
    <cellStyle name="쉼표 [0] 6 7 2" xfId="2427" xr:uid="{858065EC-FC33-4BE4-B554-ED51EADF7BE1}"/>
    <cellStyle name="쉼표 [0] 6 7 2 2" xfId="3084" xr:uid="{B12E93AF-4BB2-4AE6-AB4B-F4E4C61ACACC}"/>
    <cellStyle name="쉼표 [0] 6 7 3" xfId="2757" xr:uid="{2255B9D9-786F-4F58-93BE-2BD70AFBD221}"/>
    <cellStyle name="쉼표 [0] 6 8" xfId="2101" xr:uid="{6975BEF0-6132-4B08-98BE-EA199DE3F579}"/>
    <cellStyle name="쉼표 [0] 6 8 2" xfId="2438" xr:uid="{ED0EED86-AAC6-4A33-878F-12192BDF9A9C}"/>
    <cellStyle name="쉼표 [0] 6 8 2 2" xfId="3095" xr:uid="{C8503E83-D457-46C0-A8AF-AA61995AD35E}"/>
    <cellStyle name="쉼표 [0] 6 8 3" xfId="2768" xr:uid="{AFDE7BE4-1B5A-44DD-B5AA-95F2D5872C1B}"/>
    <cellStyle name="쉼표 [0] 6 9" xfId="2116" xr:uid="{3A2CA44D-DF69-4C8F-892A-6754168A40B3}"/>
    <cellStyle name="쉼표 [0] 6 9 2" xfId="2453" xr:uid="{F45F6920-A762-4559-9B04-86CCB412B07F}"/>
    <cellStyle name="쉼표 [0] 6 9 2 2" xfId="3110" xr:uid="{03BC1C64-702F-47E7-B1B4-661F17F28EDB}"/>
    <cellStyle name="쉼표 [0] 6 9 3" xfId="2783" xr:uid="{56642E4F-A1B0-4417-8496-A62D17BEA161}"/>
    <cellStyle name="쉼표 [0] 7" xfId="29" xr:uid="{73DAE92C-61C0-44EA-AA22-49075FFACDFB}"/>
    <cellStyle name="쉼표 [0] 7 10" xfId="1643" xr:uid="{E2DAD2B2-326C-45B4-8863-467265997B24}"/>
    <cellStyle name="쉼표 [0] 7 10 2" xfId="2307" xr:uid="{7E415C5D-0449-448C-ADC0-63AA6D9AB1C4}"/>
    <cellStyle name="쉼표 [0] 7 10 2 2" xfId="2964" xr:uid="{1BEE0929-0346-49A4-8C1A-900736F6830F}"/>
    <cellStyle name="쉼표 [0] 7 10 3" xfId="2637" xr:uid="{77646587-BDFF-443B-BE0B-C7921590EFB7}"/>
    <cellStyle name="쉼표 [0] 7 11" xfId="2259" xr:uid="{6A1FFBC3-0107-42F5-9589-5AB372FA8E94}"/>
    <cellStyle name="쉼표 [0] 7 11 2" xfId="2916" xr:uid="{D4BEB31F-05A3-4CA3-9081-D3C29FB72A25}"/>
    <cellStyle name="쉼표 [0] 7 12" xfId="2586" xr:uid="{69469656-9BAE-4C6B-9423-7579FDD46D49}"/>
    <cellStyle name="쉼표 [0] 7 13" xfId="60" xr:uid="{15CA0793-3772-4B33-9F8D-D14A62795C84}"/>
    <cellStyle name="쉼표 [0] 7 2" xfId="1644" xr:uid="{462D3F35-E2D7-4BE7-8BF4-B475348574C8}"/>
    <cellStyle name="쉼표 [0] 7 2 2" xfId="2166" xr:uid="{399E73A4-B8EF-4BBF-B8D0-A4558C49937F}"/>
    <cellStyle name="쉼표 [0] 7 2 2 2" xfId="2503" xr:uid="{87A750B7-738B-403D-8ACF-80F37EE8A498}"/>
    <cellStyle name="쉼표 [0] 7 2 2 2 2" xfId="3160" xr:uid="{17C91BDC-79C6-4378-86E1-809A18E744DD}"/>
    <cellStyle name="쉼표 [0] 7 2 2 3" xfId="2833" xr:uid="{C0DE81D3-1ABF-46C4-B654-5F681C28F2FA}"/>
    <cellStyle name="쉼표 [0] 7 2 3" xfId="2308" xr:uid="{4ADAD91A-F0AB-47D7-B4DB-0B1A8302807D}"/>
    <cellStyle name="쉼표 [0] 7 2 3 2" xfId="2965" xr:uid="{86D1A4AA-6FC1-485B-9D3C-B3EC0464C00B}"/>
    <cellStyle name="쉼표 [0] 7 2 4" xfId="2638" xr:uid="{9CF1537E-2723-4031-8B9B-16322EDE97C3}"/>
    <cellStyle name="쉼표 [0] 7 3" xfId="1645" xr:uid="{EF373520-8D51-4370-9D2C-28F186C76447}"/>
    <cellStyle name="쉼표 [0] 7 3 2" xfId="2167" xr:uid="{40118D7B-42C7-43BD-AF15-4F30A566CBE5}"/>
    <cellStyle name="쉼표 [0] 7 3 2 2" xfId="2504" xr:uid="{08CE1E6B-3BBD-4826-B131-EC6891A69936}"/>
    <cellStyle name="쉼표 [0] 7 3 2 2 2" xfId="3161" xr:uid="{120E358B-560B-47C0-B762-A3A78241AEB9}"/>
    <cellStyle name="쉼표 [0] 7 3 2 3" xfId="2834" xr:uid="{7C088DC9-0346-4F38-A7A4-355EDF18C69B}"/>
    <cellStyle name="쉼표 [0] 7 3 3" xfId="2309" xr:uid="{A60EE26E-B8B0-43C7-901B-65A5C2AC2892}"/>
    <cellStyle name="쉼표 [0] 7 3 3 2" xfId="2966" xr:uid="{77E8FA1E-3A94-42CA-9810-4A1928534492}"/>
    <cellStyle name="쉼표 [0] 7 3 4" xfId="2639" xr:uid="{F61E6447-ED34-4497-B4C6-E5F83FDC0798}"/>
    <cellStyle name="쉼표 [0] 7 4" xfId="1646" xr:uid="{A28FAE3D-C8F9-4C3C-9DC8-9375AA4B5392}"/>
    <cellStyle name="쉼표 [0] 7 4 2" xfId="2168" xr:uid="{38091494-EA44-464C-AD62-0E5B2F953340}"/>
    <cellStyle name="쉼표 [0] 7 4 2 2" xfId="2505" xr:uid="{97201BAE-20D2-4DFA-956A-3D0221EE902F}"/>
    <cellStyle name="쉼표 [0] 7 4 2 2 2" xfId="3162" xr:uid="{087618E6-91B8-4F9E-B7BB-EFFC918BCC69}"/>
    <cellStyle name="쉼표 [0] 7 4 2 3" xfId="2835" xr:uid="{0B03266F-98DC-43FD-B5D3-82C1999716F0}"/>
    <cellStyle name="쉼표 [0] 7 4 3" xfId="2310" xr:uid="{147F03DF-BC65-4194-816F-BFF4418D5591}"/>
    <cellStyle name="쉼표 [0] 7 4 3 2" xfId="2967" xr:uid="{E009BCF4-2905-41D2-8F35-B5BA94366CFC}"/>
    <cellStyle name="쉼표 [0] 7 4 4" xfId="2640" xr:uid="{2B8FF7BE-EECC-4601-ABD9-8ACD1E824390}"/>
    <cellStyle name="쉼표 [0] 7 5" xfId="1647" xr:uid="{9A78A4E1-A539-4334-AC84-181B858E6714}"/>
    <cellStyle name="쉼표 [0] 7 5 2" xfId="2169" xr:uid="{C383F4BB-1DB4-49CF-A4D0-CC17E8A9691B}"/>
    <cellStyle name="쉼표 [0] 7 5 2 2" xfId="2506" xr:uid="{A8A3FE79-0B3E-47BB-8DF9-5ECB8FB1855F}"/>
    <cellStyle name="쉼표 [0] 7 5 2 2 2" xfId="3163" xr:uid="{59561B5D-9FD8-4D3E-BEF4-7E9EBC8E9CE7}"/>
    <cellStyle name="쉼표 [0] 7 5 2 3" xfId="2836" xr:uid="{22087997-3817-47D8-AF78-969E0EB0AD41}"/>
    <cellStyle name="쉼표 [0] 7 5 3" xfId="2311" xr:uid="{C6B4723C-3990-4772-AA0A-EA6FD2EFED25}"/>
    <cellStyle name="쉼표 [0] 7 5 3 2" xfId="2968" xr:uid="{7B45D095-96F5-4E32-8EC5-254F7EB73DB1}"/>
    <cellStyle name="쉼표 [0] 7 5 4" xfId="2641" xr:uid="{F6B2FDCE-ED5F-4D08-9395-94249E5C5F6B}"/>
    <cellStyle name="쉼표 [0] 7 6" xfId="2079" xr:uid="{2F2AF9E9-1695-4306-991B-C6547B687780}"/>
    <cellStyle name="쉼표 [0] 7 6 2" xfId="2418" xr:uid="{BBDE120F-0BA9-4A25-BBCB-D27376A88CCD}"/>
    <cellStyle name="쉼표 [0] 7 6 2 2" xfId="3075" xr:uid="{E1E258C5-73E6-4671-8104-86776C743CD6}"/>
    <cellStyle name="쉼표 [0] 7 6 3" xfId="2748" xr:uid="{56D98C58-9890-49B1-8F79-C47FB35030D4}"/>
    <cellStyle name="쉼표 [0] 7 7" xfId="2107" xr:uid="{25E6DC69-E377-4100-A941-2903E4777E56}"/>
    <cellStyle name="쉼표 [0] 7 7 2" xfId="2444" xr:uid="{4000FEF3-5862-4C23-B1A3-31825CF369D0}"/>
    <cellStyle name="쉼표 [0] 7 7 2 2" xfId="3101" xr:uid="{5B8495C4-2395-4FDE-91DA-5BA5F24B7BE3}"/>
    <cellStyle name="쉼표 [0] 7 7 3" xfId="2774" xr:uid="{F6AABE54-6B81-4FD7-8D67-435CAA266855}"/>
    <cellStyle name="쉼표 [0] 7 8" xfId="2122" xr:uid="{0B55F53D-66E3-44C7-88BB-05E3A14705FD}"/>
    <cellStyle name="쉼표 [0] 7 8 2" xfId="2459" xr:uid="{F8E3BD17-83A9-402D-9377-6F6848CA199F}"/>
    <cellStyle name="쉼표 [0] 7 8 2 2" xfId="3116" xr:uid="{EE080D61-1D9E-4889-8DDA-AB1D7D500976}"/>
    <cellStyle name="쉼표 [0] 7 8 3" xfId="2789" xr:uid="{B9336AEA-42CC-42DF-B2EF-225EDBA2A3F4}"/>
    <cellStyle name="쉼표 [0] 7 9" xfId="2165" xr:uid="{EC3F9633-AAFA-44EA-9B3E-CE675DA9EEDB}"/>
    <cellStyle name="쉼표 [0] 7 9 2" xfId="2502" xr:uid="{440D094A-98B5-4D4A-B25C-6DE02ED2BBFD}"/>
    <cellStyle name="쉼표 [0] 7 9 2 2" xfId="3159" xr:uid="{25751DD3-498C-43BD-8F35-EE64CF2EDF8D}"/>
    <cellStyle name="쉼표 [0] 7 9 3" xfId="2832" xr:uid="{3A1DB441-4B35-459E-B6A3-3C0E9505F895}"/>
    <cellStyle name="쉼표 [0] 8" xfId="1648" xr:uid="{7F9D0C72-6D7A-4EA8-A6FD-2D63AC56E617}"/>
    <cellStyle name="쉼표 [0] 8 2" xfId="1649" xr:uid="{BF980031-37B2-4016-9276-ADC2124D0B68}"/>
    <cellStyle name="쉼표 [0] 8 2 2" xfId="2170" xr:uid="{3401DBF2-3133-4F97-BC7A-52C8FEE37C0F}"/>
    <cellStyle name="쉼표 [0] 8 2 2 2" xfId="2507" xr:uid="{34EE3EF5-980C-474C-ABBA-1F8E743281F3}"/>
    <cellStyle name="쉼표 [0] 8 2 2 2 2" xfId="3164" xr:uid="{45E9FAB6-93D2-42AB-A800-81F7D2756BA4}"/>
    <cellStyle name="쉼표 [0] 8 2 2 3" xfId="2837" xr:uid="{770954BB-3F12-4884-AFA2-01F194C2DC1E}"/>
    <cellStyle name="쉼표 [0] 8 2 3" xfId="2313" xr:uid="{B01B6EB7-DA8B-4AAF-A3D6-D0CDE8F727DC}"/>
    <cellStyle name="쉼표 [0] 8 2 3 2" xfId="2970" xr:uid="{F8EB1CBA-3240-4838-8D90-2E1A47DFE377}"/>
    <cellStyle name="쉼표 [0] 8 2 4" xfId="2643" xr:uid="{A5AAE83D-03FB-4EB1-AC85-24F99FC862C0}"/>
    <cellStyle name="쉼표 [0] 8 3" xfId="1650" xr:uid="{D512F06A-72F3-4067-A451-050456F80612}"/>
    <cellStyle name="쉼표 [0] 8 3 2" xfId="2171" xr:uid="{AD55AE58-78BE-4367-A093-479EEDC91308}"/>
    <cellStyle name="쉼표 [0] 8 3 2 2" xfId="2508" xr:uid="{409036BC-AC10-4162-A028-A1AB6DB54BA0}"/>
    <cellStyle name="쉼표 [0] 8 3 2 2 2" xfId="3165" xr:uid="{4DAEACDD-AA08-4AE4-8056-44CF05D5AD37}"/>
    <cellStyle name="쉼표 [0] 8 3 2 3" xfId="2838" xr:uid="{CD084E38-7AF5-4E40-8953-E9404F2FA8EE}"/>
    <cellStyle name="쉼표 [0] 8 3 3" xfId="2314" xr:uid="{590BD157-468B-4699-BE66-6A4D2FA0FAEB}"/>
    <cellStyle name="쉼표 [0] 8 3 3 2" xfId="2971" xr:uid="{CFC3A775-4D8C-467D-A93B-53BD5151B77D}"/>
    <cellStyle name="쉼표 [0] 8 3 4" xfId="2644" xr:uid="{4A008937-C11D-4D87-88E4-77AD25B5D01D}"/>
    <cellStyle name="쉼표 [0] 8 4" xfId="1651" xr:uid="{C2CD7FDD-9877-4E4A-87ED-DFD97EADB95E}"/>
    <cellStyle name="쉼표 [0] 8 4 2" xfId="2172" xr:uid="{2CC2A0B0-0518-416C-890B-F14F38DA6B28}"/>
    <cellStyle name="쉼표 [0] 8 4 2 2" xfId="2509" xr:uid="{021CC38F-A043-4B97-B811-926C8E210E7D}"/>
    <cellStyle name="쉼표 [0] 8 4 2 2 2" xfId="3166" xr:uid="{3187E74C-56DD-46A8-8654-60E7BACF9935}"/>
    <cellStyle name="쉼표 [0] 8 4 2 3" xfId="2839" xr:uid="{4193FBC7-D1A4-41A2-9228-0EDA952032B1}"/>
    <cellStyle name="쉼표 [0] 8 4 3" xfId="2315" xr:uid="{4036746E-F2E5-48FD-AD6A-00B4FEFFA17B}"/>
    <cellStyle name="쉼표 [0] 8 4 3 2" xfId="2972" xr:uid="{0FDC04E0-8D6F-4D4B-AB28-B0D46CE37046}"/>
    <cellStyle name="쉼표 [0] 8 4 4" xfId="2645" xr:uid="{50067C7D-CB65-4787-B45B-48F1390B536A}"/>
    <cellStyle name="쉼표 [0] 8 5" xfId="2312" xr:uid="{7E991ED2-7BB3-4FE4-9976-AB509D6AFC0D}"/>
    <cellStyle name="쉼표 [0] 8 5 2" xfId="2969" xr:uid="{8583DD71-F819-437C-9C19-3D525033ED18}"/>
    <cellStyle name="쉼표 [0] 8 6" xfId="2642" xr:uid="{0E56D8E6-02A7-4B5B-9D90-489A4B742481}"/>
    <cellStyle name="쉼표 [0] 9" xfId="1652" xr:uid="{5B5D934A-7D22-498C-9177-3D1F983B1152}"/>
    <cellStyle name="쉼표 [0] 9 2" xfId="1653" xr:uid="{C4806581-17DB-494A-B6D9-598D3253FF06}"/>
    <cellStyle name="쉼표 [0] 9 2 2" xfId="2174" xr:uid="{7D360062-DC46-4C9A-99F9-B63C239BF5C8}"/>
    <cellStyle name="쉼표 [0] 9 2 2 2" xfId="2511" xr:uid="{1914136F-AEB9-4645-84CE-CC77B91CB658}"/>
    <cellStyle name="쉼표 [0] 9 2 2 2 2" xfId="3168" xr:uid="{D2632CDF-9178-4B42-A40B-9BDD7268C23F}"/>
    <cellStyle name="쉼표 [0] 9 2 2 3" xfId="2841" xr:uid="{AA0CFFB3-B7EE-45D1-84DD-E26F00D3C2FD}"/>
    <cellStyle name="쉼표 [0] 9 2 3" xfId="2317" xr:uid="{0913E38C-64B0-4CD3-9A2E-75D11A5C7D73}"/>
    <cellStyle name="쉼표 [0] 9 2 3 2" xfId="2974" xr:uid="{1DA32539-DD6B-4393-A1BE-2C4425E54D0A}"/>
    <cellStyle name="쉼표 [0] 9 2 4" xfId="2647" xr:uid="{4163B9DA-C520-4D24-B591-CAF33197E3DD}"/>
    <cellStyle name="쉼표 [0] 9 3" xfId="2173" xr:uid="{9ADB0101-CB1D-4EC0-8ECD-0702CC37C626}"/>
    <cellStyle name="쉼표 [0] 9 3 2" xfId="2510" xr:uid="{CCF1B4BB-773F-43BB-A133-FA497B3FEDE7}"/>
    <cellStyle name="쉼표 [0] 9 3 2 2" xfId="3167" xr:uid="{D7430215-2558-4CAD-96BA-E33416418AA3}"/>
    <cellStyle name="쉼표 [0] 9 3 3" xfId="2840" xr:uid="{1E347D1A-B2A3-493A-B3D4-D132DB897DB1}"/>
    <cellStyle name="쉼표 [0] 9 4" xfId="2316" xr:uid="{BB9ED9FD-9125-450C-8C8A-6D5755C1950E}"/>
    <cellStyle name="쉼표 [0] 9 4 2" xfId="2973" xr:uid="{2858726C-EA87-4B24-BBC0-23393F4A36C0}"/>
    <cellStyle name="쉼표 [0] 9 5" xfId="2646" xr:uid="{0EB2526A-7EE6-433C-8295-92F34AE95E87}"/>
    <cellStyle name="쉼표 2" xfId="1654" xr:uid="{DC59A4E1-2A27-4C17-8B0A-7F1C7159FBB4}"/>
    <cellStyle name="스타일 1" xfId="1655" xr:uid="{005BE580-753E-4B21-88F0-E0EEABE1DA0C}"/>
    <cellStyle name="스타일 1 2" xfId="1656" xr:uid="{FE636793-1C96-431A-957E-B5C8C357EE45}"/>
    <cellStyle name="스타일 10" xfId="1657" xr:uid="{84131094-1E45-425C-91BA-7B660FA8118D}"/>
    <cellStyle name="스타일 100" xfId="1658" xr:uid="{C639F002-4EDF-4EFB-9817-2EFA56862B6C}"/>
    <cellStyle name="스타일 101" xfId="1659" xr:uid="{DF56308D-FA52-46F8-A8C8-13AF0392E9DB}"/>
    <cellStyle name="스타일 102" xfId="1660" xr:uid="{1C5839D7-9490-4A8D-A7FB-3027FB3244EC}"/>
    <cellStyle name="스타일 103" xfId="1661" xr:uid="{CE89E9E4-7C09-412F-B7A3-25DDE27CB38C}"/>
    <cellStyle name="스타일 104" xfId="1662" xr:uid="{9A706A85-33DD-4121-A253-3EA9DC364875}"/>
    <cellStyle name="스타일 105" xfId="1663" xr:uid="{43AB1892-D89C-49F2-ACA2-A28D24C25032}"/>
    <cellStyle name="스타일 106" xfId="1664" xr:uid="{6E3895F9-94A7-4A85-A5AD-7760D6D20AE9}"/>
    <cellStyle name="스타일 107" xfId="1665" xr:uid="{813493DE-B171-4ED1-B9E3-3ACD4C508235}"/>
    <cellStyle name="스타일 108" xfId="1666" xr:uid="{41FD4805-2D20-46EF-9479-D93C0CE27D89}"/>
    <cellStyle name="스타일 109" xfId="1667" xr:uid="{B52D0939-58E6-4CDF-BCDC-F6D3D0D88881}"/>
    <cellStyle name="스타일 11" xfId="1668" xr:uid="{EDF30A8C-E735-4F6B-952C-53078DA4F35C}"/>
    <cellStyle name="스타일 110" xfId="1669" xr:uid="{0B58E255-46B7-4B4F-B27B-5DF85214E39A}"/>
    <cellStyle name="스타일 111" xfId="1670" xr:uid="{CC2284A3-64A0-430B-98F2-1C77FAD96247}"/>
    <cellStyle name="스타일 112" xfId="1671" xr:uid="{AD5BBFF5-BA56-4670-9A48-C973272704CC}"/>
    <cellStyle name="스타일 113" xfId="1672" xr:uid="{58408CD7-CFE7-48BF-8F00-39CF19FF2DAC}"/>
    <cellStyle name="스타일 114" xfId="1673" xr:uid="{B1F6E203-48B0-4624-90E1-5EC8DA7EADB7}"/>
    <cellStyle name="스타일 115" xfId="1674" xr:uid="{878B2B3E-6BAE-4C1F-BA3B-09BE87C16752}"/>
    <cellStyle name="스타일 116" xfId="1675" xr:uid="{10D29532-1090-4F72-BF18-613DDF579B68}"/>
    <cellStyle name="스타일 117" xfId="1676" xr:uid="{E940FC21-CDD8-4B6B-B9FD-8F5271F1BE86}"/>
    <cellStyle name="스타일 118" xfId="1677" xr:uid="{7633F96C-FE6B-4E74-8734-A5AA47343001}"/>
    <cellStyle name="스타일 119" xfId="1678" xr:uid="{AC1584A5-1D1C-47FC-B70D-84C21F87F633}"/>
    <cellStyle name="스타일 12" xfId="1679" xr:uid="{4E70ECAC-8E67-48F1-A6C6-8163EE66FF1C}"/>
    <cellStyle name="스타일 120" xfId="1680" xr:uid="{4EBC780F-517B-493A-BB92-DB8F08AF44A8}"/>
    <cellStyle name="스타일 121" xfId="1681" xr:uid="{40AD1184-5C0A-4CDE-8564-F5D7CEC5265C}"/>
    <cellStyle name="스타일 122" xfId="1682" xr:uid="{CE74BBA9-878C-42D7-AA30-43222B4D92BC}"/>
    <cellStyle name="스타일 123" xfId="1683" xr:uid="{3128A56E-2314-4C03-969A-0A7CBF5B9956}"/>
    <cellStyle name="스타일 124" xfId="1684" xr:uid="{487A563D-306A-49B1-8B5E-B6344ECB438D}"/>
    <cellStyle name="스타일 125" xfId="1685" xr:uid="{A497D8B9-B99B-4BB2-A17B-868F9B533B02}"/>
    <cellStyle name="스타일 126" xfId="1686" xr:uid="{7EDE0388-D32C-49C1-87D6-0E2A366F8D06}"/>
    <cellStyle name="스타일 127" xfId="1687" xr:uid="{A27FDEC9-DE1E-4E9E-8FA7-095131B5E551}"/>
    <cellStyle name="스타일 128" xfId="1688" xr:uid="{F4457C0E-78E9-4206-9481-C9EDDB77AA08}"/>
    <cellStyle name="스타일 129" xfId="1689" xr:uid="{1F57FA46-120E-4B46-B03C-9241B20A073D}"/>
    <cellStyle name="스타일 13" xfId="1690" xr:uid="{269D20B9-4548-49B8-8834-75B899E0414F}"/>
    <cellStyle name="스타일 130" xfId="1691" xr:uid="{EF663757-9F82-4E96-9157-FDFCAFD8188E}"/>
    <cellStyle name="스타일 131" xfId="1692" xr:uid="{AC9F2FE5-B28B-46FF-A2E5-A9473DC94F1B}"/>
    <cellStyle name="스타일 132" xfId="1693" xr:uid="{B6BC975D-40DE-4B84-85A3-1B71E7CD18A0}"/>
    <cellStyle name="스타일 133" xfId="1694" xr:uid="{4F216E19-BE1D-42A9-B130-55862D87140B}"/>
    <cellStyle name="스타일 134" xfId="1695" xr:uid="{D8213841-4B51-42B8-9ED4-914FF8A26DAD}"/>
    <cellStyle name="스타일 135" xfId="1696" xr:uid="{A29D55E8-0056-4FAE-9704-25840496E865}"/>
    <cellStyle name="스타일 136" xfId="1697" xr:uid="{08A29184-762C-4864-A549-17FB9B0E459B}"/>
    <cellStyle name="스타일 137" xfId="1698" xr:uid="{D26C10BD-1A3E-45A1-9837-A128AEC1AEF2}"/>
    <cellStyle name="스타일 138" xfId="1699" xr:uid="{C2279D37-0D27-4C22-97C6-C589F47157E4}"/>
    <cellStyle name="스타일 139" xfId="1700" xr:uid="{3526C920-879D-496F-8F4B-BAA79D59E5F3}"/>
    <cellStyle name="스타일 14" xfId="1701" xr:uid="{083C4C1A-D886-4028-B034-C30A434C0E76}"/>
    <cellStyle name="스타일 140" xfId="1702" xr:uid="{8B84D7DE-8254-4819-9913-6D16D86F02BB}"/>
    <cellStyle name="스타일 141" xfId="1703" xr:uid="{7F2901A4-1B80-4AC4-A632-C273743D7B19}"/>
    <cellStyle name="스타일 142" xfId="1704" xr:uid="{9A26ECA5-D8E7-44B3-9AF5-A49ABB3FC121}"/>
    <cellStyle name="스타일 143" xfId="1705" xr:uid="{25173A16-BF7E-448B-B2D5-1956C7365A6D}"/>
    <cellStyle name="스타일 144" xfId="1706" xr:uid="{4230DA84-80B0-4F89-889A-AE87B4132F31}"/>
    <cellStyle name="스타일 145" xfId="1707" xr:uid="{8CB778FC-D594-4D36-81FC-936AD1BC8A9A}"/>
    <cellStyle name="스타일 15" xfId="1708" xr:uid="{BA5DC945-2DE2-40EA-B6AD-51B25DE9B597}"/>
    <cellStyle name="스타일 16" xfId="1709" xr:uid="{2D501737-47CE-470F-9723-FFF318E4B787}"/>
    <cellStyle name="스타일 17" xfId="1710" xr:uid="{59C410E9-6CE8-4ED0-8BBB-21CDACEEBCD2}"/>
    <cellStyle name="스타일 18" xfId="1711" xr:uid="{86582021-E0F2-48B2-A28C-BC371D213E8E}"/>
    <cellStyle name="스타일 19" xfId="1712" xr:uid="{E4957ED7-9635-4464-AC93-F3E656B9859A}"/>
    <cellStyle name="스타일 2" xfId="1713" xr:uid="{B8EABD51-80F5-458F-AB20-EF3030DD29D4}"/>
    <cellStyle name="스타일 20" xfId="1714" xr:uid="{3F63A4F1-CCE5-4378-9DFA-A228AD06CD6B}"/>
    <cellStyle name="스타일 21" xfId="1715" xr:uid="{D4662FF3-BE38-43BC-A106-A11A37B29559}"/>
    <cellStyle name="스타일 22" xfId="1716" xr:uid="{9C1EC94B-F2A2-495F-94F8-7B46A752FE17}"/>
    <cellStyle name="스타일 23" xfId="1717" xr:uid="{7233DC64-E7E2-4238-AE21-A122D22AC7D4}"/>
    <cellStyle name="스타일 24" xfId="1718" xr:uid="{D36CF0EA-AA00-49E8-B3A9-02D762311770}"/>
    <cellStyle name="스타일 25" xfId="1719" xr:uid="{69FDFA66-50DD-4A3E-AA5C-E31989D23391}"/>
    <cellStyle name="스타일 26" xfId="1720" xr:uid="{DA17B294-6CDC-4C6C-A62F-A370E017BB54}"/>
    <cellStyle name="스타일 27" xfId="1721" xr:uid="{946F4672-6AA8-4E72-A5E0-B88B33655CE8}"/>
    <cellStyle name="스타일 28" xfId="1722" xr:uid="{08C90F98-4315-4E2D-B707-0EB943355CFB}"/>
    <cellStyle name="스타일 29" xfId="1723" xr:uid="{1039166F-1097-4240-8BB2-C6620990AEC7}"/>
    <cellStyle name="스타일 3" xfId="1724" xr:uid="{8E0D82A8-2EFF-4F55-BDBD-224564529C77}"/>
    <cellStyle name="스타일 30" xfId="1725" xr:uid="{8CAB26C7-EBA3-4CDC-8162-03E08EE7DC4F}"/>
    <cellStyle name="스타일 31" xfId="1726" xr:uid="{7BEFB951-95D6-478C-AC7E-9D29E7D86266}"/>
    <cellStyle name="스타일 32" xfId="1727" xr:uid="{BE0618FB-8343-4924-A808-6E5160E529B1}"/>
    <cellStyle name="스타일 33" xfId="1728" xr:uid="{DCF5491D-B1C6-4BC1-9989-1DE374A40C9E}"/>
    <cellStyle name="스타일 34" xfId="1729" xr:uid="{B658C180-1D68-4A01-A26D-2E08037C61D7}"/>
    <cellStyle name="스타일 35" xfId="1730" xr:uid="{73650D63-6750-4694-931E-F64F8CA30D29}"/>
    <cellStyle name="스타일 36" xfId="1731" xr:uid="{4A21966E-FBDA-4D4A-8FB4-0C846D003ED7}"/>
    <cellStyle name="스타일 37" xfId="1732" xr:uid="{D517D835-4844-4932-A92B-0135D52BEF15}"/>
    <cellStyle name="스타일 38" xfId="1733" xr:uid="{496576EB-7CA6-4728-BA18-FDA48DC32BAC}"/>
    <cellStyle name="스타일 39" xfId="1734" xr:uid="{7E5425EF-F828-4CEB-9FA1-BCFA72D506BD}"/>
    <cellStyle name="스타일 4" xfId="1735" xr:uid="{70A1410C-7A9B-4FB1-B9B0-7427AF6B2A5A}"/>
    <cellStyle name="스타일 40" xfId="1736" xr:uid="{6F5EBFED-3B52-4E65-9D50-CC557E668E1B}"/>
    <cellStyle name="스타일 41" xfId="1737" xr:uid="{8E988E5A-2ED8-4A76-817D-6128666C3AC7}"/>
    <cellStyle name="스타일 42" xfId="1738" xr:uid="{E9947368-00D3-4A1D-85F4-F33F3557D605}"/>
    <cellStyle name="스타일 43" xfId="1739" xr:uid="{A7A85FCB-3744-42A1-8F4F-666906573104}"/>
    <cellStyle name="스타일 44" xfId="1740" xr:uid="{9303F06A-C12A-49F0-A9ED-4E88950D1A59}"/>
    <cellStyle name="스타일 45" xfId="1741" xr:uid="{628BB564-6BB9-4E9E-ABA3-4DEF498C3C9B}"/>
    <cellStyle name="스타일 46" xfId="1742" xr:uid="{E1668100-F09D-4BB8-8612-C55FF1C42AA8}"/>
    <cellStyle name="스타일 47" xfId="1743" xr:uid="{BEC61DBF-3EF1-43E2-8033-92F0046A1A71}"/>
    <cellStyle name="스타일 48" xfId="1744" xr:uid="{E16B3EAF-712E-4610-93E6-870CFDB73C4B}"/>
    <cellStyle name="스타일 49" xfId="1745" xr:uid="{E3EEF3D3-2F35-4635-9E54-63F019D7B605}"/>
    <cellStyle name="스타일 5" xfId="1746" xr:uid="{CF5DAE1F-FFDF-4AE1-9109-4D006A09B65A}"/>
    <cellStyle name="스타일 50" xfId="1747" xr:uid="{3C20CA37-39CB-450E-8699-28FF7E906E48}"/>
    <cellStyle name="스타일 51" xfId="1748" xr:uid="{1795FCE0-F6C6-4FA9-AACD-D414A3E8A866}"/>
    <cellStyle name="스타일 52" xfId="1749" xr:uid="{039F6EAA-D01C-4DCF-BB12-C7D975607975}"/>
    <cellStyle name="스타일 53" xfId="1750" xr:uid="{2B5CAEFD-3FC4-4753-BAC0-E4F65FC65B68}"/>
    <cellStyle name="스타일 54" xfId="1751" xr:uid="{6DC36015-3745-4DBC-8297-0485C46333F2}"/>
    <cellStyle name="스타일 55" xfId="1752" xr:uid="{624844BA-D1B6-4759-BE94-7F42340FB0E6}"/>
    <cellStyle name="스타일 56" xfId="1753" xr:uid="{56D553E0-18C0-41ED-A704-FADEE6E9A374}"/>
    <cellStyle name="스타일 57" xfId="1754" xr:uid="{B405469B-2FEF-4042-B970-83A5BDA0C5D9}"/>
    <cellStyle name="스타일 58" xfId="1755" xr:uid="{3C5447EB-6FEE-463A-870C-78C961A376AA}"/>
    <cellStyle name="스타일 59" xfId="1756" xr:uid="{7124C1AE-C19A-4033-ADB8-83C90A779A38}"/>
    <cellStyle name="스타일 6" xfId="1757" xr:uid="{FCE2527A-8B1A-49DE-9503-8DA67139C4B1}"/>
    <cellStyle name="스타일 60" xfId="1758" xr:uid="{3BBC9F4E-7D56-41E7-96E0-AAE220BCF97D}"/>
    <cellStyle name="스타일 61" xfId="1759" xr:uid="{5C0553FC-7888-41C9-AAD7-E0489C582B8D}"/>
    <cellStyle name="스타일 62" xfId="1760" xr:uid="{E9B2FD13-C871-4E83-BB69-BAB3F7E944CF}"/>
    <cellStyle name="스타일 63" xfId="1761" xr:uid="{B82330DF-AE62-4F9D-9276-36DB0ED5CEC9}"/>
    <cellStyle name="스타일 64" xfId="1762" xr:uid="{84C83A47-E4A0-46EE-A18E-9EA350C44EFE}"/>
    <cellStyle name="스타일 65" xfId="1763" xr:uid="{30D87AC6-BB6B-4548-AE4F-9382DC670D6F}"/>
    <cellStyle name="스타일 66" xfId="1764" xr:uid="{F3ACB12D-4C16-42F2-A97F-026F37230A82}"/>
    <cellStyle name="스타일 67" xfId="1765" xr:uid="{39EE4B14-7481-4111-BB0C-7344B6B443EC}"/>
    <cellStyle name="스타일 68" xfId="1766" xr:uid="{0C443AB7-9932-43E1-ADEA-0364597450E7}"/>
    <cellStyle name="스타일 69" xfId="1767" xr:uid="{41F89C7D-FEE6-45BA-8F36-7A53EA25856F}"/>
    <cellStyle name="스타일 7" xfId="1768" xr:uid="{6CFDB864-4E18-4C77-A4C5-F5CAA8C1013D}"/>
    <cellStyle name="스타일 70" xfId="1769" xr:uid="{B53CB7C9-F4C6-427C-AD99-139D5671E8AA}"/>
    <cellStyle name="스타일 71" xfId="1770" xr:uid="{DE0F6032-815C-474B-8525-701A19D43B2F}"/>
    <cellStyle name="스타일 72" xfId="1771" xr:uid="{54346270-DDE8-4CAA-853D-557DF1A7DF0E}"/>
    <cellStyle name="스타일 73" xfId="1772" xr:uid="{6A8ACCD3-86AE-422D-8423-B35E2ADFCBF1}"/>
    <cellStyle name="스타일 74" xfId="1773" xr:uid="{81407161-4180-48A2-B459-C860A0AD1551}"/>
    <cellStyle name="스타일 75" xfId="1774" xr:uid="{7A099494-B485-4114-B711-9502EDA0C9E6}"/>
    <cellStyle name="스타일 76" xfId="1775" xr:uid="{F4B3F8EE-FFAB-425C-AF4A-B856AC4246BA}"/>
    <cellStyle name="스타일 77" xfId="1776" xr:uid="{1636182C-BE97-4E23-862D-B39963A7B74B}"/>
    <cellStyle name="스타일 78" xfId="1777" xr:uid="{6BE5E152-6664-4D4C-85E4-B5DA1EE04732}"/>
    <cellStyle name="스타일 79" xfId="1778" xr:uid="{170CCA73-1062-4034-97BB-646179D8DDB4}"/>
    <cellStyle name="스타일 8" xfId="1779" xr:uid="{5F22750A-5429-4D53-A5C8-6B793D188370}"/>
    <cellStyle name="스타일 80" xfId="1780" xr:uid="{F1F8C999-13C2-41C1-B980-FCF2AB5F84DC}"/>
    <cellStyle name="스타일 81" xfId="1781" xr:uid="{22066C02-2934-46DD-8450-3AED13D7FE4F}"/>
    <cellStyle name="스타일 82" xfId="1782" xr:uid="{03BF7252-2E6F-4A4B-BA50-43489C90FE2D}"/>
    <cellStyle name="스타일 83" xfId="1783" xr:uid="{3E5DBCC6-554E-4639-8E55-F3C0F74CCB5A}"/>
    <cellStyle name="스타일 84" xfId="1784" xr:uid="{57D8434E-3EC7-4B73-94BE-0D30461B8F41}"/>
    <cellStyle name="스타일 85" xfId="1785" xr:uid="{A4F2C8AB-E275-46BC-BE54-5823BD2DF828}"/>
    <cellStyle name="스타일 86" xfId="1786" xr:uid="{75020554-3D19-4A0F-B8E3-90911A7E3450}"/>
    <cellStyle name="스타일 87" xfId="1787" xr:uid="{6DD68706-8304-4CA6-A0C5-9F242B613485}"/>
    <cellStyle name="스타일 88" xfId="1788" xr:uid="{5CB11175-0990-435E-89A8-72BA1BD8FF99}"/>
    <cellStyle name="스타일 89" xfId="1789" xr:uid="{98708E11-8A29-48E6-A608-5A4071BA7017}"/>
    <cellStyle name="스타일 9" xfId="1790" xr:uid="{40BE7EB3-7D98-446C-AFA2-F63B9F0D28F5}"/>
    <cellStyle name="스타일 90" xfId="1791" xr:uid="{A4AAB0EE-69B7-4D87-A769-643D3C2FB390}"/>
    <cellStyle name="스타일 91" xfId="1792" xr:uid="{36509137-F49B-4A1F-A502-3056C9710533}"/>
    <cellStyle name="스타일 92" xfId="1793" xr:uid="{465B9E7F-BC85-4885-B841-6F6223439ED4}"/>
    <cellStyle name="스타일 93" xfId="1794" xr:uid="{C1BBA5A9-9B5E-4E11-B3CA-1D422CEBAFB0}"/>
    <cellStyle name="스타일 94" xfId="1795" xr:uid="{8654847E-5741-4E34-A516-4673E4827153}"/>
    <cellStyle name="스타일 95" xfId="1796" xr:uid="{F93F3A2D-333E-43BA-B586-3C5ABE542D0A}"/>
    <cellStyle name="스타일 96" xfId="1797" xr:uid="{4C22DB44-7D60-4D4F-B1F7-2AB0FF73404E}"/>
    <cellStyle name="스타일 97" xfId="1798" xr:uid="{C01FC914-CED4-4F37-A7CD-252CF7D2660C}"/>
    <cellStyle name="스타일 98" xfId="1799" xr:uid="{C27788E7-6B79-439D-A568-D7908C10C319}"/>
    <cellStyle name="스타일 99" xfId="1800" xr:uid="{5A274BF4-A9E0-4881-806A-4D46D94BA208}"/>
    <cellStyle name="悪い" xfId="1801" xr:uid="{494FB341-7357-4943-9236-C64CA0A1933C}"/>
    <cellStyle name="样式 1" xfId="1802" xr:uid="{4156153F-359F-4A30-AA21-165632712D2A}"/>
    <cellStyle name="样式 2" xfId="1803" xr:uid="{E512CB18-E5F3-4F14-A0AD-0C4A13B5E80E}"/>
    <cellStyle name="样式 3" xfId="1804" xr:uid="{04921F1E-F90A-4213-947E-9679893B3800}"/>
    <cellStyle name="样式 4" xfId="1805" xr:uid="{65944C17-6446-4452-AF87-F70BAB91A157}"/>
    <cellStyle name="样式 5" xfId="1806" xr:uid="{3E17432D-F925-45FC-A1BA-1EF48CE12D39}"/>
    <cellStyle name="样式 6" xfId="1807" xr:uid="{F3FDB597-01B4-480E-AFB3-CC9BF8F2AF61}"/>
    <cellStyle name="一般_5.0G大陸月損益預估050524" xfId="1808" xr:uid="{FCF2DB3C-8885-4853-8513-CCA719629724}"/>
    <cellStyle name="일정_K200창정비 (2)" xfId="1809" xr:uid="{9EF937BB-AA8C-4BBF-99E8-C3D03F632B38}"/>
    <cellStyle name="入力" xfId="1810" xr:uid="{D184A001-9725-4DA7-B105-70E9C1F55C8F}"/>
    <cellStyle name="入力 2" xfId="1811" xr:uid="{9B77A662-4F28-4EE0-87EB-44DE82FC1732}"/>
    <cellStyle name="자리수" xfId="1812" xr:uid="{869C5548-ED1A-4B5F-ADF7-B17758FCAD1B}"/>
    <cellStyle name="자리수0" xfId="1813" xr:uid="{156250CB-876C-4EC1-AF88-A2614C8B921C}"/>
    <cellStyle name="注释" xfId="1814" xr:uid="{2616F16E-2766-4941-A5E8-34FC91C3BC3C}"/>
    <cellStyle name="注释 2" xfId="1815" xr:uid="{0ACE0A50-E4E6-41A2-8641-4A4A6FF85B35}"/>
    <cellStyle name="集計" xfId="1816" xr:uid="{71A9F6ED-6635-4F62-AE74-90163FBEEE76}"/>
    <cellStyle name="集計 2" xfId="1817" xr:uid="{1DA4B862-5059-463E-96C1-04D4799440D9}"/>
    <cellStyle name="差" xfId="1818" xr:uid="{F5719961-F7E0-46F6-9F91-B412109E63F2}"/>
    <cellStyle name="差_B4 Utility summary code name 091104 구동호" xfId="1819" xr:uid="{A2546BC2-ACF4-4708-B634-5997DBBDCA7D}"/>
    <cellStyle name="差_B4 Utility summary DNP reply 091030 구동호" xfId="1820" xr:uid="{83876247-94FE-4AF8-9B5F-4AE5FFC23AAF}"/>
    <cellStyle name="差_B4 Utility summary DNP reply091016 jp confirmed구동호" xfId="1821" xr:uid="{F664D1A4-D063-4CCE-A945-13766ABE955E}"/>
    <cellStyle name="差_B4 Utility summary DNP reply091016구동효" xfId="1822" xr:uid="{0AFBEDCD-E3EB-4A71-9AF9-1947BFE60EAC}"/>
    <cellStyle name="差_B4 Utility summary unit usage(20091130 DNP-3)BOE구동호" xfId="1823" xr:uid="{6F099F64-F4A7-461A-88CD-CB4AB9BE98C9}"/>
    <cellStyle name="差_B4 Utility summary unit usage(20091130 DNP-4)BOE" xfId="1824" xr:uid="{F92E2E28-C374-4B1A-88F1-712242723C6C}"/>
    <cellStyle name="差_B4 Utility summary unit usage(20091130 DNP-4)BOE구동호" xfId="1825" xr:uid="{87F2747E-131B-4046-94CA-8CA7D30E8794}"/>
    <cellStyle name="差_B4 Utility summary unit usage(20091216)_윤인수" xfId="1826" xr:uid="{DDA2D664-FC80-43FE-9B68-456C3A2B24F9}"/>
    <cellStyle name="差_B4 Utility summary unit usage(20091217)_구동호" xfId="1827" xr:uid="{FDF971C4-8DC4-47C5-AADB-0A3D3D20542C}"/>
    <cellStyle name="差_B4 Utility Summary(120K)_Rev.2_(091104)_ks" xfId="1828" xr:uid="{88C9ACC5-5DFD-400C-BCBE-3658255EA41C}"/>
    <cellStyle name="差_B4 Utility Summary(120K)_Rev.2_(091104)_ks_05-3" xfId="1829" xr:uid="{24C23CAC-0681-4667-86BB-706382A0DA6B}"/>
    <cellStyle name="差_B4 Utility Summary(120K)_Rev.2_(091104)_ks_BOE-DT B4 ROBOT Requirement_ 20100607_testupdate" xfId="1830" xr:uid="{7A7BC52D-1CC4-400D-9BB5-09638B0214EA}"/>
    <cellStyle name="差_B4 Utility Summary(120K)_Rev.7_(100121)_Test Update" xfId="1831" xr:uid="{9A0829EF-EBEB-4B0C-8DF5-02FAE6A630D4}"/>
    <cellStyle name="差_B4 Utility Summary(120K)_Rev.7_(100121)_Test Update_05-3" xfId="1832" xr:uid="{612F7997-2839-4DA3-B1CA-B3F1AF75EBD6}"/>
    <cellStyle name="差_B4 Utility Summary(120K)_Rev.7_(100121)_Test Update_BOE-DT B4 ROBOT Requirement_ 20100607_testupdate" xfId="1833" xr:uid="{0E575E0B-42AA-417C-B6DC-272A9FA0C1D9}"/>
    <cellStyle name="差_B4 Utility Summary(90K) - Rev.9 (091013)" xfId="1834" xr:uid="{A8E8E9C0-1303-4B0B-A3F1-C6ECE8332466}"/>
    <cellStyle name="差_B4 Utility Summary_Module(90K) - Rev.8 (091012)" xfId="1835" xr:uid="{43E21C37-FFBC-412D-B8BB-3EDCD70C7778}"/>
    <cellStyle name="差_B4 Utility Summary_Module(90K) - Rev.9 (091013)" xfId="1836" xr:uid="{DFC614B7-73CA-4EE2-AE0A-362B219C2774}"/>
    <cellStyle name="千分位_5.0G大陸月損益預估050524" xfId="1837" xr:uid="{99689CD3-B4AE-4332-84FF-8A2DE9CFAFAA}"/>
    <cellStyle name="첫제목" xfId="1838" xr:uid="{17B805B7-1273-4D73-84DE-D2E4E3DA7FEE}"/>
    <cellStyle name="出力" xfId="1839" xr:uid="{D13A4B90-D36F-40F9-8C6F-64743BEC595F}"/>
    <cellStyle name="出力 2" xfId="1840" xr:uid="{105210DD-9BE1-4AB6-9C80-2BE12E86BC2E}"/>
    <cellStyle name="콤" xfId="1841" xr:uid="{37279419-5EC9-4D4F-B1A5-7507E07A9CA7}"/>
    <cellStyle name="콤_Daeshin Price List (122309)" xfId="1842" xr:uid="{84F032F6-67DF-400F-B667-BDEA1AE5658F}"/>
    <cellStyle name="콤_Daeshin Price List (122309)_Daeshin Pricing and Calculations 7Jun12" xfId="1843" xr:uid="{8483E949-D933-41A2-9233-DD1460F32B5B}"/>
    <cellStyle name="콤마 " xfId="1844" xr:uid="{C429585F-F465-4F55-A477-7F94BF8ED7FB}"/>
    <cellStyle name="콤마 [" xfId="1845" xr:uid="{6E694826-7102-4618-A6F0-9C451C64C7FE}"/>
    <cellStyle name="콤마 [0]_   " xfId="1846" xr:uid="{9B8CB318-537F-487A-8914-6A65ECECE3D2}"/>
    <cellStyle name="콤마,_x0005__x0014_" xfId="1847" xr:uid="{C5321313-4684-458A-8E11-FFE2D7F6DFBF}"/>
    <cellStyle name="콤마_   " xfId="1848" xr:uid="{3E4BB12E-391E-4B67-B0E0-0502A69DDD7B}"/>
    <cellStyle name="통" xfId="1849" xr:uid="{5F1F8C2F-1026-496A-8A02-5147DF42572F}"/>
    <cellStyle name="통 2" xfId="1850" xr:uid="{CDE6744D-6211-4583-9D58-956AFB71694B}"/>
    <cellStyle name="통 3" xfId="2175" xr:uid="{0F98D1CE-D017-4AD3-B489-2BEF1D80B428}"/>
    <cellStyle name="통 3 2" xfId="2512" xr:uid="{66E514E6-D148-4292-8C80-D69447BB98E8}"/>
    <cellStyle name="통 3 2 2" xfId="3169" xr:uid="{34447B1F-E411-4B64-8480-531E6B011300}"/>
    <cellStyle name="통 3 3" xfId="2842" xr:uid="{FC365C73-FECB-48FC-8069-F4916A8FE3C5}"/>
    <cellStyle name="통 4" xfId="2318" xr:uid="{9DE8B1B1-5544-411D-B22F-FF0341D3B24B}"/>
    <cellStyle name="통 4 2" xfId="2975" xr:uid="{30E06F8C-E02B-45CF-822B-4F835A32B089}"/>
    <cellStyle name="통 5" xfId="2648" xr:uid="{3BC10D16-DD50-42C1-9C9C-F8F7A39C0B2E}"/>
    <cellStyle name="통_Daeshin Price List (122309)" xfId="1851" xr:uid="{AB34F3F3-3AFD-4549-9AD3-241B3A7A303A}"/>
    <cellStyle name="통_Daeshin Price List (122309)_Daeshin Pricing and Calculations 7Jun12" xfId="1852" xr:uid="{BFE0496A-518C-4E38-B580-B256331C85B5}"/>
    <cellStyle name="통Þ [0]_시스템본부 주간영업현황" xfId="1853" xr:uid="{13F2894A-8E91-466F-BCC4-A8FCB20D8070}"/>
    <cellStyle name="통Þ_표지 (2)" xfId="1854" xr:uid="{30AB328B-D1F9-4C8C-9A81-3CA591E91C04}"/>
    <cellStyle name="통_전략과제별비용추가내역" xfId="1855" xr:uid="{2D0381A4-52EF-41E9-B427-9CDB8487D303}"/>
    <cellStyle name="통階 [0]_매출" xfId="1856" xr:uid="{B23B646C-F745-4DD3-8250-C2520BC9B2E6}"/>
    <cellStyle name="통階_4월2주" xfId="1857" xr:uid="{CA186213-C9E0-40F9-BA85-0C7D93CFF293}"/>
    <cellStyle name="통뙪 [0]_영업외비용_1" xfId="1858" xr:uid="{95F0A670-CD74-4570-937D-1CFAE3C66442}"/>
    <cellStyle name="통뜭 [0]_주간주요업무_주간주요업무 (2)" xfId="1859" xr:uid="{F161ECF4-5D83-453D-8F43-81A5FE3E45B2}"/>
    <cellStyle name="통鈺 [0]_정보시스템_TABLE" xfId="1860" xr:uid="{C5B5064C-64D1-4B1C-9489-62EE868FDA42}"/>
    <cellStyle name="통蘈Ǿ⑰ǈ_x000c__x000a_ဠ" xfId="1861" xr:uid="{267C8255-45BD-4EC9-BBAD-C445A651988F}"/>
    <cellStyle name="통화 [" xfId="1862" xr:uid="{561F71C8-A898-49ED-9B61-3FDF13C9DFB4}"/>
    <cellStyle name="通貨 [0.00]_LC-1100G配管接続表" xfId="1863" xr:uid="{5EFA04AB-7DC9-4FFE-B855-08477C788403}"/>
    <cellStyle name="통화 [0] 2" xfId="3" xr:uid="{F48EE2B0-2650-41C7-BF2F-D3B5258188CC}"/>
    <cellStyle name="통화 [0] 2 10" xfId="2061" xr:uid="{B523AA5F-6184-4D24-81FB-C272E8E000CC}"/>
    <cellStyle name="통화 [0] 2 10 2" xfId="2404" xr:uid="{62B1809B-C7CD-4251-A257-5C5F3D36ECA9}"/>
    <cellStyle name="통화 [0] 2 10 2 2" xfId="3061" xr:uid="{028297AE-0C6A-4C35-BBBA-B40A03EEE21C}"/>
    <cellStyle name="통화 [0] 2 10 3" xfId="2734" xr:uid="{063AF5C0-35D1-4438-AEBB-C47FA8A15C3D}"/>
    <cellStyle name="통화 [0] 2 11" xfId="2082" xr:uid="{097446BA-1209-4FD2-B5F7-9D4303093C51}"/>
    <cellStyle name="통화 [0] 2 11 2" xfId="2419" xr:uid="{4C008C7D-0F6F-4EF2-9FB1-B55004398A7E}"/>
    <cellStyle name="통화 [0] 2 11 2 2" xfId="3076" xr:uid="{8FE2FDD6-7D83-466C-AFF9-7B10F0F5CCF8}"/>
    <cellStyle name="통화 [0] 2 11 3" xfId="2749" xr:uid="{2153FEB4-E9B8-4844-AA8C-A75A0B0C3CAD}"/>
    <cellStyle name="통화 [0] 2 12" xfId="2093" xr:uid="{E5068419-9C4D-4E9B-923B-84B0FBC41AA1}"/>
    <cellStyle name="통화 [0] 2 12 2" xfId="2430" xr:uid="{B79A08DF-7DC6-4DDE-A3CB-3D7A8775A6F3}"/>
    <cellStyle name="통화 [0] 2 12 2 2" xfId="3087" xr:uid="{1614EBF9-CED2-48F2-8CC0-C8A189612B38}"/>
    <cellStyle name="통화 [0] 2 12 3" xfId="2760" xr:uid="{9088078E-D38A-4BFC-898F-F623C8793C8D}"/>
    <cellStyle name="통화 [0] 2 13" xfId="2108" xr:uid="{4A196A0A-1786-4973-8E26-7879964AC596}"/>
    <cellStyle name="통화 [0] 2 13 2" xfId="2445" xr:uid="{AE1AB884-B81B-4F24-9A51-16F64AAD3B97}"/>
    <cellStyle name="통화 [0] 2 13 2 2" xfId="3102" xr:uid="{4DB1728A-1D0C-42FA-B50C-FEB5A25E9AA3}"/>
    <cellStyle name="통화 [0] 2 13 3" xfId="2775" xr:uid="{922FA12B-7ADE-4C4D-9579-22F9B17EF9FC}"/>
    <cellStyle name="통화 [0] 2 14" xfId="2126" xr:uid="{EF325A32-27B6-4E04-BB06-CEA9843FCCCA}"/>
    <cellStyle name="통화 [0] 2 14 2" xfId="2463" xr:uid="{530C5639-D6AD-4B91-9915-58F3B9136628}"/>
    <cellStyle name="통화 [0] 2 14 2 2" xfId="3120" xr:uid="{83FE03DE-265E-4E2D-BE6A-4DF8DF650CD7}"/>
    <cellStyle name="통화 [0] 2 14 3" xfId="2793" xr:uid="{694750E6-4BB9-41F1-993D-909F1B1ABE37}"/>
    <cellStyle name="통화 [0] 2 15" xfId="56" xr:uid="{9661C4F6-A51F-4AC4-87ED-F5907BE45EFD}"/>
    <cellStyle name="통화 [0] 2 15 2" xfId="70" xr:uid="{C1EB9F46-277C-4989-AF34-636FB724ABD4}"/>
    <cellStyle name="통화 [0] 2 15 2 2" xfId="2269" xr:uid="{0B488F68-4A4D-4983-8510-953AB4072221}"/>
    <cellStyle name="통화 [0] 2 15 2 2 2" xfId="2926" xr:uid="{C06D9E35-5571-426A-9D45-CC4F27CF1C83}"/>
    <cellStyle name="통화 [0] 2 15 2 3" xfId="2596" xr:uid="{3B0F89D0-FCC5-4DC6-8719-BF9DEA0B224B}"/>
    <cellStyle name="통화 [0] 2 15 3" xfId="2133" xr:uid="{8BA4D441-B459-48C4-BA1E-FEF5594C6E4F}"/>
    <cellStyle name="통화 [0] 2 15 3 2" xfId="2470" xr:uid="{95157322-93F3-4473-8F24-D6CA377F2758}"/>
    <cellStyle name="통화 [0] 2 15 3 2 2" xfId="3127" xr:uid="{C13FBD5B-510D-4084-97CA-27F4CEF87E9B}"/>
    <cellStyle name="통화 [0] 2 15 3 3" xfId="2800" xr:uid="{54BBF0A2-B309-45C6-8E4F-886CDD8261C0}"/>
    <cellStyle name="통화 [0] 2 15 4" xfId="2255" xr:uid="{03D4D613-3012-41E6-949B-2D3434285AB3}"/>
    <cellStyle name="통화 [0] 2 15 4 2" xfId="2912" xr:uid="{AF115912-8305-47C0-A57B-8FE04EA5EFBD}"/>
    <cellStyle name="통화 [0] 2 15 5" xfId="2582" xr:uid="{C2D5CA2D-9AE6-4B1F-894F-AF5144F75DE8}"/>
    <cellStyle name="통화 [0] 2 16" xfId="2176" xr:uid="{A47BFF34-8D89-49BD-8116-537612110653}"/>
    <cellStyle name="통화 [0] 2 16 2" xfId="2513" xr:uid="{940F57BD-75B6-4E22-AFE0-28F217190DB9}"/>
    <cellStyle name="통화 [0] 2 16 2 2" xfId="3170" xr:uid="{B6C3C81B-5716-4579-BB32-F6AFB2A97028}"/>
    <cellStyle name="통화 [0] 2 16 3" xfId="2843" xr:uid="{D5371ABD-C3B0-4F35-8B9A-E012705E9A48}"/>
    <cellStyle name="통화 [0] 2 17" xfId="72" xr:uid="{DCC64095-277E-45E5-BDC4-B4D7905DC09C}"/>
    <cellStyle name="통화 [0] 2 17 2" xfId="2271" xr:uid="{F3DA1406-C0FF-4C87-9237-7F2F6A373046}"/>
    <cellStyle name="통화 [0] 2 17 2 2" xfId="2928" xr:uid="{BEACE104-341B-4912-A82F-7704DE056A39}"/>
    <cellStyle name="통화 [0] 2 17 3" xfId="2598" xr:uid="{5014F696-E240-4B6B-A3D6-849AD367E325}"/>
    <cellStyle name="통화 [0] 2 18" xfId="2244" xr:uid="{50D73191-C561-413B-8FAA-1FCC2EFB001A}"/>
    <cellStyle name="통화 [0] 2 18 2" xfId="2901" xr:uid="{58E0FA0A-6AC9-48BA-87F1-FA623F1A4274}"/>
    <cellStyle name="통화 [0] 2 19" xfId="2571" xr:uid="{3B6D2B6D-DDD0-43F5-AAC9-71635682A4B5}"/>
    <cellStyle name="통화 [0] 2 2" xfId="23" xr:uid="{C71C16D0-19FE-48E8-B60B-B0854129A98A}"/>
    <cellStyle name="통화 [0] 2 2 10" xfId="2104" xr:uid="{5BF4A67F-923C-42DD-A760-A486B9019CCD}"/>
    <cellStyle name="통화 [0] 2 2 10 2" xfId="2441" xr:uid="{41A2B843-2AAC-4E9F-A929-00B818872605}"/>
    <cellStyle name="통화 [0] 2 2 10 2 2" xfId="3098" xr:uid="{13AC2837-14D4-4283-A284-671CAD4CB003}"/>
    <cellStyle name="통화 [0] 2 2 10 3" xfId="2771" xr:uid="{062BB189-ACD3-4AA6-9B9C-B689B984A7DC}"/>
    <cellStyle name="통화 [0] 2 2 11" xfId="2119" xr:uid="{1421DF08-6141-41F0-AD47-1A9DC182D449}"/>
    <cellStyle name="통화 [0] 2 2 11 2" xfId="2456" xr:uid="{75CCBD35-28C4-4807-8358-B0E0E78EDABA}"/>
    <cellStyle name="통화 [0] 2 2 11 2 2" xfId="3113" xr:uid="{A9A1EBAC-AB5E-4067-BCB1-2D7CCEDF9986}"/>
    <cellStyle name="통화 [0] 2 2 11 3" xfId="2786" xr:uid="{CE65D37B-2C6B-4354-8985-ABC1A1AB50A0}"/>
    <cellStyle name="통화 [0] 2 2 12" xfId="2129" xr:uid="{D8FD2B93-1E1B-420D-B16F-2F1B6D7BE8BF}"/>
    <cellStyle name="통화 [0] 2 2 12 2" xfId="2466" xr:uid="{44E4FDB5-F6B1-4988-B018-C153C5F75226}"/>
    <cellStyle name="통화 [0] 2 2 12 2 2" xfId="3123" xr:uid="{0209F3D7-E1E5-485C-894D-47F886CAF0EA}"/>
    <cellStyle name="통화 [0] 2 2 12 3" xfId="2796" xr:uid="{1AF0352A-13EE-45B7-BF23-32667F76F4CB}"/>
    <cellStyle name="통화 [0] 2 2 13" xfId="2136" xr:uid="{8F2333EF-F734-4885-8345-5E85DC4CB9CB}"/>
    <cellStyle name="통화 [0] 2 2 13 2" xfId="2473" xr:uid="{86818E16-BD93-408B-95E2-986A131EED2D}"/>
    <cellStyle name="통화 [0] 2 2 13 2 2" xfId="3130" xr:uid="{956A7126-926F-4B8D-BBCF-9DD7E8E1654E}"/>
    <cellStyle name="통화 [0] 2 2 13 3" xfId="2803" xr:uid="{913295CF-D108-4EE5-B31C-5E3E2C478848}"/>
    <cellStyle name="통화 [0] 2 2 14" xfId="2177" xr:uid="{3D5445B8-8156-460C-AB1B-3E2727277293}"/>
    <cellStyle name="통화 [0] 2 2 14 2" xfId="2514" xr:uid="{A4355780-15C3-4562-A1ED-28A742BA544D}"/>
    <cellStyle name="통화 [0] 2 2 14 2 2" xfId="3171" xr:uid="{1C327B69-55AC-4670-9C9A-F9A9F9B70136}"/>
    <cellStyle name="통화 [0] 2 2 14 3" xfId="2844" xr:uid="{01E13A5B-F596-4BFF-A917-ED92AD7888FB}"/>
    <cellStyle name="통화 [0] 2 2 15" xfId="83" xr:uid="{AB98B01B-1193-4765-9F74-880E508EA55E}"/>
    <cellStyle name="통화 [0] 2 2 15 2" xfId="2280" xr:uid="{1C3B7841-FD32-4613-9CEA-B3D1D4F8FB9C}"/>
    <cellStyle name="통화 [0] 2 2 15 2 2" xfId="2937" xr:uid="{4712A641-9161-4E5F-B34C-31B12718EC36}"/>
    <cellStyle name="통화 [0] 2 2 15 3" xfId="2607" xr:uid="{4EE882EC-3592-4D55-BEAA-F59E47866D06}"/>
    <cellStyle name="통화 [0] 2 2 16" xfId="2257" xr:uid="{ADC8D566-5743-4B4C-A2D1-0BF9D904BA34}"/>
    <cellStyle name="통화 [0] 2 2 16 2" xfId="2914" xr:uid="{3B8C3916-3448-4462-9BB0-384076737350}"/>
    <cellStyle name="통화 [0] 2 2 17" xfId="2584" xr:uid="{30DD7268-F53A-48E9-A50F-D329F3E3CDEA}"/>
    <cellStyle name="통화 [0] 2 2 18" xfId="58" xr:uid="{FCFE1EB1-3DE2-4DF0-9A35-C36575629F5E}"/>
    <cellStyle name="통화 [0] 2 2 2" xfId="38" xr:uid="{DB1AD446-19DD-47AC-8221-75F137D5B6CD}"/>
    <cellStyle name="통화 [0] 2 2 2 2" xfId="2178" xr:uid="{3DAA50CA-73E1-47FC-9333-B2C7ADB15A8E}"/>
    <cellStyle name="통화 [0] 2 2 2 2 2" xfId="2515" xr:uid="{E6434206-6A16-4B11-BAFA-BF0AC8288363}"/>
    <cellStyle name="통화 [0] 2 2 2 2 2 2" xfId="3172" xr:uid="{61EBF7D8-73E1-4254-A980-7BEE28A59342}"/>
    <cellStyle name="통화 [0] 2 2 2 2 3" xfId="2845" xr:uid="{C10C2E44-5D15-4203-9BE1-B032E645DF14}"/>
    <cellStyle name="통화 [0] 2 2 2 3" xfId="2321" xr:uid="{96F1D0E4-A348-41C0-AB01-F247B3BB73C1}"/>
    <cellStyle name="통화 [0] 2 2 2 3 2" xfId="2978" xr:uid="{8D9C66E3-CD80-4412-A1ED-8CD93068B97F}"/>
    <cellStyle name="통화 [0] 2 2 2 4" xfId="2651" xr:uid="{FCBB5D27-5466-4AEF-A59D-71776DDCA137}"/>
    <cellStyle name="통화 [0] 2 2 2 5" xfId="1866" xr:uid="{F459D0C3-C02A-45D3-AA90-156B983086E6}"/>
    <cellStyle name="통화 [0] 2 2 3" xfId="1867" xr:uid="{FFE1BBB0-4EFC-43E1-9325-711CD15DD073}"/>
    <cellStyle name="통화 [0] 2 2 3 2" xfId="2179" xr:uid="{19A566DF-6DD9-47D8-8F17-E4BF1EF1DBAA}"/>
    <cellStyle name="통화 [0] 2 2 3 2 2" xfId="2516" xr:uid="{D891CC94-3F8E-481B-87C5-0004B9FC2BB7}"/>
    <cellStyle name="통화 [0] 2 2 3 2 2 2" xfId="3173" xr:uid="{4EAE41A2-BFF5-4F22-AD9B-4EB8067BEA51}"/>
    <cellStyle name="통화 [0] 2 2 3 2 3" xfId="2846" xr:uid="{B578D555-5706-4CCD-BC8F-A6B85CE463DB}"/>
    <cellStyle name="통화 [0] 2 2 3 3" xfId="2322" xr:uid="{30424D7E-E876-4A9A-ADE1-4A5E8C0744C9}"/>
    <cellStyle name="통화 [0] 2 2 3 3 2" xfId="2979" xr:uid="{7B47C835-3F07-4FCB-AEE2-F38E4CF1A8F5}"/>
    <cellStyle name="통화 [0] 2 2 3 4" xfId="2652" xr:uid="{00DA5FBE-5B0E-457F-A05A-6BAD03F8943F}"/>
    <cellStyle name="통화 [0] 2 2 4" xfId="1865" xr:uid="{CFAE8A5A-3D68-46CE-B979-3ACC4F935417}"/>
    <cellStyle name="통화 [0] 2 2 4 2" xfId="2180" xr:uid="{49A19BCA-5B05-4DED-B942-3DF881D4D451}"/>
    <cellStyle name="통화 [0] 2 2 4 2 2" xfId="2517" xr:uid="{0C625688-5EC6-4049-A673-E5D3F594BC64}"/>
    <cellStyle name="통화 [0] 2 2 4 2 2 2" xfId="3174" xr:uid="{7BA5715C-6241-42D0-AD03-1066271CEAB2}"/>
    <cellStyle name="통화 [0] 2 2 4 2 3" xfId="2847" xr:uid="{A13D1E52-E49E-4923-8C8E-75BB74BCFD5C}"/>
    <cellStyle name="통화 [0] 2 2 4 3" xfId="2320" xr:uid="{81B8C24C-5152-450C-8AD0-196C810B32A4}"/>
    <cellStyle name="통화 [0] 2 2 4 3 2" xfId="2977" xr:uid="{7821229F-390D-4699-85DD-4A8E1485A3FB}"/>
    <cellStyle name="통화 [0] 2 2 4 4" xfId="2650" xr:uid="{548C210B-07C6-424A-9C52-7626C6D507FB}"/>
    <cellStyle name="통화 [0] 2 2 5" xfId="2038" xr:uid="{6B30705C-20B6-486B-92E9-BD6574E4563A}"/>
    <cellStyle name="통화 [0] 2 2 5 2" xfId="2381" xr:uid="{997B0452-1DEB-4D43-B184-19078FCE1041}"/>
    <cellStyle name="통화 [0] 2 2 5 2 2" xfId="3038" xr:uid="{BF5BB0F6-7737-4739-9309-EE94CBF8D13F}"/>
    <cellStyle name="통화 [0] 2 2 5 3" xfId="2711" xr:uid="{4FD4CC8C-22AE-4D6E-9EC4-D345EBD0E3C0}"/>
    <cellStyle name="통화 [0] 2 2 6" xfId="2045" xr:uid="{31F94B8D-366E-4731-ADB8-552E5EDADB3E}"/>
    <cellStyle name="통화 [0] 2 2 6 2" xfId="2388" xr:uid="{76DA922C-BCCC-442B-AF64-8BCBD2A5CC27}"/>
    <cellStyle name="통화 [0] 2 2 6 2 2" xfId="3045" xr:uid="{44C85F5E-C16F-4217-87BC-880373E7AB6C}"/>
    <cellStyle name="통화 [0] 2 2 6 3" xfId="2718" xr:uid="{112210BB-6DD0-4F5C-91E5-8846F2DD8091}"/>
    <cellStyle name="통화 [0] 2 2 7" xfId="2052" xr:uid="{EC3B9E8E-81BD-4167-A932-6D617710653D}"/>
    <cellStyle name="통화 [0] 2 2 7 2" xfId="2395" xr:uid="{830D257D-2B05-4139-9480-B01E6C46DBCB}"/>
    <cellStyle name="통화 [0] 2 2 7 2 2" xfId="3052" xr:uid="{D943E811-ABDD-4A1D-A23D-4B45C6C6C96E}"/>
    <cellStyle name="통화 [0] 2 2 7 3" xfId="2725" xr:uid="{683617B1-BD58-444F-947B-CC531C8A7EED}"/>
    <cellStyle name="통화 [0] 2 2 8" xfId="57" xr:uid="{60E04C58-486C-44FF-A07C-5B06CE4F3E6B}"/>
    <cellStyle name="통화 [0] 2 2 8 2" xfId="71" xr:uid="{94C9E282-D4BC-465C-977F-D0345DA3F57F}"/>
    <cellStyle name="통화 [0] 2 2 8 2 2" xfId="2270" xr:uid="{9CE40B23-47BE-4B87-BB3E-C8182950989F}"/>
    <cellStyle name="통화 [0] 2 2 8 2 2 2" xfId="2927" xr:uid="{EA922F38-9BB5-46A1-96BE-393EEA2AB156}"/>
    <cellStyle name="통화 [0] 2 2 8 2 3" xfId="2597" xr:uid="{9BED9D00-0CEE-4093-BFC5-F19336EB81B8}"/>
    <cellStyle name="통화 [0] 2 2 8 3" xfId="2059" xr:uid="{F788CD6C-D273-45D7-95DC-AC3AC6AAADD5}"/>
    <cellStyle name="통화 [0] 2 2 8 3 2" xfId="2402" xr:uid="{156D3461-865F-4445-B4D7-26BDC14C775A}"/>
    <cellStyle name="통화 [0] 2 2 8 3 2 2" xfId="3059" xr:uid="{41FB103C-BEA9-45CB-9F69-0F5EA0CAF0D5}"/>
    <cellStyle name="통화 [0] 2 2 8 3 3" xfId="2732" xr:uid="{23A01B8F-5CBD-4AD0-91C0-FC1BA5288BC0}"/>
    <cellStyle name="통화 [0] 2 2 8 4" xfId="2256" xr:uid="{0B45F938-E22B-4506-B837-39A76D55BD73}"/>
    <cellStyle name="통화 [0] 2 2 8 4 2" xfId="2913" xr:uid="{36212A78-16EE-47C1-885F-89CAADCD0C10}"/>
    <cellStyle name="통화 [0] 2 2 8 5" xfId="2583" xr:uid="{FDC69F25-E913-4D27-A4F4-3F01D6D9B63D}"/>
    <cellStyle name="통화 [0] 2 2 9" xfId="2074" xr:uid="{15FB0B84-968C-4FD6-8AF3-ED6F4E601DC9}"/>
    <cellStyle name="통화 [0] 2 2 9 2" xfId="2415" xr:uid="{7FE6B23C-BBBB-4ABA-B8C8-9C2821744E11}"/>
    <cellStyle name="통화 [0] 2 2 9 2 2" xfId="3072" xr:uid="{23C5103D-E0E3-4EB5-96BF-543D39700408}"/>
    <cellStyle name="통화 [0] 2 2 9 3" xfId="2745" xr:uid="{657C94A7-FFBD-430D-9184-CEF8C33A90D5}"/>
    <cellStyle name="통화 [0] 2 20" xfId="43" xr:uid="{9592259C-467C-4A73-ABD4-AB1EAA3A3DCE}"/>
    <cellStyle name="통화 [0] 2 21" xfId="7" xr:uid="{5171BEE4-AFE7-46E1-B1F6-8831CB7AD67E}"/>
    <cellStyle name="통화 [0] 2 3" xfId="37" xr:uid="{834B5259-0807-494E-85A0-B4F5C068B423}"/>
    <cellStyle name="통화 [0] 2 3 2" xfId="1869" xr:uid="{CE211570-C0A4-44A4-81DA-8FDCB712ACD9}"/>
    <cellStyle name="통화 [0] 2 3 2 2" xfId="2182" xr:uid="{C3718E44-3F78-472A-9F1D-06E50FC7513F}"/>
    <cellStyle name="통화 [0] 2 3 2 2 2" xfId="2519" xr:uid="{6AABD889-1C05-4481-8CF3-BDC1E2E96665}"/>
    <cellStyle name="통화 [0] 2 3 2 2 2 2" xfId="3176" xr:uid="{E61917E3-BD30-4CC8-B588-4BBA07969D47}"/>
    <cellStyle name="통화 [0] 2 3 2 2 3" xfId="2849" xr:uid="{EB456504-22AC-4E9C-BF9F-D14FE48C713A}"/>
    <cellStyle name="통화 [0] 2 3 2 3" xfId="2324" xr:uid="{2FD3CEFE-A337-422A-8497-59BB02E33878}"/>
    <cellStyle name="통화 [0] 2 3 2 3 2" xfId="2981" xr:uid="{D8A68474-B486-4EB5-8A6A-143024F309B3}"/>
    <cellStyle name="통화 [0] 2 3 2 4" xfId="2654" xr:uid="{C65B42C0-E2AF-4B53-8952-AEF575BB4BD3}"/>
    <cellStyle name="통화 [0] 2 3 3" xfId="1870" xr:uid="{471155D9-6685-4BC3-ADA6-3F331697A476}"/>
    <cellStyle name="통화 [0] 2 3 3 2" xfId="2183" xr:uid="{6620F110-624E-440F-9C3D-2010D54AB57E}"/>
    <cellStyle name="통화 [0] 2 3 3 2 2" xfId="2520" xr:uid="{E1740002-079D-4662-BB86-485A621672E7}"/>
    <cellStyle name="통화 [0] 2 3 3 2 2 2" xfId="3177" xr:uid="{3C65192A-AA07-4A58-8E36-E6737F5FDC32}"/>
    <cellStyle name="통화 [0] 2 3 3 2 3" xfId="2850" xr:uid="{23F9323A-02FA-49F4-9A30-E79506BC0205}"/>
    <cellStyle name="통화 [0] 2 3 3 3" xfId="2325" xr:uid="{776E0C0A-6CFB-421A-B75B-8272D70B897E}"/>
    <cellStyle name="통화 [0] 2 3 3 3 2" xfId="2982" xr:uid="{D44816C1-D30E-4BBB-BC95-3B3AF5EE6CEE}"/>
    <cellStyle name="통화 [0] 2 3 3 4" xfId="2655" xr:uid="{E8DFBF04-8563-4F20-BB36-179275CF32A9}"/>
    <cellStyle name="통화 [0] 2 3 4" xfId="1868" xr:uid="{190FF2D3-10D9-4DA0-AD23-518F5B193998}"/>
    <cellStyle name="통화 [0] 2 3 4 2" xfId="2323" xr:uid="{BAD53193-5A08-4917-96DC-1FD8FBF30B68}"/>
    <cellStyle name="통화 [0] 2 3 4 2 2" xfId="2980" xr:uid="{3CC285D5-5695-4BC4-B83F-A1F8D0218A40}"/>
    <cellStyle name="통화 [0] 2 3 4 3" xfId="2653" xr:uid="{021DB86A-A084-409F-8E5D-594FE19A942E}"/>
    <cellStyle name="통화 [0] 2 3 5" xfId="2181" xr:uid="{AC7E1DA9-315E-46B6-A143-300E971A81E4}"/>
    <cellStyle name="통화 [0] 2 3 5 2" xfId="2518" xr:uid="{F3D16610-B13B-4C90-A90E-45E360DB40D6}"/>
    <cellStyle name="통화 [0] 2 3 5 2 2" xfId="3175" xr:uid="{7F52781D-38B4-40A7-AC70-F9B88BC53FE5}"/>
    <cellStyle name="통화 [0] 2 3 5 3" xfId="2848" xr:uid="{8348BA9B-72FF-4841-99F2-CB4071A09480}"/>
    <cellStyle name="통화 [0] 2 3 6" xfId="2276" xr:uid="{3DE00B4D-F6AF-4169-8799-794817031133}"/>
    <cellStyle name="통화 [0] 2 3 6 2" xfId="2933" xr:uid="{D1271AC2-E7FB-4653-AE4E-88A3EFFD7176}"/>
    <cellStyle name="통화 [0] 2 3 7" xfId="2603" xr:uid="{D350E359-8294-43FB-9CA8-4D610B26D64F}"/>
    <cellStyle name="통화 [0] 2 3 8" xfId="79" xr:uid="{78F97EC5-E8D0-44FB-9697-9825C48EFBE9}"/>
    <cellStyle name="통화 [0] 2 4" xfId="1871" xr:uid="{C1D0F7AC-D1D5-4608-89DA-F3264D00DB34}"/>
    <cellStyle name="통화 [0] 2 4 2" xfId="2184" xr:uid="{C4A42A52-9E48-494C-8BAA-3D3197DE6C30}"/>
    <cellStyle name="통화 [0] 2 4 2 2" xfId="2521" xr:uid="{7AF0C9EB-5CBA-419F-9CAD-57C62E3EFBB6}"/>
    <cellStyle name="통화 [0] 2 4 2 2 2" xfId="3178" xr:uid="{6524C756-562D-4DAC-BC82-5C081AECF8B9}"/>
    <cellStyle name="통화 [0] 2 4 2 3" xfId="2851" xr:uid="{20B3B4AE-38CF-40BE-887F-4315F5A72192}"/>
    <cellStyle name="통화 [0] 2 4 3" xfId="2326" xr:uid="{B9082D26-068A-4352-86F3-93926318F34F}"/>
    <cellStyle name="통화 [0] 2 4 3 2" xfId="2983" xr:uid="{3DBF2DC8-B6C5-4054-B05E-F102EC6893A5}"/>
    <cellStyle name="통화 [0] 2 4 4" xfId="2656" xr:uid="{38360BE3-A205-464B-8649-C11C8F008CFF}"/>
    <cellStyle name="통화 [0] 2 5" xfId="1864" xr:uid="{3C706AB8-A108-47C2-88DD-2066CF9C996C}"/>
    <cellStyle name="통화 [0] 2 5 2" xfId="2185" xr:uid="{E1A6DE66-9739-4722-B904-E4A627147810}"/>
    <cellStyle name="통화 [0] 2 5 2 2" xfId="2522" xr:uid="{C7EEBAED-E8DE-4E11-8AC0-6CCECAE4F414}"/>
    <cellStyle name="통화 [0] 2 5 2 2 2" xfId="3179" xr:uid="{E0589B29-AC11-4ED1-9036-BDB6C23AE6EB}"/>
    <cellStyle name="통화 [0] 2 5 2 3" xfId="2852" xr:uid="{4B0068D7-EE43-4154-ADD1-4616BB4CB92A}"/>
    <cellStyle name="통화 [0] 2 5 3" xfId="2319" xr:uid="{4B570B91-B844-478D-8630-1314A3ECF7AB}"/>
    <cellStyle name="통화 [0] 2 5 3 2" xfId="2976" xr:uid="{1CDEFDE1-E472-4DB8-95F5-13B70161C2F0}"/>
    <cellStyle name="통화 [0] 2 5 4" xfId="2649" xr:uid="{641CD714-DA93-4097-AB4B-9BBF1A216719}"/>
    <cellStyle name="통화 [0] 2 6" xfId="2035" xr:uid="{09C18B00-0CC7-4F7F-8CA7-EF3350CC262F}"/>
    <cellStyle name="통화 [0] 2 6 2" xfId="2378" xr:uid="{3E13C7CB-1A0A-4730-94DE-88603A8B152B}"/>
    <cellStyle name="통화 [0] 2 6 2 2" xfId="3035" xr:uid="{C2E3CC74-7334-428A-A110-01F8C8DB56F5}"/>
    <cellStyle name="통화 [0] 2 6 3" xfId="2708" xr:uid="{7285E544-1CB9-41D4-9FA4-00E7B7D6A26F}"/>
    <cellStyle name="통화 [0] 2 7" xfId="2042" xr:uid="{DB049714-6821-4448-BAD2-7F9D09E0EDD2}"/>
    <cellStyle name="통화 [0] 2 7 2" xfId="2385" xr:uid="{E4A9FE2B-F08C-4929-932A-43ED993CB5D7}"/>
    <cellStyle name="통화 [0] 2 7 2 2" xfId="3042" xr:uid="{CB27E003-D29C-4C6E-9311-0B0910DC38CE}"/>
    <cellStyle name="통화 [0] 2 7 3" xfId="2715" xr:uid="{5923FD4C-6A76-46A6-85CB-7AF90112F0BF}"/>
    <cellStyle name="통화 [0] 2 8" xfId="2049" xr:uid="{918A5C17-3764-4E71-B3FB-C483B65D9C18}"/>
    <cellStyle name="통화 [0] 2 8 2" xfId="2392" xr:uid="{C535A5B0-71A4-415A-A465-BBAC68B8A170}"/>
    <cellStyle name="통화 [0] 2 8 2 2" xfId="3049" xr:uid="{C8BF4992-23C9-4F02-A702-7E358B6B374E}"/>
    <cellStyle name="통화 [0] 2 8 3" xfId="2722" xr:uid="{A315603B-D70A-46C3-B898-51DCCF4176CC}"/>
    <cellStyle name="통화 [0] 2 9" xfId="2056" xr:uid="{165E8EB2-A6BD-4966-BA1D-6A8D2DFBAF00}"/>
    <cellStyle name="통화 [0] 2 9 2" xfId="2399" xr:uid="{904D1680-1117-4A85-ABAA-D4D5D0E25235}"/>
    <cellStyle name="통화 [0] 2 9 2 2" xfId="3056" xr:uid="{EAC8E155-CA22-40FD-A485-F7FE0C2A20E1}"/>
    <cellStyle name="통화 [0] 2 9 3" xfId="2729" xr:uid="{63C94327-14A2-45F4-889A-1D84574848AD}"/>
    <cellStyle name="통화 [0] 3" xfId="36" xr:uid="{4117E76E-3E4A-41ED-AEBE-2F2ED01D8084}"/>
    <cellStyle name="통화 [0] 3 2" xfId="2186" xr:uid="{05F53256-DBAA-4929-9335-B76C966A1683}"/>
    <cellStyle name="통화 [0] 3 2 2" xfId="2523" xr:uid="{2054337B-2FBD-41FE-B5EC-93D51A183D8D}"/>
    <cellStyle name="통화 [0] 3 2 2 2" xfId="3180" xr:uid="{0A3FF570-52C7-45DB-AC31-E40ACF9EC95A}"/>
    <cellStyle name="통화 [0] 3 2 3" xfId="2853" xr:uid="{51B616D2-836A-4ECE-9CD6-C84ECFB77A6D}"/>
    <cellStyle name="통화 [0] 3 3" xfId="2327" xr:uid="{58979E9C-40DB-4F26-8974-E5EE09075E0C}"/>
    <cellStyle name="통화 [0] 3 3 2" xfId="2984" xr:uid="{68158B56-8DDE-45E6-AA14-CFDAFB562431}"/>
    <cellStyle name="통화 [0] 3 4" xfId="2657" xr:uid="{C6390E12-C74E-490D-A684-A4888AFF91B6}"/>
    <cellStyle name="통화 [0] 3 5" xfId="1872" xr:uid="{C51D3A56-9C7C-4B41-9636-43823549DF8F}"/>
    <cellStyle name="통화 [0] 4" xfId="1873" xr:uid="{A41719C0-402D-44BC-B0A0-B5560CC3C79C}"/>
    <cellStyle name="통화 [0] 4 2" xfId="1874" xr:uid="{F95B8EFB-4580-4993-9435-3A14EDC3A125}"/>
    <cellStyle name="통화 [0] 4 2 2" xfId="2188" xr:uid="{CA01047F-6F93-4B80-958D-BAB47405FFC0}"/>
    <cellStyle name="통화 [0] 4 2 2 2" xfId="2525" xr:uid="{A73DA599-1F12-435F-A954-3B16B26F024B}"/>
    <cellStyle name="통화 [0] 4 2 2 2 2" xfId="3182" xr:uid="{A31EB8F7-3E12-4935-A0C2-B9D7ADE3668B}"/>
    <cellStyle name="통화 [0] 4 2 2 3" xfId="2855" xr:uid="{01E66895-3F7C-4C54-91C1-A1A8E0053993}"/>
    <cellStyle name="통화 [0] 4 2 3" xfId="2329" xr:uid="{AC87D0D7-2F0B-42A2-A539-9B7E52CDB484}"/>
    <cellStyle name="통화 [0] 4 2 3 2" xfId="2986" xr:uid="{8E2C42E6-04D5-4D41-94EB-DED868F874ED}"/>
    <cellStyle name="통화 [0] 4 2 4" xfId="2659" xr:uid="{C6FFAB6C-3D8C-4A89-AB3B-08D5D9B110D2}"/>
    <cellStyle name="통화 [0] 4 3" xfId="1875" xr:uid="{20E60001-1150-4FEC-8261-BDF6FEC17C9D}"/>
    <cellStyle name="통화 [0] 4 3 2" xfId="2189" xr:uid="{BB6B44F3-E34C-494D-B817-F35B0AD473DF}"/>
    <cellStyle name="통화 [0] 4 3 2 2" xfId="2526" xr:uid="{97D56963-C9F6-471F-A5F6-E08D134CEBA3}"/>
    <cellStyle name="통화 [0] 4 3 2 2 2" xfId="3183" xr:uid="{1CBAD41C-EBAA-41FA-AF02-A557F356958E}"/>
    <cellStyle name="통화 [0] 4 3 2 3" xfId="2856" xr:uid="{0090C968-4D9C-4636-844F-6646BAB79C22}"/>
    <cellStyle name="통화 [0] 4 3 3" xfId="2330" xr:uid="{20DC59E7-BBAE-4B3C-A95E-D52F6590AD55}"/>
    <cellStyle name="통화 [0] 4 3 3 2" xfId="2987" xr:uid="{D50ABB7F-59AD-4B20-A9C8-BFF7FF204303}"/>
    <cellStyle name="통화 [0] 4 3 4" xfId="2660" xr:uid="{1B77D6F9-DB4D-4D97-B21D-DA7CA7EF163B}"/>
    <cellStyle name="통화 [0] 4 4" xfId="2187" xr:uid="{156F50F4-E498-4D6D-B2C1-B1F11F916357}"/>
    <cellStyle name="통화 [0] 4 4 2" xfId="2524" xr:uid="{4FB8DD89-4716-44F1-86C6-A72A096E25B4}"/>
    <cellStyle name="통화 [0] 4 4 2 2" xfId="3181" xr:uid="{09697F5F-0A98-487C-B10B-9E55C91A12F1}"/>
    <cellStyle name="통화 [0] 4 4 3" xfId="2854" xr:uid="{51F38A04-ABC7-43BF-97A6-2D8BC80F9DBF}"/>
    <cellStyle name="통화 [0] 4 5" xfId="2328" xr:uid="{6E24BA48-2E71-4699-8959-854C33A8CAD4}"/>
    <cellStyle name="통화 [0] 4 5 2" xfId="2985" xr:uid="{21B109F8-17D1-422B-9E2D-2903F4338B27}"/>
    <cellStyle name="통화 [0] 4 6" xfId="2658" xr:uid="{A0B0D060-F8E0-46F5-8AA3-80346892FE9B}"/>
    <cellStyle name="통화 [0] 5" xfId="1876" xr:uid="{0D416F87-5365-4E96-8B8C-6AC0E95C3B47}"/>
    <cellStyle name="통화 [0] 5 2" xfId="1877" xr:uid="{2F5E470E-CF21-406C-8EA1-5F388D861F96}"/>
    <cellStyle name="통화 [0] 5 2 2" xfId="2191" xr:uid="{AA3D710C-A185-4A0C-84A9-C0FEB7F4D088}"/>
    <cellStyle name="통화 [0] 5 2 2 2" xfId="2528" xr:uid="{8D9564C4-B07C-43C6-AEC3-A0A535DDEA49}"/>
    <cellStyle name="통화 [0] 5 2 2 2 2" xfId="3185" xr:uid="{7C21AE51-4F28-41EB-B289-1A253D5FAFC3}"/>
    <cellStyle name="통화 [0] 5 2 2 3" xfId="2858" xr:uid="{0F661FBE-EC31-42B1-976A-7FD947BFA741}"/>
    <cellStyle name="통화 [0] 5 2 3" xfId="2332" xr:uid="{6F1CFF9B-999A-43DD-8A19-D1BD352C659D}"/>
    <cellStyle name="통화 [0] 5 2 3 2" xfId="2989" xr:uid="{D629A9D4-EEC5-4A1B-BAA6-41446A87EAC2}"/>
    <cellStyle name="통화 [0] 5 2 4" xfId="2662" xr:uid="{7C47E594-F167-498B-B282-17F61E5DF7E1}"/>
    <cellStyle name="통화 [0] 5 3" xfId="1878" xr:uid="{0F029DFC-2978-4941-98F3-8327207F2907}"/>
    <cellStyle name="통화 [0] 5 3 2" xfId="2192" xr:uid="{37F05515-00C3-46F9-885F-88A4CCEBF21B}"/>
    <cellStyle name="통화 [0] 5 3 2 2" xfId="2529" xr:uid="{2947AD10-4792-4A2F-93D6-4263C0492150}"/>
    <cellStyle name="통화 [0] 5 3 2 2 2" xfId="3186" xr:uid="{AD3A579C-CACF-4E4A-BC9E-22C44533CB5A}"/>
    <cellStyle name="통화 [0] 5 3 2 3" xfId="2859" xr:uid="{CC12555D-CA71-4420-9498-D37779A5480A}"/>
    <cellStyle name="통화 [0] 5 3 3" xfId="2333" xr:uid="{958DF636-B867-4321-91A8-03735D8662AE}"/>
    <cellStyle name="통화 [0] 5 3 3 2" xfId="2990" xr:uid="{932E6B29-9AFE-40D4-BC2E-08143D732590}"/>
    <cellStyle name="통화 [0] 5 3 4" xfId="2663" xr:uid="{504F38F2-6F46-4967-9A7E-1881EFB79F8E}"/>
    <cellStyle name="통화 [0] 5 4" xfId="2190" xr:uid="{D2534196-E0E9-49B1-B564-BAAA4FE13617}"/>
    <cellStyle name="통화 [0] 5 4 2" xfId="2527" xr:uid="{B8FA4F49-69AD-4126-AE78-278C9C0F5044}"/>
    <cellStyle name="통화 [0] 5 4 2 2" xfId="3184" xr:uid="{6E238B93-9F4D-4EDF-B601-5B912AAAAF65}"/>
    <cellStyle name="통화 [0] 5 4 3" xfId="2857" xr:uid="{718400C2-C232-45F2-A4A6-073BFD21446C}"/>
    <cellStyle name="통화 [0] 5 5" xfId="2331" xr:uid="{578C82C7-A5F0-4D64-AF99-99E32DDEEC79}"/>
    <cellStyle name="통화 [0] 5 5 2" xfId="2988" xr:uid="{4AFECC46-FDC3-4028-9E20-07C2C43DC52D}"/>
    <cellStyle name="통화 [0] 5 6" xfId="2661" xr:uid="{6AEF8425-EC78-415D-9AF4-F8D4D2CCFBBC}"/>
    <cellStyle name="통화 [0] 6" xfId="1879" xr:uid="{94929572-5F4A-4642-A69F-4119A46A9C71}"/>
    <cellStyle name="통화 [0] 6 2" xfId="2193" xr:uid="{6F8D7D2D-B180-4D22-8DC3-A95E08A92494}"/>
    <cellStyle name="통화 [0] 6 2 2" xfId="2530" xr:uid="{774C774E-31E7-4FD4-8BA1-60343CC15A6B}"/>
    <cellStyle name="통화 [0] 6 2 2 2" xfId="3187" xr:uid="{6E8D9E90-4FAC-4B65-888B-12832B1812C1}"/>
    <cellStyle name="통화 [0] 6 2 3" xfId="2860" xr:uid="{22673837-AEC2-444A-8BF1-0DEAF2D16B87}"/>
    <cellStyle name="통화 [0] 6 3" xfId="2334" xr:uid="{084EDF37-648C-494C-ABD2-E281A632D71E}"/>
    <cellStyle name="통화 [0] 6 3 2" xfId="2991" xr:uid="{C1A6289B-0364-449C-8136-6F02EE0926EE}"/>
    <cellStyle name="통화 [0] 6 4" xfId="2664" xr:uid="{CA9B3FDD-356B-428E-8D50-4F415301BB24}"/>
    <cellStyle name="통화 10" xfId="1880" xr:uid="{C65B37CB-64B0-4149-8504-7503A670AAC7}"/>
    <cellStyle name="통화 10 2" xfId="2194" xr:uid="{BE03EC75-7FC7-4BA7-BE54-EB97BD40FD1F}"/>
    <cellStyle name="통화 10 2 2" xfId="2531" xr:uid="{2329DAC9-6636-4027-B3D5-FFBE3F7AE269}"/>
    <cellStyle name="통화 10 2 2 2" xfId="3188" xr:uid="{E44E8AE2-9AB3-4C47-9B1A-E3DAA029F9B2}"/>
    <cellStyle name="통화 10 2 3" xfId="2861" xr:uid="{0F30337B-91A2-4ED3-BE88-F462DEE87F03}"/>
    <cellStyle name="통화 10 3" xfId="2335" xr:uid="{117CBBF3-DEA4-4797-9132-2AD79F3938AA}"/>
    <cellStyle name="통화 10 3 2" xfId="2992" xr:uid="{E544FEED-3A70-47AB-AEDC-D32CBE35C30E}"/>
    <cellStyle name="통화 10 4" xfId="2665" xr:uid="{7D2E735C-6140-4EF4-8FD4-EC22A20433B3}"/>
    <cellStyle name="통화 11" xfId="1881" xr:uid="{5C99EF18-F115-47B3-B2BA-03CBC5A6A860}"/>
    <cellStyle name="통화 11 2" xfId="2195" xr:uid="{D3C38942-92BB-4F2E-A71C-46E58EC43070}"/>
    <cellStyle name="통화 11 2 2" xfId="2532" xr:uid="{DFF8AB77-1937-49E2-8E12-441D1AB2C5D1}"/>
    <cellStyle name="통화 11 2 2 2" xfId="3189" xr:uid="{F8905138-4407-4034-A6C4-C9C772B20935}"/>
    <cellStyle name="통화 11 2 3" xfId="2862" xr:uid="{945A9658-880C-4CB6-AF0C-804E078F1322}"/>
    <cellStyle name="통화 11 3" xfId="2336" xr:uid="{7F70D512-4F0E-4C8C-B4EC-35A6FD647CE1}"/>
    <cellStyle name="통화 11 3 2" xfId="2993" xr:uid="{5F5EA299-A534-41B0-9028-DC61F5F51BA2}"/>
    <cellStyle name="통화 11 4" xfId="2666" xr:uid="{83A2F81B-C80D-4AE8-A6F0-189FBB1B9FF6}"/>
    <cellStyle name="통화 12" xfId="1882" xr:uid="{DED821B0-88AF-40D7-AD11-C5A38E814750}"/>
    <cellStyle name="통화 12 2" xfId="2196" xr:uid="{DA68D0EB-E75A-404A-93C1-8C778917440A}"/>
    <cellStyle name="통화 12 2 2" xfId="2533" xr:uid="{F0F5ECDB-07A8-47AE-95DC-4721FE096C20}"/>
    <cellStyle name="통화 12 2 2 2" xfId="3190" xr:uid="{B34288AD-DECB-41D5-9619-C28D753069F6}"/>
    <cellStyle name="통화 12 2 3" xfId="2863" xr:uid="{43D196B7-D078-4FE5-8087-ED3DA972A410}"/>
    <cellStyle name="통화 12 3" xfId="2337" xr:uid="{060B8C7F-529A-41C6-9F0E-74DB3D83FFBE}"/>
    <cellStyle name="통화 12 3 2" xfId="2994" xr:uid="{D98D046F-BFF0-4E9B-8411-B1DEF8864699}"/>
    <cellStyle name="통화 12 4" xfId="2667" xr:uid="{F83A050E-7C84-42FF-95F3-769710257175}"/>
    <cellStyle name="통화 13" xfId="1883" xr:uid="{0557765C-93C4-4993-9D3F-8B09FD246E90}"/>
    <cellStyle name="통화 13 2" xfId="2197" xr:uid="{1D1D7722-36A9-48F3-ADBC-215FFDBAE94C}"/>
    <cellStyle name="통화 13 2 2" xfId="2534" xr:uid="{29F4C005-4467-4E90-9FF7-5D72319F9D69}"/>
    <cellStyle name="통화 13 2 2 2" xfId="3191" xr:uid="{9567E476-0072-4D92-A74D-94EF1FB22BFF}"/>
    <cellStyle name="통화 13 2 3" xfId="2864" xr:uid="{4108E7F5-DA3D-4F62-9D06-89B64BC0BF5D}"/>
    <cellStyle name="통화 13 3" xfId="2338" xr:uid="{B5466549-6954-4F96-B3CD-81885C0897C2}"/>
    <cellStyle name="통화 13 3 2" xfId="2995" xr:uid="{D4F8BBEE-29DF-4576-A869-2078B2CD84FC}"/>
    <cellStyle name="통화 13 4" xfId="2668" xr:uid="{DE90E2F1-210B-494C-98DD-6225021B85FD}"/>
    <cellStyle name="통화 14" xfId="1884" xr:uid="{7AF58D25-53ED-4CA5-94B6-7A3A1A093B2C}"/>
    <cellStyle name="통화 14 2" xfId="2198" xr:uid="{EACE3407-E99A-4D37-AE48-DE16D7801A29}"/>
    <cellStyle name="통화 14 2 2" xfId="2535" xr:uid="{B233BBB8-88FA-4883-AAE6-185E003D2A98}"/>
    <cellStyle name="통화 14 2 2 2" xfId="3192" xr:uid="{3D7C689E-3E2C-46B7-A1D2-B1124061E3BA}"/>
    <cellStyle name="통화 14 2 3" xfId="2865" xr:uid="{59A8602D-0FF8-48A6-9055-2CC2E674F5B1}"/>
    <cellStyle name="통화 14 3" xfId="2339" xr:uid="{B97FB87C-CEB4-4825-833C-0066ACA819A7}"/>
    <cellStyle name="통화 14 3 2" xfId="2996" xr:uid="{60378A80-D8C0-4AB1-BC87-F8879746DF5F}"/>
    <cellStyle name="통화 14 4" xfId="2669" xr:uid="{E0EBDD21-9A90-4852-98AB-A56405AC3EFD}"/>
    <cellStyle name="통화 15" xfId="1885" xr:uid="{D2D58AE6-24BE-4A3A-B604-EBFD2EFA68CF}"/>
    <cellStyle name="통화 15 2" xfId="2199" xr:uid="{0188DB6F-08C0-4191-B98D-16A09F3CEC5B}"/>
    <cellStyle name="통화 15 2 2" xfId="2536" xr:uid="{783EF0D2-E105-4795-85B8-725CB687103B}"/>
    <cellStyle name="통화 15 2 2 2" xfId="3193" xr:uid="{CC76CA06-04F2-4208-80DC-5ABCF7E0D231}"/>
    <cellStyle name="통화 15 2 3" xfId="2866" xr:uid="{A0C39D13-3199-42BD-B87B-7593D6040C5D}"/>
    <cellStyle name="통화 15 3" xfId="2340" xr:uid="{317E1DC6-4E96-4530-99B5-E75F97AEF851}"/>
    <cellStyle name="통화 15 3 2" xfId="2997" xr:uid="{A3A827C8-86AB-40BF-8682-3DDEEB01659F}"/>
    <cellStyle name="통화 15 4" xfId="2670" xr:uid="{6DA61DA5-83B2-4A09-882F-835DC1380463}"/>
    <cellStyle name="통화 16" xfId="1886" xr:uid="{AFC59E0B-94DE-4F23-8823-845DE647C058}"/>
    <cellStyle name="통화 16 2" xfId="2200" xr:uid="{9FE91A5B-8625-4F64-8B0A-E1BC0563806A}"/>
    <cellStyle name="통화 16 2 2" xfId="2537" xr:uid="{9F0F1A82-072D-4574-AA71-6258186072F8}"/>
    <cellStyle name="통화 16 2 2 2" xfId="3194" xr:uid="{22DE8997-FE82-4AFA-B58C-2B71A48045AA}"/>
    <cellStyle name="통화 16 2 3" xfId="2867" xr:uid="{7CDEFE88-BEE4-49D6-BE67-E3066DB8FC01}"/>
    <cellStyle name="통화 16 3" xfId="2341" xr:uid="{C274E76E-1CB2-448F-9E71-F454C271F584}"/>
    <cellStyle name="통화 16 3 2" xfId="2998" xr:uid="{6A8C75D4-489C-475B-A310-BB9777847816}"/>
    <cellStyle name="통화 16 4" xfId="2671" xr:uid="{1B6C6F3B-88D9-4F63-94F8-8136F8BB822C}"/>
    <cellStyle name="통화 17" xfId="1887" xr:uid="{069A39C7-E6BF-42F2-B006-B5E7287EBB41}"/>
    <cellStyle name="통화 17 2" xfId="2201" xr:uid="{71C0C65F-4874-4C50-B9FF-DF6CA2C1BF88}"/>
    <cellStyle name="통화 17 2 2" xfId="2538" xr:uid="{1F9F753B-FAF3-49A9-AE02-D8C66BBC8D0F}"/>
    <cellStyle name="통화 17 2 2 2" xfId="3195" xr:uid="{D5D7549A-488A-4BF6-B4AB-A60AEE3D3DDC}"/>
    <cellStyle name="통화 17 2 3" xfId="2868" xr:uid="{FFCC2949-879A-4B89-9525-38B3AD7EE9F5}"/>
    <cellStyle name="통화 17 3" xfId="2342" xr:uid="{306BC8EF-4C1D-40B5-97B2-9554B6425223}"/>
    <cellStyle name="통화 17 3 2" xfId="2999" xr:uid="{0DD85220-5DA9-4479-BA15-C7E962B70EC0}"/>
    <cellStyle name="통화 17 4" xfId="2672" xr:uid="{9CEDAF17-DA8C-4052-B99B-DD47938F9A53}"/>
    <cellStyle name="통화 18" xfId="1888" xr:uid="{0537439B-D5E6-48D5-832D-DA8BBA621756}"/>
    <cellStyle name="통화 18 2" xfId="2202" xr:uid="{1FFD5954-E677-48DB-8582-0FC5BDB87C17}"/>
    <cellStyle name="통화 18 2 2" xfId="2539" xr:uid="{57E2150C-AED2-4F37-B3B4-815BD0095457}"/>
    <cellStyle name="통화 18 2 2 2" xfId="3196" xr:uid="{86FDA42C-3468-4DAE-A6C6-DD98DA156F37}"/>
    <cellStyle name="통화 18 2 3" xfId="2869" xr:uid="{A29A15BB-DF67-4149-B151-9664C966C144}"/>
    <cellStyle name="통화 18 3" xfId="2343" xr:uid="{1FD98B31-A65C-44E9-9F50-8EC47DA02FC5}"/>
    <cellStyle name="통화 18 3 2" xfId="3000" xr:uid="{92965D25-1F39-4D30-A613-A2DABE15690C}"/>
    <cellStyle name="통화 18 4" xfId="2673" xr:uid="{829B0D1C-E73A-4665-BE8B-F025FD1C2A3D}"/>
    <cellStyle name="통화 19" xfId="1889" xr:uid="{A21CD5B4-AAF7-4894-95F5-47C706628CFC}"/>
    <cellStyle name="통화 19 2" xfId="2203" xr:uid="{37621257-350D-4CB5-A01C-8D1D19E2EFC3}"/>
    <cellStyle name="통화 19 2 2" xfId="2540" xr:uid="{65F83262-DA7C-462B-B98F-2B7F30CB046A}"/>
    <cellStyle name="통화 19 2 2 2" xfId="3197" xr:uid="{DCB52D9E-0AF3-4172-BE42-BC406A5BF181}"/>
    <cellStyle name="통화 19 2 3" xfId="2870" xr:uid="{43954246-9021-4339-8260-C75E3532E7AF}"/>
    <cellStyle name="통화 19 3" xfId="2344" xr:uid="{1DC2FB5D-2252-41AA-81AC-FCD9B7D3074B}"/>
    <cellStyle name="통화 19 3 2" xfId="3001" xr:uid="{2924C3FB-AE9A-4C6C-8650-58AA0EAB2C05}"/>
    <cellStyle name="통화 19 4" xfId="2674" xr:uid="{7CF50832-42BF-4386-A806-EF88BB86D214}"/>
    <cellStyle name="통화 2" xfId="1890" xr:uid="{086F95F0-E747-4C13-BC6E-C621124311A4}"/>
    <cellStyle name="통화 2 2" xfId="2204" xr:uid="{C989C478-F214-4BE8-8F0B-F1C92CE2CFAE}"/>
    <cellStyle name="통화 2 2 2" xfId="2541" xr:uid="{D75D2B00-B439-478B-97A6-03C4A0CFBCC0}"/>
    <cellStyle name="통화 2 2 2 2" xfId="3198" xr:uid="{FF0E385E-C7E6-4724-BEAB-D430F77E27E0}"/>
    <cellStyle name="통화 2 2 3" xfId="2871" xr:uid="{5A0E4461-F8EF-4C21-A801-B3A000002FA6}"/>
    <cellStyle name="통화 2 3" xfId="2345" xr:uid="{61C48A7A-A2B9-44C1-A190-8F2F359D8AAC}"/>
    <cellStyle name="통화 2 3 2" xfId="3002" xr:uid="{BD98146F-1E3A-407F-BBD2-DD0E59428F5F}"/>
    <cellStyle name="통화 2 4" xfId="2675" xr:uid="{59FD6F77-C37D-4B64-AEB2-0A5AF8600CC7}"/>
    <cellStyle name="통화 20" xfId="1891" xr:uid="{E8D9E120-B154-4235-B3CA-54B3104608AB}"/>
    <cellStyle name="통화 20 2" xfId="2205" xr:uid="{9A9B4679-33F7-4F0D-9184-06F250F3C6FF}"/>
    <cellStyle name="통화 20 2 2" xfId="2542" xr:uid="{3F9A5248-E6E7-484E-9320-7EC5136D80FE}"/>
    <cellStyle name="통화 20 2 2 2" xfId="3199" xr:uid="{3E04D5D4-787D-4479-AB54-22FD5F038E9D}"/>
    <cellStyle name="통화 20 2 3" xfId="2872" xr:uid="{60DF2A03-D927-44F8-83E5-99AC93937BD2}"/>
    <cellStyle name="통화 20 3" xfId="2346" xr:uid="{F3C70371-0661-4D08-A73D-19E3DEAC4204}"/>
    <cellStyle name="통화 20 3 2" xfId="3003" xr:uid="{E08A3A08-22AE-406A-8B9E-817DE0D53DF7}"/>
    <cellStyle name="통화 20 4" xfId="2676" xr:uid="{F5D0B696-0776-4C41-B278-B4C9359867DE}"/>
    <cellStyle name="통화 21" xfId="1892" xr:uid="{E2F3E819-2126-49E1-8491-70F5F27FD0AD}"/>
    <cellStyle name="통화 21 2" xfId="2206" xr:uid="{680963D5-C134-4E54-ACBD-E452C7D27B0E}"/>
    <cellStyle name="통화 21 2 2" xfId="2543" xr:uid="{97F1A1EA-198C-4C64-854A-968D55BED2A8}"/>
    <cellStyle name="통화 21 2 2 2" xfId="3200" xr:uid="{201AF8A7-198D-4FAF-B717-30715D115F7C}"/>
    <cellStyle name="통화 21 2 3" xfId="2873" xr:uid="{9ACF4008-F594-46B3-9F05-6024ABD6B4A4}"/>
    <cellStyle name="통화 21 3" xfId="2347" xr:uid="{54E5939F-0C0D-49CD-9192-A738D1F4AA8F}"/>
    <cellStyle name="통화 21 3 2" xfId="3004" xr:uid="{2BA5FC8F-6032-4E1E-ADF5-9BD275A89972}"/>
    <cellStyle name="통화 21 4" xfId="2677" xr:uid="{540F5F50-1CF3-4DB0-A2B6-740D7498C8EF}"/>
    <cellStyle name="통화 22" xfId="1893" xr:uid="{2254FCD9-E012-4E54-9D83-C4CCC82EB6E9}"/>
    <cellStyle name="통화 22 2" xfId="2207" xr:uid="{F01BD239-8B22-46BD-BD57-14FD4987EA33}"/>
    <cellStyle name="통화 22 2 2" xfId="2544" xr:uid="{C8C6413A-B78E-4FAD-B972-96A3E56EB915}"/>
    <cellStyle name="통화 22 2 2 2" xfId="3201" xr:uid="{691B8017-4023-4B1B-B467-876C91BA1522}"/>
    <cellStyle name="통화 22 2 3" xfId="2874" xr:uid="{533E5523-3149-4C45-9AAD-B8C093518642}"/>
    <cellStyle name="통화 22 3" xfId="2348" xr:uid="{7C1C6A40-03AB-4E06-AF1F-D0088DDA97F5}"/>
    <cellStyle name="통화 22 3 2" xfId="3005" xr:uid="{EB21333C-894D-43F4-B7E4-844ABF65C13D}"/>
    <cellStyle name="통화 22 4" xfId="2678" xr:uid="{27FE2F11-68BC-4247-8691-5DFF098D3E42}"/>
    <cellStyle name="통화 23" xfId="1894" xr:uid="{3FD83D8B-A0DC-4D92-B1A4-9B1B1CD8EA7F}"/>
    <cellStyle name="통화 23 2" xfId="2208" xr:uid="{521DE354-0F21-4000-AA86-43A12BFD3F8D}"/>
    <cellStyle name="통화 23 2 2" xfId="2545" xr:uid="{FCA77C1F-F895-4B7C-9E56-340A35518BD3}"/>
    <cellStyle name="통화 23 2 2 2" xfId="3202" xr:uid="{11FC0052-D7F5-423A-88F2-2C38E5575E75}"/>
    <cellStyle name="통화 23 2 3" xfId="2875" xr:uid="{30766E8F-765D-46E5-A6D3-EFF0E6B9E49F}"/>
    <cellStyle name="통화 23 3" xfId="2349" xr:uid="{FDAD747B-3C87-46DA-908E-404F113CBDF9}"/>
    <cellStyle name="통화 23 3 2" xfId="3006" xr:uid="{22EB615F-FC40-4B9E-A655-035A170B5B68}"/>
    <cellStyle name="통화 23 4" xfId="2679" xr:uid="{117AAD8C-E5DC-4B8E-8ACE-93B5660717BD}"/>
    <cellStyle name="통화 24" xfId="1895" xr:uid="{CCF8D0D3-7251-4E35-937E-C656B7FC5C55}"/>
    <cellStyle name="통화 24 2" xfId="2209" xr:uid="{3B986E1A-E202-41C2-8B94-89A494C975C1}"/>
    <cellStyle name="통화 24 2 2" xfId="2546" xr:uid="{0221884E-D92A-4278-A695-EB715C50ED65}"/>
    <cellStyle name="통화 24 2 2 2" xfId="3203" xr:uid="{7E6B1589-888F-445E-8AA7-8FAB12DD4214}"/>
    <cellStyle name="통화 24 2 3" xfId="2876" xr:uid="{25F75109-C801-4657-AEAA-7DF318FB1CBC}"/>
    <cellStyle name="통화 24 3" xfId="2350" xr:uid="{8C330D1F-8FEE-46FF-B9A5-A6A34672BC16}"/>
    <cellStyle name="통화 24 3 2" xfId="3007" xr:uid="{F8CC2C31-D24C-402B-AB8B-61291BDB3BF7}"/>
    <cellStyle name="통화 24 4" xfId="2680" xr:uid="{B712E18D-B80C-432E-AFED-8E05E1E336DB}"/>
    <cellStyle name="통화 25" xfId="1896" xr:uid="{18D5A865-E6A0-440A-96E3-72232D3DAABC}"/>
    <cellStyle name="통화 25 2" xfId="2210" xr:uid="{6C40DDAD-1756-4F42-A57C-601D74964FD6}"/>
    <cellStyle name="통화 25 2 2" xfId="2547" xr:uid="{0DD43001-3405-439A-B637-6AFD7C602E6D}"/>
    <cellStyle name="통화 25 2 2 2" xfId="3204" xr:uid="{351A83C2-F05F-4D04-BD1D-C932DC0FD8AF}"/>
    <cellStyle name="통화 25 2 3" xfId="2877" xr:uid="{6B6CC570-09F9-418A-8A34-B907B1E350D9}"/>
    <cellStyle name="통화 25 3" xfId="2351" xr:uid="{E1DEF846-D793-4E30-BF8E-54BE9FA1C031}"/>
    <cellStyle name="통화 25 3 2" xfId="3008" xr:uid="{F327E98F-8098-4BEC-B786-FD603030C3D1}"/>
    <cellStyle name="통화 25 4" xfId="2681" xr:uid="{FA590EF0-97D4-416F-BD6A-679430010B85}"/>
    <cellStyle name="통화 26" xfId="1897" xr:uid="{312554A6-6697-48E0-A42D-56DAE02657C1}"/>
    <cellStyle name="통화 26 2" xfId="2211" xr:uid="{7DAF299A-D453-4CAE-AC71-F0920F1B1EAB}"/>
    <cellStyle name="통화 26 2 2" xfId="2548" xr:uid="{ABA62A04-8DE6-48A0-8368-19E5762BAACD}"/>
    <cellStyle name="통화 26 2 2 2" xfId="3205" xr:uid="{971D817A-16E5-4FE6-B277-AF6B9D5C5B9A}"/>
    <cellStyle name="통화 26 2 3" xfId="2878" xr:uid="{FD44AC40-42AB-45A2-AEF5-1E941A418B0A}"/>
    <cellStyle name="통화 26 3" xfId="2352" xr:uid="{05821BF1-EB6C-4AA9-AD0E-94231629C678}"/>
    <cellStyle name="통화 26 3 2" xfId="3009" xr:uid="{6E5FC335-E951-4E33-8B2E-8653526FC03F}"/>
    <cellStyle name="통화 26 4" xfId="2682" xr:uid="{6844DF0B-9E21-4C2F-91B5-72E7B71870F9}"/>
    <cellStyle name="통화 27" xfId="1898" xr:uid="{1E34056D-D7D4-40C0-9765-9BF51F4C2F17}"/>
    <cellStyle name="통화 27 2" xfId="2212" xr:uid="{DBE78E3F-BA4E-43EF-89F6-91DF5893D6F2}"/>
    <cellStyle name="통화 27 2 2" xfId="2549" xr:uid="{989F6028-1619-44AD-A1FE-F82653F83FE7}"/>
    <cellStyle name="통화 27 2 2 2" xfId="3206" xr:uid="{4A693B33-ECB0-430F-843C-939D7E908BE4}"/>
    <cellStyle name="통화 27 2 3" xfId="2879" xr:uid="{3CF385E1-27E0-435D-977D-5AD98F965853}"/>
    <cellStyle name="통화 27 3" xfId="2353" xr:uid="{2ADC4489-7229-4598-9794-F1D2FA974A78}"/>
    <cellStyle name="통화 27 3 2" xfId="3010" xr:uid="{DD5BA8A2-CC77-4D72-A956-015E2073B98D}"/>
    <cellStyle name="통화 27 4" xfId="2683" xr:uid="{77834DA3-EDBE-4180-A156-869C8DA33633}"/>
    <cellStyle name="통화 28" xfId="1899" xr:uid="{60170C02-2488-4AFE-8FF5-9F7829185753}"/>
    <cellStyle name="통화 28 2" xfId="2213" xr:uid="{63F5361F-A63B-4AD4-847C-1C0061B56CF4}"/>
    <cellStyle name="통화 28 2 2" xfId="2550" xr:uid="{9A94800D-F626-4C51-9C99-ECACF1695DA1}"/>
    <cellStyle name="통화 28 2 2 2" xfId="3207" xr:uid="{902428FF-AB28-49DF-AF1C-5F6BBD413BE4}"/>
    <cellStyle name="통화 28 2 3" xfId="2880" xr:uid="{9B958D08-1CDD-446F-83A3-9039E6AEE062}"/>
    <cellStyle name="통화 28 3" xfId="2354" xr:uid="{7D7F1BF6-A654-4F01-9485-28028BEB6821}"/>
    <cellStyle name="통화 28 3 2" xfId="3011" xr:uid="{FB724059-AF03-4C84-B5C6-178095AA106C}"/>
    <cellStyle name="통화 28 4" xfId="2684" xr:uid="{C2E763C1-A31F-4CEB-9C1E-9D3CE7AAE4B8}"/>
    <cellStyle name="통화 29" xfId="1900" xr:uid="{977663F1-8B4E-48DE-AF56-5802C13B2A55}"/>
    <cellStyle name="통화 29 2" xfId="2214" xr:uid="{01DED923-3239-4E69-8D1C-65CE6671FA6B}"/>
    <cellStyle name="통화 29 2 2" xfId="2551" xr:uid="{11B3726A-D151-4DC9-AFCC-7E8181DE1888}"/>
    <cellStyle name="통화 29 2 2 2" xfId="3208" xr:uid="{5D237716-725C-4814-9306-359A72C30AAA}"/>
    <cellStyle name="통화 29 2 3" xfId="2881" xr:uid="{6A59AAE2-0477-4F56-895E-0AA363D5AF2A}"/>
    <cellStyle name="통화 29 3" xfId="2355" xr:uid="{E9C1EFA4-7660-492D-AEA1-2D439A0BA2D0}"/>
    <cellStyle name="통화 29 3 2" xfId="3012" xr:uid="{AC2F75E2-1982-40CE-9B92-9DC428DDA02D}"/>
    <cellStyle name="통화 29 4" xfId="2685" xr:uid="{639DA11A-2539-4E3D-A183-8F149B47C4CF}"/>
    <cellStyle name="통화 3" xfId="1901" xr:uid="{42DB85DD-0D1B-4B2B-974F-5B9739F114E3}"/>
    <cellStyle name="통화 3 2" xfId="2215" xr:uid="{78ABD75D-BCBE-489B-8882-C72481F9A076}"/>
    <cellStyle name="통화 3 2 2" xfId="2552" xr:uid="{56365F17-D8BD-41D4-A607-B1C7BD79641B}"/>
    <cellStyle name="통화 3 2 2 2" xfId="3209" xr:uid="{F858A40A-EBA1-46FA-98B4-7BB91A22EA59}"/>
    <cellStyle name="통화 3 2 3" xfId="2882" xr:uid="{5A005096-2EB6-417F-99B4-597C0A5FC834}"/>
    <cellStyle name="통화 3 3" xfId="2356" xr:uid="{7DEC8CB5-864C-451C-ADE5-5956BB6BDC5B}"/>
    <cellStyle name="통화 3 3 2" xfId="3013" xr:uid="{D404EFC5-32EA-40FC-A924-76FAC2506A50}"/>
    <cellStyle name="통화 3 4" xfId="2686" xr:uid="{2EB31B99-52C3-46D4-A91D-26D21B8E6998}"/>
    <cellStyle name="통화 30" xfId="1902" xr:uid="{39A00365-4A91-47AD-856B-C293BB035485}"/>
    <cellStyle name="통화 30 2" xfId="2216" xr:uid="{0A56BCA9-E7D3-4750-B4F6-6E0F022D0FBB}"/>
    <cellStyle name="통화 30 2 2" xfId="2553" xr:uid="{83EF749A-1946-4004-AB52-DC5B56260B5E}"/>
    <cellStyle name="통화 30 2 2 2" xfId="3210" xr:uid="{EA83B1CE-3776-40AB-ABAF-CF88B62C72D9}"/>
    <cellStyle name="통화 30 2 3" xfId="2883" xr:uid="{5ABA1414-D857-495E-8BEB-49CFBCED2C5A}"/>
    <cellStyle name="통화 30 3" xfId="2357" xr:uid="{69CFB835-3EAC-4FDC-A15E-FDA47787AB38}"/>
    <cellStyle name="통화 30 3 2" xfId="3014" xr:uid="{913E68D3-13FF-4DF6-96BE-06137892D12A}"/>
    <cellStyle name="통화 30 4" xfId="2687" xr:uid="{CA5A937D-5830-4284-9E53-11BD0F6A86A9}"/>
    <cellStyle name="통화 31" xfId="1903" xr:uid="{5ABAEEBB-6022-4A6D-95B8-5E164DE298BA}"/>
    <cellStyle name="통화 31 2" xfId="2217" xr:uid="{0B878CA4-7A05-4323-8066-B97A87B61BC4}"/>
    <cellStyle name="통화 31 2 2" xfId="2554" xr:uid="{2A1F1191-2F76-4E13-994D-436D92BC30A7}"/>
    <cellStyle name="통화 31 2 2 2" xfId="3211" xr:uid="{E222D3F0-CBF9-4121-AA29-F11B07261411}"/>
    <cellStyle name="통화 31 2 3" xfId="2884" xr:uid="{B191CC86-DC9C-42F2-BFA9-71B17309A76A}"/>
    <cellStyle name="통화 31 3" xfId="2358" xr:uid="{21B08FDD-68AA-45A0-B64F-15AD512DAAE4}"/>
    <cellStyle name="통화 31 3 2" xfId="3015" xr:uid="{FD4F78D2-415C-4FAB-9C7E-7AF007FB019E}"/>
    <cellStyle name="통화 31 4" xfId="2688" xr:uid="{6801776C-4198-4202-B693-572F81B87A8B}"/>
    <cellStyle name="통화 32" xfId="1904" xr:uid="{81F5F7BA-E230-4AF0-8E3E-B7818D82AE49}"/>
    <cellStyle name="통화 32 2" xfId="2218" xr:uid="{1055DDB7-29F9-43E5-96FC-E18B870D55CB}"/>
    <cellStyle name="통화 32 2 2" xfId="2555" xr:uid="{2BDA0C54-8F3D-4A89-870A-0A55A243F743}"/>
    <cellStyle name="통화 32 2 2 2" xfId="3212" xr:uid="{C6175A12-F9CF-4BAF-A46B-6D033CC92CEA}"/>
    <cellStyle name="통화 32 2 3" xfId="2885" xr:uid="{8EE523EC-5FFE-4460-A35F-D61F16046221}"/>
    <cellStyle name="통화 32 3" xfId="2359" xr:uid="{37FA40FD-483D-4EF6-81DC-408B40984BDA}"/>
    <cellStyle name="통화 32 3 2" xfId="3016" xr:uid="{75462CF4-9548-444E-B656-CF16CE881DAC}"/>
    <cellStyle name="통화 32 4" xfId="2689" xr:uid="{1290471B-651C-418C-B444-EAAAEE7BAB24}"/>
    <cellStyle name="통화 33" xfId="1905" xr:uid="{4A4DDCEC-610A-401B-8D5E-53F0E4BEDA9C}"/>
    <cellStyle name="통화 33 2" xfId="2219" xr:uid="{8C636F16-24A5-4C88-99C9-FECFE3A3B4B1}"/>
    <cellStyle name="통화 33 2 2" xfId="2556" xr:uid="{5DF0F179-4008-489C-8FA2-E22A2E32D47E}"/>
    <cellStyle name="통화 33 2 2 2" xfId="3213" xr:uid="{7B614112-5090-4340-B404-66FDBB8CE814}"/>
    <cellStyle name="통화 33 2 3" xfId="2886" xr:uid="{D23E4A7B-0806-46AC-802B-CAB3305CF2CB}"/>
    <cellStyle name="통화 33 3" xfId="2360" xr:uid="{4081E844-9395-4827-9CBE-22CC6A7A062E}"/>
    <cellStyle name="통화 33 3 2" xfId="3017" xr:uid="{79F42A13-6049-4C19-B56F-48FCF3D6B093}"/>
    <cellStyle name="통화 33 4" xfId="2690" xr:uid="{E638648F-52E5-4E6A-937A-014FDAC0375F}"/>
    <cellStyle name="통화 34" xfId="1906" xr:uid="{B0A81DFD-5ED5-44EF-93A5-657E0AA141EF}"/>
    <cellStyle name="통화 34 2" xfId="2220" xr:uid="{21007BB6-0112-4D73-823C-7B2314EB9E68}"/>
    <cellStyle name="통화 34 2 2" xfId="2557" xr:uid="{7704144E-62F0-4738-9291-CEA2072BF516}"/>
    <cellStyle name="통화 34 2 2 2" xfId="3214" xr:uid="{1B73FDF4-63B7-432C-8185-4ED967436361}"/>
    <cellStyle name="통화 34 2 3" xfId="2887" xr:uid="{E6717C6E-6248-4D5C-8305-9FEE5BF8A020}"/>
    <cellStyle name="통화 34 3" xfId="2361" xr:uid="{8F3ADA54-147A-44AA-90FD-C6382CC21CBA}"/>
    <cellStyle name="통화 34 3 2" xfId="3018" xr:uid="{35E5EDDD-B439-467C-989E-6F2F2E00EA88}"/>
    <cellStyle name="통화 34 4" xfId="2691" xr:uid="{9C34EC9A-84E3-4546-AD87-69B04310B106}"/>
    <cellStyle name="통화 35" xfId="1907" xr:uid="{39490D72-759B-4FE6-A70E-8D7AFC4E0CCE}"/>
    <cellStyle name="통화 35 2" xfId="2221" xr:uid="{1ADDC16F-62AB-4593-A012-7A4F5F18EE4B}"/>
    <cellStyle name="통화 35 2 2" xfId="2558" xr:uid="{9FD9E0A6-5E9E-49D3-8BB5-96B4EB95B6EE}"/>
    <cellStyle name="통화 35 2 2 2" xfId="3215" xr:uid="{5F84BB85-9C7C-40BB-87CC-149477B614D0}"/>
    <cellStyle name="통화 35 2 3" xfId="2888" xr:uid="{0A4C6E31-E68A-4357-9243-BFB9C8CE2B78}"/>
    <cellStyle name="통화 35 3" xfId="2362" xr:uid="{26427AEE-06F2-4E4F-83B4-E6A4EFB59CE5}"/>
    <cellStyle name="통화 35 3 2" xfId="3019" xr:uid="{BD4DD579-3F1B-4EEB-A495-65DFDC594A19}"/>
    <cellStyle name="통화 35 4" xfId="2692" xr:uid="{7386D714-ED18-45FD-8338-AB9CEE571535}"/>
    <cellStyle name="통화 36" xfId="1908" xr:uid="{932CAC6E-CAC9-4C19-8F7E-4980D605FA43}"/>
    <cellStyle name="통화 36 2" xfId="2222" xr:uid="{88B04AA0-6DC1-4210-A2EC-A6FF8CFB0240}"/>
    <cellStyle name="통화 36 2 2" xfId="2559" xr:uid="{6A78A5E4-BA0E-4C73-A1D8-9E0D335C371B}"/>
    <cellStyle name="통화 36 2 2 2" xfId="3216" xr:uid="{D30D05BC-3797-4475-983A-C0D4D3DC14E2}"/>
    <cellStyle name="통화 36 2 3" xfId="2889" xr:uid="{6EE8382D-C2E3-44A5-A4F1-B91A79CD4A5A}"/>
    <cellStyle name="통화 36 3" xfId="2363" xr:uid="{F7E7DC61-7DC5-4FA5-ABBC-72B522C16C1E}"/>
    <cellStyle name="통화 36 3 2" xfId="3020" xr:uid="{43FE691D-E94B-4CF8-9175-14E7F9D31622}"/>
    <cellStyle name="통화 36 4" xfId="2693" xr:uid="{BF34DE91-FECB-474D-880F-D472C9045C72}"/>
    <cellStyle name="통화 37" xfId="1909" xr:uid="{823482F2-662A-41E8-A627-DC3CE7F60EEB}"/>
    <cellStyle name="통화 37 2" xfId="2223" xr:uid="{FC597CD9-1E2E-401F-B946-4973CFDEF9C3}"/>
    <cellStyle name="통화 37 2 2" xfId="2560" xr:uid="{51C97104-B61F-42FA-B6DF-524021CD3073}"/>
    <cellStyle name="통화 37 2 2 2" xfId="3217" xr:uid="{3B97518A-5D07-4E13-AFF4-A488243AF156}"/>
    <cellStyle name="통화 37 2 3" xfId="2890" xr:uid="{024F2B9C-6A45-4431-8268-8FB35FDEAC49}"/>
    <cellStyle name="통화 37 3" xfId="2364" xr:uid="{A11DD836-9F3F-445C-B703-1D8860870C05}"/>
    <cellStyle name="통화 37 3 2" xfId="3021" xr:uid="{FC4E045C-690C-4BDB-8884-A67623998F3E}"/>
    <cellStyle name="통화 37 4" xfId="2694" xr:uid="{1E9F59B1-ACDD-4561-8542-A423A8CF57A9}"/>
    <cellStyle name="통화 38" xfId="1910" xr:uid="{466213A3-D544-4E69-92FE-74AA2CB5157B}"/>
    <cellStyle name="통화 38 2" xfId="2224" xr:uid="{D2560FD6-7675-4BBC-B144-8361E537757A}"/>
    <cellStyle name="통화 38 2 2" xfId="2561" xr:uid="{D04CE9D7-FB13-4406-88FC-16671BAAF7C4}"/>
    <cellStyle name="통화 38 2 2 2" xfId="3218" xr:uid="{D9BA0444-2E54-48E6-A94E-A39CB550A1EC}"/>
    <cellStyle name="통화 38 2 3" xfId="2891" xr:uid="{7AC5F269-2565-41B0-B9FC-BCE6B0175524}"/>
    <cellStyle name="통화 38 3" xfId="2365" xr:uid="{48E8882B-B7C6-467C-896B-2D4DD4BBD47B}"/>
    <cellStyle name="통화 38 3 2" xfId="3022" xr:uid="{E66BAF12-4169-403C-A23E-8C983674B78D}"/>
    <cellStyle name="통화 38 4" xfId="2695" xr:uid="{7C8A388E-B328-45BC-93BC-2DC5EFB2E19B}"/>
    <cellStyle name="통화 39" xfId="1911" xr:uid="{CB8C2C85-B949-4BAB-9321-3A0408FBF530}"/>
    <cellStyle name="통화 39 2" xfId="2225" xr:uid="{BF35CF49-F589-49C9-9FB9-ECC05B8DA824}"/>
    <cellStyle name="통화 39 2 2" xfId="2562" xr:uid="{67592D5B-9A15-4EA4-A4B5-5D7546AAB6CD}"/>
    <cellStyle name="통화 39 2 2 2" xfId="3219" xr:uid="{1471DD75-D8DB-4636-A691-7ACDF44C6A98}"/>
    <cellStyle name="통화 39 2 3" xfId="2892" xr:uid="{C67FD720-84B0-412F-935A-FA16FD83C4F8}"/>
    <cellStyle name="통화 39 3" xfId="2366" xr:uid="{93296A4F-696D-4981-AB87-36B27E50FC39}"/>
    <cellStyle name="통화 39 3 2" xfId="3023" xr:uid="{F992DE03-A2E3-4379-AF7E-37E204A13ED9}"/>
    <cellStyle name="통화 39 4" xfId="2696" xr:uid="{0AB51298-21EC-493D-8228-07213415D7F7}"/>
    <cellStyle name="통화 4" xfId="1912" xr:uid="{A9B90489-CEA8-42A4-9BCE-33A6E3716E6D}"/>
    <cellStyle name="통화 4 2" xfId="2226" xr:uid="{A9F05013-7DC5-4E7A-8F83-8D129C0465BC}"/>
    <cellStyle name="통화 4 2 2" xfId="2563" xr:uid="{2C7AADF9-F94E-4097-AC78-F7D8C02E742C}"/>
    <cellStyle name="통화 4 2 2 2" xfId="3220" xr:uid="{7E63C1AE-0BBA-4419-B108-D792D4C82D46}"/>
    <cellStyle name="통화 4 2 3" xfId="2893" xr:uid="{28883FD2-E531-4D77-81A4-62019177A8A6}"/>
    <cellStyle name="통화 4 3" xfId="2367" xr:uid="{64D58328-58FD-42E3-ACB3-882191E5AD61}"/>
    <cellStyle name="통화 4 3 2" xfId="3024" xr:uid="{CD0176CF-972B-4C04-96E6-15F12C3798E8}"/>
    <cellStyle name="통화 4 4" xfId="2697" xr:uid="{FA14C6E0-F61A-4AAD-B0FF-08F612B571FA}"/>
    <cellStyle name="통화 5" xfId="1913" xr:uid="{3672EAB7-946C-4711-B8B2-176D9B619235}"/>
    <cellStyle name="통화 5 2" xfId="2227" xr:uid="{D97B9083-5FF2-4F6B-A8E5-399DA03BE87A}"/>
    <cellStyle name="통화 5 2 2" xfId="2564" xr:uid="{BE78B5B8-C9DD-41AE-9CFB-EBEF4D07F4A4}"/>
    <cellStyle name="통화 5 2 2 2" xfId="3221" xr:uid="{8665AF91-EE70-4FC8-A493-D2F56CE90B96}"/>
    <cellStyle name="통화 5 2 3" xfId="2894" xr:uid="{60913836-AC3A-4859-844E-FD0AEF2629C6}"/>
    <cellStyle name="통화 5 3" xfId="2368" xr:uid="{1BB56F8F-3E92-485A-99A5-37E0FEB18F63}"/>
    <cellStyle name="통화 5 3 2" xfId="3025" xr:uid="{69BFF0EA-2CBA-486B-A6F2-43212F18F1CB}"/>
    <cellStyle name="통화 5 4" xfId="2698" xr:uid="{3E11E6AF-18C1-419C-A5C9-4323AF9A05CC}"/>
    <cellStyle name="통화 6" xfId="1914" xr:uid="{72966195-23D5-4154-8862-6B44E720FC87}"/>
    <cellStyle name="통화 6 2" xfId="2228" xr:uid="{56F99A6F-53DE-44F0-AAEF-94EF4C678074}"/>
    <cellStyle name="통화 6 2 2" xfId="2565" xr:uid="{BAB88EE5-3EC2-4D6A-BF1C-70D5364AA9C6}"/>
    <cellStyle name="통화 6 2 2 2" xfId="3222" xr:uid="{FCEA14FC-7BED-428A-B2EA-43E279216682}"/>
    <cellStyle name="통화 6 2 3" xfId="2895" xr:uid="{3DB1FBE0-3870-4036-A955-101A531B14E2}"/>
    <cellStyle name="통화 6 3" xfId="2369" xr:uid="{A53B46BD-DAC8-446F-A5E6-314BDF933244}"/>
    <cellStyle name="통화 6 3 2" xfId="3026" xr:uid="{FA17B40D-914B-4F68-918D-78BEC87BCB72}"/>
    <cellStyle name="통화 6 4" xfId="2699" xr:uid="{51123053-D4B2-42F8-94B1-5252D8EBC683}"/>
    <cellStyle name="통화 7" xfId="1915" xr:uid="{FDDC2A10-3120-4D31-9911-B9A898FA7AA0}"/>
    <cellStyle name="통화 7 2" xfId="2229" xr:uid="{725BCDB2-4963-4D26-9677-712E9E4BCA42}"/>
    <cellStyle name="통화 7 2 2" xfId="2566" xr:uid="{DF5D19E8-7947-49F7-998D-2C61DD85744C}"/>
    <cellStyle name="통화 7 2 2 2" xfId="3223" xr:uid="{00E178C0-F045-4293-96FC-CD4C62EC8269}"/>
    <cellStyle name="통화 7 2 3" xfId="2896" xr:uid="{6C8A1A30-17BF-4796-B22D-4D7821CB03CB}"/>
    <cellStyle name="통화 7 3" xfId="2370" xr:uid="{12379805-3643-4396-A38E-55066E9E286E}"/>
    <cellStyle name="통화 7 3 2" xfId="3027" xr:uid="{B0661B1E-898C-49AE-9FEC-61F1B2BBE179}"/>
    <cellStyle name="통화 7 4" xfId="2700" xr:uid="{30D73DDA-2314-4686-9FAC-2FFD144BA647}"/>
    <cellStyle name="통화 8" xfId="1916" xr:uid="{26891992-60A4-4B9B-BA76-E256657A8B76}"/>
    <cellStyle name="통화 8 2" xfId="2230" xr:uid="{7A554DC5-9625-4CF4-9FA9-E26F14B02BD3}"/>
    <cellStyle name="통화 8 2 2" xfId="2567" xr:uid="{11AE79DC-D3C1-4937-BBAB-80078912ABF5}"/>
    <cellStyle name="통화 8 2 2 2" xfId="3224" xr:uid="{00ED6664-B8D4-4A07-A73F-CDD00A0F6E0A}"/>
    <cellStyle name="통화 8 2 3" xfId="2897" xr:uid="{D1F57568-2FAE-450E-B50A-8CA81A7F87B3}"/>
    <cellStyle name="통화 8 3" xfId="2371" xr:uid="{00B61D9E-ADCD-4853-BA40-09BBF0C40F4B}"/>
    <cellStyle name="통화 8 3 2" xfId="3028" xr:uid="{74463C33-2F62-42BB-AE9E-5718C10BE6A4}"/>
    <cellStyle name="통화 8 4" xfId="2701" xr:uid="{3FCBF1F6-6A8E-4252-BC6E-4B9F29457C73}"/>
    <cellStyle name="통화 9" xfId="1917" xr:uid="{D1D42861-FFED-46FD-8D3C-AF254CD29B84}"/>
    <cellStyle name="통화 9 2" xfId="2231" xr:uid="{55CF8F61-86FD-44BB-B3BE-830073E96FD6}"/>
    <cellStyle name="통화 9 2 2" xfId="2568" xr:uid="{4FEFA556-8380-4481-9B3C-256144764458}"/>
    <cellStyle name="통화 9 2 2 2" xfId="3225" xr:uid="{7749C2C6-86D9-40A8-B05F-6D6F1612D38D}"/>
    <cellStyle name="통화 9 2 3" xfId="2898" xr:uid="{344CF404-BE17-4443-8BA5-8AEBCDF9A966}"/>
    <cellStyle name="통화 9 3" xfId="2372" xr:uid="{958CA9DF-40A7-485E-8030-7866F86567B0}"/>
    <cellStyle name="통화 9 3 2" xfId="3029" xr:uid="{FF428D6A-05ED-4626-AFD5-8AF40AFC400C}"/>
    <cellStyle name="통화 9 4" xfId="2702" xr:uid="{C4F2B4BC-D435-4DB3-9001-8A44604C19C7}"/>
    <cellStyle name="通貨_ADH987175 現代電子 SMD750B" xfId="1918" xr:uid="{F5C5A50F-0D7B-4A40-BEB5-010E1D445699}"/>
    <cellStyle name="퍼센트" xfId="1919" xr:uid="{4354EACC-9780-40A3-B466-9DACA6F5E4AA}"/>
    <cellStyle name="편집_1" xfId="1920" xr:uid="{EE658963-4B23-4415-AFF7-ACE903359072}"/>
    <cellStyle name="표" xfId="1921" xr:uid="{2886CA0F-B03C-43F0-88C7-7FCFD900DF13}"/>
    <cellStyle name="표_Daeshin Price List (122309)" xfId="1922" xr:uid="{CC25A6C4-947C-42D1-9D8A-A7F09F3B9B19}"/>
    <cellStyle name="표_Daeshin Price List (122309)_Daeshin Pricing and Calculations 7Jun12" xfId="1923" xr:uid="{63DF6355-2F15-402A-B211-95DAFA1538C3}"/>
    <cellStyle name="표서식" xfId="1924" xr:uid="{298322CF-7390-4887-B35D-129D4E7F2C4F}"/>
    <cellStyle name="标题" xfId="1925" xr:uid="{E6F26F66-E5A0-4C9D-ADB8-81B148A054DF}"/>
    <cellStyle name="标题 1" xfId="1926" xr:uid="{67FF5229-DC0B-436C-AEA9-E4D7E474159F}"/>
    <cellStyle name="标题 2" xfId="1927" xr:uid="{526FB41F-F979-4081-86F2-B2A420FB3B73}"/>
    <cellStyle name="标题 3" xfId="1928" xr:uid="{3D791C12-975E-4811-8BC2-FE0FBF58AEE6}"/>
    <cellStyle name="标题 3 2" xfId="1929" xr:uid="{F9DA8702-BA56-40E8-9573-ED75DD95D6E0}"/>
    <cellStyle name="标题 3 2 2" xfId="1930" xr:uid="{C8AD0E36-9E26-4C1D-98C1-8FAA93301679}"/>
    <cellStyle name="标题 4" xfId="1931" xr:uid="{9B5F691B-E322-4129-983A-89576A97B4ED}"/>
    <cellStyle name="标题_B4 Utility summary code name 091104 구동호" xfId="1932" xr:uid="{9E90236C-C571-4F87-8C38-88C63BB2F021}"/>
    <cellStyle name="표준" xfId="0" builtinId="0"/>
    <cellStyle name="표준 10" xfId="25" xr:uid="{21E6F9D5-FD50-496B-AAE1-2CAACBCA70DB}"/>
    <cellStyle name="표준 10 2" xfId="1934" xr:uid="{EACF451E-E03D-46C0-91A7-235A189A8E5D}"/>
    <cellStyle name="표준 10 3" xfId="1935" xr:uid="{F0D83B35-A0A8-4E24-B1E4-4A1E7EAA0CD1}"/>
    <cellStyle name="표준 10 4" xfId="1936" xr:uid="{BD32CDE9-7923-41FB-96FF-29C45CC17F5A}"/>
    <cellStyle name="표준 10 5" xfId="3228" xr:uid="{7B3EF139-459A-4E12-944C-ED2A3A2D01AB}"/>
    <cellStyle name="표준 10 6" xfId="1933" xr:uid="{55FB1A9B-3CE4-46C3-BCED-ACD3B4187F15}"/>
    <cellStyle name="표준 11" xfId="39" xr:uid="{EA282915-C625-4BE7-8DFD-5058EC87DF1E}"/>
    <cellStyle name="표준 11 2" xfId="1938" xr:uid="{EDD61464-7A7D-4377-9CE7-3675ADA43032}"/>
    <cellStyle name="표준 11 3" xfId="1937" xr:uid="{B6212EE3-B4C5-4BB1-98E5-A6D88DBC0A14}"/>
    <cellStyle name="표준 12" xfId="1939" xr:uid="{D5B4CAE5-B10B-433A-99CB-9C66B750F326}"/>
    <cellStyle name="표준 12 2" xfId="1940" xr:uid="{CEF760FA-2E41-4013-BBD2-D476C38C1449}"/>
    <cellStyle name="표준 13" xfId="1941" xr:uid="{9579C54D-93FB-4A6C-839F-603E8C256A1E}"/>
    <cellStyle name="표준 13 2" xfId="1942" xr:uid="{2142A06F-B4F8-4B65-93A5-41B9D0D05FC2}"/>
    <cellStyle name="표준 14" xfId="1943" xr:uid="{2518E2C1-4892-47CC-AC63-E1AEB95472BF}"/>
    <cellStyle name="표준 15" xfId="1944" xr:uid="{AAB8FC2F-44AA-4D31-B6B8-59061F81DA2D}"/>
    <cellStyle name="표준 16" xfId="1945" xr:uid="{5703D330-05AC-4728-A3EE-4FEDEAD74AF6}"/>
    <cellStyle name="표준 17" xfId="1946" xr:uid="{290CD642-0AD7-48B6-9F5F-7E703483B340}"/>
    <cellStyle name="표준 18" xfId="1947" xr:uid="{DFEF4054-9E7C-4C2B-B8DF-26A255749A61}"/>
    <cellStyle name="표준 19" xfId="1948" xr:uid="{91A60469-1D0C-4DDA-97BE-9EE4D47BC0A1}"/>
    <cellStyle name="표준 2" xfId="1" xr:uid="{221FA30B-AFC5-4FB1-9285-4C61285A7DFD}"/>
    <cellStyle name="표준 2 10" xfId="1949" xr:uid="{721F6A7A-C533-4AC8-8BAB-3BA969FD68A7}"/>
    <cellStyle name="표준 2 11" xfId="42" xr:uid="{1A2BFBAE-9EF0-484F-96A9-9A75BBCFE8EC}"/>
    <cellStyle name="표준 2 2" xfId="15" xr:uid="{CA77F0AF-8F00-4661-8AB7-BBEFB83D3B11}"/>
    <cellStyle name="표준 2 2 2" xfId="1951" xr:uid="{FCCAD03B-735E-4E99-992B-F05D97483078}"/>
    <cellStyle name="표준 2 2 3" xfId="1952" xr:uid="{E70F3138-153E-4200-8B63-00EFC1FC08F3}"/>
    <cellStyle name="표준 2 2 3 2" xfId="1953" xr:uid="{A831A74B-B006-4A78-BD4D-4BA0C005080B}"/>
    <cellStyle name="표준 2 2 3_05-3" xfId="1954" xr:uid="{39D718D3-F30C-48B1-A1C7-C6B97295B545}"/>
    <cellStyle name="표준 2 2 4" xfId="1950" xr:uid="{38899F69-5328-47D2-AD7F-1C41B42B6185}"/>
    <cellStyle name="표준 2 2 5" xfId="2032" xr:uid="{62D9AB6A-54ED-403F-9533-C4AABF78CE0A}"/>
    <cellStyle name="표준 2 2 6" xfId="2031" xr:uid="{3E38FD5A-2562-4119-9DB1-C2B024E2AB92}"/>
    <cellStyle name="표준 2 2 7" xfId="2233" xr:uid="{1F1A8A1B-2ECD-4FEA-A1E2-DC7FFDD374C5}"/>
    <cellStyle name="표준 2 2 8" xfId="2242" xr:uid="{4B192D55-64AA-45D9-8C2B-54B25801C35B}"/>
    <cellStyle name="표준 2 2 9" xfId="2232" xr:uid="{6CD4D0E3-98FA-4EB6-8B73-158C5FCACA06}"/>
    <cellStyle name="표준 2 2_05-3" xfId="1955" xr:uid="{ECBA9621-A3AD-44E3-9C9E-7ECA53C9E11C}"/>
    <cellStyle name="표준 2 3" xfId="55" xr:uid="{91F5812C-91D9-4F96-8528-44482A4951BF}"/>
    <cellStyle name="표준 2 3 2" xfId="2073" xr:uid="{13B5CD8C-83B8-4523-AF07-2AEC5A868F67}"/>
    <cellStyle name="표준 2 3 3" xfId="1956" xr:uid="{9615D845-C75D-4C50-9F14-14B20933A844}"/>
    <cellStyle name="표준 2 4" xfId="1957" xr:uid="{5D6FDE0B-9F7A-4011-A464-8CA9620CE00B}"/>
    <cellStyle name="표준 2 5" xfId="1958" xr:uid="{D4B3539F-E60C-4107-96F6-BD834314A62B}"/>
    <cellStyle name="표준 2 6" xfId="1959" xr:uid="{F53D0CF3-2150-4271-BF6E-D314B2F85BEC}"/>
    <cellStyle name="표준 2 7" xfId="1960" xr:uid="{5C93F692-F498-4B4D-A8F7-10DA8821B785}"/>
    <cellStyle name="표준 2 8" xfId="1961" xr:uid="{495716F4-2C8B-446A-AC23-AF70CADE1F53}"/>
    <cellStyle name="표준 2 9" xfId="1962" xr:uid="{8653C18D-1F01-4AEB-A107-30E02EDA83C7}"/>
    <cellStyle name="표준 2_05-3" xfId="1963" xr:uid="{F7F01CCC-E998-4E3F-BC81-700885E2AAF8}"/>
    <cellStyle name="표준 20" xfId="1964" xr:uid="{33F5EBC1-3D57-42D1-8B60-5914053E0503}"/>
    <cellStyle name="표준 21" xfId="1965" xr:uid="{D1AFC34C-DFE3-44CE-8CEA-1837C872A4D2}"/>
    <cellStyle name="표준 22" xfId="1966" xr:uid="{80AD7561-3921-4E5E-AE28-2214792FA236}"/>
    <cellStyle name="표준 23" xfId="1967" xr:uid="{E6F55B2B-A7E8-4A91-8C4E-A3C5E219A815}"/>
    <cellStyle name="표준 24" xfId="1968" xr:uid="{AAB1B94A-7608-4122-877C-6E5E6FC6809C}"/>
    <cellStyle name="표준 25" xfId="1969" xr:uid="{647ECBB8-EC62-4C55-B241-3323ECEAA9BD}"/>
    <cellStyle name="표준 26" xfId="2080" xr:uid="{77068D95-A59E-46FF-8075-E5949EC7E791}"/>
    <cellStyle name="표준 26 2" xfId="2234" xr:uid="{002F9A7E-F236-4FB3-91B1-3495A09ED113}"/>
    <cellStyle name="표준 27" xfId="2081" xr:uid="{B68CADB6-8F17-4AA3-B907-9E1B363E24AE}"/>
    <cellStyle name="표준 27 2" xfId="2235" xr:uid="{01D67D6E-C296-4D48-B91D-1B3DC0E9FEF3}"/>
    <cellStyle name="표준 28" xfId="2236" xr:uid="{C8117F85-275B-4D42-94ED-89FDF0B677F2}"/>
    <cellStyle name="표준 3" xfId="9" xr:uid="{59675670-9C7B-471A-A57B-59CA62ED4853}"/>
    <cellStyle name="표준 3 2" xfId="1971" xr:uid="{1FE2B09C-31C1-40B1-BD8E-002DF42F18AD}"/>
    <cellStyle name="표준 3 3" xfId="1972" xr:uid="{9C2CAC47-6918-4C73-8543-7B304A2F3DBA}"/>
    <cellStyle name="표준 3 4" xfId="1973" xr:uid="{5408FFBC-553A-4E46-BE5F-5DCD881FA293}"/>
    <cellStyle name="표준 3 5" xfId="1974" xr:uid="{7EFCD057-1A0E-4D45-9559-EBAE56509B16}"/>
    <cellStyle name="표준 3 6" xfId="1970" xr:uid="{9E5E5B3D-4D81-48D9-86AA-22C8E7F25A8F}"/>
    <cellStyle name="표준 4" xfId="12" xr:uid="{CD0E9521-A8BB-456F-B513-4CF1623F7683}"/>
    <cellStyle name="표준 4 2" xfId="1976" xr:uid="{62E8302C-08CC-4410-B92B-68FCBCBFCEC4}"/>
    <cellStyle name="표준 4 2 2" xfId="2077" xr:uid="{382ACDA8-B0D4-4894-8915-16123311F58E}"/>
    <cellStyle name="표준 4 3" xfId="1977" xr:uid="{C781FFE7-412A-4E12-BB14-1D65FA2A134A}"/>
    <cellStyle name="표준 4 4" xfId="1975" xr:uid="{55E2C720-0B67-40B7-9CB5-08FBC0C8DF4D}"/>
    <cellStyle name="표준 4 4 2" xfId="2237" xr:uid="{F8EAA2C9-452D-49CF-AC27-99BA687504D0}"/>
    <cellStyle name="표준 4 5" xfId="2064" xr:uid="{DE6C544B-C3A5-4E34-9C25-A75A2A85DB82}"/>
    <cellStyle name="표준 4 6" xfId="74" xr:uid="{DCD21969-ABC0-4AD0-9D21-3D98EA360B57}"/>
    <cellStyle name="표준 4 7" xfId="46" xr:uid="{DCDC11BB-7C19-4E52-859F-C9002DD9DD96}"/>
    <cellStyle name="표준 4_05-3" xfId="1978" xr:uid="{3BD4D050-6FB5-4EBF-A2B5-3337A9C43074}"/>
    <cellStyle name="표준 5" xfId="11" xr:uid="{232B167D-F956-4F8F-892C-59E8049B8C98}"/>
    <cellStyle name="표준 5 2" xfId="1980" xr:uid="{55601845-7CA4-4FCD-A551-BB2DDC9FE636}"/>
    <cellStyle name="표준 5 3" xfId="1981" xr:uid="{8820E3CC-7CA2-4072-9BEE-B82DAC6E2E92}"/>
    <cellStyle name="표준 5 4" xfId="1979" xr:uid="{A1A38124-E7C6-4BB7-B94E-38AAE6116AA7}"/>
    <cellStyle name="표준 5 4 2" xfId="2238" xr:uid="{B0FCE052-9BFE-4502-BE4D-AAFA3A5148F6}"/>
    <cellStyle name="표준 6" xfId="13" xr:uid="{2F3F7FF9-9443-4894-A08D-1F6188B6801A}"/>
    <cellStyle name="표준 6 2" xfId="1983" xr:uid="{71EEE288-0AA3-48F5-A800-32D7EA59416D}"/>
    <cellStyle name="표준 6 3" xfId="1984" xr:uid="{62908942-8200-4C97-90D4-9F36A3999905}"/>
    <cellStyle name="표준 6 4" xfId="1982" xr:uid="{EF9CCCD4-06BE-44F0-B53B-B04D9DE4ACFB}"/>
    <cellStyle name="표준 7" xfId="16" xr:uid="{B0020842-8C3A-4B3D-9AFF-2291130AA0D1}"/>
    <cellStyle name="표준 7 2" xfId="40" xr:uid="{1EA1327D-CE48-4008-A6E0-0E49C709024A}"/>
    <cellStyle name="표준 7 2 2" xfId="1987" xr:uid="{4F0202EA-EBF8-4BA1-A88B-B3A48A9B4444}"/>
    <cellStyle name="표준 7 2 3" xfId="1988" xr:uid="{C2F63C9B-BA19-450E-BF57-8A18329D1976}"/>
    <cellStyle name="표준 7 2 4" xfId="1986" xr:uid="{6D288357-BDB1-41E6-A4CD-4B2231C40C96}"/>
    <cellStyle name="표준 7 3" xfId="1989" xr:uid="{51F9A458-552D-462B-8CE1-2C3475A5C194}"/>
    <cellStyle name="표준 7 4" xfId="1985" xr:uid="{43924201-2D84-44A4-80B4-370938ABE92C}"/>
    <cellStyle name="표준 7 4 2" xfId="2239" xr:uid="{D6774351-90AC-45D7-8D8A-85342D647CCC}"/>
    <cellStyle name="표준 73" xfId="8" xr:uid="{3BFE69D3-0F8A-4F91-B876-6ED44D206A5D}"/>
    <cellStyle name="표준 8" xfId="17" xr:uid="{7811E56E-9110-4BC4-9637-561FD5D74635}"/>
    <cellStyle name="표준 8 2" xfId="1991" xr:uid="{C7A83264-4AFE-4C33-AEFC-F1CE087468B4}"/>
    <cellStyle name="표준 8 3" xfId="1992" xr:uid="{077E60C0-BFF3-4E78-8802-272EC8202AFD}"/>
    <cellStyle name="표준 8 4" xfId="1993" xr:uid="{A861735F-C097-42B2-8212-029E7990207E}"/>
    <cellStyle name="표준 8 5" xfId="1990" xr:uid="{08BF5FC3-8126-42EA-97FA-A289D43A34C2}"/>
    <cellStyle name="표준 8 5 2" xfId="2240" xr:uid="{826ED849-4946-46AD-8524-7C4A9264853F}"/>
    <cellStyle name="표준 9" xfId="20" xr:uid="{16F1A223-0D20-4005-AE0A-1C9A315C3CBA}"/>
    <cellStyle name="표준 9 2" xfId="41" xr:uid="{68CAAAA1-899F-4036-A244-5C29EE607C5B}"/>
    <cellStyle name="표준 9 3" xfId="1995" xr:uid="{5008B41D-31B8-480B-A5D0-701566EEF267}"/>
    <cellStyle name="표준 9 4" xfId="1994" xr:uid="{F5E87441-4D3D-44A8-BAEE-AC4E5EA965A7}"/>
    <cellStyle name="標準_#4現地工程00404" xfId="1996" xr:uid="{F0EC4C03-454C-4DDD-BFEF-B694AAD21066}"/>
    <cellStyle name="하이퍼링크 2" xfId="1997" xr:uid="{F12DADD6-57C1-45D3-867E-060166002FEE}"/>
    <cellStyle name="하이퍼링크 2 2" xfId="1998" xr:uid="{7AC8E6DC-9358-46E8-9FFF-4D5336157EF2}"/>
    <cellStyle name="하이퍼링크 2 3" xfId="1999" xr:uid="{E08FB223-0263-44FC-ABE2-1402600431E0}"/>
    <cellStyle name="하이퍼링크 3" xfId="2000" xr:uid="{307BF548-D4B2-459D-9701-C91CA2BEA611}"/>
    <cellStyle name="합산" xfId="2001" xr:uid="{6F53CA96-2720-43E0-9824-C9194D1CA6DB}"/>
    <cellStyle name="桁区切り [0.00]_LC-1100G配管接続表" xfId="2002" xr:uid="{C155AE73-F3F8-4170-B859-C13CEB1534E1}"/>
    <cellStyle name="桁区切り_LC-1100G配管接続表" xfId="2003" xr:uid="{3ADA881A-F243-4107-A29A-A8340B9E34B3}"/>
    <cellStyle name="解释性文本" xfId="2004" xr:uid="{8A2589B9-52BB-47E5-83D0-B9B660D87113}"/>
    <cellStyle name="好" xfId="2005" xr:uid="{1C3BC745-8A32-47CD-8F6F-B3ED0A12C192}"/>
    <cellStyle name="好_B4 Utility summary code name 091104 구동호" xfId="2006" xr:uid="{1966C46A-806A-4F1F-8475-6510ED797162}"/>
    <cellStyle name="好_B4 Utility summary DNP reply 091030 구동호" xfId="2007" xr:uid="{A28164E4-CF3C-40B8-A959-D19543838259}"/>
    <cellStyle name="好_B4 Utility summary DNP reply091016 jp confirmed구동호" xfId="2008" xr:uid="{2A0C417B-85BD-4DD1-A075-546746E45AA9}"/>
    <cellStyle name="好_B4 Utility summary DNP reply091016구동효" xfId="2009" xr:uid="{252C0B7B-D32B-4CCB-98F9-EE885CDEEAFF}"/>
    <cellStyle name="好_B4 Utility summary unit usage(20091130 DNP-3)BOE구동호" xfId="2010" xr:uid="{02BBDBA0-D2A7-45E0-BE67-3F4E2C7C2F08}"/>
    <cellStyle name="好_B4 Utility summary unit usage(20091130 DNP-4)BOE" xfId="2011" xr:uid="{63A250EB-A0EF-4C5A-9223-816412CF2E06}"/>
    <cellStyle name="好_B4 Utility summary unit usage(20091130 DNP-4)BOE구동호" xfId="2012" xr:uid="{D3FA051B-80A3-492D-A759-87CB98D56294}"/>
    <cellStyle name="好_B4 Utility summary unit usage(20091216)_윤인수" xfId="2013" xr:uid="{90018380-BFB8-4007-8832-5E52E8FDE7DD}"/>
    <cellStyle name="好_B4 Utility summary unit usage(20091217)_구동호" xfId="2014" xr:uid="{1A1436DF-5DF2-436D-8DDC-4879AA043011}"/>
    <cellStyle name="好_B4 Utility Summary(120K)_Rev.2_(091104)_ks" xfId="2015" xr:uid="{E7E0C4C0-C054-4860-8D2A-13A8EC226457}"/>
    <cellStyle name="好_B4 Utility Summary(120K)_Rev.2_(091104)_ks_05-3" xfId="2016" xr:uid="{8604F397-600D-4F4D-A039-70B51C853A27}"/>
    <cellStyle name="好_B4 Utility Summary(120K)_Rev.2_(091104)_ks_BOE-DT B4 ROBOT Requirement_ 20100607_testupdate" xfId="2017" xr:uid="{AA43DDEF-FE6B-4D35-A211-79DE421E38F4}"/>
    <cellStyle name="好_B4 Utility Summary(120K)_Rev.7_(100121)_Test Update" xfId="2018" xr:uid="{36B1694A-2D1A-4B58-A8C6-A6746002E1BA}"/>
    <cellStyle name="好_B4 Utility Summary(120K)_Rev.7_(100121)_Test Update_05-3" xfId="2019" xr:uid="{0A590C52-391B-479E-B068-31712532DCB4}"/>
    <cellStyle name="好_B4 Utility Summary(120K)_Rev.7_(100121)_Test Update_BOE-DT B4 ROBOT Requirement_ 20100607_testupdate" xfId="2020" xr:uid="{66692FEE-7524-49E5-8D87-2235EEFFAC07}"/>
    <cellStyle name="好_B4 Utility Summary(90K) - Rev.9 (091013)" xfId="2021" xr:uid="{0192EF32-9B3A-49C7-A559-77BCB21524E8}"/>
    <cellStyle name="好_B4 Utility Summary_Module(90K) - Rev.8 (091012)" xfId="2022" xr:uid="{E07E6A6D-CAEC-4214-B8BF-145516D96F29}"/>
    <cellStyle name="好_B4 Utility Summary_Module(90K) - Rev.9 (091013)" xfId="2023" xr:uid="{4A705FD9-2D19-41FE-9F8F-20A5019CCE37}"/>
    <cellStyle name="화폐기호" xfId="2024" xr:uid="{39773D01-7986-4250-BB2A-E06EDD469B9D}"/>
    <cellStyle name="화폐기호0" xfId="2025" xr:uid="{75F11A35-E16B-4124-8EE7-A17B2DF76031}"/>
    <cellStyle name="汇总" xfId="2026" xr:uid="{9F5B097C-60B6-44C6-8285-5C4C3CEC6AC2}"/>
    <cellStyle name="汇总 2" xfId="2027" xr:uid="{FFFC9F2F-D8EC-4D7D-B733-972DCD918992}"/>
  </cellStyles>
  <dxfs count="17"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1" defaultTableStyle="TableStyleMedium2" defaultPivotStyle="PivotStyleLight16">
    <tableStyle name="Invisible" pivot="0" table="0" count="0" xr9:uid="{8D88C68A-2F02-47D5-9EEA-DFCC8919DE82}"/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2022</a:t>
            </a:r>
            <a:r>
              <a:rPr lang="ko-KR" altLang="en-US"/>
              <a:t>년 환율 변동표</a:t>
            </a:r>
            <a:endParaRPr lang="ko-KR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364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48-4BEB-B195-D6F30E939DF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[1]환율!$A$1099:$A$1463</c:f>
              <c:numCache>
                <c:formatCode>General</c:formatCode>
                <c:ptCount val="365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</c:numCache>
            </c:numRef>
          </c:cat>
          <c:val>
            <c:numRef>
              <c:f>[1]환율!$B$1099:$B$1463</c:f>
              <c:numCache>
                <c:formatCode>General</c:formatCode>
                <c:ptCount val="365"/>
                <c:pt idx="0">
                  <c:v>1185.5</c:v>
                </c:pt>
                <c:pt idx="1">
                  <c:v>1185.5</c:v>
                </c:pt>
                <c:pt idx="2">
                  <c:v>1185.5</c:v>
                </c:pt>
                <c:pt idx="3">
                  <c:v>1190.8</c:v>
                </c:pt>
                <c:pt idx="4">
                  <c:v>1194.3</c:v>
                </c:pt>
                <c:pt idx="5">
                  <c:v>1198.2</c:v>
                </c:pt>
                <c:pt idx="6">
                  <c:v>1199.5999999999999</c:v>
                </c:pt>
                <c:pt idx="7">
                  <c:v>1199.5999999999999</c:v>
                </c:pt>
                <c:pt idx="8">
                  <c:v>1199.5999999999999</c:v>
                </c:pt>
                <c:pt idx="9">
                  <c:v>1202.4000000000001</c:v>
                </c:pt>
                <c:pt idx="10">
                  <c:v>1200</c:v>
                </c:pt>
                <c:pt idx="11">
                  <c:v>1195.2</c:v>
                </c:pt>
                <c:pt idx="12">
                  <c:v>1189.9000000000001</c:v>
                </c:pt>
                <c:pt idx="13">
                  <c:v>1188.2</c:v>
                </c:pt>
                <c:pt idx="14">
                  <c:v>1188.2</c:v>
                </c:pt>
                <c:pt idx="15">
                  <c:v>1188.2</c:v>
                </c:pt>
                <c:pt idx="16">
                  <c:v>1187.5999999999999</c:v>
                </c:pt>
                <c:pt idx="17">
                  <c:v>1192.3</c:v>
                </c:pt>
                <c:pt idx="18">
                  <c:v>1188.9000000000001</c:v>
                </c:pt>
                <c:pt idx="19">
                  <c:v>1191.8</c:v>
                </c:pt>
                <c:pt idx="20">
                  <c:v>1190.4000000000001</c:v>
                </c:pt>
                <c:pt idx="21">
                  <c:v>1190.4000000000001</c:v>
                </c:pt>
                <c:pt idx="22">
                  <c:v>1190.4000000000001</c:v>
                </c:pt>
                <c:pt idx="23">
                  <c:v>1193.5999999999999</c:v>
                </c:pt>
                <c:pt idx="24">
                  <c:v>1194.2</c:v>
                </c:pt>
                <c:pt idx="25">
                  <c:v>1197.8</c:v>
                </c:pt>
                <c:pt idx="26">
                  <c:v>1197</c:v>
                </c:pt>
                <c:pt idx="27">
                  <c:v>1202.4000000000001</c:v>
                </c:pt>
                <c:pt idx="28">
                  <c:v>1202.4000000000001</c:v>
                </c:pt>
                <c:pt idx="29">
                  <c:v>1202.4000000000001</c:v>
                </c:pt>
                <c:pt idx="30">
                  <c:v>1202.4000000000001</c:v>
                </c:pt>
                <c:pt idx="31">
                  <c:v>1202.4000000000001</c:v>
                </c:pt>
                <c:pt idx="32">
                  <c:v>1202.4000000000001</c:v>
                </c:pt>
                <c:pt idx="33">
                  <c:v>1205.7</c:v>
                </c:pt>
                <c:pt idx="34">
                  <c:v>1205.4000000000001</c:v>
                </c:pt>
                <c:pt idx="35">
                  <c:v>1205.4000000000001</c:v>
                </c:pt>
                <c:pt idx="36">
                  <c:v>1205.4000000000001</c:v>
                </c:pt>
                <c:pt idx="37">
                  <c:v>1199.5</c:v>
                </c:pt>
                <c:pt idx="38">
                  <c:v>1199.4000000000001</c:v>
                </c:pt>
                <c:pt idx="39">
                  <c:v>1197.8</c:v>
                </c:pt>
                <c:pt idx="40">
                  <c:v>1196</c:v>
                </c:pt>
                <c:pt idx="41">
                  <c:v>1196</c:v>
                </c:pt>
                <c:pt idx="42">
                  <c:v>1196</c:v>
                </c:pt>
                <c:pt idx="43">
                  <c:v>1196</c:v>
                </c:pt>
                <c:pt idx="44">
                  <c:v>1199.5999999999999</c:v>
                </c:pt>
                <c:pt idx="45">
                  <c:v>1198.3</c:v>
                </c:pt>
                <c:pt idx="46">
                  <c:v>1198.5</c:v>
                </c:pt>
                <c:pt idx="47">
                  <c:v>1196.9000000000001</c:v>
                </c:pt>
                <c:pt idx="48">
                  <c:v>1197.0999999999999</c:v>
                </c:pt>
                <c:pt idx="49">
                  <c:v>1197.0999999999999</c:v>
                </c:pt>
                <c:pt idx="50">
                  <c:v>1197.0999999999999</c:v>
                </c:pt>
                <c:pt idx="51">
                  <c:v>1196.4000000000001</c:v>
                </c:pt>
                <c:pt idx="52">
                  <c:v>1194.5999999999999</c:v>
                </c:pt>
                <c:pt idx="53">
                  <c:v>1194.7</c:v>
                </c:pt>
                <c:pt idx="54">
                  <c:v>1192.0999999999999</c:v>
                </c:pt>
                <c:pt idx="55">
                  <c:v>1199.4000000000001</c:v>
                </c:pt>
                <c:pt idx="56">
                  <c:v>1199.4000000000001</c:v>
                </c:pt>
                <c:pt idx="57">
                  <c:v>1199.4000000000001</c:v>
                </c:pt>
                <c:pt idx="58">
                  <c:v>1202.7</c:v>
                </c:pt>
                <c:pt idx="59">
                  <c:v>1202.7</c:v>
                </c:pt>
                <c:pt idx="60">
                  <c:v>1205.5999999999999</c:v>
                </c:pt>
                <c:pt idx="61">
                  <c:v>1205</c:v>
                </c:pt>
                <c:pt idx="62">
                  <c:v>1203.5999999999999</c:v>
                </c:pt>
                <c:pt idx="63">
                  <c:v>1203.5999999999999</c:v>
                </c:pt>
                <c:pt idx="64">
                  <c:v>1203.5999999999999</c:v>
                </c:pt>
                <c:pt idx="65">
                  <c:v>1211.5</c:v>
                </c:pt>
                <c:pt idx="66">
                  <c:v>1225.4000000000001</c:v>
                </c:pt>
                <c:pt idx="67">
                  <c:v>1225.4000000000001</c:v>
                </c:pt>
                <c:pt idx="68">
                  <c:v>1234.5</c:v>
                </c:pt>
                <c:pt idx="69">
                  <c:v>1228.7</c:v>
                </c:pt>
                <c:pt idx="70">
                  <c:v>1228.7</c:v>
                </c:pt>
                <c:pt idx="71">
                  <c:v>1228.7</c:v>
                </c:pt>
                <c:pt idx="72">
                  <c:v>1232.4000000000001</c:v>
                </c:pt>
                <c:pt idx="73">
                  <c:v>1238.5999999999999</c:v>
                </c:pt>
                <c:pt idx="74">
                  <c:v>1241.7</c:v>
                </c:pt>
                <c:pt idx="75">
                  <c:v>1240.4000000000001</c:v>
                </c:pt>
                <c:pt idx="76">
                  <c:v>1220.5999999999999</c:v>
                </c:pt>
                <c:pt idx="77">
                  <c:v>1220.5999999999999</c:v>
                </c:pt>
                <c:pt idx="78">
                  <c:v>1220.5999999999999</c:v>
                </c:pt>
                <c:pt idx="79">
                  <c:v>1211.0999999999999</c:v>
                </c:pt>
                <c:pt idx="80">
                  <c:v>1213.7</c:v>
                </c:pt>
                <c:pt idx="81">
                  <c:v>1221.4000000000001</c:v>
                </c:pt>
                <c:pt idx="82">
                  <c:v>1212.7</c:v>
                </c:pt>
                <c:pt idx="83">
                  <c:v>1219.4000000000001</c:v>
                </c:pt>
                <c:pt idx="84">
                  <c:v>1219.4000000000001</c:v>
                </c:pt>
                <c:pt idx="85">
                  <c:v>1219.4000000000001</c:v>
                </c:pt>
                <c:pt idx="86">
                  <c:v>1218.3</c:v>
                </c:pt>
                <c:pt idx="87">
                  <c:v>1225.7</c:v>
                </c:pt>
                <c:pt idx="88">
                  <c:v>1220.5</c:v>
                </c:pt>
                <c:pt idx="89">
                  <c:v>1210.8</c:v>
                </c:pt>
                <c:pt idx="90">
                  <c:v>1210.7</c:v>
                </c:pt>
                <c:pt idx="91">
                  <c:v>1210.7</c:v>
                </c:pt>
                <c:pt idx="92">
                  <c:v>1210.7</c:v>
                </c:pt>
                <c:pt idx="93">
                  <c:v>1216.0999999999999</c:v>
                </c:pt>
                <c:pt idx="94">
                  <c:v>1216.7</c:v>
                </c:pt>
                <c:pt idx="95">
                  <c:v>1212.5999999999999</c:v>
                </c:pt>
                <c:pt idx="96">
                  <c:v>1219.0999999999999</c:v>
                </c:pt>
                <c:pt idx="97">
                  <c:v>1218.5</c:v>
                </c:pt>
                <c:pt idx="98">
                  <c:v>1218.5</c:v>
                </c:pt>
                <c:pt idx="99">
                  <c:v>1218.5</c:v>
                </c:pt>
                <c:pt idx="100">
                  <c:v>1224</c:v>
                </c:pt>
                <c:pt idx="101">
                  <c:v>1232</c:v>
                </c:pt>
                <c:pt idx="102">
                  <c:v>1236.5999999999999</c:v>
                </c:pt>
                <c:pt idx="103">
                  <c:v>1227.7</c:v>
                </c:pt>
                <c:pt idx="104">
                  <c:v>1224.2</c:v>
                </c:pt>
                <c:pt idx="105">
                  <c:v>1224.2</c:v>
                </c:pt>
                <c:pt idx="106">
                  <c:v>1224.2</c:v>
                </c:pt>
                <c:pt idx="107">
                  <c:v>1230.0999999999999</c:v>
                </c:pt>
                <c:pt idx="108">
                  <c:v>1232.8</c:v>
                </c:pt>
                <c:pt idx="109">
                  <c:v>1234.9000000000001</c:v>
                </c:pt>
                <c:pt idx="110">
                  <c:v>1237.0999999999999</c:v>
                </c:pt>
                <c:pt idx="111">
                  <c:v>1236.4000000000001</c:v>
                </c:pt>
                <c:pt idx="112">
                  <c:v>1236.4000000000001</c:v>
                </c:pt>
                <c:pt idx="113">
                  <c:v>1236.4000000000001</c:v>
                </c:pt>
                <c:pt idx="114">
                  <c:v>1241.7</c:v>
                </c:pt>
                <c:pt idx="115">
                  <c:v>1247.0999999999999</c:v>
                </c:pt>
                <c:pt idx="116">
                  <c:v>1248.3</c:v>
                </c:pt>
                <c:pt idx="117">
                  <c:v>1263.0999999999999</c:v>
                </c:pt>
                <c:pt idx="118">
                  <c:v>1269.4000000000001</c:v>
                </c:pt>
                <c:pt idx="119">
                  <c:v>1269.4000000000001</c:v>
                </c:pt>
                <c:pt idx="120">
                  <c:v>1269.4000000000001</c:v>
                </c:pt>
                <c:pt idx="121">
                  <c:v>1265.4000000000001</c:v>
                </c:pt>
                <c:pt idx="122">
                  <c:v>1265.8</c:v>
                </c:pt>
                <c:pt idx="123">
                  <c:v>1265.7</c:v>
                </c:pt>
                <c:pt idx="124">
                  <c:v>1265.7</c:v>
                </c:pt>
                <c:pt idx="125">
                  <c:v>1261.8</c:v>
                </c:pt>
                <c:pt idx="126">
                  <c:v>1261.8</c:v>
                </c:pt>
                <c:pt idx="127">
                  <c:v>1261.8</c:v>
                </c:pt>
                <c:pt idx="128">
                  <c:v>1272.7</c:v>
                </c:pt>
                <c:pt idx="129">
                  <c:v>1274.5999999999999</c:v>
                </c:pt>
                <c:pt idx="130">
                  <c:v>1275.5</c:v>
                </c:pt>
                <c:pt idx="131">
                  <c:v>1277</c:v>
                </c:pt>
                <c:pt idx="132">
                  <c:v>1286.4000000000001</c:v>
                </c:pt>
                <c:pt idx="133">
                  <c:v>1286.4000000000001</c:v>
                </c:pt>
                <c:pt idx="134">
                  <c:v>1286.4000000000001</c:v>
                </c:pt>
                <c:pt idx="135">
                  <c:v>1286</c:v>
                </c:pt>
                <c:pt idx="136">
                  <c:v>1281.5999999999999</c:v>
                </c:pt>
                <c:pt idx="137">
                  <c:v>1277.2</c:v>
                </c:pt>
                <c:pt idx="138">
                  <c:v>1269.3</c:v>
                </c:pt>
                <c:pt idx="139">
                  <c:v>1274.5999999999999</c:v>
                </c:pt>
                <c:pt idx="140">
                  <c:v>1274.5999999999999</c:v>
                </c:pt>
                <c:pt idx="141">
                  <c:v>1274.5999999999999</c:v>
                </c:pt>
                <c:pt idx="142">
                  <c:v>1269.5</c:v>
                </c:pt>
                <c:pt idx="143">
                  <c:v>1267.7</c:v>
                </c:pt>
                <c:pt idx="144">
                  <c:v>1264.3</c:v>
                </c:pt>
                <c:pt idx="145">
                  <c:v>1263.3</c:v>
                </c:pt>
                <c:pt idx="146">
                  <c:v>1266.4000000000001</c:v>
                </c:pt>
                <c:pt idx="147">
                  <c:v>1266.4000000000001</c:v>
                </c:pt>
                <c:pt idx="148">
                  <c:v>1266.4000000000001</c:v>
                </c:pt>
                <c:pt idx="149">
                  <c:v>1256.9000000000001</c:v>
                </c:pt>
                <c:pt idx="150">
                  <c:v>1245.8</c:v>
                </c:pt>
                <c:pt idx="151">
                  <c:v>1245.8</c:v>
                </c:pt>
                <c:pt idx="152">
                  <c:v>1238.4000000000001</c:v>
                </c:pt>
                <c:pt idx="153">
                  <c:v>1251.2</c:v>
                </c:pt>
                <c:pt idx="154">
                  <c:v>1251.2</c:v>
                </c:pt>
                <c:pt idx="155">
                  <c:v>1251.2</c:v>
                </c:pt>
                <c:pt idx="156">
                  <c:v>1251.2</c:v>
                </c:pt>
                <c:pt idx="157">
                  <c:v>1241.0999999999999</c:v>
                </c:pt>
                <c:pt idx="158">
                  <c:v>1257.0999999999999</c:v>
                </c:pt>
                <c:pt idx="159">
                  <c:v>1255.4000000000001</c:v>
                </c:pt>
                <c:pt idx="160">
                  <c:v>1257.5999999999999</c:v>
                </c:pt>
                <c:pt idx="161">
                  <c:v>1257.5999999999999</c:v>
                </c:pt>
                <c:pt idx="162">
                  <c:v>1257.5999999999999</c:v>
                </c:pt>
                <c:pt idx="163">
                  <c:v>1266</c:v>
                </c:pt>
                <c:pt idx="164">
                  <c:v>1286</c:v>
                </c:pt>
                <c:pt idx="165">
                  <c:v>1289.7</c:v>
                </c:pt>
                <c:pt idx="166">
                  <c:v>1291.3</c:v>
                </c:pt>
                <c:pt idx="167">
                  <c:v>1284.0999999999999</c:v>
                </c:pt>
                <c:pt idx="168">
                  <c:v>1284.0999999999999</c:v>
                </c:pt>
                <c:pt idx="169">
                  <c:v>1284.0999999999999</c:v>
                </c:pt>
                <c:pt idx="170">
                  <c:v>1287.5</c:v>
                </c:pt>
                <c:pt idx="171">
                  <c:v>1291.7</c:v>
                </c:pt>
                <c:pt idx="172">
                  <c:v>1290.5999999999999</c:v>
                </c:pt>
                <c:pt idx="173">
                  <c:v>1295.7</c:v>
                </c:pt>
                <c:pt idx="174">
                  <c:v>1300.7</c:v>
                </c:pt>
                <c:pt idx="175">
                  <c:v>1300.7</c:v>
                </c:pt>
                <c:pt idx="176">
                  <c:v>1300.7</c:v>
                </c:pt>
                <c:pt idx="177">
                  <c:v>1299.4000000000001</c:v>
                </c:pt>
                <c:pt idx="178">
                  <c:v>1285.5999999999999</c:v>
                </c:pt>
                <c:pt idx="179">
                  <c:v>1284.9000000000001</c:v>
                </c:pt>
                <c:pt idx="180">
                  <c:v>1292.9000000000001</c:v>
                </c:pt>
                <c:pt idx="181">
                  <c:v>1299.8</c:v>
                </c:pt>
                <c:pt idx="182">
                  <c:v>1299.8</c:v>
                </c:pt>
                <c:pt idx="183">
                  <c:v>1299.8</c:v>
                </c:pt>
                <c:pt idx="184">
                  <c:v>1294.2</c:v>
                </c:pt>
                <c:pt idx="185">
                  <c:v>1297.9000000000001</c:v>
                </c:pt>
                <c:pt idx="186">
                  <c:v>1298</c:v>
                </c:pt>
                <c:pt idx="187">
                  <c:v>1307.4000000000001</c:v>
                </c:pt>
                <c:pt idx="188">
                  <c:v>1302.7</c:v>
                </c:pt>
                <c:pt idx="189">
                  <c:v>1302.7</c:v>
                </c:pt>
                <c:pt idx="190">
                  <c:v>1302.7</c:v>
                </c:pt>
                <c:pt idx="191">
                  <c:v>1299.3</c:v>
                </c:pt>
                <c:pt idx="192">
                  <c:v>1300.5999999999999</c:v>
                </c:pt>
                <c:pt idx="193">
                  <c:v>1312.9</c:v>
                </c:pt>
                <c:pt idx="194">
                  <c:v>1305.9000000000001</c:v>
                </c:pt>
                <c:pt idx="195">
                  <c:v>1310</c:v>
                </c:pt>
                <c:pt idx="196">
                  <c:v>1310</c:v>
                </c:pt>
                <c:pt idx="197">
                  <c:v>1310</c:v>
                </c:pt>
                <c:pt idx="198">
                  <c:v>1323.7</c:v>
                </c:pt>
                <c:pt idx="199">
                  <c:v>1317.8</c:v>
                </c:pt>
                <c:pt idx="200">
                  <c:v>1314.9</c:v>
                </c:pt>
                <c:pt idx="201">
                  <c:v>1308.5999999999999</c:v>
                </c:pt>
                <c:pt idx="202">
                  <c:v>1312.1</c:v>
                </c:pt>
                <c:pt idx="203">
                  <c:v>1312.1</c:v>
                </c:pt>
                <c:pt idx="204">
                  <c:v>1312.1</c:v>
                </c:pt>
                <c:pt idx="205">
                  <c:v>1311.7</c:v>
                </c:pt>
                <c:pt idx="206">
                  <c:v>1311</c:v>
                </c:pt>
                <c:pt idx="207">
                  <c:v>1310</c:v>
                </c:pt>
                <c:pt idx="208">
                  <c:v>1312.8</c:v>
                </c:pt>
                <c:pt idx="209">
                  <c:v>1304</c:v>
                </c:pt>
                <c:pt idx="210">
                  <c:v>1304</c:v>
                </c:pt>
                <c:pt idx="211">
                  <c:v>1304</c:v>
                </c:pt>
                <c:pt idx="212">
                  <c:v>1298.5999999999999</c:v>
                </c:pt>
                <c:pt idx="213">
                  <c:v>1306.4000000000001</c:v>
                </c:pt>
                <c:pt idx="214">
                  <c:v>1307.2</c:v>
                </c:pt>
                <c:pt idx="215">
                  <c:v>1310.5</c:v>
                </c:pt>
                <c:pt idx="216">
                  <c:v>1309.7</c:v>
                </c:pt>
                <c:pt idx="217">
                  <c:v>1309.7</c:v>
                </c:pt>
                <c:pt idx="218">
                  <c:v>1309.7</c:v>
                </c:pt>
                <c:pt idx="219">
                  <c:v>1299.3</c:v>
                </c:pt>
                <c:pt idx="220">
                  <c:v>1304.8</c:v>
                </c:pt>
                <c:pt idx="221">
                  <c:v>1305.0999999999999</c:v>
                </c:pt>
                <c:pt idx="222">
                  <c:v>1309.0999999999999</c:v>
                </c:pt>
                <c:pt idx="223">
                  <c:v>1302.5</c:v>
                </c:pt>
                <c:pt idx="224">
                  <c:v>1302.5</c:v>
                </c:pt>
                <c:pt idx="225">
                  <c:v>1302.5</c:v>
                </c:pt>
                <c:pt idx="226">
                  <c:v>1302.5</c:v>
                </c:pt>
                <c:pt idx="227">
                  <c:v>1303.0999999999999</c:v>
                </c:pt>
                <c:pt idx="228">
                  <c:v>1309.5999999999999</c:v>
                </c:pt>
                <c:pt idx="229">
                  <c:v>1309.8</c:v>
                </c:pt>
                <c:pt idx="230">
                  <c:v>1317.3</c:v>
                </c:pt>
                <c:pt idx="231">
                  <c:v>1317.3</c:v>
                </c:pt>
                <c:pt idx="232">
                  <c:v>1317.3</c:v>
                </c:pt>
                <c:pt idx="233">
                  <c:v>1326.7</c:v>
                </c:pt>
                <c:pt idx="234">
                  <c:v>1338.2</c:v>
                </c:pt>
                <c:pt idx="235">
                  <c:v>1341.8</c:v>
                </c:pt>
                <c:pt idx="236">
                  <c:v>1341.4</c:v>
                </c:pt>
                <c:pt idx="237">
                  <c:v>1336.9</c:v>
                </c:pt>
                <c:pt idx="238">
                  <c:v>1336.9</c:v>
                </c:pt>
                <c:pt idx="239">
                  <c:v>1336.9</c:v>
                </c:pt>
                <c:pt idx="240">
                  <c:v>1332.5</c:v>
                </c:pt>
                <c:pt idx="241">
                  <c:v>1347.7</c:v>
                </c:pt>
                <c:pt idx="242">
                  <c:v>1347.5</c:v>
                </c:pt>
                <c:pt idx="243">
                  <c:v>1345.1</c:v>
                </c:pt>
                <c:pt idx="244">
                  <c:v>1351.4</c:v>
                </c:pt>
                <c:pt idx="245">
                  <c:v>1351.4</c:v>
                </c:pt>
                <c:pt idx="246">
                  <c:v>1351.4</c:v>
                </c:pt>
                <c:pt idx="247">
                  <c:v>1356.5</c:v>
                </c:pt>
                <c:pt idx="248">
                  <c:v>1369.7</c:v>
                </c:pt>
                <c:pt idx="249">
                  <c:v>1370.3</c:v>
                </c:pt>
                <c:pt idx="250">
                  <c:v>1385.3</c:v>
                </c:pt>
                <c:pt idx="251">
                  <c:v>1385.3</c:v>
                </c:pt>
                <c:pt idx="252">
                  <c:v>1385.3</c:v>
                </c:pt>
                <c:pt idx="253">
                  <c:v>1385.3</c:v>
                </c:pt>
                <c:pt idx="254">
                  <c:v>1385.3</c:v>
                </c:pt>
                <c:pt idx="255">
                  <c:v>1381.2</c:v>
                </c:pt>
                <c:pt idx="256">
                  <c:v>1374.8</c:v>
                </c:pt>
                <c:pt idx="257">
                  <c:v>1391.7</c:v>
                </c:pt>
                <c:pt idx="258">
                  <c:v>1394.2</c:v>
                </c:pt>
                <c:pt idx="259">
                  <c:v>1394.2</c:v>
                </c:pt>
                <c:pt idx="260">
                  <c:v>1394.2</c:v>
                </c:pt>
                <c:pt idx="261">
                  <c:v>1394.2</c:v>
                </c:pt>
                <c:pt idx="262">
                  <c:v>1390.1</c:v>
                </c:pt>
                <c:pt idx="263">
                  <c:v>1389.1</c:v>
                </c:pt>
                <c:pt idx="264">
                  <c:v>1393.6</c:v>
                </c:pt>
                <c:pt idx="265">
                  <c:v>1408</c:v>
                </c:pt>
                <c:pt idx="266">
                  <c:v>1408</c:v>
                </c:pt>
                <c:pt idx="267">
                  <c:v>1408</c:v>
                </c:pt>
                <c:pt idx="268">
                  <c:v>1408.4</c:v>
                </c:pt>
                <c:pt idx="269">
                  <c:v>1429.7</c:v>
                </c:pt>
                <c:pt idx="270">
                  <c:v>1427.2</c:v>
                </c:pt>
                <c:pt idx="271">
                  <c:v>1436.5</c:v>
                </c:pt>
                <c:pt idx="272">
                  <c:v>1434.8</c:v>
                </c:pt>
                <c:pt idx="273">
                  <c:v>1434.8</c:v>
                </c:pt>
                <c:pt idx="274">
                  <c:v>1434.8</c:v>
                </c:pt>
                <c:pt idx="275">
                  <c:v>1434.8</c:v>
                </c:pt>
                <c:pt idx="276">
                  <c:v>1432.1</c:v>
                </c:pt>
                <c:pt idx="277">
                  <c:v>1431.2</c:v>
                </c:pt>
                <c:pt idx="278">
                  <c:v>1419.1</c:v>
                </c:pt>
                <c:pt idx="279">
                  <c:v>1404.2</c:v>
                </c:pt>
                <c:pt idx="280">
                  <c:v>1404.2</c:v>
                </c:pt>
                <c:pt idx="281">
                  <c:v>1404.2</c:v>
                </c:pt>
                <c:pt idx="282">
                  <c:v>1404.2</c:v>
                </c:pt>
                <c:pt idx="283">
                  <c:v>1410.3</c:v>
                </c:pt>
                <c:pt idx="284">
                  <c:v>1433.5</c:v>
                </c:pt>
                <c:pt idx="285">
                  <c:v>1430.4</c:v>
                </c:pt>
                <c:pt idx="286">
                  <c:v>1427</c:v>
                </c:pt>
                <c:pt idx="287">
                  <c:v>1427</c:v>
                </c:pt>
                <c:pt idx="288">
                  <c:v>1427</c:v>
                </c:pt>
                <c:pt idx="289">
                  <c:v>1428.9</c:v>
                </c:pt>
                <c:pt idx="290">
                  <c:v>1436.6</c:v>
                </c:pt>
                <c:pt idx="291">
                  <c:v>1425.6</c:v>
                </c:pt>
                <c:pt idx="292">
                  <c:v>1420.6</c:v>
                </c:pt>
                <c:pt idx="293">
                  <c:v>1431.7</c:v>
                </c:pt>
                <c:pt idx="294">
                  <c:v>1431.7</c:v>
                </c:pt>
                <c:pt idx="295">
                  <c:v>1431.7</c:v>
                </c:pt>
                <c:pt idx="296">
                  <c:v>1436.6</c:v>
                </c:pt>
                <c:pt idx="297">
                  <c:v>1436.6</c:v>
                </c:pt>
                <c:pt idx="298">
                  <c:v>1436.5</c:v>
                </c:pt>
                <c:pt idx="299">
                  <c:v>1428.2</c:v>
                </c:pt>
                <c:pt idx="300">
                  <c:v>1418.1</c:v>
                </c:pt>
                <c:pt idx="301">
                  <c:v>1418.1</c:v>
                </c:pt>
                <c:pt idx="302">
                  <c:v>1418.1</c:v>
                </c:pt>
                <c:pt idx="303">
                  <c:v>1419.3</c:v>
                </c:pt>
                <c:pt idx="304">
                  <c:v>1422.2</c:v>
                </c:pt>
                <c:pt idx="305">
                  <c:v>1421.7</c:v>
                </c:pt>
                <c:pt idx="306">
                  <c:v>1418</c:v>
                </c:pt>
                <c:pt idx="307">
                  <c:v>1422.1</c:v>
                </c:pt>
                <c:pt idx="308">
                  <c:v>1422.1</c:v>
                </c:pt>
                <c:pt idx="309">
                  <c:v>1422.1</c:v>
                </c:pt>
                <c:pt idx="310">
                  <c:v>1422.4</c:v>
                </c:pt>
                <c:pt idx="311">
                  <c:v>1406.5</c:v>
                </c:pt>
                <c:pt idx="312">
                  <c:v>1387.3</c:v>
                </c:pt>
                <c:pt idx="313">
                  <c:v>1368.3</c:v>
                </c:pt>
                <c:pt idx="314">
                  <c:v>1370.1</c:v>
                </c:pt>
                <c:pt idx="315">
                  <c:v>1370.1</c:v>
                </c:pt>
                <c:pt idx="316">
                  <c:v>1370.1</c:v>
                </c:pt>
                <c:pt idx="317">
                  <c:v>1334.1</c:v>
                </c:pt>
                <c:pt idx="318">
                  <c:v>1320.3</c:v>
                </c:pt>
                <c:pt idx="319">
                  <c:v>1322.4</c:v>
                </c:pt>
                <c:pt idx="320">
                  <c:v>1325.6</c:v>
                </c:pt>
                <c:pt idx="321">
                  <c:v>1338.4</c:v>
                </c:pt>
                <c:pt idx="322">
                  <c:v>1338.4</c:v>
                </c:pt>
                <c:pt idx="323">
                  <c:v>1338.4</c:v>
                </c:pt>
                <c:pt idx="324">
                  <c:v>1340</c:v>
                </c:pt>
                <c:pt idx="325">
                  <c:v>1352.3</c:v>
                </c:pt>
                <c:pt idx="326">
                  <c:v>1355.7</c:v>
                </c:pt>
                <c:pt idx="327">
                  <c:v>1352.3</c:v>
                </c:pt>
                <c:pt idx="328">
                  <c:v>1333.2</c:v>
                </c:pt>
                <c:pt idx="329">
                  <c:v>1333.2</c:v>
                </c:pt>
                <c:pt idx="330">
                  <c:v>1333.2</c:v>
                </c:pt>
                <c:pt idx="331">
                  <c:v>1326.8</c:v>
                </c:pt>
                <c:pt idx="332">
                  <c:v>1339</c:v>
                </c:pt>
                <c:pt idx="333">
                  <c:v>1331.5</c:v>
                </c:pt>
                <c:pt idx="334">
                  <c:v>1320.1</c:v>
                </c:pt>
                <c:pt idx="335">
                  <c:v>1300.8</c:v>
                </c:pt>
                <c:pt idx="336">
                  <c:v>1300.8</c:v>
                </c:pt>
                <c:pt idx="337">
                  <c:v>1300.8</c:v>
                </c:pt>
                <c:pt idx="338">
                  <c:v>1300.4000000000001</c:v>
                </c:pt>
                <c:pt idx="339">
                  <c:v>1293.2</c:v>
                </c:pt>
                <c:pt idx="340">
                  <c:v>1309</c:v>
                </c:pt>
                <c:pt idx="341">
                  <c:v>1319.5</c:v>
                </c:pt>
                <c:pt idx="342">
                  <c:v>1320.4</c:v>
                </c:pt>
                <c:pt idx="343">
                  <c:v>1320.4</c:v>
                </c:pt>
                <c:pt idx="344">
                  <c:v>1320.4</c:v>
                </c:pt>
                <c:pt idx="345">
                  <c:v>1306.5999999999999</c:v>
                </c:pt>
                <c:pt idx="346">
                  <c:v>1310</c:v>
                </c:pt>
                <c:pt idx="347">
                  <c:v>1304.4000000000001</c:v>
                </c:pt>
                <c:pt idx="348">
                  <c:v>1296</c:v>
                </c:pt>
                <c:pt idx="349">
                  <c:v>1301</c:v>
                </c:pt>
                <c:pt idx="350">
                  <c:v>1301</c:v>
                </c:pt>
                <c:pt idx="351">
                  <c:v>1301</c:v>
                </c:pt>
                <c:pt idx="352">
                  <c:v>1310.0999999999999</c:v>
                </c:pt>
                <c:pt idx="353">
                  <c:v>1302</c:v>
                </c:pt>
                <c:pt idx="354">
                  <c:v>1298</c:v>
                </c:pt>
                <c:pt idx="355">
                  <c:v>1286.5999999999999</c:v>
                </c:pt>
                <c:pt idx="356">
                  <c:v>1276.0999999999999</c:v>
                </c:pt>
                <c:pt idx="357">
                  <c:v>1276.0999999999999</c:v>
                </c:pt>
                <c:pt idx="358">
                  <c:v>1276.0999999999999</c:v>
                </c:pt>
                <c:pt idx="359">
                  <c:v>1282.2</c:v>
                </c:pt>
                <c:pt idx="360">
                  <c:v>1276.4000000000001</c:v>
                </c:pt>
                <c:pt idx="361">
                  <c:v>1268.3</c:v>
                </c:pt>
                <c:pt idx="362">
                  <c:v>1268.4000000000001</c:v>
                </c:pt>
                <c:pt idx="363">
                  <c:v>1267.3</c:v>
                </c:pt>
                <c:pt idx="364">
                  <c:v>1267.3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48-4BEB-B195-D6F30E939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478128"/>
        <c:axId val="703478520"/>
      </c:lineChart>
      <c:catAx>
        <c:axId val="703478128"/>
        <c:scaling>
          <c:orientation val="minMax"/>
          <c:min val="-348"/>
        </c:scaling>
        <c:delete val="0"/>
        <c:axPos val="b"/>
        <c:numFmt formatCode="General" sourceLinked="1"/>
        <c:majorTickMark val="none"/>
        <c:minorTickMark val="none"/>
        <c:tickLblPos val="nextTo"/>
        <c:crossAx val="703478520"/>
        <c:crosses val="autoZero"/>
        <c:auto val="1"/>
        <c:lblAlgn val="ctr"/>
        <c:lblOffset val="100"/>
        <c:noMultiLvlLbl val="1"/>
      </c:catAx>
      <c:valAx>
        <c:axId val="703478520"/>
        <c:scaling>
          <c:orientation val="minMax"/>
          <c:max val="1500"/>
          <c:min val="1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7034781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1003357</xdr:colOff>
      <xdr:row>0</xdr:row>
      <xdr:rowOff>91441</xdr:rowOff>
    </xdr:from>
    <xdr:to>
      <xdr:col>11</xdr:col>
      <xdr:colOff>0</xdr:colOff>
      <xdr:row>4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68A94A8-EF5C-4BEA-8EBB-CB3BCD572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57" y="91441"/>
          <a:ext cx="4239203" cy="1356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511867</xdr:colOff>
      <xdr:row>0</xdr:row>
      <xdr:rowOff>55246</xdr:rowOff>
    </xdr:from>
    <xdr:to>
      <xdr:col>10</xdr:col>
      <xdr:colOff>1183088</xdr:colOff>
      <xdr:row>5</xdr:row>
      <xdr:rowOff>17145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BE2C497-7838-4D23-9C25-74E9C8AAF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6324" y="55246"/>
          <a:ext cx="4234067" cy="1348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828675</xdr:colOff>
      <xdr:row>1440</xdr:row>
      <xdr:rowOff>0</xdr:rowOff>
    </xdr:from>
    <xdr:to>
      <xdr:col>10</xdr:col>
      <xdr:colOff>352425</xdr:colOff>
      <xdr:row>1453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853839A-7401-4D5A-989D-BE1EBF9B7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70.240\&#44221;&#47532;&#54016;\3.%20&#54924;&#44228;_&#44208;&#49328;%20&#51088;&#47308;(2017&#45380;~&#54788;&#51116;)\15.%20&#50900;&#47560;&#44048;\&#47588;&#52636;\2026&#45380;\2026&#45380;%20&#49688;&#52636;%20(2026.04).xlsx" TargetMode="External"/><Relationship Id="rId1" Type="http://schemas.openxmlformats.org/officeDocument/2006/relationships/externalLinkPath" Target="file:///\\192.168.70.240\&#44221;&#47532;&#54016;\3.%20&#54924;&#44228;_&#44208;&#49328;%20&#51088;&#47308;(2017&#45380;~&#54788;&#51116;)\15.%20&#50900;&#47560;&#44048;\&#47588;&#52636;\2026&#45380;\2026&#45380;%20&#49688;&#52636;%20(2026.0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1.01 (갑)"/>
      <sheetName val="21.01 (을)"/>
      <sheetName val="21.02 (갑)"/>
      <sheetName val="21.02 (을)"/>
      <sheetName val="21.03 (갑)"/>
      <sheetName val="21.03 (을)"/>
      <sheetName val="21.04 (갑)"/>
      <sheetName val="21.04 (을)"/>
      <sheetName val="21.05 (갑)"/>
      <sheetName val="21.05 (을)"/>
      <sheetName val="21.06 (갑)"/>
      <sheetName val="21.06 (을)"/>
      <sheetName val="21.07 (갑)"/>
      <sheetName val="21.07 (을)"/>
      <sheetName val="21.08 (갑)"/>
      <sheetName val="21.08 (을)"/>
      <sheetName val="21.09 (갑)"/>
      <sheetName val="21.09 (을)"/>
      <sheetName val="21.10 (갑)"/>
      <sheetName val="21.10 (을)"/>
      <sheetName val="21.11 (갑)"/>
      <sheetName val="21.11 (을)"/>
      <sheetName val="21.12 (갑)"/>
      <sheetName val="21.12 (을)"/>
      <sheetName val="22.01 (갑)"/>
      <sheetName val="22.01 (을)"/>
      <sheetName val="22.02 (갑)"/>
      <sheetName val="22.02 (을)"/>
      <sheetName val="22.03 (갑)"/>
      <sheetName val="22.03 (을)"/>
      <sheetName val="22.04 (갑)"/>
      <sheetName val="22.04 (을)"/>
      <sheetName val="22.05 (갑)"/>
      <sheetName val="22.05 (을)"/>
      <sheetName val="22.06 (갑) "/>
      <sheetName val="22.06 (을) "/>
      <sheetName val="22.07 (갑)"/>
      <sheetName val="22.07 (을)"/>
      <sheetName val="22.08 (갑)"/>
      <sheetName val="22.08 (을)"/>
      <sheetName val="22.09 (갑)"/>
      <sheetName val="22.09 (을)"/>
      <sheetName val="22.10 (갑)"/>
      <sheetName val="22.10 (을)"/>
      <sheetName val="22.11 (갑) "/>
      <sheetName val="22.11 (을)"/>
      <sheetName val="22.12 (갑)"/>
      <sheetName val="22.12 (을)"/>
      <sheetName val="22.11(이월)"/>
      <sheetName val="23.01 (갑)"/>
      <sheetName val="23.01 (을)"/>
      <sheetName val="23.02 (갑)"/>
      <sheetName val="23.02 (을)"/>
      <sheetName val="23.03 (갑)"/>
      <sheetName val="23.03 (을)"/>
      <sheetName val="23.04 (갑)"/>
      <sheetName val="23.04 (을)"/>
      <sheetName val="23.05 (갑)"/>
      <sheetName val="23.05 (을)"/>
      <sheetName val="23.06 (갑)"/>
      <sheetName val="23.06 (을)"/>
      <sheetName val="23.07 (갑)"/>
      <sheetName val="23.07 (을)"/>
      <sheetName val="23.08 (갑)"/>
      <sheetName val="23.09 (갑)"/>
      <sheetName val="23.10 (갑)"/>
      <sheetName val="23.11 (갑)"/>
      <sheetName val="23.12 (갑)"/>
      <sheetName val="24.01 (갑)"/>
      <sheetName val="24.02 (갑)"/>
      <sheetName val="24.03 (갑)"/>
      <sheetName val="24.04 (갑)"/>
      <sheetName val="24.05 (갑)"/>
      <sheetName val="24.06 (갑)"/>
      <sheetName val="24.07 (갑) "/>
      <sheetName val="24.08 (갑) "/>
      <sheetName val="24.09 (갑)"/>
      <sheetName val="24.10 (갑)"/>
      <sheetName val="24.11 (갑)"/>
      <sheetName val="Sheet3"/>
      <sheetName val="24.12 (갑) "/>
      <sheetName val="Sheet4"/>
      <sheetName val="25.01 (갑) "/>
      <sheetName val="25.02 (갑) "/>
      <sheetName val="25.03 (갑)"/>
      <sheetName val="25.04 (갑)"/>
      <sheetName val="25.05 (갑)"/>
      <sheetName val="25.06 (갑)"/>
      <sheetName val="25.7 (갑)"/>
      <sheetName val="25.8 (갑)"/>
      <sheetName val="25.9 (갑)"/>
      <sheetName val="25.10 (갑) "/>
      <sheetName val="25.11 (갑)"/>
      <sheetName val="25.12 (갑)"/>
      <sheetName val="26.01 (갑)"/>
      <sheetName val="26.02 (갑)"/>
      <sheetName val="26.02(NEW)"/>
      <sheetName val="26.03(NEW)"/>
      <sheetName val="26.04(NEW)"/>
      <sheetName val="환율"/>
      <sheetName val="Sheet6"/>
      <sheetName val="Sheet5"/>
      <sheetName val="면장 검토 (2)"/>
      <sheetName val="Sheet1 (2)"/>
      <sheetName val="면장 검토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1099">
          <cell r="A1099">
            <v>44562</v>
          </cell>
          <cell r="B1099">
            <v>1185.5</v>
          </cell>
        </row>
        <row r="1100">
          <cell r="A1100">
            <v>44563</v>
          </cell>
          <cell r="B1100">
            <v>1185.5</v>
          </cell>
        </row>
        <row r="1101">
          <cell r="A1101">
            <v>44564</v>
          </cell>
          <cell r="B1101">
            <v>1185.5</v>
          </cell>
        </row>
        <row r="1102">
          <cell r="A1102">
            <v>44565</v>
          </cell>
          <cell r="B1102">
            <v>1190.8</v>
          </cell>
        </row>
        <row r="1103">
          <cell r="A1103">
            <v>44566</v>
          </cell>
          <cell r="B1103">
            <v>1194.3</v>
          </cell>
        </row>
        <row r="1104">
          <cell r="A1104">
            <v>44567</v>
          </cell>
          <cell r="B1104">
            <v>1198.2</v>
          </cell>
        </row>
        <row r="1105">
          <cell r="A1105">
            <v>44568</v>
          </cell>
          <cell r="B1105">
            <v>1199.5999999999999</v>
          </cell>
        </row>
        <row r="1106">
          <cell r="A1106">
            <v>44569</v>
          </cell>
          <cell r="B1106">
            <v>1199.5999999999999</v>
          </cell>
        </row>
        <row r="1107">
          <cell r="A1107">
            <v>44570</v>
          </cell>
          <cell r="B1107">
            <v>1199.5999999999999</v>
          </cell>
        </row>
        <row r="1108">
          <cell r="A1108">
            <v>44571</v>
          </cell>
          <cell r="B1108">
            <v>1202.4000000000001</v>
          </cell>
        </row>
        <row r="1109">
          <cell r="A1109">
            <v>44572</v>
          </cell>
          <cell r="B1109">
            <v>1200</v>
          </cell>
        </row>
        <row r="1110">
          <cell r="A1110">
            <v>44573</v>
          </cell>
          <cell r="B1110">
            <v>1195.2</v>
          </cell>
        </row>
        <row r="1111">
          <cell r="A1111">
            <v>44574</v>
          </cell>
          <cell r="B1111">
            <v>1189.9000000000001</v>
          </cell>
        </row>
        <row r="1112">
          <cell r="A1112">
            <v>44575</v>
          </cell>
          <cell r="B1112">
            <v>1188.2</v>
          </cell>
        </row>
        <row r="1113">
          <cell r="A1113">
            <v>44576</v>
          </cell>
          <cell r="B1113">
            <v>1188.2</v>
          </cell>
        </row>
        <row r="1114">
          <cell r="A1114">
            <v>44577</v>
          </cell>
          <cell r="B1114">
            <v>1188.2</v>
          </cell>
        </row>
        <row r="1115">
          <cell r="A1115">
            <v>44578</v>
          </cell>
          <cell r="B1115">
            <v>1187.5999999999999</v>
          </cell>
        </row>
        <row r="1116">
          <cell r="A1116">
            <v>44579</v>
          </cell>
          <cell r="B1116">
            <v>1192.3</v>
          </cell>
        </row>
        <row r="1117">
          <cell r="A1117">
            <v>44580</v>
          </cell>
          <cell r="B1117">
            <v>1188.9000000000001</v>
          </cell>
        </row>
        <row r="1118">
          <cell r="A1118">
            <v>44581</v>
          </cell>
          <cell r="B1118">
            <v>1191.8</v>
          </cell>
        </row>
        <row r="1119">
          <cell r="A1119">
            <v>44582</v>
          </cell>
          <cell r="B1119">
            <v>1190.4000000000001</v>
          </cell>
        </row>
        <row r="1120">
          <cell r="A1120">
            <v>44583</v>
          </cell>
          <cell r="B1120">
            <v>1190.4000000000001</v>
          </cell>
        </row>
        <row r="1121">
          <cell r="A1121">
            <v>44584</v>
          </cell>
          <cell r="B1121">
            <v>1190.4000000000001</v>
          </cell>
        </row>
        <row r="1122">
          <cell r="A1122">
            <v>44585</v>
          </cell>
          <cell r="B1122">
            <v>1193.5999999999999</v>
          </cell>
        </row>
        <row r="1123">
          <cell r="A1123">
            <v>44586</v>
          </cell>
          <cell r="B1123">
            <v>1194.2</v>
          </cell>
        </row>
        <row r="1124">
          <cell r="A1124">
            <v>44587</v>
          </cell>
          <cell r="B1124">
            <v>1197.8</v>
          </cell>
        </row>
        <row r="1125">
          <cell r="A1125">
            <v>44588</v>
          </cell>
          <cell r="B1125">
            <v>1197</v>
          </cell>
        </row>
        <row r="1126">
          <cell r="A1126">
            <v>44589</v>
          </cell>
          <cell r="B1126">
            <v>1202.4000000000001</v>
          </cell>
        </row>
        <row r="1127">
          <cell r="A1127">
            <v>44590</v>
          </cell>
          <cell r="B1127">
            <v>1202.4000000000001</v>
          </cell>
        </row>
        <row r="1128">
          <cell r="A1128">
            <v>44591</v>
          </cell>
          <cell r="B1128">
            <v>1202.4000000000001</v>
          </cell>
        </row>
        <row r="1129">
          <cell r="A1129">
            <v>44592</v>
          </cell>
          <cell r="B1129">
            <v>1202.4000000000001</v>
          </cell>
        </row>
        <row r="1130">
          <cell r="A1130">
            <v>44593</v>
          </cell>
          <cell r="B1130">
            <v>1202.4000000000001</v>
          </cell>
        </row>
        <row r="1131">
          <cell r="A1131">
            <v>44594</v>
          </cell>
          <cell r="B1131">
            <v>1202.4000000000001</v>
          </cell>
        </row>
        <row r="1132">
          <cell r="A1132">
            <v>44595</v>
          </cell>
          <cell r="B1132">
            <v>1205.7</v>
          </cell>
        </row>
        <row r="1133">
          <cell r="A1133">
            <v>44596</v>
          </cell>
          <cell r="B1133">
            <v>1205.4000000000001</v>
          </cell>
        </row>
        <row r="1134">
          <cell r="A1134">
            <v>44597</v>
          </cell>
          <cell r="B1134">
            <v>1205.4000000000001</v>
          </cell>
        </row>
        <row r="1135">
          <cell r="A1135">
            <v>44598</v>
          </cell>
          <cell r="B1135">
            <v>1205.4000000000001</v>
          </cell>
        </row>
        <row r="1136">
          <cell r="A1136">
            <v>44599</v>
          </cell>
          <cell r="B1136">
            <v>1199.5</v>
          </cell>
        </row>
        <row r="1137">
          <cell r="A1137">
            <v>44600</v>
          </cell>
          <cell r="B1137">
            <v>1199.4000000000001</v>
          </cell>
        </row>
        <row r="1138">
          <cell r="A1138">
            <v>44601</v>
          </cell>
          <cell r="B1138">
            <v>1197.8</v>
          </cell>
        </row>
        <row r="1139">
          <cell r="A1139">
            <v>44602</v>
          </cell>
          <cell r="B1139">
            <v>1196</v>
          </cell>
        </row>
        <row r="1140">
          <cell r="A1140">
            <v>44603</v>
          </cell>
          <cell r="B1140">
            <v>1196</v>
          </cell>
        </row>
        <row r="1141">
          <cell r="A1141">
            <v>44604</v>
          </cell>
          <cell r="B1141">
            <v>1196</v>
          </cell>
        </row>
        <row r="1142">
          <cell r="A1142">
            <v>44605</v>
          </cell>
          <cell r="B1142">
            <v>1196</v>
          </cell>
        </row>
        <row r="1143">
          <cell r="A1143">
            <v>44606</v>
          </cell>
          <cell r="B1143">
            <v>1199.5999999999999</v>
          </cell>
        </row>
        <row r="1144">
          <cell r="A1144">
            <v>44607</v>
          </cell>
          <cell r="B1144">
            <v>1198.3</v>
          </cell>
        </row>
        <row r="1145">
          <cell r="A1145">
            <v>44608</v>
          </cell>
          <cell r="B1145">
            <v>1198.5</v>
          </cell>
        </row>
        <row r="1146">
          <cell r="A1146">
            <v>44609</v>
          </cell>
          <cell r="B1146">
            <v>1196.9000000000001</v>
          </cell>
        </row>
        <row r="1147">
          <cell r="A1147">
            <v>44610</v>
          </cell>
          <cell r="B1147">
            <v>1197.0999999999999</v>
          </cell>
        </row>
        <row r="1148">
          <cell r="A1148">
            <v>44611</v>
          </cell>
          <cell r="B1148">
            <v>1197.0999999999999</v>
          </cell>
        </row>
        <row r="1149">
          <cell r="A1149">
            <v>44612</v>
          </cell>
          <cell r="B1149">
            <v>1197.0999999999999</v>
          </cell>
        </row>
        <row r="1150">
          <cell r="A1150">
            <v>44613</v>
          </cell>
          <cell r="B1150">
            <v>1196.4000000000001</v>
          </cell>
        </row>
        <row r="1151">
          <cell r="A1151">
            <v>44614</v>
          </cell>
          <cell r="B1151">
            <v>1194.5999999999999</v>
          </cell>
        </row>
        <row r="1152">
          <cell r="A1152">
            <v>44615</v>
          </cell>
          <cell r="B1152">
            <v>1194.7</v>
          </cell>
        </row>
        <row r="1153">
          <cell r="A1153">
            <v>44616</v>
          </cell>
          <cell r="B1153">
            <v>1192.0999999999999</v>
          </cell>
        </row>
        <row r="1154">
          <cell r="A1154">
            <v>44617</v>
          </cell>
          <cell r="B1154">
            <v>1199.4000000000001</v>
          </cell>
        </row>
        <row r="1155">
          <cell r="A1155">
            <v>44618</v>
          </cell>
          <cell r="B1155">
            <v>1199.4000000000001</v>
          </cell>
        </row>
        <row r="1156">
          <cell r="A1156">
            <v>44619</v>
          </cell>
          <cell r="B1156">
            <v>1199.4000000000001</v>
          </cell>
        </row>
        <row r="1157">
          <cell r="A1157">
            <v>44620</v>
          </cell>
          <cell r="B1157">
            <v>1202.7</v>
          </cell>
        </row>
        <row r="1158">
          <cell r="A1158">
            <v>44621</v>
          </cell>
          <cell r="B1158">
            <v>1202.7</v>
          </cell>
        </row>
        <row r="1159">
          <cell r="A1159">
            <v>44622</v>
          </cell>
          <cell r="B1159">
            <v>1205.5999999999999</v>
          </cell>
        </row>
        <row r="1160">
          <cell r="A1160">
            <v>44623</v>
          </cell>
          <cell r="B1160">
            <v>1205</v>
          </cell>
        </row>
        <row r="1161">
          <cell r="A1161">
            <v>44624</v>
          </cell>
          <cell r="B1161">
            <v>1203.5999999999999</v>
          </cell>
        </row>
        <row r="1162">
          <cell r="A1162">
            <v>44625</v>
          </cell>
          <cell r="B1162">
            <v>1203.5999999999999</v>
          </cell>
        </row>
        <row r="1163">
          <cell r="A1163">
            <v>44626</v>
          </cell>
          <cell r="B1163">
            <v>1203.5999999999999</v>
          </cell>
        </row>
        <row r="1164">
          <cell r="A1164">
            <v>44627</v>
          </cell>
          <cell r="B1164">
            <v>1211.5</v>
          </cell>
        </row>
        <row r="1165">
          <cell r="A1165">
            <v>44628</v>
          </cell>
          <cell r="B1165">
            <v>1225.4000000000001</v>
          </cell>
        </row>
        <row r="1166">
          <cell r="A1166">
            <v>44629</v>
          </cell>
          <cell r="B1166">
            <v>1225.4000000000001</v>
          </cell>
        </row>
        <row r="1167">
          <cell r="A1167">
            <v>44630</v>
          </cell>
          <cell r="B1167">
            <v>1234.5</v>
          </cell>
        </row>
        <row r="1168">
          <cell r="A1168">
            <v>44631</v>
          </cell>
          <cell r="B1168">
            <v>1228.7</v>
          </cell>
        </row>
        <row r="1169">
          <cell r="A1169">
            <v>44632</v>
          </cell>
          <cell r="B1169">
            <v>1228.7</v>
          </cell>
        </row>
        <row r="1170">
          <cell r="A1170">
            <v>44633</v>
          </cell>
          <cell r="B1170">
            <v>1228.7</v>
          </cell>
        </row>
        <row r="1171">
          <cell r="A1171">
            <v>44634</v>
          </cell>
          <cell r="B1171">
            <v>1232.4000000000001</v>
          </cell>
        </row>
        <row r="1172">
          <cell r="A1172">
            <v>44635</v>
          </cell>
          <cell r="B1172">
            <v>1238.5999999999999</v>
          </cell>
        </row>
        <row r="1173">
          <cell r="A1173">
            <v>44636</v>
          </cell>
          <cell r="B1173">
            <v>1241.7</v>
          </cell>
        </row>
        <row r="1174">
          <cell r="A1174">
            <v>44637</v>
          </cell>
          <cell r="B1174">
            <v>1240.4000000000001</v>
          </cell>
        </row>
        <row r="1175">
          <cell r="A1175">
            <v>44638</v>
          </cell>
          <cell r="B1175">
            <v>1220.5999999999999</v>
          </cell>
        </row>
        <row r="1176">
          <cell r="A1176">
            <v>44639</v>
          </cell>
          <cell r="B1176">
            <v>1220.5999999999999</v>
          </cell>
        </row>
        <row r="1177">
          <cell r="A1177">
            <v>44640</v>
          </cell>
          <cell r="B1177">
            <v>1220.5999999999999</v>
          </cell>
        </row>
        <row r="1178">
          <cell r="A1178">
            <v>44641</v>
          </cell>
          <cell r="B1178">
            <v>1211.0999999999999</v>
          </cell>
        </row>
        <row r="1179">
          <cell r="A1179">
            <v>44642</v>
          </cell>
          <cell r="B1179">
            <v>1213.7</v>
          </cell>
        </row>
        <row r="1180">
          <cell r="A1180">
            <v>44643</v>
          </cell>
          <cell r="B1180">
            <v>1221.4000000000001</v>
          </cell>
        </row>
        <row r="1181">
          <cell r="A1181">
            <v>44644</v>
          </cell>
          <cell r="B1181">
            <v>1212.7</v>
          </cell>
        </row>
        <row r="1182">
          <cell r="A1182">
            <v>44645</v>
          </cell>
          <cell r="B1182">
            <v>1219.4000000000001</v>
          </cell>
        </row>
        <row r="1183">
          <cell r="A1183">
            <v>44646</v>
          </cell>
          <cell r="B1183">
            <v>1219.4000000000001</v>
          </cell>
        </row>
        <row r="1184">
          <cell r="A1184">
            <v>44647</v>
          </cell>
          <cell r="B1184">
            <v>1219.4000000000001</v>
          </cell>
        </row>
        <row r="1185">
          <cell r="A1185">
            <v>44648</v>
          </cell>
          <cell r="B1185">
            <v>1218.3</v>
          </cell>
        </row>
        <row r="1186">
          <cell r="A1186">
            <v>44649</v>
          </cell>
          <cell r="B1186">
            <v>1225.7</v>
          </cell>
        </row>
        <row r="1187">
          <cell r="A1187">
            <v>44650</v>
          </cell>
          <cell r="B1187">
            <v>1220.5</v>
          </cell>
        </row>
        <row r="1188">
          <cell r="A1188">
            <v>44651</v>
          </cell>
          <cell r="B1188">
            <v>1210.8</v>
          </cell>
        </row>
        <row r="1189">
          <cell r="A1189">
            <v>44652</v>
          </cell>
          <cell r="B1189">
            <v>1210.7</v>
          </cell>
        </row>
        <row r="1190">
          <cell r="A1190">
            <v>44653</v>
          </cell>
          <cell r="B1190">
            <v>1210.7</v>
          </cell>
        </row>
        <row r="1191">
          <cell r="A1191">
            <v>44654</v>
          </cell>
          <cell r="B1191">
            <v>1210.7</v>
          </cell>
        </row>
        <row r="1192">
          <cell r="A1192">
            <v>44655</v>
          </cell>
          <cell r="B1192">
            <v>1216.0999999999999</v>
          </cell>
        </row>
        <row r="1193">
          <cell r="A1193">
            <v>44656</v>
          </cell>
          <cell r="B1193">
            <v>1216.7</v>
          </cell>
        </row>
        <row r="1194">
          <cell r="A1194">
            <v>44657</v>
          </cell>
          <cell r="B1194">
            <v>1212.5999999999999</v>
          </cell>
        </row>
        <row r="1195">
          <cell r="A1195">
            <v>44658</v>
          </cell>
          <cell r="B1195">
            <v>1219.0999999999999</v>
          </cell>
        </row>
        <row r="1196">
          <cell r="A1196">
            <v>44659</v>
          </cell>
          <cell r="B1196">
            <v>1218.5</v>
          </cell>
        </row>
        <row r="1197">
          <cell r="A1197">
            <v>44660</v>
          </cell>
          <cell r="B1197">
            <v>1218.5</v>
          </cell>
        </row>
        <row r="1198">
          <cell r="A1198">
            <v>44661</v>
          </cell>
          <cell r="B1198">
            <v>1218.5</v>
          </cell>
        </row>
        <row r="1199">
          <cell r="A1199">
            <v>44662</v>
          </cell>
          <cell r="B1199">
            <v>1224</v>
          </cell>
        </row>
        <row r="1200">
          <cell r="A1200">
            <v>44663</v>
          </cell>
          <cell r="B1200">
            <v>1232</v>
          </cell>
        </row>
        <row r="1201">
          <cell r="A1201">
            <v>44664</v>
          </cell>
          <cell r="B1201">
            <v>1236.5999999999999</v>
          </cell>
        </row>
        <row r="1202">
          <cell r="A1202">
            <v>44665</v>
          </cell>
          <cell r="B1202">
            <v>1227.7</v>
          </cell>
        </row>
        <row r="1203">
          <cell r="A1203">
            <v>44666</v>
          </cell>
          <cell r="B1203">
            <v>1224.2</v>
          </cell>
        </row>
        <row r="1204">
          <cell r="A1204">
            <v>44667</v>
          </cell>
          <cell r="B1204">
            <v>1224.2</v>
          </cell>
        </row>
        <row r="1205">
          <cell r="A1205">
            <v>44668</v>
          </cell>
          <cell r="B1205">
            <v>1224.2</v>
          </cell>
        </row>
        <row r="1206">
          <cell r="A1206">
            <v>44669</v>
          </cell>
          <cell r="B1206">
            <v>1230.0999999999999</v>
          </cell>
        </row>
        <row r="1207">
          <cell r="A1207">
            <v>44670</v>
          </cell>
          <cell r="B1207">
            <v>1232.8</v>
          </cell>
        </row>
        <row r="1208">
          <cell r="A1208">
            <v>44671</v>
          </cell>
          <cell r="B1208">
            <v>1234.9000000000001</v>
          </cell>
        </row>
        <row r="1209">
          <cell r="A1209">
            <v>44672</v>
          </cell>
          <cell r="B1209">
            <v>1237.0999999999999</v>
          </cell>
        </row>
        <row r="1210">
          <cell r="A1210">
            <v>44673</v>
          </cell>
          <cell r="B1210">
            <v>1236.4000000000001</v>
          </cell>
        </row>
        <row r="1211">
          <cell r="A1211">
            <v>44674</v>
          </cell>
          <cell r="B1211">
            <v>1236.4000000000001</v>
          </cell>
        </row>
        <row r="1212">
          <cell r="A1212">
            <v>44675</v>
          </cell>
          <cell r="B1212">
            <v>1236.4000000000001</v>
          </cell>
        </row>
        <row r="1213">
          <cell r="A1213">
            <v>44676</v>
          </cell>
          <cell r="B1213">
            <v>1241.7</v>
          </cell>
        </row>
        <row r="1214">
          <cell r="A1214">
            <v>44677</v>
          </cell>
          <cell r="B1214">
            <v>1247.0999999999999</v>
          </cell>
        </row>
        <row r="1215">
          <cell r="A1215">
            <v>44678</v>
          </cell>
          <cell r="B1215">
            <v>1248.3</v>
          </cell>
        </row>
        <row r="1216">
          <cell r="A1216">
            <v>44679</v>
          </cell>
          <cell r="B1216">
            <v>1263.0999999999999</v>
          </cell>
        </row>
        <row r="1217">
          <cell r="A1217">
            <v>44680</v>
          </cell>
          <cell r="B1217">
            <v>1269.4000000000001</v>
          </cell>
        </row>
        <row r="1218">
          <cell r="A1218">
            <v>44681</v>
          </cell>
          <cell r="B1218">
            <v>1269.4000000000001</v>
          </cell>
        </row>
        <row r="1219">
          <cell r="A1219">
            <v>44682</v>
          </cell>
          <cell r="B1219">
            <v>1269.4000000000001</v>
          </cell>
        </row>
        <row r="1220">
          <cell r="A1220">
            <v>44683</v>
          </cell>
          <cell r="B1220">
            <v>1265.4000000000001</v>
          </cell>
        </row>
        <row r="1221">
          <cell r="A1221">
            <v>44684</v>
          </cell>
          <cell r="B1221">
            <v>1265.8</v>
          </cell>
        </row>
        <row r="1222">
          <cell r="A1222">
            <v>44685</v>
          </cell>
          <cell r="B1222">
            <v>1265.7</v>
          </cell>
        </row>
        <row r="1223">
          <cell r="A1223">
            <v>44686</v>
          </cell>
          <cell r="B1223">
            <v>1265.7</v>
          </cell>
        </row>
        <row r="1224">
          <cell r="A1224">
            <v>44687</v>
          </cell>
          <cell r="B1224">
            <v>1261.8</v>
          </cell>
        </row>
        <row r="1225">
          <cell r="A1225">
            <v>44688</v>
          </cell>
          <cell r="B1225">
            <v>1261.8</v>
          </cell>
        </row>
        <row r="1226">
          <cell r="A1226">
            <v>44689</v>
          </cell>
          <cell r="B1226">
            <v>1261.8</v>
          </cell>
        </row>
        <row r="1227">
          <cell r="A1227">
            <v>44690</v>
          </cell>
          <cell r="B1227">
            <v>1272.7</v>
          </cell>
        </row>
        <row r="1228">
          <cell r="A1228">
            <v>44691</v>
          </cell>
          <cell r="B1228">
            <v>1274.5999999999999</v>
          </cell>
        </row>
        <row r="1229">
          <cell r="A1229">
            <v>44692</v>
          </cell>
          <cell r="B1229">
            <v>1275.5</v>
          </cell>
        </row>
        <row r="1230">
          <cell r="A1230">
            <v>44693</v>
          </cell>
          <cell r="B1230">
            <v>1277</v>
          </cell>
        </row>
        <row r="1231">
          <cell r="A1231">
            <v>44694</v>
          </cell>
          <cell r="B1231">
            <v>1286.4000000000001</v>
          </cell>
        </row>
        <row r="1232">
          <cell r="A1232">
            <v>44695</v>
          </cell>
          <cell r="B1232">
            <v>1286.4000000000001</v>
          </cell>
        </row>
        <row r="1233">
          <cell r="A1233">
            <v>44696</v>
          </cell>
          <cell r="B1233">
            <v>1286.4000000000001</v>
          </cell>
        </row>
        <row r="1234">
          <cell r="A1234">
            <v>44697</v>
          </cell>
          <cell r="B1234">
            <v>1286</v>
          </cell>
        </row>
        <row r="1235">
          <cell r="A1235">
            <v>44698</v>
          </cell>
          <cell r="B1235">
            <v>1281.5999999999999</v>
          </cell>
        </row>
        <row r="1236">
          <cell r="A1236">
            <v>44699</v>
          </cell>
          <cell r="B1236">
            <v>1277.2</v>
          </cell>
        </row>
        <row r="1237">
          <cell r="A1237">
            <v>44700</v>
          </cell>
          <cell r="B1237">
            <v>1269.3</v>
          </cell>
        </row>
        <row r="1238">
          <cell r="A1238">
            <v>44701</v>
          </cell>
          <cell r="B1238">
            <v>1274.5999999999999</v>
          </cell>
        </row>
        <row r="1239">
          <cell r="A1239">
            <v>44702</v>
          </cell>
          <cell r="B1239">
            <v>1274.5999999999999</v>
          </cell>
        </row>
        <row r="1240">
          <cell r="A1240">
            <v>44703</v>
          </cell>
          <cell r="B1240">
            <v>1274.5999999999999</v>
          </cell>
        </row>
        <row r="1241">
          <cell r="A1241">
            <v>44704</v>
          </cell>
          <cell r="B1241">
            <v>1269.5</v>
          </cell>
        </row>
        <row r="1242">
          <cell r="A1242">
            <v>44705</v>
          </cell>
          <cell r="B1242">
            <v>1267.7</v>
          </cell>
        </row>
        <row r="1243">
          <cell r="A1243">
            <v>44706</v>
          </cell>
          <cell r="B1243">
            <v>1264.3</v>
          </cell>
        </row>
        <row r="1244">
          <cell r="A1244">
            <v>44707</v>
          </cell>
          <cell r="B1244">
            <v>1263.3</v>
          </cell>
        </row>
        <row r="1245">
          <cell r="A1245">
            <v>44708</v>
          </cell>
          <cell r="B1245">
            <v>1266.4000000000001</v>
          </cell>
        </row>
        <row r="1246">
          <cell r="A1246">
            <v>44709</v>
          </cell>
          <cell r="B1246">
            <v>1266.4000000000001</v>
          </cell>
        </row>
        <row r="1247">
          <cell r="A1247">
            <v>44710</v>
          </cell>
          <cell r="B1247">
            <v>1266.4000000000001</v>
          </cell>
        </row>
        <row r="1248">
          <cell r="A1248">
            <v>44711</v>
          </cell>
          <cell r="B1248">
            <v>1256.9000000000001</v>
          </cell>
        </row>
        <row r="1249">
          <cell r="A1249">
            <v>44712</v>
          </cell>
          <cell r="B1249">
            <v>1245.8</v>
          </cell>
        </row>
        <row r="1250">
          <cell r="A1250">
            <v>44713</v>
          </cell>
          <cell r="B1250">
            <v>1245.8</v>
          </cell>
        </row>
        <row r="1251">
          <cell r="A1251">
            <v>44714</v>
          </cell>
          <cell r="B1251">
            <v>1238.4000000000001</v>
          </cell>
        </row>
        <row r="1252">
          <cell r="A1252">
            <v>44715</v>
          </cell>
          <cell r="B1252">
            <v>1251.2</v>
          </cell>
        </row>
        <row r="1253">
          <cell r="A1253">
            <v>44716</v>
          </cell>
          <cell r="B1253">
            <v>1251.2</v>
          </cell>
        </row>
        <row r="1254">
          <cell r="A1254">
            <v>44717</v>
          </cell>
          <cell r="B1254">
            <v>1251.2</v>
          </cell>
        </row>
        <row r="1255">
          <cell r="A1255">
            <v>44718</v>
          </cell>
          <cell r="B1255">
            <v>1251.2</v>
          </cell>
        </row>
        <row r="1256">
          <cell r="A1256">
            <v>44719</v>
          </cell>
          <cell r="B1256">
            <v>1241.0999999999999</v>
          </cell>
        </row>
        <row r="1257">
          <cell r="A1257">
            <v>44720</v>
          </cell>
          <cell r="B1257">
            <v>1257.0999999999999</v>
          </cell>
        </row>
        <row r="1258">
          <cell r="A1258">
            <v>44721</v>
          </cell>
          <cell r="B1258">
            <v>1255.4000000000001</v>
          </cell>
        </row>
        <row r="1259">
          <cell r="A1259">
            <v>44722</v>
          </cell>
          <cell r="B1259">
            <v>1257.5999999999999</v>
          </cell>
        </row>
        <row r="1260">
          <cell r="A1260">
            <v>44723</v>
          </cell>
          <cell r="B1260">
            <v>1257.5999999999999</v>
          </cell>
        </row>
        <row r="1261">
          <cell r="A1261">
            <v>44724</v>
          </cell>
          <cell r="B1261">
            <v>1257.5999999999999</v>
          </cell>
        </row>
        <row r="1262">
          <cell r="A1262">
            <v>44725</v>
          </cell>
          <cell r="B1262">
            <v>1266</v>
          </cell>
        </row>
        <row r="1263">
          <cell r="A1263">
            <v>44726</v>
          </cell>
          <cell r="B1263">
            <v>1286</v>
          </cell>
        </row>
        <row r="1264">
          <cell r="A1264">
            <v>44727</v>
          </cell>
          <cell r="B1264">
            <v>1289.7</v>
          </cell>
        </row>
        <row r="1265">
          <cell r="A1265">
            <v>44728</v>
          </cell>
          <cell r="B1265">
            <v>1291.3</v>
          </cell>
        </row>
        <row r="1266">
          <cell r="A1266">
            <v>44729</v>
          </cell>
          <cell r="B1266">
            <v>1284.0999999999999</v>
          </cell>
        </row>
        <row r="1267">
          <cell r="A1267">
            <v>44730</v>
          </cell>
          <cell r="B1267">
            <v>1284.0999999999999</v>
          </cell>
        </row>
        <row r="1268">
          <cell r="A1268">
            <v>44731</v>
          </cell>
          <cell r="B1268">
            <v>1284.0999999999999</v>
          </cell>
        </row>
        <row r="1269">
          <cell r="A1269">
            <v>44732</v>
          </cell>
          <cell r="B1269">
            <v>1287.5</v>
          </cell>
        </row>
        <row r="1270">
          <cell r="A1270">
            <v>44733</v>
          </cell>
          <cell r="B1270">
            <v>1291.7</v>
          </cell>
        </row>
        <row r="1271">
          <cell r="A1271">
            <v>44734</v>
          </cell>
          <cell r="B1271">
            <v>1290.5999999999999</v>
          </cell>
        </row>
        <row r="1272">
          <cell r="A1272">
            <v>44735</v>
          </cell>
          <cell r="B1272">
            <v>1295.7</v>
          </cell>
        </row>
        <row r="1273">
          <cell r="A1273">
            <v>44736</v>
          </cell>
          <cell r="B1273">
            <v>1300.7</v>
          </cell>
        </row>
        <row r="1274">
          <cell r="A1274">
            <v>44737</v>
          </cell>
          <cell r="B1274">
            <v>1300.7</v>
          </cell>
        </row>
        <row r="1275">
          <cell r="A1275">
            <v>44738</v>
          </cell>
          <cell r="B1275">
            <v>1300.7</v>
          </cell>
        </row>
        <row r="1276">
          <cell r="A1276">
            <v>44739</v>
          </cell>
          <cell r="B1276">
            <v>1299.4000000000001</v>
          </cell>
        </row>
        <row r="1277">
          <cell r="A1277">
            <v>44740</v>
          </cell>
          <cell r="B1277">
            <v>1285.5999999999999</v>
          </cell>
        </row>
        <row r="1278">
          <cell r="A1278">
            <v>44741</v>
          </cell>
          <cell r="B1278">
            <v>1284.9000000000001</v>
          </cell>
        </row>
        <row r="1279">
          <cell r="A1279">
            <v>44742</v>
          </cell>
          <cell r="B1279">
            <v>1292.9000000000001</v>
          </cell>
        </row>
        <row r="1280">
          <cell r="A1280">
            <v>44743</v>
          </cell>
          <cell r="B1280">
            <v>1299.8</v>
          </cell>
        </row>
        <row r="1281">
          <cell r="A1281">
            <v>44744</v>
          </cell>
          <cell r="B1281">
            <v>1299.8</v>
          </cell>
        </row>
        <row r="1282">
          <cell r="A1282">
            <v>44745</v>
          </cell>
          <cell r="B1282">
            <v>1299.8</v>
          </cell>
        </row>
        <row r="1283">
          <cell r="A1283">
            <v>44746</v>
          </cell>
          <cell r="B1283">
            <v>1294.2</v>
          </cell>
        </row>
        <row r="1284">
          <cell r="A1284">
            <v>44747</v>
          </cell>
          <cell r="B1284">
            <v>1297.9000000000001</v>
          </cell>
        </row>
        <row r="1285">
          <cell r="A1285">
            <v>44748</v>
          </cell>
          <cell r="B1285">
            <v>1298</v>
          </cell>
        </row>
        <row r="1286">
          <cell r="A1286">
            <v>44749</v>
          </cell>
          <cell r="B1286">
            <v>1307.4000000000001</v>
          </cell>
        </row>
        <row r="1287">
          <cell r="A1287">
            <v>44750</v>
          </cell>
          <cell r="B1287">
            <v>1302.7</v>
          </cell>
        </row>
        <row r="1288">
          <cell r="A1288">
            <v>44751</v>
          </cell>
          <cell r="B1288">
            <v>1302.7</v>
          </cell>
        </row>
        <row r="1289">
          <cell r="A1289">
            <v>44752</v>
          </cell>
          <cell r="B1289">
            <v>1302.7</v>
          </cell>
        </row>
        <row r="1290">
          <cell r="A1290">
            <v>44753</v>
          </cell>
          <cell r="B1290">
            <v>1299.3</v>
          </cell>
        </row>
        <row r="1291">
          <cell r="A1291">
            <v>44754</v>
          </cell>
          <cell r="B1291">
            <v>1300.5999999999999</v>
          </cell>
        </row>
        <row r="1292">
          <cell r="A1292">
            <v>44755</v>
          </cell>
          <cell r="B1292">
            <v>1312.9</v>
          </cell>
        </row>
        <row r="1293">
          <cell r="A1293">
            <v>44756</v>
          </cell>
          <cell r="B1293">
            <v>1305.9000000000001</v>
          </cell>
        </row>
        <row r="1294">
          <cell r="A1294">
            <v>44757</v>
          </cell>
          <cell r="B1294">
            <v>1310</v>
          </cell>
        </row>
        <row r="1295">
          <cell r="A1295">
            <v>44758</v>
          </cell>
          <cell r="B1295">
            <v>1310</v>
          </cell>
        </row>
        <row r="1296">
          <cell r="A1296">
            <v>44759</v>
          </cell>
          <cell r="B1296">
            <v>1310</v>
          </cell>
        </row>
        <row r="1297">
          <cell r="A1297">
            <v>44760</v>
          </cell>
          <cell r="B1297">
            <v>1323.7</v>
          </cell>
        </row>
        <row r="1298">
          <cell r="A1298">
            <v>44761</v>
          </cell>
          <cell r="B1298">
            <v>1317.8</v>
          </cell>
        </row>
        <row r="1299">
          <cell r="A1299">
            <v>44762</v>
          </cell>
          <cell r="B1299">
            <v>1314.9</v>
          </cell>
        </row>
        <row r="1300">
          <cell r="A1300">
            <v>44763</v>
          </cell>
          <cell r="B1300">
            <v>1308.5999999999999</v>
          </cell>
        </row>
        <row r="1301">
          <cell r="A1301">
            <v>44764</v>
          </cell>
          <cell r="B1301">
            <v>1312.1</v>
          </cell>
        </row>
        <row r="1302">
          <cell r="A1302">
            <v>44765</v>
          </cell>
          <cell r="B1302">
            <v>1312.1</v>
          </cell>
        </row>
        <row r="1303">
          <cell r="A1303">
            <v>44766</v>
          </cell>
          <cell r="B1303">
            <v>1312.1</v>
          </cell>
        </row>
        <row r="1304">
          <cell r="A1304">
            <v>44767</v>
          </cell>
          <cell r="B1304">
            <v>1311.7</v>
          </cell>
        </row>
        <row r="1305">
          <cell r="A1305">
            <v>44768</v>
          </cell>
          <cell r="B1305">
            <v>1311</v>
          </cell>
        </row>
        <row r="1306">
          <cell r="A1306">
            <v>44769</v>
          </cell>
          <cell r="B1306">
            <v>1310</v>
          </cell>
        </row>
        <row r="1307">
          <cell r="A1307">
            <v>44770</v>
          </cell>
          <cell r="B1307">
            <v>1312.8</v>
          </cell>
        </row>
        <row r="1308">
          <cell r="A1308">
            <v>44771</v>
          </cell>
          <cell r="B1308">
            <v>1304</v>
          </cell>
        </row>
        <row r="1309">
          <cell r="A1309">
            <v>44772</v>
          </cell>
          <cell r="B1309">
            <v>1304</v>
          </cell>
        </row>
        <row r="1310">
          <cell r="A1310">
            <v>44773</v>
          </cell>
          <cell r="B1310">
            <v>1304</v>
          </cell>
        </row>
        <row r="1311">
          <cell r="A1311">
            <v>44774</v>
          </cell>
          <cell r="B1311">
            <v>1298.5999999999999</v>
          </cell>
        </row>
        <row r="1312">
          <cell r="A1312">
            <v>44775</v>
          </cell>
          <cell r="B1312">
            <v>1306.4000000000001</v>
          </cell>
        </row>
        <row r="1313">
          <cell r="A1313">
            <v>44776</v>
          </cell>
          <cell r="B1313">
            <v>1307.2</v>
          </cell>
        </row>
        <row r="1314">
          <cell r="A1314">
            <v>44777</v>
          </cell>
          <cell r="B1314">
            <v>1310.5</v>
          </cell>
        </row>
        <row r="1315">
          <cell r="A1315">
            <v>44778</v>
          </cell>
          <cell r="B1315">
            <v>1309.7</v>
          </cell>
        </row>
        <row r="1316">
          <cell r="A1316">
            <v>44779</v>
          </cell>
          <cell r="B1316">
            <v>1309.7</v>
          </cell>
        </row>
        <row r="1317">
          <cell r="A1317">
            <v>44780</v>
          </cell>
          <cell r="B1317">
            <v>1309.7</v>
          </cell>
        </row>
        <row r="1318">
          <cell r="A1318">
            <v>44781</v>
          </cell>
          <cell r="B1318">
            <v>1299.3</v>
          </cell>
        </row>
        <row r="1319">
          <cell r="A1319">
            <v>44782</v>
          </cell>
          <cell r="B1319">
            <v>1304.8</v>
          </cell>
        </row>
        <row r="1320">
          <cell r="A1320">
            <v>44783</v>
          </cell>
          <cell r="B1320">
            <v>1305.0999999999999</v>
          </cell>
        </row>
        <row r="1321">
          <cell r="A1321">
            <v>44784</v>
          </cell>
          <cell r="B1321">
            <v>1309.0999999999999</v>
          </cell>
        </row>
        <row r="1322">
          <cell r="A1322">
            <v>44785</v>
          </cell>
          <cell r="B1322">
            <v>1302.5</v>
          </cell>
        </row>
        <row r="1323">
          <cell r="A1323">
            <v>44786</v>
          </cell>
          <cell r="B1323">
            <v>1302.5</v>
          </cell>
        </row>
        <row r="1324">
          <cell r="A1324">
            <v>44787</v>
          </cell>
          <cell r="B1324">
            <v>1302.5</v>
          </cell>
        </row>
        <row r="1325">
          <cell r="A1325">
            <v>44788</v>
          </cell>
          <cell r="B1325">
            <v>1302.5</v>
          </cell>
        </row>
        <row r="1326">
          <cell r="A1326">
            <v>44789</v>
          </cell>
          <cell r="B1326">
            <v>1303.0999999999999</v>
          </cell>
        </row>
        <row r="1327">
          <cell r="A1327">
            <v>44790</v>
          </cell>
          <cell r="B1327">
            <v>1309.5999999999999</v>
          </cell>
        </row>
        <row r="1328">
          <cell r="A1328">
            <v>44791</v>
          </cell>
          <cell r="B1328">
            <v>1309.8</v>
          </cell>
        </row>
        <row r="1329">
          <cell r="A1329">
            <v>44792</v>
          </cell>
          <cell r="B1329">
            <v>1317.3</v>
          </cell>
        </row>
        <row r="1330">
          <cell r="A1330">
            <v>44793</v>
          </cell>
          <cell r="B1330">
            <v>1317.3</v>
          </cell>
        </row>
        <row r="1331">
          <cell r="A1331">
            <v>44794</v>
          </cell>
          <cell r="B1331">
            <v>1317.3</v>
          </cell>
        </row>
        <row r="1332">
          <cell r="A1332">
            <v>44795</v>
          </cell>
          <cell r="B1332">
            <v>1326.7</v>
          </cell>
        </row>
        <row r="1333">
          <cell r="A1333">
            <v>44796</v>
          </cell>
          <cell r="B1333">
            <v>1338.2</v>
          </cell>
        </row>
        <row r="1334">
          <cell r="A1334">
            <v>44797</v>
          </cell>
          <cell r="B1334">
            <v>1341.8</v>
          </cell>
        </row>
        <row r="1335">
          <cell r="A1335">
            <v>44798</v>
          </cell>
          <cell r="B1335">
            <v>1341.4</v>
          </cell>
        </row>
        <row r="1336">
          <cell r="A1336">
            <v>44799</v>
          </cell>
          <cell r="B1336">
            <v>1336.9</v>
          </cell>
        </row>
        <row r="1337">
          <cell r="A1337">
            <v>44800</v>
          </cell>
          <cell r="B1337">
            <v>1336.9</v>
          </cell>
        </row>
        <row r="1338">
          <cell r="A1338">
            <v>44801</v>
          </cell>
          <cell r="B1338">
            <v>1336.9</v>
          </cell>
        </row>
        <row r="1339">
          <cell r="A1339">
            <v>44802</v>
          </cell>
          <cell r="B1339">
            <v>1332.5</v>
          </cell>
        </row>
        <row r="1340">
          <cell r="A1340">
            <v>44803</v>
          </cell>
          <cell r="B1340">
            <v>1347.7</v>
          </cell>
        </row>
        <row r="1341">
          <cell r="A1341">
            <v>44804</v>
          </cell>
          <cell r="B1341">
            <v>1347.5</v>
          </cell>
        </row>
        <row r="1342">
          <cell r="A1342">
            <v>44805</v>
          </cell>
          <cell r="B1342">
            <v>1345.1</v>
          </cell>
        </row>
        <row r="1343">
          <cell r="A1343">
            <v>44806</v>
          </cell>
          <cell r="B1343">
            <v>1351.4</v>
          </cell>
        </row>
        <row r="1344">
          <cell r="A1344">
            <v>44807</v>
          </cell>
          <cell r="B1344">
            <v>1351.4</v>
          </cell>
        </row>
        <row r="1345">
          <cell r="A1345">
            <v>44808</v>
          </cell>
          <cell r="B1345">
            <v>1351.4</v>
          </cell>
        </row>
        <row r="1346">
          <cell r="A1346">
            <v>44809</v>
          </cell>
          <cell r="B1346">
            <v>1356.5</v>
          </cell>
        </row>
        <row r="1347">
          <cell r="A1347">
            <v>44810</v>
          </cell>
          <cell r="B1347">
            <v>1369.7</v>
          </cell>
        </row>
        <row r="1348">
          <cell r="A1348">
            <v>44811</v>
          </cell>
          <cell r="B1348">
            <v>1370.3</v>
          </cell>
        </row>
        <row r="1349">
          <cell r="A1349">
            <v>44812</v>
          </cell>
          <cell r="B1349">
            <v>1385.3</v>
          </cell>
        </row>
        <row r="1350">
          <cell r="A1350">
            <v>44813</v>
          </cell>
          <cell r="B1350">
            <v>1385.3</v>
          </cell>
        </row>
        <row r="1351">
          <cell r="A1351">
            <v>44814</v>
          </cell>
          <cell r="B1351">
            <v>1385.3</v>
          </cell>
        </row>
        <row r="1352">
          <cell r="A1352">
            <v>44815</v>
          </cell>
          <cell r="B1352">
            <v>1385.3</v>
          </cell>
        </row>
        <row r="1353">
          <cell r="A1353">
            <v>44816</v>
          </cell>
          <cell r="B1353">
            <v>1385.3</v>
          </cell>
        </row>
        <row r="1354">
          <cell r="A1354">
            <v>44817</v>
          </cell>
          <cell r="B1354">
            <v>1381.2</v>
          </cell>
        </row>
        <row r="1355">
          <cell r="A1355">
            <v>44818</v>
          </cell>
          <cell r="B1355">
            <v>1374.8</v>
          </cell>
        </row>
        <row r="1356">
          <cell r="A1356">
            <v>44819</v>
          </cell>
          <cell r="B1356">
            <v>1391.7</v>
          </cell>
        </row>
        <row r="1357">
          <cell r="A1357">
            <v>44820</v>
          </cell>
          <cell r="B1357">
            <v>1394.2</v>
          </cell>
        </row>
        <row r="1358">
          <cell r="A1358">
            <v>44821</v>
          </cell>
          <cell r="B1358">
            <v>1394.2</v>
          </cell>
        </row>
        <row r="1359">
          <cell r="A1359">
            <v>44822</v>
          </cell>
          <cell r="B1359">
            <v>1394.2</v>
          </cell>
        </row>
        <row r="1360">
          <cell r="A1360">
            <v>44823</v>
          </cell>
          <cell r="B1360">
            <v>1394.2</v>
          </cell>
        </row>
        <row r="1361">
          <cell r="A1361">
            <v>44824</v>
          </cell>
          <cell r="B1361">
            <v>1390.1</v>
          </cell>
        </row>
        <row r="1362">
          <cell r="A1362">
            <v>44825</v>
          </cell>
          <cell r="B1362">
            <v>1389.1</v>
          </cell>
        </row>
        <row r="1363">
          <cell r="A1363">
            <v>44826</v>
          </cell>
          <cell r="B1363">
            <v>1393.6</v>
          </cell>
        </row>
        <row r="1364">
          <cell r="A1364">
            <v>44827</v>
          </cell>
          <cell r="B1364">
            <v>1408</v>
          </cell>
        </row>
        <row r="1365">
          <cell r="A1365">
            <v>44828</v>
          </cell>
          <cell r="B1365">
            <v>1408</v>
          </cell>
        </row>
        <row r="1366">
          <cell r="A1366">
            <v>44829</v>
          </cell>
          <cell r="B1366">
            <v>1408</v>
          </cell>
        </row>
        <row r="1367">
          <cell r="A1367">
            <v>44830</v>
          </cell>
          <cell r="B1367">
            <v>1408.4</v>
          </cell>
        </row>
        <row r="1368">
          <cell r="A1368">
            <v>44831</v>
          </cell>
          <cell r="B1368">
            <v>1429.7</v>
          </cell>
        </row>
        <row r="1369">
          <cell r="A1369">
            <v>44832</v>
          </cell>
          <cell r="B1369">
            <v>1427.2</v>
          </cell>
        </row>
        <row r="1370">
          <cell r="A1370">
            <v>44833</v>
          </cell>
          <cell r="B1370">
            <v>1436.5</v>
          </cell>
        </row>
        <row r="1371">
          <cell r="A1371">
            <v>44834</v>
          </cell>
          <cell r="B1371">
            <v>1434.8</v>
          </cell>
        </row>
        <row r="1372">
          <cell r="A1372">
            <v>44835</v>
          </cell>
          <cell r="B1372">
            <v>1434.8</v>
          </cell>
        </row>
        <row r="1373">
          <cell r="A1373">
            <v>44836</v>
          </cell>
          <cell r="B1373">
            <v>1434.8</v>
          </cell>
        </row>
        <row r="1374">
          <cell r="A1374">
            <v>44837</v>
          </cell>
          <cell r="B1374">
            <v>1434.8</v>
          </cell>
        </row>
        <row r="1375">
          <cell r="A1375">
            <v>44838</v>
          </cell>
          <cell r="B1375">
            <v>1432.1</v>
          </cell>
        </row>
        <row r="1376">
          <cell r="A1376">
            <v>44839</v>
          </cell>
          <cell r="B1376">
            <v>1431.2</v>
          </cell>
        </row>
        <row r="1377">
          <cell r="A1377">
            <v>44840</v>
          </cell>
          <cell r="B1377">
            <v>1419.1</v>
          </cell>
        </row>
        <row r="1378">
          <cell r="A1378">
            <v>44841</v>
          </cell>
          <cell r="B1378">
            <v>1404.2</v>
          </cell>
        </row>
        <row r="1379">
          <cell r="A1379">
            <v>44842</v>
          </cell>
          <cell r="B1379">
            <v>1404.2</v>
          </cell>
        </row>
        <row r="1380">
          <cell r="A1380">
            <v>44843</v>
          </cell>
          <cell r="B1380">
            <v>1404.2</v>
          </cell>
        </row>
        <row r="1381">
          <cell r="A1381">
            <v>44844</v>
          </cell>
          <cell r="B1381">
            <v>1404.2</v>
          </cell>
        </row>
        <row r="1382">
          <cell r="A1382">
            <v>44845</v>
          </cell>
          <cell r="B1382">
            <v>1410.3</v>
          </cell>
        </row>
        <row r="1383">
          <cell r="A1383">
            <v>44846</v>
          </cell>
          <cell r="B1383">
            <v>1433.5</v>
          </cell>
        </row>
        <row r="1384">
          <cell r="A1384">
            <v>44847</v>
          </cell>
          <cell r="B1384">
            <v>1430.4</v>
          </cell>
        </row>
        <row r="1385">
          <cell r="A1385">
            <v>44848</v>
          </cell>
          <cell r="B1385">
            <v>1427</v>
          </cell>
        </row>
        <row r="1386">
          <cell r="A1386">
            <v>44849</v>
          </cell>
          <cell r="B1386">
            <v>1427</v>
          </cell>
        </row>
        <row r="1387">
          <cell r="A1387">
            <v>44850</v>
          </cell>
          <cell r="B1387">
            <v>1427</v>
          </cell>
        </row>
        <row r="1388">
          <cell r="A1388">
            <v>44851</v>
          </cell>
          <cell r="B1388">
            <v>1428.9</v>
          </cell>
        </row>
        <row r="1389">
          <cell r="A1389">
            <v>44852</v>
          </cell>
          <cell r="B1389">
            <v>1436.6</v>
          </cell>
        </row>
        <row r="1390">
          <cell r="A1390">
            <v>44853</v>
          </cell>
          <cell r="B1390">
            <v>1425.6</v>
          </cell>
        </row>
        <row r="1391">
          <cell r="A1391">
            <v>44854</v>
          </cell>
          <cell r="B1391">
            <v>1420.6</v>
          </cell>
        </row>
        <row r="1392">
          <cell r="A1392">
            <v>44855</v>
          </cell>
          <cell r="B1392">
            <v>1431.7</v>
          </cell>
        </row>
        <row r="1393">
          <cell r="A1393">
            <v>44856</v>
          </cell>
          <cell r="B1393">
            <v>1431.7</v>
          </cell>
        </row>
        <row r="1394">
          <cell r="A1394">
            <v>44857</v>
          </cell>
          <cell r="B1394">
            <v>1431.7</v>
          </cell>
        </row>
        <row r="1395">
          <cell r="A1395">
            <v>44858</v>
          </cell>
          <cell r="B1395">
            <v>1436.6</v>
          </cell>
        </row>
        <row r="1396">
          <cell r="A1396">
            <v>44859</v>
          </cell>
          <cell r="B1396">
            <v>1436.6</v>
          </cell>
        </row>
        <row r="1397">
          <cell r="A1397">
            <v>44860</v>
          </cell>
          <cell r="B1397">
            <v>1436.5</v>
          </cell>
        </row>
        <row r="1398">
          <cell r="A1398">
            <v>44861</v>
          </cell>
          <cell r="B1398">
            <v>1428.2</v>
          </cell>
        </row>
        <row r="1399">
          <cell r="A1399">
            <v>44862</v>
          </cell>
          <cell r="B1399">
            <v>1418.1</v>
          </cell>
        </row>
        <row r="1400">
          <cell r="A1400">
            <v>44863</v>
          </cell>
          <cell r="B1400">
            <v>1418.1</v>
          </cell>
        </row>
        <row r="1401">
          <cell r="A1401">
            <v>44864</v>
          </cell>
          <cell r="B1401">
            <v>1418.1</v>
          </cell>
        </row>
        <row r="1402">
          <cell r="A1402">
            <v>44865</v>
          </cell>
          <cell r="B1402">
            <v>1419.3</v>
          </cell>
        </row>
        <row r="1403">
          <cell r="A1403">
            <v>44866</v>
          </cell>
          <cell r="B1403">
            <v>1422.2</v>
          </cell>
        </row>
        <row r="1404">
          <cell r="A1404">
            <v>44867</v>
          </cell>
          <cell r="B1404">
            <v>1421.7</v>
          </cell>
        </row>
        <row r="1405">
          <cell r="A1405">
            <v>44868</v>
          </cell>
          <cell r="B1405">
            <v>1418</v>
          </cell>
        </row>
        <row r="1406">
          <cell r="A1406">
            <v>44869</v>
          </cell>
          <cell r="B1406">
            <v>1422.1</v>
          </cell>
        </row>
        <row r="1407">
          <cell r="A1407">
            <v>44870</v>
          </cell>
          <cell r="B1407">
            <v>1422.1</v>
          </cell>
        </row>
        <row r="1408">
          <cell r="A1408">
            <v>44871</v>
          </cell>
          <cell r="B1408">
            <v>1422.1</v>
          </cell>
        </row>
        <row r="1409">
          <cell r="A1409">
            <v>44872</v>
          </cell>
          <cell r="B1409">
            <v>1422.4</v>
          </cell>
        </row>
        <row r="1410">
          <cell r="A1410">
            <v>44873</v>
          </cell>
          <cell r="B1410">
            <v>1406.5</v>
          </cell>
        </row>
        <row r="1411">
          <cell r="A1411">
            <v>44874</v>
          </cell>
          <cell r="B1411">
            <v>1387.3</v>
          </cell>
        </row>
        <row r="1412">
          <cell r="A1412">
            <v>44875</v>
          </cell>
          <cell r="B1412">
            <v>1368.3</v>
          </cell>
        </row>
        <row r="1413">
          <cell r="A1413">
            <v>44876</v>
          </cell>
          <cell r="B1413">
            <v>1370.1</v>
          </cell>
        </row>
        <row r="1414">
          <cell r="A1414">
            <v>44877</v>
          </cell>
          <cell r="B1414">
            <v>1370.1</v>
          </cell>
        </row>
        <row r="1415">
          <cell r="A1415">
            <v>44878</v>
          </cell>
          <cell r="B1415">
            <v>1370.1</v>
          </cell>
        </row>
        <row r="1416">
          <cell r="A1416">
            <v>44879</v>
          </cell>
          <cell r="B1416">
            <v>1334.1</v>
          </cell>
        </row>
        <row r="1417">
          <cell r="A1417">
            <v>44880</v>
          </cell>
          <cell r="B1417">
            <v>1320.3</v>
          </cell>
        </row>
        <row r="1418">
          <cell r="A1418">
            <v>44881</v>
          </cell>
          <cell r="B1418">
            <v>1322.4</v>
          </cell>
        </row>
        <row r="1419">
          <cell r="A1419">
            <v>44882</v>
          </cell>
          <cell r="B1419">
            <v>1325.6</v>
          </cell>
        </row>
        <row r="1420">
          <cell r="A1420">
            <v>44883</v>
          </cell>
          <cell r="B1420">
            <v>1338.4</v>
          </cell>
        </row>
        <row r="1421">
          <cell r="A1421">
            <v>44884</v>
          </cell>
          <cell r="B1421">
            <v>1338.4</v>
          </cell>
        </row>
        <row r="1422">
          <cell r="A1422">
            <v>44885</v>
          </cell>
          <cell r="B1422">
            <v>1338.4</v>
          </cell>
        </row>
        <row r="1423">
          <cell r="A1423">
            <v>44886</v>
          </cell>
          <cell r="B1423">
            <v>1340</v>
          </cell>
        </row>
        <row r="1424">
          <cell r="A1424">
            <v>44887</v>
          </cell>
          <cell r="B1424">
            <v>1352.3</v>
          </cell>
        </row>
        <row r="1425">
          <cell r="A1425">
            <v>44888</v>
          </cell>
          <cell r="B1425">
            <v>1355.7</v>
          </cell>
        </row>
        <row r="1426">
          <cell r="A1426">
            <v>44889</v>
          </cell>
          <cell r="B1426">
            <v>1352.3</v>
          </cell>
        </row>
        <row r="1427">
          <cell r="A1427">
            <v>44890</v>
          </cell>
          <cell r="B1427">
            <v>1333.2</v>
          </cell>
        </row>
        <row r="1428">
          <cell r="A1428">
            <v>44891</v>
          </cell>
          <cell r="B1428">
            <v>1333.2</v>
          </cell>
        </row>
        <row r="1429">
          <cell r="A1429">
            <v>44892</v>
          </cell>
          <cell r="B1429">
            <v>1333.2</v>
          </cell>
        </row>
        <row r="1430">
          <cell r="A1430">
            <v>44893</v>
          </cell>
          <cell r="B1430">
            <v>1326.8</v>
          </cell>
        </row>
        <row r="1431">
          <cell r="A1431">
            <v>44894</v>
          </cell>
          <cell r="B1431">
            <v>1339</v>
          </cell>
        </row>
        <row r="1432">
          <cell r="A1432">
            <v>44895</v>
          </cell>
          <cell r="B1432">
            <v>1331.5</v>
          </cell>
        </row>
        <row r="1433">
          <cell r="A1433">
            <v>44896</v>
          </cell>
          <cell r="B1433">
            <v>1320.1</v>
          </cell>
        </row>
        <row r="1434">
          <cell r="A1434">
            <v>44897</v>
          </cell>
          <cell r="B1434">
            <v>1300.8</v>
          </cell>
        </row>
        <row r="1435">
          <cell r="A1435">
            <v>44898</v>
          </cell>
          <cell r="B1435">
            <v>1300.8</v>
          </cell>
        </row>
        <row r="1436">
          <cell r="A1436">
            <v>44899</v>
          </cell>
          <cell r="B1436">
            <v>1300.8</v>
          </cell>
        </row>
        <row r="1437">
          <cell r="A1437">
            <v>44900</v>
          </cell>
          <cell r="B1437">
            <v>1300.4000000000001</v>
          </cell>
        </row>
        <row r="1438">
          <cell r="A1438">
            <v>44901</v>
          </cell>
          <cell r="B1438">
            <v>1293.2</v>
          </cell>
        </row>
        <row r="1439">
          <cell r="A1439">
            <v>44902</v>
          </cell>
          <cell r="B1439">
            <v>1309</v>
          </cell>
        </row>
        <row r="1440">
          <cell r="A1440">
            <v>44903</v>
          </cell>
          <cell r="B1440">
            <v>1319.5</v>
          </cell>
        </row>
        <row r="1441">
          <cell r="A1441">
            <v>44904</v>
          </cell>
          <cell r="B1441">
            <v>1320.4</v>
          </cell>
        </row>
        <row r="1442">
          <cell r="A1442">
            <v>44905</v>
          </cell>
          <cell r="B1442">
            <v>1320.4</v>
          </cell>
        </row>
        <row r="1443">
          <cell r="A1443">
            <v>44906</v>
          </cell>
          <cell r="B1443">
            <v>1320.4</v>
          </cell>
        </row>
        <row r="1444">
          <cell r="A1444">
            <v>44907</v>
          </cell>
          <cell r="B1444">
            <v>1306.5999999999999</v>
          </cell>
        </row>
        <row r="1445">
          <cell r="A1445">
            <v>44908</v>
          </cell>
          <cell r="B1445">
            <v>1310</v>
          </cell>
        </row>
        <row r="1446">
          <cell r="A1446">
            <v>44909</v>
          </cell>
          <cell r="B1446">
            <v>1304.4000000000001</v>
          </cell>
        </row>
        <row r="1447">
          <cell r="A1447">
            <v>44910</v>
          </cell>
          <cell r="B1447">
            <v>1296</v>
          </cell>
        </row>
        <row r="1448">
          <cell r="A1448">
            <v>44911</v>
          </cell>
          <cell r="B1448">
            <v>1301</v>
          </cell>
        </row>
        <row r="1449">
          <cell r="A1449">
            <v>44912</v>
          </cell>
          <cell r="B1449">
            <v>1301</v>
          </cell>
        </row>
        <row r="1450">
          <cell r="A1450">
            <v>44913</v>
          </cell>
          <cell r="B1450">
            <v>1301</v>
          </cell>
        </row>
        <row r="1451">
          <cell r="A1451">
            <v>44914</v>
          </cell>
          <cell r="B1451">
            <v>1310.0999999999999</v>
          </cell>
        </row>
        <row r="1452">
          <cell r="A1452">
            <v>44915</v>
          </cell>
          <cell r="B1452">
            <v>1302</v>
          </cell>
        </row>
        <row r="1453">
          <cell r="A1453">
            <v>44916</v>
          </cell>
          <cell r="B1453">
            <v>1298</v>
          </cell>
        </row>
        <row r="1454">
          <cell r="A1454">
            <v>44917</v>
          </cell>
          <cell r="B1454">
            <v>1286.5999999999999</v>
          </cell>
        </row>
        <row r="1455">
          <cell r="A1455">
            <v>44918</v>
          </cell>
          <cell r="B1455">
            <v>1276.0999999999999</v>
          </cell>
        </row>
        <row r="1456">
          <cell r="A1456">
            <v>44919</v>
          </cell>
          <cell r="B1456">
            <v>1276.0999999999999</v>
          </cell>
        </row>
        <row r="1457">
          <cell r="A1457">
            <v>44920</v>
          </cell>
          <cell r="B1457">
            <v>1276.0999999999999</v>
          </cell>
        </row>
        <row r="1458">
          <cell r="A1458">
            <v>44921</v>
          </cell>
          <cell r="B1458">
            <v>1282.2</v>
          </cell>
        </row>
        <row r="1459">
          <cell r="A1459">
            <v>44922</v>
          </cell>
          <cell r="B1459">
            <v>1276.4000000000001</v>
          </cell>
        </row>
        <row r="1460">
          <cell r="A1460">
            <v>44923</v>
          </cell>
          <cell r="B1460">
            <v>1268.3</v>
          </cell>
        </row>
        <row r="1461">
          <cell r="A1461">
            <v>44924</v>
          </cell>
          <cell r="B1461">
            <v>1268.4000000000001</v>
          </cell>
        </row>
        <row r="1462">
          <cell r="A1462">
            <v>44925</v>
          </cell>
          <cell r="B1462">
            <v>1267.3</v>
          </cell>
        </row>
        <row r="1463">
          <cell r="A1463">
            <v>44926</v>
          </cell>
          <cell r="B1463">
            <v>1267.3</v>
          </cell>
        </row>
      </sheetData>
      <sheetData sheetId="100"/>
      <sheetData sheetId="101"/>
      <sheetData sheetId="102"/>
      <sheetData sheetId="103"/>
      <sheetData sheetId="104"/>
      <sheetData sheetId="105"/>
      <sheetData sheetId="10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502C-013E-4EDE-818D-C4F917019499}">
  <sheetPr codeName="Sheet1">
    <pageSetUpPr fitToPage="1"/>
  </sheetPr>
  <dimension ref="A1:M87"/>
  <sheetViews>
    <sheetView tabSelected="1" view="pageBreakPreview" topLeftCell="B70" zoomScaleNormal="85" zoomScaleSheetLayoutView="100" workbookViewId="0">
      <selection activeCell="I79" sqref="I79"/>
    </sheetView>
  </sheetViews>
  <sheetFormatPr defaultRowHeight="25.2"/>
  <cols>
    <col min="1" max="1" width="13.3984375" bestFit="1" customWidth="1"/>
    <col min="2" max="2" width="6.8984375" customWidth="1"/>
    <col min="3" max="3" width="19" customWidth="1"/>
    <col min="4" max="4" width="18.5" customWidth="1"/>
    <col min="5" max="6" width="10.59765625" customWidth="1"/>
    <col min="7" max="7" width="13.3984375" style="6" customWidth="1"/>
    <col min="8" max="8" width="14" customWidth="1"/>
    <col min="9" max="9" width="15.3984375" style="22" customWidth="1"/>
    <col min="10" max="10" width="17.3984375" bestFit="1" customWidth="1"/>
    <col min="11" max="11" width="36" style="187" bestFit="1" customWidth="1"/>
    <col min="12" max="12" width="24" style="1" bestFit="1" customWidth="1"/>
    <col min="13" max="13" width="13.19921875" bestFit="1" customWidth="1"/>
  </cols>
  <sheetData>
    <row r="1" spans="1:13" ht="40.5" customHeight="1">
      <c r="A1" s="14"/>
      <c r="B1" s="14"/>
      <c r="C1" s="14"/>
      <c r="D1" s="14"/>
      <c r="E1" s="14"/>
      <c r="F1" s="14"/>
      <c r="G1" s="14"/>
      <c r="H1" s="4"/>
      <c r="I1" s="23"/>
      <c r="J1" s="4"/>
      <c r="K1" s="189"/>
      <c r="L1" s="188"/>
    </row>
    <row r="2" spans="1:13" ht="26.25" customHeight="1">
      <c r="A2" s="314" t="s">
        <v>146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"/>
    </row>
    <row r="3" spans="1:13" ht="26.25" customHeight="1">
      <c r="A3" s="314"/>
      <c r="B3" s="314"/>
      <c r="C3" s="314"/>
      <c r="D3" s="314"/>
      <c r="E3" s="314"/>
      <c r="F3" s="314"/>
      <c r="G3" s="314"/>
      <c r="H3" s="314"/>
      <c r="I3" s="314"/>
      <c r="J3" s="314"/>
      <c r="K3" s="314"/>
      <c r="L3" s="3"/>
    </row>
    <row r="4" spans="1:13" ht="22.5" customHeight="1" thickBot="1">
      <c r="A4" s="40" t="s">
        <v>26</v>
      </c>
      <c r="B4" s="14"/>
      <c r="C4" s="14"/>
      <c r="D4" s="14"/>
      <c r="E4" s="14"/>
      <c r="F4" s="14"/>
      <c r="G4" s="14"/>
      <c r="H4" s="5"/>
      <c r="I4" s="24"/>
      <c r="J4" s="5"/>
      <c r="K4" s="189"/>
      <c r="L4" s="3"/>
    </row>
    <row r="5" spans="1:13" s="9" customFormat="1" ht="23.1" customHeight="1">
      <c r="A5" s="315" t="s">
        <v>0</v>
      </c>
      <c r="B5" s="317" t="s">
        <v>5</v>
      </c>
      <c r="C5" s="319" t="s">
        <v>11</v>
      </c>
      <c r="D5" s="319" t="s">
        <v>13</v>
      </c>
      <c r="E5" s="319" t="s">
        <v>1</v>
      </c>
      <c r="F5" s="321" t="s">
        <v>2</v>
      </c>
      <c r="G5" s="323" t="s">
        <v>3</v>
      </c>
      <c r="H5" s="323"/>
      <c r="I5" s="323"/>
      <c r="J5" s="323"/>
      <c r="K5" s="324"/>
    </row>
    <row r="6" spans="1:13" s="9" customFormat="1" ht="23.1" customHeight="1" thickBot="1">
      <c r="A6" s="316"/>
      <c r="B6" s="318"/>
      <c r="C6" s="320"/>
      <c r="D6" s="320"/>
      <c r="E6" s="320"/>
      <c r="F6" s="322"/>
      <c r="G6" s="68" t="s">
        <v>15</v>
      </c>
      <c r="H6" s="134" t="s">
        <v>14</v>
      </c>
      <c r="I6" s="325" t="s">
        <v>28</v>
      </c>
      <c r="J6" s="326"/>
      <c r="K6" s="142" t="s">
        <v>9</v>
      </c>
    </row>
    <row r="7" spans="1:13" s="9" customFormat="1" ht="23.1" customHeight="1" thickBot="1">
      <c r="A7" s="273" t="s">
        <v>50</v>
      </c>
      <c r="B7" s="18" t="s">
        <v>16</v>
      </c>
      <c r="C7" s="60" t="s">
        <v>245</v>
      </c>
      <c r="D7" s="51" t="s">
        <v>115</v>
      </c>
      <c r="E7" s="54">
        <v>46276</v>
      </c>
      <c r="F7" s="62">
        <f>IFERROR(VLOOKUP(E7,환율!A:B,2,0),1350)</f>
        <v>1338.2</v>
      </c>
      <c r="G7" s="135">
        <v>5</v>
      </c>
      <c r="H7" s="53">
        <f t="shared" ref="H7" si="0">ROUNDDOWN(F7*G7,0)</f>
        <v>6691</v>
      </c>
      <c r="I7" s="296">
        <v>0</v>
      </c>
      <c r="J7" s="297">
        <v>0</v>
      </c>
      <c r="K7" s="143" t="s">
        <v>244</v>
      </c>
      <c r="L7" s="93" t="e">
        <f>SUM(#REF!)</f>
        <v>#REF!</v>
      </c>
    </row>
    <row r="8" spans="1:13" s="9" customFormat="1" ht="30" customHeight="1">
      <c r="A8" s="329" t="s">
        <v>62</v>
      </c>
      <c r="B8" s="207" t="s">
        <v>8</v>
      </c>
      <c r="C8" s="279" t="s">
        <v>270</v>
      </c>
      <c r="D8" s="327" t="s">
        <v>68</v>
      </c>
      <c r="E8" s="257">
        <v>46256</v>
      </c>
      <c r="F8" s="258">
        <f>IFERROR(VLOOKUP(E8,환율!A:B,2,0),1350)</f>
        <v>1393</v>
      </c>
      <c r="G8" s="278">
        <v>-4223.1099999999997</v>
      </c>
      <c r="H8" s="260">
        <f t="shared" ref="H8" si="1">ROUNDDOWN(F8*G8,0)</f>
        <v>-5882792</v>
      </c>
      <c r="I8" s="259"/>
      <c r="J8" s="260"/>
      <c r="K8" s="331" t="s">
        <v>85</v>
      </c>
      <c r="L8" s="12"/>
    </row>
    <row r="9" spans="1:13" s="9" customFormat="1" ht="23.1" customHeight="1">
      <c r="A9" s="330"/>
      <c r="B9" s="15" t="s">
        <v>69</v>
      </c>
      <c r="C9" s="277" t="s">
        <v>222</v>
      </c>
      <c r="D9" s="328"/>
      <c r="E9" s="64">
        <v>46268</v>
      </c>
      <c r="F9" s="159">
        <f>IFERROR(VLOOKUP(E9,환율!A:B,2,0),1350)</f>
        <v>1369.4</v>
      </c>
      <c r="G9" s="69">
        <v>92492.41</v>
      </c>
      <c r="H9" s="28">
        <f t="shared" ref="H9:H50" si="2">ROUNDDOWN(F9*G9,0)</f>
        <v>126659106</v>
      </c>
      <c r="I9" s="27"/>
      <c r="J9" s="28"/>
      <c r="K9" s="332"/>
      <c r="L9" s="12"/>
    </row>
    <row r="10" spans="1:13" s="9" customFormat="1" ht="23.1" customHeight="1">
      <c r="A10" s="330"/>
      <c r="B10" s="18" t="s">
        <v>271</v>
      </c>
      <c r="C10" s="277" t="s">
        <v>272</v>
      </c>
      <c r="D10" s="328"/>
      <c r="E10" s="64">
        <v>46272</v>
      </c>
      <c r="F10" s="159">
        <v>1355.2</v>
      </c>
      <c r="G10" s="69">
        <v>2837.63</v>
      </c>
      <c r="H10" s="28">
        <f>ROUNDDOWN(F10*G10,0)</f>
        <v>3845556</v>
      </c>
      <c r="I10" s="29"/>
      <c r="J10" s="30"/>
      <c r="K10" s="332"/>
      <c r="L10" s="12"/>
    </row>
    <row r="11" spans="1:13" s="9" customFormat="1" ht="23.1" customHeight="1">
      <c r="A11" s="330"/>
      <c r="B11" s="18" t="s">
        <v>271</v>
      </c>
      <c r="C11" s="277" t="s">
        <v>273</v>
      </c>
      <c r="D11" s="328"/>
      <c r="E11" s="64">
        <v>46279</v>
      </c>
      <c r="F11" s="159">
        <v>1346.4</v>
      </c>
      <c r="G11" s="69">
        <v>5125.4399999999996</v>
      </c>
      <c r="H11" s="28">
        <f>ROUNDDOWN(F11*G11,0)</f>
        <v>6900892</v>
      </c>
      <c r="I11" s="29"/>
      <c r="J11" s="30"/>
      <c r="K11" s="332"/>
      <c r="L11" s="12"/>
    </row>
    <row r="12" spans="1:13" s="9" customFormat="1" ht="23.1" customHeight="1">
      <c r="A12" s="330"/>
      <c r="B12" s="18" t="s">
        <v>8</v>
      </c>
      <c r="C12" s="16" t="s">
        <v>223</v>
      </c>
      <c r="D12" s="328"/>
      <c r="E12" s="64">
        <v>46283</v>
      </c>
      <c r="F12" s="159">
        <f>IFERROR(VLOOKUP(E12,환율!A:B,2,0),1350)</f>
        <v>1380.3</v>
      </c>
      <c r="G12" s="69">
        <v>96202.87999999999</v>
      </c>
      <c r="H12" s="28">
        <f t="shared" si="2"/>
        <v>132788835</v>
      </c>
      <c r="I12" s="29"/>
      <c r="J12" s="30"/>
      <c r="K12" s="332"/>
      <c r="L12" s="12"/>
    </row>
    <row r="13" spans="1:13" s="9" customFormat="1" ht="23.1" customHeight="1">
      <c r="A13" s="330"/>
      <c r="B13" s="158" t="s">
        <v>271</v>
      </c>
      <c r="C13" s="277" t="s">
        <v>274</v>
      </c>
      <c r="D13" s="328"/>
      <c r="E13" s="137">
        <v>46292</v>
      </c>
      <c r="F13" s="180">
        <v>1360</v>
      </c>
      <c r="G13" s="276">
        <v>1316.67</v>
      </c>
      <c r="H13" s="253">
        <f>ROUNDDOWN(F13*G13,0)</f>
        <v>1790671</v>
      </c>
      <c r="I13" s="252"/>
      <c r="J13" s="253"/>
      <c r="K13" s="332"/>
      <c r="L13" s="12"/>
    </row>
    <row r="14" spans="1:13" s="9" customFormat="1" ht="23.1" customHeight="1">
      <c r="A14" s="330"/>
      <c r="B14" s="158" t="s">
        <v>8</v>
      </c>
      <c r="C14" s="16" t="s">
        <v>246</v>
      </c>
      <c r="D14" s="328"/>
      <c r="E14" s="64">
        <v>46294</v>
      </c>
      <c r="F14" s="159">
        <v>1360</v>
      </c>
      <c r="G14" s="69">
        <v>88553.23</v>
      </c>
      <c r="H14" s="28">
        <f t="shared" si="2"/>
        <v>120432392</v>
      </c>
      <c r="I14" s="27"/>
      <c r="J14" s="28"/>
      <c r="K14" s="332"/>
      <c r="L14" s="12"/>
    </row>
    <row r="15" spans="1:13" s="9" customFormat="1" ht="23.1" customHeight="1" thickBot="1">
      <c r="A15" s="330"/>
      <c r="B15" s="158" t="s">
        <v>276</v>
      </c>
      <c r="C15" s="286" t="s">
        <v>275</v>
      </c>
      <c r="D15" s="328"/>
      <c r="E15" s="219">
        <v>46289</v>
      </c>
      <c r="F15" s="250">
        <v>1360</v>
      </c>
      <c r="G15" s="276">
        <v>5675.25</v>
      </c>
      <c r="H15" s="253">
        <f>ROUNDDOWN(F15*G15,0)</f>
        <v>7718340</v>
      </c>
      <c r="I15" s="252">
        <f>SUM(G8:G15)</f>
        <v>287980.40000000002</v>
      </c>
      <c r="J15" s="253">
        <f>SUM(H8:H15)</f>
        <v>394253000</v>
      </c>
      <c r="K15" s="333"/>
      <c r="L15" s="12"/>
    </row>
    <row r="16" spans="1:13" s="11" customFormat="1" ht="23.1" customHeight="1" thickBot="1">
      <c r="A16" s="206" t="s">
        <v>94</v>
      </c>
      <c r="B16" s="185" t="s">
        <v>6</v>
      </c>
      <c r="C16" s="251" t="s">
        <v>187</v>
      </c>
      <c r="D16" s="217" t="s">
        <v>188</v>
      </c>
      <c r="E16" s="217">
        <v>46272</v>
      </c>
      <c r="F16" s="216">
        <f>IFERROR(VLOOKUP(E16,환율!A:B,2,0),1350)</f>
        <v>1355.2</v>
      </c>
      <c r="G16" s="287">
        <v>576</v>
      </c>
      <c r="H16" s="218">
        <f>ROUNDDOWN(F16*G16,0)</f>
        <v>780595</v>
      </c>
      <c r="I16" s="283">
        <f>SUM(G16)</f>
        <v>576</v>
      </c>
      <c r="J16" s="224">
        <f>SUM(H16)</f>
        <v>780595</v>
      </c>
      <c r="K16" s="190"/>
      <c r="L16" s="232"/>
      <c r="M16" s="233"/>
    </row>
    <row r="17" spans="1:13" s="11" customFormat="1" ht="23.1" customHeight="1">
      <c r="A17" s="311" t="s">
        <v>36</v>
      </c>
      <c r="B17" s="50" t="s">
        <v>6</v>
      </c>
      <c r="C17" s="60" t="s">
        <v>108</v>
      </c>
      <c r="D17" s="61" t="s">
        <v>126</v>
      </c>
      <c r="E17" s="61">
        <v>46267</v>
      </c>
      <c r="F17" s="62">
        <f>IFERROR(VLOOKUP(E17,환율!A:B,2,0),1350)</f>
        <v>1370.3</v>
      </c>
      <c r="G17" s="268">
        <v>47561.04</v>
      </c>
      <c r="H17" s="164">
        <f>ROUNDDOWN(F17*G17,0)</f>
        <v>65172893</v>
      </c>
      <c r="I17" s="265"/>
      <c r="J17" s="164"/>
      <c r="K17" s="191"/>
      <c r="L17" s="232">
        <f>SUM(G17:G19)</f>
        <v>142740.72</v>
      </c>
      <c r="M17" s="233">
        <f>SUM(H17:H19)</f>
        <v>194301386</v>
      </c>
    </row>
    <row r="18" spans="1:13" s="11" customFormat="1" ht="23.1" customHeight="1">
      <c r="A18" s="312"/>
      <c r="B18" s="15" t="s">
        <v>6</v>
      </c>
      <c r="C18" s="63" t="s">
        <v>109</v>
      </c>
      <c r="D18" s="64" t="s">
        <v>127</v>
      </c>
      <c r="E18" s="64">
        <v>46270</v>
      </c>
      <c r="F18" s="159">
        <f>IFERROR(VLOOKUP(E18,환율!A:B,2,0),1350)</f>
        <v>1359.5</v>
      </c>
      <c r="G18" s="230">
        <v>32788.800000000003</v>
      </c>
      <c r="H18" s="160">
        <f t="shared" ref="H18:H21" si="3">ROUNDDOWN(F18*G18,0)</f>
        <v>44576373</v>
      </c>
      <c r="I18" s="266"/>
      <c r="J18" s="160"/>
      <c r="K18" s="192"/>
      <c r="L18" s="264"/>
    </row>
    <row r="19" spans="1:13" s="11" customFormat="1" ht="23.1" customHeight="1">
      <c r="A19" s="312"/>
      <c r="B19" s="15" t="s">
        <v>6</v>
      </c>
      <c r="C19" s="63" t="s">
        <v>128</v>
      </c>
      <c r="D19" s="64" t="s">
        <v>139</v>
      </c>
      <c r="E19" s="64">
        <v>46272</v>
      </c>
      <c r="F19" s="159">
        <f>IFERROR(VLOOKUP(E19,환율!A:B,2,0),1350)</f>
        <v>1355.2</v>
      </c>
      <c r="G19" s="230">
        <v>62390.879999999997</v>
      </c>
      <c r="H19" s="160">
        <f t="shared" si="3"/>
        <v>84552120</v>
      </c>
      <c r="I19" s="266"/>
      <c r="J19" s="160"/>
      <c r="K19" s="192"/>
      <c r="L19" s="264"/>
    </row>
    <row r="20" spans="1:13" s="11" customFormat="1" ht="23.1" customHeight="1">
      <c r="A20" s="312"/>
      <c r="B20" s="15" t="s">
        <v>6</v>
      </c>
      <c r="C20" s="63" t="s">
        <v>148</v>
      </c>
      <c r="D20" s="64" t="s">
        <v>216</v>
      </c>
      <c r="E20" s="64">
        <v>46293</v>
      </c>
      <c r="F20" s="159">
        <f>IFERROR(VLOOKUP(E20,환율!A:B,2,0),1350)</f>
        <v>1352</v>
      </c>
      <c r="G20" s="230">
        <v>38786.400000000001</v>
      </c>
      <c r="H20" s="160">
        <f t="shared" si="3"/>
        <v>52439212</v>
      </c>
      <c r="I20" s="266"/>
      <c r="J20" s="160"/>
      <c r="K20" s="192"/>
      <c r="L20" s="264"/>
    </row>
    <row r="21" spans="1:13" s="11" customFormat="1" ht="23.1" customHeight="1" thickBot="1">
      <c r="A21" s="313"/>
      <c r="B21" s="284" t="s">
        <v>6</v>
      </c>
      <c r="C21" s="100" t="s">
        <v>150</v>
      </c>
      <c r="D21" s="156" t="s">
        <v>265</v>
      </c>
      <c r="E21" s="156">
        <v>46293</v>
      </c>
      <c r="F21" s="138">
        <f>IFERROR(VLOOKUP(E21,환율!A:B,2,0),1350)</f>
        <v>1352</v>
      </c>
      <c r="G21" s="271">
        <v>53401.68</v>
      </c>
      <c r="H21" s="231">
        <f t="shared" si="3"/>
        <v>72199071</v>
      </c>
      <c r="I21" s="267">
        <f>SUM(G17:G21)</f>
        <v>234928.8</v>
      </c>
      <c r="J21" s="67">
        <f>SUM(H17:H21)</f>
        <v>318939669</v>
      </c>
      <c r="K21" s="196"/>
      <c r="L21" s="10"/>
    </row>
    <row r="22" spans="1:13" s="9" customFormat="1" ht="23.1" customHeight="1">
      <c r="A22" s="330" t="s">
        <v>7</v>
      </c>
      <c r="B22" s="18" t="s">
        <v>16</v>
      </c>
      <c r="C22" s="58" t="s">
        <v>95</v>
      </c>
      <c r="D22" s="56" t="s">
        <v>120</v>
      </c>
      <c r="E22" s="59">
        <v>46267</v>
      </c>
      <c r="F22" s="57">
        <f>IFERROR(VLOOKUP(E22,환율!A:B,2,0),1350)</f>
        <v>1370.3</v>
      </c>
      <c r="G22" s="97">
        <v>20779.32</v>
      </c>
      <c r="H22" s="166">
        <f t="shared" si="2"/>
        <v>28473902</v>
      </c>
      <c r="I22" s="29"/>
      <c r="J22" s="166"/>
      <c r="K22" s="195"/>
      <c r="L22" s="215">
        <f>SUM(G22:G39)</f>
        <v>869098.55999999982</v>
      </c>
      <c r="M22" s="263">
        <f>SUM(H22:H39)</f>
        <v>1180538559</v>
      </c>
    </row>
    <row r="23" spans="1:13" s="9" customFormat="1" ht="23.1" customHeight="1">
      <c r="A23" s="330"/>
      <c r="B23" s="15" t="s">
        <v>16</v>
      </c>
      <c r="C23" s="58" t="s">
        <v>96</v>
      </c>
      <c r="D23" s="56" t="s">
        <v>121</v>
      </c>
      <c r="E23" s="59">
        <v>46276</v>
      </c>
      <c r="F23" s="159">
        <f>IFERROR(VLOOKUP(E23,환율!A:B,2,0),1350)</f>
        <v>1338.2</v>
      </c>
      <c r="G23" s="97">
        <v>33829.919999999998</v>
      </c>
      <c r="H23" s="166">
        <f t="shared" si="2"/>
        <v>45271198</v>
      </c>
      <c r="I23" s="27"/>
      <c r="J23" s="175"/>
      <c r="K23" s="192"/>
      <c r="L23" s="93"/>
    </row>
    <row r="24" spans="1:13" s="172" customFormat="1" ht="23.1" customHeight="1">
      <c r="A24" s="330"/>
      <c r="B24" s="15" t="s">
        <v>16</v>
      </c>
      <c r="C24" s="178" t="s">
        <v>97</v>
      </c>
      <c r="D24" s="137" t="s">
        <v>114</v>
      </c>
      <c r="E24" s="179">
        <v>46266</v>
      </c>
      <c r="F24" s="180">
        <f>IFERROR(VLOOKUP(E24,환율!A:B,2,0),1350)</f>
        <v>1373.6</v>
      </c>
      <c r="G24" s="181">
        <v>62017.4</v>
      </c>
      <c r="H24" s="182">
        <f t="shared" si="2"/>
        <v>85187100</v>
      </c>
      <c r="I24" s="27"/>
      <c r="J24" s="182"/>
      <c r="K24" s="167"/>
      <c r="L24" s="212"/>
    </row>
    <row r="25" spans="1:13" s="9" customFormat="1" ht="23.1" customHeight="1">
      <c r="A25" s="330"/>
      <c r="B25" s="15" t="s">
        <v>16</v>
      </c>
      <c r="C25" s="63" t="s">
        <v>98</v>
      </c>
      <c r="D25" s="64" t="s">
        <v>112</v>
      </c>
      <c r="E25" s="64">
        <v>46266</v>
      </c>
      <c r="F25" s="180">
        <f>IFERROR(VLOOKUP(E25,환율!A:B,2,0),1350)</f>
        <v>1373.6</v>
      </c>
      <c r="G25" s="243">
        <v>102197.75999999999</v>
      </c>
      <c r="H25" s="160">
        <f t="shared" si="2"/>
        <v>140378843</v>
      </c>
      <c r="I25" s="27"/>
      <c r="J25" s="149"/>
      <c r="K25" s="167"/>
      <c r="L25" s="93"/>
    </row>
    <row r="26" spans="1:13" s="9" customFormat="1" ht="23.1" customHeight="1">
      <c r="A26" s="330"/>
      <c r="B26" s="15" t="s">
        <v>16</v>
      </c>
      <c r="C26" s="63" t="s">
        <v>99</v>
      </c>
      <c r="D26" s="64" t="s">
        <v>122</v>
      </c>
      <c r="E26" s="56">
        <v>46276</v>
      </c>
      <c r="F26" s="159">
        <f>IFERROR(VLOOKUP(E26,환율!A:B,2,0),1350)</f>
        <v>1338.2</v>
      </c>
      <c r="G26" s="97">
        <v>6048</v>
      </c>
      <c r="H26" s="149">
        <f t="shared" si="2"/>
        <v>8093433</v>
      </c>
      <c r="I26" s="27"/>
      <c r="J26" s="149"/>
      <c r="K26" s="167"/>
      <c r="L26" s="12"/>
    </row>
    <row r="27" spans="1:13" s="9" customFormat="1" ht="23.1" customHeight="1">
      <c r="A27" s="330"/>
      <c r="B27" s="15" t="s">
        <v>16</v>
      </c>
      <c r="C27" s="63" t="s">
        <v>100</v>
      </c>
      <c r="D27" s="64" t="s">
        <v>113</v>
      </c>
      <c r="E27" s="56">
        <v>46295</v>
      </c>
      <c r="F27" s="159">
        <f>IFERROR(VLOOKUP(E27,환율!A:B,2,0),1350)</f>
        <v>1358.4</v>
      </c>
      <c r="G27" s="97">
        <v>6267.8</v>
      </c>
      <c r="H27" s="149">
        <f t="shared" si="2"/>
        <v>8514179</v>
      </c>
      <c r="I27" s="27"/>
      <c r="J27" s="149"/>
      <c r="K27" s="167"/>
      <c r="L27" s="12"/>
    </row>
    <row r="28" spans="1:13" s="9" customFormat="1" ht="23.1" customHeight="1">
      <c r="A28" s="330"/>
      <c r="B28" s="15" t="s">
        <v>16</v>
      </c>
      <c r="C28" s="63" t="s">
        <v>101</v>
      </c>
      <c r="D28" s="64" t="s">
        <v>123</v>
      </c>
      <c r="E28" s="56">
        <v>46267</v>
      </c>
      <c r="F28" s="159">
        <f>IFERROR(VLOOKUP(E28,환율!A:B,2,0),1350)</f>
        <v>1370.3</v>
      </c>
      <c r="G28" s="97">
        <v>61116.6</v>
      </c>
      <c r="H28" s="149">
        <f t="shared" si="2"/>
        <v>83748076</v>
      </c>
      <c r="I28" s="27"/>
      <c r="J28" s="149"/>
      <c r="K28" s="167"/>
      <c r="L28" s="12"/>
    </row>
    <row r="29" spans="1:13" s="9" customFormat="1" ht="23.1" customHeight="1">
      <c r="A29" s="330"/>
      <c r="B29" s="15" t="s">
        <v>16</v>
      </c>
      <c r="C29" s="63" t="s">
        <v>102</v>
      </c>
      <c r="D29" s="64" t="s">
        <v>124</v>
      </c>
      <c r="E29" s="56">
        <v>46276</v>
      </c>
      <c r="F29" s="159">
        <f>IFERROR(VLOOKUP(E29,환율!A:B,2,0),1350)</f>
        <v>1338.2</v>
      </c>
      <c r="G29" s="66">
        <v>60142.080000000002</v>
      </c>
      <c r="H29" s="149">
        <f t="shared" si="2"/>
        <v>80482131</v>
      </c>
      <c r="I29" s="27"/>
      <c r="J29" s="166"/>
      <c r="K29" s="167"/>
      <c r="L29" s="12"/>
    </row>
    <row r="30" spans="1:13" s="9" customFormat="1" ht="23.1" customHeight="1">
      <c r="A30" s="330"/>
      <c r="B30" s="15" t="s">
        <v>16</v>
      </c>
      <c r="C30" s="63" t="s">
        <v>103</v>
      </c>
      <c r="D30" s="64" t="s">
        <v>125</v>
      </c>
      <c r="E30" s="65">
        <v>46291</v>
      </c>
      <c r="F30" s="159">
        <f>IFERROR(VLOOKUP(E30,환율!A:B,2,0),1350)</f>
        <v>1360</v>
      </c>
      <c r="G30" s="97">
        <v>102197.75999999999</v>
      </c>
      <c r="H30" s="149">
        <f t="shared" si="2"/>
        <v>138988953</v>
      </c>
      <c r="I30" s="27"/>
      <c r="J30" s="28"/>
      <c r="K30" s="167"/>
      <c r="L30" s="12"/>
    </row>
    <row r="31" spans="1:13" s="9" customFormat="1" ht="23.1" customHeight="1">
      <c r="A31" s="330"/>
      <c r="B31" s="15" t="s">
        <v>16</v>
      </c>
      <c r="C31" s="63" t="s">
        <v>104</v>
      </c>
      <c r="D31" s="64" t="s">
        <v>111</v>
      </c>
      <c r="E31" s="65">
        <v>46276</v>
      </c>
      <c r="F31" s="159">
        <f>IFERROR(VLOOKUP(E31,환율!A:B,2,0),1350)</f>
        <v>1338.2</v>
      </c>
      <c r="G31" s="97">
        <v>103247.84</v>
      </c>
      <c r="H31" s="149">
        <f t="shared" si="2"/>
        <v>138166259</v>
      </c>
      <c r="I31" s="27"/>
      <c r="J31" s="28"/>
      <c r="K31" s="167"/>
      <c r="L31" s="12"/>
    </row>
    <row r="32" spans="1:13" s="9" customFormat="1" ht="23.1" customHeight="1">
      <c r="A32" s="330"/>
      <c r="B32" s="15" t="s">
        <v>16</v>
      </c>
      <c r="C32" s="63" t="s">
        <v>105</v>
      </c>
      <c r="D32" s="64" t="s">
        <v>130</v>
      </c>
      <c r="E32" s="65">
        <v>46276</v>
      </c>
      <c r="F32" s="159">
        <f>IFERROR(VLOOKUP(E32,환율!A:B,2,0),1350)</f>
        <v>1338.2</v>
      </c>
      <c r="G32" s="66">
        <v>9275.84</v>
      </c>
      <c r="H32" s="149">
        <f t="shared" si="2"/>
        <v>12412929</v>
      </c>
      <c r="I32" s="27"/>
      <c r="J32" s="28"/>
      <c r="K32" s="167"/>
      <c r="L32" s="12"/>
    </row>
    <row r="33" spans="1:13" s="9" customFormat="1" ht="23.1" customHeight="1">
      <c r="A33" s="330"/>
      <c r="B33" s="15" t="s">
        <v>16</v>
      </c>
      <c r="C33" s="63" t="s">
        <v>106</v>
      </c>
      <c r="D33" s="56" t="s">
        <v>131</v>
      </c>
      <c r="E33" s="56">
        <v>46288</v>
      </c>
      <c r="F33" s="159">
        <f>IFERROR(VLOOKUP(E33,환율!A:B,2,0),1350)</f>
        <v>1360</v>
      </c>
      <c r="G33" s="97">
        <v>55428.82</v>
      </c>
      <c r="H33" s="26">
        <f t="shared" si="2"/>
        <v>75383195</v>
      </c>
      <c r="I33" s="29"/>
      <c r="J33" s="30"/>
      <c r="K33" s="167"/>
      <c r="L33" s="12"/>
    </row>
    <row r="34" spans="1:13" s="9" customFormat="1" ht="23.1" customHeight="1">
      <c r="A34" s="330"/>
      <c r="B34" s="15" t="s">
        <v>16</v>
      </c>
      <c r="C34" s="63" t="s">
        <v>107</v>
      </c>
      <c r="D34" s="64" t="s">
        <v>132</v>
      </c>
      <c r="E34" s="64">
        <v>46285</v>
      </c>
      <c r="F34" s="159">
        <f>IFERROR(VLOOKUP(E34,환율!A:B,2,0),1350)</f>
        <v>1380.3</v>
      </c>
      <c r="G34" s="66">
        <v>31631.599999999999</v>
      </c>
      <c r="H34" s="25">
        <f t="shared" si="2"/>
        <v>43661097</v>
      </c>
      <c r="I34" s="27"/>
      <c r="J34" s="28"/>
      <c r="K34" s="167"/>
      <c r="L34" s="12"/>
    </row>
    <row r="35" spans="1:13" s="9" customFormat="1" ht="23.1" customHeight="1">
      <c r="A35" s="330"/>
      <c r="B35" s="15" t="s">
        <v>16</v>
      </c>
      <c r="C35" s="63" t="s">
        <v>116</v>
      </c>
      <c r="D35" s="17" t="s">
        <v>133</v>
      </c>
      <c r="E35" s="65">
        <v>46291</v>
      </c>
      <c r="F35" s="159">
        <f>IFERROR(VLOOKUP(E35,환율!A:B,2,0),1350)</f>
        <v>1360</v>
      </c>
      <c r="G35" s="66">
        <v>102197.75999999999</v>
      </c>
      <c r="H35" s="96">
        <f t="shared" ref="H35" si="4">ROUNDDOWN(F35*G35,0)</f>
        <v>138988953</v>
      </c>
      <c r="I35" s="27"/>
      <c r="J35" s="28"/>
      <c r="K35" s="167"/>
      <c r="L35" s="12"/>
    </row>
    <row r="36" spans="1:13" s="9" customFormat="1" ht="23.1" customHeight="1">
      <c r="A36" s="330"/>
      <c r="B36" s="15" t="s">
        <v>16</v>
      </c>
      <c r="C36" s="63" t="s">
        <v>117</v>
      </c>
      <c r="D36" s="17" t="s">
        <v>134</v>
      </c>
      <c r="E36" s="65">
        <v>46272</v>
      </c>
      <c r="F36" s="159">
        <f>IFERROR(VLOOKUP(E36,환율!A:B,2,0),1350)</f>
        <v>1355.2</v>
      </c>
      <c r="G36" s="66">
        <v>60142.080000000002</v>
      </c>
      <c r="H36" s="96">
        <f t="shared" si="2"/>
        <v>81504546</v>
      </c>
      <c r="I36" s="27"/>
      <c r="J36" s="28"/>
      <c r="K36" s="167"/>
      <c r="L36" s="12"/>
    </row>
    <row r="37" spans="1:13" s="9" customFormat="1" ht="23.1" customHeight="1">
      <c r="A37" s="330"/>
      <c r="B37" s="15" t="s">
        <v>16</v>
      </c>
      <c r="C37" s="63" t="s">
        <v>119</v>
      </c>
      <c r="D37" s="17" t="s">
        <v>136</v>
      </c>
      <c r="E37" s="65">
        <v>46295</v>
      </c>
      <c r="F37" s="159">
        <f>IFERROR(VLOOKUP(E37,환율!A:B,2,0),1350)</f>
        <v>1358.4</v>
      </c>
      <c r="G37" s="66">
        <v>3412.2</v>
      </c>
      <c r="H37" s="96">
        <f t="shared" ref="H37" si="5">ROUNDDOWN(F37*G37,0)</f>
        <v>4635132</v>
      </c>
      <c r="I37" s="27"/>
      <c r="J37" s="28"/>
      <c r="K37" s="167"/>
      <c r="L37" s="12"/>
    </row>
    <row r="38" spans="1:13" s="9" customFormat="1" ht="23.1" customHeight="1">
      <c r="A38" s="330"/>
      <c r="B38" s="15" t="s">
        <v>16</v>
      </c>
      <c r="C38" s="63" t="s">
        <v>129</v>
      </c>
      <c r="D38" s="17" t="s">
        <v>135</v>
      </c>
      <c r="E38" s="65">
        <v>46272</v>
      </c>
      <c r="F38" s="159">
        <f>IFERROR(VLOOKUP(E38,환율!A:B,2,0),1350)</f>
        <v>1355.2</v>
      </c>
      <c r="G38" s="66">
        <v>47896.28</v>
      </c>
      <c r="H38" s="96">
        <f t="shared" si="2"/>
        <v>64909038</v>
      </c>
      <c r="I38" s="27"/>
      <c r="J38" s="28"/>
      <c r="K38" s="167"/>
      <c r="L38" s="12"/>
    </row>
    <row r="39" spans="1:13" s="9" customFormat="1" ht="23.1" customHeight="1">
      <c r="A39" s="330"/>
      <c r="B39" s="15" t="s">
        <v>16</v>
      </c>
      <c r="C39" s="63" t="s">
        <v>213</v>
      </c>
      <c r="D39" s="17" t="s">
        <v>214</v>
      </c>
      <c r="E39" s="65">
        <v>46267</v>
      </c>
      <c r="F39" s="159">
        <f>IFERROR(VLOOKUP(E39,환율!A:B,2,0),1350)</f>
        <v>1370.3</v>
      </c>
      <c r="G39" s="66">
        <v>1269.5</v>
      </c>
      <c r="H39" s="96">
        <f t="shared" si="2"/>
        <v>1739595</v>
      </c>
      <c r="I39" s="27"/>
      <c r="J39" s="28"/>
      <c r="K39" s="167"/>
      <c r="L39" s="12"/>
    </row>
    <row r="40" spans="1:13" s="9" customFormat="1" ht="23.1" customHeight="1">
      <c r="A40" s="330"/>
      <c r="B40" s="15" t="s">
        <v>16</v>
      </c>
      <c r="C40" s="63" t="s">
        <v>154</v>
      </c>
      <c r="D40" s="17" t="s">
        <v>160</v>
      </c>
      <c r="E40" s="65">
        <v>46291</v>
      </c>
      <c r="F40" s="159">
        <f>IFERROR(VLOOKUP(E40,환율!A:B,2,0),1350)</f>
        <v>1360</v>
      </c>
      <c r="G40" s="66">
        <v>1855.26</v>
      </c>
      <c r="H40" s="96">
        <f t="shared" si="2"/>
        <v>2523153</v>
      </c>
      <c r="I40" s="27"/>
      <c r="J40" s="28"/>
      <c r="K40" s="167"/>
      <c r="L40" s="12"/>
    </row>
    <row r="41" spans="1:13" s="9" customFormat="1" ht="23.1" customHeight="1">
      <c r="A41" s="330"/>
      <c r="B41" s="15" t="s">
        <v>16</v>
      </c>
      <c r="C41" s="63" t="s">
        <v>155</v>
      </c>
      <c r="D41" s="17" t="s">
        <v>161</v>
      </c>
      <c r="E41" s="65">
        <v>46287</v>
      </c>
      <c r="F41" s="159">
        <f>IFERROR(VLOOKUP(E41,환율!A:B,2,0),1350)</f>
        <v>1384.3</v>
      </c>
      <c r="G41" s="66">
        <v>60142.080000000002</v>
      </c>
      <c r="H41" s="96">
        <f t="shared" ref="H41" si="6">ROUNDDOWN(F41*G41,0)</f>
        <v>83254681</v>
      </c>
      <c r="I41" s="27"/>
      <c r="J41" s="28"/>
      <c r="K41" s="167"/>
      <c r="L41" s="12"/>
    </row>
    <row r="42" spans="1:13" s="9" customFormat="1" ht="23.1" customHeight="1">
      <c r="A42" s="330"/>
      <c r="B42" s="15" t="s">
        <v>16</v>
      </c>
      <c r="C42" s="63" t="s">
        <v>156</v>
      </c>
      <c r="D42" s="17" t="s">
        <v>192</v>
      </c>
      <c r="E42" s="65">
        <v>46291</v>
      </c>
      <c r="F42" s="159">
        <f>IFERROR(VLOOKUP(E42,환율!A:B,2,0),1350)</f>
        <v>1360</v>
      </c>
      <c r="G42" s="66">
        <v>86229.36</v>
      </c>
      <c r="H42" s="96">
        <f t="shared" si="2"/>
        <v>117271929</v>
      </c>
      <c r="I42" s="27"/>
      <c r="J42" s="28"/>
      <c r="K42" s="167"/>
      <c r="L42" s="12"/>
    </row>
    <row r="43" spans="1:13" s="9" customFormat="1" ht="22.8" customHeight="1">
      <c r="A43" s="330"/>
      <c r="B43" s="15" t="s">
        <v>16</v>
      </c>
      <c r="C43" s="63" t="s">
        <v>157</v>
      </c>
      <c r="D43" s="17" t="s">
        <v>191</v>
      </c>
      <c r="E43" s="65">
        <v>46291</v>
      </c>
      <c r="F43" s="159">
        <f>IFERROR(VLOOKUP(E43,환율!A:B,2,0),1350)</f>
        <v>1360</v>
      </c>
      <c r="G43" s="66">
        <v>30006.9</v>
      </c>
      <c r="H43" s="96">
        <f t="shared" ref="H43" si="7">ROUNDDOWN(F43*G43,0)</f>
        <v>40809384</v>
      </c>
      <c r="I43" s="27"/>
      <c r="J43" s="28"/>
      <c r="K43" s="167"/>
      <c r="L43" s="12"/>
    </row>
    <row r="44" spans="1:13" s="9" customFormat="1" ht="23.1" customHeight="1">
      <c r="A44" s="330"/>
      <c r="B44" s="15" t="s">
        <v>16</v>
      </c>
      <c r="C44" s="63" t="s">
        <v>164</v>
      </c>
      <c r="D44" s="17" t="s">
        <v>211</v>
      </c>
      <c r="E44" s="65">
        <v>46291</v>
      </c>
      <c r="F44" s="159">
        <f>IFERROR(VLOOKUP(E44,환율!A:B,2,0),1350)</f>
        <v>1360</v>
      </c>
      <c r="G44" s="66">
        <v>86229.36</v>
      </c>
      <c r="H44" s="96">
        <f t="shared" ref="H44:H46" si="8">ROUNDDOWN(F44*G44,0)</f>
        <v>117271929</v>
      </c>
      <c r="I44" s="27"/>
      <c r="J44" s="28"/>
      <c r="K44" s="167"/>
      <c r="L44" s="12"/>
    </row>
    <row r="45" spans="1:13" s="9" customFormat="1" ht="23.1" customHeight="1">
      <c r="A45" s="330"/>
      <c r="B45" s="15" t="s">
        <v>16</v>
      </c>
      <c r="C45" s="63" t="s">
        <v>165</v>
      </c>
      <c r="D45" s="17" t="s">
        <v>162</v>
      </c>
      <c r="E45" s="65">
        <v>46295</v>
      </c>
      <c r="F45" s="159">
        <f>IFERROR(VLOOKUP(E45,환율!A:B,2,0),1350)</f>
        <v>1358.4</v>
      </c>
      <c r="G45" s="66">
        <v>53653.1</v>
      </c>
      <c r="H45" s="96">
        <f t="shared" ref="H45" si="9">ROUNDDOWN(F45*G45,0)</f>
        <v>72882371</v>
      </c>
      <c r="I45" s="27"/>
      <c r="J45" s="28"/>
      <c r="K45" s="167"/>
      <c r="L45" s="12"/>
    </row>
    <row r="46" spans="1:13" s="9" customFormat="1" ht="23.1" customHeight="1">
      <c r="A46" s="330"/>
      <c r="B46" s="18" t="s">
        <v>16</v>
      </c>
      <c r="C46" s="63" t="s">
        <v>167</v>
      </c>
      <c r="D46" s="17" t="s">
        <v>237</v>
      </c>
      <c r="E46" s="65">
        <v>46293</v>
      </c>
      <c r="F46" s="159">
        <f>IFERROR(VLOOKUP(E46,환율!A:B,2,0),1350)</f>
        <v>1352</v>
      </c>
      <c r="G46" s="66">
        <v>12956.58</v>
      </c>
      <c r="H46" s="96">
        <f t="shared" si="8"/>
        <v>17517296</v>
      </c>
      <c r="I46" s="27"/>
      <c r="J46" s="182"/>
      <c r="K46" s="220"/>
      <c r="L46" s="12"/>
    </row>
    <row r="47" spans="1:13" s="9" customFormat="1" ht="23.1" customHeight="1" thickBot="1">
      <c r="A47" s="356"/>
      <c r="B47" s="49" t="s">
        <v>16</v>
      </c>
      <c r="C47" s="100" t="s">
        <v>236</v>
      </c>
      <c r="D47" s="156" t="s">
        <v>242</v>
      </c>
      <c r="E47" s="156">
        <v>46280</v>
      </c>
      <c r="F47" s="138">
        <f>IFERROR(VLOOKUP(E47,환율!A:B,2,0),1350)</f>
        <v>1345.3</v>
      </c>
      <c r="G47" s="254">
        <v>6855.3</v>
      </c>
      <c r="H47" s="48">
        <f t="shared" si="2"/>
        <v>9222435</v>
      </c>
      <c r="I47" s="47">
        <f>SUM(G22:G47)</f>
        <v>1207026.5</v>
      </c>
      <c r="J47" s="48">
        <f>SUM(H22:H47)</f>
        <v>1641291737</v>
      </c>
      <c r="K47" s="255"/>
      <c r="L47" s="173">
        <f>+I47+I50</f>
        <v>1457984.9</v>
      </c>
      <c r="M47" s="214">
        <f>+J47+J50</f>
        <v>1980039885</v>
      </c>
    </row>
    <row r="48" spans="1:13" s="9" customFormat="1" ht="23.1" customHeight="1">
      <c r="A48" s="330" t="s">
        <v>88</v>
      </c>
      <c r="B48" s="18" t="s">
        <v>6</v>
      </c>
      <c r="C48" s="58" t="s">
        <v>171</v>
      </c>
      <c r="D48" s="56" t="s">
        <v>172</v>
      </c>
      <c r="E48" s="59">
        <v>46274</v>
      </c>
      <c r="F48" s="57">
        <f>IFERROR(VLOOKUP(E48,환율!A:B,2,0),1350)</f>
        <v>1341.1</v>
      </c>
      <c r="G48" s="97">
        <v>85777.44</v>
      </c>
      <c r="H48" s="166">
        <f t="shared" si="2"/>
        <v>115036124</v>
      </c>
      <c r="I48" s="204"/>
      <c r="J48" s="26"/>
      <c r="K48" s="128"/>
      <c r="L48" s="215"/>
      <c r="M48" s="214"/>
    </row>
    <row r="49" spans="1:13" s="9" customFormat="1" ht="23.1" customHeight="1">
      <c r="A49" s="330"/>
      <c r="B49" s="18" t="s">
        <v>6</v>
      </c>
      <c r="C49" s="58" t="s">
        <v>203</v>
      </c>
      <c r="D49" s="56" t="s">
        <v>207</v>
      </c>
      <c r="E49" s="59">
        <v>46280</v>
      </c>
      <c r="F49" s="57">
        <f>IFERROR(VLOOKUP(E49,환율!A:B,2,0),1350)</f>
        <v>1345.3</v>
      </c>
      <c r="G49" s="97">
        <v>63542.879999999997</v>
      </c>
      <c r="H49" s="166">
        <f t="shared" si="2"/>
        <v>85484236</v>
      </c>
      <c r="I49" s="29"/>
      <c r="J49" s="30"/>
      <c r="K49" s="128"/>
      <c r="L49" s="173"/>
    </row>
    <row r="50" spans="1:13" s="9" customFormat="1" ht="23.1" customHeight="1" thickBot="1">
      <c r="A50" s="330"/>
      <c r="B50" s="18" t="s">
        <v>6</v>
      </c>
      <c r="C50" s="58" t="s">
        <v>251</v>
      </c>
      <c r="D50" s="56" t="s">
        <v>258</v>
      </c>
      <c r="E50" s="59">
        <v>46292</v>
      </c>
      <c r="F50" s="57">
        <f>IFERROR(VLOOKUP(E50,환율!A:B,2,0),1350)</f>
        <v>1360</v>
      </c>
      <c r="G50" s="237">
        <v>101638.08000000002</v>
      </c>
      <c r="H50" s="238">
        <f t="shared" si="2"/>
        <v>138227788</v>
      </c>
      <c r="I50" s="47">
        <f>SUM(G48:G50)</f>
        <v>250958.40000000002</v>
      </c>
      <c r="J50" s="48">
        <f>SUM(H48:H50)</f>
        <v>338748148</v>
      </c>
      <c r="K50" s="193"/>
      <c r="L50" s="173"/>
    </row>
    <row r="51" spans="1:13" s="9" customFormat="1" ht="37.200000000000003" customHeight="1" thickBot="1">
      <c r="A51" s="273" t="s">
        <v>87</v>
      </c>
      <c r="B51" s="50" t="s">
        <v>6</v>
      </c>
      <c r="C51" s="60" t="s">
        <v>190</v>
      </c>
      <c r="D51" s="61" t="s">
        <v>189</v>
      </c>
      <c r="E51" s="161">
        <v>46276</v>
      </c>
      <c r="F51" s="62">
        <v>1350</v>
      </c>
      <c r="G51" s="165">
        <f>H51/1350</f>
        <v>17339.158518518518</v>
      </c>
      <c r="H51" s="166">
        <v>23407864</v>
      </c>
      <c r="I51" s="55">
        <f>SUM(G51:G51)</f>
        <v>17339.158518518518</v>
      </c>
      <c r="J51" s="67">
        <f>SUM(H51:H51)</f>
        <v>23407864</v>
      </c>
      <c r="K51" s="128" t="s">
        <v>89</v>
      </c>
      <c r="L51" s="215"/>
      <c r="M51" s="214"/>
    </row>
    <row r="52" spans="1:13" s="9" customFormat="1" ht="23.1" customHeight="1">
      <c r="A52" s="329" t="s">
        <v>17</v>
      </c>
      <c r="B52" s="50" t="s">
        <v>8</v>
      </c>
      <c r="C52" s="176" t="s">
        <v>118</v>
      </c>
      <c r="D52" s="61" t="s">
        <v>173</v>
      </c>
      <c r="E52" s="61">
        <v>46278</v>
      </c>
      <c r="F52" s="62">
        <f>IFERROR(VLOOKUP(E52,환율!A:B,2,0),1350)</f>
        <v>1338.2</v>
      </c>
      <c r="G52" s="245">
        <v>390865.54</v>
      </c>
      <c r="H52" s="53">
        <f>ROUNDDOWN(F52*G52,0)</f>
        <v>523056265</v>
      </c>
      <c r="I52" s="163"/>
      <c r="J52" s="52"/>
      <c r="K52" s="143"/>
      <c r="L52" s="215">
        <f>SUM(G52:G52)</f>
        <v>390865.54</v>
      </c>
      <c r="M52" s="214">
        <f>SUM(H52:H52)</f>
        <v>523056265</v>
      </c>
    </row>
    <row r="53" spans="1:13" s="9" customFormat="1" ht="23.1" customHeight="1">
      <c r="A53" s="330"/>
      <c r="B53" s="15" t="s">
        <v>8</v>
      </c>
      <c r="C53" s="63" t="s">
        <v>224</v>
      </c>
      <c r="D53" s="137" t="s">
        <v>281</v>
      </c>
      <c r="E53" s="64">
        <v>46272</v>
      </c>
      <c r="F53" s="159">
        <f>IFERROR(VLOOKUP(E53,환율!A:B,2,0),1350)</f>
        <v>1355.2</v>
      </c>
      <c r="G53" s="247">
        <v>11856.000000000002</v>
      </c>
      <c r="H53" s="30">
        <f t="shared" ref="H53:H55" si="10">ROUNDDOWN(F53*G53,0)</f>
        <v>16067251</v>
      </c>
      <c r="I53" s="29"/>
      <c r="J53" s="30"/>
      <c r="K53" s="194"/>
      <c r="L53" s="12"/>
    </row>
    <row r="54" spans="1:13" s="9" customFormat="1" ht="23.1" customHeight="1">
      <c r="A54" s="330"/>
      <c r="B54" s="15" t="s">
        <v>8</v>
      </c>
      <c r="C54" s="63" t="s">
        <v>225</v>
      </c>
      <c r="D54" s="137" t="s">
        <v>259</v>
      </c>
      <c r="E54" s="64">
        <v>46279</v>
      </c>
      <c r="F54" s="159">
        <f>IFERROR(VLOOKUP(E54,환율!A:B,2,0),1350)</f>
        <v>1346.4</v>
      </c>
      <c r="G54" s="247">
        <v>21647.919999999998</v>
      </c>
      <c r="H54" s="30">
        <f t="shared" si="10"/>
        <v>29146759</v>
      </c>
      <c r="I54" s="29"/>
      <c r="J54" s="30"/>
      <c r="K54" s="194"/>
      <c r="L54" s="12"/>
    </row>
    <row r="55" spans="1:13" s="9" customFormat="1" ht="23.1" customHeight="1">
      <c r="A55" s="330"/>
      <c r="B55" s="15" t="s">
        <v>8</v>
      </c>
      <c r="C55" s="63" t="s">
        <v>226</v>
      </c>
      <c r="D55" s="137" t="s">
        <v>227</v>
      </c>
      <c r="E55" s="64">
        <v>46283</v>
      </c>
      <c r="F55" s="159">
        <f>IFERROR(VLOOKUP(E55,환율!A:B,2,0),1350)</f>
        <v>1380.3</v>
      </c>
      <c r="G55" s="247">
        <v>406770.31999999995</v>
      </c>
      <c r="H55" s="30">
        <f t="shared" si="10"/>
        <v>561465072</v>
      </c>
      <c r="I55" s="29"/>
      <c r="J55" s="30"/>
      <c r="K55" s="208"/>
      <c r="L55" s="205"/>
    </row>
    <row r="56" spans="1:13" s="9" customFormat="1" ht="23.1" customHeight="1">
      <c r="A56" s="330"/>
      <c r="B56" s="15" t="s">
        <v>8</v>
      </c>
      <c r="C56" s="63" t="s">
        <v>228</v>
      </c>
      <c r="D56" s="137" t="s">
        <v>282</v>
      </c>
      <c r="E56" s="64">
        <v>46291</v>
      </c>
      <c r="F56" s="159">
        <f>IFERROR(VLOOKUP(E56,환율!A:B,2,0),1350)</f>
        <v>1360</v>
      </c>
      <c r="G56" s="247">
        <v>5465.44</v>
      </c>
      <c r="H56" s="99">
        <f t="shared" ref="H56" si="11">ROUNDDOWN(F56*G56,0)</f>
        <v>7432998</v>
      </c>
      <c r="I56" s="29"/>
      <c r="J56" s="30"/>
      <c r="K56" s="208"/>
      <c r="L56" s="205"/>
    </row>
    <row r="57" spans="1:13" s="9" customFormat="1" ht="23.1" customHeight="1">
      <c r="A57" s="330"/>
      <c r="B57" s="15" t="s">
        <v>8</v>
      </c>
      <c r="C57" s="63" t="s">
        <v>250</v>
      </c>
      <c r="D57" s="137" t="s">
        <v>260</v>
      </c>
      <c r="E57" s="137">
        <v>46294</v>
      </c>
      <c r="F57" s="180">
        <f>IFERROR(VLOOKUP(E57,환율!A:B,2,0),1350)</f>
        <v>1360</v>
      </c>
      <c r="G57" s="247">
        <v>374847.56</v>
      </c>
      <c r="H57" s="99">
        <f t="shared" ref="H57:H58" si="12">ROUNDDOWN(F57*G57,0)</f>
        <v>509792681</v>
      </c>
      <c r="I57" s="29"/>
      <c r="J57" s="30"/>
      <c r="K57" s="208"/>
      <c r="L57" s="205"/>
    </row>
    <row r="58" spans="1:13" s="9" customFormat="1" ht="23.1" customHeight="1" thickBot="1">
      <c r="A58" s="356"/>
      <c r="B58" s="49" t="s">
        <v>8</v>
      </c>
      <c r="C58" s="100" t="s">
        <v>253</v>
      </c>
      <c r="D58" s="156" t="s">
        <v>261</v>
      </c>
      <c r="E58" s="156">
        <v>46289</v>
      </c>
      <c r="F58" s="138">
        <f>IFERROR(VLOOKUP(E58,환율!A:B,2,0),1350)</f>
        <v>1360</v>
      </c>
      <c r="G58" s="248">
        <v>23712.000000000004</v>
      </c>
      <c r="H58" s="184">
        <f t="shared" si="12"/>
        <v>32248320</v>
      </c>
      <c r="I58" s="55">
        <f>SUM(G52:G58)</f>
        <v>1235164.7799999998</v>
      </c>
      <c r="J58" s="157">
        <f>SUM(H52:H58)</f>
        <v>1679209346</v>
      </c>
      <c r="K58" s="256"/>
      <c r="L58" s="205"/>
    </row>
    <row r="59" spans="1:13" s="2" customFormat="1" ht="23.1" customHeight="1">
      <c r="A59" s="330" t="s">
        <v>91</v>
      </c>
      <c r="B59" s="18" t="s">
        <v>19</v>
      </c>
      <c r="C59" s="58" t="s">
        <v>175</v>
      </c>
      <c r="D59" s="56" t="s">
        <v>176</v>
      </c>
      <c r="E59" s="59">
        <v>46273</v>
      </c>
      <c r="F59" s="57">
        <f>IFERROR(VLOOKUP(E59,환율!A:B,2,0),1350)</f>
        <v>1342.6</v>
      </c>
      <c r="G59" s="165">
        <v>66786.64</v>
      </c>
      <c r="H59" s="99">
        <f t="shared" ref="H59:H68" si="13">ROUNDDOWN(F59*G59,0)</f>
        <v>89667742</v>
      </c>
      <c r="I59" s="98"/>
      <c r="J59" s="99"/>
      <c r="K59" s="195"/>
      <c r="L59" s="215">
        <f>G59</f>
        <v>66786.64</v>
      </c>
      <c r="M59" s="234">
        <f>H59</f>
        <v>89667742</v>
      </c>
    </row>
    <row r="60" spans="1:13" s="9" customFormat="1" ht="23.1" customHeight="1">
      <c r="A60" s="330"/>
      <c r="B60" s="18" t="s">
        <v>19</v>
      </c>
      <c r="C60" s="63" t="s">
        <v>204</v>
      </c>
      <c r="D60" s="137" t="s">
        <v>205</v>
      </c>
      <c r="E60" s="59">
        <v>46284</v>
      </c>
      <c r="F60" s="57">
        <f>IFERROR(VLOOKUP(E60,환율!A:B,2,0),1350)</f>
        <v>1380.3</v>
      </c>
      <c r="G60" s="249">
        <v>25498.120000000003</v>
      </c>
      <c r="H60" s="99">
        <f t="shared" si="13"/>
        <v>35195055</v>
      </c>
      <c r="I60" s="27"/>
      <c r="J60" s="28"/>
      <c r="K60" s="128"/>
      <c r="L60" s="93"/>
    </row>
    <row r="61" spans="1:13" s="9" customFormat="1" ht="23.1" customHeight="1" thickBot="1">
      <c r="A61" s="330"/>
      <c r="B61" s="18" t="s">
        <v>19</v>
      </c>
      <c r="C61" s="63" t="s">
        <v>252</v>
      </c>
      <c r="D61" s="137" t="s">
        <v>257</v>
      </c>
      <c r="E61" s="59">
        <v>46293</v>
      </c>
      <c r="F61" s="57">
        <f>IFERROR(VLOOKUP(E61,환율!A:B,2,0),1350)</f>
        <v>1352</v>
      </c>
      <c r="G61" s="249">
        <v>42536.56</v>
      </c>
      <c r="H61" s="99">
        <f t="shared" ref="H61" si="14">ROUNDDOWN(F61*G61,0)</f>
        <v>57509429</v>
      </c>
      <c r="I61" s="55">
        <f>SUM(G59:G61)</f>
        <v>134821.32</v>
      </c>
      <c r="J61" s="67">
        <f>SUM(H59:H61)</f>
        <v>182372226</v>
      </c>
      <c r="K61" s="128"/>
      <c r="L61" s="93"/>
    </row>
    <row r="62" spans="1:13" ht="23.1" customHeight="1">
      <c r="A62" s="329" t="s">
        <v>20</v>
      </c>
      <c r="B62" s="50" t="s">
        <v>19</v>
      </c>
      <c r="C62" s="60" t="s">
        <v>182</v>
      </c>
      <c r="D62" s="61" t="s">
        <v>183</v>
      </c>
      <c r="E62" s="61">
        <v>46275</v>
      </c>
      <c r="F62" s="62">
        <f>IFERROR(VLOOKUP(E62,환율!A:B,2,0),1350)</f>
        <v>1337.9</v>
      </c>
      <c r="G62" s="245">
        <v>12939</v>
      </c>
      <c r="H62" s="164">
        <f t="shared" si="13"/>
        <v>17311088</v>
      </c>
      <c r="I62" s="163"/>
      <c r="J62" s="52"/>
      <c r="K62" s="191"/>
      <c r="L62" s="235"/>
      <c r="M62" s="236"/>
    </row>
    <row r="63" spans="1:13" ht="23.1" customHeight="1">
      <c r="A63" s="330"/>
      <c r="B63" s="15" t="s">
        <v>19</v>
      </c>
      <c r="C63" s="63" t="s">
        <v>231</v>
      </c>
      <c r="D63" s="64" t="s">
        <v>184</v>
      </c>
      <c r="E63" s="56">
        <v>46268</v>
      </c>
      <c r="F63" s="159">
        <f>IFERROR(VLOOKUP(E63,환율!A:B,2,0),1350)</f>
        <v>1369.4</v>
      </c>
      <c r="G63" s="243">
        <v>927.64</v>
      </c>
      <c r="H63" s="160">
        <f t="shared" si="13"/>
        <v>1270310</v>
      </c>
      <c r="I63" s="29"/>
      <c r="J63" s="30"/>
      <c r="K63" s="192"/>
      <c r="L63" s="213"/>
    </row>
    <row r="64" spans="1:13" ht="23.1" customHeight="1">
      <c r="A64" s="330"/>
      <c r="B64" s="18" t="s">
        <v>19</v>
      </c>
      <c r="C64" s="63" t="s">
        <v>185</v>
      </c>
      <c r="D64" s="64" t="s">
        <v>186</v>
      </c>
      <c r="E64" s="59">
        <v>46268</v>
      </c>
      <c r="F64" s="159">
        <f>IFERROR(VLOOKUP(E64,환율!A:B,2,0),1350)</f>
        <v>1369.4</v>
      </c>
      <c r="G64" s="243">
        <v>2301.42</v>
      </c>
      <c r="H64" s="160">
        <f t="shared" si="13"/>
        <v>3151564</v>
      </c>
      <c r="I64" s="29"/>
      <c r="J64" s="30"/>
      <c r="K64" s="192"/>
      <c r="L64" s="213"/>
    </row>
    <row r="65" spans="1:13" ht="23.1" customHeight="1">
      <c r="A65" s="330"/>
      <c r="B65" s="15" t="s">
        <v>19</v>
      </c>
      <c r="C65" s="63" t="s">
        <v>193</v>
      </c>
      <c r="D65" s="64" t="s">
        <v>229</v>
      </c>
      <c r="E65" s="65">
        <v>46281</v>
      </c>
      <c r="F65" s="159">
        <f>IFERROR(VLOOKUP(E65,환율!A:B,2,0),1350)</f>
        <v>1353.3</v>
      </c>
      <c r="G65" s="243">
        <v>488.88</v>
      </c>
      <c r="H65" s="160">
        <f t="shared" si="13"/>
        <v>661601</v>
      </c>
      <c r="I65" s="170"/>
      <c r="J65" s="160"/>
      <c r="K65" s="192"/>
    </row>
    <row r="66" spans="1:13" ht="23.1" customHeight="1">
      <c r="A66" s="330"/>
      <c r="B66" s="15" t="s">
        <v>19</v>
      </c>
      <c r="C66" s="63" t="s">
        <v>194</v>
      </c>
      <c r="D66" s="64" t="s">
        <v>198</v>
      </c>
      <c r="E66" s="65">
        <v>46280</v>
      </c>
      <c r="F66" s="159">
        <f>IFERROR(VLOOKUP(E66,환율!A:B,2,0),1350)</f>
        <v>1345.3</v>
      </c>
      <c r="G66" s="243">
        <v>3573.68</v>
      </c>
      <c r="H66" s="160">
        <f t="shared" ref="H66:H67" si="15">ROUNDDOWN(F66*G66,0)</f>
        <v>4807671</v>
      </c>
      <c r="I66" s="170"/>
      <c r="J66" s="160"/>
      <c r="K66" s="192"/>
    </row>
    <row r="67" spans="1:13" ht="23.1" customHeight="1">
      <c r="A67" s="330"/>
      <c r="B67" s="15" t="s">
        <v>19</v>
      </c>
      <c r="C67" s="63" t="s">
        <v>195</v>
      </c>
      <c r="D67" s="64" t="s">
        <v>197</v>
      </c>
      <c r="E67" s="65">
        <v>46274</v>
      </c>
      <c r="F67" s="159">
        <f>IFERROR(VLOOKUP(E67,환율!A:B,2,0),1350)</f>
        <v>1341.1</v>
      </c>
      <c r="G67" s="243">
        <v>1872.18</v>
      </c>
      <c r="H67" s="160">
        <f t="shared" si="15"/>
        <v>2510780</v>
      </c>
      <c r="I67" s="170"/>
      <c r="J67" s="160"/>
      <c r="K67" s="192"/>
    </row>
    <row r="68" spans="1:13" s="2" customFormat="1" ht="23.1" customHeight="1" thickBot="1">
      <c r="A68" s="330"/>
      <c r="B68" s="18" t="s">
        <v>19</v>
      </c>
      <c r="C68" s="63" t="s">
        <v>230</v>
      </c>
      <c r="D68" s="56" t="s">
        <v>202</v>
      </c>
      <c r="E68" s="59">
        <v>46275</v>
      </c>
      <c r="F68" s="159">
        <f>IFERROR(VLOOKUP(E68,환율!A:B,2,0),1350)</f>
        <v>1337.9</v>
      </c>
      <c r="G68" s="165">
        <v>1124.3</v>
      </c>
      <c r="H68" s="160">
        <f t="shared" si="13"/>
        <v>1504200</v>
      </c>
      <c r="I68" s="186">
        <f>SUM(G62:G68)</f>
        <v>23227.1</v>
      </c>
      <c r="J68" s="184">
        <f>SUM(H62:H68)</f>
        <v>31217214</v>
      </c>
      <c r="K68" s="190"/>
      <c r="L68" s="7"/>
    </row>
    <row r="69" spans="1:13" s="9" customFormat="1" ht="23.1" customHeight="1">
      <c r="A69" s="329" t="s">
        <v>92</v>
      </c>
      <c r="B69" s="50" t="s">
        <v>19</v>
      </c>
      <c r="C69" s="60" t="s">
        <v>177</v>
      </c>
      <c r="D69" s="61" t="s">
        <v>178</v>
      </c>
      <c r="E69" s="161">
        <v>46267</v>
      </c>
      <c r="F69" s="62">
        <f>IFERROR(VLOOKUP(E69,환율!A:B,2,0),1350)</f>
        <v>1370.3</v>
      </c>
      <c r="G69" s="245">
        <v>24143.39</v>
      </c>
      <c r="H69" s="164">
        <f>ROUNDDOWN(F69*G69,0)</f>
        <v>33083687</v>
      </c>
      <c r="I69" s="163"/>
      <c r="J69" s="164"/>
      <c r="K69" s="191"/>
      <c r="L69" s="215">
        <f>SUM(G69:G70)</f>
        <v>52732.44</v>
      </c>
      <c r="M69" s="214">
        <f>SUM(H69:H70)</f>
        <v>71341553</v>
      </c>
    </row>
    <row r="70" spans="1:13" s="9" customFormat="1" ht="23.1" customHeight="1">
      <c r="A70" s="330"/>
      <c r="B70" s="18" t="s">
        <v>19</v>
      </c>
      <c r="C70" s="21" t="s">
        <v>138</v>
      </c>
      <c r="D70" s="19" t="s">
        <v>179</v>
      </c>
      <c r="E70" s="20">
        <v>46276</v>
      </c>
      <c r="F70" s="159">
        <f>IFERROR(VLOOKUP(E70,환율!A:B,2,0),1350)</f>
        <v>1338.2</v>
      </c>
      <c r="G70" s="270">
        <v>28589.05</v>
      </c>
      <c r="H70" s="160">
        <f t="shared" ref="H70" si="16">ROUNDDOWN(F70*G70,0)</f>
        <v>38257866</v>
      </c>
      <c r="I70" s="29"/>
      <c r="J70" s="30"/>
      <c r="K70" s="128"/>
      <c r="L70" s="93"/>
    </row>
    <row r="71" spans="1:13" s="9" customFormat="1" ht="23.1" customHeight="1">
      <c r="A71" s="330"/>
      <c r="B71" s="18" t="s">
        <v>19</v>
      </c>
      <c r="C71" s="21" t="s">
        <v>199</v>
      </c>
      <c r="D71" s="19" t="s">
        <v>200</v>
      </c>
      <c r="E71" s="20">
        <v>46274</v>
      </c>
      <c r="F71" s="159">
        <f>IFERROR(VLOOKUP(E71,환율!A:B,2,0),1350)</f>
        <v>1341.1</v>
      </c>
      <c r="G71" s="270">
        <v>8163.21</v>
      </c>
      <c r="H71" s="160">
        <f t="shared" ref="H71:H73" si="17">ROUNDDOWN(F71*G71,0)</f>
        <v>10947680</v>
      </c>
      <c r="I71" s="29"/>
      <c r="J71" s="30"/>
      <c r="K71" s="128"/>
      <c r="L71" s="93"/>
    </row>
    <row r="72" spans="1:13" s="9" customFormat="1" ht="23.1" customHeight="1">
      <c r="A72" s="330"/>
      <c r="B72" s="18" t="s">
        <v>19</v>
      </c>
      <c r="C72" s="21" t="s">
        <v>206</v>
      </c>
      <c r="D72" s="19" t="s">
        <v>221</v>
      </c>
      <c r="E72" s="20">
        <v>46278</v>
      </c>
      <c r="F72" s="159">
        <f>IFERROR(VLOOKUP(E72,환율!A:B,2,0),1350)</f>
        <v>1338.2</v>
      </c>
      <c r="G72" s="280">
        <v>16087.35</v>
      </c>
      <c r="H72" s="222">
        <f t="shared" si="17"/>
        <v>21528091</v>
      </c>
      <c r="I72" s="29"/>
      <c r="J72" s="30"/>
      <c r="K72" s="128"/>
      <c r="L72" s="93"/>
    </row>
    <row r="73" spans="1:13" s="9" customFormat="1" ht="23.1" customHeight="1" thickBot="1">
      <c r="A73" s="330"/>
      <c r="B73" s="158" t="s">
        <v>19</v>
      </c>
      <c r="C73" s="286" t="s">
        <v>254</v>
      </c>
      <c r="D73" s="285" t="s">
        <v>267</v>
      </c>
      <c r="E73" s="288">
        <v>46295</v>
      </c>
      <c r="F73" s="180">
        <f>IFERROR(VLOOKUP(E73,환율!A:B,2,0),1350)</f>
        <v>1358.4</v>
      </c>
      <c r="G73" s="289">
        <v>27641.37</v>
      </c>
      <c r="H73" s="290">
        <f t="shared" si="17"/>
        <v>37548037</v>
      </c>
      <c r="I73" s="274">
        <f>SUM(G69:G73)</f>
        <v>104624.37</v>
      </c>
      <c r="J73" s="275">
        <f>SUM(H69:H73)</f>
        <v>141365361</v>
      </c>
      <c r="K73" s="291"/>
      <c r="L73" s="93"/>
    </row>
    <row r="74" spans="1:13" s="9" customFormat="1" ht="23.1" customHeight="1">
      <c r="A74" s="329" t="s">
        <v>45</v>
      </c>
      <c r="B74" s="207" t="s">
        <v>277</v>
      </c>
      <c r="C74" s="292" t="s">
        <v>279</v>
      </c>
      <c r="D74" s="327" t="s">
        <v>70</v>
      </c>
      <c r="E74" s="54">
        <v>46266</v>
      </c>
      <c r="F74" s="258"/>
      <c r="G74" s="278">
        <v>18242</v>
      </c>
      <c r="H74" s="295">
        <v>21526400</v>
      </c>
      <c r="I74" s="259"/>
      <c r="J74" s="260"/>
      <c r="K74" s="261" t="s">
        <v>280</v>
      </c>
      <c r="L74" s="93"/>
    </row>
    <row r="75" spans="1:13" s="9" customFormat="1" ht="23.1" customHeight="1" thickBot="1">
      <c r="A75" s="356"/>
      <c r="B75" s="49" t="s">
        <v>19</v>
      </c>
      <c r="C75" s="100" t="s">
        <v>278</v>
      </c>
      <c r="D75" s="357"/>
      <c r="E75" s="298">
        <v>46294</v>
      </c>
      <c r="F75" s="293"/>
      <c r="G75" s="294">
        <v>18242</v>
      </c>
      <c r="H75" s="48">
        <v>21526400</v>
      </c>
      <c r="I75" s="47">
        <f>SUM(G74:G75)</f>
        <v>36484</v>
      </c>
      <c r="J75" s="48">
        <f>SUM(H74:H75)</f>
        <v>43052800</v>
      </c>
      <c r="K75" s="193" t="s">
        <v>90</v>
      </c>
      <c r="L75" s="12"/>
    </row>
    <row r="76" spans="1:13" s="2" customFormat="1">
      <c r="A76" s="353" t="s">
        <v>12</v>
      </c>
      <c r="B76" s="354"/>
      <c r="C76" s="355"/>
      <c r="D76" s="129"/>
      <c r="E76" s="145"/>
      <c r="F76" s="148">
        <f>AVERAGE(F9:F75)</f>
        <v>1356.3692307692309</v>
      </c>
      <c r="G76" s="130">
        <f>SUM(G16:G75)</f>
        <v>3245150.4285185188</v>
      </c>
      <c r="H76" s="131">
        <f>SUM(H16:H75)</f>
        <v>4400384960</v>
      </c>
      <c r="I76" s="132">
        <f>SUM(I7:I75)</f>
        <v>3533130.8285185182</v>
      </c>
      <c r="J76" s="133">
        <f>SUM(J7:J75)</f>
        <v>4794637960</v>
      </c>
      <c r="K76" s="197" t="s">
        <v>10</v>
      </c>
      <c r="L76" s="262">
        <f>J85-J75</f>
        <v>4751585160</v>
      </c>
    </row>
    <row r="77" spans="1:13" ht="50.4" customHeight="1">
      <c r="A77" s="337" t="s">
        <v>140</v>
      </c>
      <c r="B77" s="338"/>
      <c r="C77" s="338"/>
      <c r="D77" s="338" t="s">
        <v>141</v>
      </c>
      <c r="E77" s="338"/>
      <c r="F77" s="338"/>
      <c r="G77" s="342" t="s">
        <v>141</v>
      </c>
      <c r="H77" s="343"/>
      <c r="I77" s="41">
        <f>+L16+L17+L22+L51+L52+L59+L62+L69+'26.9月이월_면장'!G28</f>
        <v>1620173.1799999997</v>
      </c>
      <c r="J77" s="94">
        <f>+M16+M17+M22+M51+M52+M59+M62+M69+'26.9月이월_면장'!H28</f>
        <v>2191695343</v>
      </c>
      <c r="K77" s="395" t="s">
        <v>288</v>
      </c>
      <c r="L77" s="150">
        <f>L76/1000</f>
        <v>4751585.16</v>
      </c>
    </row>
    <row r="78" spans="1:13" ht="39.6" customHeight="1">
      <c r="A78" s="337"/>
      <c r="B78" s="338"/>
      <c r="C78" s="338"/>
      <c r="D78" s="334" t="s">
        <v>86</v>
      </c>
      <c r="E78" s="334"/>
      <c r="F78" s="334"/>
      <c r="G78" s="335" t="s">
        <v>144</v>
      </c>
      <c r="H78" s="336"/>
      <c r="I78" s="151">
        <f>'26.9月이월_면장'!I38</f>
        <v>1622703.0888888887</v>
      </c>
      <c r="J78" s="152">
        <f>'26.9月이월_면장'!J38</f>
        <v>2198973759</v>
      </c>
      <c r="K78" s="396"/>
      <c r="L78" s="139">
        <f>G74+97949.28</f>
        <v>116191.28</v>
      </c>
    </row>
    <row r="79" spans="1:13" ht="48" customHeight="1">
      <c r="A79" s="337"/>
      <c r="B79" s="338"/>
      <c r="C79" s="338"/>
      <c r="D79" s="338" t="s">
        <v>142</v>
      </c>
      <c r="E79" s="338"/>
      <c r="F79" s="338"/>
      <c r="G79" s="344" t="s">
        <v>145</v>
      </c>
      <c r="H79" s="345"/>
      <c r="I79" s="140">
        <f>I83-I77+I78-G74</f>
        <v>3229438.3374074078</v>
      </c>
      <c r="J79" s="141">
        <f>J83+J78-J77-H74</f>
        <v>4386136976</v>
      </c>
      <c r="K79" s="199" t="s">
        <v>289</v>
      </c>
      <c r="L79" s="306">
        <f>H74+132789838</f>
        <v>154316238</v>
      </c>
    </row>
    <row r="80" spans="1:13" s="2" customFormat="1" ht="25.2" customHeight="1">
      <c r="A80" s="337"/>
      <c r="B80" s="338"/>
      <c r="C80" s="338"/>
      <c r="D80" s="352" t="s">
        <v>143</v>
      </c>
      <c r="E80" s="352"/>
      <c r="F80" s="352"/>
      <c r="G80" s="348" t="s">
        <v>22</v>
      </c>
      <c r="H80" s="349"/>
      <c r="I80" s="153">
        <f>SUM(I16:I51)</f>
        <v>1710828.8585185187</v>
      </c>
      <c r="J80" s="154">
        <f>SUM(J16:J51)</f>
        <v>2323168013</v>
      </c>
      <c r="K80" s="200" t="s">
        <v>10</v>
      </c>
      <c r="L80" s="309"/>
    </row>
    <row r="81" spans="1:12">
      <c r="A81" s="337"/>
      <c r="B81" s="338"/>
      <c r="C81" s="338"/>
      <c r="D81" s="338"/>
      <c r="E81" s="338"/>
      <c r="F81" s="338"/>
      <c r="G81" s="350" t="s">
        <v>23</v>
      </c>
      <c r="H81" s="351"/>
      <c r="I81" s="34">
        <f>SUM(I52:I58)</f>
        <v>1235164.7799999998</v>
      </c>
      <c r="J81" s="38">
        <f>SUM(J52:J58)</f>
        <v>1679209346</v>
      </c>
      <c r="K81" s="201"/>
    </row>
    <row r="82" spans="1:12">
      <c r="A82" s="337"/>
      <c r="B82" s="338"/>
      <c r="C82" s="338"/>
      <c r="D82" s="338"/>
      <c r="E82" s="338"/>
      <c r="F82" s="338"/>
      <c r="G82" s="346" t="s">
        <v>24</v>
      </c>
      <c r="H82" s="347"/>
      <c r="I82" s="32">
        <f>SUM(I59:I75)</f>
        <v>299156.79000000004</v>
      </c>
      <c r="J82" s="39">
        <f>SUM(J59:J75)</f>
        <v>398007601</v>
      </c>
      <c r="K82" s="202" t="s">
        <v>10</v>
      </c>
    </row>
    <row r="83" spans="1:12">
      <c r="A83" s="337"/>
      <c r="B83" s="338"/>
      <c r="C83" s="338"/>
      <c r="D83" s="338"/>
      <c r="E83" s="338"/>
      <c r="F83" s="338"/>
      <c r="G83" s="342" t="s">
        <v>25</v>
      </c>
      <c r="H83" s="343"/>
      <c r="I83" s="103">
        <f>SUM(I80:I82)</f>
        <v>3245150.4285185188</v>
      </c>
      <c r="J83" s="101">
        <f>SUM(J80:J82)</f>
        <v>4400384960</v>
      </c>
      <c r="K83" s="239"/>
      <c r="L83" s="150"/>
    </row>
    <row r="84" spans="1:12">
      <c r="A84" s="337"/>
      <c r="B84" s="338"/>
      <c r="C84" s="338"/>
      <c r="D84" s="338" t="s">
        <v>73</v>
      </c>
      <c r="E84" s="338"/>
      <c r="F84" s="338"/>
      <c r="G84" s="342" t="s">
        <v>73</v>
      </c>
      <c r="H84" s="343"/>
      <c r="I84" s="41">
        <f>+I7+I15</f>
        <v>287980.40000000002</v>
      </c>
      <c r="J84" s="42">
        <f>+J7+J15</f>
        <v>394253000</v>
      </c>
      <c r="K84" s="198" t="s">
        <v>10</v>
      </c>
      <c r="L84" s="150"/>
    </row>
    <row r="85" spans="1:12" ht="25.2" customHeight="1" thickBot="1">
      <c r="A85" s="339"/>
      <c r="B85" s="340"/>
      <c r="C85" s="340"/>
      <c r="D85" s="340" t="s">
        <v>51</v>
      </c>
      <c r="E85" s="340"/>
      <c r="F85" s="340"/>
      <c r="G85" s="341" t="s">
        <v>67</v>
      </c>
      <c r="H85" s="341"/>
      <c r="I85" s="168">
        <f>I83+I84</f>
        <v>3533130.8285185187</v>
      </c>
      <c r="J85" s="169">
        <f>J83+J84</f>
        <v>4794637960</v>
      </c>
      <c r="K85" s="203" t="s">
        <v>10</v>
      </c>
    </row>
    <row r="86" spans="1:12">
      <c r="J86" s="22"/>
    </row>
    <row r="87" spans="1:12">
      <c r="J87" s="22"/>
    </row>
  </sheetData>
  <autoFilter ref="A5:F76" xr:uid="{72BBAF2A-BBA0-402E-B91A-01168053613C}"/>
  <mergeCells count="39">
    <mergeCell ref="K77:K78"/>
    <mergeCell ref="A76:C76"/>
    <mergeCell ref="A48:A50"/>
    <mergeCell ref="A22:A47"/>
    <mergeCell ref="A74:A75"/>
    <mergeCell ref="D74:D75"/>
    <mergeCell ref="A62:A68"/>
    <mergeCell ref="A52:A58"/>
    <mergeCell ref="A59:A61"/>
    <mergeCell ref="A69:A73"/>
    <mergeCell ref="D78:F78"/>
    <mergeCell ref="G78:H78"/>
    <mergeCell ref="A77:C85"/>
    <mergeCell ref="G85:H85"/>
    <mergeCell ref="G84:H84"/>
    <mergeCell ref="D84:F84"/>
    <mergeCell ref="G83:H83"/>
    <mergeCell ref="D79:F79"/>
    <mergeCell ref="G79:H79"/>
    <mergeCell ref="D77:F77"/>
    <mergeCell ref="D85:F85"/>
    <mergeCell ref="G82:H82"/>
    <mergeCell ref="G80:H80"/>
    <mergeCell ref="G81:H81"/>
    <mergeCell ref="D80:F83"/>
    <mergeCell ref="G77:H77"/>
    <mergeCell ref="A17:A21"/>
    <mergeCell ref="A2:K3"/>
    <mergeCell ref="A5:A6"/>
    <mergeCell ref="B5:B6"/>
    <mergeCell ref="C5:C6"/>
    <mergeCell ref="D5:D6"/>
    <mergeCell ref="E5:E6"/>
    <mergeCell ref="F5:F6"/>
    <mergeCell ref="G5:K5"/>
    <mergeCell ref="I6:J6"/>
    <mergeCell ref="D8:D15"/>
    <mergeCell ref="A8:A15"/>
    <mergeCell ref="K8:K15"/>
  </mergeCells>
  <phoneticPr fontId="2" type="noConversion"/>
  <conditionalFormatting sqref="A6 K6 C7:K7 E8:K8 C8:C15 E9:J15 C16:K21 D54:K54 C54:C56 D55:L55 C56:L58 C59:K74 C75 E75:K75 A76:A77 G76:K77 I79:K85 G79:K79 G78:J78">
    <cfRule type="expression" dxfId="16" priority="134">
      <formula>#REF!="*01월*"</formula>
    </cfRule>
  </conditionalFormatting>
  <conditionalFormatting sqref="A5:K5 C6:I6">
    <cfRule type="expression" dxfId="15" priority="133">
      <formula>#REF!="*01월*"</formula>
    </cfRule>
  </conditionalFormatting>
  <conditionalFormatting sqref="C22:I30 J25:K30">
    <cfRule type="expression" dxfId="14" priority="12">
      <formula>#REF!="*01월*"</formula>
    </cfRule>
  </conditionalFormatting>
  <conditionalFormatting sqref="C31:K53">
    <cfRule type="expression" dxfId="13" priority="1">
      <formula>#REF!="*01월*"</formula>
    </cfRule>
  </conditionalFormatting>
  <conditionalFormatting sqref="J22">
    <cfRule type="expression" dxfId="12" priority="18">
      <formula>#REF!="*01월*"</formula>
    </cfRule>
  </conditionalFormatting>
  <conditionalFormatting sqref="J24">
    <cfRule type="expression" dxfId="11" priority="20">
      <formula>#REF!="*01월*"</formula>
    </cfRule>
  </conditionalFormatting>
  <conditionalFormatting sqref="K22:K24">
    <cfRule type="expression" dxfId="10" priority="17">
      <formula>#REF!="*01월*"</formula>
    </cfRule>
  </conditionalFormatting>
  <printOptions horizontalCentered="1"/>
  <pageMargins left="0.25" right="0.25" top="0.75" bottom="0.75" header="0.3" footer="0.3"/>
  <pageSetup paperSize="9" scale="52" fitToHeight="0" orientation="portrait" r:id="rId1"/>
  <colBreaks count="1" manualBreakCount="1">
    <brk id="1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D710C-46E5-46E8-A003-39EA3AD14EF5}">
  <sheetPr codeName="Sheet2"/>
  <dimension ref="A1:M95"/>
  <sheetViews>
    <sheetView view="pageBreakPreview" topLeftCell="A19" zoomScaleNormal="100" zoomScaleSheetLayoutView="100" workbookViewId="0">
      <selection activeCell="K31" sqref="K31"/>
    </sheetView>
  </sheetViews>
  <sheetFormatPr defaultRowHeight="25.2"/>
  <cols>
    <col min="1" max="1" width="16" bestFit="1" customWidth="1"/>
    <col min="2" max="2" width="6.8984375" customWidth="1"/>
    <col min="3" max="3" width="18" customWidth="1"/>
    <col min="4" max="4" width="18.5" customWidth="1"/>
    <col min="5" max="6" width="10.59765625" customWidth="1"/>
    <col min="7" max="7" width="13.3984375" style="6" customWidth="1"/>
    <col min="8" max="8" width="14" customWidth="1"/>
    <col min="9" max="9" width="15.3984375" style="22" customWidth="1"/>
    <col min="10" max="10" width="17.3984375" customWidth="1"/>
    <col min="11" max="11" width="22.5" customWidth="1"/>
    <col min="12" max="12" width="17.09765625" style="1" customWidth="1"/>
    <col min="13" max="13" width="13.19921875" bestFit="1" customWidth="1"/>
  </cols>
  <sheetData>
    <row r="1" spans="1:12" s="2" customFormat="1" ht="24" customHeight="1">
      <c r="A1"/>
      <c r="B1"/>
      <c r="C1"/>
      <c r="D1"/>
      <c r="E1"/>
      <c r="F1"/>
      <c r="G1" s="6"/>
      <c r="H1"/>
      <c r="I1" s="22"/>
      <c r="J1"/>
      <c r="K1"/>
    </row>
    <row r="2" spans="1:12" s="2" customFormat="1" ht="24" customHeight="1">
      <c r="A2"/>
      <c r="B2"/>
      <c r="C2"/>
      <c r="D2"/>
      <c r="E2"/>
      <c r="F2"/>
      <c r="G2" s="6"/>
      <c r="H2"/>
      <c r="I2" s="22"/>
      <c r="J2"/>
      <c r="K2"/>
    </row>
    <row r="3" spans="1:12" ht="21.75" customHeight="1">
      <c r="A3" s="314" t="s">
        <v>180</v>
      </c>
      <c r="B3" s="314"/>
      <c r="C3" s="314"/>
      <c r="D3" s="314"/>
      <c r="E3" s="314"/>
      <c r="F3" s="314"/>
      <c r="G3" s="314"/>
      <c r="H3" s="314"/>
      <c r="I3" s="314"/>
      <c r="J3" s="314"/>
      <c r="K3" s="314"/>
      <c r="L3" s="3"/>
    </row>
    <row r="4" spans="1:12" ht="19.5" customHeight="1">
      <c r="A4" s="314"/>
      <c r="B4" s="314"/>
      <c r="C4" s="314"/>
      <c r="D4" s="314"/>
      <c r="E4" s="314"/>
      <c r="F4" s="314"/>
      <c r="G4" s="314"/>
      <c r="H4" s="314"/>
      <c r="I4" s="314"/>
      <c r="J4" s="314"/>
      <c r="K4" s="314"/>
      <c r="L4" s="3"/>
    </row>
    <row r="5" spans="1:12" ht="19.5" customHeight="1">
      <c r="A5" s="40" t="s">
        <v>26</v>
      </c>
      <c r="B5" s="14"/>
      <c r="C5" s="91" t="s">
        <v>61</v>
      </c>
      <c r="D5" s="380" t="s">
        <v>44</v>
      </c>
      <c r="E5" s="380"/>
      <c r="F5" s="380"/>
      <c r="G5" s="380"/>
      <c r="H5" s="380"/>
      <c r="I5" s="24"/>
      <c r="J5" s="381"/>
      <c r="K5" s="381"/>
      <c r="L5" s="3"/>
    </row>
    <row r="6" spans="1:12" s="9" customFormat="1" ht="23.1" customHeight="1">
      <c r="A6" s="382" t="s">
        <v>0</v>
      </c>
      <c r="B6" s="382" t="s">
        <v>5</v>
      </c>
      <c r="C6" s="383" t="s">
        <v>11</v>
      </c>
      <c r="D6" s="383" t="s">
        <v>13</v>
      </c>
      <c r="E6" s="383" t="s">
        <v>1</v>
      </c>
      <c r="F6" s="384" t="s">
        <v>2</v>
      </c>
      <c r="G6" s="385" t="s">
        <v>3</v>
      </c>
      <c r="H6" s="385"/>
      <c r="I6" s="385"/>
      <c r="J6" s="385"/>
      <c r="K6" s="385"/>
    </row>
    <row r="7" spans="1:12" s="9" customFormat="1" ht="23.1" customHeight="1">
      <c r="A7" s="382"/>
      <c r="B7" s="382"/>
      <c r="C7" s="383"/>
      <c r="D7" s="383"/>
      <c r="E7" s="383"/>
      <c r="F7" s="384"/>
      <c r="G7" s="155" t="s">
        <v>15</v>
      </c>
      <c r="H7" s="8" t="s">
        <v>14</v>
      </c>
      <c r="I7" s="325" t="s">
        <v>28</v>
      </c>
      <c r="J7" s="326"/>
      <c r="K7" s="8" t="s">
        <v>9</v>
      </c>
    </row>
    <row r="8" spans="1:12" s="11" customFormat="1" ht="23.1" customHeight="1">
      <c r="A8" s="379" t="s">
        <v>36</v>
      </c>
      <c r="B8" s="177" t="s">
        <v>6</v>
      </c>
      <c r="C8" s="63" t="s">
        <v>147</v>
      </c>
      <c r="D8" s="64" t="s">
        <v>215</v>
      </c>
      <c r="E8" s="64">
        <v>46296</v>
      </c>
      <c r="F8" s="159">
        <f>IFERROR(VLOOKUP(E8,환율!A:B,2,0),1350)</f>
        <v>1355.7</v>
      </c>
      <c r="G8" s="230">
        <v>43675.199999999997</v>
      </c>
      <c r="H8" s="160">
        <f t="shared" ref="H8:H9" si="0">ROUNDDOWN(F8*G8,0)</f>
        <v>59210468</v>
      </c>
      <c r="I8" s="266"/>
      <c r="J8" s="160"/>
      <c r="K8" s="190"/>
      <c r="L8" s="10"/>
    </row>
    <row r="9" spans="1:12" s="11" customFormat="1" ht="23.1" customHeight="1">
      <c r="A9" s="359"/>
      <c r="B9" s="177" t="s">
        <v>6</v>
      </c>
      <c r="C9" s="63" t="s">
        <v>149</v>
      </c>
      <c r="D9" s="64" t="s">
        <v>217</v>
      </c>
      <c r="E9" s="64">
        <v>46296</v>
      </c>
      <c r="F9" s="159">
        <f>IFERROR(VLOOKUP(E9,환율!A:B,2,0),1350)</f>
        <v>1355.7</v>
      </c>
      <c r="G9" s="230">
        <v>19041.39</v>
      </c>
      <c r="H9" s="160">
        <f t="shared" si="0"/>
        <v>25814412</v>
      </c>
      <c r="I9" s="266"/>
      <c r="J9" s="160"/>
      <c r="K9" s="190"/>
      <c r="L9" s="10"/>
    </row>
    <row r="10" spans="1:12" s="11" customFormat="1" ht="23.1" customHeight="1">
      <c r="A10" s="359"/>
      <c r="B10" s="177" t="s">
        <v>6</v>
      </c>
      <c r="C10" s="63" t="s">
        <v>151</v>
      </c>
      <c r="D10" s="64" t="s">
        <v>218</v>
      </c>
      <c r="E10" s="64">
        <v>46296</v>
      </c>
      <c r="F10" s="159">
        <f>IFERROR(VLOOKUP(E10,환율!A:B,2,0),1350)</f>
        <v>1355.7</v>
      </c>
      <c r="G10" s="230">
        <v>34799.040000000001</v>
      </c>
      <c r="H10" s="160">
        <f t="shared" ref="H10" si="1">ROUNDDOWN(F10*G10,0)</f>
        <v>47177058</v>
      </c>
      <c r="I10" s="27"/>
      <c r="J10" s="182"/>
      <c r="K10" s="220"/>
      <c r="L10" s="10"/>
    </row>
    <row r="11" spans="1:12" s="11" customFormat="1" ht="23.1" customHeight="1">
      <c r="A11" s="359"/>
      <c r="B11" s="177" t="s">
        <v>6</v>
      </c>
      <c r="C11" s="63" t="s">
        <v>152</v>
      </c>
      <c r="D11" s="64" t="s">
        <v>266</v>
      </c>
      <c r="E11" s="56">
        <v>46296</v>
      </c>
      <c r="F11" s="57">
        <f>IFERROR(VLOOKUP(E11,환율!A:B,2,0),1350)</f>
        <v>1355.7</v>
      </c>
      <c r="G11" s="97">
        <v>55229.04</v>
      </c>
      <c r="H11" s="160">
        <f t="shared" ref="H11:H16" si="2">ROUNDDOWN(F11*G11,0)</f>
        <v>74874009</v>
      </c>
      <c r="I11" s="27"/>
      <c r="J11" s="182"/>
      <c r="K11" s="220"/>
      <c r="L11" s="10"/>
    </row>
    <row r="12" spans="1:12" s="11" customFormat="1" ht="23.1" customHeight="1" thickBot="1">
      <c r="A12" s="364"/>
      <c r="B12" s="177" t="s">
        <v>6</v>
      </c>
      <c r="C12" s="136" t="s">
        <v>153</v>
      </c>
      <c r="D12" s="137" t="s">
        <v>219</v>
      </c>
      <c r="E12" s="137">
        <v>46296</v>
      </c>
      <c r="F12" s="180">
        <f>IFERROR(VLOOKUP(E12,환율!A:B,2,0),1350)</f>
        <v>1355.7</v>
      </c>
      <c r="G12" s="305">
        <v>274.75</v>
      </c>
      <c r="H12" s="290">
        <f t="shared" si="2"/>
        <v>372478</v>
      </c>
      <c r="I12" s="241">
        <f>SUM(G8:G12)</f>
        <v>153019.42000000001</v>
      </c>
      <c r="J12" s="222">
        <f>SUM(H8:H12)</f>
        <v>207448425</v>
      </c>
      <c r="K12" s="190"/>
      <c r="L12" s="10"/>
    </row>
    <row r="13" spans="1:12" s="9" customFormat="1" ht="23.1" customHeight="1">
      <c r="A13" s="358" t="s">
        <v>7</v>
      </c>
      <c r="B13" s="50" t="s">
        <v>16</v>
      </c>
      <c r="C13" s="60" t="s">
        <v>158</v>
      </c>
      <c r="D13" s="51" t="s">
        <v>208</v>
      </c>
      <c r="E13" s="161">
        <v>46296</v>
      </c>
      <c r="F13" s="62">
        <f>IFERROR(VLOOKUP(E13,환율!A:B,2,0),1350)</f>
        <v>1355.7</v>
      </c>
      <c r="G13" s="307">
        <v>35148.480000000003</v>
      </c>
      <c r="H13" s="308">
        <f t="shared" si="2"/>
        <v>47650794</v>
      </c>
      <c r="I13" s="304"/>
      <c r="J13" s="53"/>
      <c r="K13" s="143"/>
      <c r="L13" s="12"/>
    </row>
    <row r="14" spans="1:12" s="9" customFormat="1" ht="23.1" customHeight="1">
      <c r="A14" s="359"/>
      <c r="B14" s="15" t="s">
        <v>16</v>
      </c>
      <c r="C14" s="63" t="s">
        <v>159</v>
      </c>
      <c r="D14" s="17" t="s">
        <v>209</v>
      </c>
      <c r="E14" s="65">
        <v>46296</v>
      </c>
      <c r="F14" s="159">
        <f>IFERROR(VLOOKUP(E14,환율!A:B,2,0),1350)</f>
        <v>1355.7</v>
      </c>
      <c r="G14" s="66">
        <v>92794.34</v>
      </c>
      <c r="H14" s="96">
        <f t="shared" si="2"/>
        <v>125801286</v>
      </c>
      <c r="I14" s="27"/>
      <c r="J14" s="28"/>
      <c r="K14" s="167"/>
      <c r="L14" s="12"/>
    </row>
    <row r="15" spans="1:12" s="9" customFormat="1" ht="23.1" customHeight="1">
      <c r="A15" s="359"/>
      <c r="B15" s="15" t="s">
        <v>16</v>
      </c>
      <c r="C15" s="63" t="s">
        <v>163</v>
      </c>
      <c r="D15" s="17" t="s">
        <v>210</v>
      </c>
      <c r="E15" s="65">
        <v>46296</v>
      </c>
      <c r="F15" s="159">
        <f>IFERROR(VLOOKUP(E15,환율!A:B,2,0),1350)</f>
        <v>1355.7</v>
      </c>
      <c r="G15" s="66">
        <v>60142.080000000002</v>
      </c>
      <c r="H15" s="96">
        <f t="shared" si="2"/>
        <v>81534617</v>
      </c>
      <c r="I15" s="27"/>
      <c r="J15" s="28"/>
      <c r="K15" s="167"/>
      <c r="L15" s="12"/>
    </row>
    <row r="16" spans="1:12" s="9" customFormat="1" ht="23.1" customHeight="1">
      <c r="A16" s="359"/>
      <c r="B16" s="15" t="s">
        <v>16</v>
      </c>
      <c r="C16" s="63" t="s">
        <v>166</v>
      </c>
      <c r="D16" s="17" t="s">
        <v>212</v>
      </c>
      <c r="E16" s="65">
        <v>46296</v>
      </c>
      <c r="F16" s="159">
        <f>IFERROR(VLOOKUP(E16,환율!A:B,2,0),1350)</f>
        <v>1355.7</v>
      </c>
      <c r="G16" s="66">
        <v>6636.72</v>
      </c>
      <c r="H16" s="96">
        <f t="shared" si="2"/>
        <v>8997401</v>
      </c>
      <c r="I16" s="27"/>
      <c r="J16" s="28"/>
      <c r="K16" s="167"/>
      <c r="L16" s="12"/>
    </row>
    <row r="17" spans="1:13" s="9" customFormat="1" ht="23.1" customHeight="1">
      <c r="A17" s="359"/>
      <c r="B17" s="18" t="s">
        <v>16</v>
      </c>
      <c r="C17" s="63" t="s">
        <v>168</v>
      </c>
      <c r="D17" s="17" t="s">
        <v>238</v>
      </c>
      <c r="E17" s="65">
        <v>46296</v>
      </c>
      <c r="F17" s="159">
        <f>IFERROR(VLOOKUP(E17,환율!A:B,2,0),1350)</f>
        <v>1355.7</v>
      </c>
      <c r="G17" s="66">
        <v>70099.56</v>
      </c>
      <c r="H17" s="96">
        <f t="shared" ref="H17:H23" si="3">ROUNDDOWN(F17*G17,0)</f>
        <v>95033973</v>
      </c>
      <c r="I17" s="27"/>
      <c r="J17" s="182"/>
      <c r="K17" s="220"/>
      <c r="L17" s="12"/>
    </row>
    <row r="18" spans="1:13" s="9" customFormat="1" ht="23.1" customHeight="1">
      <c r="A18" s="359"/>
      <c r="B18" s="15" t="s">
        <v>16</v>
      </c>
      <c r="C18" s="63" t="s">
        <v>169</v>
      </c>
      <c r="D18" s="17" t="s">
        <v>239</v>
      </c>
      <c r="E18" s="65">
        <v>46296</v>
      </c>
      <c r="F18" s="159">
        <f>IFERROR(VLOOKUP(E18,환율!A:B,2,0),1350)</f>
        <v>1355.7</v>
      </c>
      <c r="G18" s="66">
        <v>60142.080000000002</v>
      </c>
      <c r="H18" s="96">
        <f t="shared" si="3"/>
        <v>81534617</v>
      </c>
      <c r="I18" s="27"/>
      <c r="J18" s="182"/>
      <c r="K18" s="220"/>
      <c r="L18" s="12"/>
    </row>
    <row r="19" spans="1:13" s="9" customFormat="1" ht="23.1" customHeight="1">
      <c r="A19" s="359"/>
      <c r="B19" s="15" t="s">
        <v>16</v>
      </c>
      <c r="C19" s="63" t="s">
        <v>170</v>
      </c>
      <c r="D19" s="17" t="s">
        <v>240</v>
      </c>
      <c r="E19" s="65">
        <v>46296</v>
      </c>
      <c r="F19" s="159">
        <f>IFERROR(VLOOKUP(E19,환율!A:B,2,0),1350)</f>
        <v>1355.7</v>
      </c>
      <c r="G19" s="66">
        <v>100448.32000000001</v>
      </c>
      <c r="H19" s="96">
        <f t="shared" si="3"/>
        <v>136177787</v>
      </c>
      <c r="I19" s="27"/>
      <c r="J19" s="182"/>
      <c r="K19" s="220"/>
      <c r="L19" s="12"/>
    </row>
    <row r="20" spans="1:13" s="9" customFormat="1" ht="23.1" customHeight="1">
      <c r="A20" s="359"/>
      <c r="B20" s="18" t="s">
        <v>16</v>
      </c>
      <c r="C20" s="63" t="s">
        <v>232</v>
      </c>
      <c r="D20" s="17" t="s">
        <v>241</v>
      </c>
      <c r="E20" s="65">
        <v>46296</v>
      </c>
      <c r="F20" s="159">
        <f>IFERROR(VLOOKUP(E20,환율!A:B,2,0),1350)</f>
        <v>1355.7</v>
      </c>
      <c r="G20" s="66">
        <v>5281.92</v>
      </c>
      <c r="H20" s="96">
        <f t="shared" si="3"/>
        <v>7160698</v>
      </c>
      <c r="I20" s="27"/>
      <c r="J20" s="182"/>
      <c r="K20" s="240"/>
      <c r="L20" s="12"/>
    </row>
    <row r="21" spans="1:13" s="172" customFormat="1" ht="23.1" customHeight="1">
      <c r="A21" s="359"/>
      <c r="B21" s="15" t="s">
        <v>16</v>
      </c>
      <c r="C21" s="63" t="s">
        <v>233</v>
      </c>
      <c r="D21" s="64" t="s">
        <v>262</v>
      </c>
      <c r="E21" s="65">
        <v>46296</v>
      </c>
      <c r="F21" s="159">
        <f>IFERROR(VLOOKUP(E21,환율!A:B,2,0),1350)</f>
        <v>1355.7</v>
      </c>
      <c r="G21" s="66">
        <v>94218.78</v>
      </c>
      <c r="H21" s="281">
        <f t="shared" si="3"/>
        <v>127732400</v>
      </c>
      <c r="I21" s="27"/>
      <c r="J21" s="182"/>
      <c r="K21" s="220"/>
      <c r="L21" s="171"/>
    </row>
    <row r="22" spans="1:13" s="9" customFormat="1" ht="23.1" customHeight="1">
      <c r="A22" s="359"/>
      <c r="B22" s="18" t="s">
        <v>16</v>
      </c>
      <c r="C22" s="63" t="s">
        <v>234</v>
      </c>
      <c r="D22" s="64" t="s">
        <v>263</v>
      </c>
      <c r="E22" s="65">
        <v>46296</v>
      </c>
      <c r="F22" s="159">
        <f>IFERROR(VLOOKUP(E22,환율!A:B,2,0),1350)</f>
        <v>1355.7</v>
      </c>
      <c r="G22" s="66">
        <v>60142.080000000002</v>
      </c>
      <c r="H22" s="281">
        <f t="shared" si="3"/>
        <v>81534617</v>
      </c>
      <c r="I22" s="27"/>
      <c r="J22" s="182"/>
      <c r="K22" s="220"/>
      <c r="L22" s="12"/>
    </row>
    <row r="23" spans="1:13" s="9" customFormat="1" ht="23.1" customHeight="1" thickBot="1">
      <c r="A23" s="359"/>
      <c r="B23" s="18" t="s">
        <v>16</v>
      </c>
      <c r="C23" s="63" t="s">
        <v>235</v>
      </c>
      <c r="D23" s="64" t="s">
        <v>264</v>
      </c>
      <c r="E23" s="65">
        <v>46296</v>
      </c>
      <c r="F23" s="159">
        <f>IFERROR(VLOOKUP(E23,환율!A:B,2,0),1350)</f>
        <v>1355.7</v>
      </c>
      <c r="G23" s="66">
        <v>51098.879999999997</v>
      </c>
      <c r="H23" s="281">
        <f t="shared" si="3"/>
        <v>69274751</v>
      </c>
      <c r="I23" s="221">
        <f>SUM(G13:G23)</f>
        <v>636153.24</v>
      </c>
      <c r="J23" s="222">
        <f>SUM(H13:H23)</f>
        <v>862432941</v>
      </c>
      <c r="K23" s="220"/>
      <c r="L23" s="12"/>
    </row>
    <row r="24" spans="1:13" s="9" customFormat="1" ht="23.1" hidden="1" customHeight="1" thickBot="1">
      <c r="A24" s="206" t="s">
        <v>88</v>
      </c>
      <c r="B24" s="185" t="s">
        <v>6</v>
      </c>
      <c r="C24" s="251"/>
      <c r="D24" s="217"/>
      <c r="E24" s="269">
        <v>46296</v>
      </c>
      <c r="F24" s="216">
        <f>IFERROR(VLOOKUP(E24,환율!A:B,2,0),1350)</f>
        <v>1355.7</v>
      </c>
      <c r="G24" s="244"/>
      <c r="H24" s="224">
        <f t="shared" ref="H24" si="4">ROUNDDOWN(F24*G24,0)</f>
        <v>0</v>
      </c>
      <c r="I24" s="223">
        <f>SUM(G24)</f>
        <v>0</v>
      </c>
      <c r="J24" s="224">
        <f>SUM(H24:H24)</f>
        <v>0</v>
      </c>
      <c r="K24" s="225"/>
      <c r="L24" s="215">
        <f>+I23+I24</f>
        <v>636153.24</v>
      </c>
      <c r="M24" s="214">
        <f>+J23+J24</f>
        <v>862432941</v>
      </c>
    </row>
    <row r="25" spans="1:13" s="9" customFormat="1" ht="22.95" customHeight="1">
      <c r="A25" s="329" t="s">
        <v>4</v>
      </c>
      <c r="B25" s="50" t="s">
        <v>16</v>
      </c>
      <c r="C25" s="60" t="s">
        <v>220</v>
      </c>
      <c r="D25" s="61" t="s">
        <v>243</v>
      </c>
      <c r="E25" s="161">
        <v>46296</v>
      </c>
      <c r="F25" s="62">
        <v>1350</v>
      </c>
      <c r="G25" s="245">
        <f>H25/F25</f>
        <v>96692.260740740734</v>
      </c>
      <c r="H25" s="164">
        <v>130534552</v>
      </c>
      <c r="I25" s="174"/>
      <c r="J25" s="162"/>
      <c r="K25" s="191" t="s">
        <v>46</v>
      </c>
      <c r="L25" s="12"/>
    </row>
    <row r="26" spans="1:13" s="9" customFormat="1" ht="22.95" customHeight="1">
      <c r="A26" s="330"/>
      <c r="B26" s="158" t="s">
        <v>6</v>
      </c>
      <c r="C26" s="178" t="s">
        <v>249</v>
      </c>
      <c r="D26" s="219" t="s">
        <v>283</v>
      </c>
      <c r="E26" s="179">
        <v>46296</v>
      </c>
      <c r="F26" s="180">
        <v>1350</v>
      </c>
      <c r="G26" s="246">
        <f>H26/F26</f>
        <v>10500.984444444444</v>
      </c>
      <c r="H26" s="222">
        <v>14176329</v>
      </c>
      <c r="I26" s="183"/>
      <c r="J26" s="149"/>
      <c r="K26" s="192" t="s">
        <v>46</v>
      </c>
      <c r="L26" s="12"/>
    </row>
    <row r="27" spans="1:13" s="9" customFormat="1" ht="22.95" customHeight="1" thickBot="1">
      <c r="A27" s="330"/>
      <c r="B27" s="158" t="s">
        <v>6</v>
      </c>
      <c r="C27" s="178" t="s">
        <v>248</v>
      </c>
      <c r="D27" s="219" t="s">
        <v>284</v>
      </c>
      <c r="E27" s="179">
        <v>46296</v>
      </c>
      <c r="F27" s="180">
        <v>1350</v>
      </c>
      <c r="G27" s="246">
        <f>H27/F27</f>
        <v>55053.383703703701</v>
      </c>
      <c r="H27" s="222">
        <v>74322068</v>
      </c>
      <c r="I27" s="301">
        <f>SUM(G25:G27)</f>
        <v>162246.62888888887</v>
      </c>
      <c r="J27" s="302">
        <f>SUM(H25:H27)</f>
        <v>219032949</v>
      </c>
      <c r="K27" s="192" t="s">
        <v>46</v>
      </c>
      <c r="L27" s="12"/>
    </row>
    <row r="28" spans="1:13" s="9" customFormat="1" ht="51" customHeight="1">
      <c r="A28" s="358" t="s">
        <v>17</v>
      </c>
      <c r="B28" s="50" t="s">
        <v>8</v>
      </c>
      <c r="C28" s="176" t="s">
        <v>137</v>
      </c>
      <c r="D28" s="257" t="s">
        <v>174</v>
      </c>
      <c r="E28" s="61">
        <v>46296</v>
      </c>
      <c r="F28" s="62">
        <f>IFERROR(VLOOKUP(E28,환율!A:B,2,0),1350)</f>
        <v>1355.7</v>
      </c>
      <c r="G28" s="303">
        <v>97949.28</v>
      </c>
      <c r="H28" s="53">
        <f t="shared" ref="H28" si="5">ROUNDDOWN(F28*G28,0)</f>
        <v>132789838</v>
      </c>
      <c r="I28" s="304"/>
      <c r="J28" s="53"/>
      <c r="K28" s="310" t="s">
        <v>287</v>
      </c>
      <c r="L28" s="12"/>
    </row>
    <row r="29" spans="1:13" s="9" customFormat="1" ht="23.1" customHeight="1" thickBot="1">
      <c r="A29" s="364"/>
      <c r="B29" s="18" t="s">
        <v>8</v>
      </c>
      <c r="C29" s="58" t="s">
        <v>269</v>
      </c>
      <c r="D29" s="56" t="s">
        <v>285</v>
      </c>
      <c r="E29" s="179">
        <v>46296</v>
      </c>
      <c r="F29" s="57">
        <f>IFERROR(VLOOKUP(E29,환율!A:B,2,0),1350)</f>
        <v>1355.7</v>
      </c>
      <c r="G29" s="165">
        <v>444623.99999999994</v>
      </c>
      <c r="H29" s="99">
        <f t="shared" ref="H29" si="6">ROUNDDOWN(F29*G29,0)</f>
        <v>602776756</v>
      </c>
      <c r="I29" s="226">
        <f>SUM(G28:G29)</f>
        <v>542573.27999999991</v>
      </c>
      <c r="J29" s="299">
        <f>SUM(H28:H29)</f>
        <v>735566594</v>
      </c>
      <c r="K29" s="300"/>
      <c r="L29" s="12"/>
    </row>
    <row r="30" spans="1:13" s="9" customFormat="1" ht="23.1" customHeight="1" thickBot="1">
      <c r="A30" s="207" t="s">
        <v>18</v>
      </c>
      <c r="B30" s="50" t="s">
        <v>19</v>
      </c>
      <c r="C30" s="251" t="s">
        <v>268</v>
      </c>
      <c r="D30" s="217" t="s">
        <v>286</v>
      </c>
      <c r="E30" s="269">
        <v>46296</v>
      </c>
      <c r="F30" s="216">
        <f>IFERROR(VLOOKUP(E30,환율!A:B,2,0),1350)</f>
        <v>1355.7</v>
      </c>
      <c r="G30" s="244">
        <v>27068.720000000001</v>
      </c>
      <c r="H30" s="224">
        <f t="shared" ref="H30" si="7">ROUNDDOWN(F30*G30,0)</f>
        <v>36697063</v>
      </c>
      <c r="I30" s="242">
        <f>SUM(G30:G30)</f>
        <v>27068.720000000001</v>
      </c>
      <c r="J30" s="218">
        <f>SUM(H30:H30)</f>
        <v>36697063</v>
      </c>
      <c r="K30" s="229"/>
      <c r="L30" s="12"/>
    </row>
    <row r="31" spans="1:13">
      <c r="A31" s="358" t="s">
        <v>20</v>
      </c>
      <c r="B31" s="50" t="s">
        <v>19</v>
      </c>
      <c r="C31" s="63" t="s">
        <v>196</v>
      </c>
      <c r="D31" s="64" t="s">
        <v>201</v>
      </c>
      <c r="E31" s="59">
        <v>46296</v>
      </c>
      <c r="F31" s="57">
        <f>IFERROR(VLOOKUP(E31,환율!A:B,2,0),1350)</f>
        <v>1355.7</v>
      </c>
      <c r="G31" s="243">
        <v>21565</v>
      </c>
      <c r="H31" s="99">
        <f t="shared" ref="H31:H32" si="8">ROUNDDOWN(F31*G31,0)</f>
        <v>29235670</v>
      </c>
      <c r="I31" s="98"/>
      <c r="J31" s="99"/>
      <c r="K31" s="195"/>
    </row>
    <row r="32" spans="1:13" ht="25.8" thickBot="1">
      <c r="A32" s="359"/>
      <c r="B32" s="158" t="s">
        <v>19</v>
      </c>
      <c r="C32" s="100" t="s">
        <v>247</v>
      </c>
      <c r="D32" s="156" t="s">
        <v>256</v>
      </c>
      <c r="E32" s="282">
        <v>46296</v>
      </c>
      <c r="F32" s="138">
        <f>IFERROR(VLOOKUP(E32,환율!A:B,2,0),1350)</f>
        <v>1355.7</v>
      </c>
      <c r="G32" s="248">
        <v>27888.000000000004</v>
      </c>
      <c r="H32" s="231">
        <f t="shared" si="8"/>
        <v>37807761</v>
      </c>
      <c r="I32" s="227">
        <f>SUM(G31:G32)</f>
        <v>49453</v>
      </c>
      <c r="J32" s="228">
        <f>SUM(H31:H32)</f>
        <v>67043431</v>
      </c>
      <c r="K32" s="272"/>
    </row>
    <row r="33" spans="1:12" s="9" customFormat="1" ht="23.1" customHeight="1" thickBot="1">
      <c r="A33" s="185" t="s">
        <v>21</v>
      </c>
      <c r="B33" s="185" t="s">
        <v>19</v>
      </c>
      <c r="C33" s="251" t="s">
        <v>255</v>
      </c>
      <c r="D33" s="217"/>
      <c r="E33" s="269">
        <v>46296</v>
      </c>
      <c r="F33" s="216">
        <f>IFERROR(VLOOKUP(E33,환율!A:B,2,0),1350)</f>
        <v>1355.7</v>
      </c>
      <c r="G33" s="244">
        <v>52188.800000000003</v>
      </c>
      <c r="H33" s="224">
        <f>ROUNDDOWN(F33*G33,0)</f>
        <v>70752356</v>
      </c>
      <c r="I33" s="283">
        <f>SUM(G33:G33)</f>
        <v>52188.800000000003</v>
      </c>
      <c r="J33" s="224">
        <f>SUM(H33:H33)</f>
        <v>70752356</v>
      </c>
      <c r="K33" s="229"/>
      <c r="L33" s="12"/>
    </row>
    <row r="34" spans="1:12" s="9" customFormat="1" ht="23.1" customHeight="1">
      <c r="A34" s="360" t="s">
        <v>12</v>
      </c>
      <c r="B34" s="361"/>
      <c r="C34" s="362"/>
      <c r="D34" s="144"/>
      <c r="E34" s="145"/>
      <c r="F34" s="145"/>
      <c r="G34" s="146">
        <f>SUM(G8:G33)</f>
        <v>1622703.0888888889</v>
      </c>
      <c r="H34" s="147">
        <f>SUM(H8:H33)</f>
        <v>2198973759</v>
      </c>
      <c r="I34" s="146">
        <f>SUM(I11:I33)</f>
        <v>1622703.0888888887</v>
      </c>
      <c r="J34" s="147">
        <f>SUM(J11:J33)</f>
        <v>2198973759</v>
      </c>
      <c r="K34" s="33" t="s">
        <v>10</v>
      </c>
      <c r="L34" s="12"/>
    </row>
    <row r="35" spans="1:12" s="9" customFormat="1" ht="23.1" customHeight="1">
      <c r="A35" s="368" t="s">
        <v>140</v>
      </c>
      <c r="B35" s="369"/>
      <c r="C35" s="370"/>
      <c r="D35" s="368" t="s">
        <v>27</v>
      </c>
      <c r="E35" s="369"/>
      <c r="F35" s="370"/>
      <c r="G35" s="377" t="s">
        <v>22</v>
      </c>
      <c r="H35" s="378"/>
      <c r="I35" s="44">
        <f>SUM(I11:I27)</f>
        <v>951419.2888888889</v>
      </c>
      <c r="J35" s="37">
        <f>SUM(J11:J27)</f>
        <v>1288914315</v>
      </c>
      <c r="K35" s="31" t="s">
        <v>10</v>
      </c>
      <c r="L35" s="12"/>
    </row>
    <row r="36" spans="1:12" s="9" customFormat="1" ht="23.1" customHeight="1">
      <c r="A36" s="371"/>
      <c r="B36" s="372"/>
      <c r="C36" s="373"/>
      <c r="D36" s="371"/>
      <c r="E36" s="372"/>
      <c r="F36" s="373"/>
      <c r="G36" s="350" t="s">
        <v>23</v>
      </c>
      <c r="H36" s="351"/>
      <c r="I36" s="45">
        <f>SUM(I29:I29)</f>
        <v>542573.27999999991</v>
      </c>
      <c r="J36" s="38">
        <f>SUM(J29:J29)</f>
        <v>735566594</v>
      </c>
      <c r="K36" s="35" t="s">
        <v>10</v>
      </c>
      <c r="L36" s="12"/>
    </row>
    <row r="37" spans="1:12" s="9" customFormat="1" ht="23.1" customHeight="1">
      <c r="A37" s="371"/>
      <c r="B37" s="372"/>
      <c r="C37" s="373"/>
      <c r="D37" s="371"/>
      <c r="E37" s="372"/>
      <c r="F37" s="373"/>
      <c r="G37" s="346" t="s">
        <v>24</v>
      </c>
      <c r="H37" s="347"/>
      <c r="I37" s="46">
        <f>SUM(I30:I33)</f>
        <v>128710.52</v>
      </c>
      <c r="J37" s="39">
        <f>SUM(J30:J33)</f>
        <v>174492850</v>
      </c>
      <c r="K37" s="33" t="s">
        <v>10</v>
      </c>
      <c r="L37" s="12"/>
    </row>
    <row r="38" spans="1:12" s="9" customFormat="1" ht="23.1" customHeight="1">
      <c r="A38" s="374"/>
      <c r="B38" s="375"/>
      <c r="C38" s="376"/>
      <c r="D38" s="374"/>
      <c r="E38" s="375"/>
      <c r="F38" s="376"/>
      <c r="G38" s="342" t="s">
        <v>25</v>
      </c>
      <c r="H38" s="343"/>
      <c r="I38" s="43">
        <f>SUM(I35:I37)</f>
        <v>1622703.0888888887</v>
      </c>
      <c r="J38" s="36">
        <f>SUM(J35:J37)</f>
        <v>2198973759</v>
      </c>
      <c r="K38" s="13" t="s">
        <v>10</v>
      </c>
      <c r="L38" s="12"/>
    </row>
    <row r="39" spans="1:12" s="9" customFormat="1" ht="23.1" customHeight="1">
      <c r="A39" s="365" t="s">
        <v>181</v>
      </c>
      <c r="B39" s="366"/>
      <c r="C39" s="366"/>
      <c r="D39" s="366"/>
      <c r="E39" s="366"/>
      <c r="F39" s="366"/>
      <c r="G39" s="366"/>
      <c r="H39" s="367"/>
      <c r="I39" s="43">
        <f>SUM('26.9月당월_면장'!I76+I38)</f>
        <v>5155833.9174074065</v>
      </c>
      <c r="J39" s="36">
        <f>SUM('26.9月당월_면장'!J76+J38)</f>
        <v>6993611719</v>
      </c>
      <c r="K39" s="13" t="s">
        <v>10</v>
      </c>
      <c r="L39" s="12"/>
    </row>
    <row r="40" spans="1:12" s="2" customFormat="1">
      <c r="A40"/>
      <c r="B40"/>
      <c r="C40"/>
      <c r="D40"/>
      <c r="E40"/>
      <c r="F40"/>
      <c r="G40" s="6"/>
      <c r="H40"/>
      <c r="I40" s="22"/>
      <c r="J40"/>
      <c r="K40"/>
      <c r="L40" s="7"/>
    </row>
    <row r="48" spans="1:12" ht="17.399999999999999">
      <c r="A48" s="363"/>
      <c r="G48"/>
      <c r="I48"/>
      <c r="L48"/>
    </row>
    <row r="49" spans="1:12" ht="17.399999999999999">
      <c r="A49" s="363"/>
      <c r="G49"/>
      <c r="I49"/>
      <c r="L49"/>
    </row>
    <row r="50" spans="1:12" ht="17.399999999999999">
      <c r="A50" s="363"/>
      <c r="G50"/>
      <c r="I50"/>
      <c r="L50"/>
    </row>
    <row r="51" spans="1:12" ht="17.399999999999999">
      <c r="A51" s="363"/>
      <c r="G51"/>
      <c r="I51"/>
      <c r="L51"/>
    </row>
    <row r="52" spans="1:12" ht="17.399999999999999">
      <c r="A52" s="363"/>
      <c r="G52"/>
      <c r="I52"/>
      <c r="L52"/>
    </row>
    <row r="83" spans="3:12" ht="17.399999999999999">
      <c r="G83"/>
      <c r="I83" s="22">
        <f>SUM(I61:I79)</f>
        <v>0</v>
      </c>
      <c r="J83">
        <f>SUM(J61:J79)</f>
        <v>0</v>
      </c>
      <c r="L83"/>
    </row>
    <row r="85" spans="3:12">
      <c r="G85" s="6">
        <f>SUM(G21:G84)</f>
        <v>2661693.2577777775</v>
      </c>
      <c r="H85" s="236">
        <f>SUM(H21:H84)</f>
        <v>3606607920</v>
      </c>
    </row>
    <row r="92" spans="3:12">
      <c r="D92" s="338" t="s">
        <v>64</v>
      </c>
      <c r="E92" s="338"/>
      <c r="F92" s="338"/>
      <c r="G92" s="342" t="s">
        <v>63</v>
      </c>
      <c r="H92" s="343"/>
      <c r="I92" s="41" t="e">
        <f>#REF!+#REF!+#REF!+G38+G39+#REF!+G40+G41+G42+G43+G44+G45+G46+G47+G57+G63+G64+G65+G66+G68+G72+G75+G76+G77</f>
        <v>#REF!</v>
      </c>
      <c r="J92" s="94" t="e">
        <f>#REF!+#REF!+#REF!+H38+H39+#REF!+H40+H41+H42+H43+H44+H45+H46+H47+H57+H63+H64+H65+H66+H68+H72+H75+H76+H77</f>
        <v>#REF!</v>
      </c>
      <c r="K92" s="13" t="s">
        <v>10</v>
      </c>
      <c r="L92"/>
    </row>
    <row r="93" spans="3:12" ht="17.399999999999999">
      <c r="G93" s="6" t="s">
        <v>65</v>
      </c>
      <c r="I93" s="22" t="e">
        <f>I89-I92</f>
        <v>#REF!</v>
      </c>
      <c r="J93" s="95" t="e">
        <f>J89-J92</f>
        <v>#REF!</v>
      </c>
      <c r="L93"/>
    </row>
    <row r="94" spans="3:12" ht="17.399999999999999">
      <c r="C94" t="s">
        <v>71</v>
      </c>
      <c r="E94" s="102">
        <v>46114</v>
      </c>
      <c r="L94"/>
    </row>
    <row r="95" spans="3:12" ht="17.399999999999999">
      <c r="C95" t="s">
        <v>72</v>
      </c>
      <c r="E95" s="102">
        <v>46122</v>
      </c>
      <c r="L95"/>
    </row>
  </sheetData>
  <mergeCells count="27">
    <mergeCell ref="A8:A12"/>
    <mergeCell ref="A3:K4"/>
    <mergeCell ref="D5:H5"/>
    <mergeCell ref="J5:K5"/>
    <mergeCell ref="A6:A7"/>
    <mergeCell ref="B6:B7"/>
    <mergeCell ref="C6:C7"/>
    <mergeCell ref="D6:D7"/>
    <mergeCell ref="E6:E7"/>
    <mergeCell ref="F6:F7"/>
    <mergeCell ref="G6:K6"/>
    <mergeCell ref="I7:J7"/>
    <mergeCell ref="D92:F92"/>
    <mergeCell ref="G92:H92"/>
    <mergeCell ref="A39:H39"/>
    <mergeCell ref="A35:C38"/>
    <mergeCell ref="D35:F38"/>
    <mergeCell ref="G35:H35"/>
    <mergeCell ref="G36:H36"/>
    <mergeCell ref="G37:H37"/>
    <mergeCell ref="G38:H38"/>
    <mergeCell ref="A13:A23"/>
    <mergeCell ref="A34:C34"/>
    <mergeCell ref="A48:A52"/>
    <mergeCell ref="A31:A32"/>
    <mergeCell ref="A25:A27"/>
    <mergeCell ref="A28:A29"/>
  </mergeCells>
  <phoneticPr fontId="2" type="noConversion"/>
  <conditionalFormatting sqref="A7 C7:I7 K7:K9 G33:K34">
    <cfRule type="expression" dxfId="9" priority="142">
      <formula>#REF!="*01월*"</formula>
    </cfRule>
  </conditionalFormatting>
  <conditionalFormatting sqref="A34:A35">
    <cfRule type="expression" dxfId="8" priority="139">
      <formula>#REF!="*01월*"</formula>
    </cfRule>
  </conditionalFormatting>
  <conditionalFormatting sqref="A6:K6">
    <cfRule type="expression" dxfId="7" priority="141">
      <formula>#REF!="*01월*"</formula>
    </cfRule>
  </conditionalFormatting>
  <conditionalFormatting sqref="C33:F33">
    <cfRule type="expression" dxfId="6" priority="18">
      <formula>#REF!="*01월*"</formula>
    </cfRule>
  </conditionalFormatting>
  <conditionalFormatting sqref="C8:J9">
    <cfRule type="expression" dxfId="5" priority="5">
      <formula>#REF!="*01월*"</formula>
    </cfRule>
  </conditionalFormatting>
  <conditionalFormatting sqref="C10:K32">
    <cfRule type="expression" dxfId="4" priority="1">
      <formula>#REF!="*01월*"</formula>
    </cfRule>
  </conditionalFormatting>
  <conditionalFormatting sqref="I23:J23">
    <cfRule type="expression" dxfId="3" priority="28">
      <formula>#REF!="*01월*"</formula>
    </cfRule>
  </conditionalFormatting>
  <conditionalFormatting sqref="I35:K39">
    <cfRule type="expression" dxfId="2" priority="45">
      <formula>#REF!="*01월*"</formula>
    </cfRule>
  </conditionalFormatting>
  <conditionalFormatting sqref="I92:K92">
    <cfRule type="expression" dxfId="1" priority="122">
      <formula>#REF!="*01월*"</formula>
    </cfRule>
  </conditionalFormatting>
  <printOptions horizontalCentered="1"/>
  <pageMargins left="0.19685039370078741" right="0.19685039370078741" top="0.59055118110236227" bottom="0.2" header="0" footer="0.2"/>
  <pageSetup paperSize="9" scale="55" orientation="portrait" r:id="rId1"/>
  <colBreaks count="1" manualBreakCount="1">
    <brk id="11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5EA63-6BEC-467C-A9D2-74CFD4B09B62}">
  <sheetPr codeName="Sheet3">
    <pageSetUpPr fitToPage="1"/>
  </sheetPr>
  <dimension ref="A1:L59"/>
  <sheetViews>
    <sheetView topLeftCell="A45" workbookViewId="0">
      <selection activeCell="G58" sqref="G58"/>
    </sheetView>
  </sheetViews>
  <sheetFormatPr defaultColWidth="9" defaultRowHeight="21.75" customHeight="1"/>
  <cols>
    <col min="1" max="1" width="15.19921875" style="70" customWidth="1"/>
    <col min="2" max="12" width="13.69921875" style="70" customWidth="1"/>
    <col min="13" max="16384" width="9" style="70"/>
  </cols>
  <sheetData>
    <row r="1" spans="1:12" ht="33.75" customHeight="1">
      <c r="A1" s="394" t="s">
        <v>93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</row>
    <row r="2" spans="1:12" s="72" customFormat="1" ht="21.75" hidden="1" customHeight="1">
      <c r="A2" s="71" t="s">
        <v>47</v>
      </c>
      <c r="L2" s="72" t="s">
        <v>43</v>
      </c>
    </row>
    <row r="3" spans="1:12" s="72" customFormat="1" ht="24" hidden="1" customHeight="1">
      <c r="A3" s="386" t="s">
        <v>29</v>
      </c>
      <c r="B3" s="388" t="s">
        <v>30</v>
      </c>
      <c r="C3" s="389"/>
      <c r="D3" s="389"/>
      <c r="E3" s="389"/>
      <c r="F3" s="390" t="s">
        <v>31</v>
      </c>
      <c r="G3" s="392" t="s">
        <v>32</v>
      </c>
      <c r="H3" s="386" t="s">
        <v>33</v>
      </c>
      <c r="I3" s="386" t="s">
        <v>34</v>
      </c>
      <c r="J3" s="386" t="s">
        <v>35</v>
      </c>
      <c r="K3" s="386" t="s">
        <v>41</v>
      </c>
      <c r="L3" s="386" t="s">
        <v>42</v>
      </c>
    </row>
    <row r="4" spans="1:12" s="72" customFormat="1" ht="24" hidden="1" customHeight="1">
      <c r="A4" s="387"/>
      <c r="B4" s="73" t="s">
        <v>37</v>
      </c>
      <c r="C4" s="74" t="s">
        <v>38</v>
      </c>
      <c r="D4" s="74" t="s">
        <v>39</v>
      </c>
      <c r="E4" s="75" t="s">
        <v>40</v>
      </c>
      <c r="F4" s="391"/>
      <c r="G4" s="393"/>
      <c r="H4" s="387"/>
      <c r="I4" s="387"/>
      <c r="J4" s="387"/>
      <c r="K4" s="387"/>
      <c r="L4" s="387"/>
    </row>
    <row r="5" spans="1:12" ht="24" hidden="1" customHeight="1">
      <c r="A5" s="76" t="s">
        <v>52</v>
      </c>
      <c r="B5" s="77">
        <v>0</v>
      </c>
      <c r="C5" s="78">
        <v>59661999.999999985</v>
      </c>
      <c r="D5" s="78"/>
      <c r="E5" s="78">
        <v>916708389.83689439</v>
      </c>
      <c r="F5" s="79">
        <f>SUM(B5:E5)</f>
        <v>976370389.83689439</v>
      </c>
      <c r="G5" s="80">
        <v>674097220.16310561</v>
      </c>
      <c r="H5" s="81">
        <v>0</v>
      </c>
      <c r="I5" s="81">
        <v>0</v>
      </c>
      <c r="J5" s="81"/>
      <c r="K5" s="81">
        <f>SUM(F5:J5)</f>
        <v>1650467610</v>
      </c>
      <c r="L5" s="81"/>
    </row>
    <row r="6" spans="1:12" ht="24" hidden="1" customHeight="1">
      <c r="A6" s="76" t="s">
        <v>53</v>
      </c>
      <c r="B6" s="77">
        <v>0</v>
      </c>
      <c r="C6" s="78">
        <v>3195133.9200000004</v>
      </c>
      <c r="D6" s="78">
        <v>1160149611.6500001</v>
      </c>
      <c r="E6" s="82"/>
      <c r="F6" s="79">
        <f t="shared" ref="F6:F13" si="0">SUM(B6:E6)</f>
        <v>1163344745.5700002</v>
      </c>
      <c r="G6" s="80">
        <v>252836216.72000003</v>
      </c>
      <c r="H6" s="81">
        <v>170861109.70999998</v>
      </c>
      <c r="I6" s="81">
        <v>0</v>
      </c>
      <c r="J6" s="81"/>
      <c r="K6" s="81">
        <f t="shared" ref="K6:K14" si="1">SUM(F6:J6)</f>
        <v>1587042072.0000002</v>
      </c>
      <c r="L6" s="81"/>
    </row>
    <row r="7" spans="1:12" ht="24" hidden="1" customHeight="1">
      <c r="A7" s="76" t="s">
        <v>54</v>
      </c>
      <c r="B7" s="77"/>
      <c r="C7" s="78">
        <v>0</v>
      </c>
      <c r="D7" s="78">
        <v>269481308.80910426</v>
      </c>
      <c r="E7" s="82"/>
      <c r="F7" s="79">
        <f t="shared" si="0"/>
        <v>269481308.80910426</v>
      </c>
      <c r="G7" s="80">
        <v>0</v>
      </c>
      <c r="H7" s="81">
        <v>114783271.69089584</v>
      </c>
      <c r="I7" s="81">
        <v>0</v>
      </c>
      <c r="J7" s="81"/>
      <c r="K7" s="81">
        <f t="shared" si="1"/>
        <v>384264580.50000012</v>
      </c>
      <c r="L7" s="81"/>
    </row>
    <row r="8" spans="1:12" ht="24" hidden="1" customHeight="1">
      <c r="A8" s="76" t="s">
        <v>55</v>
      </c>
      <c r="B8" s="77">
        <v>0</v>
      </c>
      <c r="C8" s="78">
        <v>0</v>
      </c>
      <c r="D8" s="78">
        <v>45203105.750000007</v>
      </c>
      <c r="E8" s="82"/>
      <c r="F8" s="79">
        <f t="shared" si="0"/>
        <v>45203105.750000007</v>
      </c>
      <c r="G8" s="80">
        <v>0</v>
      </c>
      <c r="H8" s="81">
        <v>21369007</v>
      </c>
      <c r="I8" s="81">
        <v>5758997.25</v>
      </c>
      <c r="J8" s="81"/>
      <c r="K8" s="81">
        <f t="shared" si="1"/>
        <v>72331110</v>
      </c>
      <c r="L8" s="81"/>
    </row>
    <row r="9" spans="1:12" ht="24" hidden="1" customHeight="1">
      <c r="A9" s="76" t="s">
        <v>56</v>
      </c>
      <c r="B9" s="77">
        <v>100365532</v>
      </c>
      <c r="C9" s="78">
        <v>0</v>
      </c>
      <c r="D9" s="70">
        <v>0</v>
      </c>
      <c r="E9" s="78"/>
      <c r="F9" s="79">
        <f t="shared" si="0"/>
        <v>100365532</v>
      </c>
      <c r="G9" s="82">
        <v>0</v>
      </c>
      <c r="H9" s="81">
        <v>0</v>
      </c>
      <c r="I9" s="81">
        <v>29841185</v>
      </c>
      <c r="J9" s="81"/>
      <c r="K9" s="81">
        <f t="shared" si="1"/>
        <v>130206717</v>
      </c>
      <c r="L9" s="81"/>
    </row>
    <row r="10" spans="1:12" ht="24" hidden="1" customHeight="1">
      <c r="A10" s="76" t="s">
        <v>57</v>
      </c>
      <c r="B10" s="77">
        <v>77808900</v>
      </c>
      <c r="C10" s="78">
        <v>0</v>
      </c>
      <c r="D10" s="78">
        <v>0</v>
      </c>
      <c r="E10" s="82"/>
      <c r="F10" s="79">
        <f t="shared" si="0"/>
        <v>77808900</v>
      </c>
      <c r="G10" s="80">
        <v>0</v>
      </c>
      <c r="H10" s="81">
        <v>1200000</v>
      </c>
      <c r="I10" s="81">
        <v>930000</v>
      </c>
      <c r="J10" s="81"/>
      <c r="K10" s="81">
        <f t="shared" si="1"/>
        <v>79938900</v>
      </c>
      <c r="L10" s="81"/>
    </row>
    <row r="11" spans="1:12" ht="24" hidden="1" customHeight="1">
      <c r="A11" s="76" t="s">
        <v>58</v>
      </c>
      <c r="B11" s="77">
        <v>53213400</v>
      </c>
      <c r="C11" s="78">
        <v>0</v>
      </c>
      <c r="D11" s="78">
        <v>0</v>
      </c>
      <c r="E11" s="82"/>
      <c r="F11" s="79">
        <f t="shared" si="0"/>
        <v>53213400</v>
      </c>
      <c r="G11" s="80"/>
      <c r="H11" s="81">
        <v>0</v>
      </c>
      <c r="I11" s="81">
        <v>11365800</v>
      </c>
      <c r="J11" s="81"/>
      <c r="K11" s="81">
        <f t="shared" si="1"/>
        <v>64579200</v>
      </c>
      <c r="L11" s="81"/>
    </row>
    <row r="12" spans="1:12" ht="24" hidden="1" customHeight="1">
      <c r="A12" s="76" t="s">
        <v>59</v>
      </c>
      <c r="B12" s="77">
        <v>23459331.437571999</v>
      </c>
      <c r="C12" s="78">
        <v>41356010</v>
      </c>
      <c r="D12" s="78">
        <v>0</v>
      </c>
      <c r="E12" s="82"/>
      <c r="F12" s="79">
        <f t="shared" si="0"/>
        <v>64815341.437572002</v>
      </c>
      <c r="G12" s="80">
        <v>0</v>
      </c>
      <c r="H12" s="81">
        <v>6635952</v>
      </c>
      <c r="I12" s="81">
        <v>84879380.562427998</v>
      </c>
      <c r="J12" s="81"/>
      <c r="K12" s="81">
        <f t="shared" si="1"/>
        <v>156330674</v>
      </c>
      <c r="L12" s="81"/>
    </row>
    <row r="13" spans="1:12" ht="24" hidden="1" customHeight="1">
      <c r="A13" s="76" t="s">
        <v>60</v>
      </c>
      <c r="B13" s="77">
        <v>0</v>
      </c>
      <c r="C13" s="78">
        <v>0</v>
      </c>
      <c r="D13" s="78">
        <v>16099118.000000002</v>
      </c>
      <c r="E13" s="82"/>
      <c r="F13" s="79">
        <f t="shared" si="0"/>
        <v>16099118.000000002</v>
      </c>
      <c r="G13" s="80">
        <v>0</v>
      </c>
      <c r="H13" s="81">
        <v>534016</v>
      </c>
      <c r="I13" s="81">
        <v>0</v>
      </c>
      <c r="J13" s="81"/>
      <c r="K13" s="81">
        <f t="shared" si="1"/>
        <v>16633134.000000002</v>
      </c>
      <c r="L13" s="81"/>
    </row>
    <row r="14" spans="1:12" s="72" customFormat="1" ht="24" hidden="1" customHeight="1">
      <c r="A14" s="83" t="s">
        <v>41</v>
      </c>
      <c r="B14" s="84">
        <f>SUM(B5:B13)</f>
        <v>254847163.437572</v>
      </c>
      <c r="C14" s="85">
        <f t="shared" ref="C14:E14" si="2">SUM(C5:C13)</f>
        <v>104213143.91999999</v>
      </c>
      <c r="D14" s="85">
        <f t="shared" si="2"/>
        <v>1490933144.2091043</v>
      </c>
      <c r="E14" s="86">
        <f t="shared" si="2"/>
        <v>916708389.83689439</v>
      </c>
      <c r="F14" s="87">
        <f t="shared" ref="F14" si="3">SUM(B14:E14)</f>
        <v>2766701841.4035707</v>
      </c>
      <c r="G14" s="88">
        <f t="shared" ref="G14:J14" si="4">SUM(G5:G13)</f>
        <v>926933436.88310564</v>
      </c>
      <c r="H14" s="89">
        <f t="shared" si="4"/>
        <v>315383356.40089583</v>
      </c>
      <c r="I14" s="89">
        <f t="shared" si="4"/>
        <v>132775362.812428</v>
      </c>
      <c r="J14" s="89">
        <f t="shared" si="4"/>
        <v>0</v>
      </c>
      <c r="K14" s="89">
        <f t="shared" si="1"/>
        <v>4141793997.5000005</v>
      </c>
      <c r="L14" s="89" t="s">
        <v>10</v>
      </c>
    </row>
    <row r="15" spans="1:12" s="72" customFormat="1" ht="21.75" hidden="1" customHeight="1">
      <c r="A15" s="71" t="s">
        <v>48</v>
      </c>
      <c r="L15" s="72" t="s">
        <v>43</v>
      </c>
    </row>
    <row r="16" spans="1:12" s="72" customFormat="1" ht="24" hidden="1" customHeight="1">
      <c r="A16" s="386" t="s">
        <v>29</v>
      </c>
      <c r="B16" s="388" t="s">
        <v>30</v>
      </c>
      <c r="C16" s="389"/>
      <c r="D16" s="389"/>
      <c r="E16" s="389"/>
      <c r="F16" s="390" t="s">
        <v>31</v>
      </c>
      <c r="G16" s="392" t="s">
        <v>32</v>
      </c>
      <c r="H16" s="386" t="s">
        <v>33</v>
      </c>
      <c r="I16" s="386" t="s">
        <v>34</v>
      </c>
      <c r="J16" s="386" t="s">
        <v>35</v>
      </c>
      <c r="K16" s="386" t="s">
        <v>41</v>
      </c>
      <c r="L16" s="386" t="s">
        <v>42</v>
      </c>
    </row>
    <row r="17" spans="1:12" s="72" customFormat="1" ht="24" hidden="1" customHeight="1">
      <c r="A17" s="387"/>
      <c r="B17" s="73" t="s">
        <v>37</v>
      </c>
      <c r="C17" s="74" t="s">
        <v>38</v>
      </c>
      <c r="D17" s="74" t="s">
        <v>39</v>
      </c>
      <c r="E17" s="75" t="s">
        <v>40</v>
      </c>
      <c r="F17" s="391"/>
      <c r="G17" s="393"/>
      <c r="H17" s="387"/>
      <c r="I17" s="387"/>
      <c r="J17" s="387"/>
      <c r="K17" s="387"/>
      <c r="L17" s="387"/>
    </row>
    <row r="18" spans="1:12" ht="24" hidden="1" customHeight="1">
      <c r="A18" s="76" t="s">
        <v>52</v>
      </c>
      <c r="B18" s="77">
        <v>0</v>
      </c>
      <c r="C18" s="78">
        <v>59661999.999999985</v>
      </c>
      <c r="D18" s="78"/>
      <c r="E18" s="78">
        <v>916708389.83689439</v>
      </c>
      <c r="F18" s="79">
        <f>SUM(B18:E18)</f>
        <v>976370389.83689439</v>
      </c>
      <c r="G18" s="80">
        <v>674097220.16310561</v>
      </c>
      <c r="H18" s="81">
        <v>0</v>
      </c>
      <c r="I18" s="81">
        <v>0</v>
      </c>
      <c r="J18" s="81"/>
      <c r="K18" s="81">
        <f>SUM(F18:J18)</f>
        <v>1650467610</v>
      </c>
      <c r="L18" s="81"/>
    </row>
    <row r="19" spans="1:12" ht="24" hidden="1" customHeight="1">
      <c r="A19" s="76" t="s">
        <v>53</v>
      </c>
      <c r="B19" s="77">
        <v>0</v>
      </c>
      <c r="C19" s="78">
        <v>3195133.9200000004</v>
      </c>
      <c r="D19" s="78">
        <v>858541414.09000003</v>
      </c>
      <c r="E19" s="82"/>
      <c r="F19" s="79">
        <f t="shared" ref="F19:F27" si="5">SUM(B19:E19)</f>
        <v>861736548.00999999</v>
      </c>
      <c r="G19" s="80">
        <v>181225431.20000002</v>
      </c>
      <c r="H19" s="81">
        <v>122455868.78999999</v>
      </c>
      <c r="I19" s="81">
        <v>0</v>
      </c>
      <c r="J19" s="81"/>
      <c r="K19" s="81">
        <f t="shared" ref="K19:K27" si="6">SUM(F19:J19)</f>
        <v>1165417848</v>
      </c>
      <c r="L19" s="81"/>
    </row>
    <row r="20" spans="1:12" ht="24" hidden="1" customHeight="1">
      <c r="A20" s="76" t="s">
        <v>54</v>
      </c>
      <c r="B20" s="77"/>
      <c r="C20" s="78"/>
      <c r="D20" s="78"/>
      <c r="E20" s="82"/>
      <c r="F20" s="79">
        <f t="shared" si="5"/>
        <v>0</v>
      </c>
      <c r="G20" s="80"/>
      <c r="H20" s="81"/>
      <c r="I20" s="81"/>
      <c r="J20" s="81"/>
      <c r="K20" s="81">
        <f t="shared" si="6"/>
        <v>0</v>
      </c>
      <c r="L20" s="81"/>
    </row>
    <row r="21" spans="1:12" ht="24" hidden="1" customHeight="1">
      <c r="A21" s="76" t="s">
        <v>55</v>
      </c>
      <c r="B21" s="77"/>
      <c r="C21" s="78"/>
      <c r="D21" s="78"/>
      <c r="E21" s="82"/>
      <c r="F21" s="79">
        <f t="shared" si="5"/>
        <v>0</v>
      </c>
      <c r="G21" s="80"/>
      <c r="H21" s="81"/>
      <c r="I21" s="81"/>
      <c r="J21" s="81"/>
      <c r="K21" s="81">
        <f t="shared" si="6"/>
        <v>0</v>
      </c>
      <c r="L21" s="81"/>
    </row>
    <row r="22" spans="1:12" ht="24" hidden="1" customHeight="1">
      <c r="A22" s="76" t="s">
        <v>56</v>
      </c>
      <c r="B22" s="77"/>
      <c r="C22" s="78"/>
      <c r="E22" s="78"/>
      <c r="F22" s="79">
        <v>0</v>
      </c>
      <c r="G22" s="82"/>
      <c r="H22" s="81"/>
      <c r="I22" s="81"/>
      <c r="J22" s="81"/>
      <c r="K22" s="81">
        <f t="shared" si="6"/>
        <v>0</v>
      </c>
      <c r="L22" s="81"/>
    </row>
    <row r="23" spans="1:12" ht="24" hidden="1" customHeight="1">
      <c r="A23" s="76" t="s">
        <v>57</v>
      </c>
      <c r="B23" s="77"/>
      <c r="C23" s="78"/>
      <c r="D23" s="78"/>
      <c r="E23" s="82"/>
      <c r="F23" s="79">
        <f t="shared" si="5"/>
        <v>0</v>
      </c>
      <c r="G23" s="80"/>
      <c r="H23" s="81"/>
      <c r="I23" s="81"/>
      <c r="J23" s="81"/>
      <c r="K23" s="81">
        <f t="shared" si="6"/>
        <v>0</v>
      </c>
      <c r="L23" s="81"/>
    </row>
    <row r="24" spans="1:12" ht="24" hidden="1" customHeight="1">
      <c r="A24" s="76" t="s">
        <v>58</v>
      </c>
      <c r="B24" s="77">
        <v>53213400</v>
      </c>
      <c r="C24" s="78">
        <v>0</v>
      </c>
      <c r="D24" s="78">
        <v>0</v>
      </c>
      <c r="E24" s="82"/>
      <c r="F24" s="79">
        <f t="shared" si="5"/>
        <v>53213400</v>
      </c>
      <c r="G24" s="80"/>
      <c r="H24" s="81">
        <v>0</v>
      </c>
      <c r="I24" s="81">
        <v>11365800</v>
      </c>
      <c r="J24" s="81"/>
      <c r="K24" s="81">
        <f t="shared" si="6"/>
        <v>64579200</v>
      </c>
      <c r="L24" s="81"/>
    </row>
    <row r="25" spans="1:12" ht="24" hidden="1" customHeight="1">
      <c r="A25" s="76" t="s">
        <v>59</v>
      </c>
      <c r="B25" s="77"/>
      <c r="C25" s="78"/>
      <c r="D25" s="78"/>
      <c r="E25" s="82"/>
      <c r="F25" s="79">
        <f t="shared" si="5"/>
        <v>0</v>
      </c>
      <c r="G25" s="80"/>
      <c r="H25" s="81"/>
      <c r="I25" s="81"/>
      <c r="J25" s="81"/>
      <c r="K25" s="81">
        <f t="shared" si="6"/>
        <v>0</v>
      </c>
      <c r="L25" s="81"/>
    </row>
    <row r="26" spans="1:12" ht="24" hidden="1" customHeight="1">
      <c r="A26" s="76" t="s">
        <v>60</v>
      </c>
      <c r="B26" s="77">
        <v>0</v>
      </c>
      <c r="C26" s="78">
        <v>0</v>
      </c>
      <c r="D26" s="78">
        <v>16099118.000000002</v>
      </c>
      <c r="E26" s="82"/>
      <c r="F26" s="79">
        <f t="shared" si="5"/>
        <v>16099118.000000002</v>
      </c>
      <c r="G26" s="80">
        <v>0</v>
      </c>
      <c r="H26" s="81">
        <v>534016</v>
      </c>
      <c r="I26" s="81">
        <v>0</v>
      </c>
      <c r="J26" s="81"/>
      <c r="K26" s="81">
        <f t="shared" si="6"/>
        <v>16633134.000000002</v>
      </c>
      <c r="L26" s="81"/>
    </row>
    <row r="27" spans="1:12" s="72" customFormat="1" ht="24" hidden="1" customHeight="1">
      <c r="A27" s="83" t="s">
        <v>41</v>
      </c>
      <c r="B27" s="84">
        <f>SUM(B18:B26)</f>
        <v>53213400</v>
      </c>
      <c r="C27" s="85">
        <f t="shared" ref="C27:J27" si="7">SUM(C18:C26)</f>
        <v>62857133.919999987</v>
      </c>
      <c r="D27" s="85">
        <f t="shared" si="7"/>
        <v>874640532.09000003</v>
      </c>
      <c r="E27" s="86">
        <f t="shared" si="7"/>
        <v>916708389.83689439</v>
      </c>
      <c r="F27" s="87">
        <f t="shared" si="5"/>
        <v>1907419455.8468943</v>
      </c>
      <c r="G27" s="88">
        <f t="shared" si="7"/>
        <v>855322651.36310565</v>
      </c>
      <c r="H27" s="89">
        <f t="shared" si="7"/>
        <v>122989884.78999999</v>
      </c>
      <c r="I27" s="89">
        <f t="shared" si="7"/>
        <v>11365800</v>
      </c>
      <c r="J27" s="89">
        <f t="shared" si="7"/>
        <v>0</v>
      </c>
      <c r="K27" s="89">
        <f t="shared" si="6"/>
        <v>2897097792</v>
      </c>
      <c r="L27" s="89" t="s">
        <v>10</v>
      </c>
    </row>
    <row r="28" spans="1:12" ht="21.75" hidden="1" customHeight="1"/>
    <row r="29" spans="1:12" ht="21.75" hidden="1" customHeight="1">
      <c r="A29" s="71" t="s">
        <v>49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 t="s">
        <v>43</v>
      </c>
    </row>
    <row r="30" spans="1:12" ht="21.75" hidden="1" customHeight="1">
      <c r="A30" s="386" t="s">
        <v>29</v>
      </c>
      <c r="B30" s="388" t="s">
        <v>30</v>
      </c>
      <c r="C30" s="389"/>
      <c r="D30" s="389"/>
      <c r="E30" s="389"/>
      <c r="F30" s="390" t="s">
        <v>31</v>
      </c>
      <c r="G30" s="392" t="s">
        <v>32</v>
      </c>
      <c r="H30" s="386" t="s">
        <v>33</v>
      </c>
      <c r="I30" s="386" t="s">
        <v>34</v>
      </c>
      <c r="J30" s="386" t="s">
        <v>35</v>
      </c>
      <c r="K30" s="386" t="s">
        <v>41</v>
      </c>
      <c r="L30" s="386" t="s">
        <v>42</v>
      </c>
    </row>
    <row r="31" spans="1:12" ht="21.75" hidden="1" customHeight="1">
      <c r="A31" s="387"/>
      <c r="B31" s="73" t="s">
        <v>37</v>
      </c>
      <c r="C31" s="74" t="s">
        <v>38</v>
      </c>
      <c r="D31" s="74" t="s">
        <v>39</v>
      </c>
      <c r="E31" s="75" t="s">
        <v>40</v>
      </c>
      <c r="F31" s="391"/>
      <c r="G31" s="393"/>
      <c r="H31" s="387"/>
      <c r="I31" s="387"/>
      <c r="J31" s="387"/>
      <c r="K31" s="387"/>
      <c r="L31" s="387"/>
    </row>
    <row r="32" spans="1:12" ht="21.75" hidden="1" customHeight="1">
      <c r="A32" s="76" t="s">
        <v>52</v>
      </c>
      <c r="B32" s="77">
        <f>B5-B18</f>
        <v>0</v>
      </c>
      <c r="C32" s="77">
        <f t="shared" ref="C32:I32" si="8">C5-C18</f>
        <v>0</v>
      </c>
      <c r="D32" s="77">
        <f t="shared" si="8"/>
        <v>0</v>
      </c>
      <c r="E32" s="77">
        <f t="shared" si="8"/>
        <v>0</v>
      </c>
      <c r="F32" s="77">
        <f t="shared" si="8"/>
        <v>0</v>
      </c>
      <c r="G32" s="77">
        <f t="shared" si="8"/>
        <v>0</v>
      </c>
      <c r="H32" s="77">
        <f t="shared" si="8"/>
        <v>0</v>
      </c>
      <c r="I32" s="77">
        <f t="shared" si="8"/>
        <v>0</v>
      </c>
      <c r="J32" s="81"/>
      <c r="K32" s="81">
        <f>SUM(F32:J32)</f>
        <v>0</v>
      </c>
      <c r="L32" s="81"/>
    </row>
    <row r="33" spans="1:12" ht="21.75" hidden="1" customHeight="1">
      <c r="A33" s="76" t="s">
        <v>53</v>
      </c>
      <c r="B33" s="77">
        <f t="shared" ref="B33:I33" si="9">B6-B19</f>
        <v>0</v>
      </c>
      <c r="C33" s="77">
        <f t="shared" si="9"/>
        <v>0</v>
      </c>
      <c r="D33" s="77">
        <f t="shared" si="9"/>
        <v>301608197.56000006</v>
      </c>
      <c r="E33" s="77">
        <f t="shared" si="9"/>
        <v>0</v>
      </c>
      <c r="F33" s="77">
        <f t="shared" si="9"/>
        <v>301608197.56000018</v>
      </c>
      <c r="G33" s="77">
        <f t="shared" si="9"/>
        <v>71610785.520000011</v>
      </c>
      <c r="H33" s="77">
        <f t="shared" si="9"/>
        <v>48405240.919999987</v>
      </c>
      <c r="I33" s="77">
        <f t="shared" si="9"/>
        <v>0</v>
      </c>
      <c r="J33" s="81"/>
      <c r="K33" s="90">
        <f t="shared" ref="K33:K41" si="10">SUM(F33:J33)</f>
        <v>421624224.00000012</v>
      </c>
      <c r="L33" s="81"/>
    </row>
    <row r="34" spans="1:12" ht="21.75" hidden="1" customHeight="1">
      <c r="A34" s="76" t="s">
        <v>54</v>
      </c>
      <c r="B34" s="77">
        <f t="shared" ref="B34:I34" si="11">B7-B20</f>
        <v>0</v>
      </c>
      <c r="C34" s="77">
        <f t="shared" si="11"/>
        <v>0</v>
      </c>
      <c r="D34" s="77">
        <f t="shared" si="11"/>
        <v>269481308.80910426</v>
      </c>
      <c r="E34" s="77">
        <f t="shared" si="11"/>
        <v>0</v>
      </c>
      <c r="F34" s="77">
        <f t="shared" si="11"/>
        <v>269481308.80910426</v>
      </c>
      <c r="G34" s="77">
        <f t="shared" si="11"/>
        <v>0</v>
      </c>
      <c r="H34" s="77">
        <f t="shared" si="11"/>
        <v>114783271.69089584</v>
      </c>
      <c r="I34" s="77">
        <f t="shared" si="11"/>
        <v>0</v>
      </c>
      <c r="J34" s="81"/>
      <c r="K34" s="90">
        <f t="shared" si="10"/>
        <v>384264580.50000012</v>
      </c>
      <c r="L34" s="81"/>
    </row>
    <row r="35" spans="1:12" ht="21.75" hidden="1" customHeight="1">
      <c r="A35" s="76" t="s">
        <v>55</v>
      </c>
      <c r="B35" s="77">
        <f t="shared" ref="B35:I35" si="12">B8-B21</f>
        <v>0</v>
      </c>
      <c r="C35" s="77">
        <f t="shared" si="12"/>
        <v>0</v>
      </c>
      <c r="D35" s="77">
        <f t="shared" si="12"/>
        <v>45203105.750000007</v>
      </c>
      <c r="E35" s="77">
        <f t="shared" si="12"/>
        <v>0</v>
      </c>
      <c r="F35" s="77">
        <f t="shared" si="12"/>
        <v>45203105.750000007</v>
      </c>
      <c r="G35" s="77">
        <f t="shared" si="12"/>
        <v>0</v>
      </c>
      <c r="H35" s="77">
        <f t="shared" si="12"/>
        <v>21369007</v>
      </c>
      <c r="I35" s="77">
        <f t="shared" si="12"/>
        <v>5758997.25</v>
      </c>
      <c r="J35" s="81"/>
      <c r="K35" s="81">
        <f t="shared" si="10"/>
        <v>72331110</v>
      </c>
      <c r="L35" s="81"/>
    </row>
    <row r="36" spans="1:12" ht="21.75" hidden="1" customHeight="1">
      <c r="A36" s="76" t="s">
        <v>56</v>
      </c>
      <c r="B36" s="77">
        <f t="shared" ref="B36:I36" si="13">B9-B22</f>
        <v>100365532</v>
      </c>
      <c r="C36" s="77">
        <f t="shared" si="13"/>
        <v>0</v>
      </c>
      <c r="D36" s="77">
        <f t="shared" si="13"/>
        <v>0</v>
      </c>
      <c r="E36" s="77">
        <f t="shared" si="13"/>
        <v>0</v>
      </c>
      <c r="F36" s="77">
        <f t="shared" si="13"/>
        <v>100365532</v>
      </c>
      <c r="G36" s="77">
        <f t="shared" si="13"/>
        <v>0</v>
      </c>
      <c r="H36" s="77">
        <f t="shared" si="13"/>
        <v>0</v>
      </c>
      <c r="I36" s="77">
        <f t="shared" si="13"/>
        <v>29841185</v>
      </c>
      <c r="J36" s="81"/>
      <c r="K36" s="81">
        <f t="shared" si="10"/>
        <v>130206717</v>
      </c>
      <c r="L36" s="81"/>
    </row>
    <row r="37" spans="1:12" ht="21.75" hidden="1" customHeight="1">
      <c r="A37" s="76" t="s">
        <v>57</v>
      </c>
      <c r="B37" s="77">
        <f t="shared" ref="B37:I37" si="14">B10-B23</f>
        <v>77808900</v>
      </c>
      <c r="C37" s="77">
        <f t="shared" si="14"/>
        <v>0</v>
      </c>
      <c r="D37" s="77">
        <f t="shared" si="14"/>
        <v>0</v>
      </c>
      <c r="E37" s="77">
        <f t="shared" si="14"/>
        <v>0</v>
      </c>
      <c r="F37" s="77">
        <f t="shared" si="14"/>
        <v>77808900</v>
      </c>
      <c r="G37" s="77">
        <f t="shared" si="14"/>
        <v>0</v>
      </c>
      <c r="H37" s="77">
        <f t="shared" si="14"/>
        <v>1200000</v>
      </c>
      <c r="I37" s="77">
        <f t="shared" si="14"/>
        <v>930000</v>
      </c>
      <c r="J37" s="81"/>
      <c r="K37" s="81">
        <f t="shared" si="10"/>
        <v>79938900</v>
      </c>
      <c r="L37" s="81"/>
    </row>
    <row r="38" spans="1:12" ht="21.75" hidden="1" customHeight="1">
      <c r="A38" s="76" t="s">
        <v>58</v>
      </c>
      <c r="B38" s="77">
        <f t="shared" ref="B38:I38" si="15">B11-B24</f>
        <v>0</v>
      </c>
      <c r="C38" s="77">
        <f t="shared" si="15"/>
        <v>0</v>
      </c>
      <c r="D38" s="77">
        <f t="shared" si="15"/>
        <v>0</v>
      </c>
      <c r="E38" s="77">
        <f t="shared" si="15"/>
        <v>0</v>
      </c>
      <c r="F38" s="77">
        <f t="shared" si="15"/>
        <v>0</v>
      </c>
      <c r="G38" s="77">
        <f t="shared" si="15"/>
        <v>0</v>
      </c>
      <c r="H38" s="77">
        <f t="shared" si="15"/>
        <v>0</v>
      </c>
      <c r="I38" s="77">
        <f t="shared" si="15"/>
        <v>0</v>
      </c>
      <c r="J38" s="81"/>
      <c r="K38" s="81">
        <f t="shared" si="10"/>
        <v>0</v>
      </c>
      <c r="L38" s="81"/>
    </row>
    <row r="39" spans="1:12" ht="21.75" hidden="1" customHeight="1">
      <c r="A39" s="76" t="s">
        <v>59</v>
      </c>
      <c r="B39" s="77">
        <f t="shared" ref="B39:I39" si="16">B12-B25</f>
        <v>23459331.437571999</v>
      </c>
      <c r="C39" s="77">
        <f t="shared" si="16"/>
        <v>41356010</v>
      </c>
      <c r="D39" s="77">
        <f t="shared" si="16"/>
        <v>0</v>
      </c>
      <c r="E39" s="77">
        <f t="shared" si="16"/>
        <v>0</v>
      </c>
      <c r="F39" s="77">
        <f t="shared" si="16"/>
        <v>64815341.437572002</v>
      </c>
      <c r="G39" s="77">
        <f t="shared" si="16"/>
        <v>0</v>
      </c>
      <c r="H39" s="77">
        <f t="shared" si="16"/>
        <v>6635952</v>
      </c>
      <c r="I39" s="77">
        <f t="shared" si="16"/>
        <v>84879380.562427998</v>
      </c>
      <c r="J39" s="81"/>
      <c r="K39" s="81">
        <f t="shared" si="10"/>
        <v>156330674</v>
      </c>
      <c r="L39" s="81"/>
    </row>
    <row r="40" spans="1:12" ht="21.75" hidden="1" customHeight="1">
      <c r="A40" s="76" t="s">
        <v>60</v>
      </c>
      <c r="B40" s="77">
        <f t="shared" ref="B40:I40" si="17">B13-B26</f>
        <v>0</v>
      </c>
      <c r="C40" s="77">
        <f t="shared" si="17"/>
        <v>0</v>
      </c>
      <c r="D40" s="77">
        <f t="shared" si="17"/>
        <v>0</v>
      </c>
      <c r="E40" s="77">
        <f t="shared" si="17"/>
        <v>0</v>
      </c>
      <c r="F40" s="77">
        <f t="shared" si="17"/>
        <v>0</v>
      </c>
      <c r="G40" s="77">
        <f t="shared" si="17"/>
        <v>0</v>
      </c>
      <c r="H40" s="77">
        <f t="shared" si="17"/>
        <v>0</v>
      </c>
      <c r="I40" s="77">
        <f t="shared" si="17"/>
        <v>0</v>
      </c>
      <c r="J40" s="81"/>
      <c r="K40" s="81">
        <f t="shared" si="10"/>
        <v>0</v>
      </c>
      <c r="L40" s="81"/>
    </row>
    <row r="41" spans="1:12" ht="21.75" hidden="1" customHeight="1">
      <c r="A41" s="83" t="s">
        <v>41</v>
      </c>
      <c r="B41" s="84">
        <f>SUM(B32:B40)</f>
        <v>201633763.437572</v>
      </c>
      <c r="C41" s="85">
        <f t="shared" ref="C41:E41" si="18">SUM(C32:C40)</f>
        <v>41356010</v>
      </c>
      <c r="D41" s="85">
        <f t="shared" si="18"/>
        <v>616292612.11910439</v>
      </c>
      <c r="E41" s="86">
        <f t="shared" si="18"/>
        <v>0</v>
      </c>
      <c r="F41" s="87">
        <f t="shared" ref="F41" si="19">SUM(B41:E41)</f>
        <v>859282385.55667639</v>
      </c>
      <c r="G41" s="88">
        <f t="shared" ref="G41:J41" si="20">SUM(G32:G40)</f>
        <v>71610785.520000011</v>
      </c>
      <c r="H41" s="89">
        <f t="shared" si="20"/>
        <v>192393471.61089581</v>
      </c>
      <c r="I41" s="89">
        <f t="shared" si="20"/>
        <v>121409562.812428</v>
      </c>
      <c r="J41" s="89">
        <f t="shared" si="20"/>
        <v>0</v>
      </c>
      <c r="K41" s="89">
        <f t="shared" si="10"/>
        <v>1244696205.5000002</v>
      </c>
      <c r="L41" s="89" t="s">
        <v>10</v>
      </c>
    </row>
    <row r="42" spans="1:12" ht="21.75" hidden="1" customHeight="1"/>
    <row r="43" spans="1:12" ht="21.75" hidden="1" customHeight="1"/>
    <row r="44" spans="1:12" ht="21.75" hidden="1" customHeight="1">
      <c r="G44" s="92"/>
    </row>
    <row r="45" spans="1:12" ht="21.75" customHeight="1">
      <c r="A45" s="71" t="s">
        <v>110</v>
      </c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 t="s">
        <v>43</v>
      </c>
    </row>
    <row r="46" spans="1:12" ht="21.75" customHeight="1">
      <c r="A46" s="386" t="s">
        <v>29</v>
      </c>
      <c r="B46" s="388" t="s">
        <v>30</v>
      </c>
      <c r="C46" s="389"/>
      <c r="D46" s="389"/>
      <c r="E46" s="389"/>
      <c r="F46" s="390" t="s">
        <v>31</v>
      </c>
      <c r="G46" s="392" t="s">
        <v>32</v>
      </c>
      <c r="H46" s="386" t="s">
        <v>33</v>
      </c>
      <c r="I46" s="386" t="s">
        <v>34</v>
      </c>
      <c r="J46" s="386" t="s">
        <v>35</v>
      </c>
      <c r="K46" s="386" t="s">
        <v>41</v>
      </c>
      <c r="L46" s="386" t="s">
        <v>42</v>
      </c>
    </row>
    <row r="47" spans="1:12" ht="21.75" customHeight="1">
      <c r="A47" s="387"/>
      <c r="B47" s="73" t="s">
        <v>37</v>
      </c>
      <c r="C47" s="74" t="s">
        <v>38</v>
      </c>
      <c r="D47" s="74" t="s">
        <v>39</v>
      </c>
      <c r="E47" s="75" t="s">
        <v>40</v>
      </c>
      <c r="F47" s="391"/>
      <c r="G47" s="393"/>
      <c r="H47" s="387"/>
      <c r="I47" s="387"/>
      <c r="J47" s="387"/>
      <c r="K47" s="387"/>
      <c r="L47" s="387"/>
    </row>
    <row r="48" spans="1:12" ht="21.75" customHeight="1">
      <c r="A48" s="76" t="s">
        <v>52</v>
      </c>
      <c r="B48" s="209"/>
      <c r="C48" s="77"/>
      <c r="D48" s="77"/>
      <c r="E48" s="77">
        <v>977733942</v>
      </c>
      <c r="F48" s="79">
        <f>SUM(B48:E48)</f>
        <v>977733942</v>
      </c>
      <c r="G48" s="80">
        <v>701475404</v>
      </c>
      <c r="H48" s="80"/>
      <c r="I48" s="80"/>
      <c r="J48" s="81"/>
      <c r="K48" s="81">
        <f>SUM(F48:J48)</f>
        <v>1679209346</v>
      </c>
      <c r="L48" s="81"/>
    </row>
    <row r="49" spans="1:12" ht="21.75" customHeight="1">
      <c r="A49" s="76" t="s">
        <v>53</v>
      </c>
      <c r="B49" s="77"/>
      <c r="C49" s="77">
        <v>17137420</v>
      </c>
      <c r="D49" s="77">
        <v>1404107601</v>
      </c>
      <c r="E49" s="77"/>
      <c r="F49" s="79">
        <f t="shared" ref="F49:F56" si="21">SUM(B49:E49)</f>
        <v>1421245021</v>
      </c>
      <c r="G49" s="80">
        <v>284231694</v>
      </c>
      <c r="H49" s="210">
        <v>274563170</v>
      </c>
      <c r="I49" s="210"/>
      <c r="J49" s="211"/>
      <c r="K49" s="81">
        <f t="shared" ref="K49:K56" si="22">SUM(F49:J49)</f>
        <v>1980039885</v>
      </c>
      <c r="L49" s="81"/>
    </row>
    <row r="50" spans="1:12" ht="21.75" customHeight="1">
      <c r="A50" s="76" t="s">
        <v>54</v>
      </c>
      <c r="B50" s="77"/>
      <c r="C50" s="77"/>
      <c r="D50" s="77">
        <v>225713072</v>
      </c>
      <c r="E50" s="77"/>
      <c r="F50" s="79">
        <f t="shared" si="21"/>
        <v>225713072</v>
      </c>
      <c r="G50" s="80"/>
      <c r="H50" s="80">
        <v>93226597</v>
      </c>
      <c r="I50" s="80"/>
      <c r="J50" s="81"/>
      <c r="K50" s="81">
        <f t="shared" si="22"/>
        <v>318939669</v>
      </c>
      <c r="L50" s="81"/>
    </row>
    <row r="51" spans="1:12" ht="21.75" customHeight="1">
      <c r="A51" s="76" t="s">
        <v>55</v>
      </c>
      <c r="B51" s="77"/>
      <c r="C51" s="77"/>
      <c r="D51" s="77">
        <v>20768044</v>
      </c>
      <c r="E51" s="77"/>
      <c r="F51" s="79">
        <f t="shared" si="21"/>
        <v>20768044</v>
      </c>
      <c r="G51" s="80"/>
      <c r="H51" s="80"/>
      <c r="I51" s="80">
        <v>10449170</v>
      </c>
      <c r="J51" s="81"/>
      <c r="K51" s="81">
        <f t="shared" si="22"/>
        <v>31217214</v>
      </c>
      <c r="L51" s="81"/>
    </row>
    <row r="52" spans="1:12" ht="21.75" customHeight="1">
      <c r="A52" s="76" t="s">
        <v>56</v>
      </c>
      <c r="B52" s="77">
        <v>108463046</v>
      </c>
      <c r="C52" s="77"/>
      <c r="D52" s="77"/>
      <c r="E52" s="77"/>
      <c r="F52" s="79">
        <f>SUM(B52:E52)</f>
        <v>108463046</v>
      </c>
      <c r="G52" s="80"/>
      <c r="H52" s="80"/>
      <c r="I52" s="80">
        <v>32902315</v>
      </c>
      <c r="J52" s="81"/>
      <c r="K52" s="81">
        <f t="shared" si="22"/>
        <v>141365361</v>
      </c>
      <c r="L52" s="81"/>
    </row>
    <row r="53" spans="1:12" ht="21.75" customHeight="1">
      <c r="A53" s="76" t="s">
        <v>57</v>
      </c>
      <c r="B53" s="77">
        <v>175079199</v>
      </c>
      <c r="C53" s="77"/>
      <c r="D53" s="77"/>
      <c r="E53" s="77"/>
      <c r="F53" s="79">
        <f t="shared" si="21"/>
        <v>175079199</v>
      </c>
      <c r="G53" s="80"/>
      <c r="H53" s="80"/>
      <c r="I53" s="80">
        <v>7293027</v>
      </c>
      <c r="J53" s="81"/>
      <c r="K53" s="81">
        <f t="shared" si="22"/>
        <v>182372226</v>
      </c>
      <c r="L53" s="81"/>
    </row>
    <row r="54" spans="1:12" ht="21.75" customHeight="1">
      <c r="A54" s="76" t="s">
        <v>58</v>
      </c>
      <c r="B54" s="77">
        <v>35475600</v>
      </c>
      <c r="C54" s="77"/>
      <c r="D54" s="77"/>
      <c r="E54" s="77"/>
      <c r="F54" s="79">
        <f t="shared" si="21"/>
        <v>35475600</v>
      </c>
      <c r="G54" s="80"/>
      <c r="H54" s="80"/>
      <c r="I54" s="80">
        <v>7577200</v>
      </c>
      <c r="J54" s="81"/>
      <c r="K54" s="81">
        <f t="shared" si="22"/>
        <v>43052800</v>
      </c>
      <c r="L54" s="81"/>
    </row>
    <row r="55" spans="1:12" ht="21.75" customHeight="1">
      <c r="A55" s="76" t="s">
        <v>59</v>
      </c>
      <c r="B55" s="77">
        <v>322034</v>
      </c>
      <c r="C55" s="77">
        <v>8478193</v>
      </c>
      <c r="D55" s="77"/>
      <c r="E55" s="77"/>
      <c r="F55" s="79">
        <f t="shared" si="21"/>
        <v>8800227</v>
      </c>
      <c r="G55" s="80"/>
      <c r="H55" s="80"/>
      <c r="I55" s="80">
        <v>14607637</v>
      </c>
      <c r="J55" s="81"/>
      <c r="K55" s="81">
        <f t="shared" si="22"/>
        <v>23407864</v>
      </c>
      <c r="L55" s="81"/>
    </row>
    <row r="56" spans="1:12" ht="21.75" customHeight="1">
      <c r="A56" s="76" t="s">
        <v>60</v>
      </c>
      <c r="B56" s="77"/>
      <c r="C56" s="77"/>
      <c r="D56" s="77">
        <v>764983</v>
      </c>
      <c r="E56" s="77"/>
      <c r="F56" s="79">
        <f t="shared" si="21"/>
        <v>764983</v>
      </c>
      <c r="G56" s="80"/>
      <c r="H56" s="80">
        <v>15612</v>
      </c>
      <c r="I56" s="80"/>
      <c r="J56" s="81"/>
      <c r="K56" s="81">
        <f t="shared" si="22"/>
        <v>780595</v>
      </c>
      <c r="L56" s="81"/>
    </row>
    <row r="57" spans="1:12" ht="21.75" customHeight="1">
      <c r="A57" s="83" t="s">
        <v>41</v>
      </c>
      <c r="B57" s="84">
        <f>SUM(B48:B56)</f>
        <v>319339879</v>
      </c>
      <c r="C57" s="85">
        <f>SUM(C48:C56)</f>
        <v>25615613</v>
      </c>
      <c r="D57" s="85">
        <f t="shared" ref="D57:E57" si="23">SUM(D48:D56)</f>
        <v>1651353700</v>
      </c>
      <c r="E57" s="86">
        <f t="shared" si="23"/>
        <v>977733942</v>
      </c>
      <c r="F57" s="87">
        <f t="shared" ref="F57" si="24">SUM(B57:E57)</f>
        <v>2974043134</v>
      </c>
      <c r="G57" s="88">
        <f>SUM(G48:G56)</f>
        <v>985707098</v>
      </c>
      <c r="H57" s="89">
        <f t="shared" ref="H57:I57" si="25">SUM(H48:H56)</f>
        <v>367805379</v>
      </c>
      <c r="I57" s="89">
        <f t="shared" si="25"/>
        <v>72829349</v>
      </c>
      <c r="J57" s="89"/>
      <c r="K57" s="89">
        <f>SUM(K48:K56)</f>
        <v>4400384960</v>
      </c>
      <c r="L57" s="89" t="s">
        <v>10</v>
      </c>
    </row>
    <row r="58" spans="1:12" ht="21.75" customHeight="1">
      <c r="B58" s="70">
        <f>B57/1000</f>
        <v>319339.87900000002</v>
      </c>
      <c r="C58" s="70">
        <f t="shared" ref="C58:I58" si="26">C57/1000</f>
        <v>25615.613000000001</v>
      </c>
      <c r="E58" s="70">
        <f>D57+E57</f>
        <v>2629087642</v>
      </c>
      <c r="G58" s="70">
        <f t="shared" si="26"/>
        <v>985707.098</v>
      </c>
      <c r="H58" s="70">
        <f t="shared" si="26"/>
        <v>367805.37900000002</v>
      </c>
      <c r="I58" s="70">
        <f t="shared" si="26"/>
        <v>72829.349000000002</v>
      </c>
      <c r="J58" s="70">
        <f>'26.9月당월_면장'!J84</f>
        <v>394253000</v>
      </c>
      <c r="K58" s="70">
        <f>'26.9月당월_면장'!J83</f>
        <v>4400384960</v>
      </c>
    </row>
    <row r="59" spans="1:12" ht="21.75" customHeight="1">
      <c r="E59" s="70">
        <f>E58/1000</f>
        <v>2629087.642</v>
      </c>
      <c r="J59" s="70">
        <f>J58/1000</f>
        <v>394253</v>
      </c>
      <c r="K59" s="70" t="b">
        <f>K57=K58</f>
        <v>1</v>
      </c>
    </row>
  </sheetData>
  <mergeCells count="37">
    <mergeCell ref="J30:J31"/>
    <mergeCell ref="K30:K31"/>
    <mergeCell ref="L30:L31"/>
    <mergeCell ref="A1:L1"/>
    <mergeCell ref="A16:A17"/>
    <mergeCell ref="F16:F17"/>
    <mergeCell ref="G16:G17"/>
    <mergeCell ref="H16:H17"/>
    <mergeCell ref="I16:I17"/>
    <mergeCell ref="J16:J17"/>
    <mergeCell ref="K16:K17"/>
    <mergeCell ref="L16:L17"/>
    <mergeCell ref="I3:I4"/>
    <mergeCell ref="J3:J4"/>
    <mergeCell ref="K3:K4"/>
    <mergeCell ref="L3:L4"/>
    <mergeCell ref="B16:E16"/>
    <mergeCell ref="A30:A31"/>
    <mergeCell ref="B30:E30"/>
    <mergeCell ref="F30:F31"/>
    <mergeCell ref="A3:A4"/>
    <mergeCell ref="B3:E3"/>
    <mergeCell ref="F3:F4"/>
    <mergeCell ref="I30:I31"/>
    <mergeCell ref="G3:G4"/>
    <mergeCell ref="H3:H4"/>
    <mergeCell ref="G30:G31"/>
    <mergeCell ref="H30:H31"/>
    <mergeCell ref="I46:I47"/>
    <mergeCell ref="J46:J47"/>
    <mergeCell ref="K46:K47"/>
    <mergeCell ref="L46:L47"/>
    <mergeCell ref="A46:A47"/>
    <mergeCell ref="B46:E46"/>
    <mergeCell ref="F46:F47"/>
    <mergeCell ref="G46:G47"/>
    <mergeCell ref="H46:H47"/>
  </mergeCells>
  <phoneticPr fontId="2" type="noConversion"/>
  <conditionalFormatting sqref="H49:J49">
    <cfRule type="expression" dxfId="0" priority="1">
      <formula>#REF!="*01월*"</formula>
    </cfRule>
  </conditionalFormatting>
  <pageMargins left="0.27" right="0.2" top="0.75" bottom="0.75" header="0.3" footer="0.3"/>
  <pageSetup paperSize="9" scale="7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EDCE-383C-47DE-A2EB-2655936C1119}">
  <sheetPr codeName="Sheet4">
    <tabColor rgb="FF00B050"/>
  </sheetPr>
  <dimension ref="A1:M3040"/>
  <sheetViews>
    <sheetView topLeftCell="A2819" zoomScale="115" zoomScaleNormal="115" workbookViewId="0">
      <selection activeCell="B2835" sqref="B2835"/>
    </sheetView>
  </sheetViews>
  <sheetFormatPr defaultRowHeight="17.399999999999999"/>
  <cols>
    <col min="1" max="1" width="9.69921875" style="127" bestFit="1" customWidth="1"/>
    <col min="2" max="2" width="10.5" style="110" customWidth="1"/>
    <col min="3" max="3" width="10.3984375" bestFit="1" customWidth="1"/>
    <col min="4" max="4" width="11.8984375" bestFit="1" customWidth="1"/>
    <col min="5" max="5" width="14.59765625" bestFit="1" customWidth="1"/>
    <col min="6" max="6" width="19.3984375" bestFit="1" customWidth="1"/>
    <col min="7" max="7" width="19" style="108" bestFit="1" customWidth="1"/>
    <col min="8" max="8" width="13" bestFit="1" customWidth="1"/>
    <col min="12" max="13" width="10.8984375" bestFit="1" customWidth="1"/>
  </cols>
  <sheetData>
    <row r="1" spans="1:2">
      <c r="A1" s="104" t="s">
        <v>74</v>
      </c>
      <c r="B1" s="105" t="s">
        <v>75</v>
      </c>
    </row>
    <row r="2" spans="1:2">
      <c r="A2" s="104" t="s">
        <v>76</v>
      </c>
      <c r="B2" s="105">
        <v>0</v>
      </c>
    </row>
    <row r="3" spans="1:2" ht="16.5" hidden="1" customHeight="1">
      <c r="A3" s="106">
        <v>43466</v>
      </c>
      <c r="B3" s="107">
        <v>1118.0999999999999</v>
      </c>
    </row>
    <row r="4" spans="1:2" ht="16.5" hidden="1" customHeight="1">
      <c r="A4" s="106">
        <v>43467</v>
      </c>
      <c r="B4" s="107">
        <v>1118.0999999999999</v>
      </c>
    </row>
    <row r="5" spans="1:2" ht="16.5" hidden="1" customHeight="1">
      <c r="A5" s="106">
        <v>43468</v>
      </c>
      <c r="B5" s="107">
        <v>1119</v>
      </c>
    </row>
    <row r="6" spans="1:2" ht="16.5" hidden="1" customHeight="1">
      <c r="A6" s="106">
        <v>43469</v>
      </c>
      <c r="B6" s="107">
        <v>1127.5</v>
      </c>
    </row>
    <row r="7" spans="1:2" ht="16.5" hidden="1" customHeight="1">
      <c r="A7" s="106">
        <v>43470</v>
      </c>
      <c r="B7" s="107">
        <v>1127.5</v>
      </c>
    </row>
    <row r="8" spans="1:2" ht="16.5" hidden="1" customHeight="1">
      <c r="A8" s="106">
        <v>43471</v>
      </c>
      <c r="B8" s="107">
        <v>1127.5</v>
      </c>
    </row>
    <row r="9" spans="1:2" ht="16.5" hidden="1" customHeight="1">
      <c r="A9" s="106">
        <v>43472</v>
      </c>
      <c r="B9" s="107">
        <v>1125.2</v>
      </c>
    </row>
    <row r="10" spans="1:2" ht="16.5" hidden="1" customHeight="1">
      <c r="A10" s="106">
        <v>43473</v>
      </c>
      <c r="B10" s="107">
        <v>1118</v>
      </c>
    </row>
    <row r="11" spans="1:2" ht="16.5" hidden="1" customHeight="1">
      <c r="A11" s="106">
        <v>43474</v>
      </c>
      <c r="B11" s="107">
        <v>1121.7</v>
      </c>
    </row>
    <row r="12" spans="1:2" ht="16.5" hidden="1" customHeight="1">
      <c r="A12" s="106">
        <v>43475</v>
      </c>
      <c r="B12" s="107">
        <v>1121.5999999999999</v>
      </c>
    </row>
    <row r="13" spans="1:2" ht="16.5" hidden="1" customHeight="1">
      <c r="A13" s="106">
        <v>43476</v>
      </c>
      <c r="B13" s="107">
        <v>1118.9000000000001</v>
      </c>
    </row>
    <row r="14" spans="1:2" ht="16.5" hidden="1" customHeight="1">
      <c r="A14" s="106">
        <v>43477</v>
      </c>
      <c r="B14" s="107">
        <v>1118.9000000000001</v>
      </c>
    </row>
    <row r="15" spans="1:2" ht="16.5" hidden="1" customHeight="1">
      <c r="A15" s="106">
        <v>43478</v>
      </c>
      <c r="B15" s="107">
        <v>1118.9000000000001</v>
      </c>
    </row>
    <row r="16" spans="1:2" ht="16.5" hidden="1" customHeight="1">
      <c r="A16" s="106">
        <v>43479</v>
      </c>
      <c r="B16" s="107">
        <v>1117.5999999999999</v>
      </c>
    </row>
    <row r="17" spans="1:2" ht="16.5" hidden="1" customHeight="1">
      <c r="A17" s="106">
        <v>43480</v>
      </c>
      <c r="B17" s="107">
        <v>1121.4000000000001</v>
      </c>
    </row>
    <row r="18" spans="1:2" ht="16.5" hidden="1" customHeight="1">
      <c r="A18" s="106">
        <v>43481</v>
      </c>
      <c r="B18" s="107">
        <v>1120.0999999999999</v>
      </c>
    </row>
    <row r="19" spans="1:2" ht="16.5" hidden="1" customHeight="1">
      <c r="A19" s="106">
        <v>43482</v>
      </c>
      <c r="B19" s="107">
        <v>1122</v>
      </c>
    </row>
    <row r="20" spans="1:2" ht="16.5" hidden="1" customHeight="1">
      <c r="A20" s="106">
        <v>43483</v>
      </c>
      <c r="B20" s="107">
        <v>1121.4000000000001</v>
      </c>
    </row>
    <row r="21" spans="1:2" ht="16.5" hidden="1" customHeight="1">
      <c r="A21" s="106">
        <v>43484</v>
      </c>
      <c r="B21" s="107">
        <v>1121.4000000000001</v>
      </c>
    </row>
    <row r="22" spans="1:2" ht="16.5" hidden="1" customHeight="1">
      <c r="A22" s="106">
        <v>43485</v>
      </c>
      <c r="B22" s="107">
        <v>1121.4000000000001</v>
      </c>
    </row>
    <row r="23" spans="1:2" ht="16.5" hidden="1" customHeight="1">
      <c r="A23" s="106">
        <v>43486</v>
      </c>
      <c r="B23" s="107">
        <v>1121.3</v>
      </c>
    </row>
    <row r="24" spans="1:2" ht="16.5" hidden="1" customHeight="1">
      <c r="A24" s="106">
        <v>43487</v>
      </c>
      <c r="B24" s="107">
        <v>1126.5</v>
      </c>
    </row>
    <row r="25" spans="1:2" ht="16.5" hidden="1" customHeight="1">
      <c r="A25" s="106">
        <v>43488</v>
      </c>
      <c r="B25" s="107">
        <v>1130.2</v>
      </c>
    </row>
    <row r="26" spans="1:2" ht="16.5" hidden="1" customHeight="1">
      <c r="A26" s="106">
        <v>43489</v>
      </c>
      <c r="B26" s="107">
        <v>1128.2</v>
      </c>
    </row>
    <row r="27" spans="1:2" ht="16.5" hidden="1" customHeight="1">
      <c r="A27" s="106">
        <v>43490</v>
      </c>
      <c r="B27" s="107">
        <v>1128</v>
      </c>
    </row>
    <row r="28" spans="1:2" ht="16.5" hidden="1" customHeight="1">
      <c r="A28" s="106">
        <v>43491</v>
      </c>
      <c r="B28" s="107">
        <v>1128</v>
      </c>
    </row>
    <row r="29" spans="1:2" ht="16.5" hidden="1" customHeight="1">
      <c r="A29" s="106">
        <v>43492</v>
      </c>
      <c r="B29" s="107">
        <v>1128</v>
      </c>
    </row>
    <row r="30" spans="1:2" ht="16.5" hidden="1" customHeight="1">
      <c r="A30" s="106">
        <v>43493</v>
      </c>
      <c r="B30" s="107">
        <v>1125.0999999999999</v>
      </c>
    </row>
    <row r="31" spans="1:2" ht="16.5" hidden="1" customHeight="1">
      <c r="A31" s="106">
        <v>43494</v>
      </c>
      <c r="B31" s="107">
        <v>1116.9000000000001</v>
      </c>
    </row>
    <row r="32" spans="1:2" ht="16.5" hidden="1" customHeight="1">
      <c r="A32" s="106">
        <v>43495</v>
      </c>
      <c r="B32" s="107">
        <v>1118.0999999999999</v>
      </c>
    </row>
    <row r="33" spans="1:5" ht="16.5" hidden="1" customHeight="1">
      <c r="A33" s="106">
        <v>43496</v>
      </c>
      <c r="B33" s="107">
        <v>1117.2</v>
      </c>
    </row>
    <row r="34" spans="1:5" ht="16.5" hidden="1" customHeight="1">
      <c r="A34" s="106">
        <v>43497</v>
      </c>
      <c r="B34" s="107">
        <v>1111.5999999999999</v>
      </c>
      <c r="D34" s="108"/>
      <c r="E34" s="109"/>
    </row>
    <row r="35" spans="1:5" ht="16.5" hidden="1" customHeight="1">
      <c r="A35" s="106">
        <v>43498</v>
      </c>
      <c r="B35" s="107">
        <v>1111.5999999999999</v>
      </c>
      <c r="D35" s="108"/>
      <c r="E35" s="109"/>
    </row>
    <row r="36" spans="1:5" ht="16.5" hidden="1" customHeight="1">
      <c r="A36" s="106">
        <v>43499</v>
      </c>
      <c r="B36" s="107">
        <v>1111.5999999999999</v>
      </c>
      <c r="D36" s="108"/>
      <c r="E36" s="109"/>
    </row>
    <row r="37" spans="1:5" ht="16.5" hidden="1" customHeight="1">
      <c r="A37" s="106">
        <v>43500</v>
      </c>
      <c r="B37" s="107">
        <v>1111.5999999999999</v>
      </c>
      <c r="D37" s="108"/>
      <c r="E37" s="109"/>
    </row>
    <row r="38" spans="1:5" ht="16.5" hidden="1" customHeight="1">
      <c r="A38" s="106">
        <v>43501</v>
      </c>
      <c r="B38" s="107">
        <v>1111.5999999999999</v>
      </c>
      <c r="D38" s="108"/>
      <c r="E38" s="109"/>
    </row>
    <row r="39" spans="1:5" ht="16.5" hidden="1" customHeight="1">
      <c r="A39" s="106">
        <v>43502</v>
      </c>
      <c r="B39" s="107">
        <v>1111.5999999999999</v>
      </c>
      <c r="D39" s="108"/>
      <c r="E39" s="109"/>
    </row>
    <row r="40" spans="1:5" ht="16.5" hidden="1" customHeight="1">
      <c r="A40" s="106">
        <v>43503</v>
      </c>
      <c r="B40" s="107">
        <v>1116.8</v>
      </c>
      <c r="D40" s="108"/>
      <c r="E40" s="109"/>
    </row>
    <row r="41" spans="1:5" ht="16.5" hidden="1" customHeight="1">
      <c r="A41" s="106">
        <v>43504</v>
      </c>
      <c r="B41" s="107">
        <v>1123.4000000000001</v>
      </c>
      <c r="D41" s="108"/>
    </row>
    <row r="42" spans="1:5" ht="16.5" hidden="1" customHeight="1">
      <c r="A42" s="106">
        <v>43505</v>
      </c>
      <c r="B42" s="107">
        <v>1123.4000000000001</v>
      </c>
      <c r="D42" s="108"/>
    </row>
    <row r="43" spans="1:5" ht="16.5" hidden="1" customHeight="1">
      <c r="A43" s="106">
        <v>43506</v>
      </c>
      <c r="B43" s="107">
        <v>1123.4000000000001</v>
      </c>
      <c r="D43" s="108"/>
    </row>
    <row r="44" spans="1:5" ht="16.5" hidden="1" customHeight="1">
      <c r="A44" s="106">
        <v>43507</v>
      </c>
      <c r="B44" s="107">
        <v>1124.5</v>
      </c>
    </row>
    <row r="45" spans="1:5" ht="16.5" hidden="1" customHeight="1">
      <c r="A45" s="106">
        <v>43508</v>
      </c>
      <c r="B45" s="107">
        <v>1124.5</v>
      </c>
    </row>
    <row r="46" spans="1:5" ht="16.5" hidden="1" customHeight="1">
      <c r="A46" s="106">
        <v>43509</v>
      </c>
      <c r="B46" s="107">
        <v>1124.5999999999999</v>
      </c>
    </row>
    <row r="47" spans="1:5" ht="16.5" hidden="1" customHeight="1">
      <c r="A47" s="106">
        <v>43510</v>
      </c>
      <c r="B47" s="107">
        <v>1121.7</v>
      </c>
    </row>
    <row r="48" spans="1:5" ht="16.5" hidden="1" customHeight="1">
      <c r="A48" s="106">
        <v>43511</v>
      </c>
      <c r="B48" s="107">
        <v>1125</v>
      </c>
    </row>
    <row r="49" spans="1:2" ht="16.5" hidden="1" customHeight="1">
      <c r="A49" s="106">
        <v>43512</v>
      </c>
      <c r="B49" s="107">
        <v>1125</v>
      </c>
    </row>
    <row r="50" spans="1:2" ht="16.5" hidden="1" customHeight="1">
      <c r="A50" s="106">
        <v>43513</v>
      </c>
      <c r="B50" s="107">
        <v>1125</v>
      </c>
    </row>
    <row r="51" spans="1:2" ht="16.5" hidden="1" customHeight="1">
      <c r="A51" s="106">
        <v>43514</v>
      </c>
      <c r="B51" s="107">
        <v>1127.7</v>
      </c>
    </row>
    <row r="52" spans="1:2" ht="16.5" hidden="1" customHeight="1">
      <c r="A52" s="106">
        <v>43515</v>
      </c>
      <c r="B52" s="107">
        <v>1124.7</v>
      </c>
    </row>
    <row r="53" spans="1:2" ht="16.5" hidden="1" customHeight="1">
      <c r="A53" s="106">
        <v>43516</v>
      </c>
      <c r="B53" s="107">
        <v>1127.5</v>
      </c>
    </row>
    <row r="54" spans="1:2" ht="16.5" hidden="1" customHeight="1">
      <c r="A54" s="106">
        <v>43517</v>
      </c>
      <c r="B54" s="107">
        <v>1122.5999999999999</v>
      </c>
    </row>
    <row r="55" spans="1:2" ht="16.5" hidden="1" customHeight="1">
      <c r="A55" s="106">
        <v>43518</v>
      </c>
      <c r="B55" s="107">
        <v>1124.4000000000001</v>
      </c>
    </row>
    <row r="56" spans="1:2" ht="16.5" hidden="1" customHeight="1">
      <c r="A56" s="106">
        <v>43519</v>
      </c>
      <c r="B56" s="107">
        <v>1124.4000000000001</v>
      </c>
    </row>
    <row r="57" spans="1:2" ht="16.5" hidden="1" customHeight="1">
      <c r="A57" s="106">
        <v>43520</v>
      </c>
      <c r="B57" s="107">
        <v>1124.4000000000001</v>
      </c>
    </row>
    <row r="58" spans="1:2" ht="16.5" hidden="1" customHeight="1">
      <c r="A58" s="106">
        <v>43521</v>
      </c>
      <c r="B58" s="107">
        <v>1125.7</v>
      </c>
    </row>
    <row r="59" spans="1:2" ht="16.5" hidden="1" customHeight="1">
      <c r="A59" s="106">
        <v>43522</v>
      </c>
      <c r="B59" s="107">
        <v>1120.8</v>
      </c>
    </row>
    <row r="60" spans="1:2" ht="16.5" hidden="1" customHeight="1">
      <c r="A60" s="106">
        <v>43523</v>
      </c>
      <c r="B60" s="107">
        <v>1118.3</v>
      </c>
    </row>
    <row r="61" spans="1:2" ht="16.5" hidden="1" customHeight="1">
      <c r="A61" s="106">
        <v>43524</v>
      </c>
      <c r="B61" s="107">
        <v>1117.8</v>
      </c>
    </row>
    <row r="62" spans="1:2" ht="16.5" hidden="1" customHeight="1">
      <c r="A62" s="106">
        <v>43525</v>
      </c>
      <c r="B62" s="107">
        <v>1117.8</v>
      </c>
    </row>
    <row r="63" spans="1:2" ht="16.5" hidden="1" customHeight="1">
      <c r="A63" s="106">
        <v>43526</v>
      </c>
      <c r="B63" s="107">
        <v>1117.8</v>
      </c>
    </row>
    <row r="64" spans="1:2" ht="16.5" hidden="1" customHeight="1">
      <c r="A64" s="106">
        <v>43527</v>
      </c>
      <c r="B64" s="107">
        <v>1117.8</v>
      </c>
    </row>
    <row r="65" spans="1:2" ht="16.5" hidden="1" customHeight="1">
      <c r="A65" s="106">
        <v>43528</v>
      </c>
      <c r="B65" s="107">
        <v>1119.9000000000001</v>
      </c>
    </row>
    <row r="66" spans="1:2" ht="16.5" hidden="1" customHeight="1">
      <c r="A66" s="106">
        <v>43529</v>
      </c>
      <c r="B66" s="107">
        <v>1125</v>
      </c>
    </row>
    <row r="67" spans="1:2" ht="16.5" hidden="1" customHeight="1">
      <c r="A67" s="106">
        <v>43530</v>
      </c>
      <c r="B67" s="107">
        <v>1125.8</v>
      </c>
    </row>
    <row r="68" spans="1:2" ht="16.5" hidden="1" customHeight="1">
      <c r="A68" s="106">
        <v>43531</v>
      </c>
      <c r="B68" s="107">
        <v>1127.8</v>
      </c>
    </row>
    <row r="69" spans="1:2" ht="16.5" hidden="1" customHeight="1">
      <c r="A69" s="106">
        <v>43532</v>
      </c>
      <c r="B69" s="107">
        <v>1128.3</v>
      </c>
    </row>
    <row r="70" spans="1:2" ht="16.5" hidden="1" customHeight="1">
      <c r="A70" s="106">
        <v>43533</v>
      </c>
      <c r="B70" s="107">
        <v>1128.3</v>
      </c>
    </row>
    <row r="71" spans="1:2" ht="16.5" hidden="1" customHeight="1">
      <c r="A71" s="106">
        <v>43534</v>
      </c>
      <c r="B71" s="107">
        <v>1128.3</v>
      </c>
    </row>
    <row r="72" spans="1:2" ht="16.5" hidden="1" customHeight="1">
      <c r="A72" s="106">
        <v>43535</v>
      </c>
      <c r="B72" s="107">
        <v>1134</v>
      </c>
    </row>
    <row r="73" spans="1:2" ht="16.5" hidden="1" customHeight="1">
      <c r="A73" s="106">
        <v>43536</v>
      </c>
      <c r="B73" s="107">
        <v>1134.5</v>
      </c>
    </row>
    <row r="74" spans="1:2" ht="16.5" hidden="1" customHeight="1">
      <c r="A74" s="106">
        <v>43537</v>
      </c>
      <c r="B74" s="107">
        <v>1128.7</v>
      </c>
    </row>
    <row r="75" spans="1:2" ht="16.5" hidden="1" customHeight="1">
      <c r="A75" s="106">
        <v>43538</v>
      </c>
      <c r="B75" s="107">
        <v>1131.5</v>
      </c>
    </row>
    <row r="76" spans="1:2" ht="16.5" hidden="1" customHeight="1">
      <c r="A76" s="106">
        <v>43539</v>
      </c>
      <c r="B76" s="107">
        <v>1132.7</v>
      </c>
    </row>
    <row r="77" spans="1:2" ht="16.5" hidden="1" customHeight="1">
      <c r="A77" s="106">
        <v>43540</v>
      </c>
      <c r="B77" s="107">
        <v>1132.7</v>
      </c>
    </row>
    <row r="78" spans="1:2" ht="16.5" hidden="1" customHeight="1">
      <c r="A78" s="106">
        <v>43541</v>
      </c>
      <c r="B78" s="107">
        <v>1132.7</v>
      </c>
    </row>
    <row r="79" spans="1:2" ht="16.5" hidden="1" customHeight="1">
      <c r="A79" s="106">
        <v>43542</v>
      </c>
      <c r="B79" s="107">
        <v>1136.0999999999999</v>
      </c>
    </row>
    <row r="80" spans="1:2" ht="16.5" hidden="1" customHeight="1">
      <c r="A80" s="106">
        <v>43543</v>
      </c>
      <c r="B80" s="107">
        <v>1133.7</v>
      </c>
    </row>
    <row r="81" spans="1:2" ht="16.5" hidden="1" customHeight="1">
      <c r="A81" s="106">
        <v>43544</v>
      </c>
      <c r="B81" s="107">
        <v>1130.9000000000001</v>
      </c>
    </row>
    <row r="82" spans="1:2" ht="16.5" hidden="1" customHeight="1">
      <c r="A82" s="106">
        <v>43545</v>
      </c>
      <c r="B82" s="110">
        <v>1130.4000000000001</v>
      </c>
    </row>
    <row r="83" spans="1:2" ht="16.5" hidden="1" customHeight="1">
      <c r="A83" s="106">
        <v>43546</v>
      </c>
      <c r="B83" s="110">
        <v>1125.8</v>
      </c>
    </row>
    <row r="84" spans="1:2" ht="16.5" hidden="1" customHeight="1">
      <c r="A84" s="106">
        <v>43547</v>
      </c>
      <c r="B84" s="110">
        <v>1125.8</v>
      </c>
    </row>
    <row r="85" spans="1:2" ht="16.5" hidden="1" customHeight="1">
      <c r="A85" s="106">
        <v>43548</v>
      </c>
      <c r="B85" s="110">
        <v>1125.8</v>
      </c>
    </row>
    <row r="86" spans="1:2" ht="16.5" hidden="1" customHeight="1">
      <c r="A86" s="106">
        <v>43549</v>
      </c>
      <c r="B86" s="110">
        <v>1129.8</v>
      </c>
    </row>
    <row r="87" spans="1:2" ht="16.5" hidden="1" customHeight="1">
      <c r="A87" s="106">
        <v>43550</v>
      </c>
      <c r="B87" s="110">
        <v>1134.9000000000001</v>
      </c>
    </row>
    <row r="88" spans="1:2" ht="16.5" hidden="1" customHeight="1">
      <c r="A88" s="106">
        <v>43551</v>
      </c>
      <c r="B88" s="110">
        <v>1132.0999999999999</v>
      </c>
    </row>
    <row r="89" spans="1:2" ht="16.5" hidden="1" customHeight="1">
      <c r="A89" s="106">
        <v>43552</v>
      </c>
      <c r="B89" s="110">
        <v>1134.7</v>
      </c>
    </row>
    <row r="90" spans="1:2" ht="16.5" hidden="1" customHeight="1">
      <c r="A90" s="106">
        <v>43553</v>
      </c>
      <c r="B90" s="110">
        <v>1137.8</v>
      </c>
    </row>
    <row r="91" spans="1:2" ht="16.5" hidden="1" customHeight="1">
      <c r="A91" s="106">
        <v>43554</v>
      </c>
      <c r="B91" s="110">
        <v>1137.8</v>
      </c>
    </row>
    <row r="92" spans="1:2" ht="16.5" hidden="1" customHeight="1">
      <c r="A92" s="106">
        <v>43555</v>
      </c>
      <c r="B92" s="110">
        <v>1137.8</v>
      </c>
    </row>
    <row r="93" spans="1:2" ht="16.5" hidden="1" customHeight="1">
      <c r="A93" s="106">
        <v>43556</v>
      </c>
      <c r="B93" s="110">
        <v>1136.0999999999999</v>
      </c>
    </row>
    <row r="94" spans="1:2" ht="16.5" hidden="1" customHeight="1">
      <c r="A94" s="106">
        <v>43557</v>
      </c>
      <c r="B94" s="110">
        <v>1132.7</v>
      </c>
    </row>
    <row r="95" spans="1:2" ht="16.5" hidden="1" customHeight="1">
      <c r="A95" s="106">
        <v>43558</v>
      </c>
      <c r="B95" s="110">
        <v>1135.8</v>
      </c>
    </row>
    <row r="96" spans="1:2" ht="16.5" hidden="1" customHeight="1">
      <c r="A96" s="106">
        <v>43559</v>
      </c>
      <c r="B96" s="110">
        <v>1134.9000000000001</v>
      </c>
    </row>
    <row r="97" spans="1:2" ht="16.5" hidden="1" customHeight="1">
      <c r="A97" s="106">
        <v>43560</v>
      </c>
      <c r="B97" s="110">
        <v>1135.5</v>
      </c>
    </row>
    <row r="98" spans="1:2" ht="16.5" hidden="1" customHeight="1">
      <c r="A98" s="106">
        <v>43561</v>
      </c>
      <c r="B98" s="110">
        <v>1135.5</v>
      </c>
    </row>
    <row r="99" spans="1:2" ht="16.5" hidden="1" customHeight="1">
      <c r="A99" s="106">
        <v>43562</v>
      </c>
      <c r="B99" s="110">
        <v>1135.5</v>
      </c>
    </row>
    <row r="100" spans="1:2" ht="16.5" hidden="1" customHeight="1">
      <c r="A100" s="106">
        <v>43563</v>
      </c>
      <c r="B100" s="110">
        <v>1136.4000000000001</v>
      </c>
    </row>
    <row r="101" spans="1:2" ht="16.5" hidden="1" customHeight="1">
      <c r="A101" s="106">
        <v>43564</v>
      </c>
      <c r="B101" s="110">
        <v>1141.4000000000001</v>
      </c>
    </row>
    <row r="102" spans="1:2" ht="16.5" hidden="1" customHeight="1">
      <c r="A102" s="106">
        <v>43565</v>
      </c>
      <c r="B102" s="110">
        <v>1142.8</v>
      </c>
    </row>
    <row r="103" spans="1:2" ht="16.5" hidden="1" customHeight="1">
      <c r="A103" s="106">
        <v>43566</v>
      </c>
      <c r="B103" s="110">
        <v>1141.2</v>
      </c>
    </row>
    <row r="104" spans="1:2" ht="16.5" hidden="1" customHeight="1">
      <c r="A104" s="106">
        <v>43567</v>
      </c>
      <c r="B104" s="110">
        <v>1139.2</v>
      </c>
    </row>
    <row r="105" spans="1:2" ht="16.5" hidden="1" customHeight="1">
      <c r="A105" s="106">
        <v>43568</v>
      </c>
      <c r="B105" s="110">
        <v>1139.2</v>
      </c>
    </row>
    <row r="106" spans="1:2" ht="16.5" hidden="1" customHeight="1">
      <c r="A106" s="106">
        <v>43569</v>
      </c>
      <c r="B106" s="110">
        <v>1139.2</v>
      </c>
    </row>
    <row r="107" spans="1:2" ht="16.5" hidden="1" customHeight="1">
      <c r="A107" s="106">
        <v>43570</v>
      </c>
      <c r="B107" s="110">
        <v>1140.5</v>
      </c>
    </row>
    <row r="108" spans="1:2" ht="16.5" hidden="1" customHeight="1">
      <c r="A108" s="106">
        <v>43571</v>
      </c>
      <c r="B108" s="110">
        <v>1133.9000000000001</v>
      </c>
    </row>
    <row r="109" spans="1:2" ht="16.5" hidden="1" customHeight="1">
      <c r="A109" s="106">
        <v>43572</v>
      </c>
      <c r="B109" s="110">
        <v>1135.7</v>
      </c>
    </row>
    <row r="110" spans="1:2" ht="16.5" hidden="1" customHeight="1">
      <c r="A110" s="106">
        <v>43573</v>
      </c>
      <c r="B110" s="110">
        <v>1136.0999999999999</v>
      </c>
    </row>
    <row r="111" spans="1:2" ht="16.5" hidden="1" customHeight="1">
      <c r="A111" s="106">
        <v>43574</v>
      </c>
      <c r="B111" s="110">
        <v>1136.2</v>
      </c>
    </row>
    <row r="112" spans="1:2" ht="16.5" hidden="1" customHeight="1">
      <c r="A112" s="106">
        <v>43575</v>
      </c>
      <c r="B112" s="110">
        <v>1136.2</v>
      </c>
    </row>
    <row r="113" spans="1:2" ht="16.5" hidden="1" customHeight="1">
      <c r="A113" s="106">
        <v>43576</v>
      </c>
      <c r="B113" s="110">
        <v>1136.2</v>
      </c>
    </row>
    <row r="114" spans="1:2" ht="16.5" hidden="1" customHeight="1">
      <c r="A114" s="106">
        <v>43577</v>
      </c>
      <c r="B114" s="110">
        <v>1137.0999999999999</v>
      </c>
    </row>
    <row r="115" spans="1:2" ht="16.5" hidden="1" customHeight="1">
      <c r="A115" s="106">
        <v>43578</v>
      </c>
      <c r="B115" s="110">
        <v>1140.8</v>
      </c>
    </row>
    <row r="116" spans="1:2" ht="16.5" hidden="1" customHeight="1">
      <c r="A116" s="106">
        <v>43579</v>
      </c>
      <c r="B116" s="110">
        <v>1141.0999999999999</v>
      </c>
    </row>
    <row r="117" spans="1:2" ht="16.5" hidden="1" customHeight="1">
      <c r="A117" s="106">
        <v>43580</v>
      </c>
      <c r="B117" s="110">
        <v>1146.9000000000001</v>
      </c>
    </row>
    <row r="118" spans="1:2" ht="16.5" hidden="1" customHeight="1">
      <c r="A118" s="106">
        <v>43581</v>
      </c>
      <c r="B118" s="110">
        <v>1158.7</v>
      </c>
    </row>
    <row r="119" spans="1:2" ht="16.5" hidden="1" customHeight="1">
      <c r="A119" s="106">
        <v>43582</v>
      </c>
      <c r="B119" s="110">
        <v>1158.7</v>
      </c>
    </row>
    <row r="120" spans="1:2" ht="16.5" hidden="1" customHeight="1">
      <c r="A120" s="106">
        <v>43583</v>
      </c>
      <c r="B120" s="110">
        <v>1158.7</v>
      </c>
    </row>
    <row r="121" spans="1:2" ht="16.5" hidden="1" customHeight="1">
      <c r="A121" s="106">
        <v>43584</v>
      </c>
      <c r="B121" s="110">
        <v>1159.7</v>
      </c>
    </row>
    <row r="122" spans="1:2" ht="16.5" hidden="1" customHeight="1">
      <c r="A122" s="106">
        <v>43585</v>
      </c>
      <c r="B122" s="110">
        <v>1158.2</v>
      </c>
    </row>
    <row r="123" spans="1:2" ht="16.5" hidden="1" customHeight="1">
      <c r="A123" s="106">
        <v>43586</v>
      </c>
      <c r="B123" s="110">
        <v>1158.2</v>
      </c>
    </row>
    <row r="124" spans="1:2" ht="16.5" hidden="1" customHeight="1">
      <c r="A124" s="106">
        <v>43587</v>
      </c>
      <c r="B124" s="110">
        <v>1163.8</v>
      </c>
    </row>
    <row r="125" spans="1:2" ht="16.5" hidden="1" customHeight="1">
      <c r="A125" s="106">
        <v>43588</v>
      </c>
      <c r="B125" s="110">
        <v>1163.9000000000001</v>
      </c>
    </row>
    <row r="126" spans="1:2" ht="16.5" hidden="1" customHeight="1">
      <c r="A126" s="106">
        <v>43589</v>
      </c>
      <c r="B126" s="110">
        <v>1163.9000000000001</v>
      </c>
    </row>
    <row r="127" spans="1:2" ht="16.5" hidden="1" customHeight="1">
      <c r="A127" s="106">
        <v>43590</v>
      </c>
      <c r="B127" s="110">
        <v>1163.9000000000001</v>
      </c>
    </row>
    <row r="128" spans="1:2" ht="16.5" hidden="1" customHeight="1">
      <c r="A128" s="106">
        <v>43591</v>
      </c>
      <c r="B128" s="110">
        <v>1163.9000000000001</v>
      </c>
    </row>
    <row r="129" spans="1:2" ht="16.5" hidden="1" customHeight="1">
      <c r="A129" s="106">
        <v>43592</v>
      </c>
      <c r="B129" s="110">
        <v>1169.4000000000001</v>
      </c>
    </row>
    <row r="130" spans="1:2" ht="16.5" hidden="1" customHeight="1">
      <c r="A130" s="106">
        <v>43593</v>
      </c>
      <c r="B130" s="110">
        <v>1169.8</v>
      </c>
    </row>
    <row r="131" spans="1:2" ht="16.5" hidden="1" customHeight="1">
      <c r="A131" s="106">
        <v>43594</v>
      </c>
      <c r="B131" s="110">
        <v>1169.9000000000001</v>
      </c>
    </row>
    <row r="132" spans="1:2" ht="16.5" hidden="1" customHeight="1">
      <c r="A132" s="106">
        <v>43595</v>
      </c>
      <c r="B132" s="110">
        <v>1175.8</v>
      </c>
    </row>
    <row r="133" spans="1:2" ht="16.5" hidden="1" customHeight="1">
      <c r="A133" s="106">
        <v>43596</v>
      </c>
      <c r="B133" s="110">
        <v>1175.8</v>
      </c>
    </row>
    <row r="134" spans="1:2" ht="16.5" hidden="1" customHeight="1">
      <c r="A134" s="106">
        <v>43597</v>
      </c>
      <c r="B134" s="110">
        <v>1175.8</v>
      </c>
    </row>
    <row r="135" spans="1:2" ht="16.5" hidden="1" customHeight="1">
      <c r="A135" s="106">
        <v>43598</v>
      </c>
      <c r="B135" s="110">
        <v>1178.0999999999999</v>
      </c>
    </row>
    <row r="136" spans="1:2" ht="16.5" hidden="1" customHeight="1">
      <c r="A136" s="106">
        <v>43599</v>
      </c>
      <c r="B136" s="110">
        <v>1183.0999999999999</v>
      </c>
    </row>
    <row r="137" spans="1:2" ht="16.5" hidden="1" customHeight="1">
      <c r="A137" s="106">
        <v>43600</v>
      </c>
      <c r="B137" s="110">
        <v>1187</v>
      </c>
    </row>
    <row r="138" spans="1:2" ht="16.5" hidden="1" customHeight="1">
      <c r="A138" s="106">
        <v>43601</v>
      </c>
      <c r="B138" s="110">
        <v>1189.4000000000001</v>
      </c>
    </row>
    <row r="139" spans="1:2" ht="16.5" hidden="1" customHeight="1">
      <c r="A139" s="106">
        <v>43602</v>
      </c>
      <c r="B139" s="110">
        <v>1189.8</v>
      </c>
    </row>
    <row r="140" spans="1:2" ht="16.5" hidden="1" customHeight="1">
      <c r="A140" s="106">
        <v>43603</v>
      </c>
      <c r="B140" s="110">
        <v>1189.8</v>
      </c>
    </row>
    <row r="141" spans="1:2" ht="16.5" hidden="1" customHeight="1">
      <c r="A141" s="106">
        <v>43604</v>
      </c>
      <c r="B141" s="110">
        <v>1189.8</v>
      </c>
    </row>
    <row r="142" spans="1:2" ht="16.5" hidden="1" customHeight="1">
      <c r="A142" s="106">
        <v>43605</v>
      </c>
      <c r="B142" s="110">
        <v>1192.7</v>
      </c>
    </row>
    <row r="143" spans="1:2" ht="16.5" hidden="1" customHeight="1">
      <c r="A143" s="106">
        <v>43606</v>
      </c>
      <c r="B143" s="110">
        <v>1192.9000000000001</v>
      </c>
    </row>
    <row r="144" spans="1:2" ht="16.5" hidden="1" customHeight="1">
      <c r="A144" s="106">
        <v>43607</v>
      </c>
      <c r="B144" s="110">
        <v>1193.3</v>
      </c>
    </row>
    <row r="145" spans="1:2" ht="16.5" hidden="1" customHeight="1">
      <c r="A145" s="106">
        <v>43608</v>
      </c>
      <c r="B145" s="110">
        <v>1194.5999999999999</v>
      </c>
    </row>
    <row r="146" spans="1:2" ht="16.5" hidden="1" customHeight="1">
      <c r="A146" s="106">
        <v>43609</v>
      </c>
      <c r="B146" s="110">
        <v>1191.2</v>
      </c>
    </row>
    <row r="147" spans="1:2" ht="16.5" hidden="1" customHeight="1">
      <c r="A147" s="106">
        <v>43610</v>
      </c>
      <c r="B147" s="110">
        <v>1191.2</v>
      </c>
    </row>
    <row r="148" spans="1:2" ht="16.5" hidden="1" customHeight="1">
      <c r="A148" s="106">
        <v>43611</v>
      </c>
      <c r="B148" s="110">
        <v>1191.2</v>
      </c>
    </row>
    <row r="149" spans="1:2" ht="16.5" hidden="1" customHeight="1">
      <c r="A149" s="106">
        <v>43612</v>
      </c>
      <c r="B149" s="110">
        <v>1189.5999999999999</v>
      </c>
    </row>
    <row r="150" spans="1:2" ht="16.5" hidden="1" customHeight="1">
      <c r="A150" s="106">
        <v>43613</v>
      </c>
      <c r="B150" s="110">
        <v>1184.0999999999999</v>
      </c>
    </row>
    <row r="151" spans="1:2" ht="16.5" hidden="1" customHeight="1">
      <c r="A151" s="106">
        <v>43614</v>
      </c>
      <c r="B151" s="110">
        <v>1187.5999999999999</v>
      </c>
    </row>
    <row r="152" spans="1:2" ht="16.5" hidden="1" customHeight="1">
      <c r="A152" s="106">
        <v>43615</v>
      </c>
      <c r="B152" s="110">
        <v>1193.0999999999999</v>
      </c>
    </row>
    <row r="153" spans="1:2" ht="16.5" hidden="1" customHeight="1">
      <c r="A153" s="106">
        <v>43616</v>
      </c>
      <c r="B153" s="110">
        <v>1190</v>
      </c>
    </row>
    <row r="154" spans="1:2" ht="16.5" hidden="1" customHeight="1">
      <c r="A154" s="106">
        <v>43617</v>
      </c>
      <c r="B154" s="110">
        <v>1190</v>
      </c>
    </row>
    <row r="155" spans="1:2" ht="16.5" hidden="1" customHeight="1">
      <c r="A155" s="106">
        <v>43618</v>
      </c>
      <c r="B155" s="110">
        <v>1190</v>
      </c>
    </row>
    <row r="156" spans="1:2" ht="16.5" hidden="1" customHeight="1">
      <c r="A156" s="106">
        <v>43619</v>
      </c>
      <c r="B156" s="110">
        <v>1191.2</v>
      </c>
    </row>
    <row r="157" spans="1:2" ht="16.5" hidden="1" customHeight="1">
      <c r="A157" s="106">
        <v>43620</v>
      </c>
      <c r="B157" s="110">
        <v>1183</v>
      </c>
    </row>
    <row r="158" spans="1:2" ht="16.5" hidden="1" customHeight="1">
      <c r="A158" s="106">
        <v>43621</v>
      </c>
      <c r="B158" s="110">
        <v>1181.5</v>
      </c>
    </row>
    <row r="159" spans="1:2" ht="16.5" hidden="1" customHeight="1">
      <c r="A159" s="106">
        <v>43622</v>
      </c>
      <c r="B159" s="110">
        <v>1181.5</v>
      </c>
    </row>
    <row r="160" spans="1:2" ht="16.5" hidden="1" customHeight="1">
      <c r="A160" s="106">
        <v>43623</v>
      </c>
      <c r="B160" s="110">
        <v>1179.8</v>
      </c>
    </row>
    <row r="161" spans="1:2" ht="16.5" hidden="1" customHeight="1">
      <c r="A161" s="106">
        <v>43624</v>
      </c>
      <c r="B161" s="110">
        <v>1179.8</v>
      </c>
    </row>
    <row r="162" spans="1:2" ht="16.5" hidden="1" customHeight="1">
      <c r="A162" s="106">
        <v>43625</v>
      </c>
      <c r="B162" s="110">
        <v>1179.8</v>
      </c>
    </row>
    <row r="163" spans="1:2" ht="16.5" hidden="1" customHeight="1">
      <c r="A163" s="106">
        <v>43626</v>
      </c>
      <c r="B163" s="110">
        <v>1179.5</v>
      </c>
    </row>
    <row r="164" spans="1:2" ht="16.5" hidden="1" customHeight="1">
      <c r="A164" s="106">
        <v>43627</v>
      </c>
      <c r="B164" s="110">
        <v>1184</v>
      </c>
    </row>
    <row r="165" spans="1:2" ht="16.5" hidden="1" customHeight="1">
      <c r="A165" s="106">
        <v>43628</v>
      </c>
      <c r="B165" s="110">
        <v>1181.7</v>
      </c>
    </row>
    <row r="166" spans="1:2" ht="16.5" hidden="1" customHeight="1">
      <c r="A166" s="106">
        <v>43629</v>
      </c>
      <c r="B166" s="110">
        <v>1181.7</v>
      </c>
    </row>
    <row r="167" spans="1:2" ht="16.5" hidden="1" customHeight="1">
      <c r="A167" s="106">
        <v>43630</v>
      </c>
      <c r="B167" s="110">
        <v>1184.7</v>
      </c>
    </row>
    <row r="168" spans="1:2" ht="16.5" hidden="1" customHeight="1">
      <c r="A168" s="106">
        <v>43631</v>
      </c>
      <c r="B168" s="110">
        <v>1184.7</v>
      </c>
    </row>
    <row r="169" spans="1:2" ht="16.5" hidden="1" customHeight="1">
      <c r="A169" s="106">
        <v>43632</v>
      </c>
      <c r="B169" s="110">
        <v>1184.7</v>
      </c>
    </row>
    <row r="170" spans="1:2" ht="16.5" hidden="1" customHeight="1">
      <c r="A170" s="106">
        <v>43633</v>
      </c>
      <c r="B170" s="110">
        <v>1184</v>
      </c>
    </row>
    <row r="171" spans="1:2" ht="16.5" hidden="1" customHeight="1">
      <c r="A171" s="106">
        <v>43634</v>
      </c>
      <c r="B171" s="110">
        <v>1186.3</v>
      </c>
    </row>
    <row r="172" spans="1:2" ht="16.5" hidden="1" customHeight="1">
      <c r="A172" s="106">
        <v>43635</v>
      </c>
      <c r="B172" s="110">
        <v>1185</v>
      </c>
    </row>
    <row r="173" spans="1:2" ht="16.5" hidden="1" customHeight="1">
      <c r="A173" s="106">
        <v>43636</v>
      </c>
      <c r="B173" s="110">
        <v>1177</v>
      </c>
    </row>
    <row r="174" spans="1:2" ht="16.5" hidden="1" customHeight="1">
      <c r="A174" s="106">
        <v>43637</v>
      </c>
      <c r="B174" s="110">
        <v>1167.7</v>
      </c>
    </row>
    <row r="175" spans="1:2" ht="16.5" hidden="1" customHeight="1">
      <c r="A175" s="106">
        <v>43638</v>
      </c>
      <c r="B175" s="110">
        <v>1167.7</v>
      </c>
    </row>
    <row r="176" spans="1:2" ht="16.5" hidden="1" customHeight="1">
      <c r="A176" s="106">
        <v>43639</v>
      </c>
      <c r="B176" s="110">
        <v>1167.7</v>
      </c>
    </row>
    <row r="177" spans="1:2" ht="16.5" hidden="1" customHeight="1">
      <c r="A177" s="106">
        <v>43640</v>
      </c>
      <c r="B177" s="110">
        <v>1162</v>
      </c>
    </row>
    <row r="178" spans="1:2" ht="16.5" hidden="1" customHeight="1">
      <c r="A178" s="106">
        <v>43641</v>
      </c>
      <c r="B178" s="110">
        <v>1157.9000000000001</v>
      </c>
    </row>
    <row r="179" spans="1:2" ht="16.5" hidden="1" customHeight="1">
      <c r="A179" s="106">
        <v>43642</v>
      </c>
      <c r="B179" s="110">
        <v>1154.7</v>
      </c>
    </row>
    <row r="180" spans="1:2" ht="16.5" hidden="1" customHeight="1">
      <c r="A180" s="106">
        <v>43643</v>
      </c>
      <c r="B180" s="110">
        <v>1158.2</v>
      </c>
    </row>
    <row r="181" spans="1:2" ht="16.5" hidden="1" customHeight="1">
      <c r="A181" s="106">
        <v>43644</v>
      </c>
      <c r="B181" s="110">
        <v>1156.8</v>
      </c>
    </row>
    <row r="182" spans="1:2" ht="16.5" hidden="1" customHeight="1">
      <c r="A182" s="106">
        <v>43645</v>
      </c>
      <c r="B182" s="110">
        <v>1156.8</v>
      </c>
    </row>
    <row r="183" spans="1:2" ht="16.5" hidden="1" customHeight="1">
      <c r="A183" s="106">
        <v>43646</v>
      </c>
      <c r="B183" s="110">
        <v>1156.8</v>
      </c>
    </row>
    <row r="184" spans="1:2" ht="16.5" hidden="1" customHeight="1">
      <c r="A184" s="106">
        <v>43647</v>
      </c>
      <c r="B184" s="110">
        <v>1156.4000000000001</v>
      </c>
    </row>
    <row r="185" spans="1:2" ht="16.5" hidden="1" customHeight="1">
      <c r="A185" s="106">
        <v>43648</v>
      </c>
      <c r="B185" s="110">
        <v>1155.4000000000001</v>
      </c>
    </row>
    <row r="186" spans="1:2" ht="16.5" hidden="1" customHeight="1">
      <c r="A186" s="106">
        <v>43649</v>
      </c>
      <c r="B186" s="110">
        <v>1164.8</v>
      </c>
    </row>
    <row r="187" spans="1:2" ht="16.5" hidden="1" customHeight="1">
      <c r="A187" s="106">
        <v>43650</v>
      </c>
      <c r="B187" s="110">
        <v>1170.4000000000001</v>
      </c>
    </row>
    <row r="188" spans="1:2" ht="16.5" hidden="1" customHeight="1">
      <c r="A188" s="106">
        <v>43651</v>
      </c>
      <c r="B188" s="110">
        <v>1169.2</v>
      </c>
    </row>
    <row r="189" spans="1:2" ht="16.5" hidden="1" customHeight="1">
      <c r="A189" s="106">
        <v>43652</v>
      </c>
      <c r="B189" s="110">
        <v>1169.2</v>
      </c>
    </row>
    <row r="190" spans="1:2" ht="16.5" hidden="1" customHeight="1">
      <c r="A190" s="106">
        <v>43653</v>
      </c>
      <c r="B190" s="110">
        <v>1169.2</v>
      </c>
    </row>
    <row r="191" spans="1:2" ht="16.5" hidden="1" customHeight="1">
      <c r="A191" s="106">
        <v>43654</v>
      </c>
      <c r="B191" s="110">
        <v>1170.4000000000001</v>
      </c>
    </row>
    <row r="192" spans="1:2" ht="16.5" hidden="1" customHeight="1">
      <c r="A192" s="106">
        <v>43655</v>
      </c>
      <c r="B192" s="110">
        <v>1178.5</v>
      </c>
    </row>
    <row r="193" spans="1:2" ht="16.5" hidden="1" customHeight="1">
      <c r="A193" s="106">
        <v>43656</v>
      </c>
      <c r="B193" s="110">
        <v>1179.9000000000001</v>
      </c>
    </row>
    <row r="194" spans="1:2" ht="16.5" hidden="1" customHeight="1">
      <c r="A194" s="106">
        <v>43657</v>
      </c>
      <c r="B194" s="110">
        <v>1181.4000000000001</v>
      </c>
    </row>
    <row r="195" spans="1:2" ht="16.5" hidden="1" customHeight="1">
      <c r="A195" s="106">
        <v>43658</v>
      </c>
      <c r="B195" s="110">
        <v>1173.8</v>
      </c>
    </row>
    <row r="196" spans="1:2" ht="16.5" hidden="1" customHeight="1">
      <c r="A196" s="106">
        <v>43659</v>
      </c>
      <c r="B196" s="110">
        <v>1173.8</v>
      </c>
    </row>
    <row r="197" spans="1:2" ht="16.5" hidden="1" customHeight="1">
      <c r="A197" s="106">
        <v>43660</v>
      </c>
      <c r="B197" s="110">
        <v>1173.8</v>
      </c>
    </row>
    <row r="198" spans="1:2" ht="16.5" hidden="1" customHeight="1">
      <c r="A198" s="106">
        <v>43661</v>
      </c>
      <c r="B198" s="110">
        <v>1177.3</v>
      </c>
    </row>
    <row r="199" spans="1:2" ht="16.5" hidden="1" customHeight="1">
      <c r="A199" s="106">
        <v>43662</v>
      </c>
      <c r="B199" s="110">
        <v>1179.2</v>
      </c>
    </row>
    <row r="200" spans="1:2" ht="16.5" hidden="1" customHeight="1">
      <c r="A200" s="106">
        <v>43663</v>
      </c>
      <c r="B200" s="110">
        <v>1178.5</v>
      </c>
    </row>
    <row r="201" spans="1:2" ht="16.5" hidden="1" customHeight="1">
      <c r="A201" s="106">
        <v>43664</v>
      </c>
      <c r="B201" s="110">
        <v>1180.4000000000001</v>
      </c>
    </row>
    <row r="202" spans="1:2" ht="16.5" hidden="1" customHeight="1">
      <c r="A202" s="106">
        <v>43665</v>
      </c>
      <c r="B202" s="110">
        <v>1179.5</v>
      </c>
    </row>
    <row r="203" spans="1:2" ht="16.5" hidden="1" customHeight="1">
      <c r="A203" s="106">
        <v>43666</v>
      </c>
      <c r="B203" s="110">
        <v>1179.5</v>
      </c>
    </row>
    <row r="204" spans="1:2" ht="16.5" hidden="1" customHeight="1">
      <c r="A204" s="106">
        <v>43667</v>
      </c>
      <c r="B204" s="110">
        <v>1179.5</v>
      </c>
    </row>
    <row r="205" spans="1:2" ht="16.5" hidden="1" customHeight="1">
      <c r="A205" s="106">
        <v>43668</v>
      </c>
      <c r="B205" s="110">
        <v>1173.4000000000001</v>
      </c>
    </row>
    <row r="206" spans="1:2" ht="16.5" hidden="1" customHeight="1">
      <c r="A206" s="106">
        <v>43669</v>
      </c>
      <c r="B206" s="110">
        <v>1177.5999999999999</v>
      </c>
    </row>
    <row r="207" spans="1:2" ht="16.5" hidden="1" customHeight="1">
      <c r="A207" s="106">
        <v>43670</v>
      </c>
      <c r="B207" s="110">
        <v>1178.4000000000001</v>
      </c>
    </row>
    <row r="208" spans="1:2" ht="16.5" hidden="1" customHeight="1">
      <c r="A208" s="106">
        <v>43671</v>
      </c>
      <c r="B208" s="110">
        <v>1178.2</v>
      </c>
    </row>
    <row r="209" spans="1:2" ht="16.5" hidden="1" customHeight="1">
      <c r="A209" s="106">
        <v>43672</v>
      </c>
      <c r="B209" s="110">
        <v>1179.8</v>
      </c>
    </row>
    <row r="210" spans="1:2" ht="16.5" hidden="1" customHeight="1">
      <c r="A210" s="106">
        <v>43673</v>
      </c>
      <c r="B210" s="110">
        <v>1179.8</v>
      </c>
    </row>
    <row r="211" spans="1:2" ht="16.5" hidden="1" customHeight="1">
      <c r="A211" s="106">
        <v>43674</v>
      </c>
      <c r="B211" s="110">
        <v>1179.8</v>
      </c>
    </row>
    <row r="212" spans="1:2" ht="16.5" hidden="1" customHeight="1">
      <c r="A212" s="106">
        <v>43675</v>
      </c>
      <c r="B212" s="110">
        <v>1184.2</v>
      </c>
    </row>
    <row r="213" spans="1:2" ht="16.5" hidden="1" customHeight="1">
      <c r="A213" s="106">
        <v>43676</v>
      </c>
      <c r="B213" s="110">
        <v>1183.4000000000001</v>
      </c>
    </row>
    <row r="214" spans="1:2" ht="16.5" hidden="1" customHeight="1">
      <c r="A214" s="106">
        <v>43677</v>
      </c>
      <c r="B214" s="110">
        <v>1182</v>
      </c>
    </row>
    <row r="215" spans="1:2" ht="16.5" hidden="1" customHeight="1">
      <c r="A215" s="106">
        <v>43678</v>
      </c>
      <c r="B215" s="110">
        <v>1181.9000000000001</v>
      </c>
    </row>
    <row r="216" spans="1:2" ht="16.5" hidden="1" customHeight="1">
      <c r="A216" s="106">
        <v>43679</v>
      </c>
      <c r="B216" s="110">
        <v>1188.5</v>
      </c>
    </row>
    <row r="217" spans="1:2" ht="16.5" hidden="1" customHeight="1">
      <c r="A217" s="106">
        <v>43680</v>
      </c>
      <c r="B217" s="110">
        <v>1188.5</v>
      </c>
    </row>
    <row r="218" spans="1:2" ht="16.5" hidden="1" customHeight="1">
      <c r="A218" s="106">
        <v>43681</v>
      </c>
      <c r="B218" s="110">
        <v>1188.5</v>
      </c>
    </row>
    <row r="219" spans="1:2" ht="16.5" hidden="1" customHeight="1">
      <c r="A219" s="106">
        <v>43682</v>
      </c>
      <c r="B219" s="110">
        <v>1194.8</v>
      </c>
    </row>
    <row r="220" spans="1:2" ht="16.5" hidden="1" customHeight="1">
      <c r="A220" s="106">
        <v>43683</v>
      </c>
      <c r="B220" s="110">
        <v>1211.8</v>
      </c>
    </row>
    <row r="221" spans="1:2" ht="16.5" hidden="1" customHeight="1">
      <c r="A221" s="106">
        <v>43684</v>
      </c>
      <c r="B221" s="110">
        <v>1214.3</v>
      </c>
    </row>
    <row r="222" spans="1:2" ht="16.5" hidden="1" customHeight="1">
      <c r="A222" s="106">
        <v>43685</v>
      </c>
      <c r="B222" s="110">
        <v>1214.5</v>
      </c>
    </row>
    <row r="223" spans="1:2" ht="16.5" hidden="1" customHeight="1">
      <c r="A223" s="106">
        <v>43686</v>
      </c>
      <c r="B223" s="110">
        <v>1211.3</v>
      </c>
    </row>
    <row r="224" spans="1:2" ht="16.5" hidden="1" customHeight="1">
      <c r="A224" s="106">
        <v>43687</v>
      </c>
      <c r="B224" s="110">
        <v>1211.3</v>
      </c>
    </row>
    <row r="225" spans="1:2" ht="16.5" hidden="1" customHeight="1">
      <c r="A225" s="106">
        <v>43688</v>
      </c>
      <c r="B225" s="110">
        <v>1211.3</v>
      </c>
    </row>
    <row r="226" spans="1:2" ht="16.5" hidden="1" customHeight="1">
      <c r="A226" s="106">
        <v>43689</v>
      </c>
      <c r="B226" s="110">
        <v>1209.7</v>
      </c>
    </row>
    <row r="227" spans="1:2" ht="16.5" hidden="1" customHeight="1">
      <c r="A227" s="106">
        <v>43690</v>
      </c>
      <c r="B227" s="110">
        <v>1215.5999999999999</v>
      </c>
    </row>
    <row r="228" spans="1:2" ht="16.5" hidden="1" customHeight="1">
      <c r="A228" s="106">
        <v>43691</v>
      </c>
      <c r="B228" s="110">
        <v>1218.9000000000001</v>
      </c>
    </row>
    <row r="229" spans="1:2" ht="16.5" hidden="1" customHeight="1">
      <c r="A229" s="106">
        <v>43692</v>
      </c>
      <c r="B229" s="110">
        <v>1218.9000000000001</v>
      </c>
    </row>
    <row r="230" spans="1:2" ht="16.5" hidden="1" customHeight="1">
      <c r="A230" s="106">
        <v>43693</v>
      </c>
      <c r="B230" s="110">
        <v>1211.7</v>
      </c>
    </row>
    <row r="231" spans="1:2" ht="16.5" hidden="1" customHeight="1">
      <c r="A231" s="106">
        <v>43694</v>
      </c>
      <c r="B231" s="110">
        <v>1211.7</v>
      </c>
    </row>
    <row r="232" spans="1:2" ht="16.5" hidden="1" customHeight="1">
      <c r="A232" s="106">
        <v>43695</v>
      </c>
      <c r="B232" s="110">
        <v>1211.7</v>
      </c>
    </row>
    <row r="233" spans="1:2" ht="16.5" hidden="1" customHeight="1">
      <c r="A233" s="106">
        <v>43696</v>
      </c>
      <c r="B233" s="110">
        <v>1213.3</v>
      </c>
    </row>
    <row r="234" spans="1:2" ht="16.5" hidden="1" customHeight="1">
      <c r="A234" s="106">
        <v>43697</v>
      </c>
      <c r="B234" s="110">
        <v>1210.7</v>
      </c>
    </row>
    <row r="235" spans="1:2" ht="16.5" hidden="1" customHeight="1">
      <c r="A235" s="106">
        <v>43698</v>
      </c>
      <c r="B235" s="110">
        <v>1210.2</v>
      </c>
    </row>
    <row r="236" spans="1:2" ht="16.5" hidden="1" customHeight="1">
      <c r="A236" s="106">
        <v>43699</v>
      </c>
      <c r="B236" s="110">
        <v>1204</v>
      </c>
    </row>
    <row r="237" spans="1:2" ht="16.5" hidden="1" customHeight="1">
      <c r="A237" s="106">
        <v>43700</v>
      </c>
      <c r="B237" s="110">
        <v>1205.0999999999999</v>
      </c>
    </row>
    <row r="238" spans="1:2" ht="16.5" hidden="1" customHeight="1">
      <c r="A238" s="106">
        <v>43701</v>
      </c>
      <c r="B238" s="110">
        <v>1205.0999999999999</v>
      </c>
    </row>
    <row r="239" spans="1:2" ht="16.5" hidden="1" customHeight="1">
      <c r="A239" s="106">
        <v>43702</v>
      </c>
      <c r="B239" s="110">
        <v>1205.0999999999999</v>
      </c>
    </row>
    <row r="240" spans="1:2" ht="16.5" hidden="1" customHeight="1">
      <c r="A240" s="106">
        <v>43703</v>
      </c>
      <c r="B240" s="110">
        <v>1212.2</v>
      </c>
    </row>
    <row r="241" spans="1:2" ht="16.5" hidden="1" customHeight="1">
      <c r="A241" s="106">
        <v>43704</v>
      </c>
      <c r="B241" s="110">
        <v>1218.2</v>
      </c>
    </row>
    <row r="242" spans="1:2" ht="16.5" hidden="1" customHeight="1">
      <c r="A242" s="106">
        <v>43705</v>
      </c>
      <c r="B242" s="110">
        <v>1213.0999999999999</v>
      </c>
    </row>
    <row r="243" spans="1:2" ht="16.5" hidden="1" customHeight="1">
      <c r="A243" s="106">
        <v>43706</v>
      </c>
      <c r="B243" s="110">
        <v>1213.5</v>
      </c>
    </row>
    <row r="244" spans="1:2" ht="16.5" hidden="1" customHeight="1">
      <c r="A244" s="106">
        <v>43707</v>
      </c>
      <c r="B244" s="110">
        <v>1215.2</v>
      </c>
    </row>
    <row r="245" spans="1:2" ht="16.5" hidden="1" customHeight="1">
      <c r="A245" s="106">
        <v>43708</v>
      </c>
      <c r="B245" s="110">
        <v>1215.2</v>
      </c>
    </row>
    <row r="246" spans="1:2" ht="16.5" hidden="1" customHeight="1">
      <c r="A246" s="106">
        <v>43709</v>
      </c>
      <c r="B246" s="110">
        <v>1215.2</v>
      </c>
    </row>
    <row r="247" spans="1:2" ht="16.5" hidden="1" customHeight="1">
      <c r="A247" s="106">
        <v>43710</v>
      </c>
      <c r="B247" s="110">
        <v>1209.5999999999999</v>
      </c>
    </row>
    <row r="248" spans="1:2" ht="16.5" hidden="1" customHeight="1">
      <c r="A248" s="106">
        <v>43711</v>
      </c>
      <c r="B248" s="110">
        <v>1211.9000000000001</v>
      </c>
    </row>
    <row r="249" spans="1:2" ht="16.5" hidden="1" customHeight="1">
      <c r="A249" s="106">
        <v>43712</v>
      </c>
      <c r="B249" s="110">
        <v>1215.2</v>
      </c>
    </row>
    <row r="250" spans="1:2" ht="16.5" hidden="1" customHeight="1">
      <c r="A250" s="106">
        <v>43713</v>
      </c>
      <c r="B250" s="110">
        <v>1209.7</v>
      </c>
    </row>
    <row r="251" spans="1:2" ht="16.5" hidden="1" customHeight="1">
      <c r="A251" s="106">
        <v>43714</v>
      </c>
      <c r="B251" s="110">
        <v>1199.5999999999999</v>
      </c>
    </row>
    <row r="252" spans="1:2" ht="16.5" hidden="1" customHeight="1">
      <c r="A252" s="106">
        <v>43715</v>
      </c>
      <c r="B252" s="110">
        <v>1199.5999999999999</v>
      </c>
    </row>
    <row r="253" spans="1:2" ht="16.5" hidden="1" customHeight="1">
      <c r="A253" s="106">
        <v>43716</v>
      </c>
      <c r="B253" s="110">
        <v>1199.5999999999999</v>
      </c>
    </row>
    <row r="254" spans="1:2" ht="16.5" hidden="1" customHeight="1">
      <c r="A254" s="106">
        <v>43717</v>
      </c>
      <c r="B254" s="110">
        <v>1196.9000000000001</v>
      </c>
    </row>
    <row r="255" spans="1:2" ht="16.5" hidden="1" customHeight="1">
      <c r="A255" s="106">
        <v>43718</v>
      </c>
      <c r="B255" s="110">
        <v>1192.4000000000001</v>
      </c>
    </row>
    <row r="256" spans="1:2" ht="16.5" hidden="1" customHeight="1">
      <c r="A256" s="106">
        <v>43719</v>
      </c>
      <c r="B256" s="110">
        <v>1191.9000000000001</v>
      </c>
    </row>
    <row r="257" spans="1:2" ht="16.5" hidden="1" customHeight="1">
      <c r="A257" s="106">
        <v>43720</v>
      </c>
      <c r="B257" s="110">
        <v>1191.9000000000001</v>
      </c>
    </row>
    <row r="258" spans="1:2" ht="16.5" hidden="1" customHeight="1">
      <c r="A258" s="106">
        <v>43721</v>
      </c>
      <c r="B258" s="110">
        <v>1191.9000000000001</v>
      </c>
    </row>
    <row r="259" spans="1:2" ht="16.5" hidden="1" customHeight="1">
      <c r="A259" s="106">
        <v>43722</v>
      </c>
      <c r="B259" s="110">
        <v>1191.9000000000001</v>
      </c>
    </row>
    <row r="260" spans="1:2" ht="16.5" hidden="1" customHeight="1">
      <c r="A260" s="106">
        <v>43723</v>
      </c>
      <c r="B260" s="110">
        <v>1191.9000000000001</v>
      </c>
    </row>
    <row r="261" spans="1:2" ht="16.5" hidden="1" customHeight="1">
      <c r="A261" s="106">
        <v>43724</v>
      </c>
      <c r="B261" s="110">
        <v>1191.4000000000001</v>
      </c>
    </row>
    <row r="262" spans="1:2" ht="16.5" hidden="1" customHeight="1">
      <c r="A262" s="106">
        <v>43725</v>
      </c>
      <c r="B262" s="110">
        <v>1184</v>
      </c>
    </row>
    <row r="263" spans="1:2" ht="16.5" hidden="1" customHeight="1">
      <c r="A263" s="106">
        <v>43726</v>
      </c>
      <c r="B263" s="110">
        <v>1188.3</v>
      </c>
    </row>
    <row r="264" spans="1:2" ht="16.5" hidden="1" customHeight="1">
      <c r="A264" s="106">
        <v>43727</v>
      </c>
      <c r="B264" s="110">
        <v>1190.5</v>
      </c>
    </row>
    <row r="265" spans="1:2" ht="16.5" hidden="1" customHeight="1">
      <c r="A265" s="106">
        <v>43728</v>
      </c>
      <c r="B265" s="110">
        <v>1195.0999999999999</v>
      </c>
    </row>
    <row r="266" spans="1:2" ht="16.5" hidden="1" customHeight="1">
      <c r="A266" s="106">
        <v>43729</v>
      </c>
      <c r="B266" s="110">
        <v>1195.0999999999999</v>
      </c>
    </row>
    <row r="267" spans="1:2" ht="16.5" hidden="1" customHeight="1">
      <c r="A267" s="106">
        <v>43730</v>
      </c>
      <c r="B267" s="110">
        <v>1195.0999999999999</v>
      </c>
    </row>
    <row r="268" spans="1:2" ht="16.5" hidden="1" customHeight="1">
      <c r="A268" s="106">
        <v>43731</v>
      </c>
      <c r="B268" s="110">
        <v>1191.0999999999999</v>
      </c>
    </row>
    <row r="269" spans="1:2" ht="16.5" hidden="1" customHeight="1">
      <c r="A269" s="106">
        <v>43732</v>
      </c>
      <c r="B269" s="110">
        <v>1193.0999999999999</v>
      </c>
    </row>
    <row r="270" spans="1:2" ht="16.5" hidden="1" customHeight="1">
      <c r="A270" s="106">
        <v>43733</v>
      </c>
      <c r="B270" s="110">
        <v>1194</v>
      </c>
    </row>
    <row r="271" spans="1:2" ht="16.5" hidden="1" customHeight="1">
      <c r="A271" s="106">
        <v>43734</v>
      </c>
      <c r="B271" s="110">
        <v>1198.3</v>
      </c>
    </row>
    <row r="272" spans="1:2" ht="16.5" hidden="1" customHeight="1">
      <c r="A272" s="106">
        <v>43735</v>
      </c>
      <c r="B272" s="110">
        <v>1199.0999999999999</v>
      </c>
    </row>
    <row r="273" spans="1:2" ht="16.5" hidden="1" customHeight="1">
      <c r="A273" s="106">
        <v>43736</v>
      </c>
      <c r="B273" s="110">
        <v>1199.0999999999999</v>
      </c>
    </row>
    <row r="274" spans="1:2" ht="16.5" hidden="1" customHeight="1">
      <c r="A274" s="106">
        <v>43737</v>
      </c>
      <c r="B274" s="110">
        <v>1199.0999999999999</v>
      </c>
    </row>
    <row r="275" spans="1:2" ht="16.5" hidden="1" customHeight="1">
      <c r="A275" s="106">
        <v>43738</v>
      </c>
      <c r="B275" s="110">
        <v>1201.3</v>
      </c>
    </row>
    <row r="276" spans="1:2" ht="16.5" hidden="1" customHeight="1">
      <c r="A276" s="106">
        <v>43739</v>
      </c>
      <c r="B276" s="110">
        <v>1199.2</v>
      </c>
    </row>
    <row r="277" spans="1:2" ht="16.5" hidden="1" customHeight="1">
      <c r="A277" s="106">
        <v>43740</v>
      </c>
      <c r="B277" s="110">
        <v>1198.2</v>
      </c>
    </row>
    <row r="278" spans="1:2" ht="16.5" hidden="1" customHeight="1">
      <c r="A278" s="106">
        <v>43741</v>
      </c>
      <c r="B278" s="110">
        <v>1198.2</v>
      </c>
    </row>
    <row r="279" spans="1:2" ht="16.5" hidden="1" customHeight="1">
      <c r="A279" s="106">
        <v>43742</v>
      </c>
      <c r="B279" s="110">
        <v>1203.7</v>
      </c>
    </row>
    <row r="280" spans="1:2" ht="16.5" hidden="1" customHeight="1">
      <c r="A280" s="106">
        <v>43743</v>
      </c>
      <c r="B280" s="110">
        <v>1203.7</v>
      </c>
    </row>
    <row r="281" spans="1:2" ht="16.5" hidden="1" customHeight="1">
      <c r="A281" s="106">
        <v>43744</v>
      </c>
      <c r="B281" s="110">
        <v>1203.7</v>
      </c>
    </row>
    <row r="282" spans="1:2" ht="16.5" hidden="1" customHeight="1">
      <c r="A282" s="106">
        <v>43745</v>
      </c>
      <c r="B282" s="110">
        <v>1197</v>
      </c>
    </row>
    <row r="283" spans="1:2" ht="16.5" hidden="1" customHeight="1">
      <c r="A283" s="106">
        <v>43746</v>
      </c>
      <c r="B283" s="110">
        <v>1196.5</v>
      </c>
    </row>
    <row r="284" spans="1:2" ht="16.5" hidden="1" customHeight="1">
      <c r="A284" s="106">
        <v>43747</v>
      </c>
      <c r="B284" s="110">
        <v>1196.5</v>
      </c>
    </row>
    <row r="285" spans="1:2" ht="16.5" hidden="1" customHeight="1">
      <c r="A285" s="106">
        <v>43748</v>
      </c>
      <c r="B285" s="110">
        <v>1194.7</v>
      </c>
    </row>
    <row r="286" spans="1:2" ht="16.5" hidden="1" customHeight="1">
      <c r="A286" s="106">
        <v>43749</v>
      </c>
      <c r="B286" s="110">
        <v>1196.0999999999999</v>
      </c>
    </row>
    <row r="287" spans="1:2" ht="16.5" hidden="1" customHeight="1">
      <c r="A287" s="106">
        <v>43750</v>
      </c>
      <c r="B287" s="110">
        <v>1196.0999999999999</v>
      </c>
    </row>
    <row r="288" spans="1:2" ht="16.5" hidden="1" customHeight="1">
      <c r="A288" s="106">
        <v>43751</v>
      </c>
      <c r="B288" s="110">
        <v>1196.0999999999999</v>
      </c>
    </row>
    <row r="289" spans="1:2" ht="16.5" hidden="1" customHeight="1">
      <c r="A289" s="106">
        <v>43752</v>
      </c>
      <c r="B289" s="110">
        <v>1189.3</v>
      </c>
    </row>
    <row r="290" spans="1:2" ht="16.5" hidden="1" customHeight="1">
      <c r="A290" s="106">
        <v>43753</v>
      </c>
      <c r="B290" s="110">
        <v>1183.7</v>
      </c>
    </row>
    <row r="291" spans="1:2" ht="16.5" hidden="1" customHeight="1">
      <c r="A291" s="106">
        <v>43754</v>
      </c>
      <c r="B291" s="110">
        <v>1184.0999999999999</v>
      </c>
    </row>
    <row r="292" spans="1:2" ht="16.5" hidden="1" customHeight="1">
      <c r="A292" s="106">
        <v>43755</v>
      </c>
      <c r="B292" s="110">
        <v>1187</v>
      </c>
    </row>
    <row r="293" spans="1:2" ht="16.5" hidden="1" customHeight="1">
      <c r="A293" s="106">
        <v>43756</v>
      </c>
      <c r="B293" s="110">
        <v>1186.5999999999999</v>
      </c>
    </row>
    <row r="294" spans="1:2" ht="16.5" hidden="1" customHeight="1">
      <c r="A294" s="106">
        <v>43757</v>
      </c>
      <c r="B294" s="110">
        <v>1186.5999999999999</v>
      </c>
    </row>
    <row r="295" spans="1:2" ht="16.5" hidden="1" customHeight="1">
      <c r="A295" s="106">
        <v>43758</v>
      </c>
      <c r="B295" s="110">
        <v>1186.5999999999999</v>
      </c>
    </row>
    <row r="296" spans="1:2" ht="16.5" hidden="1" customHeight="1">
      <c r="A296" s="106">
        <v>43759</v>
      </c>
      <c r="B296" s="110">
        <v>1180.5</v>
      </c>
    </row>
    <row r="297" spans="1:2" ht="16.5" hidden="1" customHeight="1">
      <c r="A297" s="106">
        <v>43760</v>
      </c>
      <c r="B297" s="110">
        <v>1175.4000000000001</v>
      </c>
    </row>
    <row r="298" spans="1:2" ht="16.5" hidden="1" customHeight="1">
      <c r="A298" s="106">
        <v>43761</v>
      </c>
      <c r="B298" s="110">
        <v>1171.4000000000001</v>
      </c>
    </row>
    <row r="299" spans="1:2" ht="16.5" hidden="1" customHeight="1">
      <c r="A299" s="106">
        <v>43762</v>
      </c>
      <c r="B299" s="110">
        <v>1173.7</v>
      </c>
    </row>
    <row r="300" spans="1:2" ht="16.5" hidden="1" customHeight="1">
      <c r="A300" s="106">
        <v>43763</v>
      </c>
      <c r="B300" s="110">
        <v>1171</v>
      </c>
    </row>
    <row r="301" spans="1:2" ht="16.5" hidden="1" customHeight="1">
      <c r="A301" s="106">
        <v>43764</v>
      </c>
      <c r="B301" s="110">
        <v>1171</v>
      </c>
    </row>
    <row r="302" spans="1:2" ht="16.5" hidden="1" customHeight="1">
      <c r="A302" s="106">
        <v>43765</v>
      </c>
      <c r="B302" s="110">
        <v>1171</v>
      </c>
    </row>
    <row r="303" spans="1:2" ht="16.5" hidden="1" customHeight="1">
      <c r="A303" s="106">
        <v>43766</v>
      </c>
      <c r="B303" s="110">
        <v>1174.2</v>
      </c>
    </row>
    <row r="304" spans="1:2" ht="16.5" hidden="1" customHeight="1">
      <c r="A304" s="106">
        <v>43767</v>
      </c>
      <c r="B304" s="110">
        <v>1169.5999999999999</v>
      </c>
    </row>
    <row r="305" spans="1:2" ht="16.5" hidden="1" customHeight="1">
      <c r="A305" s="106">
        <v>43768</v>
      </c>
      <c r="B305" s="110">
        <v>1166.5</v>
      </c>
    </row>
    <row r="306" spans="1:2" ht="16.5" hidden="1" customHeight="1">
      <c r="A306" s="106">
        <v>43769</v>
      </c>
      <c r="B306" s="110">
        <v>1168.4000000000001</v>
      </c>
    </row>
    <row r="307" spans="1:2" ht="16.5" hidden="1" customHeight="1">
      <c r="A307" s="106">
        <v>43770</v>
      </c>
      <c r="B307" s="110">
        <v>1161.7</v>
      </c>
    </row>
    <row r="308" spans="1:2" ht="16.5" hidden="1" customHeight="1">
      <c r="A308" s="106">
        <v>43771</v>
      </c>
      <c r="B308" s="110">
        <v>1161.7</v>
      </c>
    </row>
    <row r="309" spans="1:2" ht="16.5" hidden="1" customHeight="1">
      <c r="A309" s="106">
        <v>43772</v>
      </c>
      <c r="B309" s="110">
        <v>1161.7</v>
      </c>
    </row>
    <row r="310" spans="1:2" ht="16.5" hidden="1" customHeight="1">
      <c r="A310" s="106">
        <v>43773</v>
      </c>
      <c r="B310" s="110">
        <v>1167.5999999999999</v>
      </c>
    </row>
    <row r="311" spans="1:2" ht="16.5" hidden="1" customHeight="1">
      <c r="A311" s="106">
        <v>43774</v>
      </c>
      <c r="B311" s="110">
        <v>1160.4000000000001</v>
      </c>
    </row>
    <row r="312" spans="1:2" ht="16.5" hidden="1" customHeight="1">
      <c r="A312" s="106">
        <v>43775</v>
      </c>
      <c r="B312" s="110">
        <v>1160.0999999999999</v>
      </c>
    </row>
    <row r="313" spans="1:2" ht="16.5" hidden="1" customHeight="1">
      <c r="A313" s="106">
        <v>43776</v>
      </c>
      <c r="B313" s="110">
        <v>1157.5</v>
      </c>
    </row>
    <row r="314" spans="1:2" ht="16.5" hidden="1" customHeight="1">
      <c r="A314" s="106">
        <v>43777</v>
      </c>
      <c r="B314" s="110">
        <v>1160.5999999999999</v>
      </c>
    </row>
    <row r="315" spans="1:2" ht="16.5" hidden="1" customHeight="1">
      <c r="A315" s="106">
        <v>43778</v>
      </c>
      <c r="B315" s="110">
        <v>1160.5999999999999</v>
      </c>
    </row>
    <row r="316" spans="1:2" ht="16.5" hidden="1" customHeight="1">
      <c r="A316" s="106">
        <v>43779</v>
      </c>
      <c r="B316" s="110">
        <v>1160.5999999999999</v>
      </c>
    </row>
    <row r="317" spans="1:2" ht="16.5" hidden="1" customHeight="1">
      <c r="A317" s="106">
        <v>43780</v>
      </c>
      <c r="B317" s="110">
        <v>1156.0999999999999</v>
      </c>
    </row>
    <row r="318" spans="1:2" ht="16.5" hidden="1" customHeight="1">
      <c r="A318" s="106">
        <v>43781</v>
      </c>
      <c r="B318" s="110">
        <v>1161.3</v>
      </c>
    </row>
    <row r="319" spans="1:2" ht="16.5" hidden="1" customHeight="1">
      <c r="A319" s="106">
        <v>43782</v>
      </c>
      <c r="B319" s="110">
        <v>1163.5</v>
      </c>
    </row>
    <row r="320" spans="1:2" ht="16.5" hidden="1" customHeight="1">
      <c r="A320" s="106">
        <v>43783</v>
      </c>
      <c r="B320" s="110">
        <v>1167.5999999999999</v>
      </c>
    </row>
    <row r="321" spans="1:12" ht="16.5" hidden="1" customHeight="1">
      <c r="A321" s="106">
        <v>43784</v>
      </c>
      <c r="B321" s="110">
        <v>1170.4000000000001</v>
      </c>
    </row>
    <row r="322" spans="1:12" ht="16.5" hidden="1" customHeight="1">
      <c r="A322" s="106">
        <v>43785</v>
      </c>
      <c r="B322" s="110">
        <v>1170.4000000000001</v>
      </c>
    </row>
    <row r="323" spans="1:12" ht="16.5" hidden="1" customHeight="1">
      <c r="A323" s="106">
        <v>43786</v>
      </c>
      <c r="B323" s="110">
        <v>1170.4000000000001</v>
      </c>
    </row>
    <row r="324" spans="1:12" ht="16.5" hidden="1" customHeight="1">
      <c r="A324" s="106">
        <v>43787</v>
      </c>
      <c r="B324" s="110">
        <v>1166.3</v>
      </c>
    </row>
    <row r="325" spans="1:12" ht="16.5" hidden="1" customHeight="1">
      <c r="A325" s="106">
        <v>43788</v>
      </c>
      <c r="B325" s="110">
        <v>1164.5</v>
      </c>
    </row>
    <row r="326" spans="1:12" ht="16.5" hidden="1" customHeight="1">
      <c r="A326" s="106">
        <v>43789</v>
      </c>
      <c r="B326" s="110">
        <v>1168.5999999999999</v>
      </c>
    </row>
    <row r="327" spans="1:12" ht="16.5" hidden="1" customHeight="1">
      <c r="A327" s="106">
        <v>43790</v>
      </c>
      <c r="B327" s="110">
        <v>1170.0999999999999</v>
      </c>
    </row>
    <row r="328" spans="1:12" ht="16.5" hidden="1" customHeight="1">
      <c r="A328" s="106">
        <v>43791</v>
      </c>
      <c r="B328" s="110">
        <v>1176.5</v>
      </c>
    </row>
    <row r="329" spans="1:12" ht="16.5" hidden="1" customHeight="1">
      <c r="A329" s="106">
        <v>43792</v>
      </c>
      <c r="B329" s="110">
        <v>1176.5</v>
      </c>
    </row>
    <row r="330" spans="1:12" ht="16.5" hidden="1" customHeight="1">
      <c r="A330" s="106">
        <v>43793</v>
      </c>
      <c r="B330" s="110">
        <v>1176.5</v>
      </c>
    </row>
    <row r="331" spans="1:12" ht="16.5" hidden="1" customHeight="1">
      <c r="A331" s="106">
        <v>43794</v>
      </c>
      <c r="B331" s="110">
        <v>1177.8</v>
      </c>
    </row>
    <row r="332" spans="1:12" ht="16.5" hidden="1" customHeight="1">
      <c r="A332" s="106">
        <v>43795</v>
      </c>
      <c r="B332" s="110">
        <v>1176.2</v>
      </c>
    </row>
    <row r="333" spans="1:12" ht="16.5" hidden="1" customHeight="1">
      <c r="A333" s="106">
        <v>43796</v>
      </c>
      <c r="B333" s="110">
        <v>1174.4000000000001</v>
      </c>
    </row>
    <row r="334" spans="1:12" ht="16.5" hidden="1" customHeight="1">
      <c r="A334" s="106">
        <v>43797</v>
      </c>
      <c r="B334" s="110">
        <v>1176</v>
      </c>
      <c r="F334" s="111"/>
      <c r="H334" s="108"/>
      <c r="J334" s="363"/>
      <c r="L334" s="112"/>
    </row>
    <row r="335" spans="1:12" ht="16.5" hidden="1" customHeight="1">
      <c r="A335" s="106">
        <v>43798</v>
      </c>
      <c r="B335" s="110">
        <v>1179.3</v>
      </c>
      <c r="F335" s="111"/>
      <c r="H335" s="108"/>
      <c r="J335" s="363"/>
      <c r="L335" s="108"/>
    </row>
    <row r="336" spans="1:12" ht="16.5" hidden="1" customHeight="1">
      <c r="A336" s="106">
        <v>43799</v>
      </c>
      <c r="B336" s="110">
        <v>1179.3</v>
      </c>
      <c r="F336" s="113"/>
      <c r="H336" s="112"/>
      <c r="L336" s="108"/>
    </row>
    <row r="337" spans="1:13" ht="16.5" hidden="1" customHeight="1">
      <c r="A337" s="106">
        <v>43800</v>
      </c>
      <c r="B337" s="110">
        <v>1179.3</v>
      </c>
      <c r="F337" s="113"/>
      <c r="H337" s="112"/>
      <c r="L337" s="108"/>
      <c r="M337" s="108"/>
    </row>
    <row r="338" spans="1:13" ht="16.5" hidden="1" customHeight="1">
      <c r="A338" s="106">
        <v>43801</v>
      </c>
      <c r="B338" s="110">
        <v>1180.3</v>
      </c>
      <c r="F338" s="113"/>
      <c r="H338" s="112"/>
      <c r="L338" s="108"/>
      <c r="M338" s="108"/>
    </row>
    <row r="339" spans="1:13" ht="16.5" hidden="1" customHeight="1">
      <c r="A339" s="106">
        <v>43802</v>
      </c>
      <c r="B339" s="110">
        <v>1180.4000000000001</v>
      </c>
      <c r="F339" s="113"/>
      <c r="H339" s="112"/>
      <c r="L339" s="108"/>
      <c r="M339" s="108"/>
    </row>
    <row r="340" spans="1:13" ht="16.5" hidden="1" customHeight="1">
      <c r="A340" s="106">
        <v>43803</v>
      </c>
      <c r="B340" s="110">
        <v>1186.2</v>
      </c>
      <c r="F340" s="113"/>
      <c r="H340" s="112"/>
      <c r="L340" s="108"/>
      <c r="M340" s="108"/>
    </row>
    <row r="341" spans="1:13" ht="16.5" hidden="1" customHeight="1">
      <c r="A341" s="106">
        <v>43804</v>
      </c>
      <c r="B341" s="110">
        <v>1193.7</v>
      </c>
    </row>
    <row r="342" spans="1:13" ht="16.5" hidden="1" customHeight="1">
      <c r="A342" s="106">
        <v>43805</v>
      </c>
      <c r="B342" s="110">
        <v>1190.2</v>
      </c>
    </row>
    <row r="343" spans="1:13" ht="16.5" hidden="1" customHeight="1">
      <c r="A343" s="106">
        <v>43806</v>
      </c>
      <c r="B343" s="110">
        <v>1190.2</v>
      </c>
      <c r="F343" s="113"/>
      <c r="H343" s="112"/>
    </row>
    <row r="344" spans="1:13" ht="16.5" hidden="1" customHeight="1">
      <c r="A344" s="106">
        <v>43807</v>
      </c>
      <c r="B344" s="110">
        <v>1190.2</v>
      </c>
      <c r="F344" s="111"/>
      <c r="H344" s="108"/>
    </row>
    <row r="345" spans="1:13" ht="16.5" hidden="1" customHeight="1">
      <c r="A345" s="106">
        <v>43808</v>
      </c>
      <c r="B345" s="110">
        <v>1189.7</v>
      </c>
      <c r="F345" s="111"/>
      <c r="H345" s="108"/>
    </row>
    <row r="346" spans="1:13" ht="16.5" hidden="1" customHeight="1">
      <c r="A346" s="106">
        <v>43809</v>
      </c>
      <c r="B346" s="110">
        <v>1189.3</v>
      </c>
    </row>
    <row r="347" spans="1:13" ht="16.5" hidden="1" customHeight="1">
      <c r="A347" s="106">
        <v>43810</v>
      </c>
      <c r="B347" s="110">
        <v>1192</v>
      </c>
    </row>
    <row r="348" spans="1:13" ht="16.5" hidden="1" customHeight="1">
      <c r="A348" s="106">
        <v>43811</v>
      </c>
      <c r="B348" s="110">
        <v>1193.3</v>
      </c>
    </row>
    <row r="349" spans="1:13" ht="16.5" hidden="1" customHeight="1">
      <c r="A349" s="106">
        <v>43812</v>
      </c>
      <c r="B349" s="110">
        <v>1188.5999999999999</v>
      </c>
    </row>
    <row r="350" spans="1:13" ht="16.5" hidden="1" customHeight="1">
      <c r="A350" s="106">
        <v>43813</v>
      </c>
      <c r="B350" s="110">
        <v>1188.5999999999999</v>
      </c>
    </row>
    <row r="351" spans="1:13" ht="16.5" hidden="1" customHeight="1">
      <c r="A351" s="106">
        <v>43814</v>
      </c>
      <c r="B351" s="110">
        <v>1188.5999999999999</v>
      </c>
    </row>
    <row r="352" spans="1:13" ht="16.5" hidden="1" customHeight="1">
      <c r="A352" s="106">
        <v>43815</v>
      </c>
      <c r="B352" s="110">
        <v>1171.7</v>
      </c>
    </row>
    <row r="353" spans="1:2" ht="16.5" hidden="1" customHeight="1">
      <c r="A353" s="106">
        <v>43816</v>
      </c>
      <c r="B353" s="110">
        <v>1172.9000000000001</v>
      </c>
    </row>
    <row r="354" spans="1:2" ht="16.5" hidden="1" customHeight="1">
      <c r="A354" s="106">
        <v>43817</v>
      </c>
      <c r="B354" s="110">
        <v>1166.7</v>
      </c>
    </row>
    <row r="355" spans="1:2" ht="16.5" hidden="1" customHeight="1">
      <c r="A355" s="106">
        <v>43818</v>
      </c>
      <c r="B355" s="110">
        <v>1165.3</v>
      </c>
    </row>
    <row r="356" spans="1:2" ht="16.5" hidden="1" customHeight="1">
      <c r="A356" s="106">
        <v>43819</v>
      </c>
      <c r="B356" s="110">
        <v>1164.5</v>
      </c>
    </row>
    <row r="357" spans="1:2" ht="16.5" hidden="1" customHeight="1">
      <c r="A357" s="106">
        <v>43820</v>
      </c>
      <c r="B357" s="110">
        <v>1164.5</v>
      </c>
    </row>
    <row r="358" spans="1:2" ht="16.5" hidden="1" customHeight="1">
      <c r="A358" s="106">
        <v>43821</v>
      </c>
      <c r="B358" s="110">
        <v>1164.5</v>
      </c>
    </row>
    <row r="359" spans="1:2" ht="16.5" hidden="1" customHeight="1">
      <c r="A359" s="106">
        <v>43822</v>
      </c>
      <c r="B359" s="110">
        <v>1162.5999999999999</v>
      </c>
    </row>
    <row r="360" spans="1:2" ht="16.5" hidden="1" customHeight="1">
      <c r="A360" s="106">
        <v>43823</v>
      </c>
      <c r="B360" s="110">
        <v>1161.7</v>
      </c>
    </row>
    <row r="361" spans="1:2" ht="16.5" hidden="1" customHeight="1">
      <c r="A361" s="106">
        <v>43824</v>
      </c>
      <c r="B361" s="110">
        <v>1161.7</v>
      </c>
    </row>
    <row r="362" spans="1:2" ht="16.5" hidden="1" customHeight="1">
      <c r="A362" s="106">
        <v>43825</v>
      </c>
      <c r="B362" s="110">
        <v>1163.7</v>
      </c>
    </row>
    <row r="363" spans="1:2" ht="16.5" hidden="1" customHeight="1">
      <c r="A363" s="106">
        <v>43826</v>
      </c>
      <c r="B363" s="110">
        <v>1161.2</v>
      </c>
    </row>
    <row r="364" spans="1:2" ht="16.5" hidden="1" customHeight="1">
      <c r="A364" s="106">
        <v>43827</v>
      </c>
      <c r="B364" s="110">
        <v>1161.2</v>
      </c>
    </row>
    <row r="365" spans="1:2" ht="16.5" hidden="1" customHeight="1">
      <c r="A365" s="106">
        <v>43828</v>
      </c>
      <c r="B365" s="110">
        <v>1161.2</v>
      </c>
    </row>
    <row r="366" spans="1:2" ht="16.5" hidden="1" customHeight="1">
      <c r="A366" s="106">
        <v>43829</v>
      </c>
      <c r="B366" s="110">
        <v>1160.9000000000001</v>
      </c>
    </row>
    <row r="367" spans="1:2" ht="16.5" hidden="1" customHeight="1">
      <c r="A367" s="106">
        <v>43830</v>
      </c>
      <c r="B367" s="110">
        <v>1157.8</v>
      </c>
    </row>
    <row r="368" spans="1:2" ht="16.5" hidden="1" customHeight="1">
      <c r="A368" s="106">
        <v>43831</v>
      </c>
      <c r="B368" s="110">
        <v>1157.8</v>
      </c>
    </row>
    <row r="369" spans="1:5" ht="16.5" hidden="1" customHeight="1">
      <c r="A369" s="106">
        <v>43832</v>
      </c>
      <c r="B369" s="110">
        <v>1157.8</v>
      </c>
    </row>
    <row r="370" spans="1:5" ht="16.5" hidden="1" customHeight="1">
      <c r="A370" s="106">
        <v>43833</v>
      </c>
      <c r="B370" s="110">
        <v>1156.9000000000001</v>
      </c>
      <c r="E370" s="109"/>
    </row>
    <row r="371" spans="1:5" ht="16.5" hidden="1" customHeight="1">
      <c r="A371" s="106">
        <v>43834</v>
      </c>
      <c r="B371" s="110">
        <v>1156.9000000000001</v>
      </c>
      <c r="E371" s="109"/>
    </row>
    <row r="372" spans="1:5" ht="16.5" hidden="1" customHeight="1">
      <c r="A372" s="106">
        <v>43835</v>
      </c>
      <c r="B372" s="110">
        <v>1156.9000000000001</v>
      </c>
      <c r="E372" s="109"/>
    </row>
    <row r="373" spans="1:5" ht="16.5" hidden="1" customHeight="1">
      <c r="A373" s="106">
        <v>43836</v>
      </c>
      <c r="B373" s="110">
        <v>1162.7</v>
      </c>
      <c r="E373" s="109"/>
    </row>
    <row r="374" spans="1:5" ht="16.5" hidden="1" customHeight="1">
      <c r="A374" s="106">
        <v>43837</v>
      </c>
      <c r="B374" s="110">
        <v>1169.5999999999999</v>
      </c>
      <c r="E374" s="109"/>
    </row>
    <row r="375" spans="1:5" ht="16.5" hidden="1" customHeight="1">
      <c r="A375" s="106">
        <v>43838</v>
      </c>
      <c r="B375" s="110">
        <v>1165.3</v>
      </c>
      <c r="E375" s="109"/>
    </row>
    <row r="376" spans="1:5" ht="16.5" hidden="1" customHeight="1">
      <c r="A376" s="106">
        <v>43839</v>
      </c>
      <c r="B376" s="110">
        <v>1174.0999999999999</v>
      </c>
      <c r="E376" s="109"/>
    </row>
    <row r="377" spans="1:5" ht="16.5" hidden="1" customHeight="1">
      <c r="A377" s="106">
        <v>43840</v>
      </c>
      <c r="B377" s="110">
        <v>1160</v>
      </c>
    </row>
    <row r="378" spans="1:5" ht="16.5" hidden="1" customHeight="1">
      <c r="A378" s="106">
        <v>43841</v>
      </c>
      <c r="B378" s="110">
        <v>1160</v>
      </c>
    </row>
    <row r="379" spans="1:5" ht="16.5" hidden="1" customHeight="1">
      <c r="A379" s="106">
        <v>43842</v>
      </c>
      <c r="B379" s="110">
        <v>1160</v>
      </c>
    </row>
    <row r="380" spans="1:5" ht="16.5" hidden="1" customHeight="1">
      <c r="A380" s="106">
        <v>43843</v>
      </c>
      <c r="B380" s="110">
        <v>1161.0999999999999</v>
      </c>
    </row>
    <row r="381" spans="1:5" ht="16.5" hidden="1" customHeight="1">
      <c r="A381" s="106">
        <v>43844</v>
      </c>
      <c r="B381" s="110">
        <v>1155.7</v>
      </c>
    </row>
    <row r="382" spans="1:5" ht="16.5" hidden="1" customHeight="1">
      <c r="A382" s="106">
        <v>43845</v>
      </c>
      <c r="B382" s="110">
        <v>1153.0999999999999</v>
      </c>
    </row>
    <row r="383" spans="1:5" ht="16.5" hidden="1" customHeight="1">
      <c r="A383" s="106">
        <v>43846</v>
      </c>
      <c r="B383" s="110">
        <v>1158.8</v>
      </c>
    </row>
    <row r="384" spans="1:5" ht="16.5" hidden="1" customHeight="1">
      <c r="A384" s="106">
        <v>43847</v>
      </c>
      <c r="B384" s="110">
        <v>1159.5999999999999</v>
      </c>
    </row>
    <row r="385" spans="1:2" ht="16.5" hidden="1" customHeight="1">
      <c r="A385" s="106">
        <v>43848</v>
      </c>
      <c r="B385" s="110">
        <v>1159.5999999999999</v>
      </c>
    </row>
    <row r="386" spans="1:2" ht="16.5" hidden="1" customHeight="1">
      <c r="A386" s="106">
        <v>43849</v>
      </c>
      <c r="B386" s="110">
        <v>1159.5999999999999</v>
      </c>
    </row>
    <row r="387" spans="1:2" ht="16.5" hidden="1" customHeight="1">
      <c r="A387" s="106">
        <v>43850</v>
      </c>
      <c r="B387" s="110">
        <v>1158.8</v>
      </c>
    </row>
    <row r="388" spans="1:2" ht="16.5" hidden="1" customHeight="1">
      <c r="A388" s="106">
        <v>43851</v>
      </c>
      <c r="B388" s="110">
        <v>1158.8</v>
      </c>
    </row>
    <row r="389" spans="1:2" ht="16.5" hidden="1" customHeight="1">
      <c r="A389" s="106">
        <v>43852</v>
      </c>
      <c r="B389" s="110">
        <v>1164.7</v>
      </c>
    </row>
    <row r="390" spans="1:2" ht="16.5" hidden="1" customHeight="1">
      <c r="A390" s="106">
        <v>43853</v>
      </c>
      <c r="B390" s="110">
        <v>1165.0999999999999</v>
      </c>
    </row>
    <row r="391" spans="1:2" ht="16.5" hidden="1" customHeight="1">
      <c r="A391" s="106">
        <v>43854</v>
      </c>
      <c r="B391" s="110">
        <v>1165.0999999999999</v>
      </c>
    </row>
    <row r="392" spans="1:2" ht="16.5" hidden="1" customHeight="1">
      <c r="A392" s="106">
        <v>43855</v>
      </c>
      <c r="B392" s="110">
        <v>1165.0999999999999</v>
      </c>
    </row>
    <row r="393" spans="1:2" ht="16.5" hidden="1" customHeight="1">
      <c r="A393" s="106">
        <v>43856</v>
      </c>
      <c r="B393" s="110">
        <v>1165.0999999999999</v>
      </c>
    </row>
    <row r="394" spans="1:2" ht="16.5" hidden="1" customHeight="1">
      <c r="A394" s="106">
        <v>43857</v>
      </c>
      <c r="B394" s="110">
        <v>1165.0999999999999</v>
      </c>
    </row>
    <row r="395" spans="1:2" ht="16.5" hidden="1" customHeight="1">
      <c r="A395" s="106">
        <v>43858</v>
      </c>
      <c r="B395" s="110">
        <v>1167.2</v>
      </c>
    </row>
    <row r="396" spans="1:2" ht="16.5" hidden="1" customHeight="1">
      <c r="A396" s="106">
        <v>43859</v>
      </c>
      <c r="B396" s="110">
        <v>1176.7</v>
      </c>
    </row>
    <row r="397" spans="1:2" ht="16.5" hidden="1" customHeight="1">
      <c r="A397" s="106">
        <v>43860</v>
      </c>
      <c r="B397" s="110">
        <v>1176</v>
      </c>
    </row>
    <row r="398" spans="1:2" ht="16.5" hidden="1" customHeight="1">
      <c r="A398" s="106">
        <v>43861</v>
      </c>
      <c r="B398" s="110">
        <v>1183.5</v>
      </c>
    </row>
    <row r="399" spans="1:2" ht="16.5" hidden="1" customHeight="1">
      <c r="A399" s="106">
        <v>43862</v>
      </c>
      <c r="B399" s="110">
        <v>1183.5</v>
      </c>
    </row>
    <row r="400" spans="1:2" ht="16.5" hidden="1" customHeight="1">
      <c r="A400" s="106">
        <v>43863</v>
      </c>
      <c r="B400" s="110">
        <v>1183.5</v>
      </c>
    </row>
    <row r="401" spans="1:2" ht="16.5" hidden="1" customHeight="1">
      <c r="A401" s="106">
        <v>43864</v>
      </c>
      <c r="B401" s="110">
        <v>1187.8</v>
      </c>
    </row>
    <row r="402" spans="1:2" ht="16.5" hidden="1" customHeight="1">
      <c r="A402" s="106">
        <v>43865</v>
      </c>
      <c r="B402" s="110">
        <v>1196</v>
      </c>
    </row>
    <row r="403" spans="1:2" ht="16.5" hidden="1" customHeight="1">
      <c r="A403" s="106">
        <v>43866</v>
      </c>
      <c r="B403" s="110">
        <v>1189.4000000000001</v>
      </c>
    </row>
    <row r="404" spans="1:2" ht="16.5" hidden="1" customHeight="1">
      <c r="A404" s="106">
        <v>43867</v>
      </c>
      <c r="B404" s="110">
        <v>1188.5</v>
      </c>
    </row>
    <row r="405" spans="1:2" ht="16.5" hidden="1" customHeight="1">
      <c r="A405" s="106">
        <v>43868</v>
      </c>
      <c r="B405" s="110">
        <v>1181.4000000000001</v>
      </c>
    </row>
    <row r="406" spans="1:2" ht="16.5" hidden="1" customHeight="1">
      <c r="A406" s="106">
        <v>43869</v>
      </c>
      <c r="B406" s="110">
        <v>1181.4000000000001</v>
      </c>
    </row>
    <row r="407" spans="1:2" ht="16.5" hidden="1" customHeight="1">
      <c r="A407" s="106">
        <v>43870</v>
      </c>
      <c r="B407" s="110">
        <v>1181.4000000000001</v>
      </c>
    </row>
    <row r="408" spans="1:2" ht="16.5" hidden="1" customHeight="1">
      <c r="A408" s="106">
        <v>43871</v>
      </c>
      <c r="B408" s="110">
        <v>1187.2</v>
      </c>
    </row>
    <row r="409" spans="1:2" ht="16.5" hidden="1" customHeight="1">
      <c r="A409" s="106">
        <v>43872</v>
      </c>
      <c r="B409" s="110">
        <v>1189.8</v>
      </c>
    </row>
    <row r="410" spans="1:2" ht="16.5" hidden="1" customHeight="1">
      <c r="A410" s="106">
        <v>43873</v>
      </c>
      <c r="B410" s="110">
        <v>1184.0999999999999</v>
      </c>
    </row>
    <row r="411" spans="1:2" ht="16.5" hidden="1" customHeight="1">
      <c r="A411" s="106">
        <v>43874</v>
      </c>
      <c r="B411" s="110">
        <v>1179.8</v>
      </c>
    </row>
    <row r="412" spans="1:2" ht="16.5" hidden="1" customHeight="1">
      <c r="A412" s="106">
        <v>43875</v>
      </c>
      <c r="B412" s="110">
        <v>1181.5</v>
      </c>
    </row>
    <row r="413" spans="1:2" ht="16.5" hidden="1" customHeight="1">
      <c r="A413" s="106">
        <v>43876</v>
      </c>
      <c r="B413" s="110">
        <v>1181.5</v>
      </c>
    </row>
    <row r="414" spans="1:2" ht="16.5" hidden="1" customHeight="1">
      <c r="A414" s="106">
        <v>43877</v>
      </c>
      <c r="B414" s="110">
        <v>1181.5</v>
      </c>
    </row>
    <row r="415" spans="1:2" ht="16.5" hidden="1" customHeight="1">
      <c r="A415" s="106">
        <v>43878</v>
      </c>
      <c r="B415" s="110">
        <v>1183.5</v>
      </c>
    </row>
    <row r="416" spans="1:2" ht="16.5" hidden="1" customHeight="1">
      <c r="A416" s="106">
        <v>43879</v>
      </c>
      <c r="B416" s="110">
        <v>1182.2</v>
      </c>
    </row>
    <row r="417" spans="1:2" ht="16.5" hidden="1" customHeight="1">
      <c r="A417" s="106">
        <v>43880</v>
      </c>
      <c r="B417" s="110">
        <v>1188.0999999999999</v>
      </c>
    </row>
    <row r="418" spans="1:2" ht="16.5" hidden="1" customHeight="1">
      <c r="A418" s="106">
        <v>43881</v>
      </c>
      <c r="B418" s="110">
        <v>1190.8</v>
      </c>
    </row>
    <row r="419" spans="1:2" ht="16.5" hidden="1" customHeight="1">
      <c r="A419" s="106">
        <v>43882</v>
      </c>
      <c r="B419" s="110">
        <v>1197</v>
      </c>
    </row>
    <row r="420" spans="1:2" ht="16.5" hidden="1" customHeight="1">
      <c r="A420" s="106">
        <v>43883</v>
      </c>
      <c r="B420" s="110">
        <v>1197</v>
      </c>
    </row>
    <row r="421" spans="1:2" ht="16.5" hidden="1" customHeight="1">
      <c r="A421" s="106">
        <v>43884</v>
      </c>
      <c r="B421" s="110">
        <v>1197</v>
      </c>
    </row>
    <row r="422" spans="1:2" ht="16.5" hidden="1" customHeight="1">
      <c r="A422" s="106">
        <v>43885</v>
      </c>
      <c r="B422" s="110">
        <v>1205.5999999999999</v>
      </c>
    </row>
    <row r="423" spans="1:2" ht="16.5" hidden="1" customHeight="1">
      <c r="A423" s="106">
        <v>43886</v>
      </c>
      <c r="B423" s="110">
        <v>1217.7</v>
      </c>
    </row>
    <row r="424" spans="1:2" ht="16.5" hidden="1" customHeight="1">
      <c r="A424" s="106">
        <v>43887</v>
      </c>
      <c r="B424" s="110">
        <v>1212.7</v>
      </c>
    </row>
    <row r="425" spans="1:2" ht="16.5" hidden="1" customHeight="1">
      <c r="A425" s="106">
        <v>43888</v>
      </c>
      <c r="B425" s="110">
        <v>1216.8</v>
      </c>
    </row>
    <row r="426" spans="1:2" ht="16.5" hidden="1" customHeight="1">
      <c r="A426" s="106">
        <v>43889</v>
      </c>
      <c r="B426" s="110">
        <v>1215.9000000000001</v>
      </c>
    </row>
    <row r="427" spans="1:2" ht="16.5" hidden="1" customHeight="1">
      <c r="A427" s="106">
        <v>43890</v>
      </c>
      <c r="B427" s="110">
        <v>1215.9000000000001</v>
      </c>
    </row>
    <row r="428" spans="1:2" ht="16.5" hidden="1" customHeight="1">
      <c r="A428" s="106">
        <v>43891</v>
      </c>
      <c r="B428" s="110">
        <v>1215.9000000000001</v>
      </c>
    </row>
    <row r="429" spans="1:2" ht="16.5" hidden="1" customHeight="1">
      <c r="A429" s="106">
        <v>43892</v>
      </c>
      <c r="B429" s="110">
        <v>1215.3</v>
      </c>
    </row>
    <row r="430" spans="1:2" ht="16.5" hidden="1" customHeight="1">
      <c r="A430" s="106">
        <v>43893</v>
      </c>
      <c r="B430" s="110">
        <v>1200.3</v>
      </c>
    </row>
    <row r="431" spans="1:2" ht="16.5" hidden="1" customHeight="1">
      <c r="A431" s="106">
        <v>43894</v>
      </c>
      <c r="B431" s="110">
        <v>1191.4000000000001</v>
      </c>
    </row>
    <row r="432" spans="1:2" ht="16.5" hidden="1" customHeight="1">
      <c r="A432" s="106">
        <v>43895</v>
      </c>
      <c r="B432" s="110">
        <v>1186.4000000000001</v>
      </c>
    </row>
    <row r="433" spans="1:2" ht="16.5" hidden="1" customHeight="1">
      <c r="A433" s="106">
        <v>43896</v>
      </c>
      <c r="B433" s="110">
        <v>1185</v>
      </c>
    </row>
    <row r="434" spans="1:2" ht="16.5" hidden="1" customHeight="1">
      <c r="A434" s="106">
        <v>43897</v>
      </c>
      <c r="B434" s="110">
        <v>1185</v>
      </c>
    </row>
    <row r="435" spans="1:2" ht="16.5" hidden="1" customHeight="1">
      <c r="A435" s="106">
        <v>43898</v>
      </c>
      <c r="B435" s="110">
        <v>1185</v>
      </c>
    </row>
    <row r="436" spans="1:2" ht="16.5" hidden="1" customHeight="1">
      <c r="A436" s="106">
        <v>43899</v>
      </c>
      <c r="B436" s="110">
        <v>1191.4000000000001</v>
      </c>
    </row>
    <row r="437" spans="1:2" ht="16.5" hidden="1" customHeight="1">
      <c r="A437" s="106">
        <v>43900</v>
      </c>
      <c r="B437" s="110">
        <v>1201.4000000000001</v>
      </c>
    </row>
    <row r="438" spans="1:2" ht="16.5" hidden="1" customHeight="1">
      <c r="A438" s="106">
        <v>43901</v>
      </c>
      <c r="B438" s="110">
        <v>1196.7</v>
      </c>
    </row>
    <row r="439" spans="1:2" ht="16.5" hidden="1" customHeight="1">
      <c r="A439" s="106">
        <v>43902</v>
      </c>
      <c r="B439" s="110">
        <v>1192.8</v>
      </c>
    </row>
    <row r="440" spans="1:2" ht="16.5" hidden="1" customHeight="1">
      <c r="A440" s="106">
        <v>43903</v>
      </c>
      <c r="B440" s="110">
        <v>1202</v>
      </c>
    </row>
    <row r="441" spans="1:2" ht="16.5" hidden="1" customHeight="1">
      <c r="A441" s="106">
        <v>43904</v>
      </c>
      <c r="B441" s="110">
        <v>1202</v>
      </c>
    </row>
    <row r="442" spans="1:2" ht="16.5" hidden="1" customHeight="1">
      <c r="A442" s="106">
        <v>43905</v>
      </c>
      <c r="B442" s="110">
        <v>1202</v>
      </c>
    </row>
    <row r="443" spans="1:2" ht="16.5" hidden="1" customHeight="1">
      <c r="A443" s="106">
        <v>43906</v>
      </c>
      <c r="B443" s="110">
        <v>1222.2</v>
      </c>
    </row>
    <row r="444" spans="1:2" ht="16.5" hidden="1" customHeight="1">
      <c r="A444" s="106">
        <v>43907</v>
      </c>
      <c r="B444" s="110">
        <v>1219.5999999999999</v>
      </c>
    </row>
    <row r="445" spans="1:2" ht="16.5" hidden="1" customHeight="1">
      <c r="A445" s="106">
        <v>43908</v>
      </c>
      <c r="B445" s="110">
        <v>1241.2</v>
      </c>
    </row>
    <row r="446" spans="1:2" ht="16.5" hidden="1" customHeight="1">
      <c r="A446" s="106">
        <v>43909</v>
      </c>
      <c r="B446" s="110">
        <v>1237.8</v>
      </c>
    </row>
    <row r="447" spans="1:2" ht="16.5" hidden="1" customHeight="1">
      <c r="A447" s="106">
        <v>43910</v>
      </c>
      <c r="B447" s="110">
        <v>1280.0999999999999</v>
      </c>
    </row>
    <row r="448" spans="1:2" ht="16.5" hidden="1" customHeight="1">
      <c r="A448" s="106">
        <v>43911</v>
      </c>
      <c r="B448" s="110">
        <v>1280.0999999999999</v>
      </c>
    </row>
    <row r="449" spans="1:2" ht="16.5" hidden="1" customHeight="1">
      <c r="A449" s="106">
        <v>43912</v>
      </c>
      <c r="B449" s="110">
        <v>1280.0999999999999</v>
      </c>
    </row>
    <row r="450" spans="1:2" ht="16.5" hidden="1" customHeight="1">
      <c r="A450" s="106">
        <v>43913</v>
      </c>
      <c r="B450" s="110">
        <v>1254.0999999999999</v>
      </c>
    </row>
    <row r="451" spans="1:2" ht="16.5" hidden="1" customHeight="1">
      <c r="A451" s="106">
        <v>43914</v>
      </c>
      <c r="B451" s="110">
        <v>1274.5999999999999</v>
      </c>
    </row>
    <row r="452" spans="1:2" ht="16.5" hidden="1" customHeight="1">
      <c r="A452" s="106">
        <v>43915</v>
      </c>
      <c r="B452" s="110">
        <v>1256</v>
      </c>
    </row>
    <row r="453" spans="1:2" ht="16.5" hidden="1" customHeight="1">
      <c r="A453" s="106">
        <v>43916</v>
      </c>
      <c r="B453" s="110">
        <v>1230.7</v>
      </c>
    </row>
    <row r="454" spans="1:2" ht="16.5" hidden="1" customHeight="1">
      <c r="A454" s="106">
        <v>43917</v>
      </c>
      <c r="B454" s="110">
        <v>1227.9000000000001</v>
      </c>
    </row>
    <row r="455" spans="1:2" ht="16.5" hidden="1" customHeight="1">
      <c r="A455" s="106">
        <v>43918</v>
      </c>
      <c r="B455" s="110">
        <v>1227.9000000000001</v>
      </c>
    </row>
    <row r="456" spans="1:2" ht="16.5" hidden="1" customHeight="1">
      <c r="A456" s="106">
        <v>43919</v>
      </c>
      <c r="B456" s="110">
        <v>1227.9000000000001</v>
      </c>
    </row>
    <row r="457" spans="1:2" ht="16.5" hidden="1" customHeight="1">
      <c r="A457" s="106">
        <v>43920</v>
      </c>
      <c r="B457" s="110">
        <v>1212.4000000000001</v>
      </c>
    </row>
    <row r="458" spans="1:2" ht="16.5" hidden="1" customHeight="1">
      <c r="A458" s="106">
        <v>43921</v>
      </c>
      <c r="B458" s="110">
        <v>1222.5999999999999</v>
      </c>
    </row>
    <row r="459" spans="1:2" ht="16.5" hidden="1" customHeight="1">
      <c r="A459" s="106">
        <v>43922</v>
      </c>
      <c r="B459" s="110">
        <v>1220</v>
      </c>
    </row>
    <row r="460" spans="1:2" ht="16.5" hidden="1" customHeight="1">
      <c r="A460" s="106">
        <v>43923</v>
      </c>
      <c r="B460" s="110">
        <v>1222.2</v>
      </c>
    </row>
    <row r="461" spans="1:2" ht="16.5" hidden="1" customHeight="1">
      <c r="A461" s="106">
        <v>43924</v>
      </c>
      <c r="B461" s="110">
        <v>1237.5999999999999</v>
      </c>
    </row>
    <row r="462" spans="1:2" ht="16.5" hidden="1" customHeight="1">
      <c r="A462" s="106">
        <v>43925</v>
      </c>
      <c r="B462" s="110">
        <v>1237.5999999999999</v>
      </c>
    </row>
    <row r="463" spans="1:2" ht="16.5" hidden="1" customHeight="1">
      <c r="A463" s="106">
        <v>43926</v>
      </c>
      <c r="B463" s="110">
        <v>1237.5999999999999</v>
      </c>
    </row>
    <row r="464" spans="1:2" ht="16.5" hidden="1" customHeight="1">
      <c r="A464" s="106">
        <v>43927</v>
      </c>
      <c r="B464" s="110">
        <v>1229.8</v>
      </c>
    </row>
    <row r="465" spans="1:2" ht="16.5" hidden="1" customHeight="1">
      <c r="A465" s="106">
        <v>43928</v>
      </c>
      <c r="B465" s="110">
        <v>1233.4000000000001</v>
      </c>
    </row>
    <row r="466" spans="1:2" ht="16.5" hidden="1" customHeight="1">
      <c r="A466" s="106">
        <v>43929</v>
      </c>
      <c r="B466" s="110">
        <v>1222.4000000000001</v>
      </c>
    </row>
    <row r="467" spans="1:2" ht="16.5" hidden="1" customHeight="1">
      <c r="A467" s="106">
        <v>43930</v>
      </c>
      <c r="B467" s="110">
        <v>1219.7</v>
      </c>
    </row>
    <row r="468" spans="1:2" ht="16.5" hidden="1" customHeight="1">
      <c r="A468" s="106">
        <v>43931</v>
      </c>
      <c r="B468" s="110">
        <v>1216.4000000000001</v>
      </c>
    </row>
    <row r="469" spans="1:2" ht="16.5" hidden="1" customHeight="1">
      <c r="A469" s="106">
        <v>43932</v>
      </c>
      <c r="B469" s="110">
        <v>1216.4000000000001</v>
      </c>
    </row>
    <row r="470" spans="1:2" ht="16.5" hidden="1" customHeight="1">
      <c r="A470" s="106">
        <v>43933</v>
      </c>
      <c r="B470" s="110">
        <v>1216.4000000000001</v>
      </c>
    </row>
    <row r="471" spans="1:2" ht="16.5" hidden="1" customHeight="1">
      <c r="A471" s="106">
        <v>43934</v>
      </c>
      <c r="B471" s="110">
        <v>1212.3</v>
      </c>
    </row>
    <row r="472" spans="1:2" ht="16.5" hidden="1" customHeight="1">
      <c r="A472" s="106">
        <v>43935</v>
      </c>
      <c r="B472" s="110">
        <v>1218.7</v>
      </c>
    </row>
    <row r="473" spans="1:2" ht="16.5" hidden="1" customHeight="1">
      <c r="A473" s="106">
        <v>43936</v>
      </c>
      <c r="B473" s="110">
        <v>1218.7</v>
      </c>
    </row>
    <row r="474" spans="1:2" ht="16.5" hidden="1" customHeight="1">
      <c r="A474" s="106">
        <v>43937</v>
      </c>
      <c r="B474" s="110">
        <v>1216.7</v>
      </c>
    </row>
    <row r="475" spans="1:2" ht="16.5" hidden="1" customHeight="1">
      <c r="A475" s="106">
        <v>43938</v>
      </c>
      <c r="B475" s="110">
        <v>1227.5</v>
      </c>
    </row>
    <row r="476" spans="1:2" ht="16.5" hidden="1" customHeight="1">
      <c r="A476" s="106">
        <v>43939</v>
      </c>
      <c r="B476" s="110">
        <v>1227.5</v>
      </c>
    </row>
    <row r="477" spans="1:2" ht="16.5" hidden="1" customHeight="1">
      <c r="A477" s="106">
        <v>43940</v>
      </c>
      <c r="B477" s="110">
        <v>1227.5</v>
      </c>
    </row>
    <row r="478" spans="1:2" ht="16.5" hidden="1" customHeight="1">
      <c r="A478" s="106">
        <v>43941</v>
      </c>
      <c r="B478" s="110">
        <v>1219.3</v>
      </c>
    </row>
    <row r="479" spans="1:2" ht="16.5" hidden="1" customHeight="1">
      <c r="A479" s="106">
        <v>43942</v>
      </c>
      <c r="B479" s="110">
        <v>1218.7</v>
      </c>
    </row>
    <row r="480" spans="1:2" ht="16.5" hidden="1" customHeight="1">
      <c r="A480" s="106">
        <v>43943</v>
      </c>
      <c r="B480" s="110">
        <v>1231.3</v>
      </c>
    </row>
    <row r="481" spans="1:2" ht="16.5" hidden="1" customHeight="1">
      <c r="A481" s="106">
        <v>43944</v>
      </c>
      <c r="B481" s="110">
        <v>1235.2</v>
      </c>
    </row>
    <row r="482" spans="1:2" ht="16.5" hidden="1" customHeight="1">
      <c r="A482" s="106">
        <v>43945</v>
      </c>
      <c r="B482" s="110">
        <v>1232</v>
      </c>
    </row>
    <row r="483" spans="1:2" ht="16.5" hidden="1" customHeight="1">
      <c r="A483" s="106">
        <v>43946</v>
      </c>
      <c r="B483" s="110">
        <v>1232</v>
      </c>
    </row>
    <row r="484" spans="1:2" ht="16.5" hidden="1" customHeight="1">
      <c r="A484" s="106">
        <v>43947</v>
      </c>
      <c r="B484" s="110">
        <v>1232</v>
      </c>
    </row>
    <row r="485" spans="1:2" ht="16.5" hidden="1" customHeight="1">
      <c r="A485" s="106">
        <v>43948</v>
      </c>
      <c r="B485" s="110">
        <v>1235.8</v>
      </c>
    </row>
    <row r="486" spans="1:2" ht="16.5" hidden="1" customHeight="1">
      <c r="A486" s="106">
        <v>43949</v>
      </c>
      <c r="B486" s="110">
        <v>1230.3</v>
      </c>
    </row>
    <row r="487" spans="1:2" ht="16.5" hidden="1" customHeight="1">
      <c r="A487" s="106">
        <v>43950</v>
      </c>
      <c r="B487" s="110">
        <v>1225.2</v>
      </c>
    </row>
    <row r="488" spans="1:2" ht="16.5" hidden="1" customHeight="1">
      <c r="A488" s="106">
        <v>43951</v>
      </c>
      <c r="B488" s="110">
        <v>1225.2</v>
      </c>
    </row>
    <row r="489" spans="1:2" ht="16.5" hidden="1" customHeight="1">
      <c r="A489" s="106">
        <v>43952</v>
      </c>
      <c r="B489" s="110">
        <v>1225.2</v>
      </c>
    </row>
    <row r="490" spans="1:2" ht="16.5" hidden="1" customHeight="1">
      <c r="A490" s="106">
        <v>43953</v>
      </c>
      <c r="B490" s="110">
        <v>1225.2</v>
      </c>
    </row>
    <row r="491" spans="1:2" ht="16.5" hidden="1" customHeight="1">
      <c r="A491" s="106">
        <v>43954</v>
      </c>
      <c r="B491" s="110">
        <v>1225.2</v>
      </c>
    </row>
    <row r="492" spans="1:2" ht="16.5" hidden="1" customHeight="1">
      <c r="A492" s="106">
        <v>43955</v>
      </c>
      <c r="B492" s="110">
        <v>1218.5</v>
      </c>
    </row>
    <row r="493" spans="1:2" ht="16.5" hidden="1" customHeight="1">
      <c r="A493" s="106">
        <v>43956</v>
      </c>
      <c r="B493" s="110">
        <v>1218.5</v>
      </c>
    </row>
    <row r="494" spans="1:2" ht="16.5" hidden="1" customHeight="1">
      <c r="A494" s="106">
        <v>43957</v>
      </c>
      <c r="B494" s="110">
        <v>1227.8</v>
      </c>
    </row>
    <row r="495" spans="1:2" ht="16.5" hidden="1" customHeight="1">
      <c r="A495" s="106">
        <v>43958</v>
      </c>
      <c r="B495" s="110">
        <v>1223.3</v>
      </c>
    </row>
    <row r="496" spans="1:2" ht="16.5" hidden="1" customHeight="1">
      <c r="A496" s="106">
        <v>43959</v>
      </c>
      <c r="B496" s="110">
        <v>1226.5</v>
      </c>
    </row>
    <row r="497" spans="1:2" ht="16.5" hidden="1" customHeight="1">
      <c r="A497" s="106">
        <v>43960</v>
      </c>
      <c r="B497" s="110">
        <v>1226.5</v>
      </c>
    </row>
    <row r="498" spans="1:2" ht="16.5" hidden="1" customHeight="1">
      <c r="A498" s="106">
        <v>43961</v>
      </c>
      <c r="B498" s="110">
        <v>1226.5</v>
      </c>
    </row>
    <row r="499" spans="1:2" ht="16.5" hidden="1" customHeight="1">
      <c r="A499" s="106">
        <v>43962</v>
      </c>
      <c r="B499" s="110">
        <v>1217.7</v>
      </c>
    </row>
    <row r="500" spans="1:2" ht="16.5" hidden="1" customHeight="1">
      <c r="A500" s="106">
        <v>43963</v>
      </c>
      <c r="B500" s="110">
        <v>1217.8</v>
      </c>
    </row>
    <row r="501" spans="1:2" ht="16.5" hidden="1" customHeight="1">
      <c r="A501" s="106">
        <v>43964</v>
      </c>
      <c r="B501" s="110">
        <v>1226.7</v>
      </c>
    </row>
    <row r="502" spans="1:2" ht="16.5" hidden="1" customHeight="1">
      <c r="A502" s="106">
        <v>43965</v>
      </c>
      <c r="B502" s="110">
        <v>1226.3</v>
      </c>
    </row>
    <row r="503" spans="1:2" ht="16.5" hidden="1" customHeight="1">
      <c r="A503" s="106">
        <v>43966</v>
      </c>
      <c r="B503" s="110">
        <v>1227.9000000000001</v>
      </c>
    </row>
    <row r="504" spans="1:2" ht="16.5" hidden="1" customHeight="1">
      <c r="A504" s="106">
        <v>43967</v>
      </c>
      <c r="B504" s="110">
        <v>1227.9000000000001</v>
      </c>
    </row>
    <row r="505" spans="1:2" ht="16.5" hidden="1" customHeight="1">
      <c r="A505" s="106">
        <v>43968</v>
      </c>
      <c r="B505" s="110">
        <v>1227.9000000000001</v>
      </c>
    </row>
    <row r="506" spans="1:2" ht="16.5" hidden="1" customHeight="1">
      <c r="A506" s="106">
        <v>43969</v>
      </c>
      <c r="B506" s="110">
        <v>1229.3</v>
      </c>
    </row>
    <row r="507" spans="1:2" ht="16.5" hidden="1" customHeight="1">
      <c r="A507" s="106">
        <v>43970</v>
      </c>
      <c r="B507" s="110">
        <v>1231.5999999999999</v>
      </c>
    </row>
    <row r="508" spans="1:2" ht="16.5" hidden="1" customHeight="1">
      <c r="A508" s="106">
        <v>43971</v>
      </c>
      <c r="B508" s="110">
        <v>1224.5</v>
      </c>
    </row>
    <row r="509" spans="1:2" ht="16.5" hidden="1" customHeight="1">
      <c r="A509" s="106">
        <v>43972</v>
      </c>
      <c r="B509" s="110">
        <v>1227.8</v>
      </c>
    </row>
    <row r="510" spans="1:2" ht="16.5" hidden="1" customHeight="1">
      <c r="A510" s="106">
        <v>43973</v>
      </c>
      <c r="B510" s="110">
        <v>1230.7</v>
      </c>
    </row>
    <row r="511" spans="1:2" ht="16.5" hidden="1" customHeight="1">
      <c r="A511" s="106">
        <v>43974</v>
      </c>
      <c r="B511" s="110">
        <v>1230.7</v>
      </c>
    </row>
    <row r="512" spans="1:2" ht="16.5" hidden="1" customHeight="1">
      <c r="A512" s="106">
        <v>43975</v>
      </c>
      <c r="B512" s="110">
        <v>1230.7</v>
      </c>
    </row>
    <row r="513" spans="1:2" ht="16.5" hidden="1" customHeight="1">
      <c r="A513" s="106">
        <v>43976</v>
      </c>
      <c r="B513" s="110">
        <v>1236.2</v>
      </c>
    </row>
    <row r="514" spans="1:2" ht="16.5" hidden="1" customHeight="1">
      <c r="A514" s="106">
        <v>43977</v>
      </c>
      <c r="B514" s="110">
        <v>1242</v>
      </c>
    </row>
    <row r="515" spans="1:2" ht="16.5" hidden="1" customHeight="1">
      <c r="A515" s="106">
        <v>43978</v>
      </c>
      <c r="B515" s="110">
        <v>1237.0999999999999</v>
      </c>
    </row>
    <row r="516" spans="1:2" ht="16.5" hidden="1" customHeight="1">
      <c r="A516" s="106">
        <v>43979</v>
      </c>
      <c r="B516" s="110">
        <v>1233.7</v>
      </c>
    </row>
    <row r="517" spans="1:2" ht="16.5" hidden="1" customHeight="1">
      <c r="A517" s="106">
        <v>43980</v>
      </c>
      <c r="B517" s="110">
        <v>1239.4000000000001</v>
      </c>
    </row>
    <row r="518" spans="1:2" ht="16.5" hidden="1" customHeight="1">
      <c r="A518" s="106">
        <v>43981</v>
      </c>
      <c r="B518" s="110">
        <v>1239.4000000000001</v>
      </c>
    </row>
    <row r="519" spans="1:2" ht="16.5" hidden="1" customHeight="1">
      <c r="A519" s="106">
        <v>43982</v>
      </c>
      <c r="B519" s="110">
        <v>1239.4000000000001</v>
      </c>
    </row>
    <row r="520" spans="1:2" ht="16.5" hidden="1" customHeight="1">
      <c r="A520" s="106">
        <v>43983</v>
      </c>
      <c r="B520" s="110">
        <v>1237.5999999999999</v>
      </c>
    </row>
    <row r="521" spans="1:2" ht="16.5" hidden="1" customHeight="1">
      <c r="A521" s="106">
        <v>43984</v>
      </c>
      <c r="B521" s="110">
        <v>1227.8</v>
      </c>
    </row>
    <row r="522" spans="1:2" ht="16.5" hidden="1" customHeight="1">
      <c r="A522" s="106">
        <v>43985</v>
      </c>
      <c r="B522" s="110">
        <v>1224.0999999999999</v>
      </c>
    </row>
    <row r="523" spans="1:2" ht="16.5" hidden="1" customHeight="1">
      <c r="A523" s="106">
        <v>43986</v>
      </c>
      <c r="B523" s="110">
        <v>1216.9000000000001</v>
      </c>
    </row>
    <row r="524" spans="1:2" ht="16.5" hidden="1" customHeight="1">
      <c r="A524" s="106">
        <v>43987</v>
      </c>
      <c r="B524" s="110">
        <v>1217.4000000000001</v>
      </c>
    </row>
    <row r="525" spans="1:2" ht="16.5" hidden="1" customHeight="1">
      <c r="A525" s="106">
        <v>43988</v>
      </c>
      <c r="B525" s="110">
        <v>1217.4000000000001</v>
      </c>
    </row>
    <row r="526" spans="1:2" ht="16.5" hidden="1" customHeight="1">
      <c r="A526" s="106">
        <v>43989</v>
      </c>
      <c r="B526" s="110">
        <v>1217.4000000000001</v>
      </c>
    </row>
    <row r="527" spans="1:2" ht="16.5" hidden="1" customHeight="1">
      <c r="A527" s="106">
        <v>43990</v>
      </c>
      <c r="B527" s="110">
        <v>1213.0999999999999</v>
      </c>
    </row>
    <row r="528" spans="1:2" ht="16.5" hidden="1" customHeight="1">
      <c r="A528" s="106">
        <v>43991</v>
      </c>
      <c r="B528" s="110">
        <v>1204.2</v>
      </c>
    </row>
    <row r="529" spans="1:2" ht="16.5" hidden="1" customHeight="1">
      <c r="A529" s="106">
        <v>43992</v>
      </c>
      <c r="B529" s="110">
        <v>1197.7</v>
      </c>
    </row>
    <row r="530" spans="1:2" ht="16.5" hidden="1" customHeight="1">
      <c r="A530" s="106">
        <v>43993</v>
      </c>
      <c r="B530" s="110">
        <v>1194.4000000000001</v>
      </c>
    </row>
    <row r="531" spans="1:2" ht="16.5" hidden="1" customHeight="1">
      <c r="A531" s="106">
        <v>43994</v>
      </c>
      <c r="B531" s="110">
        <v>1192.8</v>
      </c>
    </row>
    <row r="532" spans="1:2" ht="16.5" hidden="1" customHeight="1">
      <c r="A532" s="106">
        <v>43995</v>
      </c>
      <c r="B532" s="110">
        <v>1192.8</v>
      </c>
    </row>
    <row r="533" spans="1:2" ht="16.5" hidden="1" customHeight="1">
      <c r="A533" s="106">
        <v>43996</v>
      </c>
      <c r="B533" s="110">
        <v>1192.8</v>
      </c>
    </row>
    <row r="534" spans="1:2" ht="16.5" hidden="1" customHeight="1">
      <c r="A534" s="106">
        <v>43997</v>
      </c>
      <c r="B534" s="110">
        <v>1206.5999999999999</v>
      </c>
    </row>
    <row r="535" spans="1:2" ht="16.5" hidden="1" customHeight="1">
      <c r="A535" s="106">
        <v>43998</v>
      </c>
      <c r="B535" s="110">
        <v>1210.8</v>
      </c>
    </row>
    <row r="536" spans="1:2" ht="16.5" hidden="1" customHeight="1">
      <c r="A536" s="106">
        <v>43999</v>
      </c>
      <c r="B536" s="110">
        <v>1206.5999999999999</v>
      </c>
    </row>
    <row r="537" spans="1:2" ht="16.5" hidden="1" customHeight="1">
      <c r="A537" s="106">
        <v>44000</v>
      </c>
      <c r="B537" s="110">
        <v>1214.5</v>
      </c>
    </row>
    <row r="538" spans="1:2" ht="16.5" hidden="1" customHeight="1">
      <c r="A538" s="106">
        <v>44001</v>
      </c>
      <c r="B538" s="110">
        <v>1213</v>
      </c>
    </row>
    <row r="539" spans="1:2" ht="16.5" hidden="1" customHeight="1">
      <c r="A539" s="106">
        <v>44002</v>
      </c>
      <c r="B539" s="110">
        <v>1213</v>
      </c>
    </row>
    <row r="540" spans="1:2" ht="16.5" hidden="1" customHeight="1">
      <c r="A540" s="106">
        <v>44003</v>
      </c>
      <c r="B540" s="110">
        <v>1213</v>
      </c>
    </row>
    <row r="541" spans="1:2" ht="16.5" hidden="1" customHeight="1">
      <c r="A541" s="106">
        <v>44004</v>
      </c>
      <c r="B541" s="110">
        <v>1212</v>
      </c>
    </row>
    <row r="542" spans="1:2" ht="16.5" hidden="1" customHeight="1">
      <c r="A542" s="106">
        <v>44005</v>
      </c>
      <c r="B542" s="110">
        <v>1213.2</v>
      </c>
    </row>
    <row r="543" spans="1:2" ht="16.5" hidden="1" customHeight="1">
      <c r="A543" s="106">
        <v>44006</v>
      </c>
      <c r="B543" s="110">
        <v>1210.0999999999999</v>
      </c>
    </row>
    <row r="544" spans="1:2" ht="16.5" hidden="1" customHeight="1">
      <c r="A544" s="106">
        <v>44007</v>
      </c>
      <c r="B544" s="110">
        <v>1202.9000000000001</v>
      </c>
    </row>
    <row r="545" spans="1:2" ht="16.5" hidden="1" customHeight="1">
      <c r="A545" s="106">
        <v>44008</v>
      </c>
      <c r="B545" s="110">
        <v>1205.2</v>
      </c>
    </row>
    <row r="546" spans="1:2" ht="16.5" hidden="1" customHeight="1">
      <c r="A546" s="106">
        <v>44009</v>
      </c>
      <c r="B546" s="110">
        <v>1205.2</v>
      </c>
    </row>
    <row r="547" spans="1:2" ht="16.5" hidden="1" customHeight="1">
      <c r="A547" s="106">
        <v>44010</v>
      </c>
      <c r="B547" s="110">
        <v>1205.2</v>
      </c>
    </row>
    <row r="548" spans="1:2" ht="16.5" hidden="1" customHeight="1">
      <c r="A548" s="106">
        <v>44011</v>
      </c>
      <c r="B548" s="110">
        <v>1198.5999999999999</v>
      </c>
    </row>
    <row r="549" spans="1:2" ht="16.5" hidden="1" customHeight="1">
      <c r="A549" s="106">
        <v>44012</v>
      </c>
      <c r="B549" s="110">
        <v>1200.7</v>
      </c>
    </row>
    <row r="550" spans="1:2" ht="16.5" hidden="1" customHeight="1">
      <c r="A550" s="106">
        <v>44013</v>
      </c>
      <c r="B550" s="110">
        <v>1198.5</v>
      </c>
    </row>
    <row r="551" spans="1:2" ht="16.5" hidden="1" customHeight="1">
      <c r="A551" s="106">
        <v>44014</v>
      </c>
      <c r="B551" s="110">
        <v>1201.5999999999999</v>
      </c>
    </row>
    <row r="552" spans="1:2" ht="16.5" hidden="1" customHeight="1">
      <c r="A552" s="106">
        <v>44015</v>
      </c>
      <c r="B552" s="110">
        <v>1201</v>
      </c>
    </row>
    <row r="553" spans="1:2" ht="16.5" hidden="1" customHeight="1">
      <c r="A553" s="106">
        <v>44016</v>
      </c>
      <c r="B553" s="110">
        <v>1201</v>
      </c>
    </row>
    <row r="554" spans="1:2" ht="16.5" hidden="1" customHeight="1">
      <c r="A554" s="106">
        <v>44017</v>
      </c>
      <c r="B554" s="110">
        <v>1201</v>
      </c>
    </row>
    <row r="555" spans="1:2" ht="16.5" hidden="1" customHeight="1">
      <c r="A555" s="106">
        <v>44018</v>
      </c>
      <c r="B555" s="110">
        <v>1200.4000000000001</v>
      </c>
    </row>
    <row r="556" spans="1:2" ht="16.5" hidden="1" customHeight="1">
      <c r="A556" s="106">
        <v>44019</v>
      </c>
      <c r="B556" s="110">
        <v>1196.8</v>
      </c>
    </row>
    <row r="557" spans="1:2" ht="16.5" hidden="1" customHeight="1">
      <c r="A557" s="106">
        <v>44020</v>
      </c>
      <c r="B557" s="110">
        <v>1192.9000000000001</v>
      </c>
    </row>
    <row r="558" spans="1:2" ht="16.5" hidden="1" customHeight="1">
      <c r="A558" s="106">
        <v>44021</v>
      </c>
      <c r="B558" s="110">
        <v>1195.8</v>
      </c>
    </row>
    <row r="559" spans="1:2" ht="16.5" hidden="1" customHeight="1">
      <c r="A559" s="106">
        <v>44022</v>
      </c>
      <c r="B559" s="110">
        <v>1194.5</v>
      </c>
    </row>
    <row r="560" spans="1:2" ht="16.5" hidden="1" customHeight="1">
      <c r="A560" s="106">
        <v>44023</v>
      </c>
      <c r="B560" s="110">
        <v>1194.5</v>
      </c>
    </row>
    <row r="561" spans="1:2" ht="16.5" hidden="1" customHeight="1">
      <c r="A561" s="106">
        <v>44024</v>
      </c>
      <c r="B561" s="110">
        <v>1194.5</v>
      </c>
    </row>
    <row r="562" spans="1:2" ht="16.5" hidden="1" customHeight="1">
      <c r="A562" s="106">
        <v>44025</v>
      </c>
      <c r="B562" s="110">
        <v>1202.4000000000001</v>
      </c>
    </row>
    <row r="563" spans="1:2" ht="16.5" hidden="1" customHeight="1">
      <c r="A563" s="106">
        <v>44026</v>
      </c>
      <c r="B563" s="110">
        <v>1200.3</v>
      </c>
    </row>
    <row r="564" spans="1:2" ht="16.5" hidden="1" customHeight="1">
      <c r="A564" s="106">
        <v>44027</v>
      </c>
      <c r="B564" s="110">
        <v>1206.4000000000001</v>
      </c>
    </row>
    <row r="565" spans="1:2" ht="16.5" hidden="1" customHeight="1">
      <c r="A565" s="106">
        <v>44028</v>
      </c>
      <c r="B565" s="110">
        <v>1200.7</v>
      </c>
    </row>
    <row r="566" spans="1:2" ht="16.5" hidden="1" customHeight="1">
      <c r="A566" s="106">
        <v>44029</v>
      </c>
      <c r="B566" s="110">
        <v>1204.0999999999999</v>
      </c>
    </row>
    <row r="567" spans="1:2" ht="16.5" hidden="1" customHeight="1">
      <c r="A567" s="106">
        <v>44030</v>
      </c>
      <c r="B567" s="110">
        <v>1204.0999999999999</v>
      </c>
    </row>
    <row r="568" spans="1:2" ht="16.5" hidden="1" customHeight="1">
      <c r="A568" s="106">
        <v>44031</v>
      </c>
      <c r="B568" s="110">
        <v>1204.0999999999999</v>
      </c>
    </row>
    <row r="569" spans="1:2" ht="16.5" hidden="1" customHeight="1">
      <c r="A569" s="106">
        <v>44032</v>
      </c>
      <c r="B569" s="110">
        <v>1205.7</v>
      </c>
    </row>
    <row r="570" spans="1:2" ht="16.5" hidden="1" customHeight="1">
      <c r="A570" s="106">
        <v>44033</v>
      </c>
      <c r="B570" s="110">
        <v>1203.7</v>
      </c>
    </row>
    <row r="571" spans="1:2" ht="16.5" hidden="1" customHeight="1">
      <c r="A571" s="106">
        <v>44034</v>
      </c>
      <c r="B571" s="110">
        <v>1198.0999999999999</v>
      </c>
    </row>
    <row r="572" spans="1:2" ht="16.5" hidden="1" customHeight="1">
      <c r="A572" s="106">
        <v>44035</v>
      </c>
      <c r="B572" s="110">
        <v>1193.7</v>
      </c>
    </row>
    <row r="573" spans="1:2" ht="16.5" hidden="1" customHeight="1">
      <c r="A573" s="106">
        <v>44036</v>
      </c>
      <c r="B573" s="110">
        <v>1198.5</v>
      </c>
    </row>
    <row r="574" spans="1:2" ht="16.5" hidden="1" customHeight="1">
      <c r="A574" s="106">
        <v>44037</v>
      </c>
      <c r="B574" s="110">
        <v>1198.5</v>
      </c>
    </row>
    <row r="575" spans="1:2" ht="16.5" hidden="1" customHeight="1">
      <c r="A575" s="106">
        <v>44038</v>
      </c>
      <c r="B575" s="110">
        <v>1198.5</v>
      </c>
    </row>
    <row r="576" spans="1:2" ht="16.5" hidden="1" customHeight="1">
      <c r="A576" s="106">
        <v>44039</v>
      </c>
      <c r="B576" s="110">
        <v>1201.3</v>
      </c>
    </row>
    <row r="577" spans="1:2" ht="16.5" hidden="1" customHeight="1">
      <c r="A577" s="106">
        <v>44040</v>
      </c>
      <c r="B577" s="110">
        <v>1196.5999999999999</v>
      </c>
    </row>
    <row r="578" spans="1:2" ht="16.5" hidden="1" customHeight="1">
      <c r="A578" s="106">
        <v>44041</v>
      </c>
      <c r="B578" s="110">
        <v>1195.0999999999999</v>
      </c>
    </row>
    <row r="579" spans="1:2" ht="16.5" hidden="1" customHeight="1">
      <c r="A579" s="106">
        <v>44042</v>
      </c>
      <c r="B579" s="110">
        <v>1195.2</v>
      </c>
    </row>
    <row r="580" spans="1:2" ht="16.5" hidden="1" customHeight="1">
      <c r="A580" s="106">
        <v>44043</v>
      </c>
      <c r="B580" s="110">
        <v>1191.4000000000001</v>
      </c>
    </row>
    <row r="581" spans="1:2" ht="16.5" hidden="1" customHeight="1">
      <c r="A581" s="106">
        <v>44044</v>
      </c>
      <c r="B581" s="110">
        <v>1191.4000000000001</v>
      </c>
    </row>
    <row r="582" spans="1:2" ht="16.5" hidden="1" customHeight="1">
      <c r="A582" s="106">
        <v>44045</v>
      </c>
      <c r="B582" s="110">
        <v>1191.4000000000001</v>
      </c>
    </row>
    <row r="583" spans="1:2" ht="16.5" hidden="1" customHeight="1">
      <c r="A583" s="106">
        <v>44046</v>
      </c>
      <c r="B583" s="110">
        <v>1189.0999999999999</v>
      </c>
    </row>
    <row r="584" spans="1:2" ht="16.5" hidden="1" customHeight="1">
      <c r="A584" s="106">
        <v>44047</v>
      </c>
      <c r="B584" s="110">
        <v>1193.7</v>
      </c>
    </row>
    <row r="585" spans="1:2" ht="16.5" hidden="1" customHeight="1">
      <c r="A585" s="106">
        <v>44048</v>
      </c>
      <c r="B585" s="110">
        <v>1193.5</v>
      </c>
    </row>
    <row r="586" spans="1:2" ht="16.5" hidden="1" customHeight="1">
      <c r="A586" s="106">
        <v>44049</v>
      </c>
      <c r="B586" s="110">
        <v>1190.3</v>
      </c>
    </row>
    <row r="587" spans="1:2" ht="16.5" hidden="1" customHeight="1">
      <c r="A587" s="106">
        <v>44050</v>
      </c>
      <c r="B587" s="110">
        <v>1184.3</v>
      </c>
    </row>
    <row r="588" spans="1:2" ht="16.5" hidden="1" customHeight="1">
      <c r="A588" s="106">
        <v>44051</v>
      </c>
      <c r="B588" s="110">
        <v>1184.3</v>
      </c>
    </row>
    <row r="589" spans="1:2" ht="16.5" hidden="1" customHeight="1">
      <c r="A589" s="106">
        <v>44052</v>
      </c>
      <c r="B589" s="110">
        <v>1184.3</v>
      </c>
    </row>
    <row r="590" spans="1:2" ht="16.5" hidden="1" customHeight="1">
      <c r="A590" s="106">
        <v>44053</v>
      </c>
      <c r="B590" s="110">
        <v>1185.9000000000001</v>
      </c>
    </row>
    <row r="591" spans="1:2" ht="16.5" hidden="1" customHeight="1">
      <c r="A591" s="106">
        <v>44054</v>
      </c>
      <c r="B591" s="110">
        <v>1186.7</v>
      </c>
    </row>
    <row r="592" spans="1:2" ht="16.5" hidden="1" customHeight="1">
      <c r="A592" s="106">
        <v>44055</v>
      </c>
      <c r="B592" s="110">
        <v>1184.9000000000001</v>
      </c>
    </row>
    <row r="593" spans="1:2" ht="16.5" hidden="1" customHeight="1">
      <c r="A593" s="106">
        <v>44056</v>
      </c>
      <c r="B593" s="110">
        <v>1186</v>
      </c>
    </row>
    <row r="594" spans="1:2" ht="16.5" hidden="1" customHeight="1">
      <c r="A594" s="106">
        <v>44057</v>
      </c>
      <c r="B594" s="110">
        <v>1183.5999999999999</v>
      </c>
    </row>
    <row r="595" spans="1:2" ht="16.5" hidden="1" customHeight="1">
      <c r="A595" s="106">
        <v>44058</v>
      </c>
      <c r="B595" s="110">
        <v>1183.5999999999999</v>
      </c>
    </row>
    <row r="596" spans="1:2" ht="16.5" hidden="1" customHeight="1">
      <c r="A596" s="106">
        <v>44059</v>
      </c>
      <c r="B596" s="110">
        <v>1183.5999999999999</v>
      </c>
    </row>
    <row r="597" spans="1:2" ht="16.5" hidden="1" customHeight="1">
      <c r="A597" s="106">
        <v>44060</v>
      </c>
      <c r="B597" s="110">
        <v>1183.5999999999999</v>
      </c>
    </row>
    <row r="598" spans="1:2" ht="16.5" hidden="1" customHeight="1">
      <c r="A598" s="106">
        <v>44061</v>
      </c>
      <c r="B598" s="110">
        <v>1185.8</v>
      </c>
    </row>
    <row r="599" spans="1:2" ht="16.5" hidden="1" customHeight="1">
      <c r="A599" s="106">
        <v>44062</v>
      </c>
      <c r="B599" s="110">
        <v>1185.0999999999999</v>
      </c>
    </row>
    <row r="600" spans="1:2" ht="16.5" hidden="1" customHeight="1">
      <c r="A600" s="106">
        <v>44063</v>
      </c>
      <c r="B600" s="110">
        <v>1182.3</v>
      </c>
    </row>
    <row r="601" spans="1:2" ht="16.5" hidden="1" customHeight="1">
      <c r="A601" s="106">
        <v>44064</v>
      </c>
      <c r="B601" s="110">
        <v>1186.3</v>
      </c>
    </row>
    <row r="602" spans="1:2" ht="16.5" hidden="1" customHeight="1">
      <c r="A602" s="106">
        <v>44065</v>
      </c>
      <c r="B602" s="110">
        <v>1186.3</v>
      </c>
    </row>
    <row r="603" spans="1:2" ht="16.5" hidden="1" customHeight="1">
      <c r="A603" s="106">
        <v>44066</v>
      </c>
      <c r="B603" s="110">
        <v>1186.3</v>
      </c>
    </row>
    <row r="604" spans="1:2" ht="16.5" hidden="1" customHeight="1">
      <c r="A604" s="106">
        <v>44067</v>
      </c>
      <c r="B604" s="110">
        <v>1185.3</v>
      </c>
    </row>
    <row r="605" spans="1:2" ht="16.5" hidden="1" customHeight="1">
      <c r="A605" s="106">
        <v>44068</v>
      </c>
      <c r="B605" s="110">
        <v>1190</v>
      </c>
    </row>
    <row r="606" spans="1:2" ht="16.5" hidden="1" customHeight="1">
      <c r="A606" s="106">
        <v>44069</v>
      </c>
      <c r="B606" s="110">
        <v>1186.3</v>
      </c>
    </row>
    <row r="607" spans="1:2" ht="16.5" hidden="1" customHeight="1">
      <c r="A607" s="106">
        <v>44070</v>
      </c>
      <c r="B607" s="110">
        <v>1187</v>
      </c>
    </row>
    <row r="608" spans="1:2" ht="16.5" hidden="1" customHeight="1">
      <c r="A608" s="106">
        <v>44071</v>
      </c>
      <c r="B608" s="110">
        <v>1185.7</v>
      </c>
    </row>
    <row r="609" spans="1:2" ht="16.5" hidden="1" customHeight="1">
      <c r="A609" s="106">
        <v>44072</v>
      </c>
      <c r="B609" s="110">
        <v>1185.7</v>
      </c>
    </row>
    <row r="610" spans="1:2" ht="16.5" hidden="1" customHeight="1">
      <c r="A610" s="106">
        <v>44073</v>
      </c>
      <c r="B610" s="110">
        <v>1185.7</v>
      </c>
    </row>
    <row r="611" spans="1:2" ht="16.5" hidden="1" customHeight="1">
      <c r="A611" s="106">
        <v>44074</v>
      </c>
      <c r="B611" s="110">
        <v>1185.0999999999999</v>
      </c>
    </row>
    <row r="612" spans="1:2" ht="16.5" hidden="1" customHeight="1">
      <c r="A612" s="106">
        <v>44075</v>
      </c>
      <c r="B612" s="110">
        <v>1183.3</v>
      </c>
    </row>
    <row r="613" spans="1:2" ht="16.5" hidden="1" customHeight="1">
      <c r="A613" s="106">
        <v>44076</v>
      </c>
      <c r="B613" s="110">
        <v>1184.5999999999999</v>
      </c>
    </row>
    <row r="614" spans="1:2" ht="16.5" hidden="1" customHeight="1">
      <c r="A614" s="106">
        <v>44077</v>
      </c>
      <c r="B614" s="110">
        <v>1186.2</v>
      </c>
    </row>
    <row r="615" spans="1:2" ht="16.5" hidden="1" customHeight="1">
      <c r="A615" s="106">
        <v>44078</v>
      </c>
      <c r="B615" s="110">
        <v>1187.5</v>
      </c>
    </row>
    <row r="616" spans="1:2" ht="16.5" hidden="1" customHeight="1">
      <c r="A616" s="106">
        <v>44079</v>
      </c>
      <c r="B616" s="110">
        <v>1187.5</v>
      </c>
    </row>
    <row r="617" spans="1:2" ht="16.5" hidden="1" customHeight="1">
      <c r="A617" s="106">
        <v>44080</v>
      </c>
      <c r="B617" s="110">
        <v>1187.5</v>
      </c>
    </row>
    <row r="618" spans="1:2" ht="16.5" hidden="1" customHeight="1">
      <c r="A618" s="106">
        <v>44081</v>
      </c>
      <c r="B618" s="110">
        <v>1190.2</v>
      </c>
    </row>
    <row r="619" spans="1:2" ht="16.5" hidden="1" customHeight="1">
      <c r="A619" s="106">
        <v>44082</v>
      </c>
      <c r="B619" s="110">
        <v>1187.2</v>
      </c>
    </row>
    <row r="620" spans="1:2" ht="16.5" hidden="1" customHeight="1">
      <c r="A620" s="106">
        <v>44083</v>
      </c>
      <c r="B620" s="110">
        <v>1187.9000000000001</v>
      </c>
    </row>
    <row r="621" spans="1:2" ht="16.5" hidden="1" customHeight="1">
      <c r="A621" s="106">
        <v>44084</v>
      </c>
      <c r="B621" s="110">
        <v>1189.5999999999999</v>
      </c>
    </row>
    <row r="622" spans="1:2" ht="16.5" hidden="1" customHeight="1">
      <c r="A622" s="106">
        <v>44085</v>
      </c>
      <c r="B622" s="110">
        <v>1185.3</v>
      </c>
    </row>
    <row r="623" spans="1:2" ht="16.5" hidden="1" customHeight="1">
      <c r="A623" s="106">
        <v>44086</v>
      </c>
      <c r="B623" s="110">
        <v>1185.3</v>
      </c>
    </row>
    <row r="624" spans="1:2" ht="16.5" hidden="1" customHeight="1">
      <c r="A624" s="106">
        <v>44087</v>
      </c>
      <c r="B624" s="110">
        <v>1185.3</v>
      </c>
    </row>
    <row r="625" spans="1:5" ht="16.5" hidden="1" customHeight="1">
      <c r="A625" s="106">
        <v>44088</v>
      </c>
      <c r="B625" s="110">
        <v>1188.3</v>
      </c>
    </row>
    <row r="626" spans="1:5" ht="16.5" hidden="1" customHeight="1">
      <c r="A626" s="106">
        <v>44089</v>
      </c>
      <c r="B626" s="110">
        <v>1184.2</v>
      </c>
      <c r="C626" t="s">
        <v>18</v>
      </c>
      <c r="D626" s="108">
        <v>60</v>
      </c>
    </row>
    <row r="627" spans="1:5" ht="16.5" hidden="1" customHeight="1">
      <c r="A627" s="106">
        <v>44090</v>
      </c>
      <c r="B627" s="110">
        <v>1180.5</v>
      </c>
      <c r="C627" t="s">
        <v>20</v>
      </c>
      <c r="D627" s="108">
        <v>80</v>
      </c>
    </row>
    <row r="628" spans="1:5" ht="16.5" hidden="1" customHeight="1">
      <c r="A628" s="106">
        <v>44091</v>
      </c>
      <c r="B628" s="110">
        <v>1177.8</v>
      </c>
      <c r="C628" t="s">
        <v>77</v>
      </c>
      <c r="D628" s="108">
        <v>60</v>
      </c>
    </row>
    <row r="629" spans="1:5" ht="16.5" hidden="1" customHeight="1">
      <c r="A629" s="106">
        <v>44092</v>
      </c>
      <c r="B629" s="110">
        <v>1175.4000000000001</v>
      </c>
      <c r="C629" t="s">
        <v>66</v>
      </c>
      <c r="D629" s="108">
        <v>60</v>
      </c>
    </row>
    <row r="630" spans="1:5" ht="16.5" hidden="1" customHeight="1">
      <c r="A630" s="106">
        <v>44093</v>
      </c>
      <c r="B630" s="110">
        <v>1175.4000000000001</v>
      </c>
      <c r="C630" t="s">
        <v>78</v>
      </c>
      <c r="D630" s="108">
        <v>60</v>
      </c>
      <c r="E630" s="114"/>
    </row>
    <row r="631" spans="1:5" ht="16.5" hidden="1" customHeight="1">
      <c r="A631" s="106">
        <v>44094</v>
      </c>
      <c r="B631" s="110">
        <v>1175.4000000000001</v>
      </c>
      <c r="C631" t="s">
        <v>79</v>
      </c>
      <c r="D631" s="108">
        <v>60</v>
      </c>
      <c r="E631" s="114"/>
    </row>
    <row r="632" spans="1:5" ht="16.5" hidden="1" customHeight="1">
      <c r="A632" s="106">
        <v>44095</v>
      </c>
      <c r="B632" s="110">
        <v>1163.5999999999999</v>
      </c>
      <c r="C632" t="s">
        <v>21</v>
      </c>
      <c r="D632" s="108">
        <v>45</v>
      </c>
      <c r="E632" s="114"/>
    </row>
    <row r="633" spans="1:5" ht="16.5" hidden="1" customHeight="1">
      <c r="A633" s="106">
        <v>44096</v>
      </c>
      <c r="B633" s="110">
        <v>1160.5999999999999</v>
      </c>
      <c r="C633" t="s">
        <v>80</v>
      </c>
      <c r="D633" s="108" t="s">
        <v>81</v>
      </c>
    </row>
    <row r="634" spans="1:5" ht="16.5" hidden="1" customHeight="1">
      <c r="A634" s="106">
        <v>44097</v>
      </c>
      <c r="B634" s="110">
        <v>1163.9000000000001</v>
      </c>
      <c r="C634" t="s">
        <v>82</v>
      </c>
      <c r="D634" s="108" t="s">
        <v>81</v>
      </c>
      <c r="E634" s="113"/>
    </row>
    <row r="635" spans="1:5" ht="16.5" hidden="1" customHeight="1">
      <c r="A635" s="106">
        <v>44098</v>
      </c>
      <c r="B635" s="110">
        <v>1164.4000000000001</v>
      </c>
      <c r="C635" t="s">
        <v>83</v>
      </c>
      <c r="D635" s="108" t="s">
        <v>81</v>
      </c>
      <c r="E635" s="113"/>
    </row>
    <row r="636" spans="1:5" ht="16.5" hidden="1" customHeight="1">
      <c r="A636" s="106">
        <v>44099</v>
      </c>
      <c r="B636" s="110">
        <v>1170.3</v>
      </c>
    </row>
    <row r="637" spans="1:5" ht="16.5" hidden="1" customHeight="1">
      <c r="A637" s="106">
        <v>44100</v>
      </c>
      <c r="B637" s="110">
        <v>1170.3</v>
      </c>
    </row>
    <row r="638" spans="1:5" ht="16.5" hidden="1" customHeight="1">
      <c r="A638" s="106">
        <v>44101</v>
      </c>
      <c r="B638" s="110">
        <v>1170.3</v>
      </c>
    </row>
    <row r="639" spans="1:5" ht="16.5" hidden="1" customHeight="1">
      <c r="A639" s="106">
        <v>44102</v>
      </c>
      <c r="B639" s="110">
        <v>1170.5</v>
      </c>
    </row>
    <row r="640" spans="1:5" ht="16.5" hidden="1" customHeight="1">
      <c r="A640" s="106">
        <v>44103</v>
      </c>
      <c r="B640" s="110">
        <v>1173.5</v>
      </c>
    </row>
    <row r="641" spans="1:7" ht="16.5" hidden="1" customHeight="1">
      <c r="A641" s="106">
        <v>44104</v>
      </c>
      <c r="B641" s="110">
        <v>1173.5</v>
      </c>
    </row>
    <row r="642" spans="1:7" ht="16.5" hidden="1" customHeight="1">
      <c r="A642" s="106">
        <v>44105</v>
      </c>
      <c r="B642" s="110">
        <v>1173.5</v>
      </c>
    </row>
    <row r="643" spans="1:7" ht="16.5" hidden="1" customHeight="1">
      <c r="A643" s="106">
        <v>44106</v>
      </c>
      <c r="B643" s="110">
        <v>1173.5</v>
      </c>
    </row>
    <row r="644" spans="1:7" ht="16.5" hidden="1" customHeight="1">
      <c r="A644" s="106">
        <v>44107</v>
      </c>
      <c r="B644" s="110">
        <v>1173.5</v>
      </c>
    </row>
    <row r="645" spans="1:7" ht="16.5" hidden="1" customHeight="1">
      <c r="A645" s="106">
        <v>44108</v>
      </c>
      <c r="B645" s="110">
        <v>1173.5</v>
      </c>
    </row>
    <row r="646" spans="1:7" ht="16.5" hidden="1" customHeight="1">
      <c r="A646" s="106">
        <v>44109</v>
      </c>
      <c r="B646" s="110">
        <v>1169.5</v>
      </c>
    </row>
    <row r="647" spans="1:7" ht="16.5" hidden="1" customHeight="1">
      <c r="A647" s="106">
        <v>44110</v>
      </c>
      <c r="B647" s="110">
        <v>1163.4000000000001</v>
      </c>
    </row>
    <row r="648" spans="1:7" ht="16.5" hidden="1" customHeight="1">
      <c r="A648" s="106">
        <v>44111</v>
      </c>
      <c r="B648" s="110">
        <v>1160</v>
      </c>
      <c r="G648"/>
    </row>
    <row r="649" spans="1:7" ht="16.5" hidden="1" customHeight="1">
      <c r="A649" s="106">
        <v>44112</v>
      </c>
      <c r="B649" s="110">
        <v>1162.5</v>
      </c>
      <c r="G649"/>
    </row>
    <row r="650" spans="1:7" ht="16.5" hidden="1" customHeight="1">
      <c r="A650" s="106">
        <v>44113</v>
      </c>
      <c r="B650" s="110">
        <v>1162.5</v>
      </c>
      <c r="G650"/>
    </row>
    <row r="651" spans="1:7" ht="16.5" hidden="1" customHeight="1">
      <c r="A651" s="106">
        <v>44114</v>
      </c>
      <c r="B651" s="110">
        <v>1162.5</v>
      </c>
      <c r="G651"/>
    </row>
    <row r="652" spans="1:7" ht="16.5" hidden="1" customHeight="1">
      <c r="A652" s="106">
        <v>44115</v>
      </c>
      <c r="B652" s="110">
        <v>1162.5</v>
      </c>
      <c r="G652"/>
    </row>
    <row r="653" spans="1:7" ht="16.5" hidden="1" customHeight="1">
      <c r="A653" s="106">
        <v>44116</v>
      </c>
      <c r="B653" s="110">
        <v>1156.2</v>
      </c>
      <c r="G653"/>
    </row>
    <row r="654" spans="1:7" ht="16.5" hidden="1" customHeight="1">
      <c r="A654" s="106">
        <v>44117</v>
      </c>
      <c r="B654" s="110">
        <v>1148.3</v>
      </c>
      <c r="G654"/>
    </row>
    <row r="655" spans="1:7" ht="16.5" hidden="1" customHeight="1">
      <c r="A655" s="106">
        <v>44118</v>
      </c>
      <c r="B655" s="110">
        <v>1149.5</v>
      </c>
      <c r="G655"/>
    </row>
    <row r="656" spans="1:7" ht="16.5" hidden="1" customHeight="1">
      <c r="A656" s="106">
        <v>44119</v>
      </c>
      <c r="B656" s="110">
        <v>1145.7</v>
      </c>
    </row>
    <row r="657" spans="1:2" ht="16.5" hidden="1" customHeight="1">
      <c r="A657" s="106">
        <v>44120</v>
      </c>
      <c r="B657" s="110">
        <v>1144.5999999999999</v>
      </c>
    </row>
    <row r="658" spans="1:2" ht="16.5" hidden="1" customHeight="1">
      <c r="A658" s="106">
        <v>44121</v>
      </c>
      <c r="B658" s="110">
        <v>1144.5999999999999</v>
      </c>
    </row>
    <row r="659" spans="1:2" ht="16.5" hidden="1" customHeight="1">
      <c r="A659" s="106">
        <v>44122</v>
      </c>
      <c r="B659" s="110">
        <v>1144.5999999999999</v>
      </c>
    </row>
    <row r="660" spans="1:2" ht="16.5" hidden="1" customHeight="1">
      <c r="A660" s="106">
        <v>44123</v>
      </c>
      <c r="B660" s="110">
        <v>1145.5999999999999</v>
      </c>
    </row>
    <row r="661" spans="1:2" ht="16.5" hidden="1" customHeight="1">
      <c r="A661" s="106">
        <v>44124</v>
      </c>
      <c r="B661" s="110">
        <v>1142.2</v>
      </c>
    </row>
    <row r="662" spans="1:2" ht="16.5" hidden="1" customHeight="1">
      <c r="A662" s="106">
        <v>44125</v>
      </c>
      <c r="B662" s="110">
        <v>1139.7</v>
      </c>
    </row>
    <row r="663" spans="1:2" ht="16.5" hidden="1" customHeight="1">
      <c r="A663" s="106">
        <v>44126</v>
      </c>
      <c r="B663" s="110">
        <v>1133.7</v>
      </c>
    </row>
    <row r="664" spans="1:2" ht="16.5" hidden="1" customHeight="1">
      <c r="A664" s="106">
        <v>44127</v>
      </c>
      <c r="B664" s="110">
        <v>1134.0999999999999</v>
      </c>
    </row>
    <row r="665" spans="1:2" ht="16.5" hidden="1" customHeight="1">
      <c r="A665" s="106">
        <v>44128</v>
      </c>
      <c r="B665" s="110">
        <v>1134.0999999999999</v>
      </c>
    </row>
    <row r="666" spans="1:2" ht="16.5" hidden="1" customHeight="1">
      <c r="A666" s="106">
        <v>44129</v>
      </c>
      <c r="B666" s="110">
        <v>1134.0999999999999</v>
      </c>
    </row>
    <row r="667" spans="1:2" ht="16.5" hidden="1" customHeight="1">
      <c r="A667" s="106">
        <v>44130</v>
      </c>
      <c r="B667" s="110">
        <v>1134.5999999999999</v>
      </c>
    </row>
    <row r="668" spans="1:2" ht="16.5" hidden="1" customHeight="1">
      <c r="A668" s="106">
        <v>44131</v>
      </c>
      <c r="B668" s="110">
        <v>1129.0999999999999</v>
      </c>
    </row>
    <row r="669" spans="1:2" ht="16.5" hidden="1" customHeight="1">
      <c r="A669" s="106">
        <v>44132</v>
      </c>
      <c r="B669" s="110">
        <v>1127.5999999999999</v>
      </c>
    </row>
    <row r="670" spans="1:2" ht="16.5" hidden="1" customHeight="1">
      <c r="A670" s="106">
        <v>44133</v>
      </c>
      <c r="B670" s="110">
        <v>1129.3</v>
      </c>
    </row>
    <row r="671" spans="1:2" ht="16.5" hidden="1" customHeight="1">
      <c r="A671" s="106">
        <v>44134</v>
      </c>
      <c r="B671" s="110">
        <v>1133.4000000000001</v>
      </c>
    </row>
    <row r="672" spans="1:2" ht="16.5" hidden="1" customHeight="1">
      <c r="A672" s="106">
        <v>44135</v>
      </c>
      <c r="B672" s="110">
        <v>1133.4000000000001</v>
      </c>
    </row>
    <row r="673" spans="1:2" ht="16.5" hidden="1" customHeight="1">
      <c r="A673" s="106">
        <v>44136</v>
      </c>
      <c r="B673" s="110">
        <v>1133.4000000000001</v>
      </c>
    </row>
    <row r="674" spans="1:2" ht="16.5" hidden="1" customHeight="1">
      <c r="A674" s="106">
        <v>44137</v>
      </c>
      <c r="B674" s="110">
        <v>1130.4000000000001</v>
      </c>
    </row>
    <row r="675" spans="1:2" ht="16.5" hidden="1" customHeight="1">
      <c r="A675" s="106">
        <v>44138</v>
      </c>
      <c r="B675" s="110">
        <v>1134.7</v>
      </c>
    </row>
    <row r="676" spans="1:2" ht="16.5" hidden="1" customHeight="1">
      <c r="A676" s="106">
        <v>44139</v>
      </c>
      <c r="B676" s="110">
        <v>1134.5999999999999</v>
      </c>
    </row>
    <row r="677" spans="1:2" ht="16.5" hidden="1" customHeight="1">
      <c r="A677" s="106">
        <v>44140</v>
      </c>
      <c r="B677" s="110">
        <v>1136.5</v>
      </c>
    </row>
    <row r="678" spans="1:2" ht="16.5" hidden="1" customHeight="1">
      <c r="A678" s="106">
        <v>44141</v>
      </c>
      <c r="B678" s="110">
        <v>1130.9000000000001</v>
      </c>
    </row>
    <row r="679" spans="1:2" ht="16.5" hidden="1" customHeight="1">
      <c r="A679" s="106">
        <v>44142</v>
      </c>
      <c r="B679" s="110">
        <v>1130.9000000000001</v>
      </c>
    </row>
    <row r="680" spans="1:2" ht="16.5" hidden="1" customHeight="1">
      <c r="A680" s="106">
        <v>44143</v>
      </c>
      <c r="B680" s="110">
        <v>1130.9000000000001</v>
      </c>
    </row>
    <row r="681" spans="1:2" ht="16.5" hidden="1" customHeight="1">
      <c r="A681" s="106">
        <v>44144</v>
      </c>
      <c r="B681" s="110">
        <v>1124.4000000000001</v>
      </c>
    </row>
    <row r="682" spans="1:2" ht="16.5" hidden="1" customHeight="1">
      <c r="A682" s="106">
        <v>44145</v>
      </c>
      <c r="B682" s="110">
        <v>1115.5999999999999</v>
      </c>
    </row>
    <row r="683" spans="1:2" ht="16.5" hidden="1" customHeight="1">
      <c r="A683" s="106">
        <v>44146</v>
      </c>
      <c r="B683" s="110">
        <v>1115.9000000000001</v>
      </c>
    </row>
    <row r="684" spans="1:2" ht="16.5" hidden="1" customHeight="1">
      <c r="A684" s="106">
        <v>44147</v>
      </c>
      <c r="B684" s="110">
        <v>1112.4000000000001</v>
      </c>
    </row>
    <row r="685" spans="1:2" ht="16.5" hidden="1" customHeight="1">
      <c r="A685" s="106">
        <v>44148</v>
      </c>
      <c r="B685" s="110">
        <v>1113.2</v>
      </c>
    </row>
    <row r="686" spans="1:2" ht="16.5" hidden="1" customHeight="1">
      <c r="A686" s="106">
        <v>44149</v>
      </c>
      <c r="B686" s="110">
        <v>1113.2</v>
      </c>
    </row>
    <row r="687" spans="1:2" ht="16.5" hidden="1" customHeight="1">
      <c r="A687" s="106">
        <v>44150</v>
      </c>
      <c r="B687" s="110">
        <v>1113.2</v>
      </c>
    </row>
    <row r="688" spans="1:2" ht="16.5" hidden="1" customHeight="1">
      <c r="A688" s="106">
        <v>44151</v>
      </c>
      <c r="B688" s="110">
        <v>1115.0999999999999</v>
      </c>
    </row>
    <row r="689" spans="1:2" ht="16.5" hidden="1" customHeight="1">
      <c r="A689" s="106">
        <v>44152</v>
      </c>
      <c r="B689" s="110">
        <v>1108</v>
      </c>
    </row>
    <row r="690" spans="1:2" ht="16.5" hidden="1" customHeight="1">
      <c r="A690" s="106">
        <v>44153</v>
      </c>
      <c r="B690" s="110">
        <v>1106.8</v>
      </c>
    </row>
    <row r="691" spans="1:2" ht="16.5" hidden="1" customHeight="1">
      <c r="A691" s="106">
        <v>44154</v>
      </c>
      <c r="B691" s="110">
        <v>1105.9000000000001</v>
      </c>
    </row>
    <row r="692" spans="1:2" ht="16.5" hidden="1" customHeight="1">
      <c r="A692" s="106">
        <v>44155</v>
      </c>
      <c r="B692" s="110">
        <v>1112.2</v>
      </c>
    </row>
    <row r="693" spans="1:2" ht="16.5" hidden="1" customHeight="1">
      <c r="A693" s="106">
        <v>44156</v>
      </c>
      <c r="B693" s="110">
        <v>1112.2</v>
      </c>
    </row>
    <row r="694" spans="1:2" ht="16.5" hidden="1" customHeight="1">
      <c r="A694" s="106">
        <v>44157</v>
      </c>
      <c r="B694" s="110">
        <v>1112.2</v>
      </c>
    </row>
    <row r="695" spans="1:2" ht="16.5" hidden="1" customHeight="1">
      <c r="A695" s="106">
        <v>44158</v>
      </c>
      <c r="B695" s="110">
        <v>1114.2</v>
      </c>
    </row>
    <row r="696" spans="1:2" ht="16.5" hidden="1" customHeight="1">
      <c r="A696" s="106">
        <v>44159</v>
      </c>
      <c r="B696" s="110">
        <v>1112.5999999999999</v>
      </c>
    </row>
    <row r="697" spans="1:2" ht="16.5" hidden="1" customHeight="1">
      <c r="A697" s="106">
        <v>44160</v>
      </c>
      <c r="B697" s="110">
        <v>1111.2</v>
      </c>
    </row>
    <row r="698" spans="1:2" ht="16.5" hidden="1" customHeight="1">
      <c r="A698" s="106">
        <v>44161</v>
      </c>
      <c r="B698" s="110">
        <v>1107.2</v>
      </c>
    </row>
    <row r="699" spans="1:2" ht="16.5" hidden="1" customHeight="1">
      <c r="A699" s="106">
        <v>44162</v>
      </c>
      <c r="B699" s="110">
        <v>1105.8</v>
      </c>
    </row>
    <row r="700" spans="1:2" ht="16.5" hidden="1" customHeight="1">
      <c r="A700" s="106">
        <v>44163</v>
      </c>
      <c r="B700" s="110">
        <v>1105.8</v>
      </c>
    </row>
    <row r="701" spans="1:2" ht="16.5" hidden="1" customHeight="1">
      <c r="A701" s="106">
        <v>44164</v>
      </c>
      <c r="B701" s="110">
        <v>1105.8</v>
      </c>
    </row>
    <row r="702" spans="1:2" ht="16.5" hidden="1" customHeight="1">
      <c r="A702" s="106">
        <v>44165</v>
      </c>
      <c r="B702" s="110">
        <v>1104.4000000000001</v>
      </c>
    </row>
    <row r="703" spans="1:2" ht="16.5" hidden="1" customHeight="1">
      <c r="A703" s="106">
        <v>44166</v>
      </c>
      <c r="B703" s="110">
        <v>1104.9000000000001</v>
      </c>
    </row>
    <row r="704" spans="1:2" ht="16.5" hidden="1" customHeight="1">
      <c r="A704" s="106">
        <v>44167</v>
      </c>
      <c r="B704" s="110">
        <v>1107.0999999999999</v>
      </c>
    </row>
    <row r="705" spans="1:2" ht="16.5" hidden="1" customHeight="1">
      <c r="A705" s="106">
        <v>44168</v>
      </c>
      <c r="B705" s="110">
        <v>1103.3</v>
      </c>
    </row>
    <row r="706" spans="1:2" ht="16.5" hidden="1" customHeight="1">
      <c r="A706" s="106">
        <v>44169</v>
      </c>
      <c r="B706" s="110">
        <v>1098.0999999999999</v>
      </c>
    </row>
    <row r="707" spans="1:2" ht="16.5" hidden="1" customHeight="1">
      <c r="A707" s="106">
        <v>44170</v>
      </c>
      <c r="B707" s="110">
        <v>1098.0999999999999</v>
      </c>
    </row>
    <row r="708" spans="1:2" ht="16.5" hidden="1" customHeight="1">
      <c r="A708" s="106">
        <v>44171</v>
      </c>
      <c r="B708" s="110">
        <v>1098.0999999999999</v>
      </c>
    </row>
    <row r="709" spans="1:2" ht="16.5" hidden="1" customHeight="1">
      <c r="A709" s="106">
        <v>44172</v>
      </c>
      <c r="B709" s="110">
        <v>1086.5999999999999</v>
      </c>
    </row>
    <row r="710" spans="1:2" ht="16.5" hidden="1" customHeight="1">
      <c r="A710" s="106">
        <v>44173</v>
      </c>
      <c r="B710" s="110">
        <v>1082.7</v>
      </c>
    </row>
    <row r="711" spans="1:2" ht="16.5" hidden="1" customHeight="1">
      <c r="A711" s="106">
        <v>44174</v>
      </c>
      <c r="B711" s="110">
        <v>1084.4000000000001</v>
      </c>
    </row>
    <row r="712" spans="1:2" ht="16.5" hidden="1" customHeight="1">
      <c r="A712" s="106">
        <v>44175</v>
      </c>
      <c r="B712" s="110">
        <v>1083.5999999999999</v>
      </c>
    </row>
    <row r="713" spans="1:2" ht="16.5" hidden="1" customHeight="1">
      <c r="A713" s="106">
        <v>44176</v>
      </c>
      <c r="B713" s="110">
        <v>1086.2</v>
      </c>
    </row>
    <row r="714" spans="1:2" ht="16.5" hidden="1" customHeight="1">
      <c r="A714" s="106">
        <v>44177</v>
      </c>
      <c r="B714" s="110">
        <v>1086.2</v>
      </c>
    </row>
    <row r="715" spans="1:2" ht="16.5" hidden="1" customHeight="1">
      <c r="A715" s="106">
        <v>44178</v>
      </c>
      <c r="B715" s="110">
        <v>1086.2</v>
      </c>
    </row>
    <row r="716" spans="1:2" ht="16.5" hidden="1" customHeight="1">
      <c r="A716" s="106">
        <v>44179</v>
      </c>
      <c r="B716" s="110">
        <v>1089.3</v>
      </c>
    </row>
    <row r="717" spans="1:2" ht="16.5" hidden="1" customHeight="1">
      <c r="A717" s="106">
        <v>44180</v>
      </c>
      <c r="B717" s="110">
        <v>1090.8</v>
      </c>
    </row>
    <row r="718" spans="1:2" ht="16.5" hidden="1" customHeight="1">
      <c r="A718" s="106">
        <v>44181</v>
      </c>
      <c r="B718" s="110">
        <v>1093.2</v>
      </c>
    </row>
    <row r="719" spans="1:2" ht="16.5" hidden="1" customHeight="1">
      <c r="A719" s="106">
        <v>44182</v>
      </c>
      <c r="B719" s="110">
        <v>1092.2</v>
      </c>
    </row>
    <row r="720" spans="1:2" ht="16.5" hidden="1" customHeight="1">
      <c r="A720" s="106">
        <v>44183</v>
      </c>
      <c r="B720" s="110">
        <v>1092.8</v>
      </c>
    </row>
    <row r="721" spans="1:2" ht="16.5" hidden="1" customHeight="1">
      <c r="A721" s="106">
        <v>44184</v>
      </c>
      <c r="B721" s="110">
        <v>1092.8</v>
      </c>
    </row>
    <row r="722" spans="1:2" ht="16.5" hidden="1" customHeight="1">
      <c r="A722" s="106">
        <v>44185</v>
      </c>
      <c r="B722" s="110">
        <v>1092.8</v>
      </c>
    </row>
    <row r="723" spans="1:2" ht="16.5" hidden="1" customHeight="1">
      <c r="A723" s="106">
        <v>44186</v>
      </c>
      <c r="B723" s="110">
        <v>1097.9000000000001</v>
      </c>
    </row>
    <row r="724" spans="1:2" ht="16.5" hidden="1" customHeight="1">
      <c r="A724" s="106">
        <v>44187</v>
      </c>
      <c r="B724" s="110">
        <v>1101.2</v>
      </c>
    </row>
    <row r="725" spans="1:2" ht="16.5" hidden="1" customHeight="1">
      <c r="A725" s="106">
        <v>44188</v>
      </c>
      <c r="B725" s="110">
        <v>1106.5999999999999</v>
      </c>
    </row>
    <row r="726" spans="1:2" ht="16.5" hidden="1" customHeight="1">
      <c r="A726" s="106">
        <v>44189</v>
      </c>
      <c r="B726" s="110">
        <v>1108.9000000000001</v>
      </c>
    </row>
    <row r="727" spans="1:2" ht="16.5" hidden="1" customHeight="1">
      <c r="A727" s="106">
        <v>44190</v>
      </c>
      <c r="B727" s="110">
        <v>1108.9000000000001</v>
      </c>
    </row>
    <row r="728" spans="1:2" ht="16.5" hidden="1" customHeight="1">
      <c r="A728" s="106">
        <v>44191</v>
      </c>
      <c r="B728" s="110">
        <v>1108.9000000000001</v>
      </c>
    </row>
    <row r="729" spans="1:2" ht="16.5" hidden="1" customHeight="1">
      <c r="A729" s="106">
        <v>44192</v>
      </c>
      <c r="B729" s="110">
        <v>1108.9000000000001</v>
      </c>
    </row>
    <row r="730" spans="1:2" ht="16.5" hidden="1" customHeight="1">
      <c r="A730" s="106">
        <v>44193</v>
      </c>
      <c r="B730" s="110">
        <v>1103.7</v>
      </c>
    </row>
    <row r="731" spans="1:2" ht="16.5" hidden="1" customHeight="1">
      <c r="A731" s="106">
        <v>44194</v>
      </c>
      <c r="B731" s="110">
        <v>1098.2</v>
      </c>
    </row>
    <row r="732" spans="1:2" ht="16.5" hidden="1" customHeight="1">
      <c r="A732" s="106">
        <v>44195</v>
      </c>
      <c r="B732" s="110">
        <v>1093.2</v>
      </c>
    </row>
    <row r="733" spans="1:2" ht="16.5" hidden="1" customHeight="1">
      <c r="A733" s="106">
        <v>44196</v>
      </c>
      <c r="B733" s="110">
        <v>1088</v>
      </c>
    </row>
    <row r="734" spans="1:2" ht="16.5" hidden="1" customHeight="1">
      <c r="A734" s="106">
        <v>44197</v>
      </c>
      <c r="B734" s="110">
        <v>1088</v>
      </c>
    </row>
    <row r="735" spans="1:2" ht="16.5" hidden="1" customHeight="1">
      <c r="A735" s="106">
        <v>44198</v>
      </c>
      <c r="B735" s="110">
        <v>1088</v>
      </c>
    </row>
    <row r="736" spans="1:2" ht="16.5" hidden="1" customHeight="1">
      <c r="A736" s="106">
        <v>44199</v>
      </c>
      <c r="B736" s="110">
        <v>1088</v>
      </c>
    </row>
    <row r="737" spans="1:2" ht="16.5" hidden="1" customHeight="1">
      <c r="A737" s="106">
        <v>44200</v>
      </c>
      <c r="B737" s="110">
        <v>1088</v>
      </c>
    </row>
    <row r="738" spans="1:2" ht="16.5" hidden="1" customHeight="1">
      <c r="A738" s="106">
        <v>44201</v>
      </c>
      <c r="B738" s="110">
        <v>1083.0999999999999</v>
      </c>
    </row>
    <row r="739" spans="1:2" ht="16.5" hidden="1" customHeight="1">
      <c r="A739" s="106">
        <v>44202</v>
      </c>
      <c r="B739" s="110">
        <v>1086.0999999999999</v>
      </c>
    </row>
    <row r="740" spans="1:2" ht="16.5" hidden="1" customHeight="1">
      <c r="A740" s="106">
        <v>44203</v>
      </c>
      <c r="B740" s="110">
        <v>1086.8</v>
      </c>
    </row>
    <row r="741" spans="1:2" ht="16.5" hidden="1" customHeight="1">
      <c r="A741" s="106">
        <v>44204</v>
      </c>
      <c r="B741" s="110">
        <v>1087.7</v>
      </c>
    </row>
    <row r="742" spans="1:2" ht="16.5" hidden="1" customHeight="1">
      <c r="A742" s="106">
        <v>44205</v>
      </c>
      <c r="B742" s="110">
        <v>1087.7</v>
      </c>
    </row>
    <row r="743" spans="1:2" ht="16.5" hidden="1" customHeight="1">
      <c r="A743" s="106">
        <v>44206</v>
      </c>
      <c r="B743" s="110">
        <v>1087.7</v>
      </c>
    </row>
    <row r="744" spans="1:2" ht="16.5" hidden="1" customHeight="1">
      <c r="A744" s="106">
        <v>44207</v>
      </c>
      <c r="B744" s="110">
        <v>1094.4000000000001</v>
      </c>
    </row>
    <row r="745" spans="1:2" ht="16.5" hidden="1" customHeight="1">
      <c r="A745" s="106">
        <v>44208</v>
      </c>
      <c r="B745" s="110">
        <v>1097.8</v>
      </c>
    </row>
    <row r="746" spans="1:2" ht="16.5" hidden="1" customHeight="1">
      <c r="A746" s="106">
        <v>44209</v>
      </c>
      <c r="B746" s="110">
        <v>1099.9000000000001</v>
      </c>
    </row>
    <row r="747" spans="1:2" ht="16.5" hidden="1" customHeight="1">
      <c r="A747" s="106">
        <v>44210</v>
      </c>
      <c r="B747" s="110">
        <v>1095</v>
      </c>
    </row>
    <row r="748" spans="1:2" ht="16.5" hidden="1" customHeight="1">
      <c r="A748" s="106">
        <v>44211</v>
      </c>
      <c r="B748" s="110">
        <v>1100.3</v>
      </c>
    </row>
    <row r="749" spans="1:2" ht="16.5" hidden="1" customHeight="1">
      <c r="A749" s="106">
        <v>44212</v>
      </c>
      <c r="B749" s="110">
        <v>1100.3</v>
      </c>
    </row>
    <row r="750" spans="1:2" ht="16.5" hidden="1" customHeight="1">
      <c r="A750" s="106">
        <v>44213</v>
      </c>
      <c r="B750" s="110">
        <v>1100.3</v>
      </c>
    </row>
    <row r="751" spans="1:2" ht="16.5" hidden="1" customHeight="1">
      <c r="A751" s="106">
        <v>44214</v>
      </c>
      <c r="B751" s="110">
        <v>1097.9000000000001</v>
      </c>
    </row>
    <row r="752" spans="1:2" ht="16.5" hidden="1" customHeight="1">
      <c r="A752" s="106">
        <v>44215</v>
      </c>
      <c r="B752" s="110">
        <v>1104.4000000000001</v>
      </c>
    </row>
    <row r="753" spans="1:2" ht="16.5" hidden="1" customHeight="1">
      <c r="A753" s="106">
        <v>44216</v>
      </c>
      <c r="B753" s="110">
        <v>1102.0999999999999</v>
      </c>
    </row>
    <row r="754" spans="1:2" ht="16.5" hidden="1" customHeight="1">
      <c r="A754" s="106">
        <v>44217</v>
      </c>
      <c r="B754" s="110">
        <v>1100</v>
      </c>
    </row>
    <row r="755" spans="1:2" ht="16.5" hidden="1" customHeight="1">
      <c r="A755" s="106">
        <v>44218</v>
      </c>
      <c r="B755" s="110">
        <v>1099.2</v>
      </c>
    </row>
    <row r="756" spans="1:2" ht="16.5" hidden="1" customHeight="1">
      <c r="A756" s="106">
        <v>44219</v>
      </c>
      <c r="B756" s="110">
        <v>1099.2</v>
      </c>
    </row>
    <row r="757" spans="1:2" ht="16.5" hidden="1" customHeight="1">
      <c r="A757" s="106">
        <v>44220</v>
      </c>
      <c r="B757" s="110">
        <v>1099.2</v>
      </c>
    </row>
    <row r="758" spans="1:2" ht="16.5" hidden="1" customHeight="1">
      <c r="A758" s="106">
        <v>44221</v>
      </c>
      <c r="B758" s="110">
        <v>1102.3</v>
      </c>
    </row>
    <row r="759" spans="1:2" ht="16.5" hidden="1" customHeight="1">
      <c r="A759" s="106">
        <v>44222</v>
      </c>
      <c r="B759" s="110">
        <v>1103.2</v>
      </c>
    </row>
    <row r="760" spans="1:2" ht="16.5" hidden="1" customHeight="1">
      <c r="A760" s="106">
        <v>44223</v>
      </c>
      <c r="B760" s="110">
        <v>1103</v>
      </c>
    </row>
    <row r="761" spans="1:2" ht="16.5" hidden="1" customHeight="1">
      <c r="A761" s="106">
        <v>44224</v>
      </c>
      <c r="B761" s="110">
        <v>1104</v>
      </c>
    </row>
    <row r="762" spans="1:2" ht="16.5" hidden="1" customHeight="1">
      <c r="A762" s="106">
        <v>44225</v>
      </c>
      <c r="B762" s="110">
        <v>1114.5999999999999</v>
      </c>
    </row>
    <row r="763" spans="1:2" ht="16.5" hidden="1" customHeight="1">
      <c r="A763" s="106">
        <v>44226</v>
      </c>
      <c r="B763" s="110">
        <v>1114.5999999999999</v>
      </c>
    </row>
    <row r="764" spans="1:2" ht="16.5" hidden="1" customHeight="1">
      <c r="A764" s="106">
        <v>44227</v>
      </c>
      <c r="B764" s="110">
        <v>1114.5999999999999</v>
      </c>
    </row>
    <row r="765" spans="1:2" ht="16.5" hidden="1" customHeight="1">
      <c r="A765" s="106">
        <v>44228</v>
      </c>
      <c r="B765" s="110">
        <v>1117.2</v>
      </c>
    </row>
    <row r="766" spans="1:2" ht="16.5" hidden="1" customHeight="1">
      <c r="A766" s="106">
        <v>44229</v>
      </c>
      <c r="B766" s="110">
        <v>1118</v>
      </c>
    </row>
    <row r="767" spans="1:2" ht="16.5" hidden="1" customHeight="1">
      <c r="A767" s="106">
        <v>44230</v>
      </c>
      <c r="B767" s="110">
        <v>1116.5999999999999</v>
      </c>
    </row>
    <row r="768" spans="1:2" ht="16.5" hidden="1" customHeight="1">
      <c r="A768" s="106">
        <v>44231</v>
      </c>
      <c r="B768" s="110">
        <v>1114</v>
      </c>
    </row>
    <row r="769" spans="1:2" ht="16.5" hidden="1" customHeight="1">
      <c r="A769" s="106">
        <v>44232</v>
      </c>
      <c r="B769" s="110">
        <v>1116.7</v>
      </c>
    </row>
    <row r="770" spans="1:2" ht="16.5" hidden="1" customHeight="1">
      <c r="A770" s="106">
        <v>44233</v>
      </c>
      <c r="B770" s="110">
        <v>1116.7</v>
      </c>
    </row>
    <row r="771" spans="1:2" ht="16.5" hidden="1" customHeight="1">
      <c r="A771" s="106">
        <v>44234</v>
      </c>
      <c r="B771" s="110">
        <v>1116.7</v>
      </c>
    </row>
    <row r="772" spans="1:2" ht="16.5" hidden="1" customHeight="1">
      <c r="A772" s="106">
        <v>44235</v>
      </c>
      <c r="B772" s="110">
        <v>1124</v>
      </c>
    </row>
    <row r="773" spans="1:2" ht="16.5" hidden="1" customHeight="1">
      <c r="A773" s="106">
        <v>44236</v>
      </c>
      <c r="B773" s="110">
        <v>1119.0999999999999</v>
      </c>
    </row>
    <row r="774" spans="1:2" ht="16.5" hidden="1" customHeight="1">
      <c r="A774" s="106">
        <v>44237</v>
      </c>
      <c r="B774" s="110">
        <v>1116</v>
      </c>
    </row>
    <row r="775" spans="1:2" ht="16.5" hidden="1" customHeight="1">
      <c r="A775" s="106">
        <v>44238</v>
      </c>
      <c r="B775" s="110">
        <v>1116</v>
      </c>
    </row>
    <row r="776" spans="1:2" ht="16.5" hidden="1" customHeight="1">
      <c r="A776" s="106">
        <v>44239</v>
      </c>
      <c r="B776" s="110">
        <v>1116</v>
      </c>
    </row>
    <row r="777" spans="1:2" ht="16.5" hidden="1" customHeight="1">
      <c r="A777" s="106">
        <v>44240</v>
      </c>
      <c r="B777" s="110">
        <v>1116</v>
      </c>
    </row>
    <row r="778" spans="1:2" ht="16.5" hidden="1" customHeight="1">
      <c r="A778" s="106">
        <v>44241</v>
      </c>
      <c r="B778" s="110">
        <v>1116</v>
      </c>
    </row>
    <row r="779" spans="1:2" ht="16.5" hidden="1" customHeight="1">
      <c r="A779" s="106">
        <v>44242</v>
      </c>
      <c r="B779" s="110">
        <v>1110.0999999999999</v>
      </c>
    </row>
    <row r="780" spans="1:2" ht="16.5" hidden="1" customHeight="1">
      <c r="A780" s="106">
        <v>44243</v>
      </c>
      <c r="B780" s="110">
        <v>1103.0999999999999</v>
      </c>
    </row>
    <row r="781" spans="1:2" ht="16.5" hidden="1" customHeight="1">
      <c r="A781" s="106">
        <v>44244</v>
      </c>
      <c r="B781" s="110">
        <v>1099.7</v>
      </c>
    </row>
    <row r="782" spans="1:2" ht="16.5" hidden="1" customHeight="1">
      <c r="A782" s="106">
        <v>44245</v>
      </c>
      <c r="B782" s="110">
        <v>1107.7</v>
      </c>
    </row>
    <row r="783" spans="1:2" ht="16.5" hidden="1" customHeight="1">
      <c r="A783" s="106">
        <v>44246</v>
      </c>
      <c r="B783" s="110">
        <v>1105.7</v>
      </c>
    </row>
    <row r="784" spans="1:2" ht="16.5" hidden="1" customHeight="1">
      <c r="A784" s="106">
        <v>44247</v>
      </c>
      <c r="B784" s="110">
        <v>1105.7</v>
      </c>
    </row>
    <row r="785" spans="1:2" ht="16.5" hidden="1" customHeight="1">
      <c r="A785" s="106">
        <v>44248</v>
      </c>
      <c r="B785" s="110">
        <v>1105.7</v>
      </c>
    </row>
    <row r="786" spans="1:2" ht="16.5" hidden="1" customHeight="1">
      <c r="A786" s="106">
        <v>44249</v>
      </c>
      <c r="B786" s="110">
        <v>1107.0999999999999</v>
      </c>
    </row>
    <row r="787" spans="1:2" ht="16.5" hidden="1" customHeight="1">
      <c r="A787" s="106">
        <v>44250</v>
      </c>
      <c r="B787" s="110">
        <v>1106.5</v>
      </c>
    </row>
    <row r="788" spans="1:2" ht="16.5" hidden="1" customHeight="1">
      <c r="A788" s="106">
        <v>44251</v>
      </c>
      <c r="B788" s="110">
        <v>1110.8</v>
      </c>
    </row>
    <row r="789" spans="1:2" ht="16.5" hidden="1" customHeight="1">
      <c r="A789" s="106">
        <v>44252</v>
      </c>
      <c r="B789" s="110">
        <v>1110.2</v>
      </c>
    </row>
    <row r="790" spans="1:2" ht="16.5" hidden="1" customHeight="1">
      <c r="A790" s="106">
        <v>44253</v>
      </c>
      <c r="B790" s="110">
        <v>1108.4000000000001</v>
      </c>
    </row>
    <row r="791" spans="1:2" ht="16.5" hidden="1" customHeight="1">
      <c r="A791" s="106">
        <v>44254</v>
      </c>
      <c r="B791" s="110">
        <v>1108.4000000000001</v>
      </c>
    </row>
    <row r="792" spans="1:2" ht="16.5" hidden="1" customHeight="1">
      <c r="A792" s="106">
        <v>44255</v>
      </c>
      <c r="B792" s="110">
        <v>1108.4000000000001</v>
      </c>
    </row>
    <row r="793" spans="1:2" ht="16.5" hidden="1" customHeight="1">
      <c r="A793" s="106">
        <v>44256</v>
      </c>
      <c r="B793" s="110">
        <v>1108.4000000000001</v>
      </c>
    </row>
    <row r="794" spans="1:2" ht="16.5" hidden="1" customHeight="1">
      <c r="A794" s="106">
        <v>44257</v>
      </c>
      <c r="B794" s="110">
        <v>1121.8</v>
      </c>
    </row>
    <row r="795" spans="1:2" ht="16.5" hidden="1" customHeight="1">
      <c r="A795" s="106">
        <v>44258</v>
      </c>
      <c r="B795" s="110">
        <v>1121.3</v>
      </c>
    </row>
    <row r="796" spans="1:2" ht="16.5" hidden="1" customHeight="1">
      <c r="A796" s="106">
        <v>44259</v>
      </c>
      <c r="B796" s="110">
        <v>1122.9000000000001</v>
      </c>
    </row>
    <row r="797" spans="1:2" ht="16.5" hidden="1" customHeight="1">
      <c r="A797" s="106">
        <v>44260</v>
      </c>
      <c r="B797" s="110">
        <v>1126.2</v>
      </c>
    </row>
    <row r="798" spans="1:2" ht="16.5" hidden="1" customHeight="1">
      <c r="A798" s="106">
        <v>44261</v>
      </c>
      <c r="B798" s="110">
        <v>1126.2</v>
      </c>
    </row>
    <row r="799" spans="1:2" ht="16.5" hidden="1" customHeight="1">
      <c r="A799" s="106">
        <v>44262</v>
      </c>
      <c r="B799" s="110">
        <v>1126.2</v>
      </c>
    </row>
    <row r="800" spans="1:2" ht="16.5" hidden="1" customHeight="1">
      <c r="A800" s="106">
        <v>44263</v>
      </c>
      <c r="B800" s="110">
        <v>1129.4000000000001</v>
      </c>
    </row>
    <row r="801" spans="1:2" ht="16.5" hidden="1" customHeight="1">
      <c r="A801" s="106">
        <v>44264</v>
      </c>
      <c r="B801" s="110">
        <v>1131.3</v>
      </c>
    </row>
    <row r="802" spans="1:2" ht="16.5" hidden="1" customHeight="1">
      <c r="A802" s="106">
        <v>44265</v>
      </c>
      <c r="B802" s="110">
        <v>1141.0999999999999</v>
      </c>
    </row>
    <row r="803" spans="1:2" ht="16.5" hidden="1" customHeight="1">
      <c r="A803" s="106">
        <v>44266</v>
      </c>
      <c r="B803" s="110">
        <v>1140.7</v>
      </c>
    </row>
    <row r="804" spans="1:2" ht="16.5" hidden="1" customHeight="1">
      <c r="A804" s="106">
        <v>44267</v>
      </c>
      <c r="B804" s="110">
        <v>1137.3</v>
      </c>
    </row>
    <row r="805" spans="1:2" ht="16.5" hidden="1" customHeight="1">
      <c r="A805" s="106">
        <v>44268</v>
      </c>
      <c r="B805" s="110">
        <v>1137.3</v>
      </c>
    </row>
    <row r="806" spans="1:2" ht="16.5" hidden="1" customHeight="1">
      <c r="A806" s="106">
        <v>44269</v>
      </c>
      <c r="B806" s="110">
        <v>1137.3</v>
      </c>
    </row>
    <row r="807" spans="1:2" ht="16.5" hidden="1" customHeight="1">
      <c r="A807" s="106">
        <v>44270</v>
      </c>
      <c r="B807" s="110">
        <v>1130.7</v>
      </c>
    </row>
    <row r="808" spans="1:2" ht="16.5" hidden="1" customHeight="1">
      <c r="A808" s="106">
        <v>44271</v>
      </c>
      <c r="B808" s="110">
        <v>1135.9000000000001</v>
      </c>
    </row>
    <row r="809" spans="1:2" ht="16.5" hidden="1" customHeight="1">
      <c r="A809" s="106">
        <v>44272</v>
      </c>
      <c r="B809" s="110">
        <v>1132.5</v>
      </c>
    </row>
    <row r="810" spans="1:2" ht="16.5" hidden="1" customHeight="1">
      <c r="A810" s="106">
        <v>44273</v>
      </c>
      <c r="B810" s="110">
        <v>1131.8</v>
      </c>
    </row>
    <row r="811" spans="1:2" ht="16.5" hidden="1" customHeight="1">
      <c r="A811" s="106">
        <v>44274</v>
      </c>
      <c r="B811" s="110">
        <v>1123.7</v>
      </c>
    </row>
    <row r="812" spans="1:2" ht="16.5" hidden="1" customHeight="1">
      <c r="A812" s="106">
        <v>44275</v>
      </c>
      <c r="B812" s="110">
        <v>1123.7</v>
      </c>
    </row>
    <row r="813" spans="1:2" ht="16.5" hidden="1" customHeight="1">
      <c r="A813" s="106">
        <v>44276</v>
      </c>
      <c r="B813" s="110">
        <v>1123.7</v>
      </c>
    </row>
    <row r="814" spans="1:2" ht="16.5" hidden="1" customHeight="1">
      <c r="A814" s="106">
        <v>44277</v>
      </c>
      <c r="B814" s="110">
        <v>1131.8</v>
      </c>
    </row>
    <row r="815" spans="1:2" ht="16.5" hidden="1" customHeight="1">
      <c r="A815" s="106">
        <v>44278</v>
      </c>
      <c r="B815" s="110">
        <v>1131.3</v>
      </c>
    </row>
    <row r="816" spans="1:2" ht="16.5" hidden="1" customHeight="1">
      <c r="A816" s="106">
        <v>44279</v>
      </c>
      <c r="B816" s="110">
        <v>1128</v>
      </c>
    </row>
    <row r="817" spans="1:2" ht="16.5" hidden="1" customHeight="1">
      <c r="A817" s="106">
        <v>44280</v>
      </c>
      <c r="B817" s="110">
        <v>1133.5</v>
      </c>
    </row>
    <row r="818" spans="1:2" ht="16.5" hidden="1" customHeight="1">
      <c r="A818" s="106">
        <v>44281</v>
      </c>
      <c r="B818" s="110">
        <v>1134.2</v>
      </c>
    </row>
    <row r="819" spans="1:2" ht="16.5" hidden="1" customHeight="1">
      <c r="A819" s="106">
        <v>44282</v>
      </c>
      <c r="B819" s="110">
        <v>1134.2</v>
      </c>
    </row>
    <row r="820" spans="1:2" ht="16.5" hidden="1" customHeight="1">
      <c r="A820" s="106">
        <v>44283</v>
      </c>
      <c r="B820" s="110">
        <v>1134.2</v>
      </c>
    </row>
    <row r="821" spans="1:2" ht="16.5" hidden="1" customHeight="1">
      <c r="A821" s="106">
        <v>44284</v>
      </c>
      <c r="B821" s="110">
        <v>1131.8</v>
      </c>
    </row>
    <row r="822" spans="1:2" ht="16.5" hidden="1" customHeight="1">
      <c r="A822" s="106">
        <v>44285</v>
      </c>
      <c r="B822" s="110">
        <v>1131.7</v>
      </c>
    </row>
    <row r="823" spans="1:2" ht="16.5" hidden="1" customHeight="1">
      <c r="A823" s="106">
        <v>44286</v>
      </c>
      <c r="B823" s="110">
        <v>1133.5</v>
      </c>
    </row>
    <row r="824" spans="1:2" ht="16.5" hidden="1" customHeight="1">
      <c r="A824" s="106">
        <v>44287</v>
      </c>
      <c r="B824" s="110">
        <v>1132.5999999999999</v>
      </c>
    </row>
    <row r="825" spans="1:2" ht="16.5" hidden="1" customHeight="1">
      <c r="A825" s="106">
        <v>44288</v>
      </c>
      <c r="B825" s="110">
        <v>1129.3</v>
      </c>
    </row>
    <row r="826" spans="1:2" ht="16.5" hidden="1" customHeight="1">
      <c r="A826" s="106">
        <v>44289</v>
      </c>
      <c r="B826" s="110">
        <v>1129.3</v>
      </c>
    </row>
    <row r="827" spans="1:2" ht="16.5" hidden="1" customHeight="1">
      <c r="A827" s="106">
        <v>44290</v>
      </c>
      <c r="B827" s="110">
        <v>1129.3</v>
      </c>
    </row>
    <row r="828" spans="1:2" ht="16.5" hidden="1" customHeight="1">
      <c r="A828" s="106">
        <v>44291</v>
      </c>
      <c r="B828" s="110">
        <v>1127.5</v>
      </c>
    </row>
    <row r="829" spans="1:2" ht="16.5" hidden="1" customHeight="1">
      <c r="A829" s="106">
        <v>44292</v>
      </c>
      <c r="B829" s="110">
        <v>1127.8</v>
      </c>
    </row>
    <row r="830" spans="1:2" ht="16.5" hidden="1" customHeight="1">
      <c r="A830" s="106">
        <v>44293</v>
      </c>
      <c r="B830" s="110">
        <v>1122.9000000000001</v>
      </c>
    </row>
    <row r="831" spans="1:2" ht="16.5" hidden="1" customHeight="1">
      <c r="A831" s="106">
        <v>44294</v>
      </c>
      <c r="B831" s="110">
        <v>1116.4000000000001</v>
      </c>
    </row>
    <row r="832" spans="1:2" ht="16.5" hidden="1" customHeight="1">
      <c r="A832" s="106">
        <v>44295</v>
      </c>
      <c r="B832" s="110">
        <v>1118.5</v>
      </c>
    </row>
    <row r="833" spans="1:2" ht="16.5" hidden="1" customHeight="1">
      <c r="A833" s="106">
        <v>44296</v>
      </c>
      <c r="B833" s="110">
        <v>1118.5</v>
      </c>
    </row>
    <row r="834" spans="1:2" ht="16.5" hidden="1" customHeight="1">
      <c r="A834" s="106">
        <v>44297</v>
      </c>
      <c r="B834" s="110">
        <v>1118.5</v>
      </c>
    </row>
    <row r="835" spans="1:2" ht="16.5" hidden="1" customHeight="1">
      <c r="A835" s="106">
        <v>44298</v>
      </c>
      <c r="B835" s="110">
        <v>1117.2</v>
      </c>
    </row>
    <row r="836" spans="1:2" ht="16.5" hidden="1" customHeight="1">
      <c r="A836" s="106">
        <v>44299</v>
      </c>
      <c r="B836" s="110">
        <v>1124.3</v>
      </c>
    </row>
    <row r="837" spans="1:2" ht="16.5" hidden="1" customHeight="1">
      <c r="A837" s="106">
        <v>44300</v>
      </c>
      <c r="B837" s="110">
        <v>1126.0999999999999</v>
      </c>
    </row>
    <row r="838" spans="1:2" ht="16.5" hidden="1" customHeight="1">
      <c r="A838" s="106">
        <v>44301</v>
      </c>
      <c r="B838" s="110">
        <v>1119.9000000000001</v>
      </c>
    </row>
    <row r="839" spans="1:2" ht="16.5" hidden="1" customHeight="1">
      <c r="A839" s="106">
        <v>44302</v>
      </c>
      <c r="B839" s="110">
        <v>1117.5999999999999</v>
      </c>
    </row>
    <row r="840" spans="1:2" ht="16.5" hidden="1" customHeight="1">
      <c r="A840" s="106">
        <v>44303</v>
      </c>
      <c r="B840" s="110">
        <v>1117.5999999999999</v>
      </c>
    </row>
    <row r="841" spans="1:2" ht="16.5" hidden="1" customHeight="1">
      <c r="A841" s="106">
        <v>44304</v>
      </c>
      <c r="B841" s="110">
        <v>1117.5999999999999</v>
      </c>
    </row>
    <row r="842" spans="1:2" ht="16.5" hidden="1" customHeight="1">
      <c r="A842" s="106">
        <v>44305</v>
      </c>
      <c r="B842" s="110">
        <v>1117.9000000000001</v>
      </c>
    </row>
    <row r="843" spans="1:2" ht="16.5" hidden="1" customHeight="1">
      <c r="A843" s="106">
        <v>44306</v>
      </c>
      <c r="B843" s="110">
        <v>1118.2</v>
      </c>
    </row>
    <row r="844" spans="1:2" ht="16.5" hidden="1" customHeight="1">
      <c r="A844" s="106">
        <v>44307</v>
      </c>
      <c r="B844" s="110">
        <v>1113.4000000000001</v>
      </c>
    </row>
    <row r="845" spans="1:2" ht="16.5" hidden="1" customHeight="1">
      <c r="A845" s="106">
        <v>44308</v>
      </c>
      <c r="B845" s="110">
        <v>1117.4000000000001</v>
      </c>
    </row>
    <row r="846" spans="1:2" ht="16.5" hidden="1" customHeight="1">
      <c r="A846" s="106">
        <v>44309</v>
      </c>
      <c r="B846" s="110">
        <v>1116.3</v>
      </c>
    </row>
    <row r="847" spans="1:2" ht="16.5" hidden="1" customHeight="1">
      <c r="A847" s="106">
        <v>44310</v>
      </c>
      <c r="B847" s="110">
        <v>1116.3</v>
      </c>
    </row>
    <row r="848" spans="1:2" ht="16.5" hidden="1" customHeight="1">
      <c r="A848" s="106">
        <v>44311</v>
      </c>
      <c r="B848" s="110">
        <v>1116.3</v>
      </c>
    </row>
    <row r="849" spans="1:6" ht="16.5" hidden="1" customHeight="1">
      <c r="A849" s="106">
        <v>44312</v>
      </c>
      <c r="B849" s="110">
        <v>1118.9000000000001</v>
      </c>
    </row>
    <row r="850" spans="1:6" ht="16.5" hidden="1" customHeight="1">
      <c r="A850" s="106">
        <v>44313</v>
      </c>
      <c r="B850" s="110">
        <v>1114</v>
      </c>
    </row>
    <row r="851" spans="1:6" ht="16.5" hidden="1" customHeight="1">
      <c r="A851" s="106">
        <v>44314</v>
      </c>
      <c r="B851" s="110">
        <v>1110.8</v>
      </c>
    </row>
    <row r="852" spans="1:6" ht="16.5" hidden="1" customHeight="1">
      <c r="A852" s="106">
        <v>44315</v>
      </c>
      <c r="B852" s="110">
        <v>1112.5</v>
      </c>
    </row>
    <row r="853" spans="1:6" ht="16.5" hidden="1" customHeight="1">
      <c r="A853" s="106">
        <v>44316</v>
      </c>
      <c r="B853" s="110">
        <v>1107.4000000000001</v>
      </c>
    </row>
    <row r="854" spans="1:6" ht="16.5" hidden="1" customHeight="1">
      <c r="A854" s="106">
        <v>44317</v>
      </c>
      <c r="B854" s="110">
        <v>1107.4000000000001</v>
      </c>
      <c r="E854" t="s">
        <v>18</v>
      </c>
      <c r="F854" s="109" t="e">
        <f>#REF!+60</f>
        <v>#REF!</v>
      </c>
    </row>
    <row r="855" spans="1:6" ht="16.5" hidden="1" customHeight="1">
      <c r="A855" s="106">
        <v>44318</v>
      </c>
      <c r="B855" s="110">
        <v>1107.4000000000001</v>
      </c>
      <c r="E855" t="s">
        <v>20</v>
      </c>
      <c r="F855" s="109" t="e">
        <f>#REF!+60</f>
        <v>#REF!</v>
      </c>
    </row>
    <row r="856" spans="1:6" ht="16.5" hidden="1" customHeight="1">
      <c r="A856" s="106">
        <v>44319</v>
      </c>
      <c r="B856" s="110">
        <v>1109.5999999999999</v>
      </c>
      <c r="E856" t="s">
        <v>77</v>
      </c>
      <c r="F856" s="109" t="e">
        <f>#REF!+45</f>
        <v>#REF!</v>
      </c>
    </row>
    <row r="857" spans="1:6" ht="16.5" hidden="1" customHeight="1">
      <c r="A857" s="106">
        <v>44320</v>
      </c>
      <c r="B857" s="110">
        <v>1119.3</v>
      </c>
      <c r="E857" t="s">
        <v>66</v>
      </c>
      <c r="F857" s="109" t="e">
        <f>#REF!+45</f>
        <v>#REF!</v>
      </c>
    </row>
    <row r="858" spans="1:6" ht="16.5" hidden="1" customHeight="1">
      <c r="A858" s="106">
        <v>44321</v>
      </c>
      <c r="B858" s="110">
        <v>1119.3</v>
      </c>
      <c r="E858" t="s">
        <v>78</v>
      </c>
      <c r="F858" s="109"/>
    </row>
    <row r="859" spans="1:6" ht="16.5" hidden="1" customHeight="1">
      <c r="A859" s="106">
        <v>44322</v>
      </c>
      <c r="B859" s="110">
        <v>1121.0999999999999</v>
      </c>
      <c r="E859" t="s">
        <v>79</v>
      </c>
      <c r="F859" s="109"/>
    </row>
    <row r="860" spans="1:6" ht="16.5" hidden="1" customHeight="1">
      <c r="A860" s="106">
        <v>44323</v>
      </c>
      <c r="B860" s="110">
        <v>1125.5</v>
      </c>
      <c r="E860" t="s">
        <v>21</v>
      </c>
    </row>
    <row r="861" spans="1:6" ht="16.5" hidden="1" customHeight="1">
      <c r="A861" s="106">
        <v>44324</v>
      </c>
      <c r="B861" s="110">
        <v>1125.5</v>
      </c>
    </row>
    <row r="862" spans="1:6" ht="16.5" hidden="1" customHeight="1">
      <c r="A862" s="106">
        <v>44325</v>
      </c>
      <c r="B862" s="110">
        <v>1125.5</v>
      </c>
    </row>
    <row r="863" spans="1:6" ht="16.5" hidden="1" customHeight="1">
      <c r="A863" s="106">
        <v>44326</v>
      </c>
      <c r="B863" s="110">
        <v>1121.4000000000001</v>
      </c>
    </row>
    <row r="864" spans="1:6" ht="16.5" hidden="1" customHeight="1">
      <c r="A864" s="106">
        <v>44327</v>
      </c>
      <c r="B864" s="110">
        <v>1114.5999999999999</v>
      </c>
    </row>
    <row r="865" spans="1:2" ht="16.5" hidden="1" customHeight="1">
      <c r="A865" s="106">
        <v>44328</v>
      </c>
      <c r="B865" s="110">
        <v>1119.0999999999999</v>
      </c>
    </row>
    <row r="866" spans="1:2" ht="16.5" hidden="1" customHeight="1">
      <c r="A866" s="106">
        <v>44329</v>
      </c>
      <c r="B866" s="110">
        <v>1123.5</v>
      </c>
    </row>
    <row r="867" spans="1:2" ht="16.5" hidden="1" customHeight="1">
      <c r="A867" s="106">
        <v>44330</v>
      </c>
      <c r="B867" s="110">
        <v>1130.5999999999999</v>
      </c>
    </row>
    <row r="868" spans="1:2" ht="16.5" hidden="1" customHeight="1">
      <c r="A868" s="106">
        <v>44331</v>
      </c>
      <c r="B868" s="110">
        <v>1130.5999999999999</v>
      </c>
    </row>
    <row r="869" spans="1:2" ht="16.5" hidden="1" customHeight="1">
      <c r="A869" s="106">
        <v>44332</v>
      </c>
      <c r="B869" s="110">
        <v>1130.5999999999999</v>
      </c>
    </row>
    <row r="870" spans="1:2" ht="16.5" hidden="1" customHeight="1">
      <c r="A870" s="106">
        <v>44333</v>
      </c>
      <c r="B870" s="110">
        <v>1129.5</v>
      </c>
    </row>
    <row r="871" spans="1:2" ht="16.5" hidden="1" customHeight="1">
      <c r="A871" s="106">
        <v>44334</v>
      </c>
      <c r="B871" s="110">
        <v>1133</v>
      </c>
    </row>
    <row r="872" spans="1:2" ht="16.5" hidden="1" customHeight="1">
      <c r="A872" s="106">
        <v>44335</v>
      </c>
      <c r="B872" s="110">
        <v>1133</v>
      </c>
    </row>
    <row r="873" spans="1:2" ht="16.5" hidden="1" customHeight="1">
      <c r="A873" s="106">
        <v>44336</v>
      </c>
      <c r="B873" s="110">
        <v>1133.0999999999999</v>
      </c>
    </row>
    <row r="874" spans="1:2" ht="16.5" hidden="1" customHeight="1">
      <c r="A874" s="106">
        <v>44337</v>
      </c>
      <c r="B874" s="110">
        <v>1132.2</v>
      </c>
    </row>
    <row r="875" spans="1:2" ht="16.5" hidden="1" customHeight="1">
      <c r="A875" s="106">
        <v>44338</v>
      </c>
      <c r="B875" s="110">
        <v>1132.2</v>
      </c>
    </row>
    <row r="876" spans="1:2" ht="16.5" hidden="1" customHeight="1">
      <c r="A876" s="106">
        <v>44339</v>
      </c>
      <c r="B876" s="110">
        <v>1132.2</v>
      </c>
    </row>
    <row r="877" spans="1:2" ht="16.5" hidden="1" customHeight="1">
      <c r="A877" s="106">
        <v>44340</v>
      </c>
      <c r="B877" s="110">
        <v>1126.9000000000001</v>
      </c>
    </row>
    <row r="878" spans="1:2" ht="16.5" hidden="1" customHeight="1">
      <c r="A878" s="106">
        <v>44341</v>
      </c>
      <c r="B878" s="110">
        <v>1127.5999999999999</v>
      </c>
    </row>
    <row r="879" spans="1:2" ht="16.5" hidden="1" customHeight="1">
      <c r="A879" s="106">
        <v>44342</v>
      </c>
      <c r="B879" s="110">
        <v>1122.8</v>
      </c>
    </row>
    <row r="880" spans="1:2" ht="16.5" hidden="1" customHeight="1">
      <c r="A880" s="106">
        <v>44343</v>
      </c>
      <c r="B880" s="110">
        <v>1118.5999999999999</v>
      </c>
    </row>
    <row r="881" spans="1:2" ht="16.5" hidden="1" customHeight="1">
      <c r="A881" s="106">
        <v>44344</v>
      </c>
      <c r="B881" s="110">
        <v>1118</v>
      </c>
    </row>
    <row r="882" spans="1:2" ht="16.5" hidden="1" customHeight="1">
      <c r="A882" s="106">
        <v>44345</v>
      </c>
      <c r="B882" s="110">
        <v>1118</v>
      </c>
    </row>
    <row r="883" spans="1:2" ht="16.5" hidden="1" customHeight="1">
      <c r="A883" s="106">
        <v>44346</v>
      </c>
      <c r="B883" s="110">
        <v>1118</v>
      </c>
    </row>
    <row r="884" spans="1:2" ht="16.5" hidden="1" customHeight="1">
      <c r="A884" s="106">
        <v>44347</v>
      </c>
      <c r="B884" s="110">
        <v>1116</v>
      </c>
    </row>
    <row r="885" spans="1:2" ht="16.5" hidden="1" customHeight="1">
      <c r="A885" s="106">
        <v>44348</v>
      </c>
      <c r="B885" s="110">
        <v>1113.5</v>
      </c>
    </row>
    <row r="886" spans="1:2" ht="16.5" hidden="1" customHeight="1">
      <c r="A886" s="106">
        <v>44349</v>
      </c>
      <c r="B886" s="110">
        <v>1107</v>
      </c>
    </row>
    <row r="887" spans="1:2" ht="16.5" hidden="1" customHeight="1">
      <c r="A887" s="106">
        <v>44350</v>
      </c>
      <c r="B887" s="110">
        <v>1110.3</v>
      </c>
    </row>
    <row r="888" spans="1:2" ht="16.5" hidden="1" customHeight="1">
      <c r="A888" s="106">
        <v>44351</v>
      </c>
      <c r="B888" s="110">
        <v>1111.8</v>
      </c>
    </row>
    <row r="889" spans="1:2" ht="16.5" hidden="1" customHeight="1">
      <c r="A889" s="106">
        <v>44352</v>
      </c>
      <c r="B889" s="110">
        <v>1111.8</v>
      </c>
    </row>
    <row r="890" spans="1:2" ht="16.5" hidden="1" customHeight="1">
      <c r="A890" s="106">
        <v>44353</v>
      </c>
      <c r="B890" s="110">
        <v>1111.8</v>
      </c>
    </row>
    <row r="891" spans="1:2" ht="16.5" hidden="1" customHeight="1">
      <c r="A891" s="106">
        <v>44354</v>
      </c>
      <c r="B891" s="110">
        <v>1117.5</v>
      </c>
    </row>
    <row r="892" spans="1:2" ht="16.5" hidden="1" customHeight="1">
      <c r="A892" s="106">
        <v>44355</v>
      </c>
      <c r="B892" s="110">
        <v>1111.2</v>
      </c>
    </row>
    <row r="893" spans="1:2" ht="16.5" hidden="1" customHeight="1">
      <c r="A893" s="106">
        <v>44356</v>
      </c>
      <c r="B893" s="110">
        <v>1113.7</v>
      </c>
    </row>
    <row r="894" spans="1:2" ht="16.5" hidden="1" customHeight="1">
      <c r="A894" s="106">
        <v>44357</v>
      </c>
      <c r="B894" s="110">
        <v>1115.8</v>
      </c>
    </row>
    <row r="895" spans="1:2" ht="16.5" hidden="1" customHeight="1">
      <c r="A895" s="106">
        <v>44358</v>
      </c>
      <c r="B895" s="110">
        <v>1115</v>
      </c>
    </row>
    <row r="896" spans="1:2" ht="16.5" hidden="1" customHeight="1">
      <c r="A896" s="106">
        <v>44359</v>
      </c>
      <c r="B896" s="110">
        <v>1115</v>
      </c>
    </row>
    <row r="897" spans="1:2" ht="16.5" hidden="1" customHeight="1">
      <c r="A897" s="106">
        <v>44360</v>
      </c>
      <c r="B897" s="110">
        <v>1115</v>
      </c>
    </row>
    <row r="898" spans="1:2" ht="16.5" hidden="1" customHeight="1">
      <c r="A898" s="106">
        <v>44361</v>
      </c>
      <c r="B898" s="110">
        <v>1111.2</v>
      </c>
    </row>
    <row r="899" spans="1:2" ht="16.5" hidden="1" customHeight="1">
      <c r="A899" s="106">
        <v>44362</v>
      </c>
      <c r="B899" s="110">
        <v>1116.4000000000001</v>
      </c>
    </row>
    <row r="900" spans="1:2" ht="16.5" hidden="1" customHeight="1">
      <c r="A900" s="106">
        <v>44363</v>
      </c>
      <c r="B900" s="110">
        <v>1117.8</v>
      </c>
    </row>
    <row r="901" spans="1:2" ht="16.5" hidden="1" customHeight="1">
      <c r="A901" s="106">
        <v>44364</v>
      </c>
      <c r="B901" s="110">
        <v>1117.7</v>
      </c>
    </row>
    <row r="902" spans="1:2" ht="16.5" hidden="1" customHeight="1">
      <c r="A902" s="106">
        <v>44365</v>
      </c>
      <c r="B902" s="110">
        <v>1129.5</v>
      </c>
    </row>
    <row r="903" spans="1:2" ht="16.5" hidden="1" customHeight="1">
      <c r="A903" s="106">
        <v>44366</v>
      </c>
      <c r="B903" s="110">
        <v>1129.5</v>
      </c>
    </row>
    <row r="904" spans="1:2" ht="16.5" hidden="1" customHeight="1">
      <c r="A904" s="106">
        <v>44367</v>
      </c>
      <c r="B904" s="110">
        <v>1129.5</v>
      </c>
    </row>
    <row r="905" spans="1:2" ht="16.5" hidden="1" customHeight="1">
      <c r="A905" s="106">
        <v>44368</v>
      </c>
      <c r="B905" s="110">
        <v>1132.2</v>
      </c>
    </row>
    <row r="906" spans="1:2" ht="16.5" hidden="1" customHeight="1">
      <c r="A906" s="106">
        <v>44369</v>
      </c>
      <c r="B906" s="110">
        <v>1135.4000000000001</v>
      </c>
    </row>
    <row r="907" spans="1:2" ht="16.5" hidden="1" customHeight="1">
      <c r="A907" s="106">
        <v>44370</v>
      </c>
      <c r="B907" s="110">
        <v>1132.4000000000001</v>
      </c>
    </row>
    <row r="908" spans="1:2" ht="16.5" hidden="1" customHeight="1">
      <c r="A908" s="106">
        <v>44371</v>
      </c>
      <c r="B908" s="110">
        <v>1135.5999999999999</v>
      </c>
    </row>
    <row r="909" spans="1:2" ht="16.5" hidden="1" customHeight="1">
      <c r="A909" s="106">
        <v>44372</v>
      </c>
      <c r="B909" s="110">
        <v>1135.8</v>
      </c>
    </row>
    <row r="910" spans="1:2" ht="16.5" hidden="1" customHeight="1">
      <c r="A910" s="106">
        <v>44373</v>
      </c>
      <c r="B910" s="110">
        <v>1135.8</v>
      </c>
    </row>
    <row r="911" spans="1:2" ht="16.5" hidden="1" customHeight="1">
      <c r="A911" s="106">
        <v>44374</v>
      </c>
      <c r="B911" s="110">
        <v>1135.8</v>
      </c>
    </row>
    <row r="912" spans="1:2" ht="16.5" hidden="1" customHeight="1">
      <c r="A912" s="106">
        <v>44375</v>
      </c>
      <c r="B912" s="110">
        <v>1128.8</v>
      </c>
    </row>
    <row r="913" spans="1:2" ht="16.5" hidden="1" customHeight="1">
      <c r="A913" s="106">
        <v>44376</v>
      </c>
      <c r="B913" s="110">
        <v>1129.9000000000001</v>
      </c>
    </row>
    <row r="914" spans="1:2" ht="16.5" hidden="1" customHeight="1">
      <c r="A914" s="106">
        <v>44377</v>
      </c>
      <c r="B914" s="110">
        <v>1130</v>
      </c>
    </row>
    <row r="915" spans="1:2" ht="16.5" hidden="1" customHeight="1">
      <c r="A915" s="106">
        <v>44378</v>
      </c>
      <c r="B915" s="110">
        <v>1129.5</v>
      </c>
    </row>
    <row r="916" spans="1:2" ht="16.5" hidden="1" customHeight="1">
      <c r="A916" s="106">
        <v>44379</v>
      </c>
      <c r="B916" s="110">
        <v>1132.2</v>
      </c>
    </row>
    <row r="917" spans="1:2" ht="16.5" hidden="1" customHeight="1">
      <c r="A917" s="106">
        <v>44380</v>
      </c>
      <c r="B917" s="110">
        <v>1132.2</v>
      </c>
    </row>
    <row r="918" spans="1:2" ht="16.5" hidden="1" customHeight="1">
      <c r="A918" s="106">
        <v>44381</v>
      </c>
      <c r="B918" s="110">
        <v>1132.2</v>
      </c>
    </row>
    <row r="919" spans="1:2" ht="16.5" hidden="1" customHeight="1">
      <c r="A919" s="106">
        <v>44382</v>
      </c>
      <c r="B919" s="110">
        <v>1134.5</v>
      </c>
    </row>
    <row r="920" spans="1:2" ht="16.5" hidden="1" customHeight="1">
      <c r="A920" s="106">
        <v>44383</v>
      </c>
      <c r="B920" s="110">
        <v>1130.3</v>
      </c>
    </row>
    <row r="921" spans="1:2" ht="16.5" hidden="1" customHeight="1">
      <c r="A921" s="106">
        <v>44384</v>
      </c>
      <c r="B921" s="110">
        <v>1131.8</v>
      </c>
    </row>
    <row r="922" spans="1:2" ht="16.5" hidden="1" customHeight="1">
      <c r="A922" s="106">
        <v>44385</v>
      </c>
      <c r="B922" s="110">
        <v>1137.5999999999999</v>
      </c>
    </row>
    <row r="923" spans="1:2" ht="16.5" hidden="1" customHeight="1">
      <c r="A923" s="106">
        <v>44386</v>
      </c>
      <c r="B923" s="110">
        <v>1143.4000000000001</v>
      </c>
    </row>
    <row r="924" spans="1:2" ht="16.5" hidden="1" customHeight="1">
      <c r="A924" s="106">
        <v>44387</v>
      </c>
      <c r="B924" s="110">
        <v>1143.4000000000001</v>
      </c>
    </row>
    <row r="925" spans="1:2" ht="16.5" hidden="1" customHeight="1">
      <c r="A925" s="106">
        <v>44388</v>
      </c>
      <c r="B925" s="110">
        <v>1143.4000000000001</v>
      </c>
    </row>
    <row r="926" spans="1:2" ht="16.5" hidden="1" customHeight="1">
      <c r="A926" s="106">
        <v>44389</v>
      </c>
      <c r="B926" s="110">
        <v>1148.3</v>
      </c>
    </row>
    <row r="927" spans="1:2" ht="16.5" hidden="1" customHeight="1">
      <c r="A927" s="106">
        <v>44390</v>
      </c>
      <c r="B927" s="110">
        <v>1146.4000000000001</v>
      </c>
    </row>
    <row r="928" spans="1:2" ht="16.5" hidden="1" customHeight="1">
      <c r="A928" s="106">
        <v>44391</v>
      </c>
      <c r="B928" s="110">
        <v>1145.0999999999999</v>
      </c>
    </row>
    <row r="929" spans="1:2" ht="16.5" hidden="1" customHeight="1">
      <c r="A929" s="106">
        <v>44392</v>
      </c>
      <c r="B929" s="110">
        <v>1150.3</v>
      </c>
    </row>
    <row r="930" spans="1:2" ht="16.5" hidden="1" customHeight="1">
      <c r="A930" s="106">
        <v>44393</v>
      </c>
      <c r="B930" s="110">
        <v>1143.7</v>
      </c>
    </row>
    <row r="931" spans="1:2" ht="16.5" hidden="1" customHeight="1">
      <c r="A931" s="106">
        <v>44394</v>
      </c>
      <c r="B931" s="110">
        <v>1143.7</v>
      </c>
    </row>
    <row r="932" spans="1:2" ht="16.5" hidden="1" customHeight="1">
      <c r="A932" s="106">
        <v>44395</v>
      </c>
      <c r="B932" s="110">
        <v>1143.7</v>
      </c>
    </row>
    <row r="933" spans="1:2" ht="16.5" hidden="1" customHeight="1">
      <c r="A933" s="106">
        <v>44396</v>
      </c>
      <c r="B933" s="110">
        <v>1141.0999999999999</v>
      </c>
    </row>
    <row r="934" spans="1:2" ht="16.5" hidden="1" customHeight="1">
      <c r="A934" s="106">
        <v>44397</v>
      </c>
      <c r="B934" s="110">
        <v>1145.7</v>
      </c>
    </row>
    <row r="935" spans="1:2" ht="16.5" hidden="1" customHeight="1">
      <c r="A935" s="106">
        <v>44398</v>
      </c>
      <c r="B935" s="110">
        <v>1151</v>
      </c>
    </row>
    <row r="936" spans="1:2" ht="16.5" hidden="1" customHeight="1">
      <c r="A936" s="106">
        <v>44399</v>
      </c>
      <c r="B936" s="110">
        <v>1050.5999999999999</v>
      </c>
    </row>
    <row r="937" spans="1:2" ht="16.5" hidden="1" customHeight="1">
      <c r="A937" s="106">
        <v>44400</v>
      </c>
      <c r="B937" s="110">
        <v>1151</v>
      </c>
    </row>
    <row r="938" spans="1:2" ht="16.5" hidden="1" customHeight="1">
      <c r="A938" s="106">
        <v>44401</v>
      </c>
      <c r="B938" s="110">
        <v>1151</v>
      </c>
    </row>
    <row r="939" spans="1:2" ht="16.5" hidden="1" customHeight="1">
      <c r="A939" s="106">
        <v>44402</v>
      </c>
      <c r="B939" s="110">
        <v>1151</v>
      </c>
    </row>
    <row r="940" spans="1:2" ht="16.5" hidden="1" customHeight="1">
      <c r="A940" s="106">
        <v>44403</v>
      </c>
      <c r="B940" s="110">
        <v>1149.5</v>
      </c>
    </row>
    <row r="941" spans="1:2" ht="16.5" hidden="1" customHeight="1">
      <c r="A941" s="106">
        <v>44404</v>
      </c>
      <c r="B941" s="110">
        <v>1153.2</v>
      </c>
    </row>
    <row r="942" spans="1:2" ht="16.5" hidden="1" customHeight="1">
      <c r="A942" s="106">
        <v>44405</v>
      </c>
      <c r="B942" s="110">
        <v>1150.2</v>
      </c>
    </row>
    <row r="943" spans="1:2" ht="16.5" hidden="1" customHeight="1">
      <c r="A943" s="106">
        <v>44406</v>
      </c>
      <c r="B943" s="110">
        <v>1154.8</v>
      </c>
    </row>
    <row r="944" spans="1:2" ht="16.5" hidden="1" customHeight="1">
      <c r="A944" s="106">
        <v>44407</v>
      </c>
      <c r="B944" s="110">
        <v>1147.4000000000001</v>
      </c>
    </row>
    <row r="945" spans="1:2" ht="16.5" hidden="1" customHeight="1">
      <c r="A945" s="106">
        <v>44408</v>
      </c>
      <c r="B945" s="110">
        <v>1147.4000000000001</v>
      </c>
    </row>
    <row r="946" spans="1:2" ht="16.5" hidden="1" customHeight="1">
      <c r="A946" s="106">
        <v>44409</v>
      </c>
      <c r="B946" s="110">
        <v>1147.4000000000001</v>
      </c>
    </row>
    <row r="947" spans="1:2" ht="16.5" hidden="1" customHeight="1">
      <c r="A947" s="106">
        <v>44410</v>
      </c>
      <c r="B947" s="110">
        <v>1147.5</v>
      </c>
    </row>
    <row r="948" spans="1:2" ht="16.5" hidden="1" customHeight="1">
      <c r="A948" s="106">
        <v>44411</v>
      </c>
      <c r="B948" s="110">
        <v>1151.5</v>
      </c>
    </row>
    <row r="949" spans="1:2" ht="16.5" hidden="1" customHeight="1">
      <c r="A949" s="106">
        <v>44412</v>
      </c>
      <c r="B949" s="110">
        <v>1150.7</v>
      </c>
    </row>
    <row r="950" spans="1:2" ht="16.5" hidden="1" customHeight="1">
      <c r="A950" s="106">
        <v>44413</v>
      </c>
      <c r="B950" s="110">
        <v>1145.8</v>
      </c>
    </row>
    <row r="951" spans="1:2" ht="16.5" hidden="1" customHeight="1">
      <c r="A951" s="106">
        <v>44414</v>
      </c>
      <c r="B951" s="110">
        <v>1143.5</v>
      </c>
    </row>
    <row r="952" spans="1:2" ht="16.5" hidden="1" customHeight="1">
      <c r="A952" s="106">
        <v>44415</v>
      </c>
      <c r="B952" s="110">
        <v>1143.5</v>
      </c>
    </row>
    <row r="953" spans="1:2" ht="16.5" hidden="1" customHeight="1">
      <c r="A953" s="106">
        <v>44416</v>
      </c>
      <c r="B953" s="110">
        <v>1143.5</v>
      </c>
    </row>
    <row r="954" spans="1:2" ht="16.5" hidden="1" customHeight="1">
      <c r="A954" s="106">
        <v>44417</v>
      </c>
      <c r="B954" s="110">
        <v>1142.3</v>
      </c>
    </row>
    <row r="955" spans="1:2" ht="16.5" hidden="1" customHeight="1">
      <c r="A955" s="106">
        <v>44418</v>
      </c>
      <c r="B955" s="110">
        <v>1145</v>
      </c>
    </row>
    <row r="956" spans="1:2" ht="16.5" hidden="1" customHeight="1">
      <c r="A956" s="106">
        <v>44419</v>
      </c>
      <c r="B956" s="110">
        <v>1148.5</v>
      </c>
    </row>
    <row r="957" spans="1:2" ht="16.5" hidden="1" customHeight="1">
      <c r="A957" s="106">
        <v>44420</v>
      </c>
      <c r="B957" s="110">
        <v>1155</v>
      </c>
    </row>
    <row r="958" spans="1:2" ht="16.5" hidden="1" customHeight="1">
      <c r="A958" s="106">
        <v>44421</v>
      </c>
      <c r="B958" s="110">
        <v>1158.9000000000001</v>
      </c>
    </row>
    <row r="959" spans="1:2" ht="16.5" hidden="1" customHeight="1">
      <c r="A959" s="106">
        <v>44422</v>
      </c>
      <c r="B959" s="110">
        <v>1158.9000000000001</v>
      </c>
    </row>
    <row r="960" spans="1:2" ht="16.5" hidden="1" customHeight="1">
      <c r="A960" s="106">
        <v>44423</v>
      </c>
      <c r="B960" s="110">
        <v>1158.9000000000001</v>
      </c>
    </row>
    <row r="961" spans="1:2" ht="16.5" hidden="1" customHeight="1">
      <c r="A961" s="106">
        <v>44424</v>
      </c>
      <c r="B961" s="110">
        <v>1158.9000000000001</v>
      </c>
    </row>
    <row r="962" spans="1:2" ht="16.5" hidden="1" customHeight="1">
      <c r="A962" s="106">
        <v>44425</v>
      </c>
      <c r="B962" s="110">
        <v>1167.8</v>
      </c>
    </row>
    <row r="963" spans="1:2" ht="16.5" hidden="1" customHeight="1">
      <c r="A963" s="106">
        <v>44426</v>
      </c>
      <c r="B963" s="110">
        <v>1174.9000000000001</v>
      </c>
    </row>
    <row r="964" spans="1:2" ht="16.5" hidden="1" customHeight="1">
      <c r="A964" s="106">
        <v>44427</v>
      </c>
      <c r="B964" s="110">
        <v>1172.7</v>
      </c>
    </row>
    <row r="965" spans="1:2" ht="16.5" hidden="1" customHeight="1">
      <c r="A965" s="106">
        <v>44428</v>
      </c>
      <c r="B965" s="110">
        <v>1174.5</v>
      </c>
    </row>
    <row r="966" spans="1:2" ht="16.5" hidden="1" customHeight="1">
      <c r="A966" s="106">
        <v>44429</v>
      </c>
      <c r="B966" s="110">
        <v>1174.5</v>
      </c>
    </row>
    <row r="967" spans="1:2" ht="16.5" hidden="1" customHeight="1">
      <c r="A967" s="106">
        <v>44430</v>
      </c>
      <c r="B967" s="110">
        <v>1174.5</v>
      </c>
    </row>
    <row r="968" spans="1:2" ht="16.5" hidden="1" customHeight="1">
      <c r="A968" s="106">
        <v>44431</v>
      </c>
      <c r="B968" s="110">
        <v>1176.7</v>
      </c>
    </row>
    <row r="969" spans="1:2" ht="16.5" hidden="1" customHeight="1">
      <c r="A969" s="106">
        <v>44432</v>
      </c>
      <c r="B969" s="110">
        <v>1174</v>
      </c>
    </row>
    <row r="970" spans="1:2" ht="16.5" hidden="1" customHeight="1">
      <c r="A970" s="106">
        <v>44433</v>
      </c>
      <c r="B970" s="110">
        <v>1168</v>
      </c>
    </row>
    <row r="971" spans="1:2" ht="16.5" hidden="1" customHeight="1">
      <c r="A971" s="106">
        <v>44434</v>
      </c>
      <c r="B971" s="110">
        <v>1166.5</v>
      </c>
    </row>
    <row r="972" spans="1:2" ht="16.5" hidden="1" customHeight="1">
      <c r="A972" s="106">
        <v>44435</v>
      </c>
      <c r="B972" s="110">
        <v>1168.0999999999999</v>
      </c>
    </row>
    <row r="973" spans="1:2" ht="16.5" hidden="1" customHeight="1">
      <c r="A973" s="106">
        <v>44436</v>
      </c>
      <c r="B973" s="110">
        <v>1168.0999999999999</v>
      </c>
    </row>
    <row r="974" spans="1:2" ht="16.5" hidden="1" customHeight="1">
      <c r="A974" s="106">
        <v>44437</v>
      </c>
      <c r="B974" s="110">
        <v>1168.0999999999999</v>
      </c>
    </row>
    <row r="975" spans="1:2" ht="16.5" hidden="1" customHeight="1">
      <c r="A975" s="106">
        <v>44438</v>
      </c>
      <c r="B975" s="110">
        <v>1170.8</v>
      </c>
    </row>
    <row r="976" spans="1:2" ht="16.5" hidden="1" customHeight="1">
      <c r="A976" s="106">
        <v>44439</v>
      </c>
      <c r="B976" s="110">
        <v>1164.4000000000001</v>
      </c>
    </row>
    <row r="977" spans="1:2" ht="16.5" hidden="1" customHeight="1">
      <c r="A977" s="106">
        <v>44440</v>
      </c>
      <c r="B977" s="110">
        <v>1162.8</v>
      </c>
    </row>
    <row r="978" spans="1:2" ht="16.5" hidden="1" customHeight="1">
      <c r="A978" s="106">
        <v>44441</v>
      </c>
      <c r="B978" s="110">
        <v>1157.5</v>
      </c>
    </row>
    <row r="979" spans="1:2" ht="16.5" hidden="1" customHeight="1">
      <c r="A979" s="106">
        <v>44442</v>
      </c>
      <c r="B979" s="110">
        <v>1159.7</v>
      </c>
    </row>
    <row r="980" spans="1:2" ht="16.5" hidden="1" customHeight="1">
      <c r="A980" s="106">
        <v>44443</v>
      </c>
      <c r="B980" s="110">
        <v>1159.7</v>
      </c>
    </row>
    <row r="981" spans="1:2" ht="16.5" hidden="1" customHeight="1">
      <c r="A981" s="106">
        <v>44444</v>
      </c>
      <c r="B981" s="110">
        <v>1159.7</v>
      </c>
    </row>
    <row r="982" spans="1:2" ht="16.5" hidden="1" customHeight="1">
      <c r="A982" s="106">
        <v>44445</v>
      </c>
      <c r="B982" s="110">
        <v>1156.4000000000001</v>
      </c>
    </row>
    <row r="983" spans="1:2" ht="16.5" hidden="1" customHeight="1">
      <c r="A983" s="106">
        <v>44446</v>
      </c>
      <c r="B983" s="110">
        <v>1157.3</v>
      </c>
    </row>
    <row r="984" spans="1:2" ht="16.5" hidden="1" customHeight="1">
      <c r="A984" s="106">
        <v>44447</v>
      </c>
      <c r="B984" s="110">
        <v>1157.9000000000001</v>
      </c>
    </row>
    <row r="985" spans="1:2" ht="16.5" hidden="1" customHeight="1">
      <c r="A985" s="106">
        <v>44448</v>
      </c>
      <c r="B985" s="110">
        <v>1164.5</v>
      </c>
    </row>
    <row r="986" spans="1:2" ht="16.5" hidden="1" customHeight="1">
      <c r="A986" s="106">
        <v>44449</v>
      </c>
      <c r="B986" s="110">
        <v>1170.0999999999999</v>
      </c>
    </row>
    <row r="987" spans="1:2" ht="16.5" hidden="1" customHeight="1">
      <c r="A987" s="106">
        <v>44450</v>
      </c>
      <c r="B987" s="110">
        <v>1170.0999999999999</v>
      </c>
    </row>
    <row r="988" spans="1:2" ht="16.5" hidden="1" customHeight="1">
      <c r="A988" s="106">
        <v>44451</v>
      </c>
      <c r="B988" s="110">
        <v>1170.0999999999999</v>
      </c>
    </row>
    <row r="989" spans="1:2" ht="16.5" hidden="1" customHeight="1">
      <c r="A989" s="106">
        <v>44452</v>
      </c>
      <c r="B989" s="110">
        <v>1170.4000000000001</v>
      </c>
    </row>
    <row r="990" spans="1:2" ht="16.5" hidden="1" customHeight="1">
      <c r="A990" s="106">
        <v>44453</v>
      </c>
      <c r="B990" s="110">
        <v>1174.3</v>
      </c>
    </row>
    <row r="991" spans="1:2" ht="16.5" hidden="1" customHeight="1">
      <c r="A991" s="106">
        <v>44454</v>
      </c>
      <c r="B991" s="110">
        <v>1172.2</v>
      </c>
    </row>
    <row r="992" spans="1:2" ht="16.5" hidden="1" customHeight="1">
      <c r="A992" s="106">
        <v>44455</v>
      </c>
      <c r="B992" s="110">
        <v>1171.7</v>
      </c>
    </row>
    <row r="993" spans="1:2" ht="16.5" hidden="1" customHeight="1">
      <c r="A993" s="106">
        <v>44456</v>
      </c>
      <c r="B993" s="110">
        <v>1169.0999999999999</v>
      </c>
    </row>
    <row r="994" spans="1:2" ht="16.5" hidden="1" customHeight="1">
      <c r="A994" s="106">
        <v>44457</v>
      </c>
      <c r="B994" s="110">
        <v>1169.0999999999999</v>
      </c>
    </row>
    <row r="995" spans="1:2" ht="16.5" hidden="1" customHeight="1">
      <c r="A995" s="106">
        <v>44458</v>
      </c>
      <c r="B995" s="110">
        <v>1169.0999999999999</v>
      </c>
    </row>
    <row r="996" spans="1:2" ht="16.5" hidden="1" customHeight="1">
      <c r="A996" s="106">
        <v>44459</v>
      </c>
      <c r="B996" s="110">
        <v>1169.0999999999999</v>
      </c>
    </row>
    <row r="997" spans="1:2" ht="16.5" hidden="1" customHeight="1">
      <c r="A997" s="106">
        <v>44460</v>
      </c>
      <c r="B997" s="110">
        <v>1169.0999999999999</v>
      </c>
    </row>
    <row r="998" spans="1:2" ht="16.5" hidden="1" customHeight="1">
      <c r="A998" s="106">
        <v>44461</v>
      </c>
      <c r="B998" s="110">
        <v>1169.0999999999999</v>
      </c>
    </row>
    <row r="999" spans="1:2" ht="16.5" hidden="1" customHeight="1">
      <c r="A999" s="106">
        <v>44462</v>
      </c>
      <c r="B999" s="110">
        <v>1177.5999999999999</v>
      </c>
    </row>
    <row r="1000" spans="1:2" ht="16.5" hidden="1" customHeight="1">
      <c r="A1000" s="106">
        <v>44463</v>
      </c>
      <c r="B1000" s="110">
        <v>1181.7</v>
      </c>
    </row>
    <row r="1001" spans="1:2" ht="16.5" hidden="1" customHeight="1">
      <c r="A1001" s="106">
        <v>44464</v>
      </c>
      <c r="B1001" s="110">
        <v>1181.7</v>
      </c>
    </row>
    <row r="1002" spans="1:2" ht="16.5" hidden="1" customHeight="1">
      <c r="A1002" s="106">
        <v>44465</v>
      </c>
      <c r="B1002" s="110">
        <v>1181.7</v>
      </c>
    </row>
    <row r="1003" spans="1:2" ht="16.5" hidden="1" customHeight="1">
      <c r="A1003" s="106">
        <v>44466</v>
      </c>
      <c r="B1003" s="110">
        <v>1175.3</v>
      </c>
    </row>
    <row r="1004" spans="1:2" ht="16.5" hidden="1" customHeight="1">
      <c r="A1004" s="106">
        <v>44467</v>
      </c>
      <c r="B1004" s="110">
        <v>1175.9000000000001</v>
      </c>
    </row>
    <row r="1005" spans="1:2" ht="16.5" hidden="1" customHeight="1">
      <c r="A1005" s="106">
        <v>44468</v>
      </c>
      <c r="B1005" s="110">
        <v>1182</v>
      </c>
    </row>
    <row r="1006" spans="1:2" ht="16.5" hidden="1" customHeight="1">
      <c r="A1006" s="106">
        <v>44469</v>
      </c>
      <c r="B1006" s="110">
        <v>1184.9000000000001</v>
      </c>
    </row>
    <row r="1007" spans="1:2" ht="16.5" hidden="1" customHeight="1">
      <c r="A1007" s="106">
        <v>44470</v>
      </c>
      <c r="B1007" s="110">
        <v>1185.2</v>
      </c>
    </row>
    <row r="1008" spans="1:2" ht="16.5" hidden="1" customHeight="1">
      <c r="A1008" s="106">
        <v>44471</v>
      </c>
      <c r="B1008" s="110">
        <v>1185.2</v>
      </c>
    </row>
    <row r="1009" spans="1:2" ht="16.5" hidden="1" customHeight="1">
      <c r="A1009" s="106">
        <v>44472</v>
      </c>
      <c r="B1009" s="110">
        <v>1185.2</v>
      </c>
    </row>
    <row r="1010" spans="1:2" ht="16.5" hidden="1" customHeight="1">
      <c r="A1010" s="106">
        <v>44473</v>
      </c>
      <c r="B1010" s="110">
        <v>1185.2</v>
      </c>
    </row>
    <row r="1011" spans="1:2" ht="16.5" hidden="1" customHeight="1">
      <c r="A1011" s="106">
        <v>44474</v>
      </c>
      <c r="B1011" s="110">
        <v>1187.2</v>
      </c>
    </row>
    <row r="1012" spans="1:2" ht="16.5" hidden="1" customHeight="1">
      <c r="A1012" s="106">
        <v>44475</v>
      </c>
      <c r="B1012" s="110">
        <v>1187.0999999999999</v>
      </c>
    </row>
    <row r="1013" spans="1:2" ht="16.5" hidden="1" customHeight="1">
      <c r="A1013" s="106">
        <v>44476</v>
      </c>
      <c r="B1013" s="110">
        <v>1190</v>
      </c>
    </row>
    <row r="1014" spans="1:2" ht="16.5" hidden="1" customHeight="1">
      <c r="A1014" s="106">
        <v>44477</v>
      </c>
      <c r="B1014" s="110">
        <v>1190.3</v>
      </c>
    </row>
    <row r="1015" spans="1:2" ht="16.5" hidden="1" customHeight="1">
      <c r="A1015" s="106">
        <v>44478</v>
      </c>
      <c r="B1015" s="110">
        <v>1190.3</v>
      </c>
    </row>
    <row r="1016" spans="1:2" ht="16.5" hidden="1" customHeight="1">
      <c r="A1016" s="106">
        <v>44479</v>
      </c>
      <c r="B1016" s="110">
        <v>1190.3</v>
      </c>
    </row>
    <row r="1017" spans="1:2" ht="16.5" hidden="1" customHeight="1">
      <c r="A1017" s="106">
        <v>44480</v>
      </c>
      <c r="B1017" s="110">
        <v>1190.3</v>
      </c>
    </row>
    <row r="1018" spans="1:2" ht="16.5" hidden="1" customHeight="1">
      <c r="A1018" s="106">
        <v>44481</v>
      </c>
      <c r="B1018" s="110">
        <v>1193.4000000000001</v>
      </c>
    </row>
    <row r="1019" spans="1:2" ht="16.5" hidden="1" customHeight="1">
      <c r="A1019" s="106">
        <v>44482</v>
      </c>
      <c r="B1019" s="110">
        <v>1199.0999999999999</v>
      </c>
    </row>
    <row r="1020" spans="1:2" ht="16.5" hidden="1" customHeight="1">
      <c r="A1020" s="106">
        <v>44483</v>
      </c>
      <c r="B1020" s="110">
        <v>1195</v>
      </c>
    </row>
    <row r="1021" spans="1:2" ht="16.5" hidden="1" customHeight="1">
      <c r="A1021" s="106">
        <v>44484</v>
      </c>
      <c r="B1021" s="110">
        <v>1188.3</v>
      </c>
    </row>
    <row r="1022" spans="1:2" ht="16.5" hidden="1" customHeight="1">
      <c r="A1022" s="106">
        <v>44485</v>
      </c>
      <c r="B1022" s="110">
        <v>1188.3</v>
      </c>
    </row>
    <row r="1023" spans="1:2" ht="16.5" hidden="1" customHeight="1">
      <c r="A1023" s="106">
        <v>44486</v>
      </c>
      <c r="B1023" s="110">
        <v>1188.3</v>
      </c>
    </row>
    <row r="1024" spans="1:2" ht="16.5" hidden="1" customHeight="1">
      <c r="A1024" s="106">
        <v>44487</v>
      </c>
      <c r="B1024" s="110">
        <v>1182.8</v>
      </c>
    </row>
    <row r="1025" spans="1:2" ht="16.5" hidden="1" customHeight="1">
      <c r="A1025" s="106">
        <v>44488</v>
      </c>
      <c r="B1025" s="110">
        <v>1185.8</v>
      </c>
    </row>
    <row r="1026" spans="1:2" ht="16.5" hidden="1" customHeight="1">
      <c r="A1026" s="106">
        <v>44489</v>
      </c>
      <c r="B1026" s="110">
        <v>1181.7</v>
      </c>
    </row>
    <row r="1027" spans="1:2" ht="16.5" hidden="1" customHeight="1">
      <c r="A1027" s="106">
        <v>44490</v>
      </c>
      <c r="B1027" s="110">
        <v>1175.5999999999999</v>
      </c>
    </row>
    <row r="1028" spans="1:2" ht="16.5" hidden="1" customHeight="1">
      <c r="A1028" s="106">
        <v>44491</v>
      </c>
      <c r="B1028" s="110">
        <v>1175.8</v>
      </c>
    </row>
    <row r="1029" spans="1:2" ht="16.5" hidden="1" customHeight="1">
      <c r="A1029" s="106">
        <v>44492</v>
      </c>
      <c r="B1029" s="110">
        <v>1175.8</v>
      </c>
    </row>
    <row r="1030" spans="1:2" ht="16.5" hidden="1" customHeight="1">
      <c r="A1030" s="106">
        <v>44493</v>
      </c>
      <c r="B1030" s="110">
        <v>1175.8</v>
      </c>
    </row>
    <row r="1031" spans="1:2" ht="16.5" hidden="1" customHeight="1">
      <c r="A1031" s="106">
        <v>44494</v>
      </c>
      <c r="B1031" s="110">
        <v>1178.4000000000001</v>
      </c>
    </row>
    <row r="1032" spans="1:2" ht="16.5" hidden="1" customHeight="1">
      <c r="A1032" s="106">
        <v>44495</v>
      </c>
      <c r="B1032" s="110">
        <v>1171.8</v>
      </c>
    </row>
    <row r="1033" spans="1:2" ht="16.5" hidden="1" customHeight="1">
      <c r="A1033" s="106">
        <v>44496</v>
      </c>
      <c r="B1033" s="110">
        <v>1166.3</v>
      </c>
    </row>
    <row r="1034" spans="1:2" ht="16.5" hidden="1" customHeight="1">
      <c r="A1034" s="106">
        <v>44497</v>
      </c>
      <c r="B1034" s="110">
        <v>1168.0999999999999</v>
      </c>
    </row>
    <row r="1035" spans="1:2" ht="16.5" hidden="1" customHeight="1">
      <c r="A1035" s="106">
        <v>44498</v>
      </c>
      <c r="B1035" s="110">
        <v>1171.7</v>
      </c>
    </row>
    <row r="1036" spans="1:2" ht="16.5" hidden="1" customHeight="1">
      <c r="A1036" s="106">
        <v>44499</v>
      </c>
      <c r="B1036" s="110">
        <v>1171.7</v>
      </c>
    </row>
    <row r="1037" spans="1:2" ht="16.5" hidden="1" customHeight="1">
      <c r="A1037" s="106">
        <v>44500</v>
      </c>
      <c r="B1037" s="110">
        <v>1171.7</v>
      </c>
    </row>
    <row r="1038" spans="1:2" ht="16.5" hidden="1" customHeight="1">
      <c r="A1038" s="106">
        <v>44501</v>
      </c>
      <c r="B1038" s="110">
        <v>1169.5999999999999</v>
      </c>
    </row>
    <row r="1039" spans="1:2" ht="16.5" hidden="1" customHeight="1">
      <c r="A1039" s="106">
        <v>44502</v>
      </c>
      <c r="B1039" s="110">
        <v>1176.3</v>
      </c>
    </row>
    <row r="1040" spans="1:2" ht="16.5" hidden="1" customHeight="1">
      <c r="A1040" s="106">
        <v>44503</v>
      </c>
      <c r="B1040" s="110">
        <v>1175.5</v>
      </c>
    </row>
    <row r="1041" spans="1:2" ht="16.5" hidden="1" customHeight="1">
      <c r="A1041" s="106">
        <v>44504</v>
      </c>
      <c r="B1041" s="110">
        <v>1181.0999999999999</v>
      </c>
    </row>
    <row r="1042" spans="1:2" ht="16.5" hidden="1" customHeight="1">
      <c r="A1042" s="106">
        <v>44505</v>
      </c>
      <c r="B1042" s="110">
        <v>1180</v>
      </c>
    </row>
    <row r="1043" spans="1:2" ht="16.5" hidden="1" customHeight="1">
      <c r="A1043" s="106">
        <v>44506</v>
      </c>
      <c r="B1043" s="110">
        <v>1180</v>
      </c>
    </row>
    <row r="1044" spans="1:2" ht="16.5" hidden="1" customHeight="1">
      <c r="A1044" s="106">
        <v>44507</v>
      </c>
      <c r="B1044" s="110">
        <v>1180</v>
      </c>
    </row>
    <row r="1045" spans="1:2" ht="16.5" hidden="1" customHeight="1">
      <c r="A1045" s="106">
        <v>44508</v>
      </c>
      <c r="B1045" s="110">
        <v>1185.2</v>
      </c>
    </row>
    <row r="1046" spans="1:2" ht="16.5" hidden="1" customHeight="1">
      <c r="A1046" s="106">
        <v>44509</v>
      </c>
      <c r="B1046" s="110">
        <v>1184.3</v>
      </c>
    </row>
    <row r="1047" spans="1:2" ht="16.5" hidden="1" customHeight="1">
      <c r="A1047" s="106">
        <v>44510</v>
      </c>
      <c r="B1047" s="110">
        <v>1178.4000000000001</v>
      </c>
    </row>
    <row r="1048" spans="1:2" ht="16.5" hidden="1" customHeight="1">
      <c r="A1048" s="106">
        <v>44511</v>
      </c>
      <c r="B1048" s="110">
        <v>1181</v>
      </c>
    </row>
    <row r="1049" spans="1:2" ht="16.5" hidden="1" customHeight="1">
      <c r="A1049" s="106">
        <v>44512</v>
      </c>
      <c r="B1049" s="110">
        <v>1184.7</v>
      </c>
    </row>
    <row r="1050" spans="1:2" ht="16.5" hidden="1" customHeight="1">
      <c r="A1050" s="106">
        <v>44513</v>
      </c>
      <c r="B1050" s="110">
        <v>1184.7</v>
      </c>
    </row>
    <row r="1051" spans="1:2" ht="16.5" hidden="1" customHeight="1">
      <c r="A1051" s="106">
        <v>44514</v>
      </c>
      <c r="B1051" s="110">
        <v>1184.7</v>
      </c>
    </row>
    <row r="1052" spans="1:2" ht="16.5" hidden="1" customHeight="1">
      <c r="A1052" s="106">
        <v>44515</v>
      </c>
      <c r="B1052" s="110">
        <v>1179.5999999999999</v>
      </c>
    </row>
    <row r="1053" spans="1:2" ht="16.5" hidden="1" customHeight="1">
      <c r="A1053" s="106">
        <v>44516</v>
      </c>
      <c r="B1053" s="110">
        <v>1180.2</v>
      </c>
    </row>
    <row r="1054" spans="1:2" ht="16.5" hidden="1" customHeight="1">
      <c r="A1054" s="106">
        <v>44517</v>
      </c>
      <c r="B1054" s="110">
        <v>1179.5999999999999</v>
      </c>
    </row>
    <row r="1055" spans="1:2" ht="16.5" hidden="1" customHeight="1">
      <c r="A1055" s="106">
        <v>44518</v>
      </c>
      <c r="B1055" s="110">
        <v>1183.5999999999999</v>
      </c>
    </row>
    <row r="1056" spans="1:2" ht="16.5" hidden="1" customHeight="1">
      <c r="A1056" s="106">
        <v>44519</v>
      </c>
      <c r="B1056" s="110">
        <v>1180.5</v>
      </c>
    </row>
    <row r="1057" spans="1:2" ht="16.5" hidden="1" customHeight="1">
      <c r="A1057" s="106">
        <v>44520</v>
      </c>
      <c r="B1057" s="110">
        <v>1180.5</v>
      </c>
    </row>
    <row r="1058" spans="1:2" ht="16.5" hidden="1" customHeight="1">
      <c r="A1058" s="106">
        <v>44521</v>
      </c>
      <c r="B1058" s="110">
        <v>1180.5</v>
      </c>
    </row>
    <row r="1059" spans="1:2" ht="16.5" hidden="1" customHeight="1">
      <c r="A1059" s="106">
        <v>44522</v>
      </c>
      <c r="B1059" s="110">
        <v>1183.5</v>
      </c>
    </row>
    <row r="1060" spans="1:2" ht="16.5" hidden="1" customHeight="1">
      <c r="A1060" s="106">
        <v>44523</v>
      </c>
      <c r="B1060" s="110">
        <v>1187.4000000000001</v>
      </c>
    </row>
    <row r="1061" spans="1:2" ht="16.5" hidden="1" customHeight="1">
      <c r="A1061" s="106">
        <v>44524</v>
      </c>
      <c r="B1061" s="110">
        <v>1188.9000000000001</v>
      </c>
    </row>
    <row r="1062" spans="1:2" ht="16.5" hidden="1" customHeight="1">
      <c r="A1062" s="106">
        <v>44525</v>
      </c>
      <c r="B1062" s="110">
        <v>1188.5</v>
      </c>
    </row>
    <row r="1063" spans="1:2" ht="16.5" hidden="1" customHeight="1">
      <c r="A1063" s="106">
        <v>44526</v>
      </c>
      <c r="B1063" s="110">
        <v>1189.7</v>
      </c>
    </row>
    <row r="1064" spans="1:2" ht="16.5" hidden="1" customHeight="1">
      <c r="A1064" s="106">
        <v>44527</v>
      </c>
      <c r="B1064" s="110">
        <v>1189.7</v>
      </c>
    </row>
    <row r="1065" spans="1:2" ht="16.5" hidden="1" customHeight="1">
      <c r="A1065" s="106">
        <v>44528</v>
      </c>
      <c r="B1065" s="110">
        <v>1189.7</v>
      </c>
    </row>
    <row r="1066" spans="1:2" ht="16.5" hidden="1" customHeight="1">
      <c r="A1066" s="106">
        <v>44529</v>
      </c>
      <c r="B1066" s="110">
        <v>1193</v>
      </c>
    </row>
    <row r="1067" spans="1:2" ht="16.5" hidden="1" customHeight="1">
      <c r="A1067" s="106">
        <v>44530</v>
      </c>
      <c r="B1067" s="110">
        <v>1193.4000000000001</v>
      </c>
    </row>
    <row r="1068" spans="1:2" ht="16.5" hidden="1" customHeight="1">
      <c r="A1068" s="106">
        <v>44531</v>
      </c>
      <c r="B1068" s="110">
        <v>1187.7</v>
      </c>
    </row>
    <row r="1069" spans="1:2" ht="16.5" hidden="1" customHeight="1">
      <c r="A1069" s="106">
        <v>44532</v>
      </c>
      <c r="B1069" s="110">
        <v>1180.3</v>
      </c>
    </row>
    <row r="1070" spans="1:2" ht="16.5" hidden="1" customHeight="1">
      <c r="A1070" s="106">
        <v>44533</v>
      </c>
      <c r="B1070" s="110">
        <v>1177.3</v>
      </c>
    </row>
    <row r="1071" spans="1:2" ht="16.5" hidden="1" customHeight="1">
      <c r="A1071" s="106">
        <v>44534</v>
      </c>
      <c r="B1071" s="110">
        <v>1177.3</v>
      </c>
    </row>
    <row r="1072" spans="1:2" ht="16.5" hidden="1" customHeight="1">
      <c r="A1072" s="106">
        <v>44535</v>
      </c>
      <c r="B1072" s="110">
        <v>1177.3</v>
      </c>
    </row>
    <row r="1073" spans="1:2" ht="16.5" hidden="1" customHeight="1">
      <c r="A1073" s="106">
        <v>44536</v>
      </c>
      <c r="B1073" s="110">
        <v>1178.5999999999999</v>
      </c>
    </row>
    <row r="1074" spans="1:2" ht="16.5" hidden="1" customHeight="1">
      <c r="A1074" s="106">
        <v>44537</v>
      </c>
      <c r="B1074" s="110">
        <v>1183.7</v>
      </c>
    </row>
    <row r="1075" spans="1:2" ht="16.5" hidden="1" customHeight="1">
      <c r="A1075" s="106">
        <v>44538</v>
      </c>
      <c r="B1075" s="110">
        <v>1181.2</v>
      </c>
    </row>
    <row r="1076" spans="1:2" ht="16.5" hidden="1" customHeight="1">
      <c r="A1076" s="106">
        <v>44539</v>
      </c>
      <c r="B1076" s="110">
        <v>1176.4000000000001</v>
      </c>
    </row>
    <row r="1077" spans="1:2" ht="16.5" hidden="1" customHeight="1">
      <c r="A1077" s="106">
        <v>44540</v>
      </c>
      <c r="B1077" s="110">
        <v>1173.8</v>
      </c>
    </row>
    <row r="1078" spans="1:2" ht="16.5" hidden="1" customHeight="1">
      <c r="A1078" s="106">
        <v>44541</v>
      </c>
      <c r="B1078" s="110">
        <v>1173.8</v>
      </c>
    </row>
    <row r="1079" spans="1:2" ht="16.5" hidden="1" customHeight="1">
      <c r="A1079" s="106">
        <v>44542</v>
      </c>
      <c r="B1079" s="110">
        <v>1173.8</v>
      </c>
    </row>
    <row r="1080" spans="1:2" ht="16.5" hidden="1" customHeight="1">
      <c r="A1080" s="106">
        <v>44543</v>
      </c>
      <c r="B1080" s="110">
        <v>1178.2</v>
      </c>
    </row>
    <row r="1081" spans="1:2" ht="16.5" hidden="1" customHeight="1">
      <c r="A1081" s="106">
        <v>44544</v>
      </c>
      <c r="B1081" s="110">
        <v>1178.8</v>
      </c>
    </row>
    <row r="1082" spans="1:2" ht="16.5" hidden="1" customHeight="1">
      <c r="A1082" s="106">
        <v>44545</v>
      </c>
      <c r="B1082" s="110">
        <v>1183.5999999999999</v>
      </c>
    </row>
    <row r="1083" spans="1:2" ht="16.5" hidden="1" customHeight="1">
      <c r="A1083" s="106">
        <v>44546</v>
      </c>
      <c r="B1083" s="110">
        <v>1186.2</v>
      </c>
    </row>
    <row r="1084" spans="1:2" ht="16.5" hidden="1" customHeight="1">
      <c r="A1084" s="106">
        <v>44547</v>
      </c>
      <c r="B1084" s="110">
        <v>1183.5</v>
      </c>
    </row>
    <row r="1085" spans="1:2" ht="16.5" hidden="1" customHeight="1">
      <c r="A1085" s="106">
        <v>44548</v>
      </c>
      <c r="B1085" s="110">
        <v>1183.5</v>
      </c>
    </row>
    <row r="1086" spans="1:2" ht="16.5" hidden="1" customHeight="1">
      <c r="A1086" s="106">
        <v>44549</v>
      </c>
      <c r="B1086" s="110">
        <v>1183.5</v>
      </c>
    </row>
    <row r="1087" spans="1:2" ht="16.5" hidden="1" customHeight="1">
      <c r="A1087" s="106">
        <v>44550</v>
      </c>
      <c r="B1087" s="110">
        <v>1184.4000000000001</v>
      </c>
    </row>
    <row r="1088" spans="1:2" ht="16.5" hidden="1" customHeight="1">
      <c r="A1088" s="106">
        <v>44551</v>
      </c>
      <c r="B1088" s="110">
        <v>1189.8</v>
      </c>
    </row>
    <row r="1089" spans="1:2" ht="16.5" hidden="1" customHeight="1">
      <c r="A1089" s="106">
        <v>44552</v>
      </c>
      <c r="B1089" s="110">
        <v>1191.5</v>
      </c>
    </row>
    <row r="1090" spans="1:2" ht="16.5" hidden="1" customHeight="1">
      <c r="A1090" s="106">
        <v>44553</v>
      </c>
      <c r="B1090" s="110">
        <v>1191.2</v>
      </c>
    </row>
    <row r="1091" spans="1:2" ht="16.5" hidden="1" customHeight="1">
      <c r="A1091" s="106">
        <v>44554</v>
      </c>
      <c r="B1091" s="110">
        <v>1187.5</v>
      </c>
    </row>
    <row r="1092" spans="1:2" ht="16.5" hidden="1" customHeight="1">
      <c r="A1092" s="106">
        <v>44555</v>
      </c>
      <c r="B1092" s="110">
        <v>1187.5</v>
      </c>
    </row>
    <row r="1093" spans="1:2" ht="16.5" hidden="1" customHeight="1">
      <c r="A1093" s="106">
        <v>44556</v>
      </c>
      <c r="B1093" s="110">
        <v>1187.5</v>
      </c>
    </row>
    <row r="1094" spans="1:2" ht="16.5" hidden="1" customHeight="1">
      <c r="A1094" s="106">
        <v>44557</v>
      </c>
      <c r="B1094" s="110">
        <v>1186.4000000000001</v>
      </c>
    </row>
    <row r="1095" spans="1:2" ht="16.5" hidden="1" customHeight="1">
      <c r="A1095" s="106">
        <v>44558</v>
      </c>
      <c r="B1095" s="110">
        <v>1186.2</v>
      </c>
    </row>
    <row r="1096" spans="1:2" ht="16.5" hidden="1" customHeight="1">
      <c r="A1096" s="106">
        <v>44559</v>
      </c>
      <c r="B1096" s="110">
        <v>1186.7</v>
      </c>
    </row>
    <row r="1097" spans="1:2" ht="16.5" hidden="1" customHeight="1">
      <c r="A1097" s="106">
        <v>44560</v>
      </c>
      <c r="B1097" s="110">
        <v>1186.5999999999999</v>
      </c>
    </row>
    <row r="1098" spans="1:2" ht="16.5" hidden="1" customHeight="1">
      <c r="A1098" s="106">
        <v>44561</v>
      </c>
      <c r="B1098" s="110">
        <v>1185.5</v>
      </c>
    </row>
    <row r="1099" spans="1:2" ht="16.5" hidden="1" customHeight="1">
      <c r="A1099" s="106">
        <v>44562</v>
      </c>
      <c r="B1099" s="110">
        <v>1185.5</v>
      </c>
    </row>
    <row r="1100" spans="1:2" ht="16.5" hidden="1" customHeight="1">
      <c r="A1100" s="106">
        <v>44563</v>
      </c>
      <c r="B1100" s="110">
        <v>1185.5</v>
      </c>
    </row>
    <row r="1101" spans="1:2" ht="16.5" hidden="1" customHeight="1">
      <c r="A1101" s="106">
        <v>44564</v>
      </c>
      <c r="B1101" s="110">
        <v>1185.5</v>
      </c>
    </row>
    <row r="1102" spans="1:2" ht="16.5" hidden="1" customHeight="1">
      <c r="A1102" s="106">
        <v>44565</v>
      </c>
      <c r="B1102" s="110">
        <v>1190.8</v>
      </c>
    </row>
    <row r="1103" spans="1:2" ht="16.5" hidden="1" customHeight="1">
      <c r="A1103" s="106">
        <v>44566</v>
      </c>
      <c r="B1103" s="110">
        <v>1194.3</v>
      </c>
    </row>
    <row r="1104" spans="1:2" ht="16.5" hidden="1" customHeight="1">
      <c r="A1104" s="106">
        <v>44567</v>
      </c>
      <c r="B1104" s="110">
        <v>1198.2</v>
      </c>
    </row>
    <row r="1105" spans="1:2" ht="16.5" hidden="1" customHeight="1">
      <c r="A1105" s="106">
        <v>44568</v>
      </c>
      <c r="B1105" s="110">
        <v>1199.5999999999999</v>
      </c>
    </row>
    <row r="1106" spans="1:2" ht="16.5" hidden="1" customHeight="1">
      <c r="A1106" s="106">
        <v>44569</v>
      </c>
      <c r="B1106" s="110">
        <v>1199.5999999999999</v>
      </c>
    </row>
    <row r="1107" spans="1:2" ht="16.5" hidden="1" customHeight="1">
      <c r="A1107" s="106">
        <v>44570</v>
      </c>
      <c r="B1107" s="110">
        <v>1199.5999999999999</v>
      </c>
    </row>
    <row r="1108" spans="1:2" ht="16.5" hidden="1" customHeight="1">
      <c r="A1108" s="106">
        <v>44571</v>
      </c>
      <c r="B1108" s="110">
        <v>1202.4000000000001</v>
      </c>
    </row>
    <row r="1109" spans="1:2" ht="16.5" hidden="1" customHeight="1">
      <c r="A1109" s="106">
        <v>44572</v>
      </c>
      <c r="B1109" s="110">
        <v>1200</v>
      </c>
    </row>
    <row r="1110" spans="1:2" ht="16.5" hidden="1" customHeight="1">
      <c r="A1110" s="106">
        <v>44573</v>
      </c>
      <c r="B1110" s="110">
        <v>1195.2</v>
      </c>
    </row>
    <row r="1111" spans="1:2" ht="16.5" hidden="1" customHeight="1">
      <c r="A1111" s="106">
        <v>44574</v>
      </c>
      <c r="B1111" s="110">
        <v>1189.9000000000001</v>
      </c>
    </row>
    <row r="1112" spans="1:2" ht="16.5" hidden="1" customHeight="1">
      <c r="A1112" s="106">
        <v>44575</v>
      </c>
      <c r="B1112" s="110">
        <v>1188.2</v>
      </c>
    </row>
    <row r="1113" spans="1:2" ht="16.5" hidden="1" customHeight="1">
      <c r="A1113" s="106">
        <v>44576</v>
      </c>
      <c r="B1113" s="110">
        <v>1188.2</v>
      </c>
    </row>
    <row r="1114" spans="1:2" ht="16.5" hidden="1" customHeight="1">
      <c r="A1114" s="106">
        <v>44577</v>
      </c>
      <c r="B1114" s="110">
        <v>1188.2</v>
      </c>
    </row>
    <row r="1115" spans="1:2" ht="16.5" hidden="1" customHeight="1">
      <c r="A1115" s="106">
        <v>44578</v>
      </c>
      <c r="B1115" s="110">
        <v>1187.5999999999999</v>
      </c>
    </row>
    <row r="1116" spans="1:2" ht="16.5" hidden="1" customHeight="1">
      <c r="A1116" s="106">
        <v>44579</v>
      </c>
      <c r="B1116" s="110">
        <v>1192.3</v>
      </c>
    </row>
    <row r="1117" spans="1:2" ht="16.5" hidden="1" customHeight="1">
      <c r="A1117" s="106">
        <v>44580</v>
      </c>
      <c r="B1117" s="110">
        <v>1188.9000000000001</v>
      </c>
    </row>
    <row r="1118" spans="1:2" ht="16.5" hidden="1" customHeight="1">
      <c r="A1118" s="106">
        <v>44581</v>
      </c>
      <c r="B1118" s="110">
        <v>1191.8</v>
      </c>
    </row>
    <row r="1119" spans="1:2" ht="16.5" hidden="1" customHeight="1">
      <c r="A1119" s="106">
        <v>44582</v>
      </c>
      <c r="B1119" s="110">
        <v>1190.4000000000001</v>
      </c>
    </row>
    <row r="1120" spans="1:2" ht="16.5" hidden="1" customHeight="1">
      <c r="A1120" s="106">
        <v>44583</v>
      </c>
      <c r="B1120" s="110">
        <v>1190.4000000000001</v>
      </c>
    </row>
    <row r="1121" spans="1:2" ht="16.5" hidden="1" customHeight="1">
      <c r="A1121" s="106">
        <v>44584</v>
      </c>
      <c r="B1121" s="110">
        <v>1190.4000000000001</v>
      </c>
    </row>
    <row r="1122" spans="1:2" ht="16.5" hidden="1" customHeight="1">
      <c r="A1122" s="106">
        <v>44585</v>
      </c>
      <c r="B1122" s="110">
        <v>1193.5999999999999</v>
      </c>
    </row>
    <row r="1123" spans="1:2" ht="16.5" hidden="1" customHeight="1">
      <c r="A1123" s="106">
        <v>44586</v>
      </c>
      <c r="B1123" s="110">
        <v>1194.2</v>
      </c>
    </row>
    <row r="1124" spans="1:2" ht="16.5" hidden="1" customHeight="1">
      <c r="A1124" s="106">
        <v>44587</v>
      </c>
      <c r="B1124" s="110">
        <v>1197.8</v>
      </c>
    </row>
    <row r="1125" spans="1:2" ht="16.5" hidden="1" customHeight="1">
      <c r="A1125" s="106">
        <v>44588</v>
      </c>
      <c r="B1125" s="110">
        <v>1197</v>
      </c>
    </row>
    <row r="1126" spans="1:2" ht="16.5" hidden="1" customHeight="1">
      <c r="A1126" s="106">
        <v>44589</v>
      </c>
      <c r="B1126" s="110">
        <v>1202.4000000000001</v>
      </c>
    </row>
    <row r="1127" spans="1:2" ht="16.5" hidden="1" customHeight="1">
      <c r="A1127" s="106">
        <v>44590</v>
      </c>
      <c r="B1127" s="110">
        <v>1202.4000000000001</v>
      </c>
    </row>
    <row r="1128" spans="1:2" ht="16.5" hidden="1" customHeight="1">
      <c r="A1128" s="106">
        <v>44591</v>
      </c>
      <c r="B1128" s="110">
        <v>1202.4000000000001</v>
      </c>
    </row>
    <row r="1129" spans="1:2" ht="16.5" hidden="1" customHeight="1">
      <c r="A1129" s="106">
        <v>44592</v>
      </c>
      <c r="B1129" s="110">
        <v>1202.4000000000001</v>
      </c>
    </row>
    <row r="1130" spans="1:2" ht="16.5" hidden="1" customHeight="1">
      <c r="A1130" s="106">
        <v>44593</v>
      </c>
      <c r="B1130" s="110">
        <v>1202.4000000000001</v>
      </c>
    </row>
    <row r="1131" spans="1:2" ht="16.5" hidden="1" customHeight="1">
      <c r="A1131" s="106">
        <v>44594</v>
      </c>
      <c r="B1131" s="110">
        <v>1202.4000000000001</v>
      </c>
    </row>
    <row r="1132" spans="1:2" ht="16.5" hidden="1" customHeight="1">
      <c r="A1132" s="106">
        <v>44595</v>
      </c>
      <c r="B1132" s="110">
        <v>1205.7</v>
      </c>
    </row>
    <row r="1133" spans="1:2" ht="16.5" hidden="1" customHeight="1">
      <c r="A1133" s="106">
        <v>44596</v>
      </c>
      <c r="B1133" s="110">
        <v>1205.4000000000001</v>
      </c>
    </row>
    <row r="1134" spans="1:2" ht="16.5" hidden="1" customHeight="1">
      <c r="A1134" s="106">
        <v>44597</v>
      </c>
      <c r="B1134" s="110">
        <v>1205.4000000000001</v>
      </c>
    </row>
    <row r="1135" spans="1:2" ht="16.5" hidden="1" customHeight="1">
      <c r="A1135" s="106">
        <v>44598</v>
      </c>
      <c r="B1135" s="110">
        <v>1205.4000000000001</v>
      </c>
    </row>
    <row r="1136" spans="1:2" ht="16.5" hidden="1" customHeight="1">
      <c r="A1136" s="106">
        <v>44599</v>
      </c>
      <c r="B1136" s="110">
        <v>1199.5</v>
      </c>
    </row>
    <row r="1137" spans="1:2" ht="16.5" hidden="1" customHeight="1">
      <c r="A1137" s="106">
        <v>44600</v>
      </c>
      <c r="B1137" s="110">
        <v>1199.4000000000001</v>
      </c>
    </row>
    <row r="1138" spans="1:2" ht="16.5" hidden="1" customHeight="1">
      <c r="A1138" s="106">
        <v>44601</v>
      </c>
      <c r="B1138" s="110">
        <v>1197.8</v>
      </c>
    </row>
    <row r="1139" spans="1:2" ht="16.5" hidden="1" customHeight="1">
      <c r="A1139" s="106">
        <v>44602</v>
      </c>
      <c r="B1139" s="110">
        <v>1196</v>
      </c>
    </row>
    <row r="1140" spans="1:2" ht="16.5" hidden="1" customHeight="1">
      <c r="A1140" s="106">
        <v>44603</v>
      </c>
      <c r="B1140" s="110">
        <v>1196</v>
      </c>
    </row>
    <row r="1141" spans="1:2" ht="16.5" hidden="1" customHeight="1">
      <c r="A1141" s="106">
        <v>44604</v>
      </c>
      <c r="B1141" s="110">
        <v>1196</v>
      </c>
    </row>
    <row r="1142" spans="1:2" ht="16.5" hidden="1" customHeight="1">
      <c r="A1142" s="106">
        <v>44605</v>
      </c>
      <c r="B1142" s="110">
        <v>1196</v>
      </c>
    </row>
    <row r="1143" spans="1:2" ht="16.5" hidden="1" customHeight="1">
      <c r="A1143" s="106">
        <v>44606</v>
      </c>
      <c r="B1143" s="110">
        <v>1199.5999999999999</v>
      </c>
    </row>
    <row r="1144" spans="1:2" ht="16.5" hidden="1" customHeight="1">
      <c r="A1144" s="106">
        <v>44607</v>
      </c>
      <c r="B1144" s="110">
        <v>1198.3</v>
      </c>
    </row>
    <row r="1145" spans="1:2" ht="16.5" hidden="1" customHeight="1">
      <c r="A1145" s="106">
        <v>44608</v>
      </c>
      <c r="B1145" s="110">
        <v>1198.5</v>
      </c>
    </row>
    <row r="1146" spans="1:2" ht="16.5" hidden="1" customHeight="1">
      <c r="A1146" s="106">
        <v>44609</v>
      </c>
      <c r="B1146" s="110">
        <v>1196.9000000000001</v>
      </c>
    </row>
    <row r="1147" spans="1:2" ht="16.5" hidden="1" customHeight="1">
      <c r="A1147" s="106">
        <v>44610</v>
      </c>
      <c r="B1147" s="110">
        <v>1197.0999999999999</v>
      </c>
    </row>
    <row r="1148" spans="1:2" ht="16.5" hidden="1" customHeight="1">
      <c r="A1148" s="106">
        <v>44611</v>
      </c>
      <c r="B1148" s="110">
        <v>1197.0999999999999</v>
      </c>
    </row>
    <row r="1149" spans="1:2" ht="16.5" hidden="1" customHeight="1">
      <c r="A1149" s="106">
        <v>44612</v>
      </c>
      <c r="B1149" s="110">
        <v>1197.0999999999999</v>
      </c>
    </row>
    <row r="1150" spans="1:2" ht="16.5" hidden="1" customHeight="1">
      <c r="A1150" s="106">
        <v>44613</v>
      </c>
      <c r="B1150" s="110">
        <v>1196.4000000000001</v>
      </c>
    </row>
    <row r="1151" spans="1:2" ht="16.5" hidden="1" customHeight="1">
      <c r="A1151" s="106">
        <v>44614</v>
      </c>
      <c r="B1151" s="110">
        <v>1194.5999999999999</v>
      </c>
    </row>
    <row r="1152" spans="1:2" ht="16.5" hidden="1" customHeight="1">
      <c r="A1152" s="106">
        <v>44615</v>
      </c>
      <c r="B1152" s="110">
        <v>1194.7</v>
      </c>
    </row>
    <row r="1153" spans="1:2" ht="16.5" hidden="1" customHeight="1">
      <c r="A1153" s="106">
        <v>44616</v>
      </c>
      <c r="B1153" s="110">
        <v>1192.0999999999999</v>
      </c>
    </row>
    <row r="1154" spans="1:2" ht="16.5" hidden="1" customHeight="1">
      <c r="A1154" s="106">
        <v>44617</v>
      </c>
      <c r="B1154" s="110">
        <v>1199.4000000000001</v>
      </c>
    </row>
    <row r="1155" spans="1:2" ht="16.5" hidden="1" customHeight="1">
      <c r="A1155" s="106">
        <v>44618</v>
      </c>
      <c r="B1155" s="110">
        <v>1199.4000000000001</v>
      </c>
    </row>
    <row r="1156" spans="1:2" ht="16.5" hidden="1" customHeight="1">
      <c r="A1156" s="106">
        <v>44619</v>
      </c>
      <c r="B1156" s="110">
        <v>1199.4000000000001</v>
      </c>
    </row>
    <row r="1157" spans="1:2" ht="16.5" hidden="1" customHeight="1">
      <c r="A1157" s="106">
        <v>44620</v>
      </c>
      <c r="B1157" s="110">
        <v>1202.7</v>
      </c>
    </row>
    <row r="1158" spans="1:2" ht="16.5" hidden="1" customHeight="1">
      <c r="A1158" s="106">
        <v>44621</v>
      </c>
      <c r="B1158" s="110">
        <v>1202.7</v>
      </c>
    </row>
    <row r="1159" spans="1:2" ht="16.5" hidden="1" customHeight="1">
      <c r="A1159" s="106">
        <v>44622</v>
      </c>
      <c r="B1159" s="110">
        <v>1205.5999999999999</v>
      </c>
    </row>
    <row r="1160" spans="1:2" ht="16.5" hidden="1" customHeight="1">
      <c r="A1160" s="106">
        <v>44623</v>
      </c>
      <c r="B1160" s="110">
        <v>1205</v>
      </c>
    </row>
    <row r="1161" spans="1:2" ht="16.5" hidden="1" customHeight="1">
      <c r="A1161" s="106">
        <v>44624</v>
      </c>
      <c r="B1161" s="110">
        <v>1203.5999999999999</v>
      </c>
    </row>
    <row r="1162" spans="1:2" ht="16.5" hidden="1" customHeight="1">
      <c r="A1162" s="106">
        <v>44625</v>
      </c>
      <c r="B1162" s="110">
        <v>1203.5999999999999</v>
      </c>
    </row>
    <row r="1163" spans="1:2" ht="16.5" hidden="1" customHeight="1">
      <c r="A1163" s="106">
        <v>44626</v>
      </c>
      <c r="B1163" s="110">
        <v>1203.5999999999999</v>
      </c>
    </row>
    <row r="1164" spans="1:2" ht="16.5" hidden="1" customHeight="1">
      <c r="A1164" s="106">
        <v>44627</v>
      </c>
      <c r="B1164" s="110">
        <v>1211.5</v>
      </c>
    </row>
    <row r="1165" spans="1:2" ht="16.5" hidden="1" customHeight="1">
      <c r="A1165" s="106">
        <v>44628</v>
      </c>
      <c r="B1165" s="110">
        <v>1225.4000000000001</v>
      </c>
    </row>
    <row r="1166" spans="1:2" ht="16.5" hidden="1" customHeight="1">
      <c r="A1166" s="106">
        <v>44629</v>
      </c>
      <c r="B1166" s="110">
        <v>1225.4000000000001</v>
      </c>
    </row>
    <row r="1167" spans="1:2" ht="16.5" hidden="1" customHeight="1">
      <c r="A1167" s="106">
        <v>44630</v>
      </c>
      <c r="B1167" s="110">
        <v>1234.5</v>
      </c>
    </row>
    <row r="1168" spans="1:2" ht="16.5" hidden="1" customHeight="1">
      <c r="A1168" s="106">
        <v>44631</v>
      </c>
      <c r="B1168" s="110">
        <v>1228.7</v>
      </c>
    </row>
    <row r="1169" spans="1:2" ht="16.5" hidden="1" customHeight="1">
      <c r="A1169" s="106">
        <v>44632</v>
      </c>
      <c r="B1169" s="110">
        <v>1228.7</v>
      </c>
    </row>
    <row r="1170" spans="1:2" ht="16.5" hidden="1" customHeight="1">
      <c r="A1170" s="106">
        <v>44633</v>
      </c>
      <c r="B1170" s="110">
        <v>1228.7</v>
      </c>
    </row>
    <row r="1171" spans="1:2" ht="16.5" hidden="1" customHeight="1">
      <c r="A1171" s="106">
        <v>44634</v>
      </c>
      <c r="B1171" s="110">
        <v>1232.4000000000001</v>
      </c>
    </row>
    <row r="1172" spans="1:2" ht="16.5" hidden="1" customHeight="1">
      <c r="A1172" s="106">
        <v>44635</v>
      </c>
      <c r="B1172" s="110">
        <v>1238.5999999999999</v>
      </c>
    </row>
    <row r="1173" spans="1:2" ht="16.5" hidden="1" customHeight="1">
      <c r="A1173" s="106">
        <v>44636</v>
      </c>
      <c r="B1173" s="110">
        <v>1241.7</v>
      </c>
    </row>
    <row r="1174" spans="1:2" ht="16.5" hidden="1" customHeight="1">
      <c r="A1174" s="106">
        <v>44637</v>
      </c>
      <c r="B1174" s="110">
        <v>1240.4000000000001</v>
      </c>
    </row>
    <row r="1175" spans="1:2" ht="16.5" hidden="1" customHeight="1">
      <c r="A1175" s="106">
        <v>44638</v>
      </c>
      <c r="B1175" s="110">
        <v>1220.5999999999999</v>
      </c>
    </row>
    <row r="1176" spans="1:2" ht="16.5" hidden="1" customHeight="1">
      <c r="A1176" s="106">
        <v>44639</v>
      </c>
      <c r="B1176" s="110">
        <v>1220.5999999999999</v>
      </c>
    </row>
    <row r="1177" spans="1:2" ht="16.5" hidden="1" customHeight="1">
      <c r="A1177" s="106">
        <v>44640</v>
      </c>
      <c r="B1177" s="110">
        <v>1220.5999999999999</v>
      </c>
    </row>
    <row r="1178" spans="1:2" ht="16.5" hidden="1" customHeight="1">
      <c r="A1178" s="106">
        <v>44641</v>
      </c>
      <c r="B1178" s="110">
        <v>1211.0999999999999</v>
      </c>
    </row>
    <row r="1179" spans="1:2" ht="16.5" hidden="1" customHeight="1">
      <c r="A1179" s="106">
        <v>44642</v>
      </c>
      <c r="B1179" s="110">
        <v>1213.7</v>
      </c>
    </row>
    <row r="1180" spans="1:2" ht="16.5" hidden="1" customHeight="1">
      <c r="A1180" s="106">
        <v>44643</v>
      </c>
      <c r="B1180" s="110">
        <v>1221.4000000000001</v>
      </c>
    </row>
    <row r="1181" spans="1:2" ht="16.5" hidden="1" customHeight="1">
      <c r="A1181" s="106">
        <v>44644</v>
      </c>
      <c r="B1181" s="110">
        <v>1212.7</v>
      </c>
    </row>
    <row r="1182" spans="1:2" ht="16.5" hidden="1" customHeight="1">
      <c r="A1182" s="106">
        <v>44645</v>
      </c>
      <c r="B1182" s="110">
        <v>1219.4000000000001</v>
      </c>
    </row>
    <row r="1183" spans="1:2" ht="16.5" hidden="1" customHeight="1">
      <c r="A1183" s="106">
        <v>44646</v>
      </c>
      <c r="B1183" s="110">
        <v>1219.4000000000001</v>
      </c>
    </row>
    <row r="1184" spans="1:2" ht="16.5" hidden="1" customHeight="1">
      <c r="A1184" s="106">
        <v>44647</v>
      </c>
      <c r="B1184" s="110">
        <v>1219.4000000000001</v>
      </c>
    </row>
    <row r="1185" spans="1:2" ht="16.5" hidden="1" customHeight="1">
      <c r="A1185" s="106">
        <v>44648</v>
      </c>
      <c r="B1185" s="110">
        <v>1218.3</v>
      </c>
    </row>
    <row r="1186" spans="1:2" ht="16.5" hidden="1" customHeight="1">
      <c r="A1186" s="106">
        <v>44649</v>
      </c>
      <c r="B1186" s="110">
        <v>1225.7</v>
      </c>
    </row>
    <row r="1187" spans="1:2" ht="16.5" hidden="1" customHeight="1">
      <c r="A1187" s="106">
        <v>44650</v>
      </c>
      <c r="B1187" s="110">
        <v>1220.5</v>
      </c>
    </row>
    <row r="1188" spans="1:2" ht="16.5" hidden="1" customHeight="1">
      <c r="A1188" s="106">
        <v>44651</v>
      </c>
      <c r="B1188" s="110">
        <v>1210.8</v>
      </c>
    </row>
    <row r="1189" spans="1:2" ht="16.5" hidden="1" customHeight="1">
      <c r="A1189" s="106">
        <v>44652</v>
      </c>
      <c r="B1189" s="110">
        <v>1210.7</v>
      </c>
    </row>
    <row r="1190" spans="1:2" ht="16.5" hidden="1" customHeight="1">
      <c r="A1190" s="106">
        <v>44653</v>
      </c>
      <c r="B1190" s="110">
        <v>1210.7</v>
      </c>
    </row>
    <row r="1191" spans="1:2" ht="16.5" hidden="1" customHeight="1">
      <c r="A1191" s="106">
        <v>44654</v>
      </c>
      <c r="B1191" s="110">
        <v>1210.7</v>
      </c>
    </row>
    <row r="1192" spans="1:2" ht="16.5" hidden="1" customHeight="1">
      <c r="A1192" s="106">
        <v>44655</v>
      </c>
      <c r="B1192" s="110">
        <v>1216.0999999999999</v>
      </c>
    </row>
    <row r="1193" spans="1:2" ht="16.5" hidden="1" customHeight="1">
      <c r="A1193" s="106">
        <v>44656</v>
      </c>
      <c r="B1193" s="110">
        <v>1216.7</v>
      </c>
    </row>
    <row r="1194" spans="1:2" ht="16.5" hidden="1" customHeight="1">
      <c r="A1194" s="106">
        <v>44657</v>
      </c>
      <c r="B1194" s="110">
        <v>1212.5999999999999</v>
      </c>
    </row>
    <row r="1195" spans="1:2" ht="16.5" hidden="1" customHeight="1">
      <c r="A1195" s="106">
        <v>44658</v>
      </c>
      <c r="B1195" s="110">
        <v>1219.0999999999999</v>
      </c>
    </row>
    <row r="1196" spans="1:2" ht="16.5" hidden="1" customHeight="1">
      <c r="A1196" s="106">
        <v>44659</v>
      </c>
      <c r="B1196" s="110">
        <v>1218.5</v>
      </c>
    </row>
    <row r="1197" spans="1:2" ht="16.5" hidden="1" customHeight="1">
      <c r="A1197" s="106">
        <v>44660</v>
      </c>
      <c r="B1197" s="110">
        <v>1218.5</v>
      </c>
    </row>
    <row r="1198" spans="1:2" ht="16.5" hidden="1" customHeight="1">
      <c r="A1198" s="106">
        <v>44661</v>
      </c>
      <c r="B1198" s="110">
        <v>1218.5</v>
      </c>
    </row>
    <row r="1199" spans="1:2" ht="16.5" hidden="1" customHeight="1">
      <c r="A1199" s="106">
        <v>44662</v>
      </c>
      <c r="B1199" s="110">
        <v>1224</v>
      </c>
    </row>
    <row r="1200" spans="1:2" ht="16.5" hidden="1" customHeight="1">
      <c r="A1200" s="106">
        <v>44663</v>
      </c>
      <c r="B1200" s="110">
        <v>1232</v>
      </c>
    </row>
    <row r="1201" spans="1:2" ht="16.5" hidden="1" customHeight="1">
      <c r="A1201" s="106">
        <v>44664</v>
      </c>
      <c r="B1201" s="110">
        <v>1236.5999999999999</v>
      </c>
    </row>
    <row r="1202" spans="1:2" ht="16.5" hidden="1" customHeight="1">
      <c r="A1202" s="106">
        <v>44665</v>
      </c>
      <c r="B1202" s="110">
        <v>1227.7</v>
      </c>
    </row>
    <row r="1203" spans="1:2" ht="16.5" hidden="1" customHeight="1">
      <c r="A1203" s="106">
        <v>44666</v>
      </c>
      <c r="B1203" s="110">
        <v>1224.2</v>
      </c>
    </row>
    <row r="1204" spans="1:2" ht="16.5" hidden="1" customHeight="1">
      <c r="A1204" s="106">
        <v>44667</v>
      </c>
      <c r="B1204" s="110">
        <v>1224.2</v>
      </c>
    </row>
    <row r="1205" spans="1:2" ht="16.5" hidden="1" customHeight="1">
      <c r="A1205" s="106">
        <v>44668</v>
      </c>
      <c r="B1205" s="110">
        <v>1224.2</v>
      </c>
    </row>
    <row r="1206" spans="1:2" ht="16.5" hidden="1" customHeight="1">
      <c r="A1206" s="106">
        <v>44669</v>
      </c>
      <c r="B1206" s="110">
        <v>1230.0999999999999</v>
      </c>
    </row>
    <row r="1207" spans="1:2" ht="16.5" hidden="1" customHeight="1">
      <c r="A1207" s="106">
        <v>44670</v>
      </c>
      <c r="B1207" s="110">
        <v>1232.8</v>
      </c>
    </row>
    <row r="1208" spans="1:2" ht="16.5" hidden="1" customHeight="1">
      <c r="A1208" s="106">
        <v>44671</v>
      </c>
      <c r="B1208" s="110">
        <v>1234.9000000000001</v>
      </c>
    </row>
    <row r="1209" spans="1:2" ht="16.5" hidden="1" customHeight="1">
      <c r="A1209" s="106">
        <v>44672</v>
      </c>
      <c r="B1209" s="110">
        <v>1237.0999999999999</v>
      </c>
    </row>
    <row r="1210" spans="1:2" ht="16.5" hidden="1" customHeight="1">
      <c r="A1210" s="106">
        <v>44673</v>
      </c>
      <c r="B1210" s="110">
        <v>1236.4000000000001</v>
      </c>
    </row>
    <row r="1211" spans="1:2" ht="16.5" hidden="1" customHeight="1">
      <c r="A1211" s="106">
        <v>44674</v>
      </c>
      <c r="B1211" s="110">
        <v>1236.4000000000001</v>
      </c>
    </row>
    <row r="1212" spans="1:2" ht="16.5" hidden="1" customHeight="1">
      <c r="A1212" s="106">
        <v>44675</v>
      </c>
      <c r="B1212" s="110">
        <v>1236.4000000000001</v>
      </c>
    </row>
    <row r="1213" spans="1:2" ht="16.5" hidden="1" customHeight="1">
      <c r="A1213" s="106">
        <v>44676</v>
      </c>
      <c r="B1213" s="110">
        <v>1241.7</v>
      </c>
    </row>
    <row r="1214" spans="1:2" ht="16.5" hidden="1" customHeight="1">
      <c r="A1214" s="106">
        <v>44677</v>
      </c>
      <c r="B1214" s="110">
        <v>1247.0999999999999</v>
      </c>
    </row>
    <row r="1215" spans="1:2" ht="16.5" hidden="1" customHeight="1">
      <c r="A1215" s="106">
        <v>44678</v>
      </c>
      <c r="B1215" s="110">
        <v>1248.3</v>
      </c>
    </row>
    <row r="1216" spans="1:2" ht="16.5" hidden="1" customHeight="1">
      <c r="A1216" s="106">
        <v>44679</v>
      </c>
      <c r="B1216" s="110">
        <v>1263.0999999999999</v>
      </c>
    </row>
    <row r="1217" spans="1:5" ht="16.5" hidden="1" customHeight="1">
      <c r="A1217" s="106">
        <v>44680</v>
      </c>
      <c r="B1217" s="110">
        <v>1269.4000000000001</v>
      </c>
    </row>
    <row r="1218" spans="1:5" ht="16.5" hidden="1" customHeight="1">
      <c r="A1218" s="106">
        <v>44681</v>
      </c>
      <c r="B1218" s="110">
        <v>1269.4000000000001</v>
      </c>
    </row>
    <row r="1219" spans="1:5" ht="16.5" hidden="1" customHeight="1">
      <c r="A1219" s="106">
        <v>44682</v>
      </c>
      <c r="B1219" s="110">
        <v>1269.4000000000001</v>
      </c>
    </row>
    <row r="1220" spans="1:5" ht="16.5" hidden="1" customHeight="1">
      <c r="A1220" s="106">
        <v>44683</v>
      </c>
      <c r="B1220" s="110">
        <v>1265.4000000000001</v>
      </c>
    </row>
    <row r="1221" spans="1:5" ht="16.5" hidden="1" customHeight="1">
      <c r="A1221" s="106">
        <v>44684</v>
      </c>
      <c r="B1221" s="110">
        <v>1265.8</v>
      </c>
    </row>
    <row r="1222" spans="1:5" ht="16.5" hidden="1" customHeight="1">
      <c r="A1222" s="106">
        <v>44685</v>
      </c>
      <c r="B1222" s="110">
        <v>1265.7</v>
      </c>
    </row>
    <row r="1223" spans="1:5" ht="16.5" hidden="1" customHeight="1">
      <c r="A1223" s="106">
        <v>44686</v>
      </c>
      <c r="B1223" s="110">
        <v>1265.7</v>
      </c>
    </row>
    <row r="1224" spans="1:5" ht="16.5" hidden="1" customHeight="1">
      <c r="A1224" s="106">
        <v>44687</v>
      </c>
      <c r="B1224" s="110">
        <v>1261.8</v>
      </c>
    </row>
    <row r="1225" spans="1:5" ht="16.5" hidden="1" customHeight="1">
      <c r="A1225" s="106">
        <v>44688</v>
      </c>
      <c r="B1225" s="110">
        <v>1261.8</v>
      </c>
    </row>
    <row r="1226" spans="1:5" ht="16.5" hidden="1" customHeight="1">
      <c r="A1226" s="106">
        <v>44689</v>
      </c>
      <c r="B1226" s="110">
        <v>1261.8</v>
      </c>
    </row>
    <row r="1227" spans="1:5" ht="16.5" hidden="1" customHeight="1">
      <c r="A1227" s="106">
        <v>44690</v>
      </c>
      <c r="B1227" s="110">
        <v>1272.7</v>
      </c>
    </row>
    <row r="1228" spans="1:5" ht="16.5" hidden="1" customHeight="1">
      <c r="A1228" s="106">
        <v>44691</v>
      </c>
      <c r="B1228" s="110">
        <v>1274.5999999999999</v>
      </c>
    </row>
    <row r="1229" spans="1:5" ht="16.5" hidden="1" customHeight="1">
      <c r="A1229" s="106">
        <v>44692</v>
      </c>
      <c r="B1229" s="110">
        <v>1275.5</v>
      </c>
    </row>
    <row r="1230" spans="1:5" ht="16.5" hidden="1" customHeight="1">
      <c r="A1230" s="106">
        <v>44693</v>
      </c>
      <c r="B1230" s="110">
        <v>1277</v>
      </c>
    </row>
    <row r="1231" spans="1:5" ht="16.5" hidden="1" customHeight="1">
      <c r="A1231" s="106">
        <v>44694</v>
      </c>
      <c r="B1231" s="110">
        <v>1286.4000000000001</v>
      </c>
      <c r="E1231">
        <v>4500</v>
      </c>
    </row>
    <row r="1232" spans="1:5" ht="16.5" hidden="1" customHeight="1">
      <c r="A1232" s="106">
        <v>44695</v>
      </c>
      <c r="B1232" s="110">
        <v>1286.4000000000001</v>
      </c>
      <c r="E1232">
        <v>1266.4000000000001</v>
      </c>
    </row>
    <row r="1233" spans="1:5" ht="16.5" hidden="1" customHeight="1">
      <c r="A1233" s="106">
        <v>44696</v>
      </c>
      <c r="B1233" s="110">
        <v>1286.4000000000001</v>
      </c>
      <c r="E1233" s="108">
        <f>ROUNDDOWN(E1231*E1232,0)</f>
        <v>5698800</v>
      </c>
    </row>
    <row r="1234" spans="1:5" ht="16.5" hidden="1" customHeight="1">
      <c r="A1234" s="106">
        <v>44697</v>
      </c>
      <c r="B1234" s="110">
        <v>1286</v>
      </c>
    </row>
    <row r="1235" spans="1:5" ht="16.5" hidden="1" customHeight="1">
      <c r="A1235" s="106">
        <v>44698</v>
      </c>
      <c r="B1235" s="110">
        <v>1281.5999999999999</v>
      </c>
    </row>
    <row r="1236" spans="1:5" ht="16.5" hidden="1" customHeight="1">
      <c r="A1236" s="106">
        <v>44699</v>
      </c>
      <c r="B1236" s="110">
        <v>1277.2</v>
      </c>
    </row>
    <row r="1237" spans="1:5" ht="16.5" hidden="1" customHeight="1">
      <c r="A1237" s="106">
        <v>44700</v>
      </c>
      <c r="B1237" s="110">
        <v>1269.3</v>
      </c>
    </row>
    <row r="1238" spans="1:5" ht="16.5" hidden="1" customHeight="1">
      <c r="A1238" s="106">
        <v>44701</v>
      </c>
      <c r="B1238" s="110">
        <v>1274.5999999999999</v>
      </c>
    </row>
    <row r="1239" spans="1:5" ht="16.5" hidden="1" customHeight="1">
      <c r="A1239" s="106">
        <v>44702</v>
      </c>
      <c r="B1239" s="110">
        <v>1274.5999999999999</v>
      </c>
    </row>
    <row r="1240" spans="1:5" ht="16.5" hidden="1" customHeight="1">
      <c r="A1240" s="106">
        <v>44703</v>
      </c>
      <c r="B1240" s="110">
        <v>1274.5999999999999</v>
      </c>
      <c r="E1240" s="108"/>
    </row>
    <row r="1241" spans="1:5" ht="16.5" hidden="1" customHeight="1">
      <c r="A1241" s="106">
        <v>44704</v>
      </c>
      <c r="B1241" s="110">
        <v>1269.5</v>
      </c>
    </row>
    <row r="1242" spans="1:5" ht="16.5" hidden="1" customHeight="1">
      <c r="A1242" s="106">
        <v>44705</v>
      </c>
      <c r="B1242" s="110">
        <v>1267.7</v>
      </c>
    </row>
    <row r="1243" spans="1:5" ht="16.5" hidden="1" customHeight="1">
      <c r="A1243" s="106">
        <v>44706</v>
      </c>
      <c r="B1243" s="110">
        <v>1264.3</v>
      </c>
    </row>
    <row r="1244" spans="1:5" ht="16.5" hidden="1" customHeight="1">
      <c r="A1244" s="106">
        <v>44707</v>
      </c>
      <c r="B1244" s="110">
        <v>1263.3</v>
      </c>
    </row>
    <row r="1245" spans="1:5" ht="16.5" hidden="1" customHeight="1">
      <c r="A1245" s="106">
        <v>44708</v>
      </c>
      <c r="B1245" s="110">
        <v>1266.4000000000001</v>
      </c>
    </row>
    <row r="1246" spans="1:5" ht="16.5" hidden="1" customHeight="1">
      <c r="A1246" s="106">
        <v>44709</v>
      </c>
      <c r="B1246" s="110">
        <v>1266.4000000000001</v>
      </c>
    </row>
    <row r="1247" spans="1:5" ht="16.5" hidden="1" customHeight="1">
      <c r="A1247" s="106">
        <v>44710</v>
      </c>
      <c r="B1247" s="110">
        <v>1266.4000000000001</v>
      </c>
    </row>
    <row r="1248" spans="1:5" ht="16.5" hidden="1" customHeight="1">
      <c r="A1248" s="106">
        <v>44711</v>
      </c>
      <c r="B1248" s="110">
        <v>1256.9000000000001</v>
      </c>
    </row>
    <row r="1249" spans="1:2" ht="16.5" hidden="1" customHeight="1">
      <c r="A1249" s="106">
        <v>44712</v>
      </c>
      <c r="B1249" s="110">
        <v>1245.8</v>
      </c>
    </row>
    <row r="1250" spans="1:2" ht="16.5" hidden="1" customHeight="1">
      <c r="A1250" s="106">
        <v>44713</v>
      </c>
      <c r="B1250" s="110">
        <v>1245.8</v>
      </c>
    </row>
    <row r="1251" spans="1:2" ht="16.5" hidden="1" customHeight="1">
      <c r="A1251" s="106">
        <v>44714</v>
      </c>
      <c r="B1251" s="110">
        <v>1238.4000000000001</v>
      </c>
    </row>
    <row r="1252" spans="1:2" ht="16.5" hidden="1" customHeight="1">
      <c r="A1252" s="106">
        <v>44715</v>
      </c>
      <c r="B1252" s="110">
        <v>1251.2</v>
      </c>
    </row>
    <row r="1253" spans="1:2" ht="16.5" hidden="1" customHeight="1">
      <c r="A1253" s="106">
        <v>44716</v>
      </c>
      <c r="B1253" s="110">
        <v>1251.2</v>
      </c>
    </row>
    <row r="1254" spans="1:2" ht="16.5" hidden="1" customHeight="1">
      <c r="A1254" s="106">
        <v>44717</v>
      </c>
      <c r="B1254" s="110">
        <v>1251.2</v>
      </c>
    </row>
    <row r="1255" spans="1:2" ht="16.5" hidden="1" customHeight="1">
      <c r="A1255" s="106">
        <v>44718</v>
      </c>
      <c r="B1255" s="110">
        <v>1251.2</v>
      </c>
    </row>
    <row r="1256" spans="1:2" ht="16.5" hidden="1" customHeight="1">
      <c r="A1256" s="106">
        <v>44719</v>
      </c>
      <c r="B1256" s="110">
        <v>1241.0999999999999</v>
      </c>
    </row>
    <row r="1257" spans="1:2" ht="16.5" hidden="1" customHeight="1">
      <c r="A1257" s="106">
        <v>44720</v>
      </c>
      <c r="B1257" s="110">
        <v>1257.0999999999999</v>
      </c>
    </row>
    <row r="1258" spans="1:2" ht="16.5" hidden="1" customHeight="1">
      <c r="A1258" s="106">
        <v>44721</v>
      </c>
      <c r="B1258" s="110">
        <v>1255.4000000000001</v>
      </c>
    </row>
    <row r="1259" spans="1:2" ht="16.5" hidden="1" customHeight="1">
      <c r="A1259" s="106">
        <v>44722</v>
      </c>
      <c r="B1259" s="110">
        <v>1257.5999999999999</v>
      </c>
    </row>
    <row r="1260" spans="1:2" ht="16.5" hidden="1" customHeight="1">
      <c r="A1260" s="106">
        <v>44723</v>
      </c>
      <c r="B1260" s="110">
        <v>1257.5999999999999</v>
      </c>
    </row>
    <row r="1261" spans="1:2" ht="16.5" hidden="1" customHeight="1">
      <c r="A1261" s="106">
        <v>44724</v>
      </c>
      <c r="B1261" s="110">
        <v>1257.5999999999999</v>
      </c>
    </row>
    <row r="1262" spans="1:2" ht="16.5" hidden="1" customHeight="1">
      <c r="A1262" s="106">
        <v>44725</v>
      </c>
      <c r="B1262" s="110">
        <v>1266</v>
      </c>
    </row>
    <row r="1263" spans="1:2" ht="16.5" hidden="1" customHeight="1">
      <c r="A1263" s="106">
        <v>44726</v>
      </c>
      <c r="B1263" s="110">
        <v>1286</v>
      </c>
    </row>
    <row r="1264" spans="1:2" ht="16.5" hidden="1" customHeight="1">
      <c r="A1264" s="106">
        <v>44727</v>
      </c>
      <c r="B1264" s="110">
        <v>1289.7</v>
      </c>
    </row>
    <row r="1265" spans="1:2" ht="16.5" hidden="1" customHeight="1">
      <c r="A1265" s="106">
        <v>44728</v>
      </c>
      <c r="B1265" s="110">
        <v>1291.3</v>
      </c>
    </row>
    <row r="1266" spans="1:2" ht="16.5" hidden="1" customHeight="1">
      <c r="A1266" s="106">
        <v>44729</v>
      </c>
      <c r="B1266" s="110">
        <v>1284.0999999999999</v>
      </c>
    </row>
    <row r="1267" spans="1:2" ht="16.5" hidden="1" customHeight="1">
      <c r="A1267" s="106">
        <v>44730</v>
      </c>
      <c r="B1267" s="110">
        <v>1284.0999999999999</v>
      </c>
    </row>
    <row r="1268" spans="1:2" ht="16.5" hidden="1" customHeight="1">
      <c r="A1268" s="106">
        <v>44731</v>
      </c>
      <c r="B1268" s="110">
        <v>1284.0999999999999</v>
      </c>
    </row>
    <row r="1269" spans="1:2" ht="16.5" hidden="1" customHeight="1">
      <c r="A1269" s="106">
        <v>44732</v>
      </c>
      <c r="B1269" s="110">
        <v>1287.5</v>
      </c>
    </row>
    <row r="1270" spans="1:2" ht="16.5" hidden="1" customHeight="1">
      <c r="A1270" s="106">
        <v>44733</v>
      </c>
      <c r="B1270" s="110">
        <v>1291.7</v>
      </c>
    </row>
    <row r="1271" spans="1:2" ht="16.5" hidden="1" customHeight="1">
      <c r="A1271" s="106">
        <v>44734</v>
      </c>
      <c r="B1271" s="110">
        <v>1290.5999999999999</v>
      </c>
    </row>
    <row r="1272" spans="1:2" ht="16.5" hidden="1" customHeight="1">
      <c r="A1272" s="106">
        <v>44735</v>
      </c>
      <c r="B1272" s="110">
        <v>1295.7</v>
      </c>
    </row>
    <row r="1273" spans="1:2" ht="16.5" hidden="1" customHeight="1">
      <c r="A1273" s="106">
        <v>44736</v>
      </c>
      <c r="B1273" s="110">
        <v>1300.7</v>
      </c>
    </row>
    <row r="1274" spans="1:2" ht="16.5" hidden="1" customHeight="1">
      <c r="A1274" s="106">
        <v>44737</v>
      </c>
      <c r="B1274" s="110">
        <v>1300.7</v>
      </c>
    </row>
    <row r="1275" spans="1:2" ht="16.5" hidden="1" customHeight="1">
      <c r="A1275" s="106">
        <v>44738</v>
      </c>
      <c r="B1275" s="110">
        <v>1300.7</v>
      </c>
    </row>
    <row r="1276" spans="1:2" ht="16.5" hidden="1" customHeight="1">
      <c r="A1276" s="106">
        <v>44739</v>
      </c>
      <c r="B1276" s="110">
        <v>1299.4000000000001</v>
      </c>
    </row>
    <row r="1277" spans="1:2" ht="16.5" hidden="1" customHeight="1">
      <c r="A1277" s="106">
        <v>44740</v>
      </c>
      <c r="B1277" s="110">
        <v>1285.5999999999999</v>
      </c>
    </row>
    <row r="1278" spans="1:2" ht="16.5" hidden="1" customHeight="1">
      <c r="A1278" s="106">
        <v>44741</v>
      </c>
      <c r="B1278" s="110">
        <v>1284.9000000000001</v>
      </c>
    </row>
    <row r="1279" spans="1:2" ht="16.5" hidden="1" customHeight="1">
      <c r="A1279" s="106">
        <v>44742</v>
      </c>
      <c r="B1279" s="110">
        <v>1292.9000000000001</v>
      </c>
    </row>
    <row r="1280" spans="1:2" ht="16.5" hidden="1" customHeight="1">
      <c r="A1280" s="106">
        <v>44743</v>
      </c>
      <c r="B1280" s="115">
        <v>1299.8</v>
      </c>
    </row>
    <row r="1281" spans="1:2" ht="16.5" hidden="1" customHeight="1">
      <c r="A1281" s="106">
        <v>44744</v>
      </c>
      <c r="B1281" s="115">
        <v>1299.8</v>
      </c>
    </row>
    <row r="1282" spans="1:2" ht="16.5" hidden="1" customHeight="1">
      <c r="A1282" s="106">
        <v>44745</v>
      </c>
      <c r="B1282" s="115">
        <v>1299.8</v>
      </c>
    </row>
    <row r="1283" spans="1:2" ht="16.5" hidden="1" customHeight="1">
      <c r="A1283" s="106">
        <v>44746</v>
      </c>
      <c r="B1283" s="115">
        <v>1294.2</v>
      </c>
    </row>
    <row r="1284" spans="1:2" ht="16.5" hidden="1" customHeight="1">
      <c r="A1284" s="106">
        <v>44747</v>
      </c>
      <c r="B1284" s="115">
        <v>1297.9000000000001</v>
      </c>
    </row>
    <row r="1285" spans="1:2" ht="16.5" hidden="1" customHeight="1">
      <c r="A1285" s="106">
        <v>44748</v>
      </c>
      <c r="B1285" s="115">
        <v>1298</v>
      </c>
    </row>
    <row r="1286" spans="1:2" ht="16.5" hidden="1" customHeight="1">
      <c r="A1286" s="106">
        <v>44749</v>
      </c>
      <c r="B1286" s="115">
        <v>1307.4000000000001</v>
      </c>
    </row>
    <row r="1287" spans="1:2" ht="16.5" hidden="1" customHeight="1">
      <c r="A1287" s="106">
        <v>44750</v>
      </c>
      <c r="B1287" s="115">
        <v>1302.7</v>
      </c>
    </row>
    <row r="1288" spans="1:2" ht="16.5" hidden="1" customHeight="1">
      <c r="A1288" s="106">
        <v>44751</v>
      </c>
      <c r="B1288" s="115">
        <v>1302.7</v>
      </c>
    </row>
    <row r="1289" spans="1:2" ht="16.5" hidden="1" customHeight="1">
      <c r="A1289" s="106">
        <v>44752</v>
      </c>
      <c r="B1289" s="115">
        <v>1302.7</v>
      </c>
    </row>
    <row r="1290" spans="1:2" ht="16.5" hidden="1" customHeight="1">
      <c r="A1290" s="106">
        <v>44753</v>
      </c>
      <c r="B1290" s="115">
        <v>1299.3</v>
      </c>
    </row>
    <row r="1291" spans="1:2" ht="16.5" hidden="1" customHeight="1">
      <c r="A1291" s="106">
        <v>44754</v>
      </c>
      <c r="B1291" s="115">
        <v>1300.5999999999999</v>
      </c>
    </row>
    <row r="1292" spans="1:2" ht="16.5" hidden="1" customHeight="1">
      <c r="A1292" s="106">
        <v>44755</v>
      </c>
      <c r="B1292" s="115">
        <v>1312.9</v>
      </c>
    </row>
    <row r="1293" spans="1:2" ht="16.5" hidden="1" customHeight="1">
      <c r="A1293" s="106">
        <v>44756</v>
      </c>
      <c r="B1293" s="115">
        <v>1305.9000000000001</v>
      </c>
    </row>
    <row r="1294" spans="1:2" ht="16.5" hidden="1" customHeight="1">
      <c r="A1294" s="106">
        <v>44757</v>
      </c>
      <c r="B1294" s="115">
        <v>1310</v>
      </c>
    </row>
    <row r="1295" spans="1:2" ht="16.5" hidden="1" customHeight="1">
      <c r="A1295" s="106">
        <v>44758</v>
      </c>
      <c r="B1295" s="115">
        <v>1310</v>
      </c>
    </row>
    <row r="1296" spans="1:2" ht="16.5" hidden="1" customHeight="1">
      <c r="A1296" s="106">
        <v>44759</v>
      </c>
      <c r="B1296" s="115">
        <v>1310</v>
      </c>
    </row>
    <row r="1297" spans="1:2" ht="16.5" hidden="1" customHeight="1">
      <c r="A1297" s="106">
        <v>44760</v>
      </c>
      <c r="B1297" s="115">
        <v>1323.7</v>
      </c>
    </row>
    <row r="1298" spans="1:2" ht="16.5" hidden="1" customHeight="1">
      <c r="A1298" s="106">
        <v>44761</v>
      </c>
      <c r="B1298" s="110">
        <v>1317.8</v>
      </c>
    </row>
    <row r="1299" spans="1:2" ht="16.5" hidden="1" customHeight="1">
      <c r="A1299" s="106">
        <v>44762</v>
      </c>
      <c r="B1299" s="110">
        <v>1314.9</v>
      </c>
    </row>
    <row r="1300" spans="1:2" ht="16.5" hidden="1" customHeight="1">
      <c r="A1300" s="106">
        <v>44763</v>
      </c>
      <c r="B1300" s="110">
        <v>1308.5999999999999</v>
      </c>
    </row>
    <row r="1301" spans="1:2" ht="16.5" hidden="1" customHeight="1">
      <c r="A1301" s="106">
        <v>44764</v>
      </c>
      <c r="B1301" s="110">
        <v>1312.1</v>
      </c>
    </row>
    <row r="1302" spans="1:2" ht="16.5" hidden="1" customHeight="1">
      <c r="A1302" s="106">
        <v>44765</v>
      </c>
      <c r="B1302" s="110">
        <v>1312.1</v>
      </c>
    </row>
    <row r="1303" spans="1:2" ht="16.5" hidden="1" customHeight="1">
      <c r="A1303" s="106">
        <v>44766</v>
      </c>
      <c r="B1303" s="110">
        <v>1312.1</v>
      </c>
    </row>
    <row r="1304" spans="1:2" ht="16.5" hidden="1" customHeight="1">
      <c r="A1304" s="106">
        <v>44767</v>
      </c>
      <c r="B1304" s="110">
        <v>1311.7</v>
      </c>
    </row>
    <row r="1305" spans="1:2" ht="16.5" hidden="1" customHeight="1">
      <c r="A1305" s="106">
        <v>44768</v>
      </c>
      <c r="B1305" s="110">
        <v>1311</v>
      </c>
    </row>
    <row r="1306" spans="1:2" ht="16.5" hidden="1" customHeight="1">
      <c r="A1306" s="106">
        <v>44769</v>
      </c>
      <c r="B1306" s="110">
        <v>1310</v>
      </c>
    </row>
    <row r="1307" spans="1:2" ht="16.5" hidden="1" customHeight="1">
      <c r="A1307" s="106">
        <v>44770</v>
      </c>
      <c r="B1307" s="110">
        <v>1312.8</v>
      </c>
    </row>
    <row r="1308" spans="1:2" ht="16.5" hidden="1" customHeight="1">
      <c r="A1308" s="106">
        <v>44771</v>
      </c>
      <c r="B1308" s="110">
        <v>1304</v>
      </c>
    </row>
    <row r="1309" spans="1:2" ht="16.5" hidden="1" customHeight="1">
      <c r="A1309" s="106">
        <v>44772</v>
      </c>
      <c r="B1309" s="110">
        <v>1304</v>
      </c>
    </row>
    <row r="1310" spans="1:2" ht="16.5" hidden="1" customHeight="1">
      <c r="A1310" s="106">
        <v>44773</v>
      </c>
      <c r="B1310" s="110">
        <v>1304</v>
      </c>
    </row>
    <row r="1311" spans="1:2" ht="16.5" hidden="1" customHeight="1">
      <c r="A1311" s="106">
        <v>44774</v>
      </c>
      <c r="B1311" s="110">
        <v>1298.5999999999999</v>
      </c>
    </row>
    <row r="1312" spans="1:2" ht="16.5" hidden="1" customHeight="1">
      <c r="A1312" s="106">
        <v>44775</v>
      </c>
      <c r="B1312" s="110">
        <v>1306.4000000000001</v>
      </c>
    </row>
    <row r="1313" spans="1:2" ht="16.5" hidden="1" customHeight="1">
      <c r="A1313" s="106">
        <v>44776</v>
      </c>
      <c r="B1313" s="110">
        <v>1307.2</v>
      </c>
    </row>
    <row r="1314" spans="1:2" ht="16.5" hidden="1" customHeight="1">
      <c r="A1314" s="106">
        <v>44777</v>
      </c>
      <c r="B1314" s="110">
        <v>1310.5</v>
      </c>
    </row>
    <row r="1315" spans="1:2" ht="16.5" hidden="1" customHeight="1">
      <c r="A1315" s="106">
        <v>44778</v>
      </c>
      <c r="B1315" s="110">
        <v>1309.7</v>
      </c>
    </row>
    <row r="1316" spans="1:2" ht="16.5" hidden="1" customHeight="1">
      <c r="A1316" s="106">
        <v>44779</v>
      </c>
      <c r="B1316" s="110">
        <v>1309.7</v>
      </c>
    </row>
    <row r="1317" spans="1:2" ht="16.5" hidden="1" customHeight="1">
      <c r="A1317" s="106">
        <v>44780</v>
      </c>
      <c r="B1317" s="110">
        <v>1309.7</v>
      </c>
    </row>
    <row r="1318" spans="1:2" ht="16.5" hidden="1" customHeight="1">
      <c r="A1318" s="106">
        <v>44781</v>
      </c>
      <c r="B1318" s="110">
        <v>1299.3</v>
      </c>
    </row>
    <row r="1319" spans="1:2" ht="16.5" hidden="1" customHeight="1">
      <c r="A1319" s="106">
        <v>44782</v>
      </c>
      <c r="B1319" s="110">
        <v>1304.8</v>
      </c>
    </row>
    <row r="1320" spans="1:2" ht="16.5" hidden="1" customHeight="1">
      <c r="A1320" s="106">
        <v>44783</v>
      </c>
      <c r="B1320" s="110">
        <v>1305.0999999999999</v>
      </c>
    </row>
    <row r="1321" spans="1:2" ht="16.5" hidden="1" customHeight="1">
      <c r="A1321" s="106">
        <v>44784</v>
      </c>
      <c r="B1321" s="110">
        <v>1309.0999999999999</v>
      </c>
    </row>
    <row r="1322" spans="1:2" ht="16.5" hidden="1" customHeight="1">
      <c r="A1322" s="106">
        <v>44785</v>
      </c>
      <c r="B1322" s="110">
        <v>1302.5</v>
      </c>
    </row>
    <row r="1323" spans="1:2" ht="16.5" hidden="1" customHeight="1">
      <c r="A1323" s="106">
        <v>44786</v>
      </c>
      <c r="B1323" s="110">
        <v>1302.5</v>
      </c>
    </row>
    <row r="1324" spans="1:2" ht="16.5" hidden="1" customHeight="1">
      <c r="A1324" s="106">
        <v>44787</v>
      </c>
      <c r="B1324" s="110">
        <v>1302.5</v>
      </c>
    </row>
    <row r="1325" spans="1:2" ht="16.5" hidden="1" customHeight="1">
      <c r="A1325" s="106">
        <v>44788</v>
      </c>
      <c r="B1325" s="110">
        <v>1302.5</v>
      </c>
    </row>
    <row r="1326" spans="1:2" ht="16.5" hidden="1" customHeight="1">
      <c r="A1326" s="106">
        <v>44789</v>
      </c>
      <c r="B1326" s="110">
        <v>1303.0999999999999</v>
      </c>
    </row>
    <row r="1327" spans="1:2" ht="16.5" hidden="1" customHeight="1">
      <c r="A1327" s="106">
        <v>44790</v>
      </c>
      <c r="B1327" s="110">
        <v>1309.5999999999999</v>
      </c>
    </row>
    <row r="1328" spans="1:2" ht="16.5" hidden="1" customHeight="1">
      <c r="A1328" s="106">
        <v>44791</v>
      </c>
      <c r="B1328" s="110">
        <v>1309.8</v>
      </c>
    </row>
    <row r="1329" spans="1:2" ht="16.5" hidden="1" customHeight="1">
      <c r="A1329" s="106">
        <v>44792</v>
      </c>
      <c r="B1329" s="110">
        <v>1317.3</v>
      </c>
    </row>
    <row r="1330" spans="1:2" ht="16.5" hidden="1" customHeight="1">
      <c r="A1330" s="106">
        <v>44793</v>
      </c>
      <c r="B1330" s="110">
        <v>1317.3</v>
      </c>
    </row>
    <row r="1331" spans="1:2" ht="16.5" hidden="1" customHeight="1">
      <c r="A1331" s="106">
        <v>44794</v>
      </c>
      <c r="B1331" s="110">
        <v>1317.3</v>
      </c>
    </row>
    <row r="1332" spans="1:2" ht="16.5" hidden="1" customHeight="1">
      <c r="A1332" s="106">
        <v>44795</v>
      </c>
      <c r="B1332" s="110">
        <v>1326.7</v>
      </c>
    </row>
    <row r="1333" spans="1:2" ht="16.5" hidden="1" customHeight="1">
      <c r="A1333" s="106">
        <v>44796</v>
      </c>
      <c r="B1333" s="110">
        <v>1338.2</v>
      </c>
    </row>
    <row r="1334" spans="1:2" ht="16.5" hidden="1" customHeight="1">
      <c r="A1334" s="106">
        <v>44797</v>
      </c>
      <c r="B1334" s="110">
        <v>1341.8</v>
      </c>
    </row>
    <row r="1335" spans="1:2" ht="16.5" hidden="1" customHeight="1">
      <c r="A1335" s="106">
        <v>44798</v>
      </c>
      <c r="B1335" s="110">
        <v>1341.4</v>
      </c>
    </row>
    <row r="1336" spans="1:2" ht="16.5" hidden="1" customHeight="1">
      <c r="A1336" s="106">
        <v>44799</v>
      </c>
      <c r="B1336" s="110">
        <v>1336.9</v>
      </c>
    </row>
    <row r="1337" spans="1:2" ht="16.5" hidden="1" customHeight="1">
      <c r="A1337" s="106">
        <v>44800</v>
      </c>
      <c r="B1337" s="110">
        <v>1336.9</v>
      </c>
    </row>
    <row r="1338" spans="1:2" ht="16.5" hidden="1" customHeight="1">
      <c r="A1338" s="106">
        <v>44801</v>
      </c>
      <c r="B1338" s="110">
        <v>1336.9</v>
      </c>
    </row>
    <row r="1339" spans="1:2" ht="16.5" hidden="1" customHeight="1">
      <c r="A1339" s="106">
        <v>44802</v>
      </c>
      <c r="B1339" s="110">
        <v>1332.5</v>
      </c>
    </row>
    <row r="1340" spans="1:2" ht="16.5" hidden="1" customHeight="1">
      <c r="A1340" s="106">
        <v>44803</v>
      </c>
      <c r="B1340" s="110">
        <v>1347.7</v>
      </c>
    </row>
    <row r="1341" spans="1:2" ht="16.5" hidden="1" customHeight="1">
      <c r="A1341" s="106">
        <v>44804</v>
      </c>
      <c r="B1341" s="110">
        <v>1347.5</v>
      </c>
    </row>
    <row r="1342" spans="1:2" ht="16.5" hidden="1" customHeight="1">
      <c r="A1342" s="106">
        <v>44805</v>
      </c>
      <c r="B1342" s="110">
        <v>1345.1</v>
      </c>
    </row>
    <row r="1343" spans="1:2" ht="16.5" hidden="1" customHeight="1">
      <c r="A1343" s="106">
        <v>44806</v>
      </c>
      <c r="B1343" s="110">
        <v>1351.4</v>
      </c>
    </row>
    <row r="1344" spans="1:2" ht="16.5" hidden="1" customHeight="1">
      <c r="A1344" s="106">
        <v>44807</v>
      </c>
      <c r="B1344" s="110">
        <v>1351.4</v>
      </c>
    </row>
    <row r="1345" spans="1:4" ht="16.5" hidden="1" customHeight="1">
      <c r="A1345" s="106">
        <v>44808</v>
      </c>
      <c r="B1345" s="110">
        <v>1351.4</v>
      </c>
    </row>
    <row r="1346" spans="1:4" ht="16.5" hidden="1" customHeight="1">
      <c r="A1346" s="106">
        <v>44809</v>
      </c>
      <c r="B1346" s="110">
        <v>1356.5</v>
      </c>
    </row>
    <row r="1347" spans="1:4" ht="16.5" hidden="1" customHeight="1">
      <c r="A1347" s="106">
        <v>44810</v>
      </c>
      <c r="B1347" s="110">
        <v>1369.7</v>
      </c>
    </row>
    <row r="1348" spans="1:4" ht="16.5" hidden="1" customHeight="1">
      <c r="A1348" s="106">
        <v>44811</v>
      </c>
      <c r="B1348" s="110">
        <v>1370.3</v>
      </c>
    </row>
    <row r="1349" spans="1:4" ht="16.5" hidden="1" customHeight="1">
      <c r="A1349" s="106">
        <v>44812</v>
      </c>
      <c r="B1349" s="110">
        <v>1385.3</v>
      </c>
    </row>
    <row r="1350" spans="1:4" ht="16.5" hidden="1" customHeight="1">
      <c r="A1350" s="106">
        <v>44813</v>
      </c>
      <c r="B1350" s="110">
        <v>1385.3</v>
      </c>
    </row>
    <row r="1351" spans="1:4" ht="16.5" hidden="1" customHeight="1">
      <c r="A1351" s="106">
        <v>44814</v>
      </c>
      <c r="B1351" s="110">
        <v>1385.3</v>
      </c>
    </row>
    <row r="1352" spans="1:4" ht="16.5" hidden="1" customHeight="1">
      <c r="A1352" s="106">
        <v>44815</v>
      </c>
      <c r="B1352" s="110">
        <v>1385.3</v>
      </c>
    </row>
    <row r="1353" spans="1:4" ht="16.5" hidden="1" customHeight="1">
      <c r="A1353" s="106">
        <v>44816</v>
      </c>
      <c r="B1353" s="110">
        <v>1385.3</v>
      </c>
    </row>
    <row r="1354" spans="1:4" ht="16.5" hidden="1" customHeight="1">
      <c r="A1354" s="106">
        <v>44817</v>
      </c>
      <c r="B1354" s="110">
        <v>1381.2</v>
      </c>
      <c r="D1354" s="108"/>
    </row>
    <row r="1355" spans="1:4" ht="16.5" hidden="1" customHeight="1">
      <c r="A1355" s="106">
        <v>44818</v>
      </c>
      <c r="B1355" s="110">
        <v>1374.8</v>
      </c>
    </row>
    <row r="1356" spans="1:4" ht="16.5" hidden="1" customHeight="1">
      <c r="A1356" s="106">
        <v>44819</v>
      </c>
      <c r="B1356" s="110">
        <v>1391.7</v>
      </c>
    </row>
    <row r="1357" spans="1:4" ht="16.5" hidden="1" customHeight="1">
      <c r="A1357" s="106">
        <v>44820</v>
      </c>
      <c r="B1357" s="110">
        <v>1394.2</v>
      </c>
    </row>
    <row r="1358" spans="1:4" ht="16.5" hidden="1" customHeight="1">
      <c r="A1358" s="106">
        <v>44821</v>
      </c>
      <c r="B1358" s="110">
        <v>1394.2</v>
      </c>
    </row>
    <row r="1359" spans="1:4" ht="16.5" hidden="1" customHeight="1">
      <c r="A1359" s="106">
        <v>44822</v>
      </c>
      <c r="B1359" s="110">
        <v>1394.2</v>
      </c>
    </row>
    <row r="1360" spans="1:4" ht="16.5" hidden="1" customHeight="1">
      <c r="A1360" s="106">
        <v>44823</v>
      </c>
      <c r="B1360" s="110">
        <v>1394.2</v>
      </c>
    </row>
    <row r="1361" spans="1:2" ht="16.5" hidden="1" customHeight="1">
      <c r="A1361" s="106">
        <v>44824</v>
      </c>
      <c r="B1361" s="110">
        <v>1390.1</v>
      </c>
    </row>
    <row r="1362" spans="1:2" ht="16.5" hidden="1" customHeight="1">
      <c r="A1362" s="106">
        <v>44825</v>
      </c>
      <c r="B1362" s="110">
        <v>1389.1</v>
      </c>
    </row>
    <row r="1363" spans="1:2" ht="16.5" hidden="1" customHeight="1">
      <c r="A1363" s="106">
        <v>44826</v>
      </c>
      <c r="B1363" s="110">
        <v>1393.6</v>
      </c>
    </row>
    <row r="1364" spans="1:2" ht="16.5" hidden="1" customHeight="1">
      <c r="A1364" s="106">
        <v>44827</v>
      </c>
      <c r="B1364" s="110">
        <v>1408</v>
      </c>
    </row>
    <row r="1365" spans="1:2" ht="16.5" hidden="1" customHeight="1">
      <c r="A1365" s="106">
        <v>44828</v>
      </c>
      <c r="B1365" s="110">
        <v>1408</v>
      </c>
    </row>
    <row r="1366" spans="1:2" ht="16.5" hidden="1" customHeight="1">
      <c r="A1366" s="106">
        <v>44829</v>
      </c>
      <c r="B1366" s="110">
        <v>1408</v>
      </c>
    </row>
    <row r="1367" spans="1:2" ht="16.5" hidden="1" customHeight="1">
      <c r="A1367" s="106">
        <v>44830</v>
      </c>
      <c r="B1367" s="110">
        <v>1408.4</v>
      </c>
    </row>
    <row r="1368" spans="1:2" ht="16.5" hidden="1" customHeight="1">
      <c r="A1368" s="106">
        <v>44831</v>
      </c>
      <c r="B1368" s="110">
        <v>1429.7</v>
      </c>
    </row>
    <row r="1369" spans="1:2" ht="16.5" hidden="1" customHeight="1">
      <c r="A1369" s="106">
        <v>44832</v>
      </c>
      <c r="B1369" s="110">
        <v>1427.2</v>
      </c>
    </row>
    <row r="1370" spans="1:2" ht="16.5" hidden="1" customHeight="1">
      <c r="A1370" s="106">
        <v>44833</v>
      </c>
      <c r="B1370" s="110">
        <v>1436.5</v>
      </c>
    </row>
    <row r="1371" spans="1:2" ht="16.5" hidden="1" customHeight="1">
      <c r="A1371" s="106">
        <v>44834</v>
      </c>
      <c r="B1371" s="110">
        <v>1434.8</v>
      </c>
    </row>
    <row r="1372" spans="1:2" ht="16.5" hidden="1" customHeight="1">
      <c r="A1372" s="106">
        <v>44835</v>
      </c>
      <c r="B1372" s="110">
        <v>1434.8</v>
      </c>
    </row>
    <row r="1373" spans="1:2" ht="16.5" hidden="1" customHeight="1">
      <c r="A1373" s="106">
        <v>44836</v>
      </c>
      <c r="B1373" s="110">
        <v>1434.8</v>
      </c>
    </row>
    <row r="1374" spans="1:2" ht="16.5" hidden="1" customHeight="1">
      <c r="A1374" s="106">
        <v>44837</v>
      </c>
      <c r="B1374" s="110">
        <v>1434.8</v>
      </c>
    </row>
    <row r="1375" spans="1:2" ht="16.5" hidden="1" customHeight="1">
      <c r="A1375" s="106">
        <v>44838</v>
      </c>
      <c r="B1375" s="110">
        <v>1432.1</v>
      </c>
    </row>
    <row r="1376" spans="1:2" ht="16.5" hidden="1" customHeight="1">
      <c r="A1376" s="106">
        <v>44839</v>
      </c>
      <c r="B1376" s="110">
        <v>1431.2</v>
      </c>
    </row>
    <row r="1377" spans="1:5" ht="16.5" hidden="1" customHeight="1">
      <c r="A1377" s="106">
        <v>44840</v>
      </c>
      <c r="B1377" s="110">
        <v>1419.1</v>
      </c>
      <c r="E1377" s="113"/>
    </row>
    <row r="1378" spans="1:5" ht="16.5" hidden="1" customHeight="1">
      <c r="A1378" s="106">
        <v>44841</v>
      </c>
      <c r="B1378" s="110">
        <v>1404.2</v>
      </c>
      <c r="E1378" s="113"/>
    </row>
    <row r="1379" spans="1:5" ht="16.5" hidden="1" customHeight="1">
      <c r="A1379" s="106">
        <v>44842</v>
      </c>
      <c r="B1379" s="110">
        <v>1404.2</v>
      </c>
      <c r="E1379" s="113"/>
    </row>
    <row r="1380" spans="1:5" ht="16.5" hidden="1" customHeight="1">
      <c r="A1380" s="106">
        <v>44843</v>
      </c>
      <c r="B1380" s="110">
        <v>1404.2</v>
      </c>
    </row>
    <row r="1381" spans="1:5" ht="16.5" hidden="1" customHeight="1">
      <c r="A1381" s="106">
        <v>44844</v>
      </c>
      <c r="B1381" s="110">
        <v>1404.2</v>
      </c>
    </row>
    <row r="1382" spans="1:5" ht="16.5" hidden="1" customHeight="1">
      <c r="A1382" s="106">
        <v>44845</v>
      </c>
      <c r="B1382" s="110">
        <v>1410.3</v>
      </c>
    </row>
    <row r="1383" spans="1:5" ht="16.5" hidden="1" customHeight="1">
      <c r="A1383" s="106">
        <v>44846</v>
      </c>
      <c r="B1383" s="110">
        <v>1433.5</v>
      </c>
    </row>
    <row r="1384" spans="1:5" ht="16.5" hidden="1" customHeight="1">
      <c r="A1384" s="106">
        <v>44847</v>
      </c>
      <c r="B1384" s="110">
        <v>1430.4</v>
      </c>
    </row>
    <row r="1385" spans="1:5" ht="16.5" hidden="1" customHeight="1">
      <c r="A1385" s="106">
        <v>44848</v>
      </c>
      <c r="B1385" s="110">
        <v>1427</v>
      </c>
    </row>
    <row r="1386" spans="1:5" ht="16.5" hidden="1" customHeight="1">
      <c r="A1386" s="106">
        <v>44849</v>
      </c>
      <c r="B1386" s="110">
        <v>1427</v>
      </c>
    </row>
    <row r="1387" spans="1:5" ht="16.5" hidden="1" customHeight="1">
      <c r="A1387" s="106">
        <v>44850</v>
      </c>
      <c r="B1387" s="110">
        <v>1427</v>
      </c>
    </row>
    <row r="1388" spans="1:5" ht="16.5" hidden="1" customHeight="1">
      <c r="A1388" s="106">
        <v>44851</v>
      </c>
      <c r="B1388" s="110">
        <v>1428.9</v>
      </c>
    </row>
    <row r="1389" spans="1:5" ht="16.5" hidden="1" customHeight="1">
      <c r="A1389" s="106">
        <v>44852</v>
      </c>
      <c r="B1389" s="110">
        <v>1436.6</v>
      </c>
    </row>
    <row r="1390" spans="1:5" ht="16.5" hidden="1" customHeight="1">
      <c r="A1390" s="106">
        <v>44853</v>
      </c>
      <c r="B1390" s="110">
        <v>1425.6</v>
      </c>
    </row>
    <row r="1391" spans="1:5" ht="16.5" hidden="1" customHeight="1">
      <c r="A1391" s="106">
        <v>44854</v>
      </c>
      <c r="B1391" s="110">
        <v>1420.6</v>
      </c>
    </row>
    <row r="1392" spans="1:5" ht="16.5" hidden="1" customHeight="1">
      <c r="A1392" s="106">
        <v>44855</v>
      </c>
      <c r="B1392" s="110">
        <v>1431.7</v>
      </c>
    </row>
    <row r="1393" spans="1:2" ht="16.5" hidden="1" customHeight="1">
      <c r="A1393" s="106">
        <v>44856</v>
      </c>
      <c r="B1393" s="110">
        <v>1431.7</v>
      </c>
    </row>
    <row r="1394" spans="1:2" ht="16.5" hidden="1" customHeight="1">
      <c r="A1394" s="106">
        <v>44857</v>
      </c>
      <c r="B1394" s="110">
        <v>1431.7</v>
      </c>
    </row>
    <row r="1395" spans="1:2" ht="16.5" hidden="1" customHeight="1">
      <c r="A1395" s="106">
        <v>44858</v>
      </c>
      <c r="B1395" s="110">
        <v>1436.6</v>
      </c>
    </row>
    <row r="1396" spans="1:2" ht="16.5" hidden="1" customHeight="1">
      <c r="A1396" s="106">
        <v>44859</v>
      </c>
      <c r="B1396" s="110">
        <v>1436.6</v>
      </c>
    </row>
    <row r="1397" spans="1:2" ht="16.5" hidden="1" customHeight="1">
      <c r="A1397" s="106">
        <v>44860</v>
      </c>
      <c r="B1397" s="110">
        <v>1436.5</v>
      </c>
    </row>
    <row r="1398" spans="1:2" ht="16.5" hidden="1" customHeight="1">
      <c r="A1398" s="106">
        <v>44861</v>
      </c>
      <c r="B1398" s="110">
        <v>1428.2</v>
      </c>
    </row>
    <row r="1399" spans="1:2" ht="16.5" hidden="1" customHeight="1">
      <c r="A1399" s="106">
        <v>44862</v>
      </c>
      <c r="B1399" s="110">
        <v>1418.1</v>
      </c>
    </row>
    <row r="1400" spans="1:2" ht="16.5" hidden="1" customHeight="1">
      <c r="A1400" s="106">
        <v>44863</v>
      </c>
      <c r="B1400" s="110">
        <v>1418.1</v>
      </c>
    </row>
    <row r="1401" spans="1:2" ht="16.5" hidden="1" customHeight="1">
      <c r="A1401" s="106">
        <v>44864</v>
      </c>
      <c r="B1401" s="110">
        <v>1418.1</v>
      </c>
    </row>
    <row r="1402" spans="1:2" ht="16.5" hidden="1" customHeight="1">
      <c r="A1402" s="106">
        <v>44865</v>
      </c>
      <c r="B1402" s="110">
        <v>1419.3</v>
      </c>
    </row>
    <row r="1403" spans="1:2" ht="16.5" hidden="1" customHeight="1">
      <c r="A1403" s="106">
        <v>44866</v>
      </c>
      <c r="B1403" s="110">
        <v>1422.2</v>
      </c>
    </row>
    <row r="1404" spans="1:2" ht="16.5" hidden="1" customHeight="1">
      <c r="A1404" s="106">
        <v>44867</v>
      </c>
      <c r="B1404" s="110">
        <v>1421.7</v>
      </c>
    </row>
    <row r="1405" spans="1:2" ht="16.5" hidden="1" customHeight="1">
      <c r="A1405" s="106">
        <v>44868</v>
      </c>
      <c r="B1405" s="110">
        <v>1418</v>
      </c>
    </row>
    <row r="1406" spans="1:2" ht="16.5" hidden="1" customHeight="1">
      <c r="A1406" s="106">
        <v>44869</v>
      </c>
      <c r="B1406" s="110">
        <v>1422.1</v>
      </c>
    </row>
    <row r="1407" spans="1:2" ht="16.5" hidden="1" customHeight="1">
      <c r="A1407" s="106">
        <v>44870</v>
      </c>
      <c r="B1407" s="110">
        <v>1422.1</v>
      </c>
    </row>
    <row r="1408" spans="1:2" ht="16.5" hidden="1" customHeight="1">
      <c r="A1408" s="106">
        <v>44871</v>
      </c>
      <c r="B1408" s="110">
        <v>1422.1</v>
      </c>
    </row>
    <row r="1409" spans="1:7" ht="16.5" hidden="1" customHeight="1">
      <c r="A1409" s="106">
        <v>44872</v>
      </c>
      <c r="B1409" s="110">
        <v>1422.4</v>
      </c>
    </row>
    <row r="1410" spans="1:7" ht="16.5" hidden="1" customHeight="1">
      <c r="A1410" s="106">
        <v>44873</v>
      </c>
      <c r="B1410" s="110">
        <v>1406.5</v>
      </c>
    </row>
    <row r="1411" spans="1:7" ht="16.5" hidden="1" customHeight="1">
      <c r="A1411" s="106">
        <v>44874</v>
      </c>
      <c r="B1411" s="110">
        <v>1387.3</v>
      </c>
    </row>
    <row r="1412" spans="1:7" ht="16.5" hidden="1" customHeight="1">
      <c r="A1412" s="106">
        <v>44875</v>
      </c>
      <c r="B1412" s="110">
        <v>1368.3</v>
      </c>
    </row>
    <row r="1413" spans="1:7" ht="16.5" hidden="1" customHeight="1">
      <c r="A1413" s="106">
        <v>44876</v>
      </c>
      <c r="B1413" s="110">
        <v>1370.1</v>
      </c>
    </row>
    <row r="1414" spans="1:7" ht="16.5" hidden="1" customHeight="1">
      <c r="A1414" s="106">
        <v>44877</v>
      </c>
      <c r="B1414" s="110">
        <v>1370.1</v>
      </c>
    </row>
    <row r="1415" spans="1:7" ht="16.5" hidden="1" customHeight="1">
      <c r="A1415" s="106">
        <v>44878</v>
      </c>
      <c r="B1415" s="110">
        <v>1370.1</v>
      </c>
    </row>
    <row r="1416" spans="1:7" ht="16.5" hidden="1" customHeight="1">
      <c r="A1416" s="106">
        <v>44879</v>
      </c>
      <c r="B1416" s="110">
        <v>1334.1</v>
      </c>
    </row>
    <row r="1417" spans="1:7" ht="16.5" hidden="1" customHeight="1">
      <c r="A1417" s="106">
        <v>44880</v>
      </c>
      <c r="B1417" s="110">
        <v>1320.3</v>
      </c>
    </row>
    <row r="1418" spans="1:7" ht="16.5" hidden="1" customHeight="1">
      <c r="A1418" s="106">
        <v>44881</v>
      </c>
      <c r="B1418" s="110">
        <v>1322.4</v>
      </c>
      <c r="G1418"/>
    </row>
    <row r="1419" spans="1:7" ht="16.5" hidden="1" customHeight="1">
      <c r="A1419" s="106">
        <v>44882</v>
      </c>
      <c r="B1419" s="110">
        <v>1325.6</v>
      </c>
      <c r="G1419"/>
    </row>
    <row r="1420" spans="1:7" ht="16.5" hidden="1" customHeight="1">
      <c r="A1420" s="106">
        <v>44883</v>
      </c>
      <c r="B1420" s="110">
        <v>1338.4</v>
      </c>
      <c r="G1420"/>
    </row>
    <row r="1421" spans="1:7" ht="16.5" hidden="1" customHeight="1">
      <c r="A1421" s="106">
        <v>44884</v>
      </c>
      <c r="B1421" s="110">
        <v>1338.4</v>
      </c>
      <c r="G1421"/>
    </row>
    <row r="1422" spans="1:7" ht="16.5" hidden="1" customHeight="1">
      <c r="A1422" s="106">
        <v>44885</v>
      </c>
      <c r="B1422" s="110">
        <v>1338.4</v>
      </c>
      <c r="G1422"/>
    </row>
    <row r="1423" spans="1:7" ht="16.5" hidden="1" customHeight="1">
      <c r="A1423" s="106">
        <v>44886</v>
      </c>
      <c r="B1423" s="110">
        <v>1340</v>
      </c>
      <c r="G1423"/>
    </row>
    <row r="1424" spans="1:7" ht="16.5" hidden="1" customHeight="1">
      <c r="A1424" s="106">
        <v>44887</v>
      </c>
      <c r="B1424" s="110">
        <v>1352.3</v>
      </c>
      <c r="G1424"/>
    </row>
    <row r="1425" spans="1:7" ht="16.5" hidden="1" customHeight="1">
      <c r="A1425" s="106">
        <v>44888</v>
      </c>
      <c r="B1425" s="110">
        <v>1355.7</v>
      </c>
      <c r="G1425"/>
    </row>
    <row r="1426" spans="1:7" ht="16.5" hidden="1" customHeight="1">
      <c r="A1426" s="106">
        <v>44889</v>
      </c>
      <c r="B1426" s="110">
        <v>1352.3</v>
      </c>
      <c r="G1426"/>
    </row>
    <row r="1427" spans="1:7" ht="16.5" hidden="1" customHeight="1">
      <c r="A1427" s="106">
        <v>44890</v>
      </c>
      <c r="B1427" s="110">
        <v>1333.2</v>
      </c>
      <c r="G1427"/>
    </row>
    <row r="1428" spans="1:7" ht="16.5" hidden="1" customHeight="1">
      <c r="A1428" s="106">
        <v>44891</v>
      </c>
      <c r="B1428" s="110">
        <v>1333.2</v>
      </c>
      <c r="G1428"/>
    </row>
    <row r="1429" spans="1:7" ht="16.5" hidden="1" customHeight="1">
      <c r="A1429" s="106">
        <v>44892</v>
      </c>
      <c r="B1429" s="110">
        <v>1333.2</v>
      </c>
      <c r="G1429"/>
    </row>
    <row r="1430" spans="1:7" ht="16.5" hidden="1" customHeight="1">
      <c r="A1430" s="106">
        <v>44893</v>
      </c>
      <c r="B1430" s="110">
        <v>1326.8</v>
      </c>
      <c r="G1430"/>
    </row>
    <row r="1431" spans="1:7" ht="16.5" hidden="1" customHeight="1">
      <c r="A1431" s="106">
        <v>44894</v>
      </c>
      <c r="B1431" s="110">
        <v>1339</v>
      </c>
      <c r="G1431"/>
    </row>
    <row r="1432" spans="1:7" ht="16.5" hidden="1" customHeight="1">
      <c r="A1432" s="106">
        <v>44895</v>
      </c>
      <c r="B1432" s="110">
        <v>1331.5</v>
      </c>
      <c r="G1432"/>
    </row>
    <row r="1433" spans="1:7" ht="16.5" hidden="1" customHeight="1">
      <c r="A1433" s="106">
        <v>44896</v>
      </c>
      <c r="B1433" s="110">
        <v>1320.1</v>
      </c>
    </row>
    <row r="1434" spans="1:7" ht="16.5" hidden="1" customHeight="1">
      <c r="A1434" s="106">
        <v>44897</v>
      </c>
      <c r="B1434" s="110">
        <v>1300.8</v>
      </c>
    </row>
    <row r="1435" spans="1:7" ht="16.5" hidden="1" customHeight="1">
      <c r="A1435" s="106">
        <v>44898</v>
      </c>
      <c r="B1435" s="110">
        <v>1300.8</v>
      </c>
    </row>
    <row r="1436" spans="1:7" ht="16.5" hidden="1" customHeight="1">
      <c r="A1436" s="106">
        <v>44899</v>
      </c>
      <c r="B1436" s="110">
        <v>1300.8</v>
      </c>
    </row>
    <row r="1437" spans="1:7" ht="16.5" hidden="1" customHeight="1">
      <c r="A1437" s="106">
        <v>44900</v>
      </c>
      <c r="B1437" s="110">
        <v>1300.4000000000001</v>
      </c>
    </row>
    <row r="1438" spans="1:7" ht="16.5" hidden="1" customHeight="1">
      <c r="A1438" s="106">
        <v>44901</v>
      </c>
      <c r="B1438" s="110">
        <v>1293.2</v>
      </c>
    </row>
    <row r="1439" spans="1:7" ht="16.5" hidden="1" customHeight="1">
      <c r="A1439" s="106">
        <v>44902</v>
      </c>
      <c r="B1439" s="110">
        <v>1309</v>
      </c>
    </row>
    <row r="1440" spans="1:7" ht="16.5" hidden="1" customHeight="1">
      <c r="A1440" s="106">
        <v>44903</v>
      </c>
      <c r="B1440" s="110">
        <v>1319.5</v>
      </c>
    </row>
    <row r="1441" spans="1:2" ht="16.5" hidden="1" customHeight="1">
      <c r="A1441" s="106">
        <v>44904</v>
      </c>
      <c r="B1441" s="110">
        <v>1320.4</v>
      </c>
    </row>
    <row r="1442" spans="1:2" ht="16.5" hidden="1" customHeight="1">
      <c r="A1442" s="106">
        <v>44905</v>
      </c>
      <c r="B1442" s="110">
        <v>1320.4</v>
      </c>
    </row>
    <row r="1443" spans="1:2" ht="16.5" hidden="1" customHeight="1">
      <c r="A1443" s="106">
        <v>44906</v>
      </c>
      <c r="B1443" s="110">
        <v>1320.4</v>
      </c>
    </row>
    <row r="1444" spans="1:2" ht="16.5" hidden="1" customHeight="1">
      <c r="A1444" s="106">
        <v>44907</v>
      </c>
      <c r="B1444" s="110">
        <v>1306.5999999999999</v>
      </c>
    </row>
    <row r="1445" spans="1:2" ht="16.5" hidden="1" customHeight="1">
      <c r="A1445" s="106">
        <v>44908</v>
      </c>
      <c r="B1445" s="110">
        <v>1310</v>
      </c>
    </row>
    <row r="1446" spans="1:2" ht="16.5" hidden="1" customHeight="1">
      <c r="A1446" s="106">
        <v>44909</v>
      </c>
      <c r="B1446" s="110">
        <v>1304.4000000000001</v>
      </c>
    </row>
    <row r="1447" spans="1:2" ht="16.5" hidden="1" customHeight="1">
      <c r="A1447" s="106">
        <v>44910</v>
      </c>
      <c r="B1447" s="110">
        <v>1296</v>
      </c>
    </row>
    <row r="1448" spans="1:2" ht="16.5" hidden="1" customHeight="1">
      <c r="A1448" s="106">
        <v>44911</v>
      </c>
      <c r="B1448" s="110">
        <v>1301</v>
      </c>
    </row>
    <row r="1449" spans="1:2" ht="16.5" hidden="1" customHeight="1">
      <c r="A1449" s="106">
        <v>44912</v>
      </c>
      <c r="B1449" s="110">
        <v>1301</v>
      </c>
    </row>
    <row r="1450" spans="1:2" ht="16.5" hidden="1" customHeight="1">
      <c r="A1450" s="106">
        <v>44913</v>
      </c>
      <c r="B1450" s="110">
        <v>1301</v>
      </c>
    </row>
    <row r="1451" spans="1:2" ht="16.5" hidden="1" customHeight="1">
      <c r="A1451" s="106">
        <v>44914</v>
      </c>
      <c r="B1451" s="110">
        <v>1310.0999999999999</v>
      </c>
    </row>
    <row r="1452" spans="1:2" ht="16.5" hidden="1" customHeight="1">
      <c r="A1452" s="106">
        <v>44915</v>
      </c>
      <c r="B1452" s="110">
        <v>1302</v>
      </c>
    </row>
    <row r="1453" spans="1:2" ht="16.5" hidden="1" customHeight="1">
      <c r="A1453" s="106">
        <v>44916</v>
      </c>
      <c r="B1453" s="110">
        <v>1298</v>
      </c>
    </row>
    <row r="1454" spans="1:2" ht="16.5" hidden="1" customHeight="1">
      <c r="A1454" s="106">
        <v>44917</v>
      </c>
      <c r="B1454" s="110">
        <v>1286.5999999999999</v>
      </c>
    </row>
    <row r="1455" spans="1:2" ht="16.5" hidden="1" customHeight="1">
      <c r="A1455" s="106">
        <v>44918</v>
      </c>
      <c r="B1455" s="110">
        <v>1276.0999999999999</v>
      </c>
    </row>
    <row r="1456" spans="1:2" ht="16.5" hidden="1" customHeight="1">
      <c r="A1456" s="106">
        <v>44919</v>
      </c>
      <c r="B1456" s="110">
        <v>1276.0999999999999</v>
      </c>
    </row>
    <row r="1457" spans="1:2" ht="16.5" hidden="1" customHeight="1">
      <c r="A1457" s="106">
        <v>44920</v>
      </c>
      <c r="B1457" s="110">
        <v>1276.0999999999999</v>
      </c>
    </row>
    <row r="1458" spans="1:2" ht="16.5" hidden="1" customHeight="1">
      <c r="A1458" s="106">
        <v>44921</v>
      </c>
      <c r="B1458" s="110">
        <v>1282.2</v>
      </c>
    </row>
    <row r="1459" spans="1:2" ht="16.5" hidden="1" customHeight="1">
      <c r="A1459" s="106">
        <v>44922</v>
      </c>
      <c r="B1459" s="110">
        <v>1276.4000000000001</v>
      </c>
    </row>
    <row r="1460" spans="1:2" ht="16.5" hidden="1" customHeight="1">
      <c r="A1460" s="106">
        <v>44923</v>
      </c>
      <c r="B1460" s="110">
        <v>1268.3</v>
      </c>
    </row>
    <row r="1461" spans="1:2" ht="16.5" hidden="1" customHeight="1">
      <c r="A1461" s="106">
        <v>44924</v>
      </c>
      <c r="B1461" s="110">
        <v>1268.4000000000001</v>
      </c>
    </row>
    <row r="1462" spans="1:2" ht="16.5" hidden="1" customHeight="1">
      <c r="A1462" s="106">
        <v>44925</v>
      </c>
      <c r="B1462" s="110">
        <v>1267.3</v>
      </c>
    </row>
    <row r="1463" spans="1:2" ht="16.5" hidden="1" customHeight="1">
      <c r="A1463" s="106">
        <v>44926</v>
      </c>
      <c r="B1463" s="110">
        <v>1267.3</v>
      </c>
    </row>
    <row r="1464" spans="1:2" ht="16.5" hidden="1" customHeight="1">
      <c r="A1464" s="106">
        <v>44927</v>
      </c>
      <c r="B1464" s="110">
        <v>1267.3</v>
      </c>
    </row>
    <row r="1465" spans="1:2" ht="16.5" hidden="1" customHeight="1">
      <c r="A1465" s="106">
        <v>44928</v>
      </c>
      <c r="B1465" s="110">
        <v>1267.3</v>
      </c>
    </row>
    <row r="1466" spans="1:2" ht="16.5" hidden="1" customHeight="1">
      <c r="A1466" s="106">
        <v>44929</v>
      </c>
      <c r="B1466" s="110">
        <v>1268.9000000000001</v>
      </c>
    </row>
    <row r="1467" spans="1:2" ht="16.5" hidden="1" customHeight="1">
      <c r="A1467" s="106">
        <v>44930</v>
      </c>
      <c r="B1467" s="110">
        <v>1272.0999999999999</v>
      </c>
    </row>
    <row r="1468" spans="1:2" ht="16.5" hidden="1" customHeight="1">
      <c r="A1468" s="106">
        <v>44931</v>
      </c>
      <c r="B1468" s="110">
        <v>1274.7</v>
      </c>
    </row>
    <row r="1469" spans="1:2" ht="16.5" hidden="1" customHeight="1">
      <c r="A1469" s="106">
        <v>44932</v>
      </c>
      <c r="B1469" s="110">
        <v>1270.3</v>
      </c>
    </row>
    <row r="1470" spans="1:2" ht="16.5" hidden="1" customHeight="1">
      <c r="A1470" s="106">
        <v>44933</v>
      </c>
      <c r="B1470" s="110">
        <v>1270.3</v>
      </c>
    </row>
    <row r="1471" spans="1:2" ht="16.5" hidden="1" customHeight="1">
      <c r="A1471" s="106">
        <v>44934</v>
      </c>
      <c r="B1471" s="110">
        <v>1270.3</v>
      </c>
    </row>
    <row r="1472" spans="1:2" ht="16.5" hidden="1" customHeight="1">
      <c r="A1472" s="106">
        <v>44935</v>
      </c>
      <c r="B1472" s="110">
        <v>1267.2</v>
      </c>
    </row>
    <row r="1473" spans="1:7" ht="16.5" hidden="1" customHeight="1">
      <c r="A1473" s="106">
        <v>44936</v>
      </c>
      <c r="B1473" s="110">
        <v>1246.8</v>
      </c>
    </row>
    <row r="1474" spans="1:7" ht="16.5" hidden="1" customHeight="1">
      <c r="A1474" s="106">
        <v>44937</v>
      </c>
      <c r="B1474" s="110">
        <v>1240.8</v>
      </c>
    </row>
    <row r="1475" spans="1:7" ht="16.5" hidden="1" customHeight="1">
      <c r="A1475" s="106">
        <v>44938</v>
      </c>
      <c r="B1475" s="110">
        <v>1245.3</v>
      </c>
    </row>
    <row r="1476" spans="1:7" ht="16.5" hidden="1" customHeight="1">
      <c r="A1476" s="106">
        <v>44939</v>
      </c>
      <c r="B1476" s="110">
        <v>1244.5999999999999</v>
      </c>
    </row>
    <row r="1477" spans="1:7" ht="16.5" hidden="1" customHeight="1">
      <c r="A1477" s="106">
        <v>44940</v>
      </c>
      <c r="B1477" s="110">
        <v>1244.5999999999999</v>
      </c>
    </row>
    <row r="1478" spans="1:7" ht="16.5" hidden="1" customHeight="1">
      <c r="A1478" s="106">
        <v>44941</v>
      </c>
      <c r="B1478" s="110">
        <v>1244.5999999999999</v>
      </c>
    </row>
    <row r="1479" spans="1:7" ht="16.5" hidden="1" customHeight="1">
      <c r="A1479" s="106">
        <v>44942</v>
      </c>
      <c r="B1479" s="110">
        <v>1240.5999999999999</v>
      </c>
    </row>
    <row r="1480" spans="1:7" ht="16.5" hidden="1" customHeight="1">
      <c r="A1480" s="106">
        <v>44943</v>
      </c>
      <c r="B1480" s="110">
        <v>1234</v>
      </c>
    </row>
    <row r="1481" spans="1:7" ht="16.5" hidden="1" customHeight="1">
      <c r="A1481" s="106">
        <v>44944</v>
      </c>
      <c r="B1481" s="110">
        <v>1238.5</v>
      </c>
    </row>
    <row r="1482" spans="1:7" ht="16.5" hidden="1" customHeight="1">
      <c r="A1482" s="106">
        <v>44945</v>
      </c>
      <c r="B1482" s="110">
        <v>1239.8</v>
      </c>
    </row>
    <row r="1483" spans="1:7" ht="16.5" hidden="1" customHeight="1">
      <c r="A1483" s="106">
        <v>44946</v>
      </c>
      <c r="B1483" s="110">
        <v>1236</v>
      </c>
    </row>
    <row r="1484" spans="1:7" ht="16.5" hidden="1" customHeight="1">
      <c r="A1484" s="106">
        <v>44947</v>
      </c>
      <c r="B1484" s="110">
        <v>1236</v>
      </c>
    </row>
    <row r="1485" spans="1:7" ht="16.5" hidden="1" customHeight="1">
      <c r="A1485" s="106">
        <v>44948</v>
      </c>
      <c r="B1485" s="110">
        <v>1236</v>
      </c>
    </row>
    <row r="1486" spans="1:7" ht="16.5" hidden="1" customHeight="1">
      <c r="A1486" s="106">
        <v>44949</v>
      </c>
      <c r="B1486" s="110">
        <v>1236</v>
      </c>
      <c r="G1486"/>
    </row>
    <row r="1487" spans="1:7" ht="16.5" hidden="1" customHeight="1">
      <c r="A1487" s="106">
        <v>44950</v>
      </c>
      <c r="B1487" s="110">
        <v>1236</v>
      </c>
      <c r="G1487"/>
    </row>
    <row r="1488" spans="1:7" ht="16.5" hidden="1" customHeight="1">
      <c r="A1488" s="106">
        <v>44951</v>
      </c>
      <c r="B1488" s="110">
        <v>1234.4000000000001</v>
      </c>
      <c r="G1488"/>
    </row>
    <row r="1489" spans="1:7" ht="16.5" hidden="1" customHeight="1">
      <c r="A1489" s="106">
        <v>44952</v>
      </c>
      <c r="B1489" s="110">
        <v>1233.4000000000001</v>
      </c>
      <c r="G1489"/>
    </row>
    <row r="1490" spans="1:7" ht="16.5" hidden="1" customHeight="1">
      <c r="A1490" s="106">
        <v>44953</v>
      </c>
      <c r="B1490" s="110">
        <v>1231.4000000000001</v>
      </c>
      <c r="G1490"/>
    </row>
    <row r="1491" spans="1:7" ht="16.5" hidden="1" customHeight="1">
      <c r="A1491" s="106">
        <v>44954</v>
      </c>
      <c r="B1491" s="110">
        <v>1231.4000000000001</v>
      </c>
      <c r="G1491"/>
    </row>
    <row r="1492" spans="1:7" ht="16.5" hidden="1" customHeight="1">
      <c r="A1492" s="106">
        <v>44955</v>
      </c>
      <c r="B1492" s="110">
        <v>1231.4000000000001</v>
      </c>
      <c r="G1492"/>
    </row>
    <row r="1493" spans="1:7" ht="16.5" hidden="1" customHeight="1">
      <c r="A1493" s="106">
        <v>44956</v>
      </c>
      <c r="B1493" s="110">
        <v>1230.2</v>
      </c>
      <c r="G1493"/>
    </row>
    <row r="1494" spans="1:7" ht="16.5" hidden="1" customHeight="1">
      <c r="A1494" s="106">
        <v>44957</v>
      </c>
      <c r="B1494" s="110">
        <v>1228.7</v>
      </c>
      <c r="G1494"/>
    </row>
    <row r="1495" spans="1:7" ht="16.5" hidden="1" customHeight="1">
      <c r="A1495" s="106">
        <v>44958</v>
      </c>
      <c r="B1495" s="110">
        <v>1230.8</v>
      </c>
      <c r="G1495"/>
    </row>
    <row r="1496" spans="1:7" ht="16.5" hidden="1" customHeight="1">
      <c r="A1496" s="106">
        <v>44959</v>
      </c>
      <c r="B1496" s="110">
        <v>1231.4000000000001</v>
      </c>
      <c r="G1496"/>
    </row>
    <row r="1497" spans="1:7" ht="16.5" hidden="1" customHeight="1">
      <c r="A1497" s="106">
        <v>44960</v>
      </c>
      <c r="B1497" s="110">
        <v>1219.3</v>
      </c>
      <c r="G1497"/>
    </row>
    <row r="1498" spans="1:7" ht="16.5" hidden="1" customHeight="1">
      <c r="A1498" s="106">
        <v>44961</v>
      </c>
      <c r="B1498" s="110">
        <v>1219.3</v>
      </c>
      <c r="G1498"/>
    </row>
    <row r="1499" spans="1:7" ht="16.5" hidden="1" customHeight="1">
      <c r="A1499" s="106">
        <v>44962</v>
      </c>
      <c r="B1499" s="110">
        <v>1219.3</v>
      </c>
      <c r="G1499"/>
    </row>
    <row r="1500" spans="1:7" ht="16.5" hidden="1" customHeight="1">
      <c r="A1500" s="106">
        <v>44963</v>
      </c>
      <c r="B1500" s="110">
        <v>1227.2</v>
      </c>
      <c r="G1500"/>
    </row>
    <row r="1501" spans="1:7" ht="16.5" hidden="1" customHeight="1">
      <c r="A1501" s="106">
        <v>44964</v>
      </c>
      <c r="B1501" s="110">
        <v>1247.5</v>
      </c>
      <c r="G1501"/>
    </row>
    <row r="1502" spans="1:7" ht="16.5" hidden="1" customHeight="1">
      <c r="A1502" s="106">
        <v>44965</v>
      </c>
      <c r="B1502" s="110">
        <v>1256</v>
      </c>
      <c r="G1502"/>
    </row>
    <row r="1503" spans="1:7" ht="16.5" hidden="1" customHeight="1">
      <c r="A1503" s="106">
        <v>44966</v>
      </c>
      <c r="B1503" s="110">
        <v>1257.0999999999999</v>
      </c>
      <c r="G1503"/>
    </row>
    <row r="1504" spans="1:7" ht="16.5" hidden="1" customHeight="1">
      <c r="A1504" s="106">
        <v>44967</v>
      </c>
      <c r="B1504" s="110">
        <v>1263.0999999999999</v>
      </c>
      <c r="G1504"/>
    </row>
    <row r="1505" spans="1:7" ht="16.5" hidden="1" customHeight="1">
      <c r="A1505" s="106">
        <v>44968</v>
      </c>
      <c r="B1505" s="110">
        <v>1263.0999999999999</v>
      </c>
      <c r="G1505"/>
    </row>
    <row r="1506" spans="1:7" ht="16.5" hidden="1" customHeight="1">
      <c r="A1506" s="106">
        <v>44969</v>
      </c>
      <c r="B1506" s="110">
        <v>1263.0999999999999</v>
      </c>
      <c r="G1506"/>
    </row>
    <row r="1507" spans="1:7" ht="16.5" hidden="1" customHeight="1">
      <c r="A1507" s="106">
        <v>44970</v>
      </c>
      <c r="B1507" s="110">
        <v>1264.3</v>
      </c>
      <c r="G1507"/>
    </row>
    <row r="1508" spans="1:7" ht="16.5" hidden="1" customHeight="1">
      <c r="A1508" s="106">
        <v>44971</v>
      </c>
      <c r="B1508" s="110">
        <v>1274.5999999999999</v>
      </c>
      <c r="G1508"/>
    </row>
    <row r="1509" spans="1:7" ht="16.5" hidden="1" customHeight="1">
      <c r="A1509" s="106">
        <v>44972</v>
      </c>
      <c r="B1509" s="110">
        <v>1269.9000000000001</v>
      </c>
      <c r="G1509"/>
    </row>
    <row r="1510" spans="1:7" ht="16.5" hidden="1" customHeight="1">
      <c r="A1510" s="106">
        <v>44973</v>
      </c>
      <c r="B1510" s="110">
        <v>1279.3</v>
      </c>
      <c r="G1510"/>
    </row>
    <row r="1511" spans="1:7" ht="16.5" hidden="1" customHeight="1">
      <c r="A1511" s="106">
        <v>44974</v>
      </c>
      <c r="B1511" s="110">
        <v>1283.7</v>
      </c>
      <c r="G1511"/>
    </row>
    <row r="1512" spans="1:7" ht="16.5" hidden="1" customHeight="1">
      <c r="A1512" s="106">
        <v>44975</v>
      </c>
      <c r="B1512" s="110">
        <v>1283.7</v>
      </c>
    </row>
    <row r="1513" spans="1:7" ht="16.5" hidden="1" customHeight="1">
      <c r="A1513" s="106">
        <v>44976</v>
      </c>
      <c r="B1513" s="110">
        <v>1283.7</v>
      </c>
    </row>
    <row r="1514" spans="1:7" ht="16.5" hidden="1" customHeight="1">
      <c r="A1514" s="106">
        <v>44977</v>
      </c>
      <c r="B1514" s="110">
        <v>1297.7</v>
      </c>
    </row>
    <row r="1515" spans="1:7" ht="16.5" hidden="1" customHeight="1">
      <c r="A1515" s="106">
        <v>44978</v>
      </c>
      <c r="B1515" s="110">
        <v>1295.8</v>
      </c>
    </row>
    <row r="1516" spans="1:7" ht="16.5" hidden="1" customHeight="1">
      <c r="A1516" s="106">
        <v>44979</v>
      </c>
      <c r="B1516" s="110">
        <v>1295.8</v>
      </c>
    </row>
    <row r="1517" spans="1:7" ht="16.5" hidden="1" customHeight="1">
      <c r="A1517" s="106">
        <v>44980</v>
      </c>
      <c r="B1517" s="110">
        <v>1303.8</v>
      </c>
    </row>
    <row r="1518" spans="1:7" ht="16.5" hidden="1" customHeight="1">
      <c r="A1518" s="106">
        <v>44981</v>
      </c>
      <c r="B1518" s="110">
        <v>1299.5999999999999</v>
      </c>
    </row>
    <row r="1519" spans="1:7" ht="16.5" hidden="1" customHeight="1">
      <c r="A1519" s="106">
        <v>44982</v>
      </c>
      <c r="B1519" s="110">
        <v>1299.5999999999999</v>
      </c>
    </row>
    <row r="1520" spans="1:7" ht="16.5" hidden="1" customHeight="1">
      <c r="A1520" s="106">
        <v>44983</v>
      </c>
      <c r="B1520" s="110">
        <v>1299.5999999999999</v>
      </c>
    </row>
    <row r="1521" spans="1:2" ht="16.5" hidden="1" customHeight="1">
      <c r="A1521" s="106">
        <v>44984</v>
      </c>
      <c r="B1521" s="110">
        <v>1300.5</v>
      </c>
    </row>
    <row r="1522" spans="1:2" ht="16.5" hidden="1" customHeight="1">
      <c r="A1522" s="106">
        <v>44985</v>
      </c>
      <c r="B1522" s="110">
        <v>1317.4</v>
      </c>
    </row>
    <row r="1523" spans="1:2" ht="16.5" hidden="1" customHeight="1">
      <c r="A1523" s="106">
        <v>44986</v>
      </c>
      <c r="B1523" s="110">
        <v>1317.4</v>
      </c>
    </row>
    <row r="1524" spans="1:2" ht="16.5" hidden="1" customHeight="1">
      <c r="A1524" s="106">
        <v>44987</v>
      </c>
      <c r="B1524" s="110">
        <v>1319.2</v>
      </c>
    </row>
    <row r="1525" spans="1:2" ht="16.5" hidden="1" customHeight="1">
      <c r="A1525" s="106">
        <v>44988</v>
      </c>
      <c r="B1525" s="110">
        <v>1310.4000000000001</v>
      </c>
    </row>
    <row r="1526" spans="1:2" ht="16.5" hidden="1" customHeight="1">
      <c r="A1526" s="106">
        <v>44989</v>
      </c>
      <c r="B1526" s="110">
        <v>1310.4000000000001</v>
      </c>
    </row>
    <row r="1527" spans="1:2" ht="16.5" hidden="1" customHeight="1">
      <c r="A1527" s="106">
        <v>44990</v>
      </c>
      <c r="B1527" s="110">
        <v>1310.4000000000001</v>
      </c>
    </row>
    <row r="1528" spans="1:2" ht="16.5" hidden="1" customHeight="1">
      <c r="A1528" s="106">
        <v>44991</v>
      </c>
      <c r="B1528" s="110">
        <v>1304.8</v>
      </c>
    </row>
    <row r="1529" spans="1:2" ht="16.5" hidden="1" customHeight="1">
      <c r="A1529" s="106">
        <v>44992</v>
      </c>
      <c r="B1529" s="110">
        <v>1296.7</v>
      </c>
    </row>
    <row r="1530" spans="1:2" ht="16.5" hidden="1" customHeight="1">
      <c r="A1530" s="106">
        <v>44993</v>
      </c>
      <c r="B1530" s="110">
        <v>1299.0999999999999</v>
      </c>
    </row>
    <row r="1531" spans="1:2" ht="16.5" hidden="1" customHeight="1">
      <c r="A1531" s="106">
        <v>44994</v>
      </c>
      <c r="B1531" s="110">
        <v>1319.5</v>
      </c>
    </row>
    <row r="1532" spans="1:2" ht="16.5" hidden="1" customHeight="1">
      <c r="A1532" s="106">
        <v>44995</v>
      </c>
      <c r="B1532" s="110">
        <v>1319.7</v>
      </c>
    </row>
    <row r="1533" spans="1:2" ht="16.5" hidden="1" customHeight="1">
      <c r="A1533" s="106">
        <v>44996</v>
      </c>
      <c r="B1533" s="110">
        <v>1319.7</v>
      </c>
    </row>
    <row r="1534" spans="1:2" ht="16.5" hidden="1" customHeight="1">
      <c r="A1534" s="106">
        <v>44997</v>
      </c>
      <c r="B1534" s="110">
        <v>1319.7</v>
      </c>
    </row>
    <row r="1535" spans="1:2" ht="16.5" hidden="1" customHeight="1">
      <c r="A1535" s="106">
        <v>44998</v>
      </c>
      <c r="B1535" s="110">
        <v>1325.7</v>
      </c>
    </row>
    <row r="1536" spans="1:2" ht="16.5" hidden="1" customHeight="1">
      <c r="A1536" s="106">
        <v>44999</v>
      </c>
      <c r="B1536" s="110">
        <v>1307.3</v>
      </c>
    </row>
    <row r="1537" spans="1:2" ht="16.5" hidden="1" customHeight="1">
      <c r="A1537" s="106">
        <v>45000</v>
      </c>
      <c r="B1537" s="110">
        <v>1304.9000000000001</v>
      </c>
    </row>
    <row r="1538" spans="1:2" ht="16.5" hidden="1" customHeight="1">
      <c r="A1538" s="106">
        <v>45001</v>
      </c>
      <c r="B1538" s="110">
        <v>1302</v>
      </c>
    </row>
    <row r="1539" spans="1:2" ht="16.5" hidden="1" customHeight="1">
      <c r="A1539" s="106">
        <v>45002</v>
      </c>
      <c r="B1539" s="110">
        <v>1312.1</v>
      </c>
    </row>
    <row r="1540" spans="1:2" ht="16.5" hidden="1" customHeight="1">
      <c r="A1540" s="106">
        <v>45003</v>
      </c>
      <c r="B1540" s="110">
        <v>1312.1</v>
      </c>
    </row>
    <row r="1541" spans="1:2" ht="16.5" hidden="1" customHeight="1">
      <c r="A1541" s="106">
        <v>45004</v>
      </c>
      <c r="B1541" s="110">
        <v>1312.1</v>
      </c>
    </row>
    <row r="1542" spans="1:2" ht="16.5" hidden="1" customHeight="1">
      <c r="A1542" s="106">
        <v>45005</v>
      </c>
      <c r="B1542" s="110">
        <v>1303.5999999999999</v>
      </c>
    </row>
    <row r="1543" spans="1:2" ht="16.5" hidden="1" customHeight="1">
      <c r="A1543" s="106">
        <v>45006</v>
      </c>
      <c r="B1543" s="110">
        <v>1308.4000000000001</v>
      </c>
    </row>
    <row r="1544" spans="1:2" ht="16.5" hidden="1" customHeight="1">
      <c r="A1544" s="106">
        <v>45007</v>
      </c>
      <c r="B1544" s="110">
        <v>1307.8</v>
      </c>
    </row>
    <row r="1545" spans="1:2" ht="16.5" hidden="1" customHeight="1">
      <c r="A1545" s="106">
        <v>45008</v>
      </c>
      <c r="B1545" s="110">
        <v>1307.0999999999999</v>
      </c>
    </row>
    <row r="1546" spans="1:2" ht="16.5" hidden="1" customHeight="1">
      <c r="A1546" s="106">
        <v>45009</v>
      </c>
      <c r="B1546" s="110">
        <v>1287.2</v>
      </c>
    </row>
    <row r="1547" spans="1:2" ht="16.5" hidden="1" customHeight="1">
      <c r="A1547" s="106">
        <v>45010</v>
      </c>
      <c r="B1547" s="110">
        <v>1287.2</v>
      </c>
    </row>
    <row r="1548" spans="1:2" ht="16.5" hidden="1" customHeight="1">
      <c r="A1548" s="106">
        <v>45011</v>
      </c>
      <c r="B1548" s="110">
        <v>1287.2</v>
      </c>
    </row>
    <row r="1549" spans="1:2" ht="16.5" hidden="1" customHeight="1">
      <c r="A1549" s="106">
        <v>45012</v>
      </c>
      <c r="B1549" s="110">
        <v>1289.7</v>
      </c>
    </row>
    <row r="1550" spans="1:2" ht="16.5" hidden="1" customHeight="1">
      <c r="A1550" s="106">
        <v>45013</v>
      </c>
      <c r="B1550" s="110">
        <v>1300.3</v>
      </c>
    </row>
    <row r="1551" spans="1:2" ht="16.5" hidden="1" customHeight="1">
      <c r="A1551" s="106">
        <v>45014</v>
      </c>
      <c r="B1551" s="110">
        <v>1297.4000000000001</v>
      </c>
    </row>
    <row r="1552" spans="1:2" ht="16.5" hidden="1" customHeight="1">
      <c r="A1552" s="106">
        <v>45015</v>
      </c>
      <c r="B1552" s="110">
        <v>1299.3</v>
      </c>
    </row>
    <row r="1553" spans="1:2" ht="16.5" hidden="1" customHeight="1">
      <c r="A1553" s="106">
        <v>45016</v>
      </c>
      <c r="B1553" s="110">
        <v>1303.8</v>
      </c>
    </row>
    <row r="1554" spans="1:2" ht="16.5" hidden="1" customHeight="1">
      <c r="A1554" s="106">
        <v>45017</v>
      </c>
      <c r="B1554" s="110">
        <v>1303.8</v>
      </c>
    </row>
    <row r="1555" spans="1:2" ht="16.5" hidden="1" customHeight="1">
      <c r="A1555" s="106">
        <v>45018</v>
      </c>
      <c r="B1555" s="110">
        <v>1303.8</v>
      </c>
    </row>
    <row r="1556" spans="1:2" ht="16.5" hidden="1" customHeight="1">
      <c r="A1556" s="106">
        <v>45019</v>
      </c>
      <c r="B1556" s="110">
        <v>1295.4000000000001</v>
      </c>
    </row>
    <row r="1557" spans="1:2" ht="16.5" hidden="1" customHeight="1">
      <c r="A1557" s="106">
        <v>45020</v>
      </c>
      <c r="B1557" s="110">
        <v>1316.3</v>
      </c>
    </row>
    <row r="1558" spans="1:2" ht="16.5" hidden="1" customHeight="1">
      <c r="A1558" s="106">
        <v>45021</v>
      </c>
      <c r="B1558" s="110">
        <v>1310.3</v>
      </c>
    </row>
    <row r="1559" spans="1:2" ht="16.5" hidden="1" customHeight="1">
      <c r="A1559" s="106">
        <v>45022</v>
      </c>
      <c r="B1559" s="110">
        <v>1311.9</v>
      </c>
    </row>
    <row r="1560" spans="1:2" ht="16.5" hidden="1" customHeight="1">
      <c r="A1560" s="106">
        <v>45023</v>
      </c>
      <c r="B1560" s="110">
        <v>1318.7</v>
      </c>
    </row>
    <row r="1561" spans="1:2" ht="16.5" hidden="1" customHeight="1">
      <c r="A1561" s="106">
        <v>45024</v>
      </c>
      <c r="B1561" s="110">
        <v>1318.7</v>
      </c>
    </row>
    <row r="1562" spans="1:2" ht="16.5" hidden="1" customHeight="1">
      <c r="A1562" s="106">
        <v>45025</v>
      </c>
      <c r="B1562" s="110">
        <v>1318.7</v>
      </c>
    </row>
    <row r="1563" spans="1:2" ht="16.5" hidden="1" customHeight="1">
      <c r="A1563" s="106">
        <v>45026</v>
      </c>
      <c r="B1563" s="110">
        <v>1318.9</v>
      </c>
    </row>
    <row r="1564" spans="1:2" ht="16.5" hidden="1" customHeight="1">
      <c r="A1564" s="106">
        <v>45027</v>
      </c>
      <c r="B1564" s="110">
        <v>1320</v>
      </c>
    </row>
    <row r="1565" spans="1:2" ht="16.5" hidden="1" customHeight="1">
      <c r="A1565" s="106">
        <v>45028</v>
      </c>
      <c r="B1565" s="110">
        <v>1319.5</v>
      </c>
    </row>
    <row r="1566" spans="1:2" ht="16.5" hidden="1" customHeight="1">
      <c r="A1566" s="106">
        <v>45029</v>
      </c>
      <c r="B1566" s="110">
        <v>1324.2</v>
      </c>
    </row>
    <row r="1567" spans="1:2" ht="16.5" hidden="1" customHeight="1">
      <c r="A1567" s="106">
        <v>45030</v>
      </c>
      <c r="B1567" s="110">
        <v>1318</v>
      </c>
    </row>
    <row r="1568" spans="1:2" ht="16.5" hidden="1" customHeight="1">
      <c r="A1568" s="106">
        <v>45031</v>
      </c>
      <c r="B1568" s="110">
        <v>1318</v>
      </c>
    </row>
    <row r="1569" spans="1:2" ht="16.5" hidden="1" customHeight="1">
      <c r="A1569" s="106">
        <v>45032</v>
      </c>
      <c r="B1569" s="110">
        <v>1318</v>
      </c>
    </row>
    <row r="1570" spans="1:2" ht="16.5" hidden="1" customHeight="1">
      <c r="A1570" s="106">
        <v>45033</v>
      </c>
      <c r="B1570" s="110">
        <v>1299.3</v>
      </c>
    </row>
    <row r="1571" spans="1:2" ht="16.5" hidden="1" customHeight="1">
      <c r="A1571" s="106">
        <v>45034</v>
      </c>
      <c r="B1571" s="110">
        <v>1311.3</v>
      </c>
    </row>
    <row r="1572" spans="1:2" ht="16.5" hidden="1" customHeight="1">
      <c r="A1572" s="106">
        <v>45035</v>
      </c>
      <c r="B1572" s="110">
        <v>1318.8</v>
      </c>
    </row>
    <row r="1573" spans="1:2" ht="16.5" hidden="1" customHeight="1">
      <c r="A1573" s="106">
        <v>45036</v>
      </c>
      <c r="B1573" s="110">
        <v>1318.8</v>
      </c>
    </row>
    <row r="1574" spans="1:2" ht="16.5" hidden="1" customHeight="1">
      <c r="A1574" s="106">
        <v>45037</v>
      </c>
      <c r="B1574" s="110">
        <v>1327.6</v>
      </c>
    </row>
    <row r="1575" spans="1:2" ht="16.5" hidden="1" customHeight="1">
      <c r="A1575" s="106">
        <v>45038</v>
      </c>
      <c r="B1575" s="110">
        <v>1327.6</v>
      </c>
    </row>
    <row r="1576" spans="1:2" ht="16.5" hidden="1" customHeight="1">
      <c r="A1576" s="106">
        <v>45039</v>
      </c>
      <c r="B1576" s="110">
        <v>1327.6</v>
      </c>
    </row>
    <row r="1577" spans="1:2" ht="16.5" hidden="1" customHeight="1">
      <c r="A1577" s="106">
        <v>45040</v>
      </c>
      <c r="B1577" s="110">
        <v>1327.9</v>
      </c>
    </row>
    <row r="1578" spans="1:2" ht="16.5" hidden="1" customHeight="1">
      <c r="A1578" s="106">
        <v>45041</v>
      </c>
      <c r="B1578" s="110">
        <v>1332.7</v>
      </c>
    </row>
    <row r="1579" spans="1:2" ht="16.5" hidden="1" customHeight="1">
      <c r="A1579" s="106">
        <v>45042</v>
      </c>
      <c r="B1579" s="110">
        <v>1333.3</v>
      </c>
    </row>
    <row r="1580" spans="1:2" ht="16.5" hidden="1" customHeight="1">
      <c r="A1580" s="106">
        <v>45043</v>
      </c>
      <c r="B1580" s="110">
        <v>1337.3</v>
      </c>
    </row>
    <row r="1581" spans="1:2" ht="16.5" hidden="1" customHeight="1">
      <c r="A1581" s="106">
        <v>45044</v>
      </c>
      <c r="B1581" s="110">
        <v>1339.9</v>
      </c>
    </row>
    <row r="1582" spans="1:2" ht="16.5" hidden="1" customHeight="1">
      <c r="A1582" s="106">
        <v>45045</v>
      </c>
      <c r="B1582" s="110">
        <v>1339.9</v>
      </c>
    </row>
    <row r="1583" spans="1:2" ht="16.5" hidden="1" customHeight="1">
      <c r="A1583" s="106">
        <v>45046</v>
      </c>
      <c r="B1583" s="110">
        <v>1339.9</v>
      </c>
    </row>
    <row r="1584" spans="1:2" ht="16.5" hidden="1" customHeight="1">
      <c r="A1584" s="106">
        <v>45047</v>
      </c>
      <c r="B1584" s="110">
        <v>1339.9</v>
      </c>
    </row>
    <row r="1585" spans="1:2" ht="16.5" hidden="1" customHeight="1">
      <c r="A1585" s="106">
        <v>45048</v>
      </c>
      <c r="B1585" s="110">
        <v>1339.1</v>
      </c>
    </row>
    <row r="1586" spans="1:2" ht="16.5" hidden="1" customHeight="1">
      <c r="A1586" s="106">
        <v>45049</v>
      </c>
      <c r="B1586" s="110">
        <v>1340.2</v>
      </c>
    </row>
    <row r="1587" spans="1:2" ht="16.5" hidden="1" customHeight="1">
      <c r="A1587" s="106">
        <v>45050</v>
      </c>
      <c r="B1587" s="110">
        <v>1339.1</v>
      </c>
    </row>
    <row r="1588" spans="1:2" ht="16.5" hidden="1" customHeight="1">
      <c r="A1588" s="106">
        <v>45051</v>
      </c>
      <c r="B1588" s="110">
        <v>1339.1</v>
      </c>
    </row>
    <row r="1589" spans="1:2" ht="16.5" hidden="1" customHeight="1">
      <c r="A1589" s="106">
        <v>45052</v>
      </c>
      <c r="B1589" s="110">
        <v>1339.1</v>
      </c>
    </row>
    <row r="1590" spans="1:2" ht="16.5" hidden="1" customHeight="1">
      <c r="A1590" s="106">
        <v>45053</v>
      </c>
      <c r="B1590" s="110">
        <v>1339.1</v>
      </c>
    </row>
    <row r="1591" spans="1:2" ht="16.5" hidden="1" customHeight="1">
      <c r="A1591" s="106">
        <v>45054</v>
      </c>
      <c r="B1591" s="110">
        <v>1325.6</v>
      </c>
    </row>
    <row r="1592" spans="1:2" ht="16.5" hidden="1" customHeight="1">
      <c r="A1592" s="106">
        <v>45055</v>
      </c>
      <c r="B1592" s="110">
        <v>1322.7</v>
      </c>
    </row>
    <row r="1593" spans="1:2" ht="16.5" hidden="1" customHeight="1">
      <c r="A1593" s="106">
        <v>45056</v>
      </c>
      <c r="B1593" s="110">
        <v>1323</v>
      </c>
    </row>
    <row r="1594" spans="1:2" ht="16.5" hidden="1" customHeight="1">
      <c r="A1594" s="106">
        <v>45057</v>
      </c>
      <c r="B1594" s="110">
        <v>1324.2</v>
      </c>
    </row>
    <row r="1595" spans="1:2" ht="16.5" hidden="1" customHeight="1">
      <c r="A1595" s="106">
        <v>45058</v>
      </c>
      <c r="B1595" s="110">
        <v>1320.3</v>
      </c>
    </row>
    <row r="1596" spans="1:2" ht="16.5" hidden="1" customHeight="1">
      <c r="A1596" s="106">
        <v>45059</v>
      </c>
      <c r="B1596" s="110">
        <v>1320.3</v>
      </c>
    </row>
    <row r="1597" spans="1:2" ht="16.5" hidden="1" customHeight="1">
      <c r="A1597" s="106">
        <v>45060</v>
      </c>
      <c r="B1597" s="110">
        <v>1320.3</v>
      </c>
    </row>
    <row r="1598" spans="1:2" ht="16.5" hidden="1" customHeight="1">
      <c r="A1598" s="106">
        <v>45061</v>
      </c>
      <c r="B1598" s="110">
        <v>1333.6</v>
      </c>
    </row>
    <row r="1599" spans="1:2" ht="16.5" hidden="1" customHeight="1">
      <c r="A1599" s="106">
        <v>45062</v>
      </c>
      <c r="B1599" s="110">
        <v>1337.8</v>
      </c>
    </row>
    <row r="1600" spans="1:2" ht="16.5" hidden="1" customHeight="1">
      <c r="A1600" s="106">
        <v>45063</v>
      </c>
      <c r="B1600" s="110">
        <v>1336</v>
      </c>
    </row>
    <row r="1601" spans="1:2" ht="16.5" hidden="1" customHeight="1">
      <c r="A1601" s="106">
        <v>45064</v>
      </c>
      <c r="B1601" s="110">
        <v>1339.4</v>
      </c>
    </row>
    <row r="1602" spans="1:2" ht="16.5" hidden="1" customHeight="1">
      <c r="A1602" s="106">
        <v>45065</v>
      </c>
      <c r="B1602" s="110">
        <v>1332.7</v>
      </c>
    </row>
    <row r="1603" spans="1:2" ht="16.5" hidden="1" customHeight="1">
      <c r="A1603" s="106">
        <v>45066</v>
      </c>
      <c r="B1603" s="110">
        <v>1332.7</v>
      </c>
    </row>
    <row r="1604" spans="1:2" ht="16.5" hidden="1" customHeight="1">
      <c r="A1604" s="106">
        <v>45067</v>
      </c>
      <c r="B1604" s="110">
        <v>1332.7</v>
      </c>
    </row>
    <row r="1605" spans="1:2" ht="16.5" hidden="1" customHeight="1">
      <c r="A1605" s="106">
        <v>45068</v>
      </c>
      <c r="B1605" s="110">
        <v>1331.2</v>
      </c>
    </row>
    <row r="1606" spans="1:2" ht="16.5" hidden="1" customHeight="1">
      <c r="A1606" s="106">
        <v>45069</v>
      </c>
      <c r="B1606" s="110">
        <v>1319.1</v>
      </c>
    </row>
    <row r="1607" spans="1:2" ht="16.5" hidden="1" customHeight="1">
      <c r="A1607" s="106">
        <v>45070</v>
      </c>
      <c r="B1607" s="110">
        <v>1311.4</v>
      </c>
    </row>
    <row r="1608" spans="1:2" ht="16.5" hidden="1" customHeight="1">
      <c r="A1608" s="106">
        <v>45071</v>
      </c>
      <c r="B1608" s="110">
        <v>1317.5</v>
      </c>
    </row>
    <row r="1609" spans="1:2" ht="16.5" hidden="1" customHeight="1">
      <c r="A1609" s="106">
        <v>45072</v>
      </c>
      <c r="B1609" s="110">
        <v>1323.4</v>
      </c>
    </row>
    <row r="1610" spans="1:2" ht="16.5" hidden="1" customHeight="1">
      <c r="A1610" s="106">
        <v>45073</v>
      </c>
      <c r="B1610" s="110">
        <v>1323.4</v>
      </c>
    </row>
    <row r="1611" spans="1:2" ht="16.5" hidden="1" customHeight="1">
      <c r="A1611" s="106">
        <v>45074</v>
      </c>
      <c r="B1611" s="110">
        <v>1323.4</v>
      </c>
    </row>
    <row r="1612" spans="1:2" ht="16.5" hidden="1" customHeight="1">
      <c r="A1612" s="106">
        <v>45075</v>
      </c>
      <c r="B1612" s="110">
        <v>1323.4</v>
      </c>
    </row>
    <row r="1613" spans="1:2" ht="16.5" hidden="1" customHeight="1">
      <c r="A1613" s="106">
        <v>45076</v>
      </c>
      <c r="B1613" s="110">
        <v>1325.6</v>
      </c>
    </row>
    <row r="1614" spans="1:2" ht="16.5" hidden="1" customHeight="1">
      <c r="A1614" s="106">
        <v>45077</v>
      </c>
      <c r="B1614" s="110">
        <v>1322.2</v>
      </c>
    </row>
    <row r="1615" spans="1:2" ht="16.5" hidden="1" customHeight="1">
      <c r="A1615" s="106">
        <v>45078</v>
      </c>
      <c r="B1615" s="110">
        <v>1321.6</v>
      </c>
    </row>
    <row r="1616" spans="1:2" ht="16.5" hidden="1" customHeight="1">
      <c r="A1616" s="106">
        <v>45079</v>
      </c>
      <c r="B1616" s="110">
        <v>1320.7</v>
      </c>
    </row>
    <row r="1617" spans="1:2" ht="16.5" hidden="1" customHeight="1">
      <c r="A1617" s="106">
        <v>45080</v>
      </c>
      <c r="B1617" s="110">
        <v>1320.7</v>
      </c>
    </row>
    <row r="1618" spans="1:2" ht="16.5" hidden="1" customHeight="1">
      <c r="A1618" s="106">
        <v>45081</v>
      </c>
      <c r="B1618" s="110">
        <v>1320.7</v>
      </c>
    </row>
    <row r="1619" spans="1:2" ht="16.5" hidden="1" customHeight="1">
      <c r="A1619" s="106">
        <v>45082</v>
      </c>
      <c r="B1619" s="110">
        <v>1308.8</v>
      </c>
    </row>
    <row r="1620" spans="1:2" ht="16.5" hidden="1" customHeight="1">
      <c r="A1620" s="106">
        <v>45083</v>
      </c>
      <c r="B1620" s="110">
        <v>1308.8</v>
      </c>
    </row>
    <row r="1621" spans="1:2" ht="16.5" hidden="1" customHeight="1">
      <c r="A1621" s="106">
        <v>45084</v>
      </c>
      <c r="B1621" s="110">
        <v>1308.3</v>
      </c>
    </row>
    <row r="1622" spans="1:2" ht="16.5" hidden="1" customHeight="1">
      <c r="A1622" s="106">
        <v>45085</v>
      </c>
      <c r="B1622" s="110">
        <v>1300.5</v>
      </c>
    </row>
    <row r="1623" spans="1:2" ht="16.5" hidden="1" customHeight="1">
      <c r="A1623" s="106">
        <v>45086</v>
      </c>
      <c r="B1623" s="110">
        <v>1306.0999999999999</v>
      </c>
    </row>
    <row r="1624" spans="1:2" ht="16.5" hidden="1" customHeight="1">
      <c r="A1624" s="106">
        <v>45087</v>
      </c>
      <c r="B1624" s="110">
        <v>1306.0999999999999</v>
      </c>
    </row>
    <row r="1625" spans="1:2" ht="16.5" hidden="1" customHeight="1">
      <c r="A1625" s="106">
        <v>45088</v>
      </c>
      <c r="B1625" s="110">
        <v>1306.0999999999999</v>
      </c>
    </row>
    <row r="1626" spans="1:2" ht="16.5" hidden="1" customHeight="1">
      <c r="A1626" s="106">
        <v>45089</v>
      </c>
      <c r="B1626" s="110">
        <v>1294.9000000000001</v>
      </c>
    </row>
    <row r="1627" spans="1:2" ht="16.5" hidden="1" customHeight="1">
      <c r="A1627" s="106">
        <v>45090</v>
      </c>
      <c r="B1627" s="110">
        <v>1291.0999999999999</v>
      </c>
    </row>
    <row r="1628" spans="1:2" ht="16.5" hidden="1" customHeight="1">
      <c r="A1628" s="106">
        <v>45091</v>
      </c>
      <c r="B1628" s="110">
        <v>1277.5</v>
      </c>
    </row>
    <row r="1629" spans="1:2" ht="16.5" hidden="1" customHeight="1">
      <c r="A1629" s="106">
        <v>45092</v>
      </c>
      <c r="B1629" s="110">
        <v>1275.9000000000001</v>
      </c>
    </row>
    <row r="1630" spans="1:2" ht="16.5" hidden="1" customHeight="1">
      <c r="A1630" s="106">
        <v>45093</v>
      </c>
      <c r="B1630" s="110">
        <v>1280.0999999999999</v>
      </c>
    </row>
    <row r="1631" spans="1:2" ht="16.5" hidden="1" customHeight="1">
      <c r="A1631" s="106">
        <v>45094</v>
      </c>
      <c r="B1631" s="110">
        <v>1280.0999999999999</v>
      </c>
    </row>
    <row r="1632" spans="1:2" ht="16.5" hidden="1" customHeight="1">
      <c r="A1632" s="106">
        <v>45095</v>
      </c>
      <c r="B1632" s="110">
        <v>1280.0999999999999</v>
      </c>
    </row>
    <row r="1633" spans="1:2" ht="16.5" hidden="1" customHeight="1">
      <c r="A1633" s="106">
        <v>45096</v>
      </c>
      <c r="B1633" s="110">
        <v>1273.5</v>
      </c>
    </row>
    <row r="1634" spans="1:2" ht="16.5" hidden="1" customHeight="1">
      <c r="A1634" s="106">
        <v>45097</v>
      </c>
      <c r="B1634" s="110">
        <v>1280.7</v>
      </c>
    </row>
    <row r="1635" spans="1:2" ht="16.5" hidden="1" customHeight="1">
      <c r="A1635" s="106">
        <v>45098</v>
      </c>
      <c r="B1635" s="110">
        <v>1282.2</v>
      </c>
    </row>
    <row r="1636" spans="1:2" ht="16.5" hidden="1" customHeight="1">
      <c r="A1636" s="106">
        <v>45099</v>
      </c>
      <c r="B1636" s="110">
        <v>1291.5</v>
      </c>
    </row>
    <row r="1637" spans="1:2" ht="16.5" hidden="1" customHeight="1">
      <c r="A1637" s="106">
        <v>45100</v>
      </c>
      <c r="B1637" s="110">
        <v>1291.4000000000001</v>
      </c>
    </row>
    <row r="1638" spans="1:2" ht="16.5" hidden="1" customHeight="1">
      <c r="A1638" s="106">
        <v>45101</v>
      </c>
      <c r="B1638" s="110">
        <v>1291.4000000000001</v>
      </c>
    </row>
    <row r="1639" spans="1:2" ht="16.5" hidden="1" customHeight="1">
      <c r="A1639" s="106">
        <v>45102</v>
      </c>
      <c r="B1639" s="110">
        <v>1291.4000000000001</v>
      </c>
    </row>
    <row r="1640" spans="1:2" ht="16.5" hidden="1" customHeight="1">
      <c r="A1640" s="106">
        <v>45103</v>
      </c>
      <c r="B1640" s="110">
        <v>1302.2</v>
      </c>
    </row>
    <row r="1641" spans="1:2" ht="16.5" hidden="1" customHeight="1">
      <c r="A1641" s="106">
        <v>45104</v>
      </c>
      <c r="B1641" s="110">
        <v>1303.8</v>
      </c>
    </row>
    <row r="1642" spans="1:2" ht="16.5" hidden="1" customHeight="1">
      <c r="A1642" s="106">
        <v>45105</v>
      </c>
      <c r="B1642" s="110">
        <v>1303.0999999999999</v>
      </c>
    </row>
    <row r="1643" spans="1:2" ht="16.5" hidden="1" customHeight="1">
      <c r="A1643" s="106">
        <v>45106</v>
      </c>
      <c r="B1643" s="110">
        <v>1304.3</v>
      </c>
    </row>
    <row r="1644" spans="1:2" ht="16.5" hidden="1" customHeight="1">
      <c r="A1644" s="106">
        <v>45107</v>
      </c>
      <c r="B1644" s="110">
        <v>1312.8</v>
      </c>
    </row>
    <row r="1645" spans="1:2" ht="16.5" hidden="1" customHeight="1">
      <c r="A1645" s="106">
        <v>45108</v>
      </c>
      <c r="B1645" s="110">
        <v>1312.8</v>
      </c>
    </row>
    <row r="1646" spans="1:2" ht="16.5" hidden="1" customHeight="1">
      <c r="A1646" s="106">
        <v>45109</v>
      </c>
      <c r="B1646" s="110">
        <v>1312.8</v>
      </c>
    </row>
    <row r="1647" spans="1:2" ht="16.5" hidden="1" customHeight="1">
      <c r="A1647" s="106">
        <v>45110</v>
      </c>
      <c r="B1647" s="110">
        <v>1319.4</v>
      </c>
    </row>
    <row r="1648" spans="1:2" ht="16.5" hidden="1" customHeight="1">
      <c r="A1648" s="106">
        <v>45111</v>
      </c>
      <c r="B1648" s="110">
        <v>1310</v>
      </c>
    </row>
    <row r="1649" spans="1:2" ht="16.5" hidden="1" customHeight="1">
      <c r="A1649" s="106">
        <v>45112</v>
      </c>
      <c r="B1649" s="110">
        <v>1301.7</v>
      </c>
    </row>
    <row r="1650" spans="1:2" ht="16.5" hidden="1" customHeight="1">
      <c r="A1650" s="106">
        <v>45113</v>
      </c>
      <c r="B1650" s="110">
        <v>1300.8</v>
      </c>
    </row>
    <row r="1651" spans="1:2" ht="16.5" hidden="1" customHeight="1">
      <c r="A1651" s="106">
        <v>45114</v>
      </c>
      <c r="B1651" s="110">
        <v>1303.8</v>
      </c>
    </row>
    <row r="1652" spans="1:2" ht="16.5" hidden="1" customHeight="1">
      <c r="A1652" s="106">
        <v>45115</v>
      </c>
      <c r="B1652" s="110">
        <v>1303.8</v>
      </c>
    </row>
    <row r="1653" spans="1:2" ht="16.5" hidden="1" customHeight="1">
      <c r="A1653" s="106">
        <v>45116</v>
      </c>
      <c r="B1653" s="110">
        <v>1303.8</v>
      </c>
    </row>
    <row r="1654" spans="1:2" ht="16.5" hidden="1" customHeight="1">
      <c r="A1654" s="106">
        <v>45117</v>
      </c>
      <c r="B1654" s="110">
        <v>1307.3</v>
      </c>
    </row>
    <row r="1655" spans="1:2" ht="16.5" hidden="1" customHeight="1">
      <c r="A1655" s="106">
        <v>45118</v>
      </c>
      <c r="B1655" s="110">
        <v>1303.8</v>
      </c>
    </row>
    <row r="1656" spans="1:2" ht="16.5" hidden="1" customHeight="1">
      <c r="A1656" s="106">
        <v>45119</v>
      </c>
      <c r="B1656" s="110">
        <v>1295</v>
      </c>
    </row>
    <row r="1657" spans="1:2" ht="16.5" hidden="1" customHeight="1">
      <c r="A1657" s="106">
        <v>45120</v>
      </c>
      <c r="B1657" s="110">
        <v>1291.4000000000001</v>
      </c>
    </row>
    <row r="1658" spans="1:2" ht="16.5" hidden="1" customHeight="1">
      <c r="A1658" s="106">
        <v>45121</v>
      </c>
      <c r="B1658" s="110">
        <v>1276.2</v>
      </c>
    </row>
    <row r="1659" spans="1:2" ht="16.5" hidden="1" customHeight="1">
      <c r="A1659" s="106">
        <v>45122</v>
      </c>
      <c r="B1659" s="110">
        <v>1276.2</v>
      </c>
    </row>
    <row r="1660" spans="1:2" ht="16.5" hidden="1" customHeight="1">
      <c r="A1660" s="106">
        <v>45123</v>
      </c>
      <c r="B1660" s="110">
        <v>1276.2</v>
      </c>
    </row>
    <row r="1661" spans="1:2" ht="16.5" hidden="1" customHeight="1">
      <c r="A1661" s="106">
        <v>45124</v>
      </c>
      <c r="B1661" s="110">
        <v>1265.8</v>
      </c>
    </row>
    <row r="1662" spans="1:2" ht="16.5" hidden="1" customHeight="1">
      <c r="A1662" s="106">
        <v>45125</v>
      </c>
      <c r="B1662" s="110">
        <v>1266.0999999999999</v>
      </c>
    </row>
    <row r="1663" spans="1:2" ht="16.5" hidden="1" customHeight="1">
      <c r="A1663" s="106">
        <v>45126</v>
      </c>
      <c r="B1663" s="110">
        <v>1261.5999999999999</v>
      </c>
    </row>
    <row r="1664" spans="1:2" ht="16.5" hidden="1" customHeight="1">
      <c r="A1664" s="106">
        <v>45127</v>
      </c>
      <c r="B1664" s="110">
        <v>1265.4000000000001</v>
      </c>
    </row>
    <row r="1665" spans="1:2" ht="16.5" hidden="1" customHeight="1">
      <c r="A1665" s="106">
        <v>45128</v>
      </c>
      <c r="B1665" s="110">
        <v>1265.8</v>
      </c>
    </row>
    <row r="1666" spans="1:2" ht="16.5" hidden="1" customHeight="1">
      <c r="A1666" s="106">
        <v>45129</v>
      </c>
      <c r="B1666" s="110">
        <v>1265.8</v>
      </c>
    </row>
    <row r="1667" spans="1:2" ht="16.5" hidden="1" customHeight="1">
      <c r="A1667" s="106">
        <v>45130</v>
      </c>
      <c r="B1667" s="110">
        <v>1265.8</v>
      </c>
    </row>
    <row r="1668" spans="1:2" ht="16.5" hidden="1" customHeight="1">
      <c r="A1668" s="106">
        <v>45131</v>
      </c>
      <c r="B1668" s="110">
        <v>1281.7</v>
      </c>
    </row>
    <row r="1669" spans="1:2" ht="16.5" hidden="1" customHeight="1">
      <c r="A1669" s="106">
        <v>45132</v>
      </c>
      <c r="B1669" s="110">
        <v>1283.8</v>
      </c>
    </row>
    <row r="1670" spans="1:2" ht="16.5" hidden="1" customHeight="1">
      <c r="A1670" s="106">
        <v>45133</v>
      </c>
      <c r="B1670" s="110">
        <v>1280.7</v>
      </c>
    </row>
    <row r="1671" spans="1:2" ht="16.5" hidden="1" customHeight="1">
      <c r="A1671" s="106">
        <v>45134</v>
      </c>
      <c r="B1671" s="110">
        <v>1278.7</v>
      </c>
    </row>
    <row r="1672" spans="1:2" ht="16.5" hidden="1" customHeight="1">
      <c r="A1672" s="106">
        <v>45135</v>
      </c>
      <c r="B1672" s="110">
        <v>1273.4000000000001</v>
      </c>
    </row>
    <row r="1673" spans="1:2" ht="16.5" hidden="1" customHeight="1">
      <c r="A1673" s="106">
        <v>45136</v>
      </c>
      <c r="B1673" s="110">
        <v>1273.4000000000001</v>
      </c>
    </row>
    <row r="1674" spans="1:2" ht="16.5" hidden="1" customHeight="1">
      <c r="A1674" s="106">
        <v>45137</v>
      </c>
      <c r="B1674" s="110">
        <v>1273.4000000000001</v>
      </c>
    </row>
    <row r="1675" spans="1:2" ht="16.5" hidden="1" customHeight="1">
      <c r="A1675" s="106">
        <v>45138</v>
      </c>
      <c r="B1675" s="110">
        <v>1280</v>
      </c>
    </row>
    <row r="1676" spans="1:2" ht="16.5" hidden="1" customHeight="1">
      <c r="A1676" s="106">
        <v>45139</v>
      </c>
      <c r="B1676" s="110">
        <v>1273.8</v>
      </c>
    </row>
    <row r="1677" spans="1:2" ht="16.5" hidden="1" customHeight="1">
      <c r="A1677" s="106">
        <v>45140</v>
      </c>
      <c r="B1677" s="110">
        <v>1280.7</v>
      </c>
    </row>
    <row r="1678" spans="1:2" ht="16.5" hidden="1" customHeight="1">
      <c r="A1678" s="106">
        <v>45141</v>
      </c>
      <c r="B1678" s="110">
        <v>1283</v>
      </c>
    </row>
    <row r="1679" spans="1:2" ht="16.5" hidden="1" customHeight="1">
      <c r="A1679" s="106">
        <v>45142</v>
      </c>
      <c r="B1679" s="110">
        <v>1298.8</v>
      </c>
    </row>
    <row r="1680" spans="1:2" ht="16.5" hidden="1" customHeight="1">
      <c r="A1680" s="106">
        <v>45143</v>
      </c>
      <c r="B1680" s="110">
        <v>1298.8</v>
      </c>
    </row>
    <row r="1681" spans="1:2" ht="16.5" hidden="1" customHeight="1">
      <c r="A1681" s="106">
        <v>45144</v>
      </c>
      <c r="B1681" s="110">
        <v>1298.8</v>
      </c>
    </row>
    <row r="1682" spans="1:2" ht="16.5" hidden="1" customHeight="1">
      <c r="A1682" s="106">
        <v>45145</v>
      </c>
      <c r="B1682" s="110">
        <v>1303.9000000000001</v>
      </c>
    </row>
    <row r="1683" spans="1:2" ht="16.5" hidden="1" customHeight="1">
      <c r="A1683" s="106">
        <v>45146</v>
      </c>
      <c r="B1683" s="110">
        <v>1304.0999999999999</v>
      </c>
    </row>
    <row r="1684" spans="1:2" ht="16.5" hidden="1" customHeight="1">
      <c r="A1684" s="106">
        <v>45147</v>
      </c>
      <c r="B1684" s="110">
        <v>1312.6</v>
      </c>
    </row>
    <row r="1685" spans="1:2" ht="16.5" hidden="1" customHeight="1">
      <c r="A1685" s="106">
        <v>45148</v>
      </c>
      <c r="B1685" s="110">
        <v>1318.3</v>
      </c>
    </row>
    <row r="1686" spans="1:2" ht="16.5" hidden="1" customHeight="1">
      <c r="A1686" s="106">
        <v>45149</v>
      </c>
      <c r="B1686" s="110">
        <v>1317.3</v>
      </c>
    </row>
    <row r="1687" spans="1:2" ht="16.5" hidden="1" customHeight="1">
      <c r="A1687" s="106">
        <v>45150</v>
      </c>
      <c r="B1687" s="110">
        <v>1317.3</v>
      </c>
    </row>
    <row r="1688" spans="1:2" ht="16.5" hidden="1" customHeight="1">
      <c r="A1688" s="106">
        <v>45151</v>
      </c>
      <c r="B1688" s="110">
        <v>1317.3</v>
      </c>
    </row>
    <row r="1689" spans="1:2" ht="16.5" hidden="1" customHeight="1">
      <c r="A1689" s="106">
        <v>45152</v>
      </c>
      <c r="B1689" s="110">
        <v>1321.1</v>
      </c>
    </row>
    <row r="1690" spans="1:2" ht="16.5" hidden="1" customHeight="1">
      <c r="A1690" s="106">
        <v>45153</v>
      </c>
      <c r="B1690" s="110">
        <v>1321.1</v>
      </c>
    </row>
    <row r="1691" spans="1:2" ht="16.5" hidden="1" customHeight="1">
      <c r="A1691" s="106">
        <v>45154</v>
      </c>
      <c r="B1691" s="110">
        <v>1331.3</v>
      </c>
    </row>
    <row r="1692" spans="1:2" ht="16.5" hidden="1" customHeight="1">
      <c r="A1692" s="106">
        <v>45155</v>
      </c>
      <c r="B1692" s="110">
        <v>1338.3</v>
      </c>
    </row>
    <row r="1693" spans="1:2" ht="16.5" hidden="1" customHeight="1">
      <c r="A1693" s="106">
        <v>45156</v>
      </c>
      <c r="B1693" s="110">
        <v>1341.6</v>
      </c>
    </row>
    <row r="1694" spans="1:2" ht="16.5" hidden="1" customHeight="1">
      <c r="A1694" s="106">
        <v>45157</v>
      </c>
      <c r="B1694" s="110">
        <v>1341.6</v>
      </c>
    </row>
    <row r="1695" spans="1:2" ht="16.5" hidden="1" customHeight="1">
      <c r="A1695" s="106">
        <v>45158</v>
      </c>
      <c r="B1695" s="110">
        <v>1341.6</v>
      </c>
    </row>
    <row r="1696" spans="1:2" ht="16.5" hidden="1" customHeight="1">
      <c r="A1696" s="106">
        <v>45159</v>
      </c>
      <c r="B1696" s="110">
        <v>1336.9</v>
      </c>
    </row>
    <row r="1697" spans="1:2" ht="16.5" hidden="1" customHeight="1">
      <c r="A1697" s="106">
        <v>45160</v>
      </c>
      <c r="B1697" s="110">
        <v>1341.5</v>
      </c>
    </row>
    <row r="1698" spans="1:2" ht="16.5" hidden="1" customHeight="1">
      <c r="A1698" s="106">
        <v>45161</v>
      </c>
      <c r="B1698" s="110">
        <v>1338.7</v>
      </c>
    </row>
    <row r="1699" spans="1:2" ht="16.5" hidden="1" customHeight="1">
      <c r="A1699" s="106">
        <v>45162</v>
      </c>
      <c r="B1699" s="110">
        <v>1338</v>
      </c>
    </row>
    <row r="1700" spans="1:2" ht="16.5" hidden="1" customHeight="1">
      <c r="A1700" s="106">
        <v>45163</v>
      </c>
      <c r="B1700" s="110">
        <v>1324</v>
      </c>
    </row>
    <row r="1701" spans="1:2" ht="16.5" hidden="1" customHeight="1">
      <c r="A1701" s="106">
        <v>45164</v>
      </c>
      <c r="B1701" s="110">
        <v>1324</v>
      </c>
    </row>
    <row r="1702" spans="1:2" ht="16.5" hidden="1" customHeight="1">
      <c r="A1702" s="106">
        <v>45165</v>
      </c>
      <c r="B1702" s="110">
        <v>1324</v>
      </c>
    </row>
    <row r="1703" spans="1:2" ht="16.5" hidden="1" customHeight="1">
      <c r="A1703" s="106">
        <v>45166</v>
      </c>
      <c r="B1703" s="110">
        <v>1326.6</v>
      </c>
    </row>
    <row r="1704" spans="1:2" ht="16.5" hidden="1" customHeight="1">
      <c r="A1704" s="106">
        <v>45167</v>
      </c>
      <c r="B1704" s="110">
        <v>1322.5</v>
      </c>
    </row>
    <row r="1705" spans="1:2" ht="16.5" hidden="1" customHeight="1">
      <c r="A1705" s="106">
        <v>45168</v>
      </c>
      <c r="B1705" s="110">
        <v>1322</v>
      </c>
    </row>
    <row r="1706" spans="1:2" ht="16.5" hidden="1" customHeight="1">
      <c r="A1706" s="106">
        <v>45169</v>
      </c>
      <c r="B1706" s="110">
        <v>1321.4</v>
      </c>
    </row>
    <row r="1707" spans="1:2" ht="16.5" hidden="1" customHeight="1">
      <c r="A1707" s="106">
        <v>45170</v>
      </c>
      <c r="B1707" s="110">
        <v>1322.3</v>
      </c>
    </row>
    <row r="1708" spans="1:2" ht="16.5" hidden="1" customHeight="1">
      <c r="A1708" s="106">
        <v>45171</v>
      </c>
      <c r="B1708" s="110">
        <v>1322.3</v>
      </c>
    </row>
    <row r="1709" spans="1:2" ht="16.5" hidden="1" customHeight="1">
      <c r="A1709" s="106">
        <v>45172</v>
      </c>
      <c r="B1709" s="110">
        <v>1322.3</v>
      </c>
    </row>
    <row r="1710" spans="1:2" ht="16.5" hidden="1" customHeight="1">
      <c r="A1710" s="106">
        <v>45173</v>
      </c>
      <c r="B1710" s="110">
        <v>1319.2</v>
      </c>
    </row>
    <row r="1711" spans="1:2" ht="16.5" hidden="1" customHeight="1">
      <c r="A1711" s="106">
        <v>45174</v>
      </c>
      <c r="B1711" s="110">
        <v>1319.3</v>
      </c>
    </row>
    <row r="1712" spans="1:2" ht="16.5" hidden="1" customHeight="1">
      <c r="A1712" s="106">
        <v>45175</v>
      </c>
      <c r="B1712" s="110">
        <v>1324.3</v>
      </c>
    </row>
    <row r="1713" spans="1:2" ht="16.5" hidden="1" customHeight="1">
      <c r="A1713" s="106">
        <v>45176</v>
      </c>
      <c r="B1713" s="110">
        <v>1332.6</v>
      </c>
    </row>
    <row r="1714" spans="1:2" ht="16.5" hidden="1" customHeight="1">
      <c r="A1714" s="106">
        <v>45177</v>
      </c>
      <c r="B1714" s="110">
        <v>1334.7</v>
      </c>
    </row>
    <row r="1715" spans="1:2" ht="16.5" hidden="1" customHeight="1">
      <c r="A1715" s="106">
        <v>45178</v>
      </c>
      <c r="B1715" s="110">
        <v>1334.7</v>
      </c>
    </row>
    <row r="1716" spans="1:2" ht="16.5" hidden="1" customHeight="1">
      <c r="A1716" s="106">
        <v>45179</v>
      </c>
      <c r="B1716" s="110">
        <v>1334.7</v>
      </c>
    </row>
    <row r="1717" spans="1:2" ht="16.5" hidden="1" customHeight="1">
      <c r="A1717" s="106">
        <v>45180</v>
      </c>
      <c r="B1717" s="110">
        <v>1333.4</v>
      </c>
    </row>
    <row r="1718" spans="1:2" ht="16.5" hidden="1" customHeight="1">
      <c r="A1718" s="106">
        <v>45181</v>
      </c>
      <c r="B1718" s="110">
        <v>1332.4</v>
      </c>
    </row>
    <row r="1719" spans="1:2" ht="16.5" hidden="1" customHeight="1">
      <c r="A1719" s="106">
        <v>45182</v>
      </c>
      <c r="B1719" s="110">
        <v>1326.1</v>
      </c>
    </row>
    <row r="1720" spans="1:2" ht="16.5" hidden="1" customHeight="1">
      <c r="A1720" s="106">
        <v>45183</v>
      </c>
      <c r="B1720" s="110">
        <v>1327.8</v>
      </c>
    </row>
    <row r="1721" spans="1:2" ht="16.5" hidden="1" customHeight="1">
      <c r="A1721" s="106">
        <v>45184</v>
      </c>
      <c r="B1721" s="110">
        <v>1326.1</v>
      </c>
    </row>
    <row r="1722" spans="1:2" ht="16.5" hidden="1" customHeight="1">
      <c r="A1722" s="106">
        <v>45185</v>
      </c>
      <c r="B1722" s="110">
        <v>1326.1</v>
      </c>
    </row>
    <row r="1723" spans="1:2" ht="16.5" hidden="1" customHeight="1">
      <c r="A1723" s="106">
        <v>45186</v>
      </c>
      <c r="B1723" s="110">
        <v>1326.1</v>
      </c>
    </row>
    <row r="1724" spans="1:2" ht="16.5" hidden="1" customHeight="1">
      <c r="A1724" s="106">
        <v>45187</v>
      </c>
      <c r="B1724" s="110">
        <v>1327.6</v>
      </c>
    </row>
    <row r="1725" spans="1:2" ht="16.5" hidden="1" customHeight="1">
      <c r="A1725" s="106">
        <v>45188</v>
      </c>
      <c r="B1725" s="110">
        <v>1326</v>
      </c>
    </row>
    <row r="1726" spans="1:2" ht="16.5" hidden="1" customHeight="1">
      <c r="A1726" s="106">
        <v>45189</v>
      </c>
      <c r="B1726" s="110">
        <v>1323.7</v>
      </c>
    </row>
    <row r="1727" spans="1:2" ht="16.5" hidden="1" customHeight="1">
      <c r="A1727" s="106">
        <v>45190</v>
      </c>
      <c r="B1727" s="110">
        <v>1329.3</v>
      </c>
    </row>
    <row r="1728" spans="1:2" ht="16.5" hidden="1" customHeight="1">
      <c r="A1728" s="106">
        <v>45191</v>
      </c>
      <c r="B1728" s="110">
        <v>1339.1</v>
      </c>
    </row>
    <row r="1729" spans="1:2" ht="16.5" hidden="1" customHeight="1">
      <c r="A1729" s="106">
        <v>45192</v>
      </c>
      <c r="B1729" s="110">
        <v>1339.1</v>
      </c>
    </row>
    <row r="1730" spans="1:2" ht="16.5" hidden="1" customHeight="1">
      <c r="A1730" s="106">
        <v>45193</v>
      </c>
      <c r="B1730" s="110">
        <v>1339.1</v>
      </c>
    </row>
    <row r="1731" spans="1:2" ht="16.5" hidden="1" customHeight="1">
      <c r="A1731" s="106">
        <v>45194</v>
      </c>
      <c r="B1731" s="110">
        <v>1337.6</v>
      </c>
    </row>
    <row r="1732" spans="1:2" ht="16.5" hidden="1" customHeight="1">
      <c r="A1732" s="106">
        <v>45195</v>
      </c>
      <c r="B1732" s="110">
        <v>1333.7</v>
      </c>
    </row>
    <row r="1733" spans="1:2" ht="16.5" hidden="1" customHeight="1">
      <c r="A1733" s="106">
        <v>45196</v>
      </c>
      <c r="B1733" s="110">
        <v>1344.8</v>
      </c>
    </row>
    <row r="1734" spans="1:2" ht="16.5" hidden="1" customHeight="1">
      <c r="A1734" s="106">
        <v>45197</v>
      </c>
      <c r="B1734" s="110">
        <v>1344.8</v>
      </c>
    </row>
    <row r="1735" spans="1:2" ht="16.5" hidden="1" customHeight="1">
      <c r="A1735" s="106">
        <v>45198</v>
      </c>
      <c r="B1735" s="110">
        <v>1344.8</v>
      </c>
    </row>
    <row r="1736" spans="1:2" ht="16.5" hidden="1" customHeight="1">
      <c r="A1736" s="106">
        <v>45199</v>
      </c>
      <c r="B1736" s="110">
        <v>1344.8</v>
      </c>
    </row>
    <row r="1737" spans="1:2" ht="16.5" hidden="1" customHeight="1">
      <c r="A1737" s="106">
        <v>45200</v>
      </c>
      <c r="B1737" s="110">
        <v>1344.8</v>
      </c>
    </row>
    <row r="1738" spans="1:2" ht="16.5" hidden="1" customHeight="1">
      <c r="A1738" s="106">
        <v>45201</v>
      </c>
      <c r="B1738" s="110">
        <v>1344.8</v>
      </c>
    </row>
    <row r="1739" spans="1:2" ht="16.5" hidden="1" customHeight="1">
      <c r="A1739" s="106">
        <v>45202</v>
      </c>
      <c r="B1739" s="110">
        <v>1344.8</v>
      </c>
    </row>
    <row r="1740" spans="1:2" ht="16.5" hidden="1" customHeight="1">
      <c r="A1740" s="106">
        <v>45203</v>
      </c>
      <c r="B1740" s="110">
        <v>1351.3</v>
      </c>
    </row>
    <row r="1741" spans="1:2" ht="16.5" hidden="1" customHeight="1">
      <c r="A1741" s="106">
        <v>45204</v>
      </c>
      <c r="B1741" s="110">
        <v>1360.6</v>
      </c>
    </row>
    <row r="1742" spans="1:2" ht="16.5" hidden="1" customHeight="1">
      <c r="A1742" s="106">
        <v>45205</v>
      </c>
      <c r="B1742" s="110">
        <v>1349.4</v>
      </c>
    </row>
    <row r="1743" spans="1:2" ht="16.5" hidden="1" customHeight="1">
      <c r="A1743" s="106">
        <v>45206</v>
      </c>
      <c r="B1743" s="110">
        <v>1349.4</v>
      </c>
    </row>
    <row r="1744" spans="1:2" ht="16.5" hidden="1" customHeight="1">
      <c r="A1744" s="106">
        <v>45207</v>
      </c>
      <c r="B1744" s="110">
        <v>1349.4</v>
      </c>
    </row>
    <row r="1745" spans="1:2" ht="16.5" hidden="1" customHeight="1">
      <c r="A1745" s="106">
        <v>45208</v>
      </c>
      <c r="B1745" s="110">
        <v>1349.4</v>
      </c>
    </row>
    <row r="1746" spans="1:2" ht="16.5" hidden="1" customHeight="1">
      <c r="A1746" s="106">
        <v>45209</v>
      </c>
      <c r="B1746" s="110">
        <v>1348.3</v>
      </c>
    </row>
    <row r="1747" spans="1:2" ht="16.5" hidden="1" customHeight="1">
      <c r="A1747" s="106">
        <v>45210</v>
      </c>
      <c r="B1747" s="110">
        <v>1348.3</v>
      </c>
    </row>
    <row r="1748" spans="1:2" ht="16.5" hidden="1" customHeight="1">
      <c r="A1748" s="106">
        <v>45211</v>
      </c>
      <c r="B1748" s="110">
        <v>1339.6</v>
      </c>
    </row>
    <row r="1749" spans="1:2" ht="16.5" hidden="1" customHeight="1">
      <c r="A1749" s="106">
        <v>45212</v>
      </c>
      <c r="B1749" s="110">
        <v>1339.9</v>
      </c>
    </row>
    <row r="1750" spans="1:2" ht="16.5" hidden="1" customHeight="1">
      <c r="A1750" s="106">
        <v>45213</v>
      </c>
      <c r="B1750" s="110">
        <v>1339.9</v>
      </c>
    </row>
    <row r="1751" spans="1:2" ht="16.5" hidden="1" customHeight="1">
      <c r="A1751" s="106">
        <v>45214</v>
      </c>
      <c r="B1751" s="110">
        <v>1339.9</v>
      </c>
    </row>
    <row r="1752" spans="1:2" ht="16.5" hidden="1" customHeight="1">
      <c r="A1752" s="106">
        <v>45215</v>
      </c>
      <c r="B1752" s="110">
        <v>1349.4</v>
      </c>
    </row>
    <row r="1753" spans="1:2" ht="16.5" hidden="1" customHeight="1">
      <c r="A1753" s="106">
        <v>45216</v>
      </c>
      <c r="B1753" s="110">
        <v>1353.8</v>
      </c>
    </row>
    <row r="1754" spans="1:2" ht="16.5" hidden="1" customHeight="1">
      <c r="A1754" s="106">
        <v>45217</v>
      </c>
      <c r="B1754" s="110">
        <v>1351.9</v>
      </c>
    </row>
    <row r="1755" spans="1:2" ht="16.5" hidden="1" customHeight="1">
      <c r="A1755" s="106">
        <v>45218</v>
      </c>
      <c r="B1755" s="110">
        <v>1351.7</v>
      </c>
    </row>
    <row r="1756" spans="1:2" ht="16.5" hidden="1" customHeight="1">
      <c r="A1756" s="106">
        <v>45219</v>
      </c>
      <c r="B1756" s="110">
        <v>1357.6</v>
      </c>
    </row>
    <row r="1757" spans="1:2" ht="16.5" hidden="1" customHeight="1">
      <c r="A1757" s="106">
        <v>45220</v>
      </c>
      <c r="B1757" s="110">
        <v>1357.6</v>
      </c>
    </row>
    <row r="1758" spans="1:2" ht="16.5" hidden="1" customHeight="1">
      <c r="A1758" s="106">
        <v>45221</v>
      </c>
      <c r="B1758" s="110">
        <v>1357.6</v>
      </c>
    </row>
    <row r="1759" spans="1:2" ht="16.5" hidden="1" customHeight="1">
      <c r="A1759" s="106">
        <v>45222</v>
      </c>
      <c r="B1759" s="110">
        <v>1355.1</v>
      </c>
    </row>
    <row r="1760" spans="1:2" ht="16.5" hidden="1" customHeight="1">
      <c r="A1760" s="106">
        <v>45223</v>
      </c>
      <c r="B1760" s="110">
        <v>1353.2</v>
      </c>
    </row>
    <row r="1761" spans="1:2" ht="16.5" hidden="1" customHeight="1">
      <c r="A1761" s="106">
        <v>45224</v>
      </c>
      <c r="B1761" s="110">
        <v>1343.9</v>
      </c>
    </row>
    <row r="1762" spans="1:2" ht="16.5" hidden="1" customHeight="1">
      <c r="A1762" s="106">
        <v>45225</v>
      </c>
      <c r="B1762" s="110">
        <v>1347</v>
      </c>
    </row>
    <row r="1763" spans="1:2" ht="16.5" hidden="1" customHeight="1">
      <c r="A1763" s="106">
        <v>45226</v>
      </c>
      <c r="B1763" s="110">
        <v>1357.1</v>
      </c>
    </row>
    <row r="1764" spans="1:2" ht="16.5" hidden="1" customHeight="1">
      <c r="A1764" s="106">
        <v>45227</v>
      </c>
      <c r="B1764" s="110">
        <v>1357.1</v>
      </c>
    </row>
    <row r="1765" spans="1:2" ht="16.5" hidden="1" customHeight="1">
      <c r="A1765" s="106">
        <v>45228</v>
      </c>
      <c r="B1765" s="110">
        <v>1357.1</v>
      </c>
    </row>
    <row r="1766" spans="1:2" ht="16.5" hidden="1" customHeight="1">
      <c r="A1766" s="106">
        <v>45229</v>
      </c>
      <c r="B1766" s="110">
        <v>1352.3</v>
      </c>
    </row>
    <row r="1767" spans="1:2" ht="16.5" hidden="1" customHeight="1">
      <c r="A1767" s="106">
        <v>45230</v>
      </c>
      <c r="B1767" s="110">
        <v>1352.8</v>
      </c>
    </row>
    <row r="1768" spans="1:2" ht="16.5" hidden="1" customHeight="1">
      <c r="A1768" s="106">
        <v>45231</v>
      </c>
      <c r="B1768" s="110">
        <v>1349.6</v>
      </c>
    </row>
    <row r="1769" spans="1:2" ht="16.5" hidden="1" customHeight="1">
      <c r="A1769" s="106">
        <v>45232</v>
      </c>
      <c r="B1769" s="110">
        <v>1356.9</v>
      </c>
    </row>
    <row r="1770" spans="1:2" ht="16.5" hidden="1" customHeight="1">
      <c r="A1770" s="106">
        <v>45233</v>
      </c>
      <c r="B1770" s="110">
        <v>1343.2</v>
      </c>
    </row>
    <row r="1771" spans="1:2" ht="16.5" hidden="1" customHeight="1">
      <c r="A1771" s="106">
        <v>45234</v>
      </c>
      <c r="B1771" s="110">
        <v>1343.2</v>
      </c>
    </row>
    <row r="1772" spans="1:2" ht="16.5" hidden="1" customHeight="1">
      <c r="A1772" s="106">
        <v>45235</v>
      </c>
      <c r="B1772" s="110">
        <v>1343.2</v>
      </c>
    </row>
    <row r="1773" spans="1:2" ht="16.5" hidden="1" customHeight="1">
      <c r="A1773" s="106">
        <v>45236</v>
      </c>
      <c r="B1773" s="110">
        <v>1325.8</v>
      </c>
    </row>
    <row r="1774" spans="1:2" ht="16.5" hidden="1" customHeight="1">
      <c r="A1774" s="106">
        <v>45237</v>
      </c>
      <c r="B1774" s="110">
        <v>1303.2</v>
      </c>
    </row>
    <row r="1775" spans="1:2" ht="16.5" hidden="1" customHeight="1">
      <c r="A1775" s="106">
        <v>45238</v>
      </c>
      <c r="B1775" s="110">
        <v>1306.0999999999999</v>
      </c>
    </row>
    <row r="1776" spans="1:2" ht="16.5" hidden="1" customHeight="1">
      <c r="A1776" s="106">
        <v>45239</v>
      </c>
      <c r="B1776" s="110">
        <v>1305.5</v>
      </c>
    </row>
    <row r="1777" spans="1:2" ht="16.5" hidden="1" customHeight="1">
      <c r="A1777" s="106">
        <v>45240</v>
      </c>
      <c r="B1777" s="110">
        <v>1309</v>
      </c>
    </row>
    <row r="1778" spans="1:2" ht="16.5" hidden="1" customHeight="1">
      <c r="A1778" s="106">
        <v>45241</v>
      </c>
      <c r="B1778" s="110">
        <v>1309</v>
      </c>
    </row>
    <row r="1779" spans="1:2" ht="16.5" hidden="1" customHeight="1">
      <c r="A1779" s="106">
        <v>45242</v>
      </c>
      <c r="B1779" s="110">
        <v>1309</v>
      </c>
    </row>
    <row r="1780" spans="1:2" ht="16.5" hidden="1" customHeight="1">
      <c r="A1780" s="106">
        <v>45243</v>
      </c>
      <c r="B1780" s="110">
        <v>1316.7</v>
      </c>
    </row>
    <row r="1781" spans="1:2" ht="16.5" hidden="1" customHeight="1">
      <c r="A1781" s="106">
        <v>45244</v>
      </c>
      <c r="B1781" s="110">
        <v>1322.7</v>
      </c>
    </row>
    <row r="1782" spans="1:2" ht="16.5" hidden="1" customHeight="1">
      <c r="A1782" s="106">
        <v>45245</v>
      </c>
      <c r="B1782" s="110">
        <v>1325.3</v>
      </c>
    </row>
    <row r="1783" spans="1:2" ht="16.5" hidden="1" customHeight="1">
      <c r="A1783" s="106">
        <v>45246</v>
      </c>
      <c r="B1783" s="110">
        <v>1302</v>
      </c>
    </row>
    <row r="1784" spans="1:2" ht="16.5" hidden="1" customHeight="1">
      <c r="A1784" s="106">
        <v>45247</v>
      </c>
      <c r="B1784" s="110">
        <v>1303.9000000000001</v>
      </c>
    </row>
    <row r="1785" spans="1:2" ht="16.5" hidden="1" customHeight="1">
      <c r="A1785" s="106">
        <v>45248</v>
      </c>
      <c r="B1785" s="110">
        <v>1303.9000000000001</v>
      </c>
    </row>
    <row r="1786" spans="1:2" ht="16.5" hidden="1" customHeight="1">
      <c r="A1786" s="106">
        <v>45249</v>
      </c>
      <c r="B1786" s="110">
        <v>1303.9000000000001</v>
      </c>
    </row>
    <row r="1787" spans="1:2" ht="16.5" hidden="1" customHeight="1">
      <c r="A1787" s="106">
        <v>45250</v>
      </c>
      <c r="B1787" s="110">
        <v>1294.4000000000001</v>
      </c>
    </row>
    <row r="1788" spans="1:2" ht="16.5" hidden="1" customHeight="1">
      <c r="A1788" s="106">
        <v>45251</v>
      </c>
      <c r="B1788" s="110">
        <v>1292.4000000000001</v>
      </c>
    </row>
    <row r="1789" spans="1:2" ht="16.5" hidden="1" customHeight="1">
      <c r="A1789" s="106">
        <v>45252</v>
      </c>
      <c r="B1789" s="110">
        <v>1287.7</v>
      </c>
    </row>
    <row r="1790" spans="1:2" ht="16.5" hidden="1" customHeight="1">
      <c r="A1790" s="106">
        <v>45253</v>
      </c>
      <c r="B1790" s="110">
        <v>1295.7</v>
      </c>
    </row>
    <row r="1791" spans="1:2" ht="16.5" hidden="1" customHeight="1">
      <c r="A1791" s="106">
        <v>45254</v>
      </c>
      <c r="B1791" s="110">
        <v>1298.7</v>
      </c>
    </row>
    <row r="1792" spans="1:2" ht="16.5" hidden="1" customHeight="1">
      <c r="A1792" s="106">
        <v>45255</v>
      </c>
      <c r="B1792" s="110">
        <v>1298.7</v>
      </c>
    </row>
    <row r="1793" spans="1:2" ht="16.5" hidden="1" customHeight="1">
      <c r="A1793" s="106">
        <v>45256</v>
      </c>
      <c r="B1793" s="110">
        <v>1298.7</v>
      </c>
    </row>
    <row r="1794" spans="1:2" ht="16.5" hidden="1" customHeight="1">
      <c r="A1794" s="106">
        <v>45257</v>
      </c>
      <c r="B1794" s="110">
        <v>1302.0999999999999</v>
      </c>
    </row>
    <row r="1795" spans="1:2" ht="16.5" hidden="1" customHeight="1">
      <c r="A1795" s="106">
        <v>45258</v>
      </c>
      <c r="B1795" s="110">
        <v>1304.7</v>
      </c>
    </row>
    <row r="1796" spans="1:2" ht="16.5" hidden="1" customHeight="1">
      <c r="A1796" s="106">
        <v>45259</v>
      </c>
      <c r="B1796" s="110">
        <v>1294</v>
      </c>
    </row>
    <row r="1797" spans="1:2" ht="16.5" hidden="1" customHeight="1">
      <c r="A1797" s="106">
        <v>45260</v>
      </c>
      <c r="B1797" s="110">
        <v>1289</v>
      </c>
    </row>
    <row r="1798" spans="1:2" ht="16.5" hidden="1" customHeight="1">
      <c r="A1798" s="106">
        <v>45261</v>
      </c>
      <c r="B1798" s="110">
        <v>1290.4000000000001</v>
      </c>
    </row>
    <row r="1799" spans="1:2" ht="16.5" hidden="1" customHeight="1">
      <c r="A1799" s="106">
        <v>45262</v>
      </c>
      <c r="B1799" s="110">
        <v>1290.4000000000001</v>
      </c>
    </row>
    <row r="1800" spans="1:2" ht="16.5" hidden="1" customHeight="1">
      <c r="A1800" s="106">
        <v>45263</v>
      </c>
      <c r="B1800" s="110">
        <v>1290.4000000000001</v>
      </c>
    </row>
    <row r="1801" spans="1:2" ht="16.5" hidden="1" customHeight="1">
      <c r="A1801" s="106">
        <v>45264</v>
      </c>
      <c r="B1801" s="110">
        <v>1303.2</v>
      </c>
    </row>
    <row r="1802" spans="1:2" ht="16.5" hidden="1" customHeight="1">
      <c r="A1802" s="106">
        <v>45265</v>
      </c>
      <c r="B1802" s="110">
        <v>1301.8</v>
      </c>
    </row>
    <row r="1803" spans="1:2" ht="16.5" hidden="1" customHeight="1">
      <c r="A1803" s="106">
        <v>45266</v>
      </c>
      <c r="B1803" s="110">
        <v>1311.7</v>
      </c>
    </row>
    <row r="1804" spans="1:2" ht="16.5" hidden="1" customHeight="1">
      <c r="A1804" s="106">
        <v>45267</v>
      </c>
      <c r="B1804" s="110">
        <v>1312.4</v>
      </c>
    </row>
    <row r="1805" spans="1:2" ht="16.5" hidden="1" customHeight="1">
      <c r="A1805" s="106">
        <v>45268</v>
      </c>
      <c r="B1805" s="110">
        <v>1322.7</v>
      </c>
    </row>
    <row r="1806" spans="1:2" ht="16.5" hidden="1" customHeight="1">
      <c r="A1806" s="106">
        <v>45269</v>
      </c>
      <c r="B1806" s="110">
        <v>1322.7</v>
      </c>
    </row>
    <row r="1807" spans="1:2" ht="16.5" hidden="1" customHeight="1">
      <c r="A1807" s="106">
        <v>45270</v>
      </c>
      <c r="B1807" s="110">
        <v>1322.7</v>
      </c>
    </row>
    <row r="1808" spans="1:2" ht="16.5" hidden="1" customHeight="1">
      <c r="A1808" s="106">
        <v>45271</v>
      </c>
      <c r="B1808" s="110">
        <v>1307.9000000000001</v>
      </c>
    </row>
    <row r="1809" spans="1:2" ht="16.5" hidden="1" customHeight="1">
      <c r="A1809" s="106">
        <v>45272</v>
      </c>
      <c r="B1809" s="110">
        <v>1318.3</v>
      </c>
    </row>
    <row r="1810" spans="1:2" ht="16.5" hidden="1" customHeight="1">
      <c r="A1810" s="106">
        <v>45273</v>
      </c>
      <c r="B1810" s="110">
        <v>1315.7</v>
      </c>
    </row>
    <row r="1811" spans="1:2" ht="16.5" hidden="1" customHeight="1">
      <c r="A1811" s="106">
        <v>45274</v>
      </c>
      <c r="B1811" s="110">
        <v>1316.5</v>
      </c>
    </row>
    <row r="1812" spans="1:2" ht="16.5" hidden="1" customHeight="1">
      <c r="A1812" s="106">
        <v>45275</v>
      </c>
      <c r="B1812" s="110">
        <v>1295.5999999999999</v>
      </c>
    </row>
    <row r="1813" spans="1:2" ht="16.5" hidden="1" customHeight="1">
      <c r="A1813" s="106">
        <v>45276</v>
      </c>
      <c r="B1813" s="110">
        <v>1295.5999999999999</v>
      </c>
    </row>
    <row r="1814" spans="1:2" ht="16.5" hidden="1" customHeight="1">
      <c r="A1814" s="106">
        <v>45277</v>
      </c>
      <c r="B1814" s="110">
        <v>1295.5999999999999</v>
      </c>
    </row>
    <row r="1815" spans="1:2" ht="16.5" hidden="1" customHeight="1">
      <c r="A1815" s="106">
        <v>45278</v>
      </c>
      <c r="B1815" s="110">
        <v>1294.7</v>
      </c>
    </row>
    <row r="1816" spans="1:2" ht="16.5" hidden="1" customHeight="1">
      <c r="A1816" s="106">
        <v>45279</v>
      </c>
      <c r="B1816" s="110">
        <v>1298.7</v>
      </c>
    </row>
    <row r="1817" spans="1:2" ht="16.5" hidden="1" customHeight="1">
      <c r="A1817" s="106">
        <v>45280</v>
      </c>
      <c r="B1817" s="110">
        <v>1304.7</v>
      </c>
    </row>
    <row r="1818" spans="1:2" ht="16.5" hidden="1" customHeight="1">
      <c r="A1818" s="106">
        <v>45281</v>
      </c>
      <c r="B1818" s="110">
        <v>1300.2</v>
      </c>
    </row>
    <row r="1819" spans="1:2" ht="16.5" hidden="1" customHeight="1">
      <c r="A1819" s="106">
        <v>45282</v>
      </c>
      <c r="B1819" s="110">
        <v>1303.8</v>
      </c>
    </row>
    <row r="1820" spans="1:2" ht="16.5" hidden="1" customHeight="1">
      <c r="A1820" s="106">
        <v>45283</v>
      </c>
      <c r="B1820" s="110">
        <v>1303.8</v>
      </c>
    </row>
    <row r="1821" spans="1:2" ht="16.5" hidden="1" customHeight="1">
      <c r="A1821" s="106">
        <v>45284</v>
      </c>
      <c r="B1821" s="110">
        <v>1303.8</v>
      </c>
    </row>
    <row r="1822" spans="1:2" ht="16.5" hidden="1" customHeight="1">
      <c r="A1822" s="106">
        <v>45285</v>
      </c>
      <c r="B1822" s="110">
        <v>1303.8</v>
      </c>
    </row>
    <row r="1823" spans="1:2" ht="16.5" hidden="1" customHeight="1">
      <c r="A1823" s="106">
        <v>45286</v>
      </c>
      <c r="B1823" s="110">
        <v>1300.7</v>
      </c>
    </row>
    <row r="1824" spans="1:2" ht="16.5" hidden="1" customHeight="1">
      <c r="A1824" s="106">
        <v>45287</v>
      </c>
      <c r="B1824" s="110">
        <v>1296.8</v>
      </c>
    </row>
    <row r="1825" spans="1:2" ht="16.5" hidden="1" customHeight="1">
      <c r="A1825" s="106">
        <v>45288</v>
      </c>
      <c r="B1825" s="110">
        <v>1294.4000000000001</v>
      </c>
    </row>
    <row r="1826" spans="1:2" ht="16.5" hidden="1" customHeight="1">
      <c r="A1826" s="106">
        <v>45289</v>
      </c>
      <c r="B1826" s="110">
        <v>1289.4000000000001</v>
      </c>
    </row>
    <row r="1827" spans="1:2" ht="16.5" hidden="1" customHeight="1">
      <c r="A1827" s="106">
        <v>45290</v>
      </c>
      <c r="B1827" s="110">
        <v>1289.4000000000001</v>
      </c>
    </row>
    <row r="1828" spans="1:2" ht="16.5" hidden="1" customHeight="1">
      <c r="A1828" s="106">
        <v>45291</v>
      </c>
      <c r="B1828" s="110">
        <v>1289.4000000000001</v>
      </c>
    </row>
    <row r="1829" spans="1:2" ht="16.5" hidden="1" customHeight="1">
      <c r="A1829" s="116">
        <v>45292</v>
      </c>
      <c r="B1829" s="110">
        <v>1289.4000000000001</v>
      </c>
    </row>
    <row r="1830" spans="1:2" ht="16.5" hidden="1" customHeight="1">
      <c r="A1830" s="116">
        <v>45293</v>
      </c>
      <c r="B1830" s="110">
        <v>1289.4000000000001</v>
      </c>
    </row>
    <row r="1831" spans="1:2" ht="16.5" hidden="1" customHeight="1">
      <c r="A1831" s="116">
        <v>45294</v>
      </c>
      <c r="B1831" s="110">
        <v>1299.3</v>
      </c>
    </row>
    <row r="1832" spans="1:2" ht="16.5" hidden="1" customHeight="1">
      <c r="A1832" s="116">
        <v>45295</v>
      </c>
      <c r="B1832" s="110">
        <v>1308.8</v>
      </c>
    </row>
    <row r="1833" spans="1:2" ht="16.5" hidden="1" customHeight="1">
      <c r="A1833" s="116">
        <v>45296</v>
      </c>
      <c r="B1833" s="110">
        <v>1310.2</v>
      </c>
    </row>
    <row r="1834" spans="1:2" ht="16.5" hidden="1" customHeight="1">
      <c r="A1834" s="116">
        <v>45297</v>
      </c>
      <c r="B1834" s="110">
        <v>1310.2</v>
      </c>
    </row>
    <row r="1835" spans="1:2" ht="16.5" hidden="1" customHeight="1">
      <c r="A1835" s="116">
        <v>45298</v>
      </c>
      <c r="B1835" s="110">
        <v>1310.2</v>
      </c>
    </row>
    <row r="1836" spans="1:2" ht="16.5" hidden="1" customHeight="1">
      <c r="A1836" s="116">
        <v>45299</v>
      </c>
      <c r="B1836" s="110">
        <v>1313.7</v>
      </c>
    </row>
    <row r="1837" spans="1:2" ht="16.5" hidden="1" customHeight="1">
      <c r="A1837" s="116">
        <v>45300</v>
      </c>
      <c r="B1837" s="110">
        <v>1314.8</v>
      </c>
    </row>
    <row r="1838" spans="1:2" ht="16.5" hidden="1" customHeight="1">
      <c r="A1838" s="116">
        <v>45301</v>
      </c>
      <c r="B1838" s="110">
        <v>1312.1</v>
      </c>
    </row>
    <row r="1839" spans="1:2" ht="16.5" hidden="1" customHeight="1">
      <c r="A1839" s="116">
        <v>45302</v>
      </c>
      <c r="B1839" s="110">
        <v>1320.1</v>
      </c>
    </row>
    <row r="1840" spans="1:2" ht="16.5" hidden="1" customHeight="1">
      <c r="A1840" s="116">
        <v>45303</v>
      </c>
      <c r="B1840" s="110">
        <v>1316</v>
      </c>
    </row>
    <row r="1841" spans="1:2" ht="16.5" hidden="1" customHeight="1">
      <c r="A1841" s="116">
        <v>45304</v>
      </c>
      <c r="B1841" s="110">
        <v>1316</v>
      </c>
    </row>
    <row r="1842" spans="1:2" ht="16.5" hidden="1" customHeight="1">
      <c r="A1842" s="116">
        <v>45305</v>
      </c>
      <c r="B1842" s="110">
        <v>1316</v>
      </c>
    </row>
    <row r="1843" spans="1:2" ht="16.5" hidden="1" customHeight="1">
      <c r="A1843" s="116">
        <v>45306</v>
      </c>
      <c r="B1843" s="110">
        <v>1314.1</v>
      </c>
    </row>
    <row r="1844" spans="1:2" ht="16.5" hidden="1" customHeight="1">
      <c r="A1844" s="116">
        <v>45307</v>
      </c>
      <c r="B1844" s="110">
        <v>1319.3</v>
      </c>
    </row>
    <row r="1845" spans="1:2" ht="16.5" hidden="1" customHeight="1">
      <c r="A1845" s="116">
        <v>45308</v>
      </c>
      <c r="B1845" s="110">
        <v>1329</v>
      </c>
    </row>
    <row r="1846" spans="1:2" ht="16.5" hidden="1" customHeight="1">
      <c r="A1846" s="116">
        <v>45309</v>
      </c>
      <c r="B1846" s="110">
        <v>1343.2</v>
      </c>
    </row>
    <row r="1847" spans="1:2" ht="16.5" hidden="1" customHeight="1">
      <c r="A1847" s="116">
        <v>45310</v>
      </c>
      <c r="B1847" s="110">
        <v>1342.4</v>
      </c>
    </row>
    <row r="1848" spans="1:2" ht="16.5" hidden="1" customHeight="1">
      <c r="A1848" s="116">
        <v>45311</v>
      </c>
      <c r="B1848" s="110">
        <v>1342.4</v>
      </c>
    </row>
    <row r="1849" spans="1:2" ht="16.5" hidden="1" customHeight="1">
      <c r="A1849" s="116">
        <v>45312</v>
      </c>
      <c r="B1849" s="110">
        <v>1342.4</v>
      </c>
    </row>
    <row r="1850" spans="1:2" ht="16.5" hidden="1" customHeight="1">
      <c r="A1850" s="116">
        <v>45313</v>
      </c>
      <c r="B1850" s="110">
        <v>1336.5</v>
      </c>
    </row>
    <row r="1851" spans="1:2" ht="16.5" hidden="1" customHeight="1">
      <c r="A1851" s="116">
        <v>45314</v>
      </c>
      <c r="B1851" s="110">
        <v>1334.7</v>
      </c>
    </row>
    <row r="1852" spans="1:2" ht="16.5" hidden="1" customHeight="1">
      <c r="A1852" s="116">
        <v>45315</v>
      </c>
      <c r="B1852" s="110">
        <v>1336</v>
      </c>
    </row>
    <row r="1853" spans="1:2" ht="16.5" hidden="1" customHeight="1">
      <c r="A1853" s="116">
        <v>45316</v>
      </c>
      <c r="B1853" s="110">
        <v>1339.1</v>
      </c>
    </row>
    <row r="1854" spans="1:2" ht="16.5" hidden="1" customHeight="1">
      <c r="A1854" s="116">
        <v>45317</v>
      </c>
      <c r="B1854" s="110">
        <v>1335.7</v>
      </c>
    </row>
    <row r="1855" spans="1:2" ht="16.5" hidden="1" customHeight="1">
      <c r="A1855" s="116">
        <v>45318</v>
      </c>
      <c r="B1855" s="110">
        <v>1335.7</v>
      </c>
    </row>
    <row r="1856" spans="1:2" ht="16.5" hidden="1" customHeight="1">
      <c r="A1856" s="116">
        <v>45319</v>
      </c>
      <c r="B1856" s="110">
        <v>1335.7</v>
      </c>
    </row>
    <row r="1857" spans="1:2" ht="16.5" hidden="1" customHeight="1">
      <c r="A1857" s="116">
        <v>45320</v>
      </c>
      <c r="B1857" s="110">
        <v>1336.6</v>
      </c>
    </row>
    <row r="1858" spans="1:2" ht="16.5" hidden="1" customHeight="1">
      <c r="A1858" s="116">
        <v>45321</v>
      </c>
      <c r="B1858" s="110">
        <v>1336.9</v>
      </c>
    </row>
    <row r="1859" spans="1:2" ht="16.5" hidden="1" customHeight="1">
      <c r="A1859" s="116">
        <v>45322</v>
      </c>
      <c r="B1859" s="110">
        <v>1330.6</v>
      </c>
    </row>
    <row r="1860" spans="1:2" ht="16.5" hidden="1" customHeight="1">
      <c r="A1860" s="116">
        <v>45323</v>
      </c>
      <c r="B1860" s="110">
        <v>1333.5</v>
      </c>
    </row>
    <row r="1861" spans="1:2" ht="16.5" hidden="1" customHeight="1">
      <c r="A1861" s="116">
        <v>45324</v>
      </c>
      <c r="B1861" s="110">
        <v>1332.5</v>
      </c>
    </row>
    <row r="1862" spans="1:2" ht="16.5" hidden="1" customHeight="1">
      <c r="A1862" s="116">
        <v>45325</v>
      </c>
      <c r="B1862" s="110">
        <v>1332.5</v>
      </c>
    </row>
    <row r="1863" spans="1:2" ht="16.5" hidden="1" customHeight="1">
      <c r="A1863" s="116">
        <v>45326</v>
      </c>
      <c r="B1863" s="110">
        <v>1332.5</v>
      </c>
    </row>
    <row r="1864" spans="1:2" ht="16.5" hidden="1" customHeight="1">
      <c r="A1864" s="116">
        <v>45327</v>
      </c>
      <c r="B1864" s="110">
        <v>1325.1</v>
      </c>
    </row>
    <row r="1865" spans="1:2" ht="16.5" hidden="1" customHeight="1">
      <c r="A1865" s="116">
        <v>45328</v>
      </c>
      <c r="B1865" s="110">
        <v>1334.6</v>
      </c>
    </row>
    <row r="1866" spans="1:2" ht="16.5" hidden="1" customHeight="1">
      <c r="A1866" s="116">
        <v>45329</v>
      </c>
      <c r="B1866" s="110">
        <v>1329.6</v>
      </c>
    </row>
    <row r="1867" spans="1:2" ht="16.5" hidden="1" customHeight="1">
      <c r="A1867" s="116">
        <v>45330</v>
      </c>
      <c r="B1867" s="110">
        <v>1325.3</v>
      </c>
    </row>
    <row r="1868" spans="1:2" ht="16.5" hidden="1" customHeight="1">
      <c r="A1868" s="116">
        <v>45331</v>
      </c>
      <c r="B1868" s="110">
        <v>1325.3</v>
      </c>
    </row>
    <row r="1869" spans="1:2" ht="16.5" hidden="1" customHeight="1">
      <c r="A1869" s="116">
        <v>45332</v>
      </c>
      <c r="B1869" s="110">
        <v>1325.3</v>
      </c>
    </row>
    <row r="1870" spans="1:2" ht="16.5" hidden="1" customHeight="1">
      <c r="A1870" s="116">
        <v>45333</v>
      </c>
      <c r="B1870" s="110">
        <v>1325.3</v>
      </c>
    </row>
    <row r="1871" spans="1:2" ht="16.5" hidden="1" customHeight="1">
      <c r="A1871" s="116">
        <v>45334</v>
      </c>
      <c r="B1871" s="110">
        <v>1325.3</v>
      </c>
    </row>
    <row r="1872" spans="1:2" ht="16.5" hidden="1" customHeight="1">
      <c r="A1872" s="116">
        <v>45335</v>
      </c>
      <c r="B1872" s="110">
        <v>1327.2</v>
      </c>
    </row>
    <row r="1873" spans="1:2" ht="16.5" hidden="1" customHeight="1">
      <c r="A1873" s="116">
        <v>45336</v>
      </c>
      <c r="B1873" s="110">
        <v>1328.4</v>
      </c>
    </row>
    <row r="1874" spans="1:2" ht="16.5" hidden="1" customHeight="1">
      <c r="A1874" s="116">
        <v>45337</v>
      </c>
      <c r="B1874" s="110">
        <v>1336.9</v>
      </c>
    </row>
    <row r="1875" spans="1:2" ht="16.5" hidden="1" customHeight="1">
      <c r="A1875" s="116">
        <v>45338</v>
      </c>
      <c r="B1875" s="110">
        <v>1333.2</v>
      </c>
    </row>
    <row r="1876" spans="1:2" ht="16.5" hidden="1" customHeight="1">
      <c r="A1876" s="116">
        <v>45339</v>
      </c>
      <c r="B1876" s="110">
        <v>1333.2</v>
      </c>
    </row>
    <row r="1877" spans="1:2" ht="16.5" hidden="1" customHeight="1">
      <c r="A1877" s="116">
        <v>45340</v>
      </c>
      <c r="B1877" s="110">
        <v>1333.2</v>
      </c>
    </row>
    <row r="1878" spans="1:2" ht="16.5" hidden="1" customHeight="1">
      <c r="A1878" s="116">
        <v>45341</v>
      </c>
      <c r="B1878" s="110">
        <v>1333</v>
      </c>
    </row>
    <row r="1879" spans="1:2" ht="16.5" hidden="1" customHeight="1">
      <c r="A1879" s="116">
        <v>45342</v>
      </c>
      <c r="B1879" s="110">
        <v>1333.8</v>
      </c>
    </row>
    <row r="1880" spans="1:2" ht="16.5" hidden="1" customHeight="1">
      <c r="A1880" s="116">
        <v>45343</v>
      </c>
      <c r="B1880" s="110">
        <v>1337.9</v>
      </c>
    </row>
    <row r="1881" spans="1:2" ht="16.5" hidden="1" customHeight="1">
      <c r="A1881" s="116">
        <v>45344</v>
      </c>
      <c r="B1881" s="110">
        <v>1335</v>
      </c>
    </row>
    <row r="1882" spans="1:2" ht="16.5" hidden="1" customHeight="1">
      <c r="A1882" s="116">
        <v>45345</v>
      </c>
      <c r="B1882" s="110">
        <v>1331</v>
      </c>
    </row>
    <row r="1883" spans="1:2" ht="16.5" hidden="1" customHeight="1">
      <c r="A1883" s="116">
        <v>45346</v>
      </c>
      <c r="B1883" s="110">
        <v>1331</v>
      </c>
    </row>
    <row r="1884" spans="1:2" ht="16.5" hidden="1" customHeight="1">
      <c r="A1884" s="116">
        <v>45347</v>
      </c>
      <c r="B1884" s="110">
        <v>1331</v>
      </c>
    </row>
    <row r="1885" spans="1:2" ht="16.5" hidden="1" customHeight="1">
      <c r="A1885" s="116">
        <v>45348</v>
      </c>
      <c r="B1885" s="110">
        <v>1329.3</v>
      </c>
    </row>
    <row r="1886" spans="1:2" ht="16.5" hidden="1" customHeight="1">
      <c r="A1886" s="116">
        <v>45349</v>
      </c>
      <c r="B1886" s="110">
        <v>1331.4</v>
      </c>
    </row>
    <row r="1887" spans="1:2" ht="16.5" hidden="1" customHeight="1">
      <c r="A1887" s="116">
        <v>45350</v>
      </c>
      <c r="B1887" s="110">
        <v>1331.3</v>
      </c>
    </row>
    <row r="1888" spans="1:2" ht="16.5" hidden="1" customHeight="1">
      <c r="A1888" s="116">
        <v>45351</v>
      </c>
      <c r="B1888" s="110">
        <v>1334</v>
      </c>
    </row>
    <row r="1889" spans="1:2" ht="16.5" hidden="1" customHeight="1">
      <c r="A1889" s="116">
        <v>45352</v>
      </c>
      <c r="B1889" s="110">
        <v>1334</v>
      </c>
    </row>
    <row r="1890" spans="1:2" ht="16.5" hidden="1" customHeight="1">
      <c r="A1890" s="116">
        <v>45353</v>
      </c>
      <c r="B1890" s="110">
        <v>1334</v>
      </c>
    </row>
    <row r="1891" spans="1:2" ht="16.5" hidden="1" customHeight="1">
      <c r="A1891" s="116">
        <v>45354</v>
      </c>
      <c r="B1891" s="110">
        <v>1334</v>
      </c>
    </row>
    <row r="1892" spans="1:2" ht="16.5" hidden="1" customHeight="1">
      <c r="A1892" s="116">
        <v>45355</v>
      </c>
      <c r="B1892" s="110">
        <v>1334.1</v>
      </c>
    </row>
    <row r="1893" spans="1:2" ht="16.5" hidden="1" customHeight="1">
      <c r="A1893" s="116">
        <v>45356</v>
      </c>
      <c r="B1893" s="110">
        <v>1330.1</v>
      </c>
    </row>
    <row r="1894" spans="1:2" ht="16.5" hidden="1" customHeight="1">
      <c r="A1894" s="116">
        <v>45357</v>
      </c>
      <c r="B1894" s="110">
        <v>1333.2</v>
      </c>
    </row>
    <row r="1895" spans="1:2" ht="16.5" hidden="1" customHeight="1">
      <c r="A1895" s="116">
        <v>45358</v>
      </c>
      <c r="B1895" s="110">
        <v>1335.7</v>
      </c>
    </row>
    <row r="1896" spans="1:2" ht="16.5" hidden="1" customHeight="1">
      <c r="A1896" s="116">
        <v>45359</v>
      </c>
      <c r="B1896" s="110">
        <v>1329.6</v>
      </c>
    </row>
    <row r="1897" spans="1:2" ht="16.5" hidden="1" customHeight="1">
      <c r="A1897" s="116">
        <v>45360</v>
      </c>
      <c r="B1897" s="110">
        <v>1329.6</v>
      </c>
    </row>
    <row r="1898" spans="1:2" ht="16.5" hidden="1" customHeight="1">
      <c r="A1898" s="116">
        <v>45361</v>
      </c>
      <c r="B1898" s="110">
        <v>1329.6</v>
      </c>
    </row>
    <row r="1899" spans="1:2" ht="16.5" hidden="1" customHeight="1">
      <c r="A1899" s="116">
        <v>45362</v>
      </c>
      <c r="B1899" s="110">
        <v>1323.1</v>
      </c>
    </row>
    <row r="1900" spans="1:2" ht="16.5" hidden="1" customHeight="1">
      <c r="A1900" s="116">
        <v>45363</v>
      </c>
      <c r="B1900" s="110">
        <v>1314.4</v>
      </c>
    </row>
    <row r="1901" spans="1:2" ht="16.5" hidden="1" customHeight="1">
      <c r="A1901" s="116">
        <v>45364</v>
      </c>
      <c r="B1901" s="110">
        <v>1311.1</v>
      </c>
    </row>
    <row r="1902" spans="1:2" ht="16.5" hidden="1" customHeight="1">
      <c r="A1902" s="116">
        <v>45365</v>
      </c>
      <c r="B1902" s="110">
        <v>1312.8</v>
      </c>
    </row>
    <row r="1903" spans="1:2" ht="16.5" hidden="1" customHeight="1">
      <c r="A1903" s="116">
        <v>45366</v>
      </c>
      <c r="B1903" s="110">
        <v>1316.9</v>
      </c>
    </row>
    <row r="1904" spans="1:2" ht="16.5" hidden="1" customHeight="1">
      <c r="A1904" s="116">
        <v>45367</v>
      </c>
      <c r="B1904" s="110">
        <v>1316.9</v>
      </c>
    </row>
    <row r="1905" spans="1:2" ht="16.5" hidden="1" customHeight="1">
      <c r="A1905" s="116">
        <v>45368</v>
      </c>
      <c r="B1905" s="110">
        <v>1316.9</v>
      </c>
    </row>
    <row r="1906" spans="1:2" ht="16.5" hidden="1" customHeight="1">
      <c r="A1906" s="116">
        <v>45369</v>
      </c>
      <c r="B1906" s="110">
        <v>1328.4</v>
      </c>
    </row>
    <row r="1907" spans="1:2" ht="16.5" hidden="1" customHeight="1">
      <c r="A1907" s="116">
        <v>45370</v>
      </c>
      <c r="B1907" s="110">
        <v>1333</v>
      </c>
    </row>
    <row r="1908" spans="1:2" ht="16.5" hidden="1" customHeight="1">
      <c r="A1908" s="116">
        <v>45371</v>
      </c>
      <c r="B1908" s="110">
        <v>1338.5</v>
      </c>
    </row>
    <row r="1909" spans="1:2" ht="16.5" hidden="1" customHeight="1">
      <c r="A1909" s="116">
        <v>45372</v>
      </c>
      <c r="B1909" s="110">
        <v>1338.7</v>
      </c>
    </row>
    <row r="1910" spans="1:2" ht="16.5" hidden="1" customHeight="1">
      <c r="A1910" s="116">
        <v>45373</v>
      </c>
      <c r="B1910" s="110">
        <v>1326.3</v>
      </c>
    </row>
    <row r="1911" spans="1:2" ht="16.5" hidden="1" customHeight="1">
      <c r="A1911" s="116">
        <v>45374</v>
      </c>
      <c r="B1911" s="110">
        <v>1326.3</v>
      </c>
    </row>
    <row r="1912" spans="1:2" ht="16.5" hidden="1" customHeight="1">
      <c r="A1912" s="116">
        <v>45375</v>
      </c>
      <c r="B1912" s="110">
        <v>1326.3</v>
      </c>
    </row>
    <row r="1913" spans="1:2" ht="16.5" hidden="1" customHeight="1">
      <c r="A1913" s="116">
        <v>45376</v>
      </c>
      <c r="B1913" s="110">
        <v>1336.1</v>
      </c>
    </row>
    <row r="1914" spans="1:2" ht="16.5" hidden="1" customHeight="1">
      <c r="A1914" s="116">
        <v>45377</v>
      </c>
      <c r="B1914" s="110">
        <v>1340.7</v>
      </c>
    </row>
    <row r="1915" spans="1:2" ht="16.5" hidden="1" customHeight="1">
      <c r="A1915" s="116">
        <v>45378</v>
      </c>
      <c r="B1915" s="110">
        <v>1338.6</v>
      </c>
    </row>
    <row r="1916" spans="1:2" ht="16.5" hidden="1" customHeight="1">
      <c r="A1916" s="116">
        <v>45379</v>
      </c>
      <c r="B1916" s="110">
        <v>1345.8</v>
      </c>
    </row>
    <row r="1917" spans="1:2" ht="16.5" hidden="1" customHeight="1">
      <c r="A1917" s="116">
        <v>45380</v>
      </c>
      <c r="B1917" s="110">
        <v>1346.8</v>
      </c>
    </row>
    <row r="1918" spans="1:2" ht="16.5" hidden="1" customHeight="1">
      <c r="A1918" s="116">
        <v>45381</v>
      </c>
      <c r="B1918" s="110">
        <v>1346.8</v>
      </c>
    </row>
    <row r="1919" spans="1:2" ht="16.5" hidden="1" customHeight="1">
      <c r="A1919" s="116">
        <v>45382</v>
      </c>
      <c r="B1919" s="110">
        <v>1346.8</v>
      </c>
    </row>
    <row r="1920" spans="1:2" ht="16.5" hidden="1" customHeight="1">
      <c r="A1920" s="116">
        <v>45383</v>
      </c>
      <c r="B1920" s="110">
        <v>1347.4</v>
      </c>
    </row>
    <row r="1921" spans="1:2" ht="16.5" hidden="1" customHeight="1">
      <c r="A1921" s="116">
        <v>45384</v>
      </c>
      <c r="B1921" s="110">
        <v>1347.1</v>
      </c>
    </row>
    <row r="1922" spans="1:2" ht="16.5" hidden="1" customHeight="1">
      <c r="A1922" s="116">
        <v>45385</v>
      </c>
      <c r="B1922" s="110">
        <v>1353</v>
      </c>
    </row>
    <row r="1923" spans="1:2" ht="16.5" hidden="1" customHeight="1">
      <c r="A1923" s="116">
        <v>45386</v>
      </c>
      <c r="B1923" s="110">
        <v>1349.1</v>
      </c>
    </row>
    <row r="1924" spans="1:2" ht="16.5" hidden="1" customHeight="1">
      <c r="A1924" s="116">
        <v>45387</v>
      </c>
      <c r="B1924" s="110">
        <v>1346.8</v>
      </c>
    </row>
    <row r="1925" spans="1:2" ht="16.5" hidden="1" customHeight="1">
      <c r="A1925" s="116">
        <v>45388</v>
      </c>
      <c r="B1925" s="110">
        <v>1346.8</v>
      </c>
    </row>
    <row r="1926" spans="1:2" ht="16.5" hidden="1" customHeight="1">
      <c r="A1926" s="116">
        <v>45389</v>
      </c>
      <c r="B1926" s="110">
        <v>1346.8</v>
      </c>
    </row>
    <row r="1927" spans="1:2" ht="16.5" hidden="1" customHeight="1">
      <c r="A1927" s="116">
        <v>45390</v>
      </c>
      <c r="B1927" s="110">
        <v>1351.8</v>
      </c>
    </row>
    <row r="1928" spans="1:2" ht="16.5" hidden="1" customHeight="1">
      <c r="A1928" s="116">
        <v>45391</v>
      </c>
      <c r="B1928" s="110">
        <v>1353.6</v>
      </c>
    </row>
    <row r="1929" spans="1:2" ht="16.5" hidden="1" customHeight="1">
      <c r="A1929" s="116">
        <v>45392</v>
      </c>
      <c r="B1929" s="110">
        <v>1353.6</v>
      </c>
    </row>
    <row r="1930" spans="1:2" ht="16.5" hidden="1" customHeight="1">
      <c r="A1930" s="116">
        <v>45393</v>
      </c>
      <c r="B1930" s="110">
        <v>1354.4</v>
      </c>
    </row>
    <row r="1931" spans="1:2" ht="16.5" hidden="1" customHeight="1">
      <c r="A1931" s="116">
        <v>45394</v>
      </c>
      <c r="B1931" s="110">
        <v>1363.7</v>
      </c>
    </row>
    <row r="1932" spans="1:2" ht="16.5" hidden="1" customHeight="1">
      <c r="A1932" s="116">
        <v>45395</v>
      </c>
      <c r="B1932" s="110">
        <v>1363.7</v>
      </c>
    </row>
    <row r="1933" spans="1:2" ht="16.5" hidden="1" customHeight="1">
      <c r="A1933" s="116">
        <v>45396</v>
      </c>
      <c r="B1933" s="110">
        <v>1363.7</v>
      </c>
    </row>
    <row r="1934" spans="1:2" ht="16.5" hidden="1" customHeight="1">
      <c r="A1934" s="116">
        <v>45397</v>
      </c>
      <c r="B1934" s="110">
        <v>1371.6</v>
      </c>
    </row>
    <row r="1935" spans="1:2" ht="16.5" hidden="1" customHeight="1">
      <c r="A1935" s="116">
        <v>45398</v>
      </c>
      <c r="B1935" s="110">
        <v>1383.7</v>
      </c>
    </row>
    <row r="1936" spans="1:2" ht="16.5" hidden="1" customHeight="1">
      <c r="A1936" s="116">
        <v>45399</v>
      </c>
      <c r="B1936" s="110">
        <v>1395.3</v>
      </c>
    </row>
    <row r="1937" spans="1:2" ht="16.5" hidden="1" customHeight="1">
      <c r="A1937" s="116">
        <v>45400</v>
      </c>
      <c r="B1937" s="110">
        <v>1386.3</v>
      </c>
    </row>
    <row r="1938" spans="1:2" ht="16.5" hidden="1" customHeight="1">
      <c r="A1938" s="116">
        <v>45401</v>
      </c>
      <c r="B1938" s="110">
        <v>1375.9</v>
      </c>
    </row>
    <row r="1939" spans="1:2" ht="16.5" hidden="1" customHeight="1">
      <c r="A1939" s="116">
        <v>45402</v>
      </c>
      <c r="B1939" s="110">
        <v>1375.9</v>
      </c>
    </row>
    <row r="1940" spans="1:2" ht="16.5" hidden="1" customHeight="1">
      <c r="A1940" s="116">
        <v>45403</v>
      </c>
      <c r="B1940" s="110">
        <v>1375.9</v>
      </c>
    </row>
    <row r="1941" spans="1:2" ht="16.5" hidden="1" customHeight="1">
      <c r="A1941" s="116">
        <v>45404</v>
      </c>
      <c r="B1941" s="110">
        <v>1385</v>
      </c>
    </row>
    <row r="1942" spans="1:2" ht="16.5" hidden="1" customHeight="1">
      <c r="A1942" s="116">
        <v>45405</v>
      </c>
      <c r="B1942" s="110">
        <v>1380.6</v>
      </c>
    </row>
    <row r="1943" spans="1:2" ht="16.5" hidden="1" customHeight="1">
      <c r="A1943" s="116">
        <v>45406</v>
      </c>
      <c r="B1943" s="110">
        <v>1377.9</v>
      </c>
    </row>
    <row r="1944" spans="1:2" ht="16.5" hidden="1" customHeight="1">
      <c r="A1944" s="116">
        <v>45407</v>
      </c>
      <c r="B1944" s="110">
        <v>1370</v>
      </c>
    </row>
    <row r="1945" spans="1:2" ht="16.5" hidden="1" customHeight="1">
      <c r="A1945" s="116">
        <v>45408</v>
      </c>
      <c r="B1945" s="110">
        <v>1376.6</v>
      </c>
    </row>
    <row r="1946" spans="1:2" ht="16.5" hidden="1" customHeight="1">
      <c r="A1946" s="116">
        <v>45409</v>
      </c>
      <c r="B1946" s="110">
        <v>1376.6</v>
      </c>
    </row>
    <row r="1947" spans="1:2" ht="16.5" hidden="1" customHeight="1">
      <c r="A1947" s="116">
        <v>45410</v>
      </c>
      <c r="B1947" s="110">
        <v>1376.6</v>
      </c>
    </row>
    <row r="1948" spans="1:2" ht="16.5" hidden="1" customHeight="1">
      <c r="A1948" s="116">
        <v>45411</v>
      </c>
      <c r="B1948" s="110">
        <v>1375.9</v>
      </c>
    </row>
    <row r="1949" spans="1:2" ht="16.5" hidden="1" customHeight="1">
      <c r="A1949" s="116">
        <v>45412</v>
      </c>
      <c r="B1949" s="110">
        <v>1378.7</v>
      </c>
    </row>
    <row r="1950" spans="1:2" ht="16.5" hidden="1" customHeight="1">
      <c r="A1950" s="116">
        <v>45413</v>
      </c>
      <c r="B1950" s="110">
        <v>1378.7</v>
      </c>
    </row>
    <row r="1951" spans="1:2" ht="16.5" hidden="1" customHeight="1">
      <c r="A1951" s="116">
        <v>45414</v>
      </c>
      <c r="B1951" s="110">
        <v>1378</v>
      </c>
    </row>
    <row r="1952" spans="1:2" ht="16.5" hidden="1" customHeight="1">
      <c r="A1952" s="116">
        <v>45415</v>
      </c>
      <c r="B1952" s="110">
        <v>1378.5</v>
      </c>
    </row>
    <row r="1953" spans="1:2" ht="16.5" hidden="1" customHeight="1">
      <c r="A1953" s="116">
        <v>45416</v>
      </c>
      <c r="B1953" s="110">
        <v>1378.5</v>
      </c>
    </row>
    <row r="1954" spans="1:2" ht="16.5" hidden="1" customHeight="1">
      <c r="A1954" s="116">
        <v>45417</v>
      </c>
      <c r="B1954" s="110">
        <v>1378.5</v>
      </c>
    </row>
    <row r="1955" spans="1:2" ht="16.5" hidden="1" customHeight="1">
      <c r="A1955" s="116">
        <v>45418</v>
      </c>
      <c r="B1955" s="110">
        <v>1378.5</v>
      </c>
    </row>
    <row r="1956" spans="1:2" ht="16.5" hidden="1" customHeight="1">
      <c r="A1956" s="116">
        <v>45419</v>
      </c>
      <c r="B1956" s="110">
        <v>1365.2</v>
      </c>
    </row>
    <row r="1957" spans="1:2" ht="16.5" hidden="1" customHeight="1">
      <c r="A1957" s="116">
        <v>45420</v>
      </c>
      <c r="B1957" s="110">
        <v>1357.8</v>
      </c>
    </row>
    <row r="1958" spans="1:2" ht="16.5" hidden="1" customHeight="1">
      <c r="A1958" s="116">
        <v>45421</v>
      </c>
      <c r="B1958" s="110">
        <v>1364.4</v>
      </c>
    </row>
    <row r="1959" spans="1:2" ht="16.5" hidden="1" customHeight="1">
      <c r="A1959" s="116">
        <v>45422</v>
      </c>
      <c r="B1959" s="110">
        <v>1367.9</v>
      </c>
    </row>
    <row r="1960" spans="1:2" ht="16.5" hidden="1" customHeight="1">
      <c r="A1960" s="116">
        <v>45423</v>
      </c>
      <c r="B1960" s="110">
        <v>1367.9</v>
      </c>
    </row>
    <row r="1961" spans="1:2" ht="16.5" hidden="1" customHeight="1">
      <c r="A1961" s="116">
        <v>45424</v>
      </c>
      <c r="B1961" s="110">
        <v>1367.9</v>
      </c>
    </row>
    <row r="1962" spans="1:2" ht="16.5" hidden="1" customHeight="1">
      <c r="A1962" s="116">
        <v>45425</v>
      </c>
      <c r="B1962" s="110">
        <v>1367.9</v>
      </c>
    </row>
    <row r="1963" spans="1:2" ht="16.5" hidden="1" customHeight="1">
      <c r="A1963" s="116">
        <v>45426</v>
      </c>
      <c r="B1963" s="110">
        <v>1370.1</v>
      </c>
    </row>
    <row r="1964" spans="1:2" ht="16.5" hidden="1" customHeight="1">
      <c r="A1964" s="116">
        <v>45427</v>
      </c>
      <c r="B1964" s="110">
        <v>1370.1</v>
      </c>
    </row>
    <row r="1965" spans="1:2" ht="16.5" hidden="1" customHeight="1">
      <c r="A1965" s="116">
        <v>45428</v>
      </c>
      <c r="B1965" s="110">
        <v>1369</v>
      </c>
    </row>
    <row r="1966" spans="1:2" ht="16.5" hidden="1" customHeight="1">
      <c r="A1966" s="116">
        <v>45429</v>
      </c>
      <c r="B1966" s="110">
        <v>1349.4</v>
      </c>
    </row>
    <row r="1967" spans="1:2" ht="16.5" hidden="1" customHeight="1">
      <c r="A1967" s="116">
        <v>45430</v>
      </c>
      <c r="B1967" s="110">
        <v>1349.4</v>
      </c>
    </row>
    <row r="1968" spans="1:2" ht="16.5" hidden="1" customHeight="1">
      <c r="A1968" s="116">
        <v>45431</v>
      </c>
      <c r="B1968" s="110">
        <v>1349.4</v>
      </c>
    </row>
    <row r="1969" spans="1:2" ht="16.5" hidden="1" customHeight="1">
      <c r="A1969" s="116">
        <v>45432</v>
      </c>
      <c r="B1969" s="110">
        <v>1355.2</v>
      </c>
    </row>
    <row r="1970" spans="1:2" ht="16.5" hidden="1" customHeight="1">
      <c r="A1970" s="116">
        <v>45433</v>
      </c>
      <c r="B1970" s="110">
        <v>1356.2</v>
      </c>
    </row>
    <row r="1971" spans="1:2" ht="16.5" hidden="1" customHeight="1">
      <c r="A1971" s="116">
        <v>45434</v>
      </c>
      <c r="B1971" s="110">
        <v>1364.4</v>
      </c>
    </row>
    <row r="1972" spans="1:2" ht="16.5" hidden="1" customHeight="1">
      <c r="A1972" s="116">
        <v>45435</v>
      </c>
      <c r="B1972" s="110">
        <v>1363.1</v>
      </c>
    </row>
    <row r="1973" spans="1:2" ht="16.5" hidden="1" customHeight="1">
      <c r="A1973" s="116">
        <v>45436</v>
      </c>
      <c r="B1973" s="110">
        <v>1364.5</v>
      </c>
    </row>
    <row r="1974" spans="1:2" ht="16.5" hidden="1" customHeight="1">
      <c r="A1974" s="116">
        <v>45437</v>
      </c>
      <c r="B1974" s="110">
        <v>1364.5</v>
      </c>
    </row>
    <row r="1975" spans="1:2" ht="16.5" hidden="1" customHeight="1">
      <c r="A1975" s="116">
        <v>45438</v>
      </c>
      <c r="B1975" s="110">
        <v>1364.5</v>
      </c>
    </row>
    <row r="1976" spans="1:2" ht="16.5" hidden="1" customHeight="1">
      <c r="A1976" s="116">
        <v>45439</v>
      </c>
      <c r="B1976" s="110">
        <v>1370</v>
      </c>
    </row>
    <row r="1977" spans="1:2" ht="16.5" hidden="1" customHeight="1">
      <c r="A1977" s="116">
        <v>45440</v>
      </c>
      <c r="B1977" s="110">
        <v>1365.4</v>
      </c>
    </row>
    <row r="1978" spans="1:2" ht="16.5" hidden="1" customHeight="1">
      <c r="A1978" s="116">
        <v>45441</v>
      </c>
      <c r="B1978" s="110">
        <v>1359.5</v>
      </c>
    </row>
    <row r="1979" spans="1:2" ht="16.5" hidden="1" customHeight="1">
      <c r="A1979" s="116">
        <v>45442</v>
      </c>
      <c r="B1979" s="110">
        <v>1364.8</v>
      </c>
    </row>
    <row r="1980" spans="1:2" ht="16.5" hidden="1" customHeight="1">
      <c r="A1980" s="116">
        <v>45443</v>
      </c>
      <c r="B1980" s="110">
        <v>1376.5</v>
      </c>
    </row>
    <row r="1981" spans="1:2">
      <c r="A1981" s="116">
        <v>45444</v>
      </c>
      <c r="B1981" s="110">
        <v>1376.5</v>
      </c>
    </row>
    <row r="1982" spans="1:2">
      <c r="A1982" s="116">
        <v>45445</v>
      </c>
      <c r="B1982" s="110">
        <v>1376.5</v>
      </c>
    </row>
    <row r="1983" spans="1:2">
      <c r="A1983" s="116">
        <v>45446</v>
      </c>
      <c r="B1983" s="110">
        <v>1381.6</v>
      </c>
    </row>
    <row r="1984" spans="1:2">
      <c r="A1984" s="116">
        <v>45447</v>
      </c>
      <c r="B1984" s="110">
        <v>1377.6</v>
      </c>
    </row>
    <row r="1985" spans="1:2">
      <c r="A1985" s="116">
        <v>45448</v>
      </c>
      <c r="B1985" s="110">
        <v>1373.1</v>
      </c>
    </row>
    <row r="1986" spans="1:2">
      <c r="A1986" s="116">
        <v>45449</v>
      </c>
      <c r="B1986" s="110">
        <v>1373.1</v>
      </c>
    </row>
    <row r="1987" spans="1:2">
      <c r="A1987" s="116">
        <v>45450</v>
      </c>
      <c r="B1987" s="110">
        <v>1371.5</v>
      </c>
    </row>
    <row r="1988" spans="1:2">
      <c r="A1988" s="116">
        <v>45451</v>
      </c>
      <c r="B1988" s="110">
        <v>1371.5</v>
      </c>
    </row>
    <row r="1989" spans="1:2">
      <c r="A1989" s="116">
        <v>45452</v>
      </c>
      <c r="B1989" s="110">
        <v>1371.5</v>
      </c>
    </row>
    <row r="1990" spans="1:2">
      <c r="A1990" s="116">
        <v>45453</v>
      </c>
      <c r="B1990" s="110">
        <v>1366.9</v>
      </c>
    </row>
    <row r="1991" spans="1:2">
      <c r="A1991" s="116">
        <v>45454</v>
      </c>
      <c r="B1991" s="110">
        <v>1377.9</v>
      </c>
    </row>
    <row r="1992" spans="1:2">
      <c r="A1992" s="116">
        <v>45455</v>
      </c>
      <c r="B1992" s="110">
        <v>1377.4</v>
      </c>
    </row>
    <row r="1993" spans="1:2">
      <c r="A1993" s="116">
        <v>45456</v>
      </c>
      <c r="B1993" s="110">
        <v>1377.8</v>
      </c>
    </row>
    <row r="1994" spans="1:2">
      <c r="A1994" s="116">
        <v>45457</v>
      </c>
      <c r="B1994" s="110">
        <v>1371</v>
      </c>
    </row>
    <row r="1995" spans="1:2">
      <c r="A1995" s="116">
        <v>45458</v>
      </c>
      <c r="B1995" s="110">
        <v>1371</v>
      </c>
    </row>
    <row r="1996" spans="1:2">
      <c r="A1996" s="116">
        <v>45459</v>
      </c>
      <c r="B1996" s="110">
        <v>1371</v>
      </c>
    </row>
    <row r="1997" spans="1:2">
      <c r="A1997" s="116">
        <v>45460</v>
      </c>
      <c r="B1997" s="110">
        <v>1377.7</v>
      </c>
    </row>
    <row r="1998" spans="1:2">
      <c r="A1998" s="116">
        <v>45461</v>
      </c>
      <c r="B1998" s="110">
        <v>1380.4</v>
      </c>
    </row>
    <row r="1999" spans="1:2">
      <c r="A1999" s="116">
        <v>45462</v>
      </c>
      <c r="B1999" s="110">
        <v>1380.5</v>
      </c>
    </row>
    <row r="2000" spans="1:2">
      <c r="A2000" s="116">
        <v>45463</v>
      </c>
      <c r="B2000" s="110">
        <v>1380.5</v>
      </c>
    </row>
    <row r="2001" spans="1:2">
      <c r="A2001" s="116">
        <v>45464</v>
      </c>
      <c r="B2001" s="110">
        <v>1383.8</v>
      </c>
    </row>
    <row r="2002" spans="1:2">
      <c r="A2002" s="116">
        <v>45465</v>
      </c>
      <c r="B2002" s="110">
        <v>1383.8</v>
      </c>
    </row>
    <row r="2003" spans="1:2">
      <c r="A2003" s="116">
        <v>45466</v>
      </c>
      <c r="B2003" s="110">
        <v>1383.8</v>
      </c>
    </row>
    <row r="2004" spans="1:2">
      <c r="A2004" s="116">
        <v>45467</v>
      </c>
      <c r="B2004" s="110">
        <v>1389.1</v>
      </c>
    </row>
    <row r="2005" spans="1:2">
      <c r="A2005" s="116">
        <v>45468</v>
      </c>
      <c r="B2005" s="110">
        <v>1389.7</v>
      </c>
    </row>
    <row r="2006" spans="1:2">
      <c r="A2006" s="116">
        <v>45469</v>
      </c>
      <c r="B2006" s="110">
        <v>1386.4</v>
      </c>
    </row>
    <row r="2007" spans="1:2">
      <c r="A2007" s="116">
        <v>45470</v>
      </c>
      <c r="B2007" s="110">
        <v>1390.1</v>
      </c>
    </row>
    <row r="2008" spans="1:2">
      <c r="A2008" s="116">
        <v>45471</v>
      </c>
      <c r="B2008" s="110">
        <v>1389.2</v>
      </c>
    </row>
    <row r="2009" spans="1:2">
      <c r="A2009" s="116">
        <v>45472</v>
      </c>
      <c r="B2009" s="110">
        <v>1389.2</v>
      </c>
    </row>
    <row r="2010" spans="1:2">
      <c r="A2010" s="116">
        <v>45473</v>
      </c>
      <c r="B2010" s="110">
        <v>1389.2</v>
      </c>
    </row>
    <row r="2011" spans="1:2">
      <c r="A2011" s="116">
        <v>45474</v>
      </c>
      <c r="B2011" s="110">
        <v>1382.4</v>
      </c>
    </row>
    <row r="2012" spans="1:2">
      <c r="A2012" s="116">
        <v>45475</v>
      </c>
      <c r="B2012" s="110">
        <v>1380.8</v>
      </c>
    </row>
    <row r="2013" spans="1:2">
      <c r="A2013" s="116">
        <v>45476</v>
      </c>
      <c r="B2013" s="110">
        <v>1387.4</v>
      </c>
    </row>
    <row r="2014" spans="1:2">
      <c r="A2014" s="116">
        <v>45477</v>
      </c>
      <c r="B2014" s="110">
        <v>1389.4</v>
      </c>
    </row>
    <row r="2015" spans="1:2">
      <c r="A2015" s="116">
        <v>45478</v>
      </c>
      <c r="B2015" s="110">
        <v>1381.9</v>
      </c>
    </row>
    <row r="2016" spans="1:2">
      <c r="A2016" s="116">
        <v>45479</v>
      </c>
      <c r="B2016" s="110">
        <v>1381.9</v>
      </c>
    </row>
    <row r="2017" spans="1:2">
      <c r="A2017" s="116">
        <v>45480</v>
      </c>
      <c r="B2017" s="110">
        <v>1381.9</v>
      </c>
    </row>
    <row r="2018" spans="1:2">
      <c r="A2018" s="116">
        <v>45481</v>
      </c>
      <c r="B2018" s="110">
        <v>1379</v>
      </c>
    </row>
    <row r="2019" spans="1:2">
      <c r="A2019" s="116">
        <v>45482</v>
      </c>
      <c r="B2019" s="110">
        <v>1379.4</v>
      </c>
    </row>
    <row r="2020" spans="1:2">
      <c r="A2020" s="116">
        <v>45483</v>
      </c>
      <c r="B2020" s="110">
        <v>1383.4</v>
      </c>
    </row>
    <row r="2021" spans="1:2">
      <c r="A2021" s="116">
        <v>45484</v>
      </c>
      <c r="B2021" s="110">
        <v>1385.6</v>
      </c>
    </row>
    <row r="2022" spans="1:2">
      <c r="A2022" s="116">
        <v>45485</v>
      </c>
      <c r="B2022" s="110">
        <v>1380.1</v>
      </c>
    </row>
    <row r="2023" spans="1:2">
      <c r="A2023" s="116">
        <v>45486</v>
      </c>
      <c r="B2023" s="110">
        <v>1380.1</v>
      </c>
    </row>
    <row r="2024" spans="1:2">
      <c r="A2024" s="116">
        <v>45487</v>
      </c>
      <c r="B2024" s="110">
        <v>1380.1</v>
      </c>
    </row>
    <row r="2025" spans="1:2">
      <c r="A2025" s="116">
        <v>45488</v>
      </c>
      <c r="B2025" s="110">
        <v>1376.3</v>
      </c>
    </row>
    <row r="2026" spans="1:2">
      <c r="A2026" s="116">
        <v>45489</v>
      </c>
      <c r="B2026" s="110">
        <v>1381.9</v>
      </c>
    </row>
    <row r="2027" spans="1:2">
      <c r="A2027" s="116">
        <v>45490</v>
      </c>
      <c r="B2027" s="110">
        <v>1386</v>
      </c>
    </row>
    <row r="2028" spans="1:2">
      <c r="A2028" s="116">
        <v>45491</v>
      </c>
      <c r="B2028" s="110">
        <v>1381.5</v>
      </c>
    </row>
    <row r="2029" spans="1:2">
      <c r="A2029" s="116">
        <v>45492</v>
      </c>
      <c r="B2029" s="110">
        <v>1379.9</v>
      </c>
    </row>
    <row r="2030" spans="1:2">
      <c r="A2030" s="116">
        <v>45493</v>
      </c>
      <c r="B2030" s="110">
        <v>1379.9</v>
      </c>
    </row>
    <row r="2031" spans="1:2">
      <c r="A2031" s="116">
        <v>45494</v>
      </c>
      <c r="B2031" s="110">
        <v>1379.9</v>
      </c>
    </row>
    <row r="2032" spans="1:2">
      <c r="A2032" s="116">
        <v>45495</v>
      </c>
      <c r="B2032" s="110">
        <v>1386.6</v>
      </c>
    </row>
    <row r="2033" spans="1:2">
      <c r="A2033" s="116">
        <v>45496</v>
      </c>
      <c r="B2033" s="110">
        <v>1388.6</v>
      </c>
    </row>
    <row r="2034" spans="1:2">
      <c r="A2034" s="116">
        <v>45497</v>
      </c>
      <c r="B2034" s="110">
        <v>1385.1</v>
      </c>
    </row>
    <row r="2035" spans="1:2">
      <c r="A2035" s="116">
        <v>45498</v>
      </c>
      <c r="B2035" s="110">
        <v>1385.1</v>
      </c>
    </row>
    <row r="2036" spans="1:2">
      <c r="A2036" s="116">
        <v>45499</v>
      </c>
      <c r="B2036" s="110">
        <v>1385.4</v>
      </c>
    </row>
    <row r="2037" spans="1:2">
      <c r="A2037" s="116">
        <v>45500</v>
      </c>
      <c r="B2037" s="110">
        <v>1385.4</v>
      </c>
    </row>
    <row r="2038" spans="1:2">
      <c r="A2038" s="116">
        <v>45501</v>
      </c>
      <c r="B2038" s="110">
        <v>1385.4</v>
      </c>
    </row>
    <row r="2039" spans="1:2">
      <c r="A2039" s="116">
        <v>45502</v>
      </c>
      <c r="B2039" s="110">
        <v>1385.4</v>
      </c>
    </row>
    <row r="2040" spans="1:2">
      <c r="A2040" s="116">
        <v>45503</v>
      </c>
      <c r="B2040" s="110">
        <v>1382</v>
      </c>
    </row>
    <row r="2041" spans="1:2">
      <c r="A2041" s="116">
        <v>45504</v>
      </c>
      <c r="B2041" s="110">
        <v>1384.6</v>
      </c>
    </row>
    <row r="2042" spans="1:2">
      <c r="A2042" s="116">
        <v>45505</v>
      </c>
      <c r="B2042" s="110">
        <v>1380.1</v>
      </c>
    </row>
    <row r="2043" spans="1:2">
      <c r="A2043" s="116">
        <v>45506</v>
      </c>
      <c r="B2043" s="110">
        <v>1365.9</v>
      </c>
    </row>
    <row r="2044" spans="1:2">
      <c r="A2044" s="116">
        <v>45507</v>
      </c>
      <c r="B2044" s="110">
        <v>1365.9</v>
      </c>
    </row>
    <row r="2045" spans="1:2">
      <c r="A2045" s="116">
        <v>45508</v>
      </c>
      <c r="B2045" s="110">
        <v>1365.9</v>
      </c>
    </row>
    <row r="2046" spans="1:2">
      <c r="A2046" s="116">
        <v>45509</v>
      </c>
      <c r="B2046" s="110">
        <v>1372.8</v>
      </c>
    </row>
    <row r="2047" spans="1:2">
      <c r="A2047" s="116">
        <v>45510</v>
      </c>
      <c r="B2047" s="110">
        <v>1360.6</v>
      </c>
    </row>
    <row r="2048" spans="1:2">
      <c r="A2048" s="116">
        <v>45511</v>
      </c>
      <c r="B2048" s="110">
        <v>1372.2</v>
      </c>
    </row>
    <row r="2049" spans="1:2">
      <c r="A2049" s="116">
        <v>45512</v>
      </c>
      <c r="B2049" s="110">
        <v>1376.4</v>
      </c>
    </row>
    <row r="2050" spans="1:2">
      <c r="A2050" s="116">
        <v>45513</v>
      </c>
      <c r="B2050" s="110">
        <v>1377.7</v>
      </c>
    </row>
    <row r="2051" spans="1:2">
      <c r="A2051" s="116">
        <v>45514</v>
      </c>
      <c r="B2051" s="110">
        <v>1377.7</v>
      </c>
    </row>
    <row r="2052" spans="1:2">
      <c r="A2052" s="116">
        <v>45515</v>
      </c>
      <c r="B2052" s="110">
        <v>1377.7</v>
      </c>
    </row>
    <row r="2053" spans="1:2">
      <c r="A2053" s="116">
        <v>45516</v>
      </c>
      <c r="B2053" s="110">
        <v>1369.4</v>
      </c>
    </row>
    <row r="2054" spans="1:2">
      <c r="A2054" s="116">
        <v>45517</v>
      </c>
      <c r="B2054" s="110">
        <v>1367.7</v>
      </c>
    </row>
    <row r="2055" spans="1:2">
      <c r="A2055" s="116">
        <v>45518</v>
      </c>
      <c r="B2055" s="110">
        <v>1370.3</v>
      </c>
    </row>
    <row r="2056" spans="1:2">
      <c r="A2056" s="116">
        <v>45519</v>
      </c>
      <c r="B2056" s="110">
        <v>1370.3</v>
      </c>
    </row>
    <row r="2057" spans="1:2">
      <c r="A2057" s="116">
        <v>45520</v>
      </c>
      <c r="B2057" s="110">
        <v>1361.4</v>
      </c>
    </row>
    <row r="2058" spans="1:2">
      <c r="A2058" s="116">
        <v>45521</v>
      </c>
      <c r="B2058" s="110">
        <v>1361.4</v>
      </c>
    </row>
    <row r="2059" spans="1:2">
      <c r="A2059" s="116">
        <v>45522</v>
      </c>
      <c r="B2059" s="110">
        <v>1361.4</v>
      </c>
    </row>
    <row r="2060" spans="1:2">
      <c r="A2060" s="116">
        <v>45523</v>
      </c>
      <c r="B2060" s="110">
        <v>1360.1</v>
      </c>
    </row>
    <row r="2061" spans="1:2">
      <c r="A2061" s="116">
        <v>45524</v>
      </c>
      <c r="B2061" s="110">
        <v>1337.8</v>
      </c>
    </row>
    <row r="2062" spans="1:2">
      <c r="A2062" s="116">
        <v>45525</v>
      </c>
      <c r="B2062" s="110">
        <v>1332</v>
      </c>
    </row>
    <row r="2063" spans="1:2">
      <c r="A2063" s="116">
        <v>45526</v>
      </c>
      <c r="B2063" s="110">
        <v>1332.4</v>
      </c>
    </row>
    <row r="2064" spans="1:2">
      <c r="A2064" s="116">
        <v>45527</v>
      </c>
      <c r="B2064" s="110">
        <v>1335.9</v>
      </c>
    </row>
    <row r="2065" spans="1:2">
      <c r="A2065" s="116">
        <v>45528</v>
      </c>
      <c r="B2065" s="110">
        <v>1335.9</v>
      </c>
    </row>
    <row r="2066" spans="1:2">
      <c r="A2066" s="116">
        <v>45529</v>
      </c>
      <c r="B2066" s="110">
        <v>1335.9</v>
      </c>
    </row>
    <row r="2067" spans="1:2">
      <c r="A2067" s="116">
        <v>45530</v>
      </c>
      <c r="B2067" s="110">
        <v>1340.1</v>
      </c>
    </row>
    <row r="2068" spans="1:2">
      <c r="A2068" s="116">
        <v>45531</v>
      </c>
      <c r="B2068" s="110">
        <v>1323.9</v>
      </c>
    </row>
    <row r="2069" spans="1:2">
      <c r="A2069" s="116">
        <v>45532</v>
      </c>
      <c r="B2069" s="110">
        <v>1330.4</v>
      </c>
    </row>
    <row r="2070" spans="1:2">
      <c r="A2070" s="116">
        <v>45533</v>
      </c>
      <c r="B2070" s="110">
        <v>1334.7</v>
      </c>
    </row>
    <row r="2071" spans="1:2">
      <c r="A2071" s="116">
        <v>45534</v>
      </c>
      <c r="B2071" s="110">
        <v>1335.3</v>
      </c>
    </row>
    <row r="2072" spans="1:2">
      <c r="A2072" s="116">
        <v>45535</v>
      </c>
      <c r="B2072" s="110">
        <v>1335.3</v>
      </c>
    </row>
    <row r="2073" spans="1:2">
      <c r="A2073" s="116">
        <v>45536</v>
      </c>
      <c r="B2073" s="110">
        <v>1335.3</v>
      </c>
    </row>
    <row r="2074" spans="1:2">
      <c r="A2074" s="116">
        <v>45537</v>
      </c>
      <c r="B2074" s="110">
        <v>1334.8</v>
      </c>
    </row>
    <row r="2075" spans="1:2">
      <c r="A2075" s="116">
        <v>45538</v>
      </c>
      <c r="B2075" s="110">
        <v>1338.8</v>
      </c>
    </row>
    <row r="2076" spans="1:2">
      <c r="A2076" s="116">
        <v>45539</v>
      </c>
      <c r="B2076" s="110">
        <v>1341</v>
      </c>
    </row>
    <row r="2077" spans="1:2">
      <c r="A2077" s="116">
        <v>45540</v>
      </c>
      <c r="B2077" s="110">
        <v>1342</v>
      </c>
    </row>
    <row r="2078" spans="1:2">
      <c r="A2078" s="116">
        <v>45541</v>
      </c>
      <c r="B2078" s="110">
        <v>1335.8</v>
      </c>
    </row>
    <row r="2079" spans="1:2">
      <c r="A2079" s="116">
        <v>45542</v>
      </c>
      <c r="B2079" s="110">
        <v>1335.8</v>
      </c>
    </row>
    <row r="2080" spans="1:2">
      <c r="A2080" s="116">
        <v>45543</v>
      </c>
      <c r="B2080" s="110">
        <v>1335.8</v>
      </c>
    </row>
    <row r="2081" spans="1:2">
      <c r="A2081" s="116">
        <v>45544</v>
      </c>
      <c r="B2081" s="110">
        <v>1330.4</v>
      </c>
    </row>
    <row r="2082" spans="1:2">
      <c r="A2082" s="116">
        <v>45545</v>
      </c>
      <c r="B2082" s="110">
        <v>1339.5</v>
      </c>
    </row>
    <row r="2083" spans="1:2">
      <c r="A2083" s="116">
        <v>45546</v>
      </c>
      <c r="B2083" s="110">
        <v>1344.3</v>
      </c>
    </row>
    <row r="2084" spans="1:2">
      <c r="A2084" s="116">
        <v>45547</v>
      </c>
      <c r="B2084" s="110">
        <v>1340.3</v>
      </c>
    </row>
    <row r="2085" spans="1:2">
      <c r="A2085" s="116">
        <v>45548</v>
      </c>
      <c r="B2085" s="110">
        <v>1339.6</v>
      </c>
    </row>
    <row r="2086" spans="1:2">
      <c r="A2086" s="116">
        <v>45549</v>
      </c>
      <c r="B2086" s="110">
        <v>1339.6</v>
      </c>
    </row>
    <row r="2087" spans="1:2">
      <c r="A2087" s="116">
        <v>45550</v>
      </c>
      <c r="B2087" s="110">
        <v>1339.6</v>
      </c>
    </row>
    <row r="2088" spans="1:2">
      <c r="A2088" s="116">
        <v>45551</v>
      </c>
      <c r="B2088" s="110">
        <v>1339.6</v>
      </c>
    </row>
    <row r="2089" spans="1:2">
      <c r="A2089" s="116">
        <v>45552</v>
      </c>
      <c r="B2089" s="110">
        <v>1339.6</v>
      </c>
    </row>
    <row r="2090" spans="1:2">
      <c r="A2090" s="116">
        <v>45553</v>
      </c>
      <c r="B2090" s="110">
        <v>1339.6</v>
      </c>
    </row>
    <row r="2091" spans="1:2">
      <c r="A2091" s="116">
        <v>45554</v>
      </c>
      <c r="B2091" s="110">
        <v>1331</v>
      </c>
    </row>
    <row r="2092" spans="1:2">
      <c r="A2092" s="116">
        <v>45555</v>
      </c>
      <c r="B2092" s="110">
        <v>1331.8</v>
      </c>
    </row>
    <row r="2093" spans="1:2">
      <c r="A2093" s="116">
        <v>45556</v>
      </c>
      <c r="B2093" s="110">
        <v>1331.8</v>
      </c>
    </row>
    <row r="2094" spans="1:2">
      <c r="A2094" s="116">
        <v>45557</v>
      </c>
      <c r="B2094" s="110">
        <v>1331.8</v>
      </c>
    </row>
    <row r="2095" spans="1:2">
      <c r="A2095" s="116">
        <v>45558</v>
      </c>
      <c r="B2095" s="110">
        <v>1329.9</v>
      </c>
    </row>
    <row r="2096" spans="1:2">
      <c r="A2096" s="116">
        <v>45559</v>
      </c>
      <c r="B2096" s="110">
        <v>1335.5</v>
      </c>
    </row>
    <row r="2097" spans="1:2">
      <c r="A2097" s="116">
        <v>45560</v>
      </c>
      <c r="B2097" s="110">
        <v>1334.3</v>
      </c>
    </row>
    <row r="2098" spans="1:2">
      <c r="A2098" s="116">
        <v>45561</v>
      </c>
      <c r="B2098" s="110">
        <v>1328.4</v>
      </c>
    </row>
    <row r="2099" spans="1:2">
      <c r="A2099" s="116">
        <v>45562</v>
      </c>
      <c r="B2099" s="110">
        <v>1329.7</v>
      </c>
    </row>
    <row r="2100" spans="1:2">
      <c r="A2100" s="116">
        <v>45563</v>
      </c>
      <c r="B2100" s="110">
        <v>1329.7</v>
      </c>
    </row>
    <row r="2101" spans="1:2">
      <c r="A2101" s="116">
        <v>45564</v>
      </c>
      <c r="B2101" s="110">
        <v>1329.7</v>
      </c>
    </row>
    <row r="2102" spans="1:2">
      <c r="A2102" s="116">
        <v>45565</v>
      </c>
      <c r="B2102" s="110">
        <v>1319.6</v>
      </c>
    </row>
    <row r="2103" spans="1:2">
      <c r="A2103" s="116">
        <v>45566</v>
      </c>
      <c r="B2103" s="110">
        <v>1319.6</v>
      </c>
    </row>
    <row r="2104" spans="1:2">
      <c r="A2104" s="116">
        <v>45567</v>
      </c>
      <c r="B2104" s="110">
        <v>1306.9000000000001</v>
      </c>
    </row>
    <row r="2105" spans="1:2">
      <c r="A2105" s="116">
        <v>45568</v>
      </c>
      <c r="B2105" s="110">
        <v>1306.9000000000001</v>
      </c>
    </row>
    <row r="2106" spans="1:2">
      <c r="A2106" s="116">
        <v>45569</v>
      </c>
      <c r="B2106" s="110">
        <v>1320.1</v>
      </c>
    </row>
    <row r="2107" spans="1:2">
      <c r="A2107" s="116">
        <v>45570</v>
      </c>
      <c r="B2107" s="110">
        <v>1320.1</v>
      </c>
    </row>
    <row r="2108" spans="1:2">
      <c r="A2108" s="116">
        <v>45571</v>
      </c>
      <c r="B2108" s="110">
        <v>1320.1</v>
      </c>
    </row>
    <row r="2109" spans="1:2">
      <c r="A2109" s="116">
        <v>45572</v>
      </c>
      <c r="B2109" s="110">
        <v>1333.3</v>
      </c>
    </row>
    <row r="2110" spans="1:2">
      <c r="A2110" s="116">
        <v>45573</v>
      </c>
      <c r="B2110" s="110">
        <v>1346.5</v>
      </c>
    </row>
    <row r="2111" spans="1:2">
      <c r="A2111" s="116">
        <v>45574</v>
      </c>
      <c r="B2111" s="110">
        <v>1346.5</v>
      </c>
    </row>
    <row r="2112" spans="1:2">
      <c r="A2112" s="116">
        <v>45575</v>
      </c>
      <c r="B2112" s="110">
        <v>1347.8</v>
      </c>
    </row>
    <row r="2113" spans="1:2">
      <c r="A2113" s="116">
        <v>45576</v>
      </c>
      <c r="B2113" s="110">
        <v>1349.4</v>
      </c>
    </row>
    <row r="2114" spans="1:2">
      <c r="A2114" s="116">
        <v>45577</v>
      </c>
      <c r="B2114" s="110">
        <v>1349.4</v>
      </c>
    </row>
    <row r="2115" spans="1:2">
      <c r="A2115" s="116">
        <v>45578</v>
      </c>
      <c r="B2115" s="110">
        <v>1349.4</v>
      </c>
    </row>
    <row r="2116" spans="1:2">
      <c r="A2116" s="116">
        <v>45579</v>
      </c>
      <c r="B2116" s="110">
        <v>1348.6</v>
      </c>
    </row>
    <row r="2117" spans="1:2">
      <c r="A2117" s="116">
        <v>45580</v>
      </c>
      <c r="B2117" s="110">
        <v>1354.9</v>
      </c>
    </row>
    <row r="2118" spans="1:2">
      <c r="A2118" s="116">
        <v>45581</v>
      </c>
      <c r="B2118" s="110">
        <v>1360.4</v>
      </c>
    </row>
    <row r="2119" spans="1:2">
      <c r="A2119" s="116">
        <v>45582</v>
      </c>
      <c r="B2119" s="110">
        <v>1363.7</v>
      </c>
    </row>
    <row r="2120" spans="1:2">
      <c r="A2120" s="116">
        <v>45583</v>
      </c>
      <c r="B2120" s="110">
        <v>1366.5</v>
      </c>
    </row>
    <row r="2121" spans="1:2">
      <c r="A2121" s="116">
        <v>45584</v>
      </c>
      <c r="B2121" s="110">
        <v>1366.5</v>
      </c>
    </row>
    <row r="2122" spans="1:2">
      <c r="A2122" s="116">
        <v>45585</v>
      </c>
      <c r="B2122" s="110">
        <v>1366.5</v>
      </c>
    </row>
    <row r="2123" spans="1:2">
      <c r="A2123" s="116">
        <v>45586</v>
      </c>
      <c r="B2123" s="110">
        <v>1371.1</v>
      </c>
    </row>
    <row r="2124" spans="1:2">
      <c r="A2124" s="116">
        <v>45587</v>
      </c>
      <c r="B2124" s="110">
        <v>1370.4</v>
      </c>
    </row>
    <row r="2125" spans="1:2">
      <c r="A2125" s="116">
        <v>45588</v>
      </c>
      <c r="B2125" s="110">
        <v>1380.1</v>
      </c>
    </row>
    <row r="2126" spans="1:2">
      <c r="A2126" s="116">
        <v>45589</v>
      </c>
      <c r="B2126" s="110">
        <v>1382</v>
      </c>
    </row>
    <row r="2127" spans="1:2">
      <c r="A2127" s="116">
        <v>45590</v>
      </c>
      <c r="B2127" s="110">
        <v>1380.5</v>
      </c>
    </row>
    <row r="2128" spans="1:2">
      <c r="A2128" s="116">
        <v>45591</v>
      </c>
      <c r="B2128" s="110">
        <v>1380.5</v>
      </c>
    </row>
    <row r="2129" spans="1:2">
      <c r="A2129" s="116">
        <v>45592</v>
      </c>
      <c r="B2129" s="110">
        <v>1380.5</v>
      </c>
    </row>
    <row r="2130" spans="1:2">
      <c r="A2130" s="116">
        <v>45593</v>
      </c>
      <c r="B2130" s="110">
        <v>1384.4</v>
      </c>
    </row>
    <row r="2131" spans="1:2">
      <c r="A2131" s="116">
        <v>45594</v>
      </c>
      <c r="B2131" s="110">
        <v>1387</v>
      </c>
    </row>
    <row r="2132" spans="1:2">
      <c r="A2132" s="116">
        <v>45595</v>
      </c>
      <c r="B2132" s="110">
        <v>1383.1</v>
      </c>
    </row>
    <row r="2133" spans="1:2">
      <c r="A2133" s="116">
        <v>45596</v>
      </c>
      <c r="B2133" s="110">
        <v>1383.3</v>
      </c>
    </row>
    <row r="2134" spans="1:2">
      <c r="A2134" s="116">
        <v>45597</v>
      </c>
      <c r="B2134" s="110">
        <v>1379.3</v>
      </c>
    </row>
    <row r="2135" spans="1:2">
      <c r="A2135" s="116">
        <v>45598</v>
      </c>
      <c r="B2135" s="110">
        <v>1379.3</v>
      </c>
    </row>
    <row r="2136" spans="1:2">
      <c r="A2136" s="116">
        <v>45599</v>
      </c>
      <c r="B2136" s="110">
        <v>1379.3</v>
      </c>
    </row>
    <row r="2137" spans="1:2">
      <c r="A2137" s="116">
        <v>45600</v>
      </c>
      <c r="B2137" s="110">
        <v>1377.9</v>
      </c>
    </row>
    <row r="2138" spans="1:2">
      <c r="A2138" s="116">
        <v>45601</v>
      </c>
      <c r="B2138" s="110">
        <v>1371.3</v>
      </c>
    </row>
    <row r="2139" spans="1:2">
      <c r="A2139" s="116">
        <v>45602</v>
      </c>
      <c r="B2139" s="110">
        <v>1377.8</v>
      </c>
    </row>
    <row r="2140" spans="1:2">
      <c r="A2140" s="116">
        <v>45603</v>
      </c>
      <c r="B2140" s="110">
        <v>1391.5</v>
      </c>
    </row>
    <row r="2141" spans="1:2">
      <c r="A2141" s="116">
        <v>45604</v>
      </c>
      <c r="B2141" s="110">
        <v>1399.1</v>
      </c>
    </row>
    <row r="2142" spans="1:2">
      <c r="A2142" s="116">
        <v>45605</v>
      </c>
      <c r="B2142" s="110">
        <v>1399.1</v>
      </c>
    </row>
    <row r="2143" spans="1:2">
      <c r="A2143" s="116">
        <v>45606</v>
      </c>
      <c r="B2143" s="110">
        <v>1399.1</v>
      </c>
    </row>
    <row r="2144" spans="1:2">
      <c r="A2144" s="116">
        <v>45607</v>
      </c>
      <c r="B2144" s="110">
        <v>1385.4</v>
      </c>
    </row>
    <row r="2145" spans="1:2">
      <c r="A2145" s="116">
        <v>45608</v>
      </c>
      <c r="B2145" s="110">
        <v>1395.3</v>
      </c>
    </row>
    <row r="2146" spans="1:2">
      <c r="A2146" s="116">
        <v>45609</v>
      </c>
      <c r="B2146" s="110">
        <v>1401.1</v>
      </c>
    </row>
    <row r="2147" spans="1:2">
      <c r="A2147" s="116">
        <v>45610</v>
      </c>
      <c r="B2147" s="110">
        <v>1407.3</v>
      </c>
    </row>
    <row r="2148" spans="1:2">
      <c r="A2148" s="116">
        <v>45611</v>
      </c>
      <c r="B2148" s="110">
        <v>1406.4</v>
      </c>
    </row>
    <row r="2149" spans="1:2">
      <c r="A2149" s="116">
        <v>45612</v>
      </c>
      <c r="B2149" s="110">
        <v>1406.4</v>
      </c>
    </row>
    <row r="2150" spans="1:2">
      <c r="A2150" s="116">
        <v>45613</v>
      </c>
      <c r="B2150" s="110">
        <v>1406.4</v>
      </c>
    </row>
    <row r="2151" spans="1:2">
      <c r="A2151" s="116">
        <v>45614</v>
      </c>
      <c r="B2151" s="110">
        <v>1402.8</v>
      </c>
    </row>
    <row r="2152" spans="1:2">
      <c r="A2152" s="116">
        <v>45615</v>
      </c>
      <c r="B2152" s="110">
        <v>1392.6</v>
      </c>
    </row>
    <row r="2153" spans="1:2">
      <c r="A2153" s="116">
        <v>45616</v>
      </c>
      <c r="B2153" s="110">
        <v>1392</v>
      </c>
    </row>
    <row r="2154" spans="1:2">
      <c r="A2154" s="116">
        <v>45617</v>
      </c>
      <c r="B2154" s="110">
        <v>1391.6</v>
      </c>
    </row>
    <row r="2155" spans="1:2">
      <c r="A2155" s="116">
        <v>45618</v>
      </c>
      <c r="B2155" s="110">
        <v>1398.1</v>
      </c>
    </row>
    <row r="2156" spans="1:2">
      <c r="A2156" s="116">
        <v>45619</v>
      </c>
      <c r="B2156" s="110">
        <v>1398.1</v>
      </c>
    </row>
    <row r="2157" spans="1:2">
      <c r="A2157" s="116">
        <v>45620</v>
      </c>
      <c r="B2157" s="110">
        <v>1398.1</v>
      </c>
    </row>
    <row r="2158" spans="1:2">
      <c r="A2158" s="116">
        <v>45621</v>
      </c>
      <c r="B2158" s="110">
        <v>1400.5</v>
      </c>
    </row>
    <row r="2159" spans="1:2">
      <c r="A2159" s="116">
        <v>45622</v>
      </c>
      <c r="B2159" s="110">
        <v>1398.2</v>
      </c>
    </row>
    <row r="2160" spans="1:2">
      <c r="A2160" s="116">
        <v>45623</v>
      </c>
      <c r="B2160" s="110">
        <v>1401.2</v>
      </c>
    </row>
    <row r="2161" spans="1:2">
      <c r="A2161" s="116">
        <v>45624</v>
      </c>
      <c r="B2161" s="110">
        <v>1396.8</v>
      </c>
    </row>
    <row r="2162" spans="1:2">
      <c r="A2162" s="116">
        <v>45625</v>
      </c>
      <c r="B2162" s="110">
        <v>1394.7</v>
      </c>
    </row>
    <row r="2163" spans="1:2">
      <c r="A2163" s="116">
        <v>45626</v>
      </c>
      <c r="B2163" s="110">
        <v>1394.7</v>
      </c>
    </row>
    <row r="2164" spans="1:2">
      <c r="A2164" s="116">
        <v>45627</v>
      </c>
      <c r="B2164" s="110">
        <v>1394.7</v>
      </c>
    </row>
    <row r="2165" spans="1:2">
      <c r="A2165" s="116">
        <v>45628</v>
      </c>
      <c r="B2165" s="110">
        <v>1395.1</v>
      </c>
    </row>
    <row r="2166" spans="1:2">
      <c r="A2166" s="116">
        <v>45629</v>
      </c>
      <c r="B2166" s="110">
        <v>1402</v>
      </c>
    </row>
    <row r="2167" spans="1:2">
      <c r="A2167" s="116">
        <v>45630</v>
      </c>
      <c r="B2167" s="110">
        <v>1403.4</v>
      </c>
    </row>
    <row r="2168" spans="1:2">
      <c r="A2168" s="116">
        <v>45631</v>
      </c>
      <c r="B2168" s="110">
        <v>1413</v>
      </c>
    </row>
    <row r="2169" spans="1:2">
      <c r="A2169" s="116">
        <v>45632</v>
      </c>
      <c r="B2169" s="110">
        <v>1414.9</v>
      </c>
    </row>
    <row r="2170" spans="1:2">
      <c r="A2170" s="116">
        <v>45633</v>
      </c>
      <c r="B2170" s="110">
        <v>1414.9</v>
      </c>
    </row>
    <row r="2171" spans="1:2">
      <c r="A2171" s="116">
        <v>45634</v>
      </c>
      <c r="B2171" s="110">
        <v>1414.9</v>
      </c>
    </row>
    <row r="2172" spans="1:2">
      <c r="A2172" s="116">
        <v>45635</v>
      </c>
      <c r="B2172" s="110">
        <v>1419.4</v>
      </c>
    </row>
    <row r="2173" spans="1:2">
      <c r="A2173" s="116">
        <v>45636</v>
      </c>
      <c r="B2173" s="110">
        <v>1433.2</v>
      </c>
    </row>
    <row r="2174" spans="1:2">
      <c r="A2174" s="116">
        <v>45637</v>
      </c>
      <c r="B2174" s="110">
        <v>1428.1</v>
      </c>
    </row>
    <row r="2175" spans="1:2">
      <c r="A2175" s="116">
        <v>45638</v>
      </c>
      <c r="B2175" s="110">
        <v>1431.4</v>
      </c>
    </row>
    <row r="2176" spans="1:2">
      <c r="A2176" s="116">
        <v>45639</v>
      </c>
      <c r="B2176" s="110">
        <v>1431.5</v>
      </c>
    </row>
    <row r="2177" spans="1:2">
      <c r="A2177" s="116">
        <v>45640</v>
      </c>
      <c r="B2177" s="110">
        <v>1431.5</v>
      </c>
    </row>
    <row r="2178" spans="1:2">
      <c r="A2178" s="116">
        <v>45641</v>
      </c>
      <c r="B2178" s="110">
        <v>1431.5</v>
      </c>
    </row>
    <row r="2179" spans="1:2">
      <c r="A2179" s="116">
        <v>45642</v>
      </c>
      <c r="B2179" s="110">
        <v>1432.7</v>
      </c>
    </row>
    <row r="2180" spans="1:2">
      <c r="A2180" s="116">
        <v>45643</v>
      </c>
      <c r="B2180" s="110">
        <v>1434.9</v>
      </c>
    </row>
    <row r="2181" spans="1:2">
      <c r="A2181" s="116">
        <v>45644</v>
      </c>
      <c r="B2181" s="110">
        <v>1436.6</v>
      </c>
    </row>
    <row r="2182" spans="1:2">
      <c r="A2182" s="116">
        <v>45645</v>
      </c>
      <c r="B2182" s="110">
        <v>1436.8</v>
      </c>
    </row>
    <row r="2183" spans="1:2">
      <c r="A2183" s="116">
        <v>45646</v>
      </c>
      <c r="B2183" s="110">
        <v>1449.7</v>
      </c>
    </row>
    <row r="2184" spans="1:2">
      <c r="A2184" s="116">
        <v>45647</v>
      </c>
      <c r="B2184" s="110">
        <v>1449.7</v>
      </c>
    </row>
    <row r="2185" spans="1:2">
      <c r="A2185" s="116">
        <v>45648</v>
      </c>
      <c r="B2185" s="110">
        <v>1449.7</v>
      </c>
    </row>
    <row r="2186" spans="1:2">
      <c r="A2186" s="116">
        <v>45649</v>
      </c>
      <c r="B2186" s="110">
        <v>1450.3</v>
      </c>
    </row>
    <row r="2187" spans="1:2">
      <c r="A2187" s="116">
        <v>45650</v>
      </c>
      <c r="B2187" s="110">
        <v>1449.3</v>
      </c>
    </row>
    <row r="2188" spans="1:2">
      <c r="A2188" s="116">
        <v>45651</v>
      </c>
      <c r="B2188" s="110">
        <v>1449.3</v>
      </c>
    </row>
    <row r="2189" spans="1:2">
      <c r="A2189" s="116">
        <v>45652</v>
      </c>
      <c r="B2189" s="110">
        <v>1453.6</v>
      </c>
    </row>
    <row r="2190" spans="1:2">
      <c r="A2190" s="116">
        <v>45653</v>
      </c>
      <c r="B2190" s="110">
        <v>1462.9</v>
      </c>
    </row>
    <row r="2191" spans="1:2">
      <c r="A2191" s="116">
        <v>45654</v>
      </c>
      <c r="B2191" s="110">
        <v>1462.9</v>
      </c>
    </row>
    <row r="2192" spans="1:2">
      <c r="A2192" s="116">
        <v>45655</v>
      </c>
      <c r="B2192" s="110">
        <v>1462.9</v>
      </c>
    </row>
    <row r="2193" spans="1:2">
      <c r="A2193" s="116">
        <v>45656</v>
      </c>
      <c r="B2193" s="110">
        <v>1474.1</v>
      </c>
    </row>
    <row r="2194" spans="1:2">
      <c r="A2194" s="116">
        <v>45657</v>
      </c>
      <c r="B2194" s="110">
        <v>1470</v>
      </c>
    </row>
    <row r="2195" spans="1:2">
      <c r="A2195" s="116">
        <v>45658</v>
      </c>
      <c r="B2195" s="110">
        <v>1470</v>
      </c>
    </row>
    <row r="2196" spans="1:2">
      <c r="A2196" s="116">
        <v>45659</v>
      </c>
      <c r="B2196" s="110">
        <v>1470</v>
      </c>
    </row>
    <row r="2197" spans="1:2">
      <c r="A2197" s="116">
        <v>45660</v>
      </c>
      <c r="B2197" s="110">
        <v>1468.3</v>
      </c>
    </row>
    <row r="2198" spans="1:2">
      <c r="A2198" s="116">
        <v>45661</v>
      </c>
      <c r="B2198" s="110">
        <v>1468.3</v>
      </c>
    </row>
    <row r="2199" spans="1:2">
      <c r="A2199" s="116">
        <v>45662</v>
      </c>
      <c r="B2199" s="110">
        <v>1468.3</v>
      </c>
    </row>
    <row r="2200" spans="1:2">
      <c r="A2200" s="116">
        <v>45663</v>
      </c>
      <c r="B2200" s="110">
        <v>1466.8</v>
      </c>
    </row>
    <row r="2201" spans="1:2">
      <c r="A2201" s="116">
        <v>45664</v>
      </c>
      <c r="B2201" s="110">
        <v>1470.8</v>
      </c>
    </row>
    <row r="2202" spans="1:2">
      <c r="A2202" s="116">
        <v>45665</v>
      </c>
      <c r="B2202" s="110">
        <v>1455.4</v>
      </c>
    </row>
    <row r="2203" spans="1:2">
      <c r="A2203" s="116">
        <v>45666</v>
      </c>
      <c r="B2203" s="110">
        <v>1453.2</v>
      </c>
    </row>
    <row r="2204" spans="1:2">
      <c r="A2204" s="116">
        <v>45667</v>
      </c>
      <c r="B2204" s="110">
        <v>1458.2</v>
      </c>
    </row>
    <row r="2205" spans="1:2">
      <c r="A2205" s="116">
        <v>45668</v>
      </c>
      <c r="B2205" s="110">
        <v>1458.2</v>
      </c>
    </row>
    <row r="2206" spans="1:2">
      <c r="A2206" s="116">
        <v>45669</v>
      </c>
      <c r="B2206" s="110">
        <v>1458.2</v>
      </c>
    </row>
    <row r="2207" spans="1:2">
      <c r="A2207" s="116">
        <v>45670</v>
      </c>
      <c r="B2207" s="110">
        <v>1460.7</v>
      </c>
    </row>
    <row r="2208" spans="1:2">
      <c r="A2208" s="116">
        <v>45671</v>
      </c>
      <c r="B2208" s="110">
        <v>1471.3</v>
      </c>
    </row>
    <row r="2209" spans="1:2">
      <c r="A2209" s="116">
        <v>45672</v>
      </c>
      <c r="B2209" s="110">
        <v>1463.3</v>
      </c>
    </row>
    <row r="2210" spans="1:2">
      <c r="A2210" s="116">
        <v>45673</v>
      </c>
      <c r="B2210" s="110">
        <v>1460.2</v>
      </c>
    </row>
    <row r="2211" spans="1:2">
      <c r="A2211" s="116">
        <v>45674</v>
      </c>
      <c r="B2211" s="110">
        <v>1454.7</v>
      </c>
    </row>
    <row r="2212" spans="1:2">
      <c r="A2212" s="116">
        <v>45675</v>
      </c>
      <c r="B2212" s="110">
        <v>1454.7</v>
      </c>
    </row>
    <row r="2213" spans="1:2">
      <c r="A2213" s="116">
        <v>45676</v>
      </c>
      <c r="B2213" s="110">
        <v>1454.7</v>
      </c>
    </row>
    <row r="2214" spans="1:2">
      <c r="A2214" s="116">
        <v>45677</v>
      </c>
      <c r="B2214" s="110">
        <v>1455.8</v>
      </c>
    </row>
    <row r="2215" spans="1:2">
      <c r="A2215" s="116">
        <v>45678</v>
      </c>
      <c r="B2215" s="110">
        <v>1453</v>
      </c>
    </row>
    <row r="2216" spans="1:2">
      <c r="A2216" s="116">
        <v>45679</v>
      </c>
      <c r="B2216" s="110">
        <v>1437.9</v>
      </c>
    </row>
    <row r="2217" spans="1:2">
      <c r="A2217" s="116">
        <v>45680</v>
      </c>
      <c r="B2217" s="110">
        <v>1434.3</v>
      </c>
    </row>
    <row r="2218" spans="1:2">
      <c r="A2218" s="116">
        <v>45681</v>
      </c>
      <c r="B2218" s="110">
        <v>1437.1</v>
      </c>
    </row>
    <row r="2219" spans="1:2">
      <c r="A2219" s="116">
        <v>45682</v>
      </c>
      <c r="B2219" s="110">
        <v>1437.1</v>
      </c>
    </row>
    <row r="2220" spans="1:2">
      <c r="A2220" s="116">
        <v>45683</v>
      </c>
      <c r="B2220" s="110">
        <v>1437.1</v>
      </c>
    </row>
    <row r="2221" spans="1:2">
      <c r="A2221" s="116">
        <v>45684</v>
      </c>
      <c r="B2221" s="110">
        <v>1437.1</v>
      </c>
    </row>
    <row r="2222" spans="1:2">
      <c r="A2222" s="116">
        <v>45685</v>
      </c>
      <c r="B2222" s="110">
        <v>1437.1</v>
      </c>
    </row>
    <row r="2223" spans="1:2">
      <c r="A2223" s="116">
        <v>45686</v>
      </c>
      <c r="B2223" s="110">
        <v>1437.1</v>
      </c>
    </row>
    <row r="2224" spans="1:2">
      <c r="A2224" s="116">
        <v>45687</v>
      </c>
      <c r="B2224" s="110">
        <v>1437.1</v>
      </c>
    </row>
    <row r="2225" spans="1:7">
      <c r="A2225" s="116">
        <v>45688</v>
      </c>
      <c r="B2225" s="110">
        <v>1433.3</v>
      </c>
    </row>
    <row r="2226" spans="1:7">
      <c r="A2226" s="116">
        <v>45689</v>
      </c>
      <c r="B2226" s="115">
        <v>1433.3</v>
      </c>
      <c r="E2226" s="108"/>
      <c r="G2226"/>
    </row>
    <row r="2227" spans="1:7">
      <c r="A2227" s="116">
        <v>45690</v>
      </c>
      <c r="B2227" s="115">
        <v>1433.3</v>
      </c>
      <c r="E2227" s="108"/>
      <c r="G2227"/>
    </row>
    <row r="2228" spans="1:7">
      <c r="A2228" s="116">
        <v>45691</v>
      </c>
      <c r="B2228" s="115">
        <v>1453</v>
      </c>
      <c r="D2228" s="117"/>
      <c r="E2228" s="108"/>
      <c r="F2228" s="118"/>
      <c r="G2228"/>
    </row>
    <row r="2229" spans="1:7">
      <c r="A2229" s="116">
        <v>45692</v>
      </c>
      <c r="B2229" s="115">
        <v>1469.2</v>
      </c>
      <c r="D2229" s="117"/>
      <c r="E2229" s="108"/>
      <c r="F2229" s="118"/>
      <c r="G2229"/>
    </row>
    <row r="2230" spans="1:7">
      <c r="A2230" s="116">
        <v>45693</v>
      </c>
      <c r="B2230" s="115">
        <v>1460.8</v>
      </c>
      <c r="D2230" s="117"/>
      <c r="E2230" s="108"/>
      <c r="F2230" s="118"/>
      <c r="G2230"/>
    </row>
    <row r="2231" spans="1:7">
      <c r="A2231" s="116">
        <v>45694</v>
      </c>
      <c r="B2231" s="115">
        <v>1450</v>
      </c>
      <c r="D2231" s="117"/>
      <c r="E2231" s="108"/>
      <c r="F2231" s="118"/>
      <c r="G2231"/>
    </row>
    <row r="2232" spans="1:7">
      <c r="A2232" s="116">
        <v>45695</v>
      </c>
      <c r="B2232" s="115">
        <v>1447.1</v>
      </c>
      <c r="D2232" s="117"/>
      <c r="E2232" s="108"/>
      <c r="F2232" s="118"/>
      <c r="G2232"/>
    </row>
    <row r="2233" spans="1:7">
      <c r="A2233" s="116">
        <v>45696</v>
      </c>
      <c r="B2233" s="115">
        <v>1447.1</v>
      </c>
      <c r="D2233" s="117"/>
      <c r="E2233" s="108"/>
      <c r="F2233" s="118"/>
      <c r="G2233"/>
    </row>
    <row r="2234" spans="1:7">
      <c r="A2234" s="116">
        <v>45697</v>
      </c>
      <c r="B2234" s="115">
        <v>1447.1</v>
      </c>
      <c r="D2234" s="117"/>
      <c r="E2234" s="108"/>
      <c r="F2234" s="118"/>
      <c r="G2234"/>
    </row>
    <row r="2235" spans="1:7">
      <c r="A2235" s="116">
        <v>45698</v>
      </c>
      <c r="B2235" s="115">
        <v>1447.4</v>
      </c>
      <c r="D2235" s="117"/>
      <c r="E2235" s="108"/>
      <c r="F2235" s="118"/>
      <c r="G2235"/>
    </row>
    <row r="2236" spans="1:7">
      <c r="A2236" s="116">
        <v>45699</v>
      </c>
      <c r="B2236" s="115">
        <v>1453.4</v>
      </c>
      <c r="D2236" s="117"/>
      <c r="E2236" s="108"/>
      <c r="F2236" s="118"/>
      <c r="G2236"/>
    </row>
    <row r="2237" spans="1:7">
      <c r="A2237" s="116">
        <v>45700</v>
      </c>
      <c r="B2237" s="115">
        <v>1453.5</v>
      </c>
      <c r="D2237" s="117"/>
      <c r="E2237" s="108"/>
      <c r="F2237" s="118"/>
      <c r="G2237"/>
    </row>
    <row r="2238" spans="1:7">
      <c r="A2238" s="116">
        <v>45701</v>
      </c>
      <c r="B2238" s="115">
        <v>1452.6</v>
      </c>
      <c r="D2238" s="117"/>
      <c r="E2238" s="108"/>
      <c r="F2238" s="118"/>
      <c r="G2238"/>
    </row>
    <row r="2239" spans="1:7">
      <c r="A2239" s="116">
        <v>45702</v>
      </c>
      <c r="B2239" s="115">
        <v>1450.5</v>
      </c>
      <c r="D2239" s="117"/>
      <c r="E2239" s="108"/>
      <c r="F2239" s="118"/>
      <c r="G2239"/>
    </row>
    <row r="2240" spans="1:7">
      <c r="A2240" s="116">
        <v>45703</v>
      </c>
      <c r="B2240" s="115">
        <v>1450.5</v>
      </c>
      <c r="D2240" s="117"/>
      <c r="E2240" s="108"/>
      <c r="F2240" s="118"/>
      <c r="G2240"/>
    </row>
    <row r="2241" spans="1:7">
      <c r="A2241" s="116">
        <v>45704</v>
      </c>
      <c r="B2241" s="115">
        <v>1450.5</v>
      </c>
      <c r="D2241" s="117"/>
      <c r="E2241" s="108"/>
      <c r="F2241" s="118"/>
      <c r="G2241"/>
    </row>
    <row r="2242" spans="1:7">
      <c r="A2242" s="116">
        <v>45705</v>
      </c>
      <c r="B2242" s="115">
        <v>1443.3</v>
      </c>
      <c r="D2242" s="117"/>
      <c r="E2242" s="108"/>
      <c r="F2242" s="118"/>
      <c r="G2242"/>
    </row>
    <row r="2243" spans="1:7">
      <c r="A2243" s="116">
        <v>45706</v>
      </c>
      <c r="B2243" s="115">
        <v>1441.1</v>
      </c>
      <c r="D2243" s="117"/>
      <c r="E2243" s="108"/>
      <c r="F2243" s="118"/>
      <c r="G2243"/>
    </row>
    <row r="2244" spans="1:7">
      <c r="A2244" s="116">
        <v>45707</v>
      </c>
      <c r="B2244" s="115">
        <v>1443.9</v>
      </c>
      <c r="D2244" s="117"/>
      <c r="E2244" s="108"/>
      <c r="F2244" s="118"/>
      <c r="G2244"/>
    </row>
    <row r="2245" spans="1:7">
      <c r="A2245" s="116">
        <v>45708</v>
      </c>
      <c r="B2245" s="115">
        <v>1440.6</v>
      </c>
      <c r="D2245" s="117"/>
      <c r="E2245" s="108"/>
      <c r="F2245" s="118"/>
      <c r="G2245"/>
    </row>
    <row r="2246" spans="1:7">
      <c r="A2246" s="116">
        <v>45709</v>
      </c>
      <c r="B2246" s="115">
        <v>1439.4</v>
      </c>
      <c r="D2246" s="117"/>
      <c r="E2246" s="108"/>
      <c r="F2246" s="118"/>
      <c r="G2246"/>
    </row>
    <row r="2247" spans="1:7">
      <c r="A2247" s="116">
        <v>45710</v>
      </c>
      <c r="B2247" s="115">
        <v>1439.4</v>
      </c>
      <c r="D2247" s="117"/>
      <c r="E2247" s="108"/>
      <c r="F2247" s="118"/>
      <c r="G2247"/>
    </row>
    <row r="2248" spans="1:7">
      <c r="A2248" s="116">
        <v>45711</v>
      </c>
      <c r="B2248" s="115">
        <v>1439.4</v>
      </c>
      <c r="D2248" s="117"/>
      <c r="E2248" s="108"/>
      <c r="F2248" s="118"/>
      <c r="G2248"/>
    </row>
    <row r="2249" spans="1:7">
      <c r="A2249" s="116">
        <v>45712</v>
      </c>
      <c r="B2249" s="115">
        <v>1434.1</v>
      </c>
      <c r="D2249" s="117"/>
      <c r="E2249" s="108"/>
      <c r="F2249" s="118"/>
      <c r="G2249"/>
    </row>
    <row r="2250" spans="1:7">
      <c r="A2250" s="116">
        <v>45713</v>
      </c>
      <c r="B2250" s="115">
        <v>1429.2</v>
      </c>
      <c r="D2250" s="117"/>
      <c r="E2250" s="108"/>
      <c r="F2250" s="118"/>
      <c r="G2250"/>
    </row>
    <row r="2251" spans="1:7">
      <c r="A2251" s="116">
        <v>45714</v>
      </c>
      <c r="B2251" s="115">
        <v>1430.7</v>
      </c>
      <c r="D2251" s="117"/>
      <c r="E2251" s="108"/>
      <c r="F2251" s="118"/>
      <c r="G2251"/>
    </row>
    <row r="2252" spans="1:7">
      <c r="A2252" s="116">
        <v>45715</v>
      </c>
      <c r="B2252" s="115">
        <v>1431.8</v>
      </c>
      <c r="D2252" s="117"/>
      <c r="E2252" s="108"/>
      <c r="F2252" s="118"/>
      <c r="G2252"/>
    </row>
    <row r="2253" spans="1:7">
      <c r="A2253" s="116">
        <v>45716</v>
      </c>
      <c r="B2253" s="115">
        <v>1439.6</v>
      </c>
      <c r="D2253" s="117"/>
      <c r="E2253" s="108"/>
      <c r="F2253" s="118"/>
      <c r="G2253"/>
    </row>
    <row r="2254" spans="1:7">
      <c r="A2254" s="119" t="s">
        <v>84</v>
      </c>
      <c r="B2254" s="120"/>
      <c r="D2254" s="121"/>
      <c r="E2254" s="108"/>
      <c r="F2254" s="121"/>
      <c r="G2254"/>
    </row>
    <row r="2255" spans="1:7">
      <c r="A2255" s="116">
        <v>45717</v>
      </c>
      <c r="B2255" s="110">
        <v>1439.6</v>
      </c>
      <c r="E2255" s="108"/>
      <c r="G2255"/>
    </row>
    <row r="2256" spans="1:7">
      <c r="A2256" s="116">
        <v>45718</v>
      </c>
      <c r="B2256" s="110">
        <v>1439.6</v>
      </c>
    </row>
    <row r="2257" spans="1:2">
      <c r="A2257" s="116">
        <v>45719</v>
      </c>
      <c r="B2257" s="110">
        <v>1439.6</v>
      </c>
    </row>
    <row r="2258" spans="1:2">
      <c r="A2258" s="116">
        <v>45720</v>
      </c>
      <c r="B2258" s="110">
        <v>1458.7</v>
      </c>
    </row>
    <row r="2259" spans="1:2">
      <c r="A2259" s="116">
        <v>45721</v>
      </c>
      <c r="B2259" s="110">
        <v>1459.6</v>
      </c>
    </row>
    <row r="2260" spans="1:2">
      <c r="A2260" s="116">
        <v>45722</v>
      </c>
      <c r="B2260" s="110">
        <v>1456</v>
      </c>
    </row>
    <row r="2261" spans="1:2">
      <c r="A2261" s="116">
        <v>45723</v>
      </c>
      <c r="B2261" s="110">
        <v>1441.6</v>
      </c>
    </row>
    <row r="2262" spans="1:2">
      <c r="A2262" s="116">
        <v>45724</v>
      </c>
      <c r="B2262" s="110">
        <v>1441.6</v>
      </c>
    </row>
    <row r="2263" spans="1:2">
      <c r="A2263" s="116">
        <v>45725</v>
      </c>
      <c r="B2263" s="110">
        <v>1441.6</v>
      </c>
    </row>
    <row r="2264" spans="1:2">
      <c r="A2264" s="116">
        <v>45726</v>
      </c>
      <c r="B2264" s="110">
        <v>1446.3</v>
      </c>
    </row>
    <row r="2265" spans="1:2">
      <c r="A2265" s="116">
        <v>45727</v>
      </c>
      <c r="B2265" s="110">
        <v>1451.5</v>
      </c>
    </row>
    <row r="2266" spans="1:2">
      <c r="A2266" s="116">
        <v>45728</v>
      </c>
      <c r="B2266" s="110">
        <v>1457.9</v>
      </c>
    </row>
    <row r="2267" spans="1:2">
      <c r="A2267" s="116">
        <v>45729</v>
      </c>
      <c r="B2267" s="110">
        <v>1452</v>
      </c>
    </row>
    <row r="2268" spans="1:2">
      <c r="A2268" s="116">
        <v>45730</v>
      </c>
      <c r="B2268" s="110">
        <v>1451.9</v>
      </c>
    </row>
    <row r="2269" spans="1:2">
      <c r="A2269" s="116">
        <v>45731</v>
      </c>
      <c r="B2269" s="110">
        <v>1451.9</v>
      </c>
    </row>
    <row r="2270" spans="1:2">
      <c r="A2270" s="116">
        <v>45732</v>
      </c>
      <c r="B2270" s="110">
        <v>1451.9</v>
      </c>
    </row>
    <row r="2271" spans="1:2">
      <c r="A2271" s="116">
        <v>45733</v>
      </c>
      <c r="B2271" s="110">
        <v>1454.8</v>
      </c>
    </row>
    <row r="2272" spans="1:2">
      <c r="A2272" s="116">
        <v>45734</v>
      </c>
      <c r="B2272" s="110">
        <v>1448</v>
      </c>
    </row>
    <row r="2273" spans="1:2">
      <c r="A2273" s="116">
        <v>45735</v>
      </c>
      <c r="B2273" s="110">
        <v>1447.1</v>
      </c>
    </row>
    <row r="2274" spans="1:2">
      <c r="A2274" s="116">
        <v>45736</v>
      </c>
      <c r="B2274" s="110">
        <v>1452.3</v>
      </c>
    </row>
    <row r="2275" spans="1:2">
      <c r="A2275" s="116">
        <v>45737</v>
      </c>
      <c r="B2275" s="110">
        <v>1459.2</v>
      </c>
    </row>
    <row r="2276" spans="1:2">
      <c r="A2276" s="116">
        <v>45738</v>
      </c>
      <c r="B2276" s="110">
        <v>1459.2</v>
      </c>
    </row>
    <row r="2277" spans="1:2">
      <c r="A2277" s="116">
        <v>45739</v>
      </c>
      <c r="B2277" s="110">
        <v>1459.2</v>
      </c>
    </row>
    <row r="2278" spans="1:2">
      <c r="A2278" s="116">
        <v>45740</v>
      </c>
      <c r="B2278" s="110">
        <v>1466.9</v>
      </c>
    </row>
    <row r="2279" spans="1:2">
      <c r="A2279" s="116">
        <v>45741</v>
      </c>
      <c r="B2279" s="110">
        <v>1466.9</v>
      </c>
    </row>
    <row r="2280" spans="1:2">
      <c r="A2280" s="116">
        <v>45742</v>
      </c>
      <c r="B2280" s="110">
        <v>1469.6</v>
      </c>
    </row>
    <row r="2281" spans="1:2">
      <c r="A2281" s="116">
        <v>45743</v>
      </c>
      <c r="B2281" s="110">
        <v>1465.3</v>
      </c>
    </row>
    <row r="2282" spans="1:2">
      <c r="A2282" s="116">
        <v>45744</v>
      </c>
      <c r="B2282" s="110">
        <v>1466.8</v>
      </c>
    </row>
    <row r="2283" spans="1:2">
      <c r="A2283" s="116">
        <v>45745</v>
      </c>
      <c r="B2283" s="110">
        <v>1466.8</v>
      </c>
    </row>
    <row r="2284" spans="1:2">
      <c r="A2284" s="116">
        <v>45746</v>
      </c>
      <c r="B2284" s="110">
        <v>1466.8</v>
      </c>
    </row>
    <row r="2285" spans="1:2">
      <c r="A2285" s="116">
        <v>45747</v>
      </c>
      <c r="B2285" s="110">
        <v>1466.5</v>
      </c>
    </row>
    <row r="2286" spans="1:2">
      <c r="A2286" s="116">
        <v>45748</v>
      </c>
      <c r="B2286" s="110">
        <v>1470.6</v>
      </c>
    </row>
    <row r="2287" spans="1:2">
      <c r="A2287" s="116">
        <v>45749</v>
      </c>
      <c r="B2287" s="110">
        <v>1471.7</v>
      </c>
    </row>
    <row r="2288" spans="1:2">
      <c r="A2288" s="116">
        <v>45750</v>
      </c>
      <c r="B2288" s="110">
        <v>1467.8</v>
      </c>
    </row>
    <row r="2289" spans="1:2">
      <c r="A2289" s="116">
        <v>45751</v>
      </c>
      <c r="B2289" s="110">
        <v>1467</v>
      </c>
    </row>
    <row r="2290" spans="1:2">
      <c r="A2290" s="116">
        <v>45752</v>
      </c>
      <c r="B2290" s="110">
        <v>1467</v>
      </c>
    </row>
    <row r="2291" spans="1:2">
      <c r="A2291" s="116">
        <v>45753</v>
      </c>
      <c r="B2291" s="110">
        <v>1467</v>
      </c>
    </row>
    <row r="2292" spans="1:2">
      <c r="A2292" s="116">
        <v>45754</v>
      </c>
      <c r="B2292" s="110">
        <v>1439.3</v>
      </c>
    </row>
    <row r="2293" spans="1:2">
      <c r="A2293" s="116">
        <v>45755</v>
      </c>
      <c r="B2293" s="110">
        <v>1465.9</v>
      </c>
    </row>
    <row r="2294" spans="1:2">
      <c r="A2294" s="116">
        <v>45756</v>
      </c>
      <c r="B2294" s="110">
        <v>1470.2</v>
      </c>
    </row>
    <row r="2295" spans="1:2">
      <c r="A2295" s="116">
        <v>45757</v>
      </c>
      <c r="B2295" s="110">
        <v>1482.9</v>
      </c>
    </row>
    <row r="2296" spans="1:2">
      <c r="A2296" s="116">
        <v>45758</v>
      </c>
      <c r="B2296" s="110">
        <v>1458.5</v>
      </c>
    </row>
    <row r="2297" spans="1:2">
      <c r="A2297" s="116">
        <v>45759</v>
      </c>
      <c r="B2297" s="110">
        <v>1458.5</v>
      </c>
    </row>
    <row r="2298" spans="1:2">
      <c r="A2298" s="116">
        <v>45760</v>
      </c>
      <c r="B2298" s="110">
        <v>1458.5</v>
      </c>
    </row>
    <row r="2299" spans="1:2">
      <c r="A2299" s="116">
        <v>45761</v>
      </c>
      <c r="B2299" s="110">
        <v>1450.8</v>
      </c>
    </row>
    <row r="2300" spans="1:2">
      <c r="A2300" s="116">
        <v>45762</v>
      </c>
      <c r="B2300" s="110">
        <v>1427.4</v>
      </c>
    </row>
    <row r="2301" spans="1:2">
      <c r="A2301" s="116">
        <v>45763</v>
      </c>
      <c r="B2301" s="110">
        <v>1423.3</v>
      </c>
    </row>
    <row r="2302" spans="1:2">
      <c r="A2302" s="116">
        <v>45764</v>
      </c>
      <c r="B2302" s="110">
        <v>1427.3</v>
      </c>
    </row>
    <row r="2303" spans="1:2">
      <c r="A2303" s="116">
        <v>45765</v>
      </c>
      <c r="B2303" s="110">
        <v>1419.9</v>
      </c>
    </row>
    <row r="2304" spans="1:2">
      <c r="A2304" s="116">
        <v>45766</v>
      </c>
      <c r="B2304" s="110">
        <v>1419.9</v>
      </c>
    </row>
    <row r="2305" spans="1:2">
      <c r="A2305" s="116">
        <v>45767</v>
      </c>
      <c r="B2305" s="110">
        <v>1419.9</v>
      </c>
    </row>
    <row r="2306" spans="1:2">
      <c r="A2306" s="116">
        <v>45768</v>
      </c>
      <c r="B2306" s="110">
        <v>1421.5</v>
      </c>
    </row>
    <row r="2307" spans="1:2">
      <c r="A2307" s="116">
        <v>45769</v>
      </c>
      <c r="B2307" s="110">
        <v>1418.9</v>
      </c>
    </row>
    <row r="2308" spans="1:2">
      <c r="A2308" s="116">
        <v>45770</v>
      </c>
      <c r="B2308" s="110">
        <v>1422.6</v>
      </c>
    </row>
    <row r="2309" spans="1:2">
      <c r="A2309" s="116">
        <v>45771</v>
      </c>
      <c r="B2309" s="110">
        <v>1426.6</v>
      </c>
    </row>
    <row r="2310" spans="1:2">
      <c r="A2310" s="116">
        <v>45772</v>
      </c>
      <c r="B2310" s="110">
        <v>1430.2</v>
      </c>
    </row>
    <row r="2311" spans="1:2">
      <c r="A2311" s="116">
        <v>45773</v>
      </c>
      <c r="B2311" s="110">
        <v>1430.2</v>
      </c>
    </row>
    <row r="2312" spans="1:2">
      <c r="A2312" s="116">
        <v>45774</v>
      </c>
      <c r="B2312" s="110">
        <v>1430.2</v>
      </c>
    </row>
    <row r="2313" spans="1:2">
      <c r="A2313" s="116">
        <v>45775</v>
      </c>
      <c r="B2313" s="110">
        <v>1434.6</v>
      </c>
    </row>
    <row r="2314" spans="1:2">
      <c r="A2314" s="116">
        <v>45776</v>
      </c>
      <c r="B2314" s="110">
        <v>1439.3</v>
      </c>
    </row>
    <row r="2315" spans="1:2">
      <c r="A2315" s="116">
        <v>45777</v>
      </c>
      <c r="B2315" s="110">
        <v>1438.5</v>
      </c>
    </row>
    <row r="2316" spans="1:2">
      <c r="A2316" s="116">
        <v>45778</v>
      </c>
      <c r="B2316" s="110">
        <v>1438.5</v>
      </c>
    </row>
    <row r="2317" spans="1:2">
      <c r="A2317" s="116">
        <v>45779</v>
      </c>
      <c r="B2317" s="110">
        <v>1426.9</v>
      </c>
    </row>
    <row r="2318" spans="1:2">
      <c r="A2318" s="116">
        <v>45780</v>
      </c>
      <c r="B2318" s="110">
        <v>1426.9</v>
      </c>
    </row>
    <row r="2319" spans="1:2">
      <c r="A2319" s="116">
        <v>45781</v>
      </c>
      <c r="B2319" s="110">
        <v>1426.9</v>
      </c>
    </row>
    <row r="2320" spans="1:2">
      <c r="A2320" s="116">
        <v>45782</v>
      </c>
      <c r="B2320" s="110">
        <v>1426.9</v>
      </c>
    </row>
    <row r="2321" spans="1:2">
      <c r="A2321" s="116">
        <v>45783</v>
      </c>
      <c r="B2321" s="110">
        <v>1426.9</v>
      </c>
    </row>
    <row r="2322" spans="1:2">
      <c r="A2322" s="116">
        <v>45784</v>
      </c>
      <c r="B2322" s="110">
        <v>1426.6</v>
      </c>
    </row>
    <row r="2323" spans="1:2">
      <c r="A2323" s="116">
        <v>45785</v>
      </c>
      <c r="B2323" s="110">
        <v>1394.1</v>
      </c>
    </row>
    <row r="2324" spans="1:2">
      <c r="A2324" s="116">
        <v>45786</v>
      </c>
      <c r="B2324" s="110">
        <v>1396</v>
      </c>
    </row>
    <row r="2325" spans="1:2">
      <c r="A2325" s="116">
        <v>45787</v>
      </c>
      <c r="B2325" s="110">
        <v>1396</v>
      </c>
    </row>
    <row r="2326" spans="1:2">
      <c r="A2326" s="116">
        <v>45788</v>
      </c>
      <c r="B2326" s="110">
        <v>1396</v>
      </c>
    </row>
    <row r="2327" spans="1:2">
      <c r="A2327" s="116">
        <v>45789</v>
      </c>
      <c r="B2327" s="110">
        <v>1405.6</v>
      </c>
    </row>
    <row r="2328" spans="1:2">
      <c r="A2328" s="116">
        <v>45790</v>
      </c>
      <c r="B2328" s="110">
        <v>1400.4</v>
      </c>
    </row>
    <row r="2329" spans="1:2">
      <c r="A2329" s="116">
        <v>45791</v>
      </c>
      <c r="B2329" s="110">
        <v>1413.7</v>
      </c>
    </row>
    <row r="2330" spans="1:2">
      <c r="A2330" s="116">
        <v>45792</v>
      </c>
      <c r="B2330" s="110">
        <v>1415.8</v>
      </c>
    </row>
    <row r="2331" spans="1:2">
      <c r="A2331" s="116">
        <v>45793</v>
      </c>
      <c r="B2331" s="110">
        <v>1399.6</v>
      </c>
    </row>
    <row r="2332" spans="1:2">
      <c r="A2332" s="116">
        <v>45794</v>
      </c>
      <c r="B2332" s="110">
        <v>1399.6</v>
      </c>
    </row>
    <row r="2333" spans="1:2">
      <c r="A2333" s="116">
        <v>45795</v>
      </c>
      <c r="B2333" s="110">
        <v>1399.6</v>
      </c>
    </row>
    <row r="2334" spans="1:2">
      <c r="A2334" s="116">
        <v>45796</v>
      </c>
      <c r="B2334" s="110">
        <v>1394.3</v>
      </c>
    </row>
    <row r="2335" spans="1:2">
      <c r="A2335" s="116">
        <v>45797</v>
      </c>
      <c r="B2335" s="110">
        <v>1398</v>
      </c>
    </row>
    <row r="2336" spans="1:2">
      <c r="A2336" s="116">
        <v>45798</v>
      </c>
      <c r="B2336" s="110">
        <v>1392.6</v>
      </c>
    </row>
    <row r="2337" spans="1:3">
      <c r="A2337" s="116">
        <v>45799</v>
      </c>
      <c r="B2337" s="110">
        <v>1387.1</v>
      </c>
    </row>
    <row r="2338" spans="1:3">
      <c r="A2338" s="116">
        <v>45800</v>
      </c>
      <c r="B2338" s="110">
        <v>1378.4</v>
      </c>
    </row>
    <row r="2339" spans="1:3">
      <c r="A2339" s="116">
        <v>45801</v>
      </c>
      <c r="B2339" s="110">
        <v>1378.4</v>
      </c>
    </row>
    <row r="2340" spans="1:3">
      <c r="A2340" s="116">
        <v>45802</v>
      </c>
      <c r="B2340" s="110">
        <v>1378.4</v>
      </c>
    </row>
    <row r="2341" spans="1:3">
      <c r="A2341" s="116">
        <v>45803</v>
      </c>
      <c r="B2341" s="110">
        <v>1376.9</v>
      </c>
    </row>
    <row r="2342" spans="1:3">
      <c r="A2342" s="116">
        <v>45804</v>
      </c>
      <c r="B2342" s="110">
        <v>1365</v>
      </c>
    </row>
    <row r="2343" spans="1:3">
      <c r="A2343" s="116">
        <v>45805</v>
      </c>
      <c r="B2343" s="110">
        <v>1368.3</v>
      </c>
    </row>
    <row r="2344" spans="1:3">
      <c r="A2344" s="116">
        <v>45806</v>
      </c>
      <c r="B2344" s="110">
        <v>1374.6</v>
      </c>
      <c r="C2344" s="113"/>
    </row>
    <row r="2345" spans="1:3">
      <c r="A2345" s="116">
        <v>45807</v>
      </c>
      <c r="B2345" s="110">
        <v>1381.4</v>
      </c>
    </row>
    <row r="2346" spans="1:3">
      <c r="A2346" s="116">
        <v>45808</v>
      </c>
      <c r="B2346" s="110">
        <f>B2345</f>
        <v>1381.4</v>
      </c>
    </row>
    <row r="2347" spans="1:3">
      <c r="A2347" s="116">
        <v>45809</v>
      </c>
      <c r="B2347" s="110">
        <f>B2345</f>
        <v>1381.4</v>
      </c>
    </row>
    <row r="2348" spans="1:3">
      <c r="A2348" s="116">
        <v>45810</v>
      </c>
      <c r="B2348" s="110">
        <v>1375.7</v>
      </c>
    </row>
    <row r="2349" spans="1:3">
      <c r="A2349" s="116">
        <v>45811</v>
      </c>
      <c r="B2349" s="110">
        <v>1375.7</v>
      </c>
    </row>
    <row r="2350" spans="1:3">
      <c r="A2350" s="116">
        <v>45812</v>
      </c>
      <c r="B2350" s="110">
        <v>1376.9</v>
      </c>
    </row>
    <row r="2351" spans="1:3">
      <c r="A2351" s="116">
        <v>45813</v>
      </c>
      <c r="B2351" s="110">
        <v>1373.8</v>
      </c>
    </row>
    <row r="2352" spans="1:3">
      <c r="A2352" s="116">
        <v>45814</v>
      </c>
      <c r="B2352" s="110">
        <v>1373.8</v>
      </c>
    </row>
    <row r="2353" spans="1:2">
      <c r="A2353" s="116">
        <v>45815</v>
      </c>
      <c r="B2353" s="110">
        <v>1373.8</v>
      </c>
    </row>
    <row r="2354" spans="1:2">
      <c r="A2354" s="116">
        <v>45816</v>
      </c>
      <c r="B2354" s="110">
        <v>1373.8</v>
      </c>
    </row>
    <row r="2355" spans="1:2">
      <c r="A2355" s="116">
        <v>45817</v>
      </c>
      <c r="B2355" s="110">
        <v>1359</v>
      </c>
    </row>
    <row r="2356" spans="1:2">
      <c r="A2356" s="116">
        <v>45818</v>
      </c>
      <c r="B2356" s="110">
        <v>1358.9</v>
      </c>
    </row>
    <row r="2357" spans="1:2">
      <c r="A2357" s="116">
        <v>45819</v>
      </c>
      <c r="B2357" s="110">
        <v>1359.9</v>
      </c>
    </row>
    <row r="2358" spans="1:2">
      <c r="A2358" s="116">
        <v>45820</v>
      </c>
      <c r="B2358" s="110">
        <v>1368.8</v>
      </c>
    </row>
    <row r="2359" spans="1:2">
      <c r="A2359" s="116">
        <v>45821</v>
      </c>
      <c r="B2359" s="110">
        <v>1362.9</v>
      </c>
    </row>
    <row r="2360" spans="1:2">
      <c r="A2360" s="116">
        <v>45822</v>
      </c>
      <c r="B2360" s="110">
        <v>1362.9</v>
      </c>
    </row>
    <row r="2361" spans="1:2">
      <c r="A2361" s="116">
        <v>45823</v>
      </c>
      <c r="B2361" s="110">
        <v>1362.9</v>
      </c>
    </row>
    <row r="2362" spans="1:2">
      <c r="A2362" s="116">
        <v>45824</v>
      </c>
      <c r="B2362" s="110">
        <v>1366.8</v>
      </c>
    </row>
    <row r="2363" spans="1:2">
      <c r="A2363" s="116">
        <v>45825</v>
      </c>
      <c r="B2363" s="110">
        <v>1363.6</v>
      </c>
    </row>
    <row r="2364" spans="1:2">
      <c r="A2364" s="116">
        <v>45826</v>
      </c>
      <c r="B2364" s="110">
        <v>1361.7</v>
      </c>
    </row>
    <row r="2365" spans="1:2">
      <c r="A2365" s="116">
        <v>45827</v>
      </c>
      <c r="B2365" s="110">
        <v>1373.2</v>
      </c>
    </row>
    <row r="2366" spans="1:2">
      <c r="A2366" s="116">
        <v>45828</v>
      </c>
      <c r="B2366" s="110">
        <v>1379.6</v>
      </c>
    </row>
    <row r="2367" spans="1:2">
      <c r="A2367" s="116">
        <v>45829</v>
      </c>
      <c r="B2367" s="110">
        <v>1379.6</v>
      </c>
    </row>
    <row r="2368" spans="1:2">
      <c r="A2368" s="116">
        <v>45830</v>
      </c>
      <c r="B2368" s="110">
        <v>1379.6</v>
      </c>
    </row>
    <row r="2369" spans="1:7">
      <c r="A2369" s="116">
        <v>45831</v>
      </c>
      <c r="B2369" s="110">
        <v>1369.4</v>
      </c>
    </row>
    <row r="2370" spans="1:7">
      <c r="A2370" s="116">
        <v>45832</v>
      </c>
      <c r="B2370" s="110">
        <v>1381.9</v>
      </c>
    </row>
    <row r="2371" spans="1:7">
      <c r="A2371" s="116">
        <v>45833</v>
      </c>
      <c r="B2371" s="110">
        <v>1365</v>
      </c>
    </row>
    <row r="2372" spans="1:7">
      <c r="A2372" s="116">
        <v>45834</v>
      </c>
      <c r="B2372" s="110">
        <v>1360.9</v>
      </c>
    </row>
    <row r="2373" spans="1:7">
      <c r="A2373" s="116">
        <v>45835</v>
      </c>
      <c r="B2373" s="110">
        <v>1357.6</v>
      </c>
    </row>
    <row r="2374" spans="1:7">
      <c r="A2374" s="116">
        <v>45836</v>
      </c>
      <c r="B2374" s="110">
        <v>1357.6</v>
      </c>
    </row>
    <row r="2375" spans="1:7">
      <c r="A2375" s="116">
        <v>45837</v>
      </c>
      <c r="B2375" s="110">
        <v>1357.6</v>
      </c>
    </row>
    <row r="2376" spans="1:7">
      <c r="A2376" s="116">
        <v>45838</v>
      </c>
      <c r="B2376" s="110">
        <v>1356.4</v>
      </c>
      <c r="G2376" s="122"/>
    </row>
    <row r="2377" spans="1:7">
      <c r="A2377" s="116">
        <v>45839</v>
      </c>
      <c r="B2377" s="110">
        <v>1353.6</v>
      </c>
      <c r="G2377" s="122"/>
    </row>
    <row r="2378" spans="1:7">
      <c r="A2378" s="116">
        <v>45840</v>
      </c>
      <c r="B2378" s="110">
        <v>1352.6</v>
      </c>
      <c r="G2378" s="122"/>
    </row>
    <row r="2379" spans="1:7">
      <c r="A2379" s="116">
        <v>45841</v>
      </c>
      <c r="B2379" s="110">
        <v>1359.4</v>
      </c>
      <c r="G2379" s="122"/>
    </row>
    <row r="2380" spans="1:7">
      <c r="A2380" s="116">
        <v>45842</v>
      </c>
      <c r="B2380" s="110">
        <v>1358.1</v>
      </c>
      <c r="G2380" s="122"/>
    </row>
    <row r="2381" spans="1:7">
      <c r="A2381" s="116">
        <v>45843</v>
      </c>
      <c r="B2381" s="110">
        <v>1358.1</v>
      </c>
      <c r="G2381" s="122"/>
    </row>
    <row r="2382" spans="1:7">
      <c r="A2382" s="116">
        <v>45844</v>
      </c>
      <c r="B2382" s="110">
        <v>1358.1</v>
      </c>
      <c r="G2382" s="122"/>
    </row>
    <row r="2383" spans="1:7">
      <c r="A2383" s="116">
        <v>45845</v>
      </c>
      <c r="B2383" s="110">
        <v>1364.2</v>
      </c>
    </row>
    <row r="2384" spans="1:7">
      <c r="A2384" s="116">
        <v>45846</v>
      </c>
      <c r="B2384" s="110">
        <v>1366.6</v>
      </c>
    </row>
    <row r="2385" spans="1:2">
      <c r="A2385" s="116">
        <v>45847</v>
      </c>
      <c r="B2385" s="110">
        <v>1368</v>
      </c>
    </row>
    <row r="2386" spans="1:2">
      <c r="A2386" s="116">
        <v>45848</v>
      </c>
      <c r="B2386" s="110">
        <v>1373.8</v>
      </c>
    </row>
    <row r="2387" spans="1:2">
      <c r="A2387" s="116">
        <v>45849</v>
      </c>
      <c r="B2387" s="110">
        <v>1373</v>
      </c>
    </row>
    <row r="2388" spans="1:2">
      <c r="A2388" s="116">
        <v>45850</v>
      </c>
      <c r="B2388" s="110">
        <v>1373</v>
      </c>
    </row>
    <row r="2389" spans="1:2">
      <c r="A2389" s="116">
        <v>45851</v>
      </c>
      <c r="B2389" s="110">
        <v>1373</v>
      </c>
    </row>
    <row r="2390" spans="1:2">
      <c r="A2390" s="116">
        <v>45852</v>
      </c>
      <c r="B2390" s="110">
        <v>1374.7</v>
      </c>
    </row>
    <row r="2391" spans="1:2">
      <c r="A2391" s="116">
        <v>45853</v>
      </c>
      <c r="B2391" s="110">
        <v>1378.5</v>
      </c>
    </row>
    <row r="2392" spans="1:2">
      <c r="A2392" s="116">
        <v>45854</v>
      </c>
      <c r="B2392" s="110">
        <v>1382.7</v>
      </c>
    </row>
    <row r="2393" spans="1:2">
      <c r="A2393" s="116">
        <v>45855</v>
      </c>
      <c r="B2393" s="110">
        <v>1387.1</v>
      </c>
    </row>
    <row r="2394" spans="1:2">
      <c r="A2394" s="116">
        <v>45856</v>
      </c>
      <c r="B2394" s="110">
        <v>1390.8</v>
      </c>
    </row>
    <row r="2395" spans="1:2">
      <c r="A2395" s="116">
        <v>45857</v>
      </c>
      <c r="B2395" s="110">
        <v>1390.8</v>
      </c>
    </row>
    <row r="2396" spans="1:2">
      <c r="A2396" s="116">
        <v>45858</v>
      </c>
      <c r="B2396" s="110">
        <v>1390.8</v>
      </c>
    </row>
    <row r="2397" spans="1:2">
      <c r="A2397" s="116">
        <v>45859</v>
      </c>
      <c r="B2397" s="110">
        <v>1391.9</v>
      </c>
    </row>
    <row r="2398" spans="1:2">
      <c r="A2398" s="116">
        <v>45860</v>
      </c>
      <c r="B2398" s="110">
        <v>1391.1</v>
      </c>
    </row>
    <row r="2399" spans="1:2">
      <c r="A2399" s="116">
        <v>45861</v>
      </c>
      <c r="B2399" s="110">
        <v>1386.3</v>
      </c>
    </row>
    <row r="2400" spans="1:2">
      <c r="A2400" s="116">
        <v>45862</v>
      </c>
      <c r="B2400" s="110">
        <v>1379.1</v>
      </c>
    </row>
    <row r="2401" spans="1:2">
      <c r="A2401" s="116">
        <v>45863</v>
      </c>
      <c r="B2401" s="110">
        <v>1368.7</v>
      </c>
    </row>
    <row r="2402" spans="1:2">
      <c r="A2402" s="116">
        <v>45864</v>
      </c>
      <c r="B2402" s="110">
        <v>1368.7</v>
      </c>
    </row>
    <row r="2403" spans="1:2">
      <c r="A2403" s="116">
        <v>45865</v>
      </c>
      <c r="B2403" s="110">
        <v>1368.7</v>
      </c>
    </row>
    <row r="2404" spans="1:2">
      <c r="A2404" s="116">
        <v>45866</v>
      </c>
      <c r="B2404" s="110">
        <v>1376</v>
      </c>
    </row>
    <row r="2405" spans="1:2">
      <c r="A2405" s="116">
        <v>45867</v>
      </c>
      <c r="B2405" s="110">
        <v>1379.6</v>
      </c>
    </row>
    <row r="2406" spans="1:2">
      <c r="A2406" s="116">
        <v>45868</v>
      </c>
      <c r="B2406" s="110">
        <v>1391.4</v>
      </c>
    </row>
    <row r="2407" spans="1:2">
      <c r="A2407" s="116">
        <v>45869</v>
      </c>
      <c r="B2407" s="110">
        <v>1382.9</v>
      </c>
    </row>
    <row r="2408" spans="1:2">
      <c r="A2408" s="116">
        <v>45870</v>
      </c>
      <c r="B2408" s="110">
        <v>1390.4</v>
      </c>
    </row>
    <row r="2409" spans="1:2">
      <c r="A2409" s="116">
        <v>45871</v>
      </c>
      <c r="B2409" s="110">
        <v>1390.4</v>
      </c>
    </row>
    <row r="2410" spans="1:2">
      <c r="A2410" s="116">
        <v>45872</v>
      </c>
      <c r="B2410" s="110">
        <v>1390.4</v>
      </c>
    </row>
    <row r="2411" spans="1:2">
      <c r="A2411" s="116">
        <v>45873</v>
      </c>
      <c r="B2411" s="110">
        <v>1399.3</v>
      </c>
    </row>
    <row r="2412" spans="1:2">
      <c r="A2412" s="116">
        <v>45874</v>
      </c>
      <c r="B2412" s="110">
        <v>1384.9</v>
      </c>
    </row>
    <row r="2413" spans="1:2">
      <c r="A2413" s="116">
        <v>45875</v>
      </c>
      <c r="B2413" s="110">
        <v>1386.7</v>
      </c>
    </row>
    <row r="2414" spans="1:2">
      <c r="A2414" s="116">
        <v>45876</v>
      </c>
      <c r="B2414" s="110">
        <v>1389.5</v>
      </c>
    </row>
    <row r="2415" spans="1:2">
      <c r="A2415" s="116">
        <v>45877</v>
      </c>
      <c r="B2415" s="110">
        <v>1384.2</v>
      </c>
    </row>
    <row r="2416" spans="1:2">
      <c r="A2416" s="116">
        <v>45878</v>
      </c>
      <c r="B2416" s="110">
        <v>1384.2</v>
      </c>
    </row>
    <row r="2417" spans="1:2">
      <c r="A2417" s="116">
        <v>45879</v>
      </c>
      <c r="B2417" s="110">
        <v>1384.2</v>
      </c>
    </row>
    <row r="2418" spans="1:2">
      <c r="A2418" s="116">
        <v>45880</v>
      </c>
      <c r="B2418" s="110">
        <v>1386</v>
      </c>
    </row>
    <row r="2419" spans="1:2">
      <c r="A2419" s="116">
        <v>45881</v>
      </c>
      <c r="B2419" s="110">
        <v>1388.3</v>
      </c>
    </row>
    <row r="2420" spans="1:2">
      <c r="A2420" s="116">
        <v>45882</v>
      </c>
      <c r="B2420" s="110">
        <v>1390.2</v>
      </c>
    </row>
    <row r="2421" spans="1:2">
      <c r="A2421" s="116">
        <v>45883</v>
      </c>
      <c r="B2421" s="110">
        <v>1383.8</v>
      </c>
    </row>
    <row r="2422" spans="1:2">
      <c r="A2422" s="116">
        <v>45884</v>
      </c>
      <c r="B2422" s="110">
        <v>1383.8</v>
      </c>
    </row>
    <row r="2423" spans="1:2">
      <c r="A2423" s="116">
        <v>45885</v>
      </c>
      <c r="B2423" s="110">
        <v>1383.8</v>
      </c>
    </row>
    <row r="2424" spans="1:2">
      <c r="A2424" s="116">
        <v>45886</v>
      </c>
      <c r="B2424" s="110">
        <v>1383.8</v>
      </c>
    </row>
    <row r="2425" spans="1:2">
      <c r="A2425" s="116">
        <v>45887</v>
      </c>
      <c r="B2425" s="110">
        <v>1382.2</v>
      </c>
    </row>
    <row r="2426" spans="1:2">
      <c r="A2426" s="116">
        <v>45888</v>
      </c>
      <c r="B2426" s="110">
        <v>1385.3</v>
      </c>
    </row>
    <row r="2427" spans="1:2">
      <c r="A2427" s="116">
        <v>45889</v>
      </c>
      <c r="B2427" s="110">
        <v>1389.4</v>
      </c>
    </row>
    <row r="2428" spans="1:2">
      <c r="A2428" s="116">
        <v>45890</v>
      </c>
      <c r="B2428" s="110">
        <v>1397.5</v>
      </c>
    </row>
    <row r="2429" spans="1:2">
      <c r="A2429" s="116">
        <v>45891</v>
      </c>
      <c r="B2429" s="110">
        <v>1398.1</v>
      </c>
    </row>
    <row r="2430" spans="1:2">
      <c r="A2430" s="116">
        <v>45892</v>
      </c>
      <c r="B2430" s="110">
        <v>1398.1</v>
      </c>
    </row>
    <row r="2431" spans="1:2">
      <c r="A2431" s="116">
        <v>45893</v>
      </c>
      <c r="B2431" s="110">
        <v>1398.1</v>
      </c>
    </row>
    <row r="2432" spans="1:2">
      <c r="A2432" s="116">
        <v>45894</v>
      </c>
      <c r="B2432" s="110">
        <v>1395.6</v>
      </c>
    </row>
    <row r="2433" spans="1:2">
      <c r="A2433" s="116">
        <v>45895</v>
      </c>
      <c r="B2433" s="110">
        <v>1386.3</v>
      </c>
    </row>
    <row r="2434" spans="1:2">
      <c r="A2434" s="116">
        <v>45896</v>
      </c>
      <c r="B2434" s="110">
        <v>1391.2</v>
      </c>
    </row>
    <row r="2435" spans="1:2">
      <c r="A2435" s="116">
        <v>45897</v>
      </c>
      <c r="B2435" s="110">
        <v>1395.7</v>
      </c>
    </row>
    <row r="2436" spans="1:2">
      <c r="A2436" s="116">
        <v>45898</v>
      </c>
      <c r="B2436" s="110">
        <v>1388.6</v>
      </c>
    </row>
    <row r="2437" spans="1:2">
      <c r="A2437" s="116">
        <v>45899</v>
      </c>
      <c r="B2437" s="110">
        <v>1388.6</v>
      </c>
    </row>
    <row r="2438" spans="1:2">
      <c r="A2438" s="116">
        <v>45900</v>
      </c>
      <c r="B2438" s="110">
        <v>1388.6</v>
      </c>
    </row>
    <row r="2439" spans="1:2">
      <c r="A2439" s="116">
        <v>45901</v>
      </c>
      <c r="B2439" s="110">
        <v>1387.7</v>
      </c>
    </row>
    <row r="2440" spans="1:2">
      <c r="A2440" s="116">
        <v>45902</v>
      </c>
      <c r="B2440" s="110">
        <v>1392.4</v>
      </c>
    </row>
    <row r="2441" spans="1:2">
      <c r="A2441" s="116">
        <v>45903</v>
      </c>
      <c r="B2441" s="110">
        <v>1392.2</v>
      </c>
    </row>
    <row r="2442" spans="1:2">
      <c r="A2442" s="116">
        <v>45904</v>
      </c>
      <c r="B2442" s="110">
        <v>1393.8</v>
      </c>
    </row>
    <row r="2443" spans="1:2">
      <c r="A2443" s="116">
        <v>45905</v>
      </c>
      <c r="B2443" s="110">
        <v>1392.7</v>
      </c>
    </row>
    <row r="2444" spans="1:2">
      <c r="A2444" s="116">
        <v>45906</v>
      </c>
      <c r="B2444" s="110">
        <v>1392.7</v>
      </c>
    </row>
    <row r="2445" spans="1:2">
      <c r="A2445" s="116">
        <v>45907</v>
      </c>
      <c r="B2445" s="110">
        <v>1392.7</v>
      </c>
    </row>
    <row r="2446" spans="1:2">
      <c r="A2446" s="116">
        <v>45908</v>
      </c>
      <c r="B2446" s="110">
        <v>1391.8</v>
      </c>
    </row>
    <row r="2447" spans="1:2">
      <c r="A2447" s="116">
        <v>45909</v>
      </c>
      <c r="B2447" s="110">
        <v>1390.4</v>
      </c>
    </row>
    <row r="2448" spans="1:2">
      <c r="A2448" s="116">
        <v>45910</v>
      </c>
      <c r="B2448" s="110">
        <v>1386.6</v>
      </c>
    </row>
    <row r="2449" spans="1:2">
      <c r="A2449" s="116">
        <v>45911</v>
      </c>
      <c r="B2449" s="110">
        <v>1387.6</v>
      </c>
    </row>
    <row r="2450" spans="1:2">
      <c r="A2450" s="116">
        <v>45912</v>
      </c>
      <c r="B2450" s="110">
        <v>1389.4</v>
      </c>
    </row>
    <row r="2451" spans="1:2">
      <c r="A2451" s="116">
        <v>45913</v>
      </c>
      <c r="B2451" s="110">
        <v>1389.4</v>
      </c>
    </row>
    <row r="2452" spans="1:2">
      <c r="A2452" s="116">
        <v>45914</v>
      </c>
      <c r="B2452" s="110">
        <v>1389.4</v>
      </c>
    </row>
    <row r="2453" spans="1:2">
      <c r="A2453" s="116">
        <v>45915</v>
      </c>
      <c r="B2453" s="110">
        <v>1388.7</v>
      </c>
    </row>
    <row r="2454" spans="1:2">
      <c r="A2454" s="116">
        <v>45916</v>
      </c>
      <c r="B2454" s="110">
        <v>1389.5</v>
      </c>
    </row>
    <row r="2455" spans="1:2">
      <c r="A2455" s="116">
        <v>45917</v>
      </c>
      <c r="B2455" s="110">
        <v>1382.3</v>
      </c>
    </row>
    <row r="2456" spans="1:2">
      <c r="A2456" s="116">
        <v>45918</v>
      </c>
      <c r="B2456" s="110">
        <v>1380</v>
      </c>
    </row>
    <row r="2457" spans="1:2">
      <c r="A2457" s="116">
        <v>45919</v>
      </c>
      <c r="B2457" s="110">
        <v>1384.6</v>
      </c>
    </row>
    <row r="2458" spans="1:2">
      <c r="A2458" s="116">
        <v>45920</v>
      </c>
      <c r="B2458" s="110">
        <v>1384.6</v>
      </c>
    </row>
    <row r="2459" spans="1:2">
      <c r="A2459" s="116">
        <v>45921</v>
      </c>
      <c r="B2459" s="110">
        <v>1384.6</v>
      </c>
    </row>
    <row r="2460" spans="1:2">
      <c r="A2460" s="116">
        <v>45922</v>
      </c>
      <c r="B2460" s="110">
        <v>1393.6</v>
      </c>
    </row>
    <row r="2461" spans="1:2">
      <c r="A2461" s="116">
        <v>45923</v>
      </c>
      <c r="B2461" s="110">
        <v>1394</v>
      </c>
    </row>
    <row r="2462" spans="1:2">
      <c r="A2462" s="116">
        <v>45924</v>
      </c>
      <c r="B2462" s="110">
        <v>1393.8</v>
      </c>
    </row>
    <row r="2463" spans="1:2">
      <c r="A2463" s="116">
        <v>45925</v>
      </c>
      <c r="B2463" s="110">
        <v>1394.9</v>
      </c>
    </row>
    <row r="2464" spans="1:2">
      <c r="A2464" s="116">
        <v>45926</v>
      </c>
      <c r="B2464" s="110">
        <v>1400.4</v>
      </c>
    </row>
    <row r="2465" spans="1:2">
      <c r="A2465" s="116">
        <v>45927</v>
      </c>
      <c r="B2465" s="110">
        <v>1400.4</v>
      </c>
    </row>
    <row r="2466" spans="1:2">
      <c r="A2466" s="116">
        <v>45928</v>
      </c>
      <c r="B2466" s="110">
        <v>1400.4</v>
      </c>
    </row>
    <row r="2467" spans="1:2">
      <c r="A2467" s="116">
        <v>45929</v>
      </c>
      <c r="B2467" s="110">
        <v>1411.6</v>
      </c>
    </row>
    <row r="2468" spans="1:2">
      <c r="A2468" s="116">
        <v>45930</v>
      </c>
      <c r="B2468" s="110">
        <v>1402.2</v>
      </c>
    </row>
    <row r="2469" spans="1:2">
      <c r="A2469" s="116">
        <v>45931</v>
      </c>
      <c r="B2469" s="110">
        <v>1403.2</v>
      </c>
    </row>
    <row r="2470" spans="1:2">
      <c r="A2470" s="116">
        <v>45932</v>
      </c>
      <c r="B2470" s="110">
        <v>1406</v>
      </c>
    </row>
    <row r="2471" spans="1:2">
      <c r="A2471" s="116">
        <v>45933</v>
      </c>
      <c r="B2471" s="110">
        <v>1406</v>
      </c>
    </row>
    <row r="2472" spans="1:2">
      <c r="A2472" s="116">
        <v>45934</v>
      </c>
      <c r="B2472" s="110">
        <v>1406</v>
      </c>
    </row>
    <row r="2473" spans="1:2">
      <c r="A2473" s="116">
        <v>45935</v>
      </c>
      <c r="B2473" s="110">
        <v>1406</v>
      </c>
    </row>
    <row r="2474" spans="1:2">
      <c r="A2474" s="116">
        <v>45936</v>
      </c>
      <c r="B2474" s="110">
        <v>1406</v>
      </c>
    </row>
    <row r="2475" spans="1:2">
      <c r="A2475" s="116">
        <v>45937</v>
      </c>
      <c r="B2475" s="110">
        <v>1406</v>
      </c>
    </row>
    <row r="2476" spans="1:2">
      <c r="A2476" s="116">
        <v>45938</v>
      </c>
      <c r="B2476" s="110">
        <v>1406</v>
      </c>
    </row>
    <row r="2477" spans="1:2">
      <c r="A2477" s="116">
        <v>45939</v>
      </c>
      <c r="B2477" s="110">
        <v>1406</v>
      </c>
    </row>
    <row r="2478" spans="1:2">
      <c r="A2478" s="116">
        <v>45940</v>
      </c>
      <c r="B2478" s="110">
        <v>1401.9</v>
      </c>
    </row>
    <row r="2479" spans="1:2">
      <c r="A2479" s="116">
        <v>45941</v>
      </c>
      <c r="B2479" s="110">
        <v>1401.9</v>
      </c>
    </row>
    <row r="2480" spans="1:2">
      <c r="A2480" s="116">
        <v>45942</v>
      </c>
      <c r="B2480" s="110">
        <v>1401.9</v>
      </c>
    </row>
    <row r="2481" spans="1:2">
      <c r="A2481" s="116">
        <v>45943</v>
      </c>
      <c r="B2481" s="110">
        <v>1420.5</v>
      </c>
    </row>
    <row r="2482" spans="1:2">
      <c r="A2482" s="116">
        <v>45944</v>
      </c>
      <c r="B2482" s="110">
        <v>1427.7</v>
      </c>
    </row>
    <row r="2483" spans="1:2">
      <c r="A2483" s="116">
        <v>45945</v>
      </c>
      <c r="B2483" s="110">
        <v>1428.4</v>
      </c>
    </row>
    <row r="2484" spans="1:2">
      <c r="A2484" s="116">
        <v>45946</v>
      </c>
      <c r="B2484" s="110">
        <v>1424.4</v>
      </c>
    </row>
    <row r="2485" spans="1:2">
      <c r="A2485" s="116">
        <v>45947</v>
      </c>
      <c r="B2485" s="110">
        <v>1419.1</v>
      </c>
    </row>
    <row r="2486" spans="1:2">
      <c r="A2486" s="116">
        <v>45948</v>
      </c>
      <c r="B2486" s="110">
        <v>1419.1</v>
      </c>
    </row>
    <row r="2487" spans="1:2">
      <c r="A2487" s="116">
        <v>45949</v>
      </c>
      <c r="B2487" s="110">
        <v>1419.1</v>
      </c>
    </row>
    <row r="2488" spans="1:2">
      <c r="A2488" s="116">
        <v>45950</v>
      </c>
      <c r="B2488" s="110">
        <v>1419.5</v>
      </c>
    </row>
    <row r="2489" spans="1:2">
      <c r="A2489" s="116">
        <v>45951</v>
      </c>
      <c r="B2489" s="110">
        <v>1420.2</v>
      </c>
    </row>
    <row r="2490" spans="1:2">
      <c r="A2490" s="116">
        <v>45952</v>
      </c>
      <c r="B2490" s="110">
        <v>1423.7</v>
      </c>
    </row>
    <row r="2491" spans="1:2">
      <c r="A2491" s="116">
        <v>45953</v>
      </c>
      <c r="B2491" s="110">
        <v>1430.1</v>
      </c>
    </row>
    <row r="2492" spans="1:2">
      <c r="A2492" s="116">
        <v>45954</v>
      </c>
      <c r="B2492" s="110">
        <v>1436.6</v>
      </c>
    </row>
    <row r="2493" spans="1:2">
      <c r="A2493" s="116">
        <v>45955</v>
      </c>
      <c r="B2493" s="110">
        <v>1436.6</v>
      </c>
    </row>
    <row r="2494" spans="1:2">
      <c r="A2494" s="116">
        <v>45956</v>
      </c>
      <c r="B2494" s="110">
        <v>1436.6</v>
      </c>
    </row>
    <row r="2495" spans="1:2">
      <c r="A2495" s="116">
        <v>45957</v>
      </c>
      <c r="B2495" s="110">
        <v>1436.1</v>
      </c>
    </row>
    <row r="2496" spans="1:2">
      <c r="A2496" s="116">
        <v>45958</v>
      </c>
      <c r="B2496" s="110">
        <v>1432.5</v>
      </c>
    </row>
    <row r="2497" spans="1:2">
      <c r="A2497" s="116">
        <v>45959</v>
      </c>
      <c r="B2497" s="110">
        <v>1434.3</v>
      </c>
    </row>
    <row r="2498" spans="1:2">
      <c r="A2498" s="116">
        <v>45960</v>
      </c>
      <c r="B2498" s="110">
        <v>1433</v>
      </c>
    </row>
    <row r="2499" spans="1:2">
      <c r="A2499" s="116">
        <v>45961</v>
      </c>
      <c r="B2499" s="110">
        <v>1423.2</v>
      </c>
    </row>
    <row r="2500" spans="1:2">
      <c r="A2500" s="116">
        <v>45962</v>
      </c>
      <c r="B2500" s="110">
        <v>1423.2</v>
      </c>
    </row>
    <row r="2501" spans="1:2">
      <c r="A2501" s="116">
        <v>45963</v>
      </c>
      <c r="B2501" s="110">
        <v>1423.2</v>
      </c>
    </row>
    <row r="2502" spans="1:2">
      <c r="A2502" s="116">
        <v>45964</v>
      </c>
      <c r="B2502" s="110">
        <v>1427.4</v>
      </c>
    </row>
    <row r="2503" spans="1:2">
      <c r="A2503" s="116">
        <v>45965</v>
      </c>
      <c r="B2503" s="110">
        <v>1429</v>
      </c>
    </row>
    <row r="2504" spans="1:2">
      <c r="A2504" s="116">
        <v>45966</v>
      </c>
      <c r="B2504" s="110">
        <v>1437.7</v>
      </c>
    </row>
    <row r="2505" spans="1:2">
      <c r="A2505" s="116">
        <v>45967</v>
      </c>
      <c r="B2505" s="110">
        <v>1447</v>
      </c>
    </row>
    <row r="2506" spans="1:2">
      <c r="A2506" s="116">
        <v>45968</v>
      </c>
      <c r="B2506" s="110">
        <v>1445.6</v>
      </c>
    </row>
    <row r="2507" spans="1:2">
      <c r="A2507" s="116">
        <v>45969</v>
      </c>
      <c r="B2507" s="110">
        <v>1445.6</v>
      </c>
    </row>
    <row r="2508" spans="1:2">
      <c r="A2508" s="116">
        <v>45970</v>
      </c>
      <c r="B2508" s="110">
        <v>1445.6</v>
      </c>
    </row>
    <row r="2509" spans="1:2">
      <c r="A2509" s="116">
        <v>45971</v>
      </c>
      <c r="B2509" s="110">
        <v>1454</v>
      </c>
    </row>
    <row r="2510" spans="1:2">
      <c r="A2510" s="116">
        <v>45972</v>
      </c>
      <c r="B2510" s="110">
        <v>1453.7</v>
      </c>
    </row>
    <row r="2511" spans="1:2">
      <c r="A2511" s="116">
        <v>45973</v>
      </c>
      <c r="B2511" s="110">
        <v>1463.2</v>
      </c>
    </row>
    <row r="2512" spans="1:2">
      <c r="A2512" s="116">
        <v>45974</v>
      </c>
      <c r="B2512" s="110">
        <v>1466.4</v>
      </c>
    </row>
    <row r="2513" spans="1:2">
      <c r="A2513" s="116">
        <v>45975</v>
      </c>
      <c r="B2513" s="110">
        <v>1469.5</v>
      </c>
    </row>
    <row r="2514" spans="1:2">
      <c r="A2514" s="116">
        <v>45976</v>
      </c>
      <c r="B2514" s="110">
        <v>1469.5</v>
      </c>
    </row>
    <row r="2515" spans="1:2">
      <c r="A2515" s="116">
        <v>45977</v>
      </c>
      <c r="B2515" s="110">
        <v>1469.5</v>
      </c>
    </row>
    <row r="2516" spans="1:2">
      <c r="A2516" s="116">
        <v>45978</v>
      </c>
      <c r="B2516" s="110">
        <v>1458.5</v>
      </c>
    </row>
    <row r="2517" spans="1:2">
      <c r="A2517" s="116">
        <v>45979</v>
      </c>
      <c r="B2517" s="110">
        <v>1458.3</v>
      </c>
    </row>
    <row r="2518" spans="1:2">
      <c r="A2518" s="116">
        <v>45980</v>
      </c>
      <c r="B2518" s="110">
        <v>1465.2</v>
      </c>
    </row>
    <row r="2519" spans="1:2">
      <c r="A2519" s="116">
        <v>45981</v>
      </c>
      <c r="B2519" s="110">
        <v>1465</v>
      </c>
    </row>
    <row r="2520" spans="1:2">
      <c r="A2520" s="116">
        <v>45982</v>
      </c>
      <c r="B2520" s="110">
        <v>1468.4</v>
      </c>
    </row>
    <row r="2521" spans="1:2">
      <c r="A2521" s="116">
        <v>45983</v>
      </c>
      <c r="B2521" s="110">
        <v>1468.4</v>
      </c>
    </row>
    <row r="2522" spans="1:2">
      <c r="A2522" s="116">
        <v>45984</v>
      </c>
      <c r="B2522" s="110">
        <v>1468.4</v>
      </c>
    </row>
    <row r="2523" spans="1:2">
      <c r="A2523" s="116">
        <v>45985</v>
      </c>
      <c r="B2523" s="110">
        <v>1472</v>
      </c>
    </row>
    <row r="2524" spans="1:2">
      <c r="A2524" s="116">
        <v>45986</v>
      </c>
      <c r="B2524" s="110">
        <v>1473.5</v>
      </c>
    </row>
    <row r="2525" spans="1:2">
      <c r="A2525" s="116">
        <v>45987</v>
      </c>
      <c r="B2525" s="110">
        <v>1473.5</v>
      </c>
    </row>
    <row r="2526" spans="1:2">
      <c r="A2526" s="116">
        <v>45988</v>
      </c>
      <c r="B2526" s="110">
        <v>1462.7</v>
      </c>
    </row>
    <row r="2527" spans="1:2">
      <c r="A2527" s="116">
        <v>45989</v>
      </c>
      <c r="B2527" s="110">
        <v>1464.8</v>
      </c>
    </row>
    <row r="2528" spans="1:2">
      <c r="A2528" s="116">
        <v>45990</v>
      </c>
      <c r="B2528" s="110">
        <v>1464.8</v>
      </c>
    </row>
    <row r="2529" spans="1:2">
      <c r="A2529" s="116">
        <v>45991</v>
      </c>
      <c r="B2529" s="110">
        <v>1464.8</v>
      </c>
    </row>
    <row r="2530" spans="1:2">
      <c r="A2530" s="116">
        <v>45992</v>
      </c>
      <c r="B2530" s="110">
        <v>1465.9</v>
      </c>
    </row>
    <row r="2531" spans="1:2">
      <c r="A2531" s="116">
        <v>45993</v>
      </c>
      <c r="B2531" s="110">
        <v>1469.1</v>
      </c>
    </row>
    <row r="2532" spans="1:2">
      <c r="A2532" s="116">
        <v>45994</v>
      </c>
      <c r="B2532" s="110">
        <v>1469.6</v>
      </c>
    </row>
    <row r="2533" spans="1:2">
      <c r="A2533" s="116">
        <v>45995</v>
      </c>
      <c r="B2533" s="110">
        <v>1468.7</v>
      </c>
    </row>
    <row r="2534" spans="1:2">
      <c r="A2534" s="116">
        <v>45996</v>
      </c>
      <c r="B2534" s="110">
        <v>1471.5</v>
      </c>
    </row>
    <row r="2535" spans="1:2">
      <c r="A2535" s="116">
        <v>45997</v>
      </c>
      <c r="B2535" s="110">
        <v>1471.5</v>
      </c>
    </row>
    <row r="2536" spans="1:2">
      <c r="A2536" s="116">
        <v>45998</v>
      </c>
      <c r="B2536" s="110">
        <v>1471.5</v>
      </c>
    </row>
    <row r="2537" spans="1:2">
      <c r="A2537" s="116">
        <v>45999</v>
      </c>
      <c r="B2537" s="110">
        <v>1472.1</v>
      </c>
    </row>
    <row r="2538" spans="1:2">
      <c r="A2538" s="116">
        <v>46000</v>
      </c>
      <c r="B2538" s="110">
        <v>1469</v>
      </c>
    </row>
    <row r="2539" spans="1:2">
      <c r="A2539" s="116">
        <v>46001</v>
      </c>
      <c r="B2539" s="110">
        <v>1470.4</v>
      </c>
    </row>
    <row r="2540" spans="1:2">
      <c r="A2540" s="116">
        <v>46002</v>
      </c>
      <c r="B2540" s="110">
        <v>1470.4</v>
      </c>
    </row>
    <row r="2541" spans="1:2">
      <c r="A2541" s="116">
        <v>46003</v>
      </c>
      <c r="B2541" s="110">
        <v>1469.5</v>
      </c>
    </row>
    <row r="2542" spans="1:2">
      <c r="A2542" s="116">
        <v>46004</v>
      </c>
      <c r="B2542" s="110">
        <v>1469.5</v>
      </c>
    </row>
    <row r="2543" spans="1:2">
      <c r="A2543" s="116">
        <v>46005</v>
      </c>
      <c r="B2543" s="110">
        <v>1469.5</v>
      </c>
    </row>
    <row r="2544" spans="1:2">
      <c r="A2544" s="116">
        <v>46006</v>
      </c>
      <c r="B2544" s="110">
        <v>1472.5</v>
      </c>
    </row>
    <row r="2545" spans="1:2">
      <c r="A2545" s="116">
        <v>46007</v>
      </c>
      <c r="B2545" s="110">
        <v>1474.1</v>
      </c>
    </row>
    <row r="2546" spans="1:2">
      <c r="A2546" s="116">
        <v>46008</v>
      </c>
      <c r="B2546" s="110">
        <v>1472.4</v>
      </c>
    </row>
    <row r="2547" spans="1:2">
      <c r="A2547" s="116">
        <v>46009</v>
      </c>
      <c r="B2547" s="110">
        <v>1478.6</v>
      </c>
    </row>
    <row r="2548" spans="1:2">
      <c r="A2548" s="116">
        <v>46010</v>
      </c>
      <c r="B2548" s="110">
        <v>1477.2</v>
      </c>
    </row>
    <row r="2549" spans="1:2">
      <c r="A2549" s="116">
        <v>46011</v>
      </c>
      <c r="B2549" s="110">
        <v>1477.2</v>
      </c>
    </row>
    <row r="2550" spans="1:2">
      <c r="A2550" s="116">
        <v>46012</v>
      </c>
      <c r="B2550" s="110">
        <v>1477.2</v>
      </c>
    </row>
    <row r="2551" spans="1:2">
      <c r="A2551" s="116">
        <v>46013</v>
      </c>
      <c r="B2551" s="110">
        <v>1477.8</v>
      </c>
    </row>
    <row r="2552" spans="1:2">
      <c r="A2552" s="116">
        <v>46014</v>
      </c>
      <c r="B2552" s="110">
        <v>1478.9</v>
      </c>
    </row>
    <row r="2553" spans="1:2">
      <c r="A2553" s="116">
        <v>46015</v>
      </c>
      <c r="B2553" s="110">
        <v>1483.4</v>
      </c>
    </row>
    <row r="2554" spans="1:2">
      <c r="A2554" s="116">
        <v>46016</v>
      </c>
      <c r="B2554" s="110">
        <v>1483.4</v>
      </c>
    </row>
    <row r="2555" spans="1:2">
      <c r="A2555" s="116">
        <v>46017</v>
      </c>
      <c r="B2555" s="110">
        <v>1460.6</v>
      </c>
    </row>
    <row r="2556" spans="1:2">
      <c r="A2556" s="116">
        <v>46018</v>
      </c>
      <c r="B2556" s="110">
        <v>1460.6</v>
      </c>
    </row>
    <row r="2557" spans="1:2">
      <c r="A2557" s="116">
        <v>46019</v>
      </c>
      <c r="B2557" s="110">
        <v>1460.6</v>
      </c>
    </row>
    <row r="2558" spans="1:2">
      <c r="A2558" s="116">
        <v>46020</v>
      </c>
      <c r="B2558" s="110">
        <v>1442.3</v>
      </c>
    </row>
    <row r="2559" spans="1:2">
      <c r="A2559" s="116">
        <v>46021</v>
      </c>
      <c r="B2559" s="110">
        <v>1433.9</v>
      </c>
    </row>
    <row r="2560" spans="1:2">
      <c r="A2560" s="116">
        <v>46022</v>
      </c>
      <c r="B2560" s="110">
        <v>1434.9</v>
      </c>
    </row>
    <row r="2561" spans="1:2">
      <c r="A2561" s="116">
        <v>46023</v>
      </c>
      <c r="B2561" s="110">
        <v>1434.9</v>
      </c>
    </row>
    <row r="2562" spans="1:2">
      <c r="A2562" s="116">
        <v>46024</v>
      </c>
      <c r="B2562" s="110">
        <v>1434.9</v>
      </c>
    </row>
    <row r="2563" spans="1:2">
      <c r="A2563" s="116">
        <v>46025</v>
      </c>
      <c r="B2563" s="110">
        <v>1434.9</v>
      </c>
    </row>
    <row r="2564" spans="1:2">
      <c r="A2564" s="116">
        <v>46026</v>
      </c>
      <c r="B2564" s="110">
        <v>1434.9</v>
      </c>
    </row>
    <row r="2565" spans="1:2">
      <c r="A2565" s="116">
        <v>46027</v>
      </c>
      <c r="B2565" s="110">
        <v>1442.1</v>
      </c>
    </row>
    <row r="2566" spans="1:2">
      <c r="A2566" s="116">
        <v>46028</v>
      </c>
      <c r="B2566" s="110">
        <v>1446.8</v>
      </c>
    </row>
    <row r="2567" spans="1:2">
      <c r="A2567" s="116">
        <v>46029</v>
      </c>
      <c r="B2567" s="110">
        <v>1445.7</v>
      </c>
    </row>
    <row r="2568" spans="1:2">
      <c r="A2568" s="116">
        <v>46030</v>
      </c>
      <c r="B2568" s="110">
        <v>1448.3</v>
      </c>
    </row>
    <row r="2569" spans="1:2">
      <c r="A2569" s="116">
        <v>46031</v>
      </c>
      <c r="B2569" s="110">
        <v>1449.4</v>
      </c>
    </row>
    <row r="2570" spans="1:2">
      <c r="A2570" s="116">
        <v>46032</v>
      </c>
      <c r="B2570" s="110">
        <v>1449.4</v>
      </c>
    </row>
    <row r="2571" spans="1:2">
      <c r="A2571" s="116">
        <v>46033</v>
      </c>
      <c r="B2571" s="110">
        <v>1449.4</v>
      </c>
    </row>
    <row r="2572" spans="1:2">
      <c r="A2572" s="116">
        <v>46034</v>
      </c>
      <c r="B2572" s="110">
        <v>1455.7</v>
      </c>
    </row>
    <row r="2573" spans="1:2">
      <c r="A2573" s="116">
        <v>46035</v>
      </c>
      <c r="B2573" s="110">
        <v>1464.1</v>
      </c>
    </row>
    <row r="2574" spans="1:2">
      <c r="A2574" s="116">
        <v>46036</v>
      </c>
      <c r="B2574" s="110">
        <v>1472.8</v>
      </c>
    </row>
    <row r="2575" spans="1:2">
      <c r="A2575" s="116">
        <v>46037</v>
      </c>
      <c r="B2575" s="110">
        <v>1477.5</v>
      </c>
    </row>
    <row r="2576" spans="1:2">
      <c r="A2576" s="116">
        <v>46038</v>
      </c>
      <c r="B2576" s="110">
        <v>1469.7</v>
      </c>
    </row>
    <row r="2577" spans="1:2">
      <c r="A2577" s="116">
        <v>46039</v>
      </c>
      <c r="B2577" s="110">
        <v>1469.7</v>
      </c>
    </row>
    <row r="2578" spans="1:2">
      <c r="A2578" s="116">
        <v>46040</v>
      </c>
      <c r="B2578" s="110">
        <v>1469.7</v>
      </c>
    </row>
    <row r="2579" spans="1:2">
      <c r="A2579" s="116">
        <v>46041</v>
      </c>
      <c r="B2579" s="110">
        <v>1473.5</v>
      </c>
    </row>
    <row r="2580" spans="1:2">
      <c r="A2580" s="116">
        <v>46042</v>
      </c>
      <c r="B2580" s="110">
        <v>1473.6</v>
      </c>
    </row>
    <row r="2581" spans="1:2">
      <c r="A2581" s="116">
        <v>46043</v>
      </c>
      <c r="B2581" s="110">
        <v>1477</v>
      </c>
    </row>
    <row r="2582" spans="1:2">
      <c r="A2582" s="116">
        <v>46044</v>
      </c>
      <c r="B2582" s="110">
        <v>1472.8</v>
      </c>
    </row>
    <row r="2583" spans="1:2">
      <c r="A2583" s="116">
        <v>46045</v>
      </c>
      <c r="B2583" s="110">
        <v>1468.4</v>
      </c>
    </row>
    <row r="2584" spans="1:2">
      <c r="A2584" s="116">
        <v>46046</v>
      </c>
      <c r="B2584" s="110">
        <v>1468.4</v>
      </c>
    </row>
    <row r="2585" spans="1:2">
      <c r="A2585" s="116">
        <v>46047</v>
      </c>
      <c r="B2585" s="110">
        <v>1468.4</v>
      </c>
    </row>
    <row r="2586" spans="1:2">
      <c r="A2586" s="116">
        <v>46048</v>
      </c>
      <c r="B2586" s="110">
        <v>1467.2</v>
      </c>
    </row>
    <row r="2587" spans="1:2">
      <c r="A2587" s="116">
        <v>46049</v>
      </c>
      <c r="B2587" s="110">
        <v>1442.8</v>
      </c>
    </row>
    <row r="2588" spans="1:2">
      <c r="A2588" s="116">
        <v>46050</v>
      </c>
      <c r="B2588" s="110">
        <v>1448.8</v>
      </c>
    </row>
    <row r="2589" spans="1:2">
      <c r="A2589" s="116">
        <v>46051</v>
      </c>
      <c r="B2589" s="110">
        <v>1428.6</v>
      </c>
    </row>
    <row r="2590" spans="1:2">
      <c r="A2590" s="116">
        <v>46052</v>
      </c>
      <c r="B2590" s="110">
        <v>1427</v>
      </c>
    </row>
    <row r="2591" spans="1:2">
      <c r="A2591" s="116">
        <v>46053</v>
      </c>
      <c r="B2591" s="110">
        <v>1427</v>
      </c>
    </row>
    <row r="2592" spans="1:2">
      <c r="A2592" s="116">
        <v>46054</v>
      </c>
      <c r="B2592" s="110">
        <v>1427</v>
      </c>
    </row>
    <row r="2593" spans="1:2">
      <c r="A2593" s="116">
        <v>46055</v>
      </c>
      <c r="B2593" s="110">
        <v>1436.7</v>
      </c>
    </row>
    <row r="2594" spans="1:2">
      <c r="A2594" s="116">
        <v>46056</v>
      </c>
      <c r="B2594" s="110">
        <v>1457.3</v>
      </c>
    </row>
    <row r="2595" spans="1:2">
      <c r="A2595" s="116">
        <v>46057</v>
      </c>
      <c r="B2595" s="110">
        <v>1449</v>
      </c>
    </row>
    <row r="2596" spans="1:2">
      <c r="A2596" s="116">
        <v>46058</v>
      </c>
      <c r="B2596" s="110">
        <v>1451.2</v>
      </c>
    </row>
    <row r="2597" spans="1:2">
      <c r="A2597" s="116">
        <v>46059</v>
      </c>
      <c r="B2597" s="110">
        <v>1464.1</v>
      </c>
    </row>
    <row r="2598" spans="1:2">
      <c r="A2598" s="116">
        <v>46060</v>
      </c>
      <c r="B2598" s="110">
        <v>1464.1</v>
      </c>
    </row>
    <row r="2599" spans="1:2">
      <c r="A2599" s="116">
        <v>46061</v>
      </c>
      <c r="B2599" s="110">
        <v>1464.1</v>
      </c>
    </row>
    <row r="2600" spans="1:2">
      <c r="A2600" s="116">
        <v>46062</v>
      </c>
      <c r="B2600" s="110">
        <v>1470.3</v>
      </c>
    </row>
    <row r="2601" spans="1:2">
      <c r="A2601" s="116">
        <v>46063</v>
      </c>
      <c r="B2601" s="110">
        <v>1464.3</v>
      </c>
    </row>
    <row r="2602" spans="1:2">
      <c r="A2602" s="116">
        <v>46064</v>
      </c>
      <c r="B2602" s="110">
        <v>1457.7</v>
      </c>
    </row>
    <row r="2603" spans="1:2">
      <c r="A2603" s="116">
        <v>46065</v>
      </c>
      <c r="B2603" s="110">
        <v>1454.4</v>
      </c>
    </row>
    <row r="2604" spans="1:2">
      <c r="A2604" s="116">
        <v>46066</v>
      </c>
      <c r="B2604" s="110">
        <v>1443.4</v>
      </c>
    </row>
    <row r="2605" spans="1:2">
      <c r="A2605" s="116">
        <v>46067</v>
      </c>
      <c r="B2605" s="110">
        <v>1443.4</v>
      </c>
    </row>
    <row r="2606" spans="1:2">
      <c r="A2606" s="116">
        <v>46068</v>
      </c>
      <c r="B2606" s="110">
        <v>1443.4</v>
      </c>
    </row>
    <row r="2607" spans="1:2">
      <c r="A2607" s="116">
        <v>46069</v>
      </c>
      <c r="B2607" s="110">
        <v>1443.4</v>
      </c>
    </row>
    <row r="2608" spans="1:2">
      <c r="A2608" s="116">
        <v>46070</v>
      </c>
      <c r="B2608" s="110">
        <v>1443.4</v>
      </c>
    </row>
    <row r="2609" spans="1:3">
      <c r="A2609" s="116">
        <v>46071</v>
      </c>
      <c r="B2609" s="110">
        <v>1443.4</v>
      </c>
    </row>
    <row r="2610" spans="1:3">
      <c r="A2610" s="116">
        <v>46072</v>
      </c>
      <c r="B2610" s="110">
        <v>1443.1</v>
      </c>
    </row>
    <row r="2611" spans="1:3">
      <c r="A2611" s="116">
        <v>46073</v>
      </c>
      <c r="B2611" s="110">
        <v>1450.7</v>
      </c>
    </row>
    <row r="2612" spans="1:3">
      <c r="A2612" s="116">
        <v>46074</v>
      </c>
      <c r="B2612" s="110">
        <v>1450.7</v>
      </c>
    </row>
    <row r="2613" spans="1:3">
      <c r="A2613" s="116">
        <v>46075</v>
      </c>
      <c r="B2613" s="110">
        <v>1450.7</v>
      </c>
    </row>
    <row r="2614" spans="1:3">
      <c r="A2614" s="116">
        <v>46076</v>
      </c>
      <c r="B2614" s="110">
        <v>1448.7</v>
      </c>
    </row>
    <row r="2615" spans="1:3">
      <c r="A2615" s="116">
        <v>46077</v>
      </c>
      <c r="B2615" s="110">
        <v>1442</v>
      </c>
    </row>
    <row r="2616" spans="1:3">
      <c r="A2616" s="116">
        <v>46078</v>
      </c>
      <c r="B2616" s="110">
        <v>1445.8</v>
      </c>
    </row>
    <row r="2617" spans="1:3">
      <c r="A2617" s="116">
        <v>46079</v>
      </c>
      <c r="B2617" s="110">
        <v>1435.3</v>
      </c>
    </row>
    <row r="2618" spans="1:3">
      <c r="A2618" s="116">
        <v>46080</v>
      </c>
      <c r="B2618" s="110">
        <v>1424.5</v>
      </c>
    </row>
    <row r="2619" spans="1:3">
      <c r="A2619" s="116">
        <v>46081</v>
      </c>
      <c r="B2619" s="110">
        <v>1424.5</v>
      </c>
    </row>
    <row r="2620" spans="1:3">
      <c r="A2620" s="116">
        <v>46082</v>
      </c>
      <c r="B2620" s="110">
        <v>1424.5</v>
      </c>
    </row>
    <row r="2621" spans="1:3">
      <c r="A2621" s="116">
        <v>46083</v>
      </c>
      <c r="B2621" s="110">
        <v>1424.5</v>
      </c>
    </row>
    <row r="2622" spans="1:3">
      <c r="A2622" s="116">
        <v>46084</v>
      </c>
      <c r="B2622" s="110">
        <v>1435.4</v>
      </c>
      <c r="C2622" s="113"/>
    </row>
    <row r="2623" spans="1:3">
      <c r="A2623" s="116">
        <v>46085</v>
      </c>
      <c r="B2623" s="110">
        <v>1464.5</v>
      </c>
    </row>
    <row r="2624" spans="1:3">
      <c r="A2624" s="116">
        <v>46086</v>
      </c>
      <c r="B2624" s="110">
        <v>1478.8</v>
      </c>
    </row>
    <row r="2625" spans="1:2">
      <c r="A2625" s="116">
        <v>46087</v>
      </c>
      <c r="B2625" s="110">
        <v>1464.3</v>
      </c>
    </row>
    <row r="2626" spans="1:2">
      <c r="A2626" s="116">
        <v>46088</v>
      </c>
      <c r="B2626" s="110">
        <v>1464.3</v>
      </c>
    </row>
    <row r="2627" spans="1:2">
      <c r="A2627" s="116">
        <v>46089</v>
      </c>
      <c r="B2627" s="110">
        <v>1464.3</v>
      </c>
    </row>
    <row r="2628" spans="1:2">
      <c r="A2628" s="116">
        <v>46090</v>
      </c>
      <c r="B2628" s="110">
        <v>1474.5</v>
      </c>
    </row>
    <row r="2629" spans="1:2">
      <c r="A2629" s="116">
        <v>46091</v>
      </c>
      <c r="B2629" s="110">
        <v>1493.1</v>
      </c>
    </row>
    <row r="2630" spans="1:2">
      <c r="A2630" s="116">
        <v>46092</v>
      </c>
      <c r="B2630" s="110">
        <v>1472.8</v>
      </c>
    </row>
    <row r="2631" spans="1:2">
      <c r="A2631" s="116">
        <v>46093</v>
      </c>
      <c r="B2631" s="110">
        <v>1467.3</v>
      </c>
    </row>
    <row r="2632" spans="1:2">
      <c r="A2632" s="116">
        <v>46094</v>
      </c>
      <c r="B2632" s="110">
        <v>1479.8</v>
      </c>
    </row>
    <row r="2633" spans="1:2">
      <c r="A2633" s="116">
        <v>46095</v>
      </c>
      <c r="B2633" s="110">
        <v>1479.8</v>
      </c>
    </row>
    <row r="2634" spans="1:2">
      <c r="A2634" s="116">
        <v>46096</v>
      </c>
      <c r="B2634" s="110">
        <v>1479.8</v>
      </c>
    </row>
    <row r="2635" spans="1:2">
      <c r="A2635" s="116">
        <v>46097</v>
      </c>
      <c r="B2635" s="110">
        <v>1489.5</v>
      </c>
    </row>
    <row r="2636" spans="1:2">
      <c r="A2636" s="116">
        <v>46098</v>
      </c>
      <c r="B2636" s="110">
        <v>1496</v>
      </c>
    </row>
    <row r="2637" spans="1:2">
      <c r="A2637" s="116">
        <v>46099</v>
      </c>
      <c r="B2637" s="110">
        <v>1491.6</v>
      </c>
    </row>
    <row r="2638" spans="1:2">
      <c r="A2638" s="116">
        <v>46100</v>
      </c>
      <c r="B2638" s="110">
        <v>1486</v>
      </c>
    </row>
    <row r="2639" spans="1:2">
      <c r="A2639" s="116">
        <v>46101</v>
      </c>
      <c r="B2639" s="110">
        <v>1499.7</v>
      </c>
    </row>
    <row r="2640" spans="1:2">
      <c r="A2640" s="116">
        <v>46102</v>
      </c>
      <c r="B2640" s="110">
        <v>1499.7</v>
      </c>
    </row>
    <row r="2641" spans="1:2">
      <c r="A2641" s="116">
        <v>46103</v>
      </c>
      <c r="B2641" s="110">
        <v>1499.7</v>
      </c>
    </row>
    <row r="2642" spans="1:2">
      <c r="A2642" s="116">
        <v>46104</v>
      </c>
      <c r="B2642" s="110">
        <v>1494.9</v>
      </c>
    </row>
    <row r="2643" spans="1:2">
      <c r="A2643" s="116">
        <v>46105</v>
      </c>
      <c r="B2643" s="110">
        <v>1509.6</v>
      </c>
    </row>
    <row r="2644" spans="1:2">
      <c r="A2644" s="116">
        <v>46106</v>
      </c>
      <c r="B2644" s="110">
        <v>1498.3</v>
      </c>
    </row>
    <row r="2645" spans="1:2">
      <c r="A2645" s="116">
        <v>46107</v>
      </c>
      <c r="B2645" s="110">
        <v>1495.6</v>
      </c>
    </row>
    <row r="2646" spans="1:2">
      <c r="A2646" s="116">
        <v>46108</v>
      </c>
      <c r="B2646" s="110">
        <v>1506.2</v>
      </c>
    </row>
    <row r="2647" spans="1:2">
      <c r="A2647" s="123">
        <v>46109</v>
      </c>
      <c r="B2647" s="124">
        <v>1506.2</v>
      </c>
    </row>
    <row r="2648" spans="1:2">
      <c r="A2648" s="123">
        <v>46110</v>
      </c>
      <c r="B2648" s="124">
        <v>1506.2</v>
      </c>
    </row>
    <row r="2649" spans="1:2">
      <c r="A2649" s="116">
        <v>46111</v>
      </c>
      <c r="B2649" s="110">
        <v>1508.1</v>
      </c>
    </row>
    <row r="2650" spans="1:2">
      <c r="A2650" s="116">
        <v>46112</v>
      </c>
      <c r="B2650" s="110">
        <v>1513.4</v>
      </c>
    </row>
    <row r="2651" spans="1:2">
      <c r="A2651" s="116">
        <v>46113</v>
      </c>
      <c r="B2651" s="110">
        <v>1530.5</v>
      </c>
    </row>
    <row r="2652" spans="1:2">
      <c r="A2652" s="116">
        <v>46114</v>
      </c>
      <c r="B2652" s="110">
        <v>1507.8</v>
      </c>
    </row>
    <row r="2653" spans="1:2">
      <c r="A2653" s="116">
        <v>46115</v>
      </c>
      <c r="B2653" s="110">
        <v>1518.8</v>
      </c>
    </row>
    <row r="2654" spans="1:2">
      <c r="A2654" s="123">
        <v>46116</v>
      </c>
      <c r="B2654" s="124">
        <v>1518.8</v>
      </c>
    </row>
    <row r="2655" spans="1:2">
      <c r="A2655" s="123">
        <v>46117</v>
      </c>
      <c r="B2655" s="124">
        <v>1518.8</v>
      </c>
    </row>
    <row r="2656" spans="1:2">
      <c r="A2656" s="125">
        <v>46118</v>
      </c>
      <c r="B2656" s="126">
        <v>1507.6</v>
      </c>
    </row>
    <row r="2657" spans="1:2">
      <c r="A2657" s="125">
        <v>46119</v>
      </c>
      <c r="B2657" s="126">
        <v>1507.2</v>
      </c>
    </row>
    <row r="2658" spans="1:2">
      <c r="A2658" s="116">
        <v>46120</v>
      </c>
      <c r="B2658" s="110">
        <v>1506.8</v>
      </c>
    </row>
    <row r="2659" spans="1:2">
      <c r="A2659" s="116">
        <v>46121</v>
      </c>
      <c r="B2659" s="110">
        <v>1476.1</v>
      </c>
    </row>
    <row r="2660" spans="1:2">
      <c r="A2660" s="116">
        <v>46122</v>
      </c>
      <c r="B2660" s="110">
        <v>1481.1</v>
      </c>
    </row>
    <row r="2661" spans="1:2">
      <c r="A2661" s="123">
        <v>46123</v>
      </c>
      <c r="B2661" s="124">
        <v>1481.1</v>
      </c>
    </row>
    <row r="2662" spans="1:2">
      <c r="A2662" s="123">
        <v>46124</v>
      </c>
      <c r="B2662" s="124">
        <v>1481.1</v>
      </c>
    </row>
    <row r="2663" spans="1:2">
      <c r="A2663" s="116">
        <v>46125</v>
      </c>
      <c r="B2663" s="110">
        <v>1479.8</v>
      </c>
    </row>
    <row r="2664" spans="1:2">
      <c r="A2664" s="116">
        <v>46126</v>
      </c>
      <c r="B2664" s="110">
        <v>1489.8</v>
      </c>
    </row>
    <row r="2665" spans="1:2">
      <c r="A2665" s="116">
        <v>46127</v>
      </c>
      <c r="B2665" s="110">
        <v>1481.4</v>
      </c>
    </row>
    <row r="2666" spans="1:2">
      <c r="A2666" s="116">
        <v>46128</v>
      </c>
      <c r="B2666" s="110">
        <v>1473.1</v>
      </c>
    </row>
    <row r="2667" spans="1:2">
      <c r="A2667" s="116">
        <v>46129</v>
      </c>
      <c r="B2667" s="110">
        <v>1472.6</v>
      </c>
    </row>
    <row r="2668" spans="1:2">
      <c r="A2668" s="123">
        <v>46130</v>
      </c>
      <c r="B2668" s="124">
        <v>1472.6</v>
      </c>
    </row>
    <row r="2669" spans="1:2">
      <c r="A2669" s="123">
        <v>46131</v>
      </c>
      <c r="B2669" s="124">
        <v>1472.6</v>
      </c>
    </row>
    <row r="2670" spans="1:2">
      <c r="A2670" s="116">
        <v>46132</v>
      </c>
      <c r="B2670" s="110">
        <v>1480</v>
      </c>
    </row>
    <row r="2671" spans="1:2">
      <c r="A2671" s="116">
        <v>46133</v>
      </c>
      <c r="B2671" s="110">
        <v>1475.6</v>
      </c>
    </row>
    <row r="2672" spans="1:2">
      <c r="A2672" s="116">
        <v>46134</v>
      </c>
      <c r="B2672" s="110">
        <v>1470.8</v>
      </c>
    </row>
    <row r="2673" spans="1:2">
      <c r="A2673" s="116">
        <v>46135</v>
      </c>
      <c r="B2673" s="110">
        <v>1477.6</v>
      </c>
    </row>
    <row r="2674" spans="1:2">
      <c r="A2674" s="116">
        <v>46136</v>
      </c>
      <c r="B2674" s="110">
        <v>1480.6</v>
      </c>
    </row>
    <row r="2675" spans="1:2">
      <c r="A2675" s="123">
        <v>46137</v>
      </c>
      <c r="B2675" s="124">
        <v>1480.6</v>
      </c>
    </row>
    <row r="2676" spans="1:2">
      <c r="A2676" s="123">
        <v>46138</v>
      </c>
      <c r="B2676" s="124">
        <v>1480.6</v>
      </c>
    </row>
    <row r="2677" spans="1:2">
      <c r="A2677" s="116">
        <v>46139</v>
      </c>
      <c r="B2677" s="110">
        <v>1482.9</v>
      </c>
    </row>
    <row r="2678" spans="1:2">
      <c r="A2678" s="116">
        <v>46140</v>
      </c>
      <c r="B2678" s="110">
        <v>1473.1</v>
      </c>
    </row>
    <row r="2679" spans="1:2">
      <c r="A2679" s="116">
        <v>46141</v>
      </c>
      <c r="B2679" s="110">
        <v>1474</v>
      </c>
    </row>
    <row r="2680" spans="1:2">
      <c r="A2680" s="116">
        <v>46142</v>
      </c>
      <c r="B2680" s="110">
        <v>1476.1</v>
      </c>
    </row>
    <row r="2681" spans="1:2">
      <c r="A2681" s="123">
        <v>46143</v>
      </c>
      <c r="B2681" s="124">
        <v>1476.1</v>
      </c>
    </row>
    <row r="2682" spans="1:2">
      <c r="A2682" s="123">
        <v>46144</v>
      </c>
      <c r="B2682" s="124">
        <v>1476.1</v>
      </c>
    </row>
    <row r="2683" spans="1:2">
      <c r="A2683" s="123">
        <v>46145</v>
      </c>
      <c r="B2683" s="124">
        <v>1476.1</v>
      </c>
    </row>
    <row r="2684" spans="1:2">
      <c r="A2684" s="116">
        <v>46146</v>
      </c>
      <c r="B2684" s="110">
        <v>1484.8</v>
      </c>
    </row>
    <row r="2685" spans="1:2">
      <c r="A2685" s="123">
        <v>46147</v>
      </c>
      <c r="B2685" s="124">
        <v>1484.8</v>
      </c>
    </row>
    <row r="2686" spans="1:2">
      <c r="A2686" s="116">
        <v>46148</v>
      </c>
      <c r="B2686" s="110">
        <v>1470.5</v>
      </c>
    </row>
    <row r="2687" spans="1:2">
      <c r="A2687" s="116">
        <v>46149</v>
      </c>
      <c r="B2687" s="110">
        <v>1456.8</v>
      </c>
    </row>
    <row r="2688" spans="1:2">
      <c r="A2688" s="116">
        <v>46150</v>
      </c>
      <c r="B2688" s="110">
        <v>1450.8</v>
      </c>
    </row>
    <row r="2689" spans="1:2">
      <c r="A2689" s="123">
        <v>46151</v>
      </c>
      <c r="B2689" s="124">
        <v>1450.8</v>
      </c>
    </row>
    <row r="2690" spans="1:2">
      <c r="A2690" s="123">
        <v>46152</v>
      </c>
      <c r="B2690" s="124">
        <v>1450.8</v>
      </c>
    </row>
    <row r="2691" spans="1:2">
      <c r="A2691" s="116">
        <v>46153</v>
      </c>
      <c r="B2691" s="110">
        <v>1466</v>
      </c>
    </row>
    <row r="2692" spans="1:2">
      <c r="A2692" s="116">
        <v>46154</v>
      </c>
      <c r="B2692" s="110">
        <v>1473</v>
      </c>
    </row>
    <row r="2693" spans="1:2">
      <c r="A2693" s="116">
        <v>46155</v>
      </c>
      <c r="B2693" s="110">
        <v>1484.3</v>
      </c>
    </row>
    <row r="2694" spans="1:2">
      <c r="A2694" s="116">
        <v>46156</v>
      </c>
      <c r="B2694" s="110">
        <v>1495.1</v>
      </c>
    </row>
    <row r="2695" spans="1:2">
      <c r="A2695" s="116">
        <v>46157</v>
      </c>
      <c r="B2695" s="110">
        <v>1491.8</v>
      </c>
    </row>
    <row r="2696" spans="1:2">
      <c r="A2696" s="123">
        <v>46158</v>
      </c>
      <c r="B2696" s="124">
        <v>1491.8</v>
      </c>
    </row>
    <row r="2697" spans="1:2">
      <c r="A2697" s="123">
        <v>46159</v>
      </c>
      <c r="B2697" s="124">
        <v>1491.8</v>
      </c>
    </row>
    <row r="2698" spans="1:2">
      <c r="A2698" s="116">
        <v>46160</v>
      </c>
      <c r="B2698" s="110">
        <v>1499.8</v>
      </c>
    </row>
    <row r="2699" spans="1:2">
      <c r="A2699" s="116">
        <v>46161</v>
      </c>
      <c r="B2699" s="110">
        <v>1503.4</v>
      </c>
    </row>
    <row r="2700" spans="1:2">
      <c r="A2700" s="116">
        <v>46162</v>
      </c>
      <c r="B2700" s="110">
        <v>1503.8</v>
      </c>
    </row>
    <row r="2701" spans="1:2">
      <c r="A2701" s="116">
        <v>46163</v>
      </c>
      <c r="B2701" s="110">
        <v>1509.7</v>
      </c>
    </row>
    <row r="2702" spans="1:2">
      <c r="A2702" s="116">
        <v>46164</v>
      </c>
      <c r="B2702" s="110">
        <v>1503.5</v>
      </c>
    </row>
    <row r="2703" spans="1:2">
      <c r="A2703" s="123">
        <v>46165</v>
      </c>
      <c r="B2703" s="124">
        <v>1503.5</v>
      </c>
    </row>
    <row r="2704" spans="1:2">
      <c r="A2704" s="123">
        <v>46166</v>
      </c>
      <c r="B2704" s="124">
        <v>1503.5</v>
      </c>
    </row>
    <row r="2705" spans="1:2">
      <c r="A2705" s="123">
        <v>46167</v>
      </c>
      <c r="B2705" s="124">
        <v>1503.5</v>
      </c>
    </row>
    <row r="2706" spans="1:2">
      <c r="A2706" s="116">
        <v>46168</v>
      </c>
      <c r="B2706" s="110">
        <v>1513.3</v>
      </c>
    </row>
    <row r="2707" spans="1:2">
      <c r="A2707" s="116">
        <v>46169</v>
      </c>
      <c r="B2707" s="110">
        <v>1507.9</v>
      </c>
    </row>
    <row r="2708" spans="1:2">
      <c r="A2708" s="116">
        <v>46170</v>
      </c>
      <c r="B2708" s="110">
        <v>1501.6</v>
      </c>
    </row>
    <row r="2709" spans="1:2">
      <c r="A2709" s="116">
        <v>46171</v>
      </c>
      <c r="B2709" s="110">
        <v>1505.8</v>
      </c>
    </row>
    <row r="2710" spans="1:2">
      <c r="A2710" s="123">
        <v>46172</v>
      </c>
      <c r="B2710" s="124">
        <v>1505.8</v>
      </c>
    </row>
    <row r="2711" spans="1:2">
      <c r="A2711" s="123">
        <v>46173</v>
      </c>
      <c r="B2711" s="124">
        <v>1505.8</v>
      </c>
    </row>
    <row r="2712" spans="1:2">
      <c r="A2712" s="116">
        <v>46174</v>
      </c>
      <c r="B2712" s="110">
        <v>1503.2</v>
      </c>
    </row>
    <row r="2713" spans="1:2">
      <c r="A2713" s="116">
        <v>46175</v>
      </c>
      <c r="B2713" s="110">
        <v>1511.3</v>
      </c>
    </row>
    <row r="2714" spans="1:2">
      <c r="A2714" s="123">
        <v>46176</v>
      </c>
      <c r="B2714" s="124">
        <v>1511.3</v>
      </c>
    </row>
    <row r="2715" spans="1:2">
      <c r="A2715" s="116">
        <v>46177</v>
      </c>
      <c r="B2715" s="110">
        <v>1515.6</v>
      </c>
    </row>
    <row r="2716" spans="1:2">
      <c r="A2716" s="116">
        <v>46178</v>
      </c>
      <c r="B2716" s="110">
        <v>1528.6</v>
      </c>
    </row>
    <row r="2717" spans="1:2">
      <c r="A2717" s="123">
        <v>46179</v>
      </c>
      <c r="B2717" s="124">
        <v>1528.6</v>
      </c>
    </row>
    <row r="2718" spans="1:2">
      <c r="A2718" s="123">
        <v>46180</v>
      </c>
      <c r="B2718" s="124">
        <v>1528.6</v>
      </c>
    </row>
    <row r="2719" spans="1:2">
      <c r="A2719" s="116">
        <v>46181</v>
      </c>
      <c r="B2719" s="110">
        <v>1543</v>
      </c>
    </row>
    <row r="2720" spans="1:2">
      <c r="A2720" s="116">
        <v>46182</v>
      </c>
      <c r="B2720" s="110">
        <v>1546.5</v>
      </c>
    </row>
    <row r="2721" spans="1:2">
      <c r="A2721" s="116">
        <v>46183</v>
      </c>
      <c r="B2721" s="110">
        <v>1518.4</v>
      </c>
    </row>
    <row r="2722" spans="1:2">
      <c r="A2722" s="116">
        <v>46184</v>
      </c>
      <c r="B2722" s="110">
        <v>1522.4</v>
      </c>
    </row>
    <row r="2723" spans="1:2">
      <c r="A2723" s="116">
        <v>46185</v>
      </c>
      <c r="B2723" s="110">
        <v>1527</v>
      </c>
    </row>
    <row r="2724" spans="1:2">
      <c r="A2724" s="123">
        <v>46186</v>
      </c>
      <c r="B2724" s="124">
        <v>1527</v>
      </c>
    </row>
    <row r="2725" spans="1:2">
      <c r="A2725" s="123">
        <v>46187</v>
      </c>
      <c r="B2725" s="124">
        <v>1527</v>
      </c>
    </row>
    <row r="2726" spans="1:2">
      <c r="A2726" s="116">
        <v>46188</v>
      </c>
      <c r="B2726" s="110">
        <v>1520.4</v>
      </c>
    </row>
    <row r="2727" spans="1:2">
      <c r="A2727" s="116">
        <v>46189</v>
      </c>
      <c r="B2727" s="110">
        <v>1510</v>
      </c>
    </row>
    <row r="2728" spans="1:2">
      <c r="A2728" s="116">
        <v>46190</v>
      </c>
      <c r="B2728" s="110">
        <v>1513.5</v>
      </c>
    </row>
    <row r="2729" spans="1:2">
      <c r="A2729" s="116">
        <v>46191</v>
      </c>
      <c r="B2729" s="110">
        <v>1512.8</v>
      </c>
    </row>
    <row r="2730" spans="1:2">
      <c r="A2730" s="116">
        <v>46192</v>
      </c>
      <c r="B2730" s="110">
        <v>1523.4</v>
      </c>
    </row>
    <row r="2731" spans="1:2">
      <c r="A2731" s="123">
        <v>46193</v>
      </c>
      <c r="B2731" s="124">
        <v>1523.4</v>
      </c>
    </row>
    <row r="2732" spans="1:2">
      <c r="A2732" s="123">
        <v>46194</v>
      </c>
      <c r="B2732" s="124">
        <v>1523.4</v>
      </c>
    </row>
    <row r="2733" spans="1:2">
      <c r="A2733" s="116">
        <v>46195</v>
      </c>
      <c r="B2733" s="110">
        <v>1535</v>
      </c>
    </row>
    <row r="2734" spans="1:2">
      <c r="A2734" s="116">
        <v>46196</v>
      </c>
      <c r="B2734" s="110">
        <v>1535.7</v>
      </c>
    </row>
    <row r="2735" spans="1:2">
      <c r="A2735" s="116">
        <v>46197</v>
      </c>
      <c r="B2735" s="110">
        <v>1537.2</v>
      </c>
    </row>
    <row r="2736" spans="1:2">
      <c r="A2736" s="116">
        <v>46198</v>
      </c>
      <c r="B2736" s="110">
        <v>1538.3</v>
      </c>
    </row>
    <row r="2737" spans="1:2">
      <c r="A2737" s="116">
        <v>46199</v>
      </c>
      <c r="B2737" s="110">
        <v>1545.3</v>
      </c>
    </row>
    <row r="2738" spans="1:2">
      <c r="A2738" s="123">
        <v>46200</v>
      </c>
      <c r="B2738" s="124">
        <v>1545.3</v>
      </c>
    </row>
    <row r="2739" spans="1:2">
      <c r="A2739" s="123">
        <v>46201</v>
      </c>
      <c r="B2739" s="124">
        <v>1545.3</v>
      </c>
    </row>
    <row r="2740" spans="1:2">
      <c r="A2740" s="116">
        <v>46202</v>
      </c>
      <c r="B2740" s="110">
        <v>1544.2</v>
      </c>
    </row>
    <row r="2741" spans="1:2">
      <c r="A2741" s="116">
        <v>46203</v>
      </c>
      <c r="B2741" s="110">
        <v>1541.5</v>
      </c>
    </row>
    <row r="2742" spans="1:2">
      <c r="A2742" s="116">
        <v>46204</v>
      </c>
      <c r="B2742" s="110">
        <v>1548.4</v>
      </c>
    </row>
    <row r="2743" spans="1:2">
      <c r="A2743" s="116">
        <v>46205</v>
      </c>
      <c r="B2743" s="110">
        <v>1554.4</v>
      </c>
    </row>
    <row r="2744" spans="1:2">
      <c r="A2744" s="116">
        <v>46206</v>
      </c>
      <c r="B2744" s="110">
        <v>1554.1</v>
      </c>
    </row>
    <row r="2745" spans="1:2">
      <c r="A2745" s="123">
        <v>46207</v>
      </c>
      <c r="B2745" s="124">
        <v>1554.1</v>
      </c>
    </row>
    <row r="2746" spans="1:2">
      <c r="A2746" s="123">
        <v>46208</v>
      </c>
      <c r="B2746" s="124">
        <v>1554.1</v>
      </c>
    </row>
    <row r="2747" spans="1:2">
      <c r="A2747" s="116">
        <v>46209</v>
      </c>
      <c r="B2747" s="110">
        <v>1539.7</v>
      </c>
    </row>
    <row r="2748" spans="1:2">
      <c r="A2748" s="116">
        <v>46210</v>
      </c>
      <c r="B2748" s="110">
        <v>1531.8</v>
      </c>
    </row>
    <row r="2749" spans="1:2">
      <c r="A2749" s="116">
        <v>46211</v>
      </c>
      <c r="B2749" s="110">
        <v>1526.6</v>
      </c>
    </row>
    <row r="2750" spans="1:2">
      <c r="A2750" s="116">
        <v>46212</v>
      </c>
      <c r="B2750" s="110">
        <v>1509.9</v>
      </c>
    </row>
    <row r="2751" spans="1:2">
      <c r="A2751" s="116">
        <v>46213</v>
      </c>
      <c r="B2751" s="110">
        <v>1504.2</v>
      </c>
    </row>
    <row r="2752" spans="1:2">
      <c r="A2752" s="123">
        <v>46214</v>
      </c>
      <c r="B2752" s="124">
        <v>1504.2</v>
      </c>
    </row>
    <row r="2753" spans="1:2">
      <c r="A2753" s="123">
        <v>46215</v>
      </c>
      <c r="B2753" s="124">
        <v>1504.2</v>
      </c>
    </row>
    <row r="2754" spans="1:2">
      <c r="A2754" s="116">
        <v>46216</v>
      </c>
      <c r="B2754" s="110">
        <v>1507.1</v>
      </c>
    </row>
    <row r="2755" spans="1:2">
      <c r="A2755" s="116">
        <v>46217</v>
      </c>
      <c r="B2755" s="110">
        <v>1504.9</v>
      </c>
    </row>
    <row r="2756" spans="1:2">
      <c r="A2756" s="116">
        <v>46218</v>
      </c>
      <c r="B2756" s="110">
        <v>1492.2</v>
      </c>
    </row>
    <row r="2757" spans="1:2">
      <c r="A2757" s="116">
        <v>46219</v>
      </c>
      <c r="B2757" s="110">
        <v>1488.8</v>
      </c>
    </row>
    <row r="2758" spans="1:2">
      <c r="A2758" s="123">
        <v>46220</v>
      </c>
      <c r="B2758" s="124">
        <v>1488.8</v>
      </c>
    </row>
    <row r="2759" spans="1:2">
      <c r="A2759" s="123">
        <v>46221</v>
      </c>
      <c r="B2759" s="124">
        <v>1488.8</v>
      </c>
    </row>
    <row r="2760" spans="1:2">
      <c r="A2760" s="123">
        <v>46222</v>
      </c>
      <c r="B2760" s="124">
        <v>1488.8</v>
      </c>
    </row>
    <row r="2761" spans="1:2">
      <c r="A2761" s="116">
        <v>46223</v>
      </c>
      <c r="B2761" s="110">
        <v>1484.3</v>
      </c>
    </row>
    <row r="2762" spans="1:2">
      <c r="A2762" s="116">
        <v>46224</v>
      </c>
      <c r="B2762" s="110">
        <v>1482</v>
      </c>
    </row>
    <row r="2763" spans="1:2">
      <c r="A2763" s="116">
        <v>46225</v>
      </c>
      <c r="B2763" s="110">
        <v>1475.6</v>
      </c>
    </row>
    <row r="2764" spans="1:2">
      <c r="A2764" s="116">
        <v>46226</v>
      </c>
      <c r="B2764" s="110">
        <v>1480.9</v>
      </c>
    </row>
    <row r="2765" spans="1:2">
      <c r="A2765" s="116">
        <v>46227</v>
      </c>
      <c r="B2765" s="110">
        <v>1469.4</v>
      </c>
    </row>
    <row r="2766" spans="1:2">
      <c r="A2766" s="123">
        <v>46228</v>
      </c>
      <c r="B2766" s="124">
        <v>1469.4</v>
      </c>
    </row>
    <row r="2767" spans="1:2">
      <c r="A2767" s="123">
        <v>46229</v>
      </c>
      <c r="B2767" s="124">
        <v>1469.4</v>
      </c>
    </row>
    <row r="2768" spans="1:2">
      <c r="A2768" s="116">
        <v>46230</v>
      </c>
      <c r="B2768" s="110">
        <v>1466.3</v>
      </c>
    </row>
    <row r="2769" spans="1:2">
      <c r="A2769" s="116">
        <v>46231</v>
      </c>
      <c r="B2769" s="110">
        <v>1465.4</v>
      </c>
    </row>
    <row r="2770" spans="1:2">
      <c r="A2770" s="116">
        <v>46232</v>
      </c>
      <c r="B2770" s="110">
        <v>1466.2</v>
      </c>
    </row>
    <row r="2771" spans="1:2">
      <c r="A2771" s="116">
        <v>46233</v>
      </c>
      <c r="B2771" s="110">
        <v>1450.1</v>
      </c>
    </row>
    <row r="2772" spans="1:2">
      <c r="A2772" s="116">
        <v>46234</v>
      </c>
      <c r="B2772" s="110">
        <v>1441.1</v>
      </c>
    </row>
    <row r="2773" spans="1:2">
      <c r="A2773" s="123">
        <v>46235</v>
      </c>
      <c r="B2773" s="124">
        <v>1441.1</v>
      </c>
    </row>
    <row r="2774" spans="1:2">
      <c r="A2774" s="123">
        <v>46236</v>
      </c>
      <c r="B2774" s="124">
        <v>1441.1</v>
      </c>
    </row>
    <row r="2775" spans="1:2">
      <c r="A2775" s="116">
        <v>46237</v>
      </c>
      <c r="B2775" s="110">
        <v>1433.6</v>
      </c>
    </row>
    <row r="2776" spans="1:2">
      <c r="A2776" s="116">
        <v>46238</v>
      </c>
      <c r="B2776" s="110">
        <v>1429.9</v>
      </c>
    </row>
    <row r="2777" spans="1:2">
      <c r="A2777" s="116">
        <v>46239</v>
      </c>
      <c r="B2777" s="110">
        <v>1428.2</v>
      </c>
    </row>
    <row r="2778" spans="1:2">
      <c r="A2778" s="116">
        <v>46240</v>
      </c>
      <c r="B2778" s="110">
        <v>1424.8</v>
      </c>
    </row>
    <row r="2779" spans="1:2">
      <c r="A2779" s="116">
        <v>46241</v>
      </c>
      <c r="B2779" s="110">
        <v>1418.8</v>
      </c>
    </row>
    <row r="2780" spans="1:2">
      <c r="A2780" s="123">
        <v>46242</v>
      </c>
      <c r="B2780" s="124">
        <v>1418.8</v>
      </c>
    </row>
    <row r="2781" spans="1:2">
      <c r="A2781" s="123">
        <v>46243</v>
      </c>
      <c r="B2781" s="124">
        <v>1418.8</v>
      </c>
    </row>
    <row r="2782" spans="1:2">
      <c r="A2782" s="116">
        <v>46244</v>
      </c>
      <c r="B2782" s="110">
        <v>1420.1</v>
      </c>
    </row>
    <row r="2783" spans="1:2">
      <c r="A2783" s="116">
        <v>46245</v>
      </c>
      <c r="B2783" s="110">
        <v>1415.3</v>
      </c>
    </row>
    <row r="2784" spans="1:2">
      <c r="A2784" s="116">
        <v>46246</v>
      </c>
      <c r="B2784" s="110">
        <v>1415</v>
      </c>
    </row>
    <row r="2785" spans="1:2">
      <c r="A2785" s="116">
        <v>46247</v>
      </c>
      <c r="B2785" s="110">
        <v>1415</v>
      </c>
    </row>
    <row r="2786" spans="1:2">
      <c r="A2786" s="116">
        <v>46248</v>
      </c>
      <c r="B2786" s="110">
        <v>1414.9</v>
      </c>
    </row>
    <row r="2787" spans="1:2">
      <c r="A2787" s="123">
        <v>46249</v>
      </c>
      <c r="B2787" s="124">
        <v>1414.9</v>
      </c>
    </row>
    <row r="2788" spans="1:2">
      <c r="A2788" s="123">
        <v>46250</v>
      </c>
      <c r="B2788" s="124">
        <v>1414.9</v>
      </c>
    </row>
    <row r="2789" spans="1:2">
      <c r="A2789" s="123">
        <v>46251</v>
      </c>
      <c r="B2789" s="124">
        <v>1414.9</v>
      </c>
    </row>
    <row r="2790" spans="1:2">
      <c r="A2790" s="116">
        <v>46252</v>
      </c>
      <c r="B2790" s="110">
        <v>1415.2</v>
      </c>
    </row>
    <row r="2791" spans="1:2">
      <c r="A2791" s="116">
        <v>46253</v>
      </c>
      <c r="B2791" s="110">
        <v>1411</v>
      </c>
    </row>
    <row r="2792" spans="1:2">
      <c r="A2792" s="116">
        <v>46254</v>
      </c>
      <c r="B2792" s="110">
        <v>1402.5</v>
      </c>
    </row>
    <row r="2793" spans="1:2">
      <c r="A2793" s="116">
        <v>46255</v>
      </c>
      <c r="B2793" s="110">
        <v>1393</v>
      </c>
    </row>
    <row r="2794" spans="1:2">
      <c r="A2794" s="123">
        <v>46256</v>
      </c>
      <c r="B2794" s="124">
        <v>1393</v>
      </c>
    </row>
    <row r="2795" spans="1:2">
      <c r="A2795" s="123">
        <v>46257</v>
      </c>
      <c r="B2795" s="124">
        <v>1393</v>
      </c>
    </row>
    <row r="2796" spans="1:2">
      <c r="A2796" s="116">
        <v>46258</v>
      </c>
      <c r="B2796" s="110">
        <v>1383.6</v>
      </c>
    </row>
    <row r="2797" spans="1:2">
      <c r="A2797" s="116">
        <v>46259</v>
      </c>
      <c r="B2797" s="110">
        <v>1380.6</v>
      </c>
    </row>
    <row r="2798" spans="1:2">
      <c r="A2798" s="116">
        <v>46260</v>
      </c>
      <c r="B2798" s="110">
        <v>1383.1</v>
      </c>
    </row>
    <row r="2799" spans="1:2">
      <c r="A2799" s="116">
        <v>46261</v>
      </c>
      <c r="B2799" s="110">
        <v>1384.6</v>
      </c>
    </row>
    <row r="2800" spans="1:2">
      <c r="A2800" s="116">
        <v>46262</v>
      </c>
      <c r="B2800" s="110">
        <v>1380.3</v>
      </c>
    </row>
    <row r="2801" spans="1:2">
      <c r="A2801" s="123">
        <v>46263</v>
      </c>
      <c r="B2801" s="124">
        <v>1380.3</v>
      </c>
    </row>
    <row r="2802" spans="1:2">
      <c r="A2802" s="123">
        <v>46264</v>
      </c>
      <c r="B2802" s="124">
        <v>1380.3</v>
      </c>
    </row>
    <row r="2803" spans="1:2">
      <c r="A2803" s="116">
        <v>46265</v>
      </c>
      <c r="B2803" s="110">
        <v>1376.5</v>
      </c>
    </row>
    <row r="2804" spans="1:2">
      <c r="A2804" s="116">
        <v>46266</v>
      </c>
      <c r="B2804" s="110">
        <v>1373.6</v>
      </c>
    </row>
    <row r="2805" spans="1:2">
      <c r="A2805" s="116">
        <v>46267</v>
      </c>
      <c r="B2805" s="110">
        <v>1370.3</v>
      </c>
    </row>
    <row r="2806" spans="1:2">
      <c r="A2806" s="116">
        <v>46268</v>
      </c>
      <c r="B2806" s="110">
        <v>1369.4</v>
      </c>
    </row>
    <row r="2807" spans="1:2">
      <c r="A2807" s="116">
        <v>46269</v>
      </c>
      <c r="B2807" s="110">
        <v>1359.5</v>
      </c>
    </row>
    <row r="2808" spans="1:2">
      <c r="A2808" s="123">
        <v>46270</v>
      </c>
      <c r="B2808" s="124">
        <v>1359.5</v>
      </c>
    </row>
    <row r="2809" spans="1:2">
      <c r="A2809" s="123">
        <v>46271</v>
      </c>
      <c r="B2809" s="124">
        <v>1359.5</v>
      </c>
    </row>
    <row r="2810" spans="1:2">
      <c r="A2810" s="116">
        <v>46272</v>
      </c>
      <c r="B2810" s="110">
        <v>1355.2</v>
      </c>
    </row>
    <row r="2811" spans="1:2">
      <c r="A2811" s="116">
        <v>46273</v>
      </c>
      <c r="B2811" s="110">
        <v>1342.6</v>
      </c>
    </row>
    <row r="2812" spans="1:2">
      <c r="A2812" s="116">
        <v>46274</v>
      </c>
      <c r="B2812" s="110">
        <v>1341.1</v>
      </c>
    </row>
    <row r="2813" spans="1:2">
      <c r="A2813" s="116">
        <v>46275</v>
      </c>
      <c r="B2813" s="110">
        <v>1337.9</v>
      </c>
    </row>
    <row r="2814" spans="1:2">
      <c r="A2814" s="116">
        <v>46276</v>
      </c>
      <c r="B2814" s="110">
        <v>1338.2</v>
      </c>
    </row>
    <row r="2815" spans="1:2">
      <c r="A2815" s="123">
        <v>46277</v>
      </c>
      <c r="B2815" s="124">
        <v>1338.2</v>
      </c>
    </row>
    <row r="2816" spans="1:2">
      <c r="A2816" s="123">
        <v>46278</v>
      </c>
      <c r="B2816" s="124">
        <v>1338.2</v>
      </c>
    </row>
    <row r="2817" spans="1:2">
      <c r="A2817" s="116">
        <v>46279</v>
      </c>
      <c r="B2817" s="110">
        <v>1346.4</v>
      </c>
    </row>
    <row r="2818" spans="1:2">
      <c r="A2818" s="116">
        <v>46280</v>
      </c>
      <c r="B2818" s="110">
        <v>1345.3</v>
      </c>
    </row>
    <row r="2819" spans="1:2">
      <c r="A2819" s="116">
        <v>46281</v>
      </c>
      <c r="B2819" s="110">
        <v>1353.3</v>
      </c>
    </row>
    <row r="2820" spans="1:2">
      <c r="A2820" s="116">
        <v>46282</v>
      </c>
      <c r="B2820" s="110">
        <v>1368.3</v>
      </c>
    </row>
    <row r="2821" spans="1:2">
      <c r="A2821" s="116">
        <v>46283</v>
      </c>
      <c r="B2821" s="110">
        <v>1380.3</v>
      </c>
    </row>
    <row r="2822" spans="1:2">
      <c r="A2822" s="116">
        <v>46284</v>
      </c>
      <c r="B2822" s="124">
        <v>1380.3</v>
      </c>
    </row>
    <row r="2823" spans="1:2">
      <c r="A2823" s="116">
        <v>46285</v>
      </c>
      <c r="B2823" s="124">
        <v>1380.3</v>
      </c>
    </row>
    <row r="2824" spans="1:2">
      <c r="A2824" s="116">
        <v>46286</v>
      </c>
      <c r="B2824" s="110">
        <v>1383.8</v>
      </c>
    </row>
    <row r="2825" spans="1:2">
      <c r="A2825" s="116">
        <v>46287</v>
      </c>
      <c r="B2825" s="110">
        <v>1384.3</v>
      </c>
    </row>
    <row r="2826" spans="1:2">
      <c r="A2826" s="116">
        <v>46288</v>
      </c>
      <c r="B2826" s="110">
        <v>1360</v>
      </c>
    </row>
    <row r="2827" spans="1:2">
      <c r="A2827" s="116">
        <v>46289</v>
      </c>
      <c r="B2827" s="124">
        <v>1360</v>
      </c>
    </row>
    <row r="2828" spans="1:2">
      <c r="A2828" s="116">
        <v>46290</v>
      </c>
      <c r="B2828" s="124">
        <v>1360</v>
      </c>
    </row>
    <row r="2829" spans="1:2">
      <c r="A2829" s="116">
        <v>46291</v>
      </c>
      <c r="B2829" s="124">
        <v>1360</v>
      </c>
    </row>
    <row r="2830" spans="1:2">
      <c r="A2830" s="116">
        <v>46292</v>
      </c>
      <c r="B2830" s="124">
        <v>1360</v>
      </c>
    </row>
    <row r="2831" spans="1:2">
      <c r="A2831" s="116">
        <v>46293</v>
      </c>
      <c r="B2831" s="110">
        <v>1352</v>
      </c>
    </row>
    <row r="2832" spans="1:2">
      <c r="A2832" s="116">
        <v>46294</v>
      </c>
      <c r="B2832" s="110">
        <v>1360</v>
      </c>
    </row>
    <row r="2833" spans="1:2">
      <c r="A2833" s="116">
        <v>46295</v>
      </c>
      <c r="B2833" s="110">
        <v>1358.4</v>
      </c>
    </row>
    <row r="2834" spans="1:2">
      <c r="A2834" s="116">
        <v>46296</v>
      </c>
      <c r="B2834" s="110">
        <v>1355.7</v>
      </c>
    </row>
    <row r="2835" spans="1:2">
      <c r="A2835" s="116">
        <v>46297</v>
      </c>
    </row>
    <row r="2836" spans="1:2">
      <c r="A2836" s="116">
        <v>46298</v>
      </c>
    </row>
    <row r="2837" spans="1:2">
      <c r="A2837" s="116">
        <v>46299</v>
      </c>
    </row>
    <row r="2838" spans="1:2">
      <c r="A2838" s="116">
        <v>46300</v>
      </c>
    </row>
    <row r="2839" spans="1:2">
      <c r="A2839" s="116">
        <v>46301</v>
      </c>
    </row>
    <row r="2840" spans="1:2">
      <c r="A2840" s="116">
        <v>46302</v>
      </c>
    </row>
    <row r="2841" spans="1:2">
      <c r="A2841" s="116">
        <v>46303</v>
      </c>
    </row>
    <row r="2842" spans="1:2">
      <c r="A2842" s="116">
        <v>46304</v>
      </c>
    </row>
    <row r="2843" spans="1:2">
      <c r="A2843" s="116">
        <v>46305</v>
      </c>
    </row>
    <row r="2844" spans="1:2">
      <c r="A2844" s="116">
        <v>46306</v>
      </c>
    </row>
    <row r="2845" spans="1:2">
      <c r="A2845" s="116">
        <v>46307</v>
      </c>
    </row>
    <row r="2846" spans="1:2">
      <c r="A2846" s="116">
        <v>46308</v>
      </c>
    </row>
    <row r="2847" spans="1:2">
      <c r="A2847" s="116">
        <v>46309</v>
      </c>
    </row>
    <row r="2848" spans="1:2">
      <c r="A2848" s="116">
        <v>46310</v>
      </c>
    </row>
    <row r="2849" spans="1:1">
      <c r="A2849" s="116">
        <v>46311</v>
      </c>
    </row>
    <row r="2850" spans="1:1">
      <c r="A2850" s="116">
        <v>46312</v>
      </c>
    </row>
    <row r="2851" spans="1:1">
      <c r="A2851" s="116">
        <v>46313</v>
      </c>
    </row>
    <row r="2852" spans="1:1">
      <c r="A2852" s="116">
        <v>46314</v>
      </c>
    </row>
    <row r="2853" spans="1:1">
      <c r="A2853" s="116">
        <v>46315</v>
      </c>
    </row>
    <row r="2854" spans="1:1">
      <c r="A2854" s="116">
        <v>46316</v>
      </c>
    </row>
    <row r="2855" spans="1:1">
      <c r="A2855" s="116">
        <v>46317</v>
      </c>
    </row>
    <row r="2856" spans="1:1">
      <c r="A2856" s="116">
        <v>46318</v>
      </c>
    </row>
    <row r="2857" spans="1:1">
      <c r="A2857" s="116">
        <v>46319</v>
      </c>
    </row>
    <row r="2858" spans="1:1">
      <c r="A2858" s="116">
        <v>46320</v>
      </c>
    </row>
    <row r="2859" spans="1:1">
      <c r="A2859" s="116">
        <v>46321</v>
      </c>
    </row>
    <row r="2860" spans="1:1">
      <c r="A2860" s="116">
        <v>46322</v>
      </c>
    </row>
    <row r="2861" spans="1:1">
      <c r="A2861" s="116">
        <v>46323</v>
      </c>
    </row>
    <row r="2862" spans="1:1">
      <c r="A2862" s="116">
        <v>46324</v>
      </c>
    </row>
    <row r="2863" spans="1:1">
      <c r="A2863" s="116">
        <v>46325</v>
      </c>
    </row>
    <row r="2864" spans="1:1">
      <c r="A2864" s="116">
        <v>46326</v>
      </c>
    </row>
    <row r="2865" spans="1:1">
      <c r="A2865" s="116">
        <v>46327</v>
      </c>
    </row>
    <row r="2866" spans="1:1">
      <c r="A2866" s="116">
        <v>46328</v>
      </c>
    </row>
    <row r="2867" spans="1:1">
      <c r="A2867" s="116">
        <v>46329</v>
      </c>
    </row>
    <row r="2868" spans="1:1">
      <c r="A2868" s="116">
        <v>46330</v>
      </c>
    </row>
    <row r="2869" spans="1:1">
      <c r="A2869" s="116">
        <v>46331</v>
      </c>
    </row>
    <row r="2870" spans="1:1">
      <c r="A2870" s="116">
        <v>46332</v>
      </c>
    </row>
    <row r="2871" spans="1:1">
      <c r="A2871" s="116">
        <v>46333</v>
      </c>
    </row>
    <row r="2872" spans="1:1">
      <c r="A2872" s="116">
        <v>46334</v>
      </c>
    </row>
    <row r="2873" spans="1:1">
      <c r="A2873" s="116">
        <v>46335</v>
      </c>
    </row>
    <row r="2874" spans="1:1">
      <c r="A2874" s="116">
        <v>46336</v>
      </c>
    </row>
    <row r="2875" spans="1:1">
      <c r="A2875" s="116">
        <v>46337</v>
      </c>
    </row>
    <row r="2876" spans="1:1">
      <c r="A2876" s="116">
        <v>46338</v>
      </c>
    </row>
    <row r="2877" spans="1:1">
      <c r="A2877" s="116">
        <v>46339</v>
      </c>
    </row>
    <row r="2878" spans="1:1">
      <c r="A2878" s="116">
        <v>46340</v>
      </c>
    </row>
    <row r="2879" spans="1:1">
      <c r="A2879" s="116">
        <v>46341</v>
      </c>
    </row>
    <row r="2880" spans="1:1">
      <c r="A2880" s="116">
        <v>46342</v>
      </c>
    </row>
    <row r="2881" spans="1:1">
      <c r="A2881" s="116">
        <v>46343</v>
      </c>
    </row>
    <row r="2882" spans="1:1">
      <c r="A2882" s="116">
        <v>46344</v>
      </c>
    </row>
    <row r="2883" spans="1:1">
      <c r="A2883" s="116">
        <v>46345</v>
      </c>
    </row>
    <row r="2884" spans="1:1">
      <c r="A2884" s="116">
        <v>46346</v>
      </c>
    </row>
    <row r="2885" spans="1:1">
      <c r="A2885" s="116">
        <v>46347</v>
      </c>
    </row>
    <row r="2886" spans="1:1">
      <c r="A2886" s="116">
        <v>46348</v>
      </c>
    </row>
    <row r="2887" spans="1:1">
      <c r="A2887" s="116">
        <v>46349</v>
      </c>
    </row>
    <row r="2888" spans="1:1">
      <c r="A2888" s="116">
        <v>46350</v>
      </c>
    </row>
    <row r="2889" spans="1:1">
      <c r="A2889" s="116">
        <v>46351</v>
      </c>
    </row>
    <row r="2890" spans="1:1">
      <c r="A2890" s="116">
        <v>46352</v>
      </c>
    </row>
    <row r="2891" spans="1:1">
      <c r="A2891" s="116">
        <v>46353</v>
      </c>
    </row>
    <row r="2892" spans="1:1">
      <c r="A2892" s="116">
        <v>46354</v>
      </c>
    </row>
    <row r="2893" spans="1:1">
      <c r="A2893" s="116">
        <v>46355</v>
      </c>
    </row>
    <row r="2894" spans="1:1">
      <c r="A2894" s="116">
        <v>46356</v>
      </c>
    </row>
    <row r="2895" spans="1:1">
      <c r="A2895" s="116">
        <v>46357</v>
      </c>
    </row>
    <row r="2896" spans="1:1">
      <c r="A2896" s="116">
        <v>46358</v>
      </c>
    </row>
    <row r="2897" spans="1:1">
      <c r="A2897" s="116">
        <v>46359</v>
      </c>
    </row>
    <row r="2898" spans="1:1">
      <c r="A2898" s="116">
        <v>46360</v>
      </c>
    </row>
    <row r="2899" spans="1:1">
      <c r="A2899" s="116">
        <v>46361</v>
      </c>
    </row>
    <row r="2900" spans="1:1">
      <c r="A2900" s="116">
        <v>46362</v>
      </c>
    </row>
    <row r="2901" spans="1:1">
      <c r="A2901" s="116">
        <v>46363</v>
      </c>
    </row>
    <row r="2902" spans="1:1">
      <c r="A2902" s="116">
        <v>46364</v>
      </c>
    </row>
    <row r="2903" spans="1:1">
      <c r="A2903" s="116">
        <v>46365</v>
      </c>
    </row>
    <row r="2904" spans="1:1">
      <c r="A2904" s="116">
        <v>46366</v>
      </c>
    </row>
    <row r="2905" spans="1:1">
      <c r="A2905" s="116">
        <v>46367</v>
      </c>
    </row>
    <row r="2906" spans="1:1">
      <c r="A2906" s="116">
        <v>46368</v>
      </c>
    </row>
    <row r="2907" spans="1:1">
      <c r="A2907" s="116">
        <v>46369</v>
      </c>
    </row>
    <row r="2908" spans="1:1">
      <c r="A2908" s="116">
        <v>46370</v>
      </c>
    </row>
    <row r="2909" spans="1:1">
      <c r="A2909" s="116">
        <v>46371</v>
      </c>
    </row>
    <row r="2910" spans="1:1">
      <c r="A2910" s="116">
        <v>46372</v>
      </c>
    </row>
    <row r="2911" spans="1:1">
      <c r="A2911" s="116">
        <v>46373</v>
      </c>
    </row>
    <row r="2912" spans="1:1">
      <c r="A2912" s="116">
        <v>46374</v>
      </c>
    </row>
    <row r="2913" spans="1:1">
      <c r="A2913" s="116">
        <v>46375</v>
      </c>
    </row>
    <row r="2914" spans="1:1">
      <c r="A2914" s="116">
        <v>46376</v>
      </c>
    </row>
    <row r="2915" spans="1:1">
      <c r="A2915" s="116">
        <v>46377</v>
      </c>
    </row>
    <row r="2916" spans="1:1">
      <c r="A2916" s="116">
        <v>46378</v>
      </c>
    </row>
    <row r="2917" spans="1:1">
      <c r="A2917" s="116">
        <v>46379</v>
      </c>
    </row>
    <row r="2918" spans="1:1">
      <c r="A2918" s="116">
        <v>46380</v>
      </c>
    </row>
    <row r="2919" spans="1:1">
      <c r="A2919" s="116">
        <v>46381</v>
      </c>
    </row>
    <row r="2920" spans="1:1">
      <c r="A2920" s="116">
        <v>46382</v>
      </c>
    </row>
    <row r="2921" spans="1:1">
      <c r="A2921" s="116">
        <v>46383</v>
      </c>
    </row>
    <row r="2922" spans="1:1">
      <c r="A2922" s="116">
        <v>46384</v>
      </c>
    </row>
    <row r="2923" spans="1:1">
      <c r="A2923" s="116">
        <v>46385</v>
      </c>
    </row>
    <row r="2924" spans="1:1">
      <c r="A2924" s="116">
        <v>46386</v>
      </c>
    </row>
    <row r="2925" spans="1:1">
      <c r="A2925" s="116">
        <v>46387</v>
      </c>
    </row>
    <row r="2926" spans="1:1">
      <c r="A2926" s="116">
        <v>46388</v>
      </c>
    </row>
    <row r="2927" spans="1:1">
      <c r="A2927" s="116">
        <v>46389</v>
      </c>
    </row>
    <row r="2928" spans="1:1">
      <c r="A2928" s="116">
        <v>46390</v>
      </c>
    </row>
    <row r="2929" spans="1:1">
      <c r="A2929" s="116">
        <v>46391</v>
      </c>
    </row>
    <row r="2930" spans="1:1">
      <c r="A2930" s="116">
        <v>46392</v>
      </c>
    </row>
    <row r="2931" spans="1:1">
      <c r="A2931" s="116">
        <v>46393</v>
      </c>
    </row>
    <row r="2932" spans="1:1">
      <c r="A2932" s="116">
        <v>46394</v>
      </c>
    </row>
    <row r="2933" spans="1:1">
      <c r="A2933" s="116">
        <v>46395</v>
      </c>
    </row>
    <row r="2934" spans="1:1">
      <c r="A2934" s="116">
        <v>46396</v>
      </c>
    </row>
    <row r="2935" spans="1:1">
      <c r="A2935" s="116">
        <v>46397</v>
      </c>
    </row>
    <row r="2936" spans="1:1">
      <c r="A2936" s="116">
        <v>46398</v>
      </c>
    </row>
    <row r="2937" spans="1:1">
      <c r="A2937" s="116">
        <v>46399</v>
      </c>
    </row>
    <row r="2938" spans="1:1">
      <c r="A2938" s="116">
        <v>46400</v>
      </c>
    </row>
    <row r="2939" spans="1:1">
      <c r="A2939" s="116">
        <v>46401</v>
      </c>
    </row>
    <row r="2940" spans="1:1">
      <c r="A2940" s="116">
        <v>46402</v>
      </c>
    </row>
    <row r="2941" spans="1:1">
      <c r="A2941" s="116">
        <v>46403</v>
      </c>
    </row>
    <row r="2942" spans="1:1">
      <c r="A2942" s="116">
        <v>46404</v>
      </c>
    </row>
    <row r="2943" spans="1:1">
      <c r="A2943" s="116">
        <v>46405</v>
      </c>
    </row>
    <row r="2944" spans="1:1">
      <c r="A2944" s="116">
        <v>46406</v>
      </c>
    </row>
    <row r="2945" spans="1:1">
      <c r="A2945" s="116">
        <v>46407</v>
      </c>
    </row>
    <row r="2946" spans="1:1">
      <c r="A2946" s="116">
        <v>46408</v>
      </c>
    </row>
    <row r="2947" spans="1:1">
      <c r="A2947" s="116">
        <v>46409</v>
      </c>
    </row>
    <row r="2948" spans="1:1">
      <c r="A2948" s="116">
        <v>46410</v>
      </c>
    </row>
    <row r="2949" spans="1:1">
      <c r="A2949" s="116">
        <v>46411</v>
      </c>
    </row>
    <row r="2950" spans="1:1">
      <c r="A2950" s="116">
        <v>46412</v>
      </c>
    </row>
    <row r="2951" spans="1:1">
      <c r="A2951" s="116">
        <v>46413</v>
      </c>
    </row>
    <row r="2952" spans="1:1">
      <c r="A2952" s="116">
        <v>46414</v>
      </c>
    </row>
    <row r="2953" spans="1:1">
      <c r="A2953" s="116">
        <v>46415</v>
      </c>
    </row>
    <row r="2954" spans="1:1">
      <c r="A2954" s="116">
        <v>46416</v>
      </c>
    </row>
    <row r="2955" spans="1:1">
      <c r="A2955" s="116">
        <v>46417</v>
      </c>
    </row>
    <row r="2956" spans="1:1">
      <c r="A2956" s="116">
        <v>46418</v>
      </c>
    </row>
    <row r="2957" spans="1:1">
      <c r="A2957" s="116">
        <v>46419</v>
      </c>
    </row>
    <row r="2958" spans="1:1">
      <c r="A2958" s="116">
        <v>46420</v>
      </c>
    </row>
    <row r="2959" spans="1:1">
      <c r="A2959" s="116">
        <v>46421</v>
      </c>
    </row>
    <row r="2960" spans="1:1">
      <c r="A2960" s="116">
        <v>46422</v>
      </c>
    </row>
    <row r="2961" spans="1:1">
      <c r="A2961" s="116">
        <v>46423</v>
      </c>
    </row>
    <row r="2962" spans="1:1">
      <c r="A2962" s="116">
        <v>46424</v>
      </c>
    </row>
    <row r="2963" spans="1:1">
      <c r="A2963" s="116">
        <v>46425</v>
      </c>
    </row>
    <row r="2964" spans="1:1">
      <c r="A2964" s="116">
        <v>46426</v>
      </c>
    </row>
    <row r="2965" spans="1:1">
      <c r="A2965" s="116">
        <v>46427</v>
      </c>
    </row>
    <row r="2966" spans="1:1">
      <c r="A2966" s="116">
        <v>46428</v>
      </c>
    </row>
    <row r="2967" spans="1:1">
      <c r="A2967" s="116">
        <v>46429</v>
      </c>
    </row>
    <row r="2968" spans="1:1">
      <c r="A2968" s="116">
        <v>46430</v>
      </c>
    </row>
    <row r="2969" spans="1:1">
      <c r="A2969" s="116">
        <v>46431</v>
      </c>
    </row>
    <row r="2970" spans="1:1">
      <c r="A2970" s="116">
        <v>46432</v>
      </c>
    </row>
    <row r="2971" spans="1:1">
      <c r="A2971" s="116">
        <v>46433</v>
      </c>
    </row>
    <row r="2972" spans="1:1">
      <c r="A2972" s="116">
        <v>46434</v>
      </c>
    </row>
    <row r="2973" spans="1:1">
      <c r="A2973" s="116">
        <v>46435</v>
      </c>
    </row>
    <row r="2974" spans="1:1">
      <c r="A2974" s="116">
        <v>46436</v>
      </c>
    </row>
    <row r="2975" spans="1:1">
      <c r="A2975" s="116">
        <v>46437</v>
      </c>
    </row>
    <row r="2976" spans="1:1">
      <c r="A2976" s="116">
        <v>46438</v>
      </c>
    </row>
    <row r="2977" spans="1:1">
      <c r="A2977" s="116">
        <v>46439</v>
      </c>
    </row>
    <row r="2978" spans="1:1">
      <c r="A2978" s="116">
        <v>46440</v>
      </c>
    </row>
    <row r="2979" spans="1:1">
      <c r="A2979" s="116">
        <v>46441</v>
      </c>
    </row>
    <row r="2980" spans="1:1">
      <c r="A2980" s="116">
        <v>46442</v>
      </c>
    </row>
    <row r="2981" spans="1:1">
      <c r="A2981" s="116">
        <v>46443</v>
      </c>
    </row>
    <row r="2982" spans="1:1">
      <c r="A2982" s="116">
        <v>46444</v>
      </c>
    </row>
    <row r="2983" spans="1:1">
      <c r="A2983" s="116">
        <v>46445</v>
      </c>
    </row>
    <row r="2984" spans="1:1">
      <c r="A2984" s="116">
        <v>46446</v>
      </c>
    </row>
    <row r="2985" spans="1:1">
      <c r="A2985" s="116">
        <v>46447</v>
      </c>
    </row>
    <row r="2986" spans="1:1">
      <c r="A2986" s="116">
        <v>46448</v>
      </c>
    </row>
    <row r="2987" spans="1:1">
      <c r="A2987" s="116">
        <v>46449</v>
      </c>
    </row>
    <row r="2988" spans="1:1">
      <c r="A2988" s="116">
        <v>46450</v>
      </c>
    </row>
    <row r="2989" spans="1:1">
      <c r="A2989" s="116">
        <v>46451</v>
      </c>
    </row>
    <row r="2990" spans="1:1">
      <c r="A2990" s="116">
        <v>46452</v>
      </c>
    </row>
    <row r="2991" spans="1:1">
      <c r="A2991" s="116">
        <v>46453</v>
      </c>
    </row>
    <row r="2992" spans="1:1">
      <c r="A2992" s="116">
        <v>46454</v>
      </c>
    </row>
    <row r="2993" spans="1:1">
      <c r="A2993" s="116">
        <v>46455</v>
      </c>
    </row>
    <row r="2994" spans="1:1">
      <c r="A2994" s="116">
        <v>46456</v>
      </c>
    </row>
    <row r="2995" spans="1:1">
      <c r="A2995" s="116">
        <v>46457</v>
      </c>
    </row>
    <row r="2996" spans="1:1">
      <c r="A2996" s="116">
        <v>46458</v>
      </c>
    </row>
    <row r="2997" spans="1:1">
      <c r="A2997" s="116">
        <v>46459</v>
      </c>
    </row>
    <row r="2998" spans="1:1">
      <c r="A2998" s="116">
        <v>46460</v>
      </c>
    </row>
    <row r="2999" spans="1:1">
      <c r="A2999" s="116">
        <v>46461</v>
      </c>
    </row>
    <row r="3000" spans="1:1">
      <c r="A3000" s="116">
        <v>46462</v>
      </c>
    </row>
    <row r="3001" spans="1:1">
      <c r="A3001" s="116">
        <v>46463</v>
      </c>
    </row>
    <row r="3002" spans="1:1">
      <c r="A3002" s="116">
        <v>46464</v>
      </c>
    </row>
    <row r="3003" spans="1:1">
      <c r="A3003" s="116">
        <v>46465</v>
      </c>
    </row>
    <row r="3004" spans="1:1">
      <c r="A3004" s="116">
        <v>46466</v>
      </c>
    </row>
    <row r="3005" spans="1:1">
      <c r="A3005" s="116">
        <v>46467</v>
      </c>
    </row>
    <row r="3006" spans="1:1">
      <c r="A3006" s="116">
        <v>46468</v>
      </c>
    </row>
    <row r="3007" spans="1:1">
      <c r="A3007" s="116">
        <v>46469</v>
      </c>
    </row>
    <row r="3008" spans="1:1">
      <c r="A3008" s="116">
        <v>46470</v>
      </c>
    </row>
    <row r="3009" spans="1:1">
      <c r="A3009" s="116">
        <v>46471</v>
      </c>
    </row>
    <row r="3010" spans="1:1">
      <c r="A3010" s="116">
        <v>46472</v>
      </c>
    </row>
    <row r="3011" spans="1:1">
      <c r="A3011" s="116">
        <v>46473</v>
      </c>
    </row>
    <row r="3012" spans="1:1">
      <c r="A3012" s="116">
        <v>46474</v>
      </c>
    </row>
    <row r="3013" spans="1:1">
      <c r="A3013" s="116">
        <v>46475</v>
      </c>
    </row>
    <row r="3014" spans="1:1">
      <c r="A3014" s="116">
        <v>46476</v>
      </c>
    </row>
    <row r="3015" spans="1:1">
      <c r="A3015" s="116">
        <v>46477</v>
      </c>
    </row>
    <row r="3016" spans="1:1">
      <c r="A3016" s="116">
        <v>46478</v>
      </c>
    </row>
    <row r="3017" spans="1:1">
      <c r="A3017" s="116">
        <v>46479</v>
      </c>
    </row>
    <row r="3018" spans="1:1">
      <c r="A3018" s="116">
        <v>46480</v>
      </c>
    </row>
    <row r="3019" spans="1:1">
      <c r="A3019" s="116">
        <v>46481</v>
      </c>
    </row>
    <row r="3020" spans="1:1">
      <c r="A3020" s="116">
        <v>46482</v>
      </c>
    </row>
    <row r="3021" spans="1:1">
      <c r="A3021" s="116">
        <v>46483</v>
      </c>
    </row>
    <row r="3022" spans="1:1">
      <c r="A3022" s="116">
        <v>46484</v>
      </c>
    </row>
    <row r="3023" spans="1:1">
      <c r="A3023" s="116">
        <v>46485</v>
      </c>
    </row>
    <row r="3024" spans="1:1">
      <c r="A3024" s="116">
        <v>46486</v>
      </c>
    </row>
    <row r="3025" spans="1:1">
      <c r="A3025" s="116">
        <v>46487</v>
      </c>
    </row>
    <row r="3026" spans="1:1">
      <c r="A3026" s="116">
        <v>46488</v>
      </c>
    </row>
    <row r="3027" spans="1:1">
      <c r="A3027" s="116">
        <v>46489</v>
      </c>
    </row>
    <row r="3028" spans="1:1">
      <c r="A3028" s="116">
        <v>46490</v>
      </c>
    </row>
    <row r="3029" spans="1:1">
      <c r="A3029" s="116">
        <v>46491</v>
      </c>
    </row>
    <row r="3030" spans="1:1">
      <c r="A3030" s="116">
        <v>46492</v>
      </c>
    </row>
    <row r="3031" spans="1:1">
      <c r="A3031" s="116">
        <v>46493</v>
      </c>
    </row>
    <row r="3032" spans="1:1">
      <c r="A3032" s="116">
        <v>46494</v>
      </c>
    </row>
    <row r="3033" spans="1:1">
      <c r="A3033" s="116">
        <v>46495</v>
      </c>
    </row>
    <row r="3034" spans="1:1">
      <c r="A3034" s="116">
        <v>46496</v>
      </c>
    </row>
    <row r="3035" spans="1:1">
      <c r="A3035" s="116">
        <v>46497</v>
      </c>
    </row>
    <row r="3036" spans="1:1">
      <c r="A3036" s="116">
        <v>46498</v>
      </c>
    </row>
    <row r="3037" spans="1:1">
      <c r="A3037" s="116">
        <v>46499</v>
      </c>
    </row>
    <row r="3038" spans="1:1">
      <c r="A3038" s="116">
        <v>46500</v>
      </c>
    </row>
    <row r="3039" spans="1:1">
      <c r="A3039" s="116">
        <v>46501</v>
      </c>
    </row>
    <row r="3040" spans="1:1">
      <c r="A3040" s="116">
        <v>46502</v>
      </c>
    </row>
  </sheetData>
  <mergeCells count="1">
    <mergeCell ref="J334:J33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26.9月당월_면장</vt:lpstr>
      <vt:lpstr>26.9月이월_면장</vt:lpstr>
      <vt:lpstr>26.9月라인별</vt:lpstr>
      <vt:lpstr>환율</vt:lpstr>
      <vt:lpstr>'26.9月당월_면장'!Print_Area</vt:lpstr>
      <vt:lpstr>'26.9月이월_면장'!Print_Area</vt:lpstr>
      <vt:lpstr>환율!Print_Area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2026-10-08T06:02:31Z</cp:lastPrinted>
  <dcterms:created xsi:type="dcterms:W3CDTF">2026-02-11T08:33:04Z</dcterms:created>
  <dcterms:modified xsi:type="dcterms:W3CDTF">2026-10-09T05:51:35Z</dcterms:modified>
</cp:coreProperties>
</file>