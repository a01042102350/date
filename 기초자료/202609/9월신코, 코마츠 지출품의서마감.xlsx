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전사문서함\대신금속(주)\지원부서\영업관리실\국내영업팀\100.결산 &amp; 월말마감자료(계산서,매출,재고리스트)\1.세금계산서\"/>
    </mc:Choice>
  </mc:AlternateContent>
  <xr:revisionPtr revIDLastSave="0" documentId="13_ncr:1_{45744A09-4607-4681-A998-4EFBB652EA67}" xr6:coauthVersionLast="47" xr6:coauthVersionMax="47" xr10:uidLastSave="{00000000-0000-0000-0000-000000000000}"/>
  <bookViews>
    <workbookView xWindow="28680" yWindow="-120" windowWidth="29040" windowHeight="15720" firstSheet="19" activeTab="25" xr2:uid="{00000000-000D-0000-FFFF-FFFF00000000}"/>
  </bookViews>
  <sheets>
    <sheet name="현대중공업(주)" sheetId="6" r:id="rId1"/>
    <sheet name="현대트랜시스(주)" sheetId="42" r:id="rId2"/>
    <sheet name="현대로템(주)중기" sheetId="7" r:id="rId3"/>
    <sheet name="현대로템(주) 철차 1" sheetId="44" r:id="rId4"/>
    <sheet name="현대로템(주) 철차 (2)" sheetId="27" r:id="rId5"/>
    <sheet name="현대로템(주) 철차3" sheetId="45" r:id="rId6"/>
    <sheet name="현대로템(주) 철차4" sheetId="50" r:id="rId7"/>
    <sheet name="SNT다이내믹스" sheetId="37" r:id="rId8"/>
    <sheet name="범양" sheetId="39" r:id="rId9"/>
    <sheet name="다이헨" sheetId="41" r:id="rId10"/>
    <sheet name="SNT다이내믹스 (2)" sheetId="40" r:id="rId11"/>
    <sheet name="STX중공업" sheetId="1" r:id="rId12"/>
    <sheet name="STX엔진(착중도금) (2)" sheetId="38" r:id="rId13"/>
    <sheet name="STX엔진(착중도금)" sheetId="30" r:id="rId14"/>
    <sheet name="STX엔진(방산)유상사급" sheetId="33" r:id="rId15"/>
    <sheet name="STX엔진(K9국산화)" sheetId="36" r:id="rId16"/>
    <sheet name="STX엔진(방산)" sheetId="4" r:id="rId17"/>
    <sheet name="STX엔진(방산) (2)" sheetId="46" r:id="rId18"/>
    <sheet name="STX엔진(방산) (3)" sheetId="47" r:id="rId19"/>
    <sheet name="STX엔진(민수)" sheetId="5" r:id="rId20"/>
    <sheet name="코마츠" sheetId="35" r:id="rId21"/>
    <sheet name="코마츠 1회" sheetId="48" r:id="rId22"/>
    <sheet name="신코 목형" sheetId="34" r:id="rId23"/>
    <sheet name="신코" sheetId="29" r:id="rId24"/>
    <sheet name="Chart2" sheetId="51" r:id="rId25"/>
    <sheet name="신코 222" sheetId="49" r:id="rId26"/>
    <sheet name="신코 (2)" sheetId="43" r:id="rId27"/>
    <sheet name="신코 스크랩" sheetId="32" r:id="rId28"/>
    <sheet name="신코 선급" sheetId="31" r:id="rId29"/>
    <sheet name="Sheet1" sheetId="22" r:id="rId30"/>
    <sheet name="Sheet2" sheetId="24" r:id="rId31"/>
  </sheets>
  <definedNames>
    <definedName name="_xlnm.Print_Area" localSheetId="7">SNT다이내믹스!$A$1:$N$29</definedName>
    <definedName name="_xlnm.Print_Area" localSheetId="10">'SNT다이내믹스 (2)'!$A$1:$N$29</definedName>
    <definedName name="_xlnm.Print_Area" localSheetId="15">'STX엔진(K9국산화)'!$A$1:$N$29</definedName>
    <definedName name="_xlnm.Print_Area" localSheetId="19">'STX엔진(민수)'!$A$1:$N$29</definedName>
    <definedName name="_xlnm.Print_Area" localSheetId="16">'STX엔진(방산)'!$A$1:$N$29</definedName>
    <definedName name="_xlnm.Print_Area" localSheetId="17">'STX엔진(방산) (2)'!$A$1:$N$29</definedName>
    <definedName name="_xlnm.Print_Area" localSheetId="18">'STX엔진(방산) (3)'!$A$1:$N$29</definedName>
    <definedName name="_xlnm.Print_Area" localSheetId="14">'STX엔진(방산)유상사급'!$A$1:$N$29</definedName>
    <definedName name="_xlnm.Print_Area" localSheetId="13">'STX엔진(착중도금)'!$A$1:$N$29</definedName>
    <definedName name="_xlnm.Print_Area" localSheetId="12">'STX엔진(착중도금) (2)'!$A$1:$N$29</definedName>
    <definedName name="_xlnm.Print_Area" localSheetId="11">STX중공업!$A$1:$N$29</definedName>
    <definedName name="_xlnm.Print_Area" localSheetId="9">다이헨!$A$1:$N$30</definedName>
    <definedName name="_xlnm.Print_Area" localSheetId="8">범양!$A$1:$N$30</definedName>
    <definedName name="_xlnm.Print_Area" localSheetId="23">신코!$A$1:$N$29</definedName>
    <definedName name="_xlnm.Print_Area" localSheetId="26">'신코 (2)'!$A$1:$N$29</definedName>
    <definedName name="_xlnm.Print_Area" localSheetId="25">'신코 222'!$A$1:$N$29</definedName>
    <definedName name="_xlnm.Print_Area" localSheetId="22">'신코 목형'!$A$1:$N$29</definedName>
    <definedName name="_xlnm.Print_Area" localSheetId="28">'신코 선급'!$A$1:$N$29</definedName>
    <definedName name="_xlnm.Print_Area" localSheetId="27">'신코 스크랩'!$A$1:$N$29</definedName>
    <definedName name="_xlnm.Print_Area" localSheetId="20">코마츠!$A$1:$N$29</definedName>
    <definedName name="_xlnm.Print_Area" localSheetId="21">'코마츠 1회'!$A$1:$N$29</definedName>
    <definedName name="_xlnm.Print_Area" localSheetId="4">'현대로템(주) 철차 (2)'!$A$1:$N$30</definedName>
    <definedName name="_xlnm.Print_Area" localSheetId="3">'현대로템(주) 철차 1'!$A$1:$N$30</definedName>
    <definedName name="_xlnm.Print_Area" localSheetId="5">'현대로템(주) 철차3'!$A$1:$N$30</definedName>
    <definedName name="_xlnm.Print_Area" localSheetId="6">'현대로템(주) 철차4'!$A$1:$N$30</definedName>
    <definedName name="_xlnm.Print_Area" localSheetId="2">'현대로템(주)중기'!$A$1:$N$30</definedName>
    <definedName name="_xlnm.Print_Area" localSheetId="0">'현대중공업(주)'!$A$1:$N$30</definedName>
    <definedName name="_xlnm.Print_Area" localSheetId="1">'현대트랜시스(주)'!$A$1:$N$30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5" i="49" l="1"/>
  <c r="AD11" i="49"/>
  <c r="AD12" i="49"/>
  <c r="AD13" i="49"/>
  <c r="AD14" i="49"/>
  <c r="AD10" i="49"/>
  <c r="AC11" i="49"/>
  <c r="AC12" i="49"/>
  <c r="AC13" i="49"/>
  <c r="AC14" i="49"/>
  <c r="AC10" i="49"/>
  <c r="W11" i="35"/>
  <c r="W10" i="35"/>
  <c r="S15" i="49" l="1"/>
  <c r="U15" i="49"/>
  <c r="V15" i="49"/>
  <c r="W15" i="49"/>
  <c r="X15" i="49"/>
  <c r="T15" i="49"/>
  <c r="Y13" i="49"/>
  <c r="Y14" i="49"/>
  <c r="Y11" i="49"/>
  <c r="Y12" i="49"/>
  <c r="M14" i="31"/>
  <c r="Z14" i="49"/>
  <c r="AA14" i="49" s="1"/>
  <c r="Z13" i="49"/>
  <c r="AA13" i="49" s="1"/>
  <c r="Z10" i="49" l="1"/>
  <c r="AA10" i="49" s="1"/>
  <c r="Y10" i="49"/>
  <c r="Y22" i="49" s="1"/>
  <c r="K23" i="50"/>
  <c r="M16" i="50"/>
  <c r="M15" i="50"/>
  <c r="M14" i="50"/>
  <c r="M13" i="50"/>
  <c r="M12" i="50"/>
  <c r="M11" i="50"/>
  <c r="P10" i="50"/>
  <c r="M10" i="50"/>
  <c r="AB13" i="49"/>
  <c r="AA46" i="49"/>
  <c r="AA50" i="49" s="1"/>
  <c r="AA45" i="49"/>
  <c r="AA49" i="49" s="1"/>
  <c r="AA44" i="49"/>
  <c r="AA48" i="49" s="1"/>
  <c r="AO26" i="49"/>
  <c r="AN26" i="49"/>
  <c r="AO25" i="49"/>
  <c r="AN25" i="49"/>
  <c r="AO24" i="49"/>
  <c r="AN24" i="49"/>
  <c r="AP24" i="49" s="1"/>
  <c r="AO23" i="49"/>
  <c r="AN23" i="49"/>
  <c r="AO21" i="49"/>
  <c r="AN21" i="49"/>
  <c r="Z21" i="49"/>
  <c r="AA21" i="49" s="1"/>
  <c r="AB21" i="49" s="1"/>
  <c r="AO20" i="49"/>
  <c r="AN20" i="49"/>
  <c r="Z20" i="49"/>
  <c r="AA20" i="49" s="1"/>
  <c r="AB20" i="49" s="1"/>
  <c r="Y19" i="49"/>
  <c r="AO19" i="49"/>
  <c r="AN19" i="49"/>
  <c r="Z19" i="49"/>
  <c r="AA19" i="49" s="1"/>
  <c r="AB19" i="49" s="1"/>
  <c r="AO18" i="49"/>
  <c r="AN18" i="49"/>
  <c r="Z18" i="49"/>
  <c r="AA18" i="49" s="1"/>
  <c r="AB18" i="49" s="1"/>
  <c r="AO17" i="49"/>
  <c r="AN17" i="49"/>
  <c r="Z17" i="49"/>
  <c r="AA17" i="49" s="1"/>
  <c r="AB17" i="49" s="1"/>
  <c r="AO16" i="49"/>
  <c r="AN16" i="49"/>
  <c r="Z16" i="49"/>
  <c r="AA16" i="49" s="1"/>
  <c r="AB16" i="49" s="1"/>
  <c r="AO15" i="49"/>
  <c r="AN15" i="49"/>
  <c r="Z15" i="49"/>
  <c r="AA15" i="49" s="1"/>
  <c r="AO14" i="49"/>
  <c r="AN14" i="49"/>
  <c r="AP14" i="49" s="1"/>
  <c r="AO13" i="49"/>
  <c r="AN13" i="49"/>
  <c r="AO12" i="49"/>
  <c r="AN12" i="49"/>
  <c r="Z12" i="49"/>
  <c r="AA12" i="49" s="1"/>
  <c r="AO11" i="49"/>
  <c r="AN11" i="49"/>
  <c r="Z11" i="49"/>
  <c r="AA11" i="49" s="1"/>
  <c r="AO10" i="49"/>
  <c r="AN10" i="49"/>
  <c r="AP10" i="49" s="1"/>
  <c r="AN27" i="49" l="1"/>
  <c r="AP11" i="49"/>
  <c r="AO27" i="49"/>
  <c r="AP12" i="49"/>
  <c r="AP18" i="49"/>
  <c r="E23" i="49"/>
  <c r="I24" i="49" s="1"/>
  <c r="K26" i="49" s="1"/>
  <c r="AB10" i="49"/>
  <c r="AB14" i="49"/>
  <c r="AP17" i="49"/>
  <c r="AP15" i="49"/>
  <c r="AP20" i="49"/>
  <c r="AP25" i="49"/>
  <c r="AP13" i="49"/>
  <c r="AP16" i="49"/>
  <c r="AP21" i="49"/>
  <c r="AP26" i="49"/>
  <c r="AO22" i="49"/>
  <c r="AP19" i="49"/>
  <c r="AB15" i="49"/>
  <c r="AN22" i="49"/>
  <c r="AP23" i="49"/>
  <c r="E24" i="50"/>
  <c r="K24" i="50" s="1"/>
  <c r="I25" i="50" s="1"/>
  <c r="AB12" i="49"/>
  <c r="AB11" i="49"/>
  <c r="AA22" i="49"/>
  <c r="O12" i="48"/>
  <c r="M11" i="48"/>
  <c r="M10" i="48"/>
  <c r="W22" i="48"/>
  <c r="X21" i="48"/>
  <c r="Y21" i="48" s="1"/>
  <c r="Z21" i="48" s="1"/>
  <c r="X20" i="48"/>
  <c r="Y20" i="48" s="1"/>
  <c r="Z20" i="48" s="1"/>
  <c r="X19" i="48"/>
  <c r="Y19" i="48" s="1"/>
  <c r="Z19" i="48" s="1"/>
  <c r="X18" i="48"/>
  <c r="Y18" i="48" s="1"/>
  <c r="Z18" i="48" s="1"/>
  <c r="Y17" i="48"/>
  <c r="Z17" i="48" s="1"/>
  <c r="X17" i="48"/>
  <c r="Y16" i="48"/>
  <c r="Z16" i="48" s="1"/>
  <c r="X16" i="48"/>
  <c r="X15" i="48"/>
  <c r="Y15" i="48" s="1"/>
  <c r="Z15" i="48" s="1"/>
  <c r="X14" i="48"/>
  <c r="Y14" i="48" s="1"/>
  <c r="Z14" i="48" s="1"/>
  <c r="X13" i="48"/>
  <c r="Y13" i="48" s="1"/>
  <c r="Z13" i="48" s="1"/>
  <c r="X12" i="48"/>
  <c r="Y12" i="48" s="1"/>
  <c r="Z12" i="48" s="1"/>
  <c r="X11" i="48"/>
  <c r="Y11" i="48" s="1"/>
  <c r="W11" i="48"/>
  <c r="X10" i="48"/>
  <c r="Y10" i="48" s="1"/>
  <c r="Z10" i="48" s="1"/>
  <c r="W10" i="48"/>
  <c r="Y22" i="48" l="1"/>
  <c r="X22" i="48" s="1"/>
  <c r="AP27" i="49"/>
  <c r="AQ27" i="49" s="1"/>
  <c r="E23" i="48"/>
  <c r="I24" i="48" s="1"/>
  <c r="AP22" i="49"/>
  <c r="AR22" i="49" s="1"/>
  <c r="AR27" i="49"/>
  <c r="K27" i="50"/>
  <c r="C27" i="50"/>
  <c r="C26" i="49"/>
  <c r="AA23" i="49"/>
  <c r="Z11" i="48"/>
  <c r="AQ22" i="49" l="1"/>
  <c r="K26" i="48"/>
  <c r="C26" i="48"/>
  <c r="X23" i="48"/>
  <c r="Y20" i="29" l="1"/>
  <c r="Y12" i="29"/>
  <c r="Y11" i="29"/>
  <c r="Y10" i="29"/>
  <c r="Y22" i="29" s="1"/>
  <c r="M16" i="45"/>
  <c r="M14" i="47" l="1"/>
  <c r="K22" i="47"/>
  <c r="M12" i="47"/>
  <c r="M11" i="47"/>
  <c r="M10" i="47"/>
  <c r="E23" i="47" s="1"/>
  <c r="K23" i="47" s="1"/>
  <c r="M14" i="46"/>
  <c r="K22" i="46"/>
  <c r="M12" i="46"/>
  <c r="M11" i="46"/>
  <c r="M10" i="46"/>
  <c r="M15" i="45"/>
  <c r="E23" i="46" l="1"/>
  <c r="K23" i="46" s="1"/>
  <c r="I24" i="46" s="1"/>
  <c r="I24" i="47"/>
  <c r="K23" i="45"/>
  <c r="M14" i="45"/>
  <c r="M13" i="45"/>
  <c r="M12" i="45"/>
  <c r="M11" i="45"/>
  <c r="P10" i="45"/>
  <c r="M10" i="45"/>
  <c r="K23" i="44"/>
  <c r="M14" i="44"/>
  <c r="M13" i="44"/>
  <c r="M12" i="44"/>
  <c r="M11" i="44"/>
  <c r="P10" i="44"/>
  <c r="M10" i="44"/>
  <c r="E24" i="44" l="1"/>
  <c r="K24" i="44" s="1"/>
  <c r="I25" i="44" s="1"/>
  <c r="K26" i="47"/>
  <c r="C26" i="47"/>
  <c r="K26" i="46"/>
  <c r="C26" i="46"/>
  <c r="E24" i="45"/>
  <c r="K24" i="45" s="1"/>
  <c r="I25" i="45" s="1"/>
  <c r="K27" i="45" s="1"/>
  <c r="M11" i="27"/>
  <c r="M12" i="27"/>
  <c r="M13" i="27"/>
  <c r="P10" i="27"/>
  <c r="M14" i="27"/>
  <c r="M10" i="27"/>
  <c r="M14" i="4"/>
  <c r="M10" i="4"/>
  <c r="C27" i="45" l="1"/>
  <c r="K27" i="44"/>
  <c r="C27" i="44"/>
  <c r="M13" i="1"/>
  <c r="M10" i="1"/>
  <c r="O15" i="1"/>
  <c r="E23" i="43"/>
  <c r="Z46" i="43"/>
  <c r="Z50" i="43" s="1"/>
  <c r="Z45" i="43"/>
  <c r="Z49" i="43" s="1"/>
  <c r="Z44" i="43"/>
  <c r="Z48" i="43" s="1"/>
  <c r="AN26" i="43"/>
  <c r="AM26" i="43"/>
  <c r="AO26" i="43" s="1"/>
  <c r="AN25" i="43"/>
  <c r="AM25" i="43"/>
  <c r="AO25" i="43" s="1"/>
  <c r="AN24" i="43"/>
  <c r="AM24" i="43"/>
  <c r="AM27" i="43" s="1"/>
  <c r="AO23" i="43"/>
  <c r="AN23" i="43"/>
  <c r="AM23" i="43"/>
  <c r="AN21" i="43"/>
  <c r="AM21" i="43"/>
  <c r="AO21" i="43" s="1"/>
  <c r="Y21" i="43"/>
  <c r="Z21" i="43" s="1"/>
  <c r="AA21" i="43" s="1"/>
  <c r="AN20" i="43"/>
  <c r="AM20" i="43"/>
  <c r="AO20" i="43" s="1"/>
  <c r="Y20" i="43"/>
  <c r="Z20" i="43" s="1"/>
  <c r="AA20" i="43" s="1"/>
  <c r="AN19" i="43"/>
  <c r="AM19" i="43"/>
  <c r="AO19" i="43" s="1"/>
  <c r="Y19" i="43"/>
  <c r="Z19" i="43" s="1"/>
  <c r="AA19" i="43" s="1"/>
  <c r="AN18" i="43"/>
  <c r="AM18" i="43"/>
  <c r="Y18" i="43"/>
  <c r="Z18" i="43" s="1"/>
  <c r="AA18" i="43" s="1"/>
  <c r="AN17" i="43"/>
  <c r="AM17" i="43"/>
  <c r="AO17" i="43" s="1"/>
  <c r="Y17" i="43"/>
  <c r="Z17" i="43" s="1"/>
  <c r="AA17" i="43" s="1"/>
  <c r="AO16" i="43"/>
  <c r="AN16" i="43"/>
  <c r="AM16" i="43"/>
  <c r="Y16" i="43"/>
  <c r="Z16" i="43" s="1"/>
  <c r="AA16" i="43" s="1"/>
  <c r="AN15" i="43"/>
  <c r="AM15" i="43"/>
  <c r="AO15" i="43" s="1"/>
  <c r="Y15" i="43"/>
  <c r="Z15" i="43" s="1"/>
  <c r="AA15" i="43" s="1"/>
  <c r="AN14" i="43"/>
  <c r="AM14" i="43"/>
  <c r="AO14" i="43" s="1"/>
  <c r="Y14" i="43"/>
  <c r="Z14" i="43" s="1"/>
  <c r="AA14" i="43" s="1"/>
  <c r="AN13" i="43"/>
  <c r="AM13" i="43"/>
  <c r="AO13" i="43" s="1"/>
  <c r="Y13" i="43"/>
  <c r="Z13" i="43" s="1"/>
  <c r="AA13" i="43" s="1"/>
  <c r="AN12" i="43"/>
  <c r="AM12" i="43"/>
  <c r="AO12" i="43" s="1"/>
  <c r="Y12" i="43"/>
  <c r="Z12" i="43" s="1"/>
  <c r="X12" i="43"/>
  <c r="AA12" i="43" s="1"/>
  <c r="AN11" i="43"/>
  <c r="AM11" i="43"/>
  <c r="X11" i="43"/>
  <c r="S11" i="43"/>
  <c r="Y11" i="43" s="1"/>
  <c r="Z11" i="43" s="1"/>
  <c r="AN10" i="43"/>
  <c r="AM10" i="43"/>
  <c r="Y10" i="43"/>
  <c r="Z10" i="43" s="1"/>
  <c r="X10" i="43"/>
  <c r="X22" i="43" s="1"/>
  <c r="W9" i="41"/>
  <c r="W10" i="41"/>
  <c r="W11" i="41"/>
  <c r="AN22" i="43" l="1"/>
  <c r="AO18" i="43"/>
  <c r="AO11" i="43"/>
  <c r="AN27" i="43"/>
  <c r="I24" i="43"/>
  <c r="K26" i="43" s="1"/>
  <c r="C26" i="43"/>
  <c r="AA11" i="43"/>
  <c r="AM22" i="43"/>
  <c r="AO10" i="43"/>
  <c r="AO24" i="43"/>
  <c r="AO27" i="43" s="1"/>
  <c r="AA10" i="43"/>
  <c r="M10" i="42"/>
  <c r="E24" i="42" s="1"/>
  <c r="K24" i="42" s="1"/>
  <c r="I25" i="42" s="1"/>
  <c r="M14" i="42"/>
  <c r="M11" i="42"/>
  <c r="M12" i="42"/>
  <c r="M13" i="42"/>
  <c r="K23" i="42"/>
  <c r="Z11" i="29"/>
  <c r="AA11" i="29" s="1"/>
  <c r="Z21" i="29"/>
  <c r="AA21" i="29" s="1"/>
  <c r="AB21" i="29" s="1"/>
  <c r="Z20" i="29"/>
  <c r="AA20" i="29" s="1"/>
  <c r="AB20" i="29" s="1"/>
  <c r="Z19" i="29"/>
  <c r="AA19" i="29" s="1"/>
  <c r="AB19" i="29" s="1"/>
  <c r="Z18" i="29"/>
  <c r="AA18" i="29" s="1"/>
  <c r="AB18" i="29" s="1"/>
  <c r="Z17" i="29"/>
  <c r="AA17" i="29" s="1"/>
  <c r="AB17" i="29" s="1"/>
  <c r="Z16" i="29"/>
  <c r="AA16" i="29" s="1"/>
  <c r="AB16" i="29" s="1"/>
  <c r="Z15" i="29"/>
  <c r="AA15" i="29" s="1"/>
  <c r="AB15" i="29" s="1"/>
  <c r="Z14" i="29"/>
  <c r="AA14" i="29" s="1"/>
  <c r="AB14" i="29" s="1"/>
  <c r="Z13" i="29"/>
  <c r="AA13" i="29" s="1"/>
  <c r="AB13" i="29" s="1"/>
  <c r="Z12" i="29"/>
  <c r="AA12" i="29" s="1"/>
  <c r="Z10" i="29"/>
  <c r="AA10" i="29" s="1"/>
  <c r="AQ27" i="43" l="1"/>
  <c r="AP27" i="43"/>
  <c r="AO22" i="43"/>
  <c r="AQ22" i="43" s="1"/>
  <c r="AP22" i="43"/>
  <c r="AA22" i="29"/>
  <c r="E23" i="29"/>
  <c r="K27" i="42"/>
  <c r="C27" i="42"/>
  <c r="AB11" i="29"/>
  <c r="AB10" i="29"/>
  <c r="AB12" i="29"/>
  <c r="K24" i="39"/>
  <c r="X10" i="41"/>
  <c r="X12" i="41"/>
  <c r="X11" i="41"/>
  <c r="X9" i="41"/>
  <c r="K23" i="41"/>
  <c r="E23" i="40"/>
  <c r="K22" i="40"/>
  <c r="E24" i="39"/>
  <c r="K23" i="39"/>
  <c r="E23" i="37"/>
  <c r="E23" i="38"/>
  <c r="K22" i="38"/>
  <c r="K23" i="37"/>
  <c r="I24" i="37" s="1"/>
  <c r="K22" i="37"/>
  <c r="AA45" i="29"/>
  <c r="AA49" i="29" s="1"/>
  <c r="AA46" i="29"/>
  <c r="AA50" i="29" s="1"/>
  <c r="AA44" i="29"/>
  <c r="AA48" i="29" s="1"/>
  <c r="X11" i="35"/>
  <c r="Y11" i="35" s="1"/>
  <c r="Z11" i="35" s="1"/>
  <c r="X12" i="35"/>
  <c r="Y12" i="35" s="1"/>
  <c r="X13" i="35"/>
  <c r="Y13" i="35" s="1"/>
  <c r="X14" i="35"/>
  <c r="Y14" i="35" s="1"/>
  <c r="X15" i="35"/>
  <c r="Y15" i="35" s="1"/>
  <c r="X16" i="35"/>
  <c r="Y16" i="35" s="1"/>
  <c r="X17" i="35"/>
  <c r="Y17" i="35" s="1"/>
  <c r="Z17" i="35" s="1"/>
  <c r="X18" i="35"/>
  <c r="Y18" i="35" s="1"/>
  <c r="Z18" i="35" s="1"/>
  <c r="X19" i="35"/>
  <c r="Y19" i="35" s="1"/>
  <c r="Z19" i="35" s="1"/>
  <c r="X20" i="35"/>
  <c r="Y20" i="35" s="1"/>
  <c r="X21" i="35"/>
  <c r="Y21" i="35" s="1"/>
  <c r="X10" i="35"/>
  <c r="Y10" i="35" s="1"/>
  <c r="I25" i="39" l="1"/>
  <c r="C27" i="39" s="1"/>
  <c r="K23" i="40"/>
  <c r="I24" i="40" s="1"/>
  <c r="Y22" i="35"/>
  <c r="X13" i="41"/>
  <c r="W13" i="41"/>
  <c r="E24" i="41" s="1"/>
  <c r="K24" i="41" s="1"/>
  <c r="I25" i="41" s="1"/>
  <c r="Z10" i="35"/>
  <c r="Z20" i="35"/>
  <c r="Z13" i="35"/>
  <c r="Z21" i="35"/>
  <c r="Z12" i="35"/>
  <c r="Z15" i="35"/>
  <c r="Z14" i="35"/>
  <c r="Z16" i="35"/>
  <c r="K26" i="37"/>
  <c r="C26" i="37"/>
  <c r="K23" i="38"/>
  <c r="I24" i="38" s="1"/>
  <c r="K26" i="40" l="1"/>
  <c r="C26" i="40"/>
  <c r="K27" i="39"/>
  <c r="K27" i="41"/>
  <c r="C27" i="41"/>
  <c r="K26" i="38"/>
  <c r="C26" i="38"/>
  <c r="W21" i="35"/>
  <c r="M10" i="32"/>
  <c r="E23" i="35" l="1"/>
  <c r="X22" i="35"/>
  <c r="AN11" i="29"/>
  <c r="AO11" i="29"/>
  <c r="AN12" i="29"/>
  <c r="AO12" i="29"/>
  <c r="AN13" i="29"/>
  <c r="AO13" i="29"/>
  <c r="AN14" i="29"/>
  <c r="AO14" i="29"/>
  <c r="AN15" i="29"/>
  <c r="AO15" i="29"/>
  <c r="AN16" i="29"/>
  <c r="AO16" i="29"/>
  <c r="AN17" i="29"/>
  <c r="AO17" i="29"/>
  <c r="AN18" i="29"/>
  <c r="AO18" i="29"/>
  <c r="AN19" i="29"/>
  <c r="AO19" i="29"/>
  <c r="AN20" i="29"/>
  <c r="AO20" i="29"/>
  <c r="AN21" i="29"/>
  <c r="AO21" i="29"/>
  <c r="AN23" i="29"/>
  <c r="AO23" i="29"/>
  <c r="AN24" i="29"/>
  <c r="AO24" i="29"/>
  <c r="AN25" i="29"/>
  <c r="AO25" i="29"/>
  <c r="AN26" i="29"/>
  <c r="AO26" i="29"/>
  <c r="AO10" i="29"/>
  <c r="AN10" i="29"/>
  <c r="AP10" i="29" s="1"/>
  <c r="AP19" i="29" l="1"/>
  <c r="AP21" i="29"/>
  <c r="AP11" i="29"/>
  <c r="AP26" i="29"/>
  <c r="AP13" i="29"/>
  <c r="AP20" i="29"/>
  <c r="AP14" i="29"/>
  <c r="AO27" i="29"/>
  <c r="AP15" i="29"/>
  <c r="AN27" i="29"/>
  <c r="AP12" i="29"/>
  <c r="AO22" i="29"/>
  <c r="AN22" i="29"/>
  <c r="AP25" i="29"/>
  <c r="AP17" i="29"/>
  <c r="AP24" i="29"/>
  <c r="AP16" i="29"/>
  <c r="AP23" i="29"/>
  <c r="AP18" i="29"/>
  <c r="AP27" i="29" l="1"/>
  <c r="AR27" i="29" s="1"/>
  <c r="AP22" i="29"/>
  <c r="AR22" i="29" s="1"/>
  <c r="AQ27" i="29" l="1"/>
  <c r="AQ22" i="29"/>
  <c r="V16" i="31" l="1"/>
  <c r="S11" i="31" l="1"/>
  <c r="M13" i="31"/>
  <c r="M10" i="31" l="1"/>
  <c r="M9" i="31"/>
  <c r="M11" i="31" l="1"/>
  <c r="M12" i="31"/>
  <c r="E23" i="31" l="1"/>
  <c r="I24" i="31" s="1"/>
  <c r="E24" i="6" l="1"/>
  <c r="M11" i="34"/>
  <c r="E24" i="7" l="1"/>
  <c r="K24" i="7" s="1"/>
  <c r="E23" i="34" l="1"/>
  <c r="E23" i="32" l="1"/>
  <c r="E23" i="36" l="1"/>
  <c r="K23" i="36" s="1"/>
  <c r="K22" i="36"/>
  <c r="I24" i="36" l="1"/>
  <c r="K26" i="36" s="1"/>
  <c r="C26" i="36" l="1"/>
  <c r="I24" i="35"/>
  <c r="X23" i="35" s="1"/>
  <c r="K26" i="35" l="1"/>
  <c r="C26" i="35"/>
  <c r="I24" i="34" l="1"/>
  <c r="K26" i="34" l="1"/>
  <c r="C26" i="34"/>
  <c r="E23" i="5" l="1"/>
  <c r="K24" i="6" l="1"/>
  <c r="E23" i="33" l="1"/>
  <c r="K22" i="33"/>
  <c r="K23" i="33" l="1"/>
  <c r="I24" i="33" s="1"/>
  <c r="K26" i="33" l="1"/>
  <c r="C26" i="33"/>
  <c r="I24" i="32" l="1"/>
  <c r="C26" i="32" l="1"/>
  <c r="K26" i="32"/>
  <c r="K26" i="31" l="1"/>
  <c r="C26" i="31"/>
  <c r="E24" i="27" l="1"/>
  <c r="E23" i="1" l="1"/>
  <c r="E23" i="30" l="1"/>
  <c r="K23" i="30" s="1"/>
  <c r="I24" i="30" s="1"/>
  <c r="K22" i="30"/>
  <c r="C26" i="30" l="1"/>
  <c r="K26" i="30"/>
  <c r="I25" i="6" l="1"/>
  <c r="C27" i="6" s="1"/>
  <c r="I24" i="29" l="1"/>
  <c r="AA23" i="29" s="1"/>
  <c r="K26" i="29" l="1"/>
  <c r="C26" i="29"/>
  <c r="K23" i="27" l="1"/>
  <c r="K24" i="27" l="1"/>
  <c r="I25" i="27" s="1"/>
  <c r="K27" i="27" l="1"/>
  <c r="C27" i="27"/>
  <c r="K23" i="5" l="1"/>
  <c r="I24" i="5" s="1"/>
  <c r="K26" i="5" s="1"/>
  <c r="K23" i="7" l="1"/>
  <c r="K23" i="6"/>
  <c r="K22" i="5"/>
  <c r="K22" i="4"/>
  <c r="K22" i="1"/>
  <c r="I25" i="7" l="1"/>
  <c r="K27" i="6"/>
  <c r="C26" i="5"/>
  <c r="K23" i="1"/>
  <c r="K27" i="7" l="1"/>
  <c r="C27" i="7"/>
  <c r="I24" i="1"/>
  <c r="K26" i="1" l="1"/>
  <c r="C26" i="1"/>
  <c r="M11" i="4" l="1"/>
  <c r="M12" i="4"/>
  <c r="E23" i="4" l="1"/>
  <c r="K23" i="4"/>
  <c r="I24" i="4" s="1"/>
  <c r="K26" i="4" l="1"/>
  <c r="C26" i="4"/>
</calcChain>
</file>

<file path=xl/sharedStrings.xml><?xml version="1.0" encoding="utf-8"?>
<sst xmlns="http://schemas.openxmlformats.org/spreadsheetml/2006/main" count="1654" uniqueCount="189">
  <si>
    <t>청 구 과</t>
    <phoneticPr fontId="2" type="noConversion"/>
  </si>
  <si>
    <t>담 당</t>
    <phoneticPr fontId="2" type="noConversion"/>
  </si>
  <si>
    <t>팀 장</t>
    <phoneticPr fontId="2" type="noConversion"/>
  </si>
  <si>
    <t>대표이사</t>
    <phoneticPr fontId="2" type="noConversion"/>
  </si>
  <si>
    <t>경 리 과</t>
    <phoneticPr fontId="2" type="noConversion"/>
  </si>
  <si>
    <t>/</t>
    <phoneticPr fontId="2" type="noConversion"/>
  </si>
  <si>
    <t>증   빙   첨   부   란</t>
    <phoneticPr fontId="2" type="noConversion"/>
  </si>
  <si>
    <t>세 금 계 산 서 확 인 필</t>
    <phoneticPr fontId="2" type="noConversion"/>
  </si>
  <si>
    <t>사업자등록번호</t>
    <phoneticPr fontId="2" type="noConversion"/>
  </si>
  <si>
    <t>상          호</t>
    <phoneticPr fontId="2" type="noConversion"/>
  </si>
  <si>
    <t>코  드</t>
    <phoneticPr fontId="2" type="noConversion"/>
  </si>
  <si>
    <t>공  급  가  액</t>
    <phoneticPr fontId="2" type="noConversion"/>
  </si>
  <si>
    <t>부가세</t>
    <phoneticPr fontId="2" type="noConversion"/>
  </si>
  <si>
    <t>발  행  일  자</t>
    <phoneticPr fontId="2" type="noConversion"/>
  </si>
  <si>
    <t>합 계</t>
    <phoneticPr fontId="2" type="noConversion"/>
  </si>
  <si>
    <t>일 금</t>
    <phoneticPr fontId="2" type="noConversion"/>
  </si>
  <si>
    <t>원정</t>
    <phoneticPr fontId="2" type="noConversion"/>
  </si>
  <si>
    <t>지  출    사  유</t>
    <phoneticPr fontId="2" type="noConversion"/>
  </si>
  <si>
    <t>참석인원</t>
    <phoneticPr fontId="2" type="noConversion"/>
  </si>
  <si>
    <t>사     용     자</t>
    <phoneticPr fontId="2" type="noConversion"/>
  </si>
  <si>
    <t>수     령     자</t>
    <phoneticPr fontId="2" type="noConversion"/>
  </si>
  <si>
    <t>(인)</t>
    <phoneticPr fontId="2" type="noConversion"/>
  </si>
  <si>
    <t>비     고
(일련번호)</t>
    <phoneticPr fontId="2" type="noConversion"/>
  </si>
  <si>
    <t>―</t>
    <phoneticPr fontId="2" type="noConversion"/>
  </si>
  <si>
    <t>STX중공업주식회사</t>
    <phoneticPr fontId="2" type="noConversion"/>
  </si>
  <si>
    <t>물품대</t>
    <phoneticPr fontId="2" type="noConversion"/>
  </si>
  <si>
    <t>STX엔진㈜제1사업장</t>
    <phoneticPr fontId="2" type="noConversion"/>
  </si>
  <si>
    <t>STX엔진㈜</t>
    <phoneticPr fontId="2" type="noConversion"/>
  </si>
  <si>
    <t>현대로템 주식회사</t>
    <phoneticPr fontId="2" type="noConversion"/>
  </si>
  <si>
    <t xml:space="preserve"> </t>
    <phoneticPr fontId="2" type="noConversion"/>
  </si>
  <si>
    <t xml:space="preserve">              증   빙   첨   부   란        (철차)</t>
    <phoneticPr fontId="2" type="noConversion"/>
  </si>
  <si>
    <t xml:space="preserve">              증   빙   첨   부   란        (방산)</t>
    <phoneticPr fontId="2" type="noConversion"/>
  </si>
  <si>
    <t xml:space="preserve">              증   빙   첨   부   란        (민수)</t>
    <phoneticPr fontId="2" type="noConversion"/>
  </si>
  <si>
    <t xml:space="preserve">              증   빙   첨   부   란        (중기)</t>
    <phoneticPr fontId="2" type="noConversion"/>
  </si>
  <si>
    <t>위 인감을 귀 사의 입찰, 계약 및 이에 수반되는 모든 행위에</t>
    <phoneticPr fontId="2" type="noConversion"/>
  </si>
  <si>
    <t>사용하기 위하여 증명인감을 날인하여 본 사용인감계를 제출합니다.</t>
    <phoneticPr fontId="2" type="noConversion"/>
  </si>
  <si>
    <t>주     소  :  경남 창원시 의창구 팔용로 346번길 10</t>
    <phoneticPr fontId="2" type="noConversion"/>
  </si>
  <si>
    <t>상     호  :  대신금속㈜</t>
    <phoneticPr fontId="2" type="noConversion"/>
  </si>
  <si>
    <t>사업자등록번호  :  609 - 81 - 07963</t>
    <phoneticPr fontId="2" type="noConversion"/>
  </si>
  <si>
    <t>대 표 자  :  박 수 현                    (인)</t>
    <phoneticPr fontId="2" type="noConversion"/>
  </si>
  <si>
    <t xml:space="preserve"> 사  용  인  감  계</t>
    <phoneticPr fontId="2" type="noConversion"/>
  </si>
  <si>
    <t>증  명  인  감</t>
    <phoneticPr fontId="2" type="noConversion"/>
  </si>
  <si>
    <t>사  용  인  감</t>
    <phoneticPr fontId="2" type="noConversion"/>
  </si>
  <si>
    <t>엘에스엠트론㈜  대표이사  귀하</t>
    <phoneticPr fontId="2" type="noConversion"/>
  </si>
  <si>
    <t>첨부 : 인감증명서 1 부</t>
    <phoneticPr fontId="2" type="noConversion"/>
  </si>
  <si>
    <t>2014년      월       일</t>
    <phoneticPr fontId="2" type="noConversion"/>
  </si>
  <si>
    <t>자동</t>
    <phoneticPr fontId="2" type="noConversion"/>
  </si>
  <si>
    <t>―</t>
    <phoneticPr fontId="2" type="noConversion"/>
  </si>
  <si>
    <t>사형</t>
    <phoneticPr fontId="2" type="noConversion"/>
  </si>
  <si>
    <t xml:space="preserve">        영업팀           파트                                                       박복순  (인)</t>
    <phoneticPr fontId="2" type="noConversion"/>
  </si>
  <si>
    <t xml:space="preserve">        영업팀           파트                                                       박복순  (인)</t>
    <phoneticPr fontId="2" type="noConversion"/>
  </si>
  <si>
    <t xml:space="preserve">        영업팀           파트                                                       박복순  (인)</t>
    <phoneticPr fontId="2" type="noConversion"/>
  </si>
  <si>
    <t xml:space="preserve">        영업팀           파트                                                       박복순  (인)</t>
    <phoneticPr fontId="2" type="noConversion"/>
  </si>
  <si>
    <t xml:space="preserve">        영업팀           파트                                             박복순  (인)</t>
    <phoneticPr fontId="2" type="noConversion"/>
  </si>
  <si>
    <t xml:space="preserve">              증   빙   첨   부   란                </t>
    <phoneticPr fontId="2" type="noConversion"/>
  </si>
  <si>
    <t>신코</t>
    <phoneticPr fontId="2" type="noConversion"/>
  </si>
  <si>
    <t>금형</t>
    <phoneticPr fontId="2" type="noConversion"/>
  </si>
  <si>
    <t>* 부가세 확인할것</t>
    <phoneticPr fontId="2" type="noConversion"/>
  </si>
  <si>
    <t>지출사유변경</t>
    <phoneticPr fontId="2" type="noConversion"/>
  </si>
  <si>
    <t>날짜 : BL, 스크랩,금형비 인보이스</t>
    <phoneticPr fontId="2" type="noConversion"/>
  </si>
  <si>
    <t>세금계산서 1장</t>
    <phoneticPr fontId="2" type="noConversion"/>
  </si>
  <si>
    <t>가공1</t>
    <phoneticPr fontId="2" type="noConversion"/>
  </si>
  <si>
    <t>유상사급</t>
    <phoneticPr fontId="2" type="noConversion"/>
  </si>
  <si>
    <t>선 임</t>
    <phoneticPr fontId="2" type="noConversion"/>
  </si>
  <si>
    <t>실 장</t>
    <phoneticPr fontId="2" type="noConversion"/>
  </si>
  <si>
    <t>가공2</t>
    <phoneticPr fontId="2" type="noConversion"/>
  </si>
  <si>
    <t>구매가공</t>
    <phoneticPr fontId="2" type="noConversion"/>
  </si>
  <si>
    <t>선급비</t>
    <phoneticPr fontId="2" type="noConversion"/>
  </si>
  <si>
    <t>환율</t>
    <phoneticPr fontId="2" type="noConversion"/>
  </si>
  <si>
    <t xml:space="preserve">환율적용 </t>
    <phoneticPr fontId="2" type="noConversion"/>
  </si>
  <si>
    <t>T/C 인넷하우징 동부시 유상사급 10set</t>
    <phoneticPr fontId="2" type="noConversion"/>
  </si>
  <si>
    <t>선급금공제</t>
    <phoneticPr fontId="2" type="noConversion"/>
  </si>
  <si>
    <t>JS TECH</t>
    <phoneticPr fontId="2" type="noConversion"/>
  </si>
  <si>
    <t>매  출  내  역  서</t>
    <phoneticPr fontId="2" type="noConversion"/>
  </si>
  <si>
    <t>금형비</t>
    <phoneticPr fontId="2" type="noConversion"/>
  </si>
  <si>
    <t>패턴비</t>
    <phoneticPr fontId="2" type="noConversion"/>
  </si>
  <si>
    <t>가공3</t>
    <phoneticPr fontId="2" type="noConversion"/>
  </si>
  <si>
    <t>01821</t>
    <phoneticPr fontId="2" type="noConversion"/>
  </si>
  <si>
    <t>K9 국산화 제품비</t>
    <phoneticPr fontId="2" type="noConversion"/>
  </si>
  <si>
    <t>* K9국산화</t>
    <phoneticPr fontId="2" type="noConversion"/>
  </si>
  <si>
    <t>계산서 1장</t>
    <phoneticPr fontId="2" type="noConversion"/>
  </si>
  <si>
    <t>에이치디현대로보틱스㈜</t>
    <phoneticPr fontId="2" type="noConversion"/>
  </si>
  <si>
    <t>사형</t>
    <phoneticPr fontId="2" type="noConversion"/>
  </si>
  <si>
    <t xml:space="preserve">  DSM2309-SK07</t>
    <phoneticPr fontId="2" type="noConversion"/>
  </si>
  <si>
    <t xml:space="preserve"> 금형비 사형</t>
    <phoneticPr fontId="2" type="noConversion"/>
  </si>
  <si>
    <t>금형비사형</t>
    <phoneticPr fontId="2" type="noConversion"/>
  </si>
  <si>
    <t>패턴비 사형</t>
    <phoneticPr fontId="2" type="noConversion"/>
  </si>
  <si>
    <t>가공</t>
    <phoneticPr fontId="2" type="noConversion"/>
  </si>
  <si>
    <r>
      <t>이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윤명조"/>
        <family val="3"/>
        <charset val="129"/>
      </rPr>
      <t>사</t>
    </r>
    <phoneticPr fontId="2" type="noConversion"/>
  </si>
  <si>
    <t>DSMABS2401-SK04</t>
    <phoneticPr fontId="2" type="noConversion"/>
  </si>
  <si>
    <t>패턴비 자동</t>
    <phoneticPr fontId="2" type="noConversion"/>
  </si>
  <si>
    <t>패턴비 금형</t>
    <phoneticPr fontId="2" type="noConversion"/>
  </si>
  <si>
    <t>패턴비 가공</t>
    <phoneticPr fontId="2" type="noConversion"/>
  </si>
  <si>
    <t>착중도금</t>
    <phoneticPr fontId="2" type="noConversion"/>
  </si>
  <si>
    <t>SM350</t>
    <phoneticPr fontId="2" type="noConversion"/>
  </si>
  <si>
    <t>PUMP CASING</t>
  </si>
  <si>
    <t>SM-70101SE (SN)</t>
  </si>
  <si>
    <t>이너프레임</t>
    <phoneticPr fontId="2" type="noConversion"/>
  </si>
  <si>
    <t>SM-701102SDR2</t>
  </si>
  <si>
    <t>흡입카바</t>
    <phoneticPr fontId="2" type="noConversion"/>
  </si>
  <si>
    <t>SM-70102SBR (SM)</t>
  </si>
  <si>
    <t>아웃프레임</t>
    <phoneticPr fontId="2" type="noConversion"/>
  </si>
  <si>
    <t>SM-701101SBR4</t>
  </si>
  <si>
    <t>토출카바</t>
    <phoneticPr fontId="2" type="noConversion"/>
  </si>
  <si>
    <t>SM-70150SHR2</t>
  </si>
  <si>
    <t>임펠라</t>
    <phoneticPr fontId="2" type="noConversion"/>
  </si>
  <si>
    <t>SM-70116SGR2</t>
  </si>
  <si>
    <t>인듀셔</t>
    <phoneticPr fontId="2" type="noConversion"/>
  </si>
  <si>
    <t>SM-70115SBR4</t>
  </si>
  <si>
    <t>SMR200</t>
    <phoneticPr fontId="2" type="noConversion"/>
  </si>
  <si>
    <t>모터프레임</t>
    <phoneticPr fontId="2" type="noConversion"/>
  </si>
  <si>
    <t>SMR-401102SMR1</t>
  </si>
  <si>
    <t>SMR-40116SJ</t>
  </si>
  <si>
    <t>펌프케이싱</t>
    <phoneticPr fontId="2" type="noConversion"/>
  </si>
  <si>
    <t>SMR-40101SLR1</t>
  </si>
  <si>
    <t>후드변변체</t>
    <phoneticPr fontId="2" type="noConversion"/>
  </si>
  <si>
    <t>SMR-401901SC</t>
  </si>
  <si>
    <t>SM65</t>
    <phoneticPr fontId="2" type="noConversion"/>
  </si>
  <si>
    <t>SM-101102SCR1</t>
  </si>
  <si>
    <t>SM-10101SAR4</t>
  </si>
  <si>
    <t>SM-10116SD</t>
  </si>
  <si>
    <t>가이드밴</t>
    <phoneticPr fontId="2" type="noConversion"/>
  </si>
  <si>
    <t>SM-10103SAR2</t>
  </si>
  <si>
    <t>SM-10150SBR1</t>
  </si>
  <si>
    <t>금</t>
    <phoneticPr fontId="2" type="noConversion"/>
  </si>
  <si>
    <t>계</t>
    <phoneticPr fontId="2" type="noConversion"/>
  </si>
  <si>
    <t>DSM ABS 2316-SK02</t>
    <phoneticPr fontId="2" type="noConversion"/>
  </si>
  <si>
    <t>"궤도차량"</t>
    <phoneticPr fontId="2" type="noConversion"/>
  </si>
  <si>
    <t>K9(MT881) MF 선급금</t>
    <phoneticPr fontId="2" type="noConversion"/>
  </si>
  <si>
    <t>bl날짜</t>
  </si>
  <si>
    <t>환율</t>
  </si>
  <si>
    <t>엔화금액</t>
    <phoneticPr fontId="2" type="noConversion"/>
  </si>
  <si>
    <t>DSM2508-Scp</t>
    <phoneticPr fontId="2" type="noConversion"/>
  </si>
  <si>
    <t>금형비금형</t>
    <phoneticPr fontId="2" type="noConversion"/>
  </si>
  <si>
    <t>인보이스</t>
    <phoneticPr fontId="2" type="noConversion"/>
  </si>
  <si>
    <t>물품대</t>
    <phoneticPr fontId="2" type="noConversion"/>
  </si>
  <si>
    <t>SNT다이내믹스</t>
    <phoneticPr fontId="2" type="noConversion"/>
  </si>
  <si>
    <t>㈜귀뚜라미범양냉방 아산지점</t>
    <phoneticPr fontId="2" type="noConversion"/>
  </si>
  <si>
    <t>다이헨한국㈜</t>
    <phoneticPr fontId="2" type="noConversion"/>
  </si>
  <si>
    <t>세금계산서 일자</t>
    <phoneticPr fontId="2" type="noConversion"/>
  </si>
  <si>
    <t>공급가액 계</t>
    <phoneticPr fontId="2" type="noConversion"/>
  </si>
  <si>
    <t xml:space="preserve">              증   빙   첨   부   란       </t>
    <phoneticPr fontId="2" type="noConversion"/>
  </si>
  <si>
    <t xml:space="preserve">              증   빙   첨   부   란        </t>
    <phoneticPr fontId="2" type="noConversion"/>
  </si>
  <si>
    <t>DSM2510-SK01</t>
  </si>
  <si>
    <t>사형</t>
  </si>
  <si>
    <t>금형</t>
  </si>
  <si>
    <t>가공</t>
  </si>
  <si>
    <t>스크랩</t>
  </si>
  <si>
    <t>DSM2510-SK02</t>
  </si>
  <si>
    <t>DSM2510-SK03</t>
  </si>
  <si>
    <t>현</t>
    <phoneticPr fontId="2" type="noConversion"/>
  </si>
  <si>
    <t>현대트랜시스㈜</t>
    <phoneticPr fontId="2" type="noConversion"/>
  </si>
  <si>
    <t>스크랩</t>
    <phoneticPr fontId="2" type="noConversion"/>
  </si>
  <si>
    <t>인보이스 금액</t>
    <phoneticPr fontId="2" type="noConversion"/>
  </si>
  <si>
    <t>인보이스 날짜</t>
    <phoneticPr fontId="2" type="noConversion"/>
  </si>
  <si>
    <t>DSM ABS 2581-SK01</t>
    <phoneticPr fontId="2" type="noConversion"/>
  </si>
  <si>
    <t>DSM ABS CMHI-282-06-SK01</t>
    <phoneticPr fontId="2" type="noConversion"/>
  </si>
  <si>
    <t>DSM CCS H1887-SK01</t>
    <phoneticPr fontId="2" type="noConversion"/>
  </si>
  <si>
    <t>DSM ABS 2569-SK02</t>
    <phoneticPr fontId="2" type="noConversion"/>
  </si>
  <si>
    <t>DSM2512-JS01</t>
    <phoneticPr fontId="2" type="noConversion"/>
  </si>
  <si>
    <t>DSM2512-JS02</t>
    <phoneticPr fontId="2" type="noConversion"/>
  </si>
  <si>
    <t xml:space="preserve">        영업팀           파트                                             이수진  (인)</t>
    <phoneticPr fontId="2" type="noConversion"/>
  </si>
  <si>
    <t xml:space="preserve">        영업팀           파트                                                     이수진  (인)</t>
    <phoneticPr fontId="2" type="noConversion"/>
  </si>
  <si>
    <t>가공치구</t>
    <phoneticPr fontId="2" type="noConversion"/>
  </si>
  <si>
    <t>스크랩(사형)</t>
    <phoneticPr fontId="2" type="noConversion"/>
  </si>
  <si>
    <t>스크랩(금형)</t>
    <phoneticPr fontId="2" type="noConversion"/>
  </si>
  <si>
    <t>DSM2601-SK01</t>
  </si>
  <si>
    <t>DSM2601-SK03</t>
  </si>
  <si>
    <t>DSM2601-SK04</t>
  </si>
  <si>
    <t>DSM2601-SK02</t>
  </si>
  <si>
    <t>BL날짜</t>
    <phoneticPr fontId="2" type="noConversion"/>
  </si>
  <si>
    <t>2월마감</t>
    <phoneticPr fontId="2" type="noConversion"/>
  </si>
  <si>
    <t xml:space="preserve"> DSM2602-SK05</t>
  </si>
  <si>
    <t>스크랩
(사형)</t>
    <phoneticPr fontId="2" type="noConversion"/>
  </si>
  <si>
    <t>스크랩
(금형)</t>
    <phoneticPr fontId="2" type="noConversion"/>
  </si>
  <si>
    <t>DSM2608-SK05</t>
  </si>
  <si>
    <t>9/4</t>
  </si>
  <si>
    <t>DSM2609-SK01</t>
    <phoneticPr fontId="2" type="noConversion"/>
  </si>
  <si>
    <t>9/7</t>
  </si>
  <si>
    <t>DSM2609-SK02</t>
  </si>
  <si>
    <t>9/14</t>
  </si>
  <si>
    <t>DSM2609-SK03</t>
  </si>
  <si>
    <t>9/20</t>
  </si>
  <si>
    <t>9/28</t>
  </si>
  <si>
    <t>DSM2609-SK04</t>
  </si>
  <si>
    <t>DSM2609-JS01</t>
    <phoneticPr fontId="2" type="noConversion"/>
  </si>
  <si>
    <t>DSM2609-JS02</t>
    <phoneticPr fontId="2" type="noConversion"/>
  </si>
  <si>
    <t>9/15</t>
  </si>
  <si>
    <t>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</si>
</sst>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₩&quot;#,##0"/>
    <numFmt numFmtId="177" formatCode="yyyy\.mm\.dd"/>
    <numFmt numFmtId="178" formatCode="_-* #,##0.000_-;\-* #,##0.000_-;_-* &quot;-&quot;_-;_-@_-"/>
    <numFmt numFmtId="179" formatCode="&quot;₩&quot;#,##0_);[Red]\(&quot;₩&quot;#,##0\)"/>
    <numFmt numFmtId="180" formatCode="_-* #,##0.0_-;\-* #,##0.0_-;_-* &quot;-&quot;_-;_-@_-"/>
    <numFmt numFmtId="181" formatCode="_-* #,##0.00_-;\-* #,##0.00_-;_-* &quot;-&quot;_-;_-@_-"/>
    <numFmt numFmtId="182" formatCode="m&quot;/&quot;d;@"/>
    <numFmt numFmtId="183" formatCode="mm&quot;월&quot;\ dd&quot;일&quot;"/>
    <numFmt numFmtId="184" formatCode="0.0000"/>
    <numFmt numFmtId="185" formatCode="#,##0_ "/>
    <numFmt numFmtId="186" formatCode="#,##0_ ;[Red]\-#,##0\ "/>
    <numFmt numFmtId="187" formatCode="0.0000_);[Red]\(0.0000\)"/>
    <numFmt numFmtId="188" formatCode="#,##0.0000_ "/>
    <numFmt numFmtId="189" formatCode="[$¥-411]#,##0.00_);[Red]\([$¥-411]#,##0.00\)"/>
  </numFmts>
  <fonts count="83">
    <font>
      <sz val="11"/>
      <color theme="1"/>
      <name val="맑은 고딕"/>
      <family val="2"/>
      <charset val="129"/>
      <scheme val="minor"/>
    </font>
    <font>
      <u val="double"/>
      <sz val="25"/>
      <color theme="1"/>
      <name val="윤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윤명조"/>
      <family val="3"/>
      <charset val="129"/>
    </font>
    <font>
      <sz val="10.3"/>
      <color theme="1"/>
      <name val="바탕체"/>
      <family val="1"/>
      <charset val="129"/>
    </font>
    <font>
      <sz val="11"/>
      <color theme="1"/>
      <name val="바탕체"/>
      <family val="1"/>
      <charset val="129"/>
    </font>
    <font>
      <sz val="15"/>
      <color theme="1"/>
      <name val="윤명조"/>
      <family val="3"/>
      <charset val="129"/>
    </font>
    <font>
      <sz val="11"/>
      <name val="돋움"/>
      <family val="3"/>
      <charset val="129"/>
    </font>
    <font>
      <sz val="14"/>
      <name val="윤명조"/>
      <family val="3"/>
      <charset val="129"/>
    </font>
    <font>
      <sz val="11"/>
      <name val="윤명조"/>
      <family val="3"/>
      <charset val="129"/>
    </font>
    <font>
      <sz val="11"/>
      <name val="바탕체"/>
      <family val="1"/>
      <charset val="129"/>
    </font>
    <font>
      <sz val="11"/>
      <name val="맑은 고딕"/>
      <family val="2"/>
      <charset val="129"/>
      <scheme val="minor"/>
    </font>
    <font>
      <sz val="12"/>
      <name val="윤명조"/>
      <family val="3"/>
      <charset val="129"/>
    </font>
    <font>
      <sz val="13"/>
      <name val="바탕"/>
      <family val="1"/>
      <charset val="129"/>
    </font>
    <font>
      <sz val="12"/>
      <name val="바탕"/>
      <family val="1"/>
      <charset val="129"/>
    </font>
    <font>
      <sz val="11"/>
      <name val="바탕"/>
      <family val="1"/>
      <charset val="129"/>
    </font>
    <font>
      <sz val="9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FF"/>
      <name val="바탕체"/>
      <family val="1"/>
      <charset val="129"/>
    </font>
    <font>
      <sz val="14"/>
      <color theme="1"/>
      <name val="바탕체"/>
      <family val="1"/>
      <charset val="129"/>
    </font>
    <font>
      <sz val="13"/>
      <color theme="1"/>
      <name val="바탕체"/>
      <family val="1"/>
      <charset val="129"/>
    </font>
    <font>
      <sz val="12"/>
      <name val="돋움"/>
      <family val="3"/>
      <charset val="129"/>
    </font>
    <font>
      <u/>
      <sz val="13.2"/>
      <color indexed="12"/>
      <name val="돋움"/>
      <family val="3"/>
      <charset val="129"/>
    </font>
    <font>
      <sz val="14"/>
      <name val="바탕체"/>
      <family val="1"/>
      <charset val="129"/>
    </font>
    <font>
      <sz val="10"/>
      <name val="돋움"/>
      <family val="3"/>
      <charset val="129"/>
    </font>
    <font>
      <sz val="13"/>
      <color theme="1"/>
      <name val="맑은 고딕"/>
      <family val="2"/>
      <charset val="129"/>
      <scheme val="minor"/>
    </font>
    <font>
      <sz val="13"/>
      <name val="바탕체"/>
      <family val="1"/>
      <charset val="129"/>
    </font>
    <font>
      <b/>
      <u/>
      <sz val="20"/>
      <color theme="1"/>
      <name val="바탕"/>
      <family val="1"/>
      <charset val="129"/>
    </font>
    <font>
      <u/>
      <sz val="18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12.5"/>
      <color theme="1"/>
      <name val="바탕"/>
      <family val="1"/>
      <charset val="129"/>
    </font>
    <font>
      <b/>
      <sz val="11"/>
      <color theme="1"/>
      <name val="바탕"/>
      <family val="1"/>
      <charset val="129"/>
    </font>
    <font>
      <sz val="12.5"/>
      <color theme="1"/>
      <name val="바탕"/>
      <family val="1"/>
      <charset val="129"/>
    </font>
    <font>
      <b/>
      <sz val="20"/>
      <color theme="1"/>
      <name val="바탕"/>
      <family val="1"/>
      <charset val="129"/>
    </font>
    <font>
      <sz val="11"/>
      <color theme="1"/>
      <name val="맑은 고딕"/>
      <family val="3"/>
      <charset val="129"/>
    </font>
    <font>
      <sz val="12"/>
      <color theme="1"/>
      <name val="바탕체"/>
      <family val="1"/>
      <charset val="129"/>
    </font>
    <font>
      <sz val="13"/>
      <color theme="1"/>
      <name val="바탕"/>
      <family val="1"/>
      <charset val="129"/>
    </font>
    <font>
      <sz val="14"/>
      <color theme="1"/>
      <name val="바탕"/>
      <family val="1"/>
      <charset val="129"/>
    </font>
    <font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3"/>
      <name val="맑은 고딕"/>
      <family val="2"/>
      <charset val="129"/>
      <scheme val="minor"/>
    </font>
    <font>
      <sz val="13"/>
      <name val="맑은 고딕"/>
      <family val="2"/>
      <charset val="129"/>
    </font>
    <font>
      <sz val="13"/>
      <name val="맑은 고딕"/>
      <family val="3"/>
      <charset val="129"/>
      <scheme val="minor"/>
    </font>
    <font>
      <sz val="13"/>
      <name val="맑은 고딕"/>
      <family val="3"/>
      <charset val="129"/>
    </font>
    <font>
      <sz val="16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바탕"/>
      <family val="1"/>
      <charset val="129"/>
    </font>
    <font>
      <sz val="15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.3"/>
      <name val="바탕체"/>
      <family val="1"/>
      <charset val="129"/>
    </font>
    <font>
      <sz val="15"/>
      <name val="윤명조"/>
      <family val="3"/>
      <charset val="129"/>
    </font>
    <font>
      <sz val="11"/>
      <name val="맑은 고딕"/>
      <family val="3"/>
      <charset val="129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sz val="12"/>
      <color theme="0"/>
      <name val="맑은 고딕"/>
      <family val="3"/>
      <charset val="129"/>
      <scheme val="minor"/>
    </font>
    <font>
      <sz val="10.3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윤명조"/>
      <family val="3"/>
    </font>
    <font>
      <sz val="14"/>
      <name val="윤명조"/>
      <family val="3"/>
    </font>
    <font>
      <sz val="11"/>
      <name val="윤명조"/>
      <family val="3"/>
    </font>
    <font>
      <sz val="12"/>
      <color theme="0"/>
      <name val="바탕"/>
      <family val="1"/>
      <charset val="129"/>
    </font>
    <font>
      <sz val="11"/>
      <color theme="0"/>
      <name val="바탕"/>
      <family val="1"/>
      <charset val="129"/>
    </font>
    <font>
      <sz val="16"/>
      <color rgb="FFC00000"/>
      <name val="맑은 고딕"/>
      <family val="3"/>
      <charset val="129"/>
      <scheme val="minor"/>
    </font>
    <font>
      <sz val="12"/>
      <name val="바탕체"/>
      <family val="3"/>
      <charset val="129"/>
    </font>
    <font>
      <b/>
      <sz val="11"/>
      <color rgb="FFC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"/>
      <name val="굴림체"/>
      <family val="3"/>
      <charset val="129"/>
    </font>
    <font>
      <sz val="9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DEDEDE"/>
      </right>
      <top/>
      <bottom style="thin">
        <color rgb="FFDEDEDE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0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9" fillId="0" borderId="0"/>
    <xf numFmtId="41" fontId="80" fillId="0" borderId="0" applyFont="0" applyFill="0" applyBorder="0" applyAlignment="0" applyProtection="0"/>
    <xf numFmtId="0" fontId="81" fillId="0" borderId="0"/>
  </cellStyleXfs>
  <cellXfs count="4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41" fontId="5" fillId="0" borderId="0" xfId="3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41" fontId="0" fillId="0" borderId="0" xfId="3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15" fillId="0" borderId="22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1" fontId="20" fillId="0" borderId="0" xfId="3" applyFont="1">
      <alignment vertical="center"/>
    </xf>
    <xf numFmtId="41" fontId="20" fillId="0" borderId="6" xfId="3" applyFont="1" applyBorder="1">
      <alignment vertical="center"/>
    </xf>
    <xf numFmtId="0" fontId="26" fillId="0" borderId="0" xfId="0" applyFont="1" applyAlignment="1">
      <alignment horizontal="center" vertical="center"/>
    </xf>
    <xf numFmtId="0" fontId="0" fillId="0" borderId="0" xfId="60" applyFont="1" applyAlignment="1">
      <alignment vertical="center" shrinkToFit="1"/>
    </xf>
    <xf numFmtId="41" fontId="20" fillId="0" borderId="0" xfId="3" applyFont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3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0" fontId="37" fillId="0" borderId="0" xfId="0" applyFont="1" applyAlignment="1">
      <alignment horizontal="right" vertical="center"/>
    </xf>
    <xf numFmtId="0" fontId="36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41" fontId="0" fillId="0" borderId="0" xfId="1" applyFont="1" applyAlignment="1" applyProtection="1">
      <alignment horizontal="center" vertical="center" shrinkToFit="1"/>
      <protection locked="0"/>
    </xf>
    <xf numFmtId="41" fontId="0" fillId="0" borderId="0" xfId="3" applyFont="1" applyAlignment="1" applyProtection="1">
      <alignment horizontal="center" vertical="center" shrinkToFit="1"/>
      <protection locked="0"/>
    </xf>
    <xf numFmtId="41" fontId="24" fillId="0" borderId="0" xfId="4" applyNumberFormat="1" applyFont="1" applyAlignment="1">
      <alignment vertical="center"/>
    </xf>
    <xf numFmtId="0" fontId="24" fillId="0" borderId="0" xfId="4" applyFont="1" applyAlignment="1">
      <alignment vertical="center"/>
    </xf>
    <xf numFmtId="41" fontId="24" fillId="0" borderId="0" xfId="3" applyFont="1">
      <alignment vertical="center"/>
    </xf>
    <xf numFmtId="43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 shrinkToFit="1"/>
    </xf>
    <xf numFmtId="178" fontId="0" fillId="0" borderId="0" xfId="1" applyNumberFormat="1" applyFont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left" vertical="center"/>
    </xf>
    <xf numFmtId="41" fontId="38" fillId="0" borderId="0" xfId="3" applyFont="1" applyAlignment="1">
      <alignment horizontal="righ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41" fontId="38" fillId="0" borderId="0" xfId="3" applyFont="1" applyAlignment="1">
      <alignment horizontal="center" vertical="center"/>
    </xf>
    <xf numFmtId="41" fontId="38" fillId="0" borderId="6" xfId="3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180" fontId="0" fillId="0" borderId="0" xfId="3" applyNumberFormat="1" applyFont="1" applyAlignment="1">
      <alignment horizontal="center" vertical="center"/>
    </xf>
    <xf numFmtId="181" fontId="0" fillId="0" borderId="0" xfId="3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41" fontId="0" fillId="0" borderId="0" xfId="3" applyFont="1">
      <alignment vertical="center"/>
    </xf>
    <xf numFmtId="41" fontId="0" fillId="0" borderId="0" xfId="3" applyFont="1" applyFill="1" applyBorder="1" applyAlignment="1">
      <alignment horizontal="center" vertical="center"/>
    </xf>
    <xf numFmtId="41" fontId="0" fillId="0" borderId="0" xfId="1" applyFont="1" applyFill="1" applyBorder="1" applyAlignment="1" applyProtection="1">
      <alignment horizontal="center" vertical="center" shrinkToFit="1"/>
      <protection locked="0"/>
    </xf>
    <xf numFmtId="178" fontId="0" fillId="0" borderId="0" xfId="3" applyNumberFormat="1" applyFont="1" applyAlignment="1">
      <alignment horizontal="center" vertical="center"/>
    </xf>
    <xf numFmtId="41" fontId="20" fillId="0" borderId="0" xfId="3" applyFont="1" applyAlignment="1">
      <alignment vertical="center"/>
    </xf>
    <xf numFmtId="41" fontId="20" fillId="0" borderId="6" xfId="3" applyFont="1" applyBorder="1" applyAlignment="1">
      <alignment vertical="center"/>
    </xf>
    <xf numFmtId="0" fontId="41" fillId="0" borderId="5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41" fontId="41" fillId="0" borderId="0" xfId="3" applyFont="1" applyAlignment="1">
      <alignment horizontal="center" vertical="center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41" fontId="41" fillId="0" borderId="0" xfId="0" applyNumberFormat="1" applyFont="1" applyAlignment="1">
      <alignment horizontal="center" vertical="center"/>
    </xf>
    <xf numFmtId="41" fontId="54" fillId="0" borderId="0" xfId="3" applyFont="1" applyAlignment="1">
      <alignment horizontal="center" vertical="center"/>
    </xf>
    <xf numFmtId="181" fontId="41" fillId="0" borderId="0" xfId="0" applyNumberFormat="1" applyFont="1" applyAlignment="1">
      <alignment horizontal="center" vertical="center"/>
    </xf>
    <xf numFmtId="41" fontId="41" fillId="0" borderId="0" xfId="3" applyFont="1" applyAlignment="1" applyProtection="1">
      <alignment horizontal="center" vertical="center" shrinkToFit="1"/>
      <protection locked="0"/>
    </xf>
    <xf numFmtId="41" fontId="41" fillId="0" borderId="0" xfId="1" applyFont="1" applyAlignment="1" applyProtection="1">
      <alignment horizontal="center" vertical="center" shrinkToFit="1"/>
      <protection locked="0"/>
    </xf>
    <xf numFmtId="0" fontId="41" fillId="0" borderId="0" xfId="0" applyFont="1" applyAlignment="1">
      <alignment horizontal="left" vertical="center"/>
    </xf>
    <xf numFmtId="178" fontId="41" fillId="0" borderId="0" xfId="3" applyNumberFormat="1" applyFont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54" fillId="0" borderId="0" xfId="0" applyFont="1" applyAlignment="1">
      <alignment horizontal="center" vertical="center"/>
    </xf>
    <xf numFmtId="41" fontId="52" fillId="0" borderId="0" xfId="3" applyFont="1" applyAlignment="1">
      <alignment horizontal="right" vertical="center"/>
    </xf>
    <xf numFmtId="0" fontId="51" fillId="0" borderId="5" xfId="0" applyFont="1" applyBorder="1" applyAlignment="1">
      <alignment horizontal="center" vertical="center"/>
    </xf>
    <xf numFmtId="0" fontId="51" fillId="0" borderId="6" xfId="0" applyFont="1" applyBorder="1" applyAlignment="1">
      <alignment horizontal="center" vertical="center"/>
    </xf>
    <xf numFmtId="0" fontId="56" fillId="0" borderId="13" xfId="0" quotePrefix="1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41" fontId="35" fillId="0" borderId="0" xfId="3" applyFont="1" applyAlignment="1">
      <alignment horizontal="right" vertical="center"/>
    </xf>
    <xf numFmtId="182" fontId="10" fillId="0" borderId="0" xfId="0" applyNumberFormat="1" applyFont="1" applyAlignment="1">
      <alignment horizontal="center" vertical="center"/>
    </xf>
    <xf numFmtId="41" fontId="41" fillId="0" borderId="0" xfId="3" applyFont="1">
      <alignment vertical="center"/>
    </xf>
    <xf numFmtId="183" fontId="10" fillId="0" borderId="0" xfId="0" applyNumberFormat="1" applyFont="1" applyAlignment="1">
      <alignment horizontal="center" vertical="center"/>
    </xf>
    <xf numFmtId="41" fontId="53" fillId="0" borderId="0" xfId="3" applyFont="1" applyAlignment="1">
      <alignment horizontal="center" vertical="center"/>
    </xf>
    <xf numFmtId="41" fontId="53" fillId="0" borderId="0" xfId="3" applyFont="1" applyAlignment="1">
      <alignment horizontal="right" vertical="center"/>
    </xf>
    <xf numFmtId="0" fontId="53" fillId="0" borderId="0" xfId="0" applyFont="1" applyAlignment="1">
      <alignment horizontal="right" vertical="center"/>
    </xf>
    <xf numFmtId="41" fontId="0" fillId="0" borderId="0" xfId="3" applyFont="1" applyAlignment="1">
      <alignment vertical="center"/>
    </xf>
    <xf numFmtId="41" fontId="11" fillId="0" borderId="24" xfId="3" applyFont="1" applyBorder="1" applyAlignment="1">
      <alignment vertical="center"/>
    </xf>
    <xf numFmtId="178" fontId="24" fillId="0" borderId="0" xfId="4" applyNumberFormat="1" applyFont="1" applyAlignment="1">
      <alignment vertical="center"/>
    </xf>
    <xf numFmtId="178" fontId="0" fillId="0" borderId="0" xfId="3" applyNumberFormat="1" applyFont="1" applyAlignment="1" applyProtection="1">
      <alignment horizontal="center" vertical="center" shrinkToFit="1"/>
      <protection locked="0"/>
    </xf>
    <xf numFmtId="0" fontId="52" fillId="0" borderId="0" xfId="0" applyFont="1" applyAlignment="1">
      <alignment horizontal="right" vertical="center"/>
    </xf>
    <xf numFmtId="41" fontId="54" fillId="0" borderId="0" xfId="3" applyFont="1" applyAlignment="1">
      <alignment horizontal="right" vertical="center"/>
    </xf>
    <xf numFmtId="41" fontId="41" fillId="0" borderId="0" xfId="3" applyFont="1" applyAlignment="1">
      <alignment vertical="center"/>
    </xf>
    <xf numFmtId="41" fontId="51" fillId="0" borderId="24" xfId="3" applyFont="1" applyBorder="1" applyAlignment="1">
      <alignment vertical="center"/>
    </xf>
    <xf numFmtId="178" fontId="41" fillId="0" borderId="0" xfId="3" applyNumberFormat="1" applyFont="1" applyAlignment="1" applyProtection="1">
      <alignment horizontal="center" vertical="center" shrinkToFit="1"/>
      <protection locked="0"/>
    </xf>
    <xf numFmtId="0" fontId="9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41" fontId="11" fillId="0" borderId="0" xfId="3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41" fontId="11" fillId="0" borderId="0" xfId="1" applyFont="1" applyAlignment="1" applyProtection="1">
      <alignment horizontal="center" vertical="center" shrinkToFit="1"/>
      <protection locked="0"/>
    </xf>
    <xf numFmtId="0" fontId="51" fillId="0" borderId="0" xfId="0" applyFont="1">
      <alignment vertical="center"/>
    </xf>
    <xf numFmtId="41" fontId="11" fillId="0" borderId="0" xfId="3" applyFont="1" applyAlignment="1">
      <alignment vertical="center"/>
    </xf>
    <xf numFmtId="41" fontId="60" fillId="0" borderId="0" xfId="3" applyFont="1" applyAlignment="1">
      <alignment horizontal="center" vertical="center"/>
    </xf>
    <xf numFmtId="41" fontId="60" fillId="0" borderId="6" xfId="3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41" fontId="60" fillId="0" borderId="0" xfId="3" applyFont="1" applyAlignment="1">
      <alignment horizontal="right" vertical="center"/>
    </xf>
    <xf numFmtId="41" fontId="11" fillId="0" borderId="0" xfId="0" applyNumberFormat="1" applyFont="1" applyAlignment="1">
      <alignment horizontal="center" vertical="center"/>
    </xf>
    <xf numFmtId="185" fontId="41" fillId="0" borderId="0" xfId="3" applyNumberFormat="1" applyFont="1" applyAlignment="1">
      <alignment vertical="center"/>
    </xf>
    <xf numFmtId="185" fontId="41" fillId="0" borderId="0" xfId="3" applyNumberFormat="1" applyFont="1" applyFill="1" applyAlignment="1">
      <alignment vertical="center"/>
    </xf>
    <xf numFmtId="0" fontId="54" fillId="0" borderId="0" xfId="0" applyFont="1" applyAlignment="1">
      <alignment horizontal="right" vertical="center"/>
    </xf>
    <xf numFmtId="0" fontId="56" fillId="0" borderId="0" xfId="0" applyFont="1" applyAlignment="1">
      <alignment horizontal="center" vertical="center"/>
    </xf>
    <xf numFmtId="0" fontId="62" fillId="0" borderId="0" xfId="0" applyFont="1" applyAlignment="1">
      <alignment horizontal="right" vertical="center"/>
    </xf>
    <xf numFmtId="0" fontId="62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184" fontId="10" fillId="0" borderId="0" xfId="0" applyNumberFormat="1" applyFont="1" applyAlignment="1">
      <alignment horizontal="center" vertical="center"/>
    </xf>
    <xf numFmtId="185" fontId="41" fillId="0" borderId="0" xfId="0" applyNumberFormat="1" applyFont="1">
      <alignment vertical="center"/>
    </xf>
    <xf numFmtId="185" fontId="54" fillId="0" borderId="0" xfId="0" applyNumberFormat="1" applyFont="1">
      <alignment vertical="center"/>
    </xf>
    <xf numFmtId="185" fontId="54" fillId="0" borderId="0" xfId="3" applyNumberFormat="1" applyFont="1" applyAlignment="1">
      <alignment vertical="center"/>
    </xf>
    <xf numFmtId="185" fontId="54" fillId="0" borderId="0" xfId="3" applyNumberFormat="1" applyFont="1" applyFill="1" applyAlignment="1">
      <alignment vertical="center"/>
    </xf>
    <xf numFmtId="0" fontId="56" fillId="0" borderId="0" xfId="0" applyFont="1" applyAlignment="1">
      <alignment horizontal="right" vertical="center"/>
    </xf>
    <xf numFmtId="0" fontId="41" fillId="0" borderId="1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82" fontId="51" fillId="0" borderId="0" xfId="0" applyNumberFormat="1" applyFont="1" applyAlignment="1">
      <alignment horizontal="center" vertical="center"/>
    </xf>
    <xf numFmtId="180" fontId="41" fillId="0" borderId="0" xfId="3" applyNumberFormat="1" applyFont="1" applyAlignment="1">
      <alignment horizontal="center" vertical="center"/>
    </xf>
    <xf numFmtId="181" fontId="41" fillId="0" borderId="0" xfId="3" applyNumberFormat="1" applyFont="1" applyAlignment="1">
      <alignment horizontal="center" vertical="center"/>
    </xf>
    <xf numFmtId="41" fontId="53" fillId="0" borderId="0" xfId="3" applyFont="1">
      <alignment vertical="center"/>
    </xf>
    <xf numFmtId="0" fontId="48" fillId="0" borderId="0" xfId="0" applyFont="1" applyAlignment="1">
      <alignment horizontal="left" vertical="center"/>
    </xf>
    <xf numFmtId="0" fontId="44" fillId="0" borderId="22" xfId="0" applyFont="1" applyBorder="1" applyAlignment="1">
      <alignment horizontal="left" vertical="center"/>
    </xf>
    <xf numFmtId="41" fontId="19" fillId="0" borderId="0" xfId="3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1" fontId="20" fillId="0" borderId="0" xfId="3" applyFont="1" applyAlignment="1">
      <alignment horizontal="right" vertical="center"/>
    </xf>
    <xf numFmtId="41" fontId="19" fillId="0" borderId="0" xfId="3" applyFont="1" applyAlignment="1">
      <alignment horizontal="right" vertical="center"/>
    </xf>
    <xf numFmtId="176" fontId="41" fillId="0" borderId="0" xfId="3" applyNumberFormat="1" applyFont="1" applyAlignment="1">
      <alignment horizontal="center" vertical="center"/>
    </xf>
    <xf numFmtId="41" fontId="41" fillId="0" borderId="0" xfId="3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41" fontId="52" fillId="0" borderId="0" xfId="3" applyFont="1" applyAlignment="1">
      <alignment vertical="center"/>
    </xf>
    <xf numFmtId="41" fontId="52" fillId="0" borderId="6" xfId="3" applyFont="1" applyBorder="1" applyAlignment="1">
      <alignment vertical="center"/>
    </xf>
    <xf numFmtId="41" fontId="19" fillId="0" borderId="6" xfId="3" applyFont="1" applyBorder="1" applyAlignment="1">
      <alignment vertical="center"/>
    </xf>
    <xf numFmtId="180" fontId="0" fillId="0" borderId="0" xfId="0" applyNumberFormat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shrinkToFit="1"/>
    </xf>
    <xf numFmtId="186" fontId="67" fillId="0" borderId="0" xfId="0" applyNumberFormat="1" applyFont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0" xfId="0" applyFont="1" applyAlignment="1">
      <alignment horizontal="center" vertical="center" shrinkToFit="1"/>
    </xf>
    <xf numFmtId="186" fontId="68" fillId="0" borderId="0" xfId="0" applyNumberFormat="1" applyFont="1" applyAlignment="1">
      <alignment horizontal="center" vertical="center"/>
    </xf>
    <xf numFmtId="0" fontId="67" fillId="0" borderId="0" xfId="0" applyFont="1">
      <alignment vertical="center"/>
    </xf>
    <xf numFmtId="41" fontId="19" fillId="0" borderId="0" xfId="3" applyFont="1" applyBorder="1" applyAlignment="1">
      <alignment vertical="center"/>
    </xf>
    <xf numFmtId="185" fontId="41" fillId="0" borderId="0" xfId="3" applyNumberFormat="1" applyFont="1" applyBorder="1" applyAlignment="1">
      <alignment vertical="center"/>
    </xf>
    <xf numFmtId="185" fontId="41" fillId="0" borderId="0" xfId="3" applyNumberFormat="1" applyFont="1" applyFill="1" applyBorder="1" applyAlignment="1">
      <alignment vertical="center"/>
    </xf>
    <xf numFmtId="41" fontId="35" fillId="0" borderId="0" xfId="3" applyFont="1" applyBorder="1" applyAlignment="1">
      <alignment horizontal="center" vertical="center"/>
    </xf>
    <xf numFmtId="182" fontId="65" fillId="0" borderId="0" xfId="0" applyNumberFormat="1" applyFont="1" applyAlignment="1">
      <alignment horizontal="center" vertical="center"/>
    </xf>
    <xf numFmtId="41" fontId="35" fillId="0" borderId="0" xfId="3" applyFont="1" applyBorder="1" applyAlignment="1">
      <alignment horizontal="right" vertical="center"/>
    </xf>
    <xf numFmtId="41" fontId="0" fillId="0" borderId="0" xfId="3" applyFont="1" applyBorder="1" applyAlignment="1">
      <alignment vertical="center"/>
    </xf>
    <xf numFmtId="41" fontId="20" fillId="0" borderId="0" xfId="3" applyFont="1" applyBorder="1">
      <alignment vertical="center"/>
    </xf>
    <xf numFmtId="0" fontId="69" fillId="0" borderId="13" xfId="0" quotePrefix="1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185" fontId="74" fillId="0" borderId="0" xfId="0" applyNumberFormat="1" applyFont="1">
      <alignment vertical="center"/>
    </xf>
    <xf numFmtId="41" fontId="48" fillId="0" borderId="0" xfId="3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184" fontId="66" fillId="0" borderId="0" xfId="3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41" fontId="20" fillId="0" borderId="6" xfId="3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41" fontId="20" fillId="0" borderId="0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19" fillId="0" borderId="0" xfId="3" applyFont="1" applyBorder="1" applyAlignment="1">
      <alignment horizontal="center" vertical="center"/>
    </xf>
    <xf numFmtId="176" fontId="7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3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8" fillId="2" borderId="1" xfId="18" applyFont="1" applyFill="1" applyBorder="1" applyAlignment="1">
      <alignment horizontal="center" vertical="center"/>
    </xf>
    <xf numFmtId="183" fontId="0" fillId="2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3" applyNumberFormat="1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1" fontId="0" fillId="2" borderId="1" xfId="0" applyNumberFormat="1" applyFill="1" applyBorder="1" applyAlignment="1">
      <alignment horizontal="center" vertical="center"/>
    </xf>
    <xf numFmtId="41" fontId="41" fillId="0" borderId="6" xfId="3" applyFont="1" applyBorder="1" applyAlignment="1">
      <alignment horizontal="center" vertical="center"/>
    </xf>
    <xf numFmtId="41" fontId="41" fillId="0" borderId="0" xfId="3" applyFont="1" applyBorder="1" applyAlignment="1">
      <alignment horizontal="center" vertical="center"/>
    </xf>
    <xf numFmtId="41" fontId="20" fillId="0" borderId="0" xfId="3" applyFont="1" applyBorder="1" applyAlignment="1" applyProtection="1">
      <alignment horizontal="center" vertical="center"/>
      <protection locked="0"/>
    </xf>
    <xf numFmtId="182" fontId="0" fillId="2" borderId="1" xfId="3" applyNumberFormat="1" applyFont="1" applyFill="1" applyBorder="1" applyAlignment="1">
      <alignment horizontal="center" vertical="center"/>
    </xf>
    <xf numFmtId="187" fontId="0" fillId="2" borderId="1" xfId="0" applyNumberFormat="1" applyFill="1" applyBorder="1" applyAlignment="1">
      <alignment horizontal="center" vertical="center"/>
    </xf>
    <xf numFmtId="41" fontId="51" fillId="2" borderId="1" xfId="3" applyFont="1" applyFill="1" applyBorder="1" applyAlignment="1">
      <alignment horizontal="center" vertical="center"/>
    </xf>
    <xf numFmtId="182" fontId="0" fillId="2" borderId="1" xfId="0" applyNumberForma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4" fontId="41" fillId="0" borderId="0" xfId="3" applyNumberFormat="1" applyFont="1" applyAlignment="1">
      <alignment horizontal="center" vertical="center"/>
    </xf>
    <xf numFmtId="0" fontId="0" fillId="0" borderId="0" xfId="0" applyAlignment="1"/>
    <xf numFmtId="43" fontId="0" fillId="0" borderId="0" xfId="0" applyNumberFormat="1" applyAlignment="1"/>
    <xf numFmtId="41" fontId="0" fillId="3" borderId="36" xfId="3" applyFont="1" applyFill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  <xf numFmtId="41" fontId="77" fillId="2" borderId="1" xfId="3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center" vertical="center"/>
    </xf>
    <xf numFmtId="182" fontId="77" fillId="2" borderId="1" xfId="3" applyNumberFormat="1" applyFont="1" applyFill="1" applyBorder="1" applyAlignment="1">
      <alignment horizontal="center" vertical="center"/>
    </xf>
    <xf numFmtId="41" fontId="78" fillId="2" borderId="1" xfId="3" applyFont="1" applyFill="1" applyBorder="1" applyAlignment="1">
      <alignment horizontal="center" vertical="center"/>
    </xf>
    <xf numFmtId="41" fontId="77" fillId="2" borderId="1" xfId="0" applyNumberFormat="1" applyFont="1" applyFill="1" applyBorder="1">
      <alignment vertical="center"/>
    </xf>
    <xf numFmtId="0" fontId="77" fillId="2" borderId="1" xfId="0" applyFont="1" applyFill="1" applyBorder="1">
      <alignment vertical="center"/>
    </xf>
    <xf numFmtId="182" fontId="41" fillId="0" borderId="0" xfId="3" applyNumberFormat="1" applyFont="1" applyAlignment="1">
      <alignment vertical="center"/>
    </xf>
    <xf numFmtId="188" fontId="41" fillId="0" borderId="0" xfId="3" applyNumberFormat="1" applyFont="1" applyAlignment="1">
      <alignment vertical="center"/>
    </xf>
    <xf numFmtId="41" fontId="20" fillId="0" borderId="6" xfId="0" applyNumberFormat="1" applyFont="1" applyBorder="1" applyAlignment="1">
      <alignment horizontal="center" vertical="center"/>
    </xf>
    <xf numFmtId="189" fontId="82" fillId="2" borderId="37" xfId="78" applyNumberFormat="1" applyFont="1" applyFill="1" applyBorder="1" applyAlignment="1" applyProtection="1">
      <alignment horizontal="right" vertical="center" wrapText="1"/>
    </xf>
    <xf numFmtId="189" fontId="82" fillId="2" borderId="38" xfId="78" applyNumberFormat="1" applyFont="1" applyFill="1" applyBorder="1" applyAlignment="1" applyProtection="1">
      <alignment horizontal="right" vertical="center" wrapText="1"/>
    </xf>
    <xf numFmtId="41" fontId="77" fillId="2" borderId="1" xfId="3" applyFont="1" applyFill="1" applyBorder="1" applyAlignment="1">
      <alignment horizontal="center" vertical="center" wrapText="1"/>
    </xf>
    <xf numFmtId="41" fontId="77" fillId="2" borderId="23" xfId="0" applyNumberFormat="1" applyFont="1" applyFill="1" applyBorder="1">
      <alignment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176" fontId="12" fillId="0" borderId="14" xfId="0" applyNumberFormat="1" applyFont="1" applyBorder="1" applyAlignment="1">
      <alignment horizontal="center" vertical="center"/>
    </xf>
    <xf numFmtId="176" fontId="14" fillId="0" borderId="22" xfId="0" applyNumberFormat="1" applyFont="1" applyBorder="1" applyAlignment="1">
      <alignment horizontal="center" vertical="center"/>
    </xf>
    <xf numFmtId="176" fontId="14" fillId="0" borderId="23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1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41" fontId="54" fillId="0" borderId="0" xfId="3" applyFont="1" applyAlignment="1">
      <alignment horizontal="center" vertical="center"/>
    </xf>
    <xf numFmtId="41" fontId="54" fillId="0" borderId="6" xfId="3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176" fontId="12" fillId="0" borderId="18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12" fillId="0" borderId="12" xfId="0" quotePrefix="1" applyFont="1" applyBorder="1" applyAlignment="1">
      <alignment horizontal="center" vertical="center"/>
    </xf>
    <xf numFmtId="176" fontId="12" fillId="0" borderId="1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1" fontId="56" fillId="0" borderId="0" xfId="0" applyNumberFormat="1" applyFont="1" applyAlignment="1">
      <alignment horizontal="center" vertical="center"/>
    </xf>
    <xf numFmtId="41" fontId="56" fillId="0" borderId="6" xfId="0" applyNumberFormat="1" applyFont="1" applyBorder="1" applyAlignment="1">
      <alignment horizontal="center" vertical="center"/>
    </xf>
    <xf numFmtId="41" fontId="40" fillId="0" borderId="0" xfId="3" applyFont="1" applyAlignment="1">
      <alignment horizontal="center" vertical="center"/>
    </xf>
    <xf numFmtId="41" fontId="40" fillId="0" borderId="6" xfId="3" applyFont="1" applyBorder="1" applyAlignment="1">
      <alignment horizontal="center" vertical="center"/>
    </xf>
    <xf numFmtId="41" fontId="37" fillId="0" borderId="0" xfId="3" applyFont="1" applyAlignment="1">
      <alignment horizontal="center" vertical="center"/>
    </xf>
    <xf numFmtId="41" fontId="37" fillId="0" borderId="6" xfId="3" applyFont="1" applyBorder="1" applyAlignment="1">
      <alignment horizontal="center" vertical="center"/>
    </xf>
    <xf numFmtId="41" fontId="20" fillId="0" borderId="0" xfId="3" applyFont="1" applyAlignment="1">
      <alignment horizontal="center" vertical="center"/>
    </xf>
    <xf numFmtId="41" fontId="20" fillId="0" borderId="6" xfId="3" applyFont="1" applyBorder="1" applyAlignment="1">
      <alignment horizontal="center" vertical="center"/>
    </xf>
    <xf numFmtId="41" fontId="53" fillId="0" borderId="0" xfId="3" applyFont="1" applyAlignment="1">
      <alignment horizontal="center" vertical="center"/>
    </xf>
    <xf numFmtId="41" fontId="53" fillId="0" borderId="6" xfId="3" applyFont="1" applyBorder="1" applyAlignment="1">
      <alignment horizontal="center" vertical="center"/>
    </xf>
    <xf numFmtId="41" fontId="35" fillId="0" borderId="0" xfId="3" applyFont="1" applyAlignment="1">
      <alignment horizontal="center" vertical="center"/>
    </xf>
    <xf numFmtId="41" fontId="35" fillId="0" borderId="6" xfId="3" applyFont="1" applyBorder="1" applyAlignment="1">
      <alignment horizontal="center" vertical="center"/>
    </xf>
    <xf numFmtId="179" fontId="12" fillId="0" borderId="18" xfId="3" applyNumberFormat="1" applyFont="1" applyBorder="1" applyAlignment="1">
      <alignment horizontal="center" vertical="center"/>
    </xf>
    <xf numFmtId="179" fontId="12" fillId="0" borderId="19" xfId="3" applyNumberFormat="1" applyFont="1" applyBorder="1" applyAlignment="1">
      <alignment horizontal="center" vertical="center"/>
    </xf>
    <xf numFmtId="179" fontId="12" fillId="0" borderId="20" xfId="3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41" fontId="26" fillId="0" borderId="0" xfId="3" applyFont="1" applyAlignment="1">
      <alignment horizontal="center" vertical="center"/>
    </xf>
    <xf numFmtId="41" fontId="26" fillId="0" borderId="6" xfId="3" applyFont="1" applyBorder="1" applyAlignment="1">
      <alignment horizontal="center" vertical="center"/>
    </xf>
    <xf numFmtId="41" fontId="56" fillId="0" borderId="0" xfId="3" applyFont="1" applyAlignment="1">
      <alignment horizontal="center" vertical="center"/>
    </xf>
    <xf numFmtId="41" fontId="56" fillId="0" borderId="6" xfId="3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19" fillId="0" borderId="0" xfId="0" applyNumberFormat="1" applyFont="1" applyAlignment="1">
      <alignment horizontal="center" vertical="center"/>
    </xf>
    <xf numFmtId="41" fontId="19" fillId="0" borderId="6" xfId="0" applyNumberFormat="1" applyFont="1" applyBorder="1" applyAlignment="1">
      <alignment horizontal="center" vertical="center"/>
    </xf>
    <xf numFmtId="41" fontId="38" fillId="0" borderId="0" xfId="3" applyFont="1" applyAlignment="1">
      <alignment horizontal="center" vertical="center"/>
    </xf>
    <xf numFmtId="41" fontId="38" fillId="0" borderId="6" xfId="3" applyFont="1" applyBorder="1" applyAlignment="1">
      <alignment horizontal="center" vertical="center"/>
    </xf>
    <xf numFmtId="41" fontId="44" fillId="0" borderId="0" xfId="0" applyNumberFormat="1" applyFont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5" fillId="0" borderId="0" xfId="0" applyFont="1" applyAlignment="1">
      <alignment horizontal="right" vertical="center"/>
    </xf>
    <xf numFmtId="41" fontId="45" fillId="0" borderId="0" xfId="0" applyNumberFormat="1" applyFont="1" applyAlignment="1">
      <alignment horizontal="center" vertical="center"/>
    </xf>
    <xf numFmtId="41" fontId="45" fillId="0" borderId="6" xfId="0" applyNumberFormat="1" applyFont="1" applyBorder="1" applyAlignment="1">
      <alignment horizontal="center" vertical="center"/>
    </xf>
    <xf numFmtId="41" fontId="45" fillId="0" borderId="0" xfId="3" applyFont="1" applyAlignment="1">
      <alignment horizontal="center" vertical="center"/>
    </xf>
    <xf numFmtId="41" fontId="45" fillId="0" borderId="6" xfId="3" applyFont="1" applyBorder="1" applyAlignment="1">
      <alignment horizontal="center" vertical="center"/>
    </xf>
    <xf numFmtId="41" fontId="60" fillId="0" borderId="0" xfId="3" applyFont="1" applyAlignment="1">
      <alignment horizontal="center" vertical="center"/>
    </xf>
    <xf numFmtId="41" fontId="60" fillId="0" borderId="6" xfId="3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/>
    </xf>
    <xf numFmtId="0" fontId="58" fillId="0" borderId="2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177" fontId="56" fillId="0" borderId="17" xfId="0" applyNumberFormat="1" applyFont="1" applyBorder="1" applyAlignment="1">
      <alignment horizontal="center" vertical="center"/>
    </xf>
    <xf numFmtId="176" fontId="56" fillId="0" borderId="18" xfId="0" applyNumberFormat="1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 shrinkToFit="1"/>
    </xf>
    <xf numFmtId="0" fontId="56" fillId="0" borderId="13" xfId="0" applyFont="1" applyBorder="1" applyAlignment="1">
      <alignment horizontal="center" vertical="center" shrinkToFit="1"/>
    </xf>
    <xf numFmtId="0" fontId="56" fillId="0" borderId="15" xfId="0" applyFont="1" applyBorder="1" applyAlignment="1">
      <alignment horizontal="center" vertical="center" shrinkToFit="1"/>
    </xf>
    <xf numFmtId="0" fontId="56" fillId="0" borderId="12" xfId="0" quotePrefix="1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76" fontId="56" fillId="0" borderId="12" xfId="0" applyNumberFormat="1" applyFont="1" applyBorder="1" applyAlignment="1">
      <alignment horizontal="center" vertical="center"/>
    </xf>
    <xf numFmtId="176" fontId="56" fillId="0" borderId="13" xfId="0" applyNumberFormat="1" applyFont="1" applyBorder="1" applyAlignment="1">
      <alignment horizontal="center" vertical="center"/>
    </xf>
    <xf numFmtId="176" fontId="56" fillId="0" borderId="15" xfId="0" applyNumberFormat="1" applyFont="1" applyBorder="1" applyAlignment="1">
      <alignment horizontal="center" vertical="center"/>
    </xf>
    <xf numFmtId="176" fontId="56" fillId="0" borderId="14" xfId="0" applyNumberFormat="1" applyFont="1" applyBorder="1" applyAlignment="1">
      <alignment horizontal="center" vertical="center"/>
    </xf>
    <xf numFmtId="41" fontId="52" fillId="0" borderId="0" xfId="3" applyFont="1" applyAlignment="1">
      <alignment horizontal="center" vertical="center"/>
    </xf>
    <xf numFmtId="41" fontId="52" fillId="0" borderId="6" xfId="3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quotePrefix="1" applyFont="1" applyBorder="1" applyAlignment="1">
      <alignment horizontal="center" vertical="center"/>
    </xf>
    <xf numFmtId="41" fontId="44" fillId="0" borderId="0" xfId="3" applyFont="1" applyAlignment="1">
      <alignment horizontal="center" vertical="center"/>
    </xf>
    <xf numFmtId="41" fontId="44" fillId="0" borderId="6" xfId="3" applyFont="1" applyBorder="1" applyAlignment="1">
      <alignment horizontal="center" vertical="center"/>
    </xf>
    <xf numFmtId="41" fontId="44" fillId="0" borderId="6" xfId="0" applyNumberFormat="1" applyFont="1" applyBorder="1" applyAlignment="1">
      <alignment horizontal="center" vertical="center"/>
    </xf>
    <xf numFmtId="41" fontId="41" fillId="0" borderId="0" xfId="3" applyFont="1" applyBorder="1" applyAlignment="1" applyProtection="1">
      <alignment horizontal="center" vertical="center" shrinkToFit="1"/>
      <protection locked="0"/>
    </xf>
    <xf numFmtId="41" fontId="41" fillId="0" borderId="6" xfId="3" applyFont="1" applyBorder="1" applyAlignment="1" applyProtection="1">
      <alignment horizontal="center" vertical="center" shrinkToFit="1"/>
      <protection locked="0"/>
    </xf>
    <xf numFmtId="41" fontId="41" fillId="0" borderId="0" xfId="3" applyFont="1" applyBorder="1" applyAlignment="1">
      <alignment horizontal="center" vertical="center"/>
    </xf>
    <xf numFmtId="41" fontId="41" fillId="0" borderId="6" xfId="3" applyFont="1" applyBorder="1" applyAlignment="1">
      <alignment horizontal="center" vertical="center"/>
    </xf>
    <xf numFmtId="41" fontId="41" fillId="0" borderId="0" xfId="3" applyFont="1" applyAlignment="1">
      <alignment horizontal="center" vertical="center"/>
    </xf>
    <xf numFmtId="41" fontId="19" fillId="0" borderId="0" xfId="3" applyFont="1" applyAlignment="1">
      <alignment horizontal="center" vertical="center"/>
    </xf>
    <xf numFmtId="41" fontId="19" fillId="0" borderId="6" xfId="3" applyFont="1" applyBorder="1" applyAlignment="1">
      <alignment horizontal="center" vertical="center"/>
    </xf>
    <xf numFmtId="41" fontId="20" fillId="0" borderId="0" xfId="0" applyNumberFormat="1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77" fontId="75" fillId="0" borderId="17" xfId="0" applyNumberFormat="1" applyFont="1" applyBorder="1" applyAlignment="1">
      <alignment horizontal="center" vertical="center"/>
    </xf>
    <xf numFmtId="0" fontId="73" fillId="0" borderId="22" xfId="0" applyFont="1" applyBorder="1" applyAlignment="1">
      <alignment horizontal="left" vertical="center"/>
    </xf>
    <xf numFmtId="176" fontId="72" fillId="0" borderId="22" xfId="0" applyNumberFormat="1" applyFont="1" applyBorder="1" applyAlignment="1">
      <alignment horizontal="center" vertical="center"/>
    </xf>
    <xf numFmtId="176" fontId="72" fillId="0" borderId="23" xfId="0" applyNumberFormat="1" applyFont="1" applyBorder="1" applyAlignment="1">
      <alignment horizontal="center" vertical="center"/>
    </xf>
    <xf numFmtId="41" fontId="54" fillId="0" borderId="0" xfId="0" applyNumberFormat="1" applyFont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41" fontId="20" fillId="0" borderId="0" xfId="3" applyFont="1" applyBorder="1" applyAlignment="1" applyProtection="1">
      <alignment horizontal="center" vertical="center"/>
      <protection locked="0"/>
    </xf>
    <xf numFmtId="41" fontId="20" fillId="0" borderId="6" xfId="3" applyFont="1" applyBorder="1" applyAlignment="1" applyProtection="1">
      <alignment horizontal="center" vertical="center"/>
      <protection locked="0"/>
    </xf>
    <xf numFmtId="41" fontId="20" fillId="0" borderId="0" xfId="3" applyFont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textRotation="255"/>
    </xf>
    <xf numFmtId="0" fontId="50" fillId="0" borderId="2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51" fillId="0" borderId="22" xfId="0" applyFont="1" applyBorder="1" applyAlignment="1">
      <alignment horizontal="left" vertical="center"/>
    </xf>
    <xf numFmtId="176" fontId="56" fillId="0" borderId="22" xfId="0" applyNumberFormat="1" applyFont="1" applyBorder="1" applyAlignment="1">
      <alignment horizontal="center" vertical="center"/>
    </xf>
    <xf numFmtId="176" fontId="56" fillId="0" borderId="23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21" xfId="0" applyFont="1" applyBorder="1" applyAlignment="1">
      <alignment horizontal="right" vertical="center"/>
    </xf>
    <xf numFmtId="0" fontId="51" fillId="0" borderId="22" xfId="0" applyFont="1" applyBorder="1" applyAlignment="1">
      <alignment horizontal="right" vertical="center"/>
    </xf>
    <xf numFmtId="0" fontId="51" fillId="0" borderId="23" xfId="0" applyFont="1" applyBorder="1" applyAlignment="1">
      <alignment horizontal="right" vertical="center"/>
    </xf>
    <xf numFmtId="0" fontId="51" fillId="0" borderId="21" xfId="0" applyFont="1" applyBorder="1" applyAlignment="1">
      <alignment horizontal="center" vertical="center" wrapText="1"/>
    </xf>
    <xf numFmtId="0" fontId="51" fillId="0" borderId="22" xfId="0" applyFont="1" applyBorder="1" applyAlignment="1">
      <alignment horizontal="center" vertical="center" wrapText="1"/>
    </xf>
    <xf numFmtId="0" fontId="51" fillId="0" borderId="23" xfId="0" applyFont="1" applyBorder="1" applyAlignment="1">
      <alignment horizontal="center" vertical="center" wrapText="1"/>
    </xf>
    <xf numFmtId="0" fontId="64" fillId="0" borderId="21" xfId="0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 wrapText="1"/>
    </xf>
    <xf numFmtId="0" fontId="64" fillId="0" borderId="23" xfId="0" applyFont="1" applyBorder="1" applyAlignment="1">
      <alignment horizontal="center" vertical="center" wrapText="1"/>
    </xf>
    <xf numFmtId="0" fontId="51" fillId="0" borderId="21" xfId="0" applyFont="1" applyBorder="1" applyAlignment="1">
      <alignment horizontal="left" vertical="center"/>
    </xf>
    <xf numFmtId="0" fontId="51" fillId="0" borderId="23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/>
    </xf>
    <xf numFmtId="0" fontId="70" fillId="0" borderId="34" xfId="0" applyFont="1" applyBorder="1" applyAlignment="1">
      <alignment horizontal="center" vertical="center"/>
    </xf>
    <xf numFmtId="0" fontId="70" fillId="0" borderId="3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11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69" fillId="0" borderId="13" xfId="0" applyFont="1" applyBorder="1" applyAlignment="1">
      <alignment horizontal="center" vertical="center"/>
    </xf>
    <xf numFmtId="0" fontId="69" fillId="0" borderId="13" xfId="0" quotePrefix="1" applyFont="1" applyBorder="1" applyAlignment="1">
      <alignment horizontal="center" vertical="center"/>
    </xf>
    <xf numFmtId="0" fontId="69" fillId="0" borderId="14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 shrinkToFit="1"/>
    </xf>
    <xf numFmtId="0" fontId="69" fillId="0" borderId="13" xfId="0" applyFont="1" applyBorder="1" applyAlignment="1">
      <alignment horizontal="center" vertical="center" shrinkToFit="1"/>
    </xf>
    <xf numFmtId="0" fontId="69" fillId="0" borderId="15" xfId="0" applyFont="1" applyBorder="1" applyAlignment="1">
      <alignment horizontal="center" vertical="center" shrinkToFit="1"/>
    </xf>
    <xf numFmtId="0" fontId="71" fillId="0" borderId="12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69" fillId="0" borderId="12" xfId="0" quotePrefix="1" applyFont="1" applyBorder="1" applyAlignment="1">
      <alignment horizontal="center" vertical="center"/>
    </xf>
    <xf numFmtId="176" fontId="69" fillId="0" borderId="12" xfId="0" applyNumberFormat="1" applyFont="1" applyBorder="1" applyAlignment="1">
      <alignment horizontal="center" vertical="center"/>
    </xf>
    <xf numFmtId="176" fontId="69" fillId="0" borderId="13" xfId="0" applyNumberFormat="1" applyFont="1" applyBorder="1" applyAlignment="1">
      <alignment horizontal="center" vertical="center"/>
    </xf>
    <xf numFmtId="176" fontId="69" fillId="0" borderId="15" xfId="0" applyNumberFormat="1" applyFont="1" applyBorder="1" applyAlignment="1">
      <alignment horizontal="center" vertical="center"/>
    </xf>
    <xf numFmtId="176" fontId="69" fillId="0" borderId="14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71" fillId="0" borderId="16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177" fontId="69" fillId="0" borderId="17" xfId="0" applyNumberFormat="1" applyFont="1" applyBorder="1" applyAlignment="1">
      <alignment horizontal="center" vertical="center"/>
    </xf>
    <xf numFmtId="176" fontId="69" fillId="0" borderId="18" xfId="0" applyNumberFormat="1" applyFont="1" applyBorder="1" applyAlignment="1">
      <alignment horizontal="center" vertical="center"/>
    </xf>
    <xf numFmtId="176" fontId="69" fillId="0" borderId="19" xfId="0" applyNumberFormat="1" applyFont="1" applyBorder="1" applyAlignment="1">
      <alignment horizontal="center" vertical="center"/>
    </xf>
    <xf numFmtId="176" fontId="69" fillId="0" borderId="2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</cellXfs>
  <cellStyles count="80">
    <cellStyle name="백분율 2" xfId="8" xr:uid="{00000000-0005-0000-0000-000000000000}"/>
    <cellStyle name="쉼표 [0]" xfId="3" builtinId="6"/>
    <cellStyle name="쉼표 [0] 2" xfId="1" xr:uid="{00000000-0005-0000-0000-000002000000}"/>
    <cellStyle name="쉼표 [0] 2 2" xfId="9" xr:uid="{00000000-0005-0000-0000-000003000000}"/>
    <cellStyle name="쉼표 [0] 3" xfId="10" xr:uid="{00000000-0005-0000-0000-000004000000}"/>
    <cellStyle name="쉼표 [0] 3 2" xfId="11" xr:uid="{00000000-0005-0000-0000-000005000000}"/>
    <cellStyle name="쉼표 [0] 4" xfId="12" xr:uid="{00000000-0005-0000-0000-000006000000}"/>
    <cellStyle name="쉼표 [0] 5" xfId="13" xr:uid="{00000000-0005-0000-0000-000007000000}"/>
    <cellStyle name="쉼표 [0] 6" xfId="14" xr:uid="{00000000-0005-0000-0000-000008000000}"/>
    <cellStyle name="쉼표 [0] 7" xfId="78" xr:uid="{CBD9F66D-A55F-4823-98FB-EB741FB3F44F}"/>
    <cellStyle name="통화 [0] 2" xfId="15" xr:uid="{00000000-0005-0000-0000-000009000000}"/>
    <cellStyle name="통화 [0] 3" xfId="16" xr:uid="{00000000-0005-0000-0000-00000A000000}"/>
    <cellStyle name="통화 2" xfId="17" xr:uid="{00000000-0005-0000-0000-00000B000000}"/>
    <cellStyle name="표준" xfId="0" builtinId="0"/>
    <cellStyle name="표준 10" xfId="18" xr:uid="{00000000-0005-0000-0000-00000D000000}"/>
    <cellStyle name="표준 11" xfId="19" xr:uid="{00000000-0005-0000-0000-00000E000000}"/>
    <cellStyle name="표준 12" xfId="20" xr:uid="{00000000-0005-0000-0000-00000F000000}"/>
    <cellStyle name="표준 13" xfId="21" xr:uid="{00000000-0005-0000-0000-000010000000}"/>
    <cellStyle name="표준 14" xfId="22" xr:uid="{00000000-0005-0000-0000-000011000000}"/>
    <cellStyle name="표준 15" xfId="23" xr:uid="{00000000-0005-0000-0000-000012000000}"/>
    <cellStyle name="표준 16" xfId="24" xr:uid="{00000000-0005-0000-0000-000013000000}"/>
    <cellStyle name="표준 17" xfId="25" xr:uid="{00000000-0005-0000-0000-000014000000}"/>
    <cellStyle name="표준 18" xfId="26" xr:uid="{00000000-0005-0000-0000-000015000000}"/>
    <cellStyle name="표준 19" xfId="27" xr:uid="{00000000-0005-0000-0000-000016000000}"/>
    <cellStyle name="표준 2" xfId="2" xr:uid="{00000000-0005-0000-0000-000017000000}"/>
    <cellStyle name="표준 2 2" xfId="79" xr:uid="{7F394E81-D3C5-4AD7-9ED2-5179B7CDC16C}"/>
    <cellStyle name="표준 20" xfId="28" xr:uid="{00000000-0005-0000-0000-000018000000}"/>
    <cellStyle name="표준 21" xfId="29" xr:uid="{00000000-0005-0000-0000-000019000000}"/>
    <cellStyle name="표준 22" xfId="30" xr:uid="{00000000-0005-0000-0000-00001A000000}"/>
    <cellStyle name="표준 23" xfId="31" xr:uid="{00000000-0005-0000-0000-00001B000000}"/>
    <cellStyle name="표준 24" xfId="32" xr:uid="{00000000-0005-0000-0000-00001C000000}"/>
    <cellStyle name="표준 25" xfId="33" xr:uid="{00000000-0005-0000-0000-00001D000000}"/>
    <cellStyle name="표준 26" xfId="34" xr:uid="{00000000-0005-0000-0000-00001E000000}"/>
    <cellStyle name="표준 27" xfId="35" xr:uid="{00000000-0005-0000-0000-00001F000000}"/>
    <cellStyle name="표준 28" xfId="36" xr:uid="{00000000-0005-0000-0000-000020000000}"/>
    <cellStyle name="표준 29" xfId="37" xr:uid="{00000000-0005-0000-0000-000021000000}"/>
    <cellStyle name="표준 3" xfId="38" xr:uid="{00000000-0005-0000-0000-000022000000}"/>
    <cellStyle name="표준 30" xfId="39" xr:uid="{00000000-0005-0000-0000-000023000000}"/>
    <cellStyle name="표준 31" xfId="40" xr:uid="{00000000-0005-0000-0000-000024000000}"/>
    <cellStyle name="표준 32" xfId="5" xr:uid="{00000000-0005-0000-0000-000025000000}"/>
    <cellStyle name="표준 33" xfId="6" xr:uid="{00000000-0005-0000-0000-000026000000}"/>
    <cellStyle name="표준 34" xfId="7" xr:uid="{00000000-0005-0000-0000-000027000000}"/>
    <cellStyle name="표준 35" xfId="41" xr:uid="{00000000-0005-0000-0000-000028000000}"/>
    <cellStyle name="표준 36" xfId="42" xr:uid="{00000000-0005-0000-0000-000029000000}"/>
    <cellStyle name="표준 37" xfId="43" xr:uid="{00000000-0005-0000-0000-00002A000000}"/>
    <cellStyle name="표준 38" xfId="44" xr:uid="{00000000-0005-0000-0000-00002B000000}"/>
    <cellStyle name="표준 39" xfId="45" xr:uid="{00000000-0005-0000-0000-00002C000000}"/>
    <cellStyle name="표준 4" xfId="46" xr:uid="{00000000-0005-0000-0000-00002D000000}"/>
    <cellStyle name="표준 40" xfId="53" xr:uid="{00000000-0005-0000-0000-00002E000000}"/>
    <cellStyle name="표준 41" xfId="54" xr:uid="{00000000-0005-0000-0000-00002F000000}"/>
    <cellStyle name="표준 42" xfId="55" xr:uid="{00000000-0005-0000-0000-000030000000}"/>
    <cellStyle name="표준 43" xfId="56" xr:uid="{00000000-0005-0000-0000-000031000000}"/>
    <cellStyle name="표준 44" xfId="77" xr:uid="{579F0C74-C877-4E28-80AC-2712409817C3}"/>
    <cellStyle name="표준 48" xfId="57" xr:uid="{00000000-0005-0000-0000-000032000000}"/>
    <cellStyle name="표준 49" xfId="58" xr:uid="{00000000-0005-0000-0000-000033000000}"/>
    <cellStyle name="표준 5" xfId="47" xr:uid="{00000000-0005-0000-0000-000034000000}"/>
    <cellStyle name="표준 50" xfId="59" xr:uid="{00000000-0005-0000-0000-000035000000}"/>
    <cellStyle name="표준 51" xfId="60" xr:uid="{00000000-0005-0000-0000-000036000000}"/>
    <cellStyle name="표준 52" xfId="61" xr:uid="{00000000-0005-0000-0000-000037000000}"/>
    <cellStyle name="표준 53" xfId="62" xr:uid="{00000000-0005-0000-0000-000038000000}"/>
    <cellStyle name="표준 54" xfId="63" xr:uid="{00000000-0005-0000-0000-000039000000}"/>
    <cellStyle name="표준 55" xfId="64" xr:uid="{00000000-0005-0000-0000-00003A000000}"/>
    <cellStyle name="표준 56" xfId="65" xr:uid="{00000000-0005-0000-0000-00003B000000}"/>
    <cellStyle name="표준 57" xfId="66" xr:uid="{00000000-0005-0000-0000-00003C000000}"/>
    <cellStyle name="표준 58" xfId="67" xr:uid="{00000000-0005-0000-0000-00003D000000}"/>
    <cellStyle name="표준 59" xfId="68" xr:uid="{00000000-0005-0000-0000-00003E000000}"/>
    <cellStyle name="표준 6" xfId="48" xr:uid="{00000000-0005-0000-0000-00003F000000}"/>
    <cellStyle name="표준 60" xfId="69" xr:uid="{00000000-0005-0000-0000-000040000000}"/>
    <cellStyle name="표준 62" xfId="70" xr:uid="{00000000-0005-0000-0000-000041000000}"/>
    <cellStyle name="표준 63" xfId="71" xr:uid="{00000000-0005-0000-0000-000042000000}"/>
    <cellStyle name="표준 64" xfId="72" xr:uid="{00000000-0005-0000-0000-000043000000}"/>
    <cellStyle name="표준 65" xfId="73" xr:uid="{00000000-0005-0000-0000-000044000000}"/>
    <cellStyle name="표준 66" xfId="74" xr:uid="{00000000-0005-0000-0000-000045000000}"/>
    <cellStyle name="표준 67" xfId="75" xr:uid="{00000000-0005-0000-0000-000046000000}"/>
    <cellStyle name="표준 68" xfId="76" xr:uid="{00000000-0005-0000-0000-000047000000}"/>
    <cellStyle name="표준 7" xfId="49" xr:uid="{00000000-0005-0000-0000-000048000000}"/>
    <cellStyle name="표준 8" xfId="50" xr:uid="{00000000-0005-0000-0000-000049000000}"/>
    <cellStyle name="표준 9" xfId="51" xr:uid="{00000000-0005-0000-0000-00004A000000}"/>
    <cellStyle name="표준_05년 일별출하현황" xfId="4" xr:uid="{00000000-0005-0000-0000-00004B000000}"/>
    <cellStyle name="하이퍼링크 2" xfId="52" xr:uid="{00000000-0005-0000-0000-00004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8034BA3-320B-43B6-8BF6-75D01DB7FD7A}"/>
  </tableStyles>
  <colors>
    <mruColors>
      <color rgb="FFFF99CC"/>
      <color rgb="FFFF66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'신코 222'!$A$7:$H$7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'신코 222'!$I$7:$AB$7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76ED-460A-B0AF-BC27B91D951C}"/>
            </c:ext>
          </c:extLst>
        </c:ser>
        <c:ser>
          <c:idx val="1"/>
          <c:order val="1"/>
          <c:tx>
            <c:strRef>
              <c:f>'신코 222'!$A$8:$H$8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'신코 222'!$I$8:$AB$8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1-76ED-460A-B0AF-BC27B91D951C}"/>
            </c:ext>
          </c:extLst>
        </c:ser>
        <c:ser>
          <c:idx val="2"/>
          <c:order val="2"/>
          <c:tx>
            <c:strRef>
              <c:f>'신코 222'!$A$9:$H$9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'신코 222'!$I$9:$AB$9</c:f>
              <c:numCache>
                <c:formatCode>#,##0_ </c:formatCode>
                <c:ptCount val="20"/>
                <c:pt idx="7" formatCode="General">
                  <c:v>0</c:v>
                </c:pt>
                <c:pt idx="8" formatCode="_(* #,##0_);_(* \(#,##0\);_(* &quot;-&quot;_);_(@_)">
                  <c:v>0</c:v>
                </c:pt>
                <c:pt idx="9" formatCode="_(* #,##0_);_(* \(#,##0\);_(* &quot;-&quot;_);_(@_)">
                  <c:v>0</c:v>
                </c:pt>
                <c:pt idx="10" formatCode="General">
                  <c:v>0</c:v>
                </c:pt>
                <c:pt idx="11" formatCode="_(* #,##0_);_(* \(#,##0\);_(* &quot;-&quot;_);_(@_)">
                  <c:v>0</c:v>
                </c:pt>
                <c:pt idx="12" formatCode="_(* #,##0_);_(* \(#,##0\);_(* &quot;-&quot;_);_(@_)">
                  <c:v>0</c:v>
                </c:pt>
                <c:pt idx="13" formatCode="_(* #,##0_);_(* \(#,##0\);_(* &quot;-&quot;_);_(@_)">
                  <c:v>0</c:v>
                </c:pt>
                <c:pt idx="14" formatCode="_(* #,##0_);_(* \(#,##0\);_(* &quot;-&quot;_);_(@_)">
                  <c:v>0</c:v>
                </c:pt>
                <c:pt idx="15" formatCode="_(* #,##0_);_(* \(#,##0\);_(* &quot;-&quot;_);_(@_)">
                  <c:v>0</c:v>
                </c:pt>
                <c:pt idx="16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D-460A-B0AF-BC27B91D951C}"/>
            </c:ext>
          </c:extLst>
        </c:ser>
        <c:ser>
          <c:idx val="3"/>
          <c:order val="3"/>
          <c:tx>
            <c:strRef>
              <c:f>'신코 222'!$A$10:$H$10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'신코 222'!$I$10:$AB$10</c:f>
              <c:numCache>
                <c:formatCode>#,##0_ </c:formatCode>
                <c:ptCount val="20"/>
                <c:pt idx="7" formatCode="General">
                  <c:v>0</c:v>
                </c:pt>
                <c:pt idx="8" formatCode="m&quot;/&quot;d;@">
                  <c:v>0</c:v>
                </c:pt>
                <c:pt idx="9" formatCode="General">
                  <c:v>8.7119999999999997</c:v>
                </c:pt>
                <c:pt idx="10" formatCode="_(* #,##0_);_(* \(#,##0\);_(* &quot;-&quot;_);_(@_)">
                  <c:v>10855290</c:v>
                </c:pt>
                <c:pt idx="11" formatCode="_(* #,##0_);_(* \(#,##0\);_(* &quot;-&quot;_);_(@_)">
                  <c:v>76647650</c:v>
                </c:pt>
                <c:pt idx="12" formatCode="_(* #,##0_);_(* \(#,##0\);_(* &quot;-&quot;_);_(@_)">
                  <c:v>556083</c:v>
                </c:pt>
                <c:pt idx="13" formatCode="_(* #,##0_);_(* \(#,##0\);_(* &quot;-&quot;_);_(@_)">
                  <c:v>17367553</c:v>
                </c:pt>
                <c:pt idx="14" formatCode="_(* #,##0_);_(* \(#,##0\);_(* &quot;-&quot;_);_(@_)">
                  <c:v>0</c:v>
                </c:pt>
                <c:pt idx="15" formatCode="_(* #,##0_);_(* \(#,##0\);_(* &quot;-&quot;_);_(@_)">
                  <c:v>0</c:v>
                </c:pt>
                <c:pt idx="16" formatCode="_(* #,##0_);_(* \(#,##0\);_(* &quot;-&quot;_);_(@_)">
                  <c:v>94571286</c:v>
                </c:pt>
                <c:pt idx="17" formatCode="General">
                  <c:v>94571286.480000004</c:v>
                </c:pt>
                <c:pt idx="18" formatCode="_(* #,##0_);_(* \(#,##0\);_(* &quot;-&quot;_);_(@_)">
                  <c:v>94571286</c:v>
                </c:pt>
                <c:pt idx="19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ED-460A-B0AF-BC27B91D951C}"/>
            </c:ext>
          </c:extLst>
        </c:ser>
        <c:ser>
          <c:idx val="4"/>
          <c:order val="4"/>
          <c:tx>
            <c:strRef>
              <c:f>'신코 222'!$A$11:$H$11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'신코 222'!$I$11:$AB$11</c:f>
              <c:numCache>
                <c:formatCode>#,##0_ </c:formatCode>
                <c:ptCount val="20"/>
                <c:pt idx="7" formatCode="General">
                  <c:v>0</c:v>
                </c:pt>
                <c:pt idx="8" formatCode="m&quot;/&quot;d;@">
                  <c:v>0</c:v>
                </c:pt>
                <c:pt idx="9" formatCode="General">
                  <c:v>8.6766000000000005</c:v>
                </c:pt>
                <c:pt idx="10" formatCode="_(* #,##0_);_(* \(#,##0\);_(* &quot;-&quot;_);_(@_)">
                  <c:v>12227374</c:v>
                </c:pt>
                <c:pt idx="11" formatCode="_(* #,##0_);_(* \(#,##0\);_(* &quot;-&quot;_);_(@_)">
                  <c:v>76451055</c:v>
                </c:pt>
                <c:pt idx="12" formatCode="_(* #,##0_);_(* \(#,##0\);_(* &quot;-&quot;_);_(@_)">
                  <c:v>6245740</c:v>
                </c:pt>
                <c:pt idx="13" formatCode="_(* #,##0_);_(* \(#,##0\);_(* &quot;-&quot;_);_(@_)">
                  <c:v>22950962</c:v>
                </c:pt>
                <c:pt idx="14" formatCode="_(* #,##0_);_(* \(#,##0\);_(* &quot;-&quot;_);_(@_)">
                  <c:v>95130</c:v>
                </c:pt>
                <c:pt idx="15" formatCode="_(* #,##0_);_(* \(#,##0\);_(* &quot;-&quot;_);_(@_)">
                  <c:v>349146</c:v>
                </c:pt>
                <c:pt idx="16" formatCode="_(* #,##0_);_(* \(#,##0\);_(* &quot;-&quot;_);_(@_)">
                  <c:v>106092033</c:v>
                </c:pt>
                <c:pt idx="17" formatCode="General">
                  <c:v>106092033.2484</c:v>
                </c:pt>
                <c:pt idx="18" formatCode="_(* #,##0_);_(* \(#,##0\);_(* &quot;-&quot;_);_(@_)">
                  <c:v>106092033</c:v>
                </c:pt>
                <c:pt idx="19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ED-460A-B0AF-BC27B91D951C}"/>
            </c:ext>
          </c:extLst>
        </c:ser>
        <c:ser>
          <c:idx val="5"/>
          <c:order val="5"/>
          <c:tx>
            <c:strRef>
              <c:f>'신코 222'!$A$12:$H$12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'신코 222'!$I$12:$AB$12</c:f>
              <c:numCache>
                <c:formatCode>General</c:formatCode>
                <c:ptCount val="20"/>
                <c:pt idx="7">
                  <c:v>0</c:v>
                </c:pt>
                <c:pt idx="8" formatCode="m&quot;/&quot;d;@">
                  <c:v>0</c:v>
                </c:pt>
                <c:pt idx="9">
                  <c:v>8.7624999999999993</c:v>
                </c:pt>
                <c:pt idx="10" formatCode="_(* #,##0_);_(* \(#,##0\);_(* &quot;-&quot;_);_(@_)">
                  <c:v>19165174</c:v>
                </c:pt>
                <c:pt idx="11" formatCode="_(* #,##0_);_(* \(#,##0\);_(* &quot;-&quot;_);_(@_)">
                  <c:v>112534504</c:v>
                </c:pt>
                <c:pt idx="12" formatCode="_(* #,##0_);_(* \(#,##0\);_(* &quot;-&quot;_);_(@_)">
                  <c:v>20506534</c:v>
                </c:pt>
                <c:pt idx="13" formatCode="_(* #,##0_);_(* \(#,##0\);_(* &quot;-&quot;_);_(@_)">
                  <c:v>32965488</c:v>
                </c:pt>
                <c:pt idx="14" formatCode="_(* #,##0_);_(* \(#,##0\);_(* &quot;-&quot;_);_(@_)">
                  <c:v>1928311</c:v>
                </c:pt>
                <c:pt idx="15" formatCode="_(* #,##0_);_(* \(#,##0\);_(* &quot;-&quot;_);_(@_)">
                  <c:v>0</c:v>
                </c:pt>
                <c:pt idx="16" formatCode="_(* #,##0_);_(* \(#,##0\);_(* &quot;-&quot;_);_(@_)">
                  <c:v>167934837</c:v>
                </c:pt>
                <c:pt idx="17">
                  <c:v>167934837.17499998</c:v>
                </c:pt>
                <c:pt idx="18" formatCode="_(* #,##0_);_(* \(#,##0\);_(* &quot;-&quot;_);_(@_)">
                  <c:v>167934837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ED-460A-B0AF-BC27B91D951C}"/>
            </c:ext>
          </c:extLst>
        </c:ser>
        <c:ser>
          <c:idx val="6"/>
          <c:order val="6"/>
          <c:tx>
            <c:strRef>
              <c:f>'신코 222'!$A$13:$H$13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222'!$I$13:$AB$13</c:f>
              <c:numCache>
                <c:formatCode>General</c:formatCode>
                <c:ptCount val="20"/>
                <c:pt idx="7">
                  <c:v>0</c:v>
                </c:pt>
                <c:pt idx="8" formatCode="m&quot;/&quot;d;@">
                  <c:v>0</c:v>
                </c:pt>
                <c:pt idx="9">
                  <c:v>8.8529</c:v>
                </c:pt>
                <c:pt idx="10" formatCode="_(* #,##0_);_(* \(#,##0\);_(* &quot;-&quot;_);_(@_)">
                  <c:v>9339379.5199999996</c:v>
                </c:pt>
                <c:pt idx="11" formatCode="_(* #,##0_);_(* \(#,##0\);_(* &quot;-&quot;_);_(@_)">
                  <c:v>66373862</c:v>
                </c:pt>
                <c:pt idx="12" formatCode="_(* #,##0_);_(* \(#,##0\);_(* &quot;-&quot;_);_(@_)">
                  <c:v>1264438</c:v>
                </c:pt>
                <c:pt idx="13" formatCode="_(* #,##0_);_(* \(#,##0\);_(* &quot;-&quot;_);_(@_)">
                  <c:v>14652504</c:v>
                </c:pt>
                <c:pt idx="14" formatCode="_(* #,##0_);_(* \(#,##0\);_(* &quot;-&quot;_);_(@_)">
                  <c:v>389788</c:v>
                </c:pt>
                <c:pt idx="15" formatCode="_(* #,##0_);_(* \(#,##0\);_(* &quot;-&quot;_);_(@_)">
                  <c:v>0</c:v>
                </c:pt>
                <c:pt idx="16" formatCode="_(* #,##0_);_(* \(#,##0\);_(* &quot;-&quot;_);_(@_)">
                  <c:v>82680592</c:v>
                </c:pt>
                <c:pt idx="17">
                  <c:v>82680592.952607989</c:v>
                </c:pt>
                <c:pt idx="18" formatCode="_(* #,##0_);_(* \(#,##0\);_(* &quot;-&quot;_);_(@_)">
                  <c:v>82680592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ED-460A-B0AF-BC27B91D951C}"/>
            </c:ext>
          </c:extLst>
        </c:ser>
        <c:ser>
          <c:idx val="7"/>
          <c:order val="7"/>
          <c:tx>
            <c:strRef>
              <c:f>'신코 222'!$A$14:$H$14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222'!$I$14:$AB$14</c:f>
              <c:numCache>
                <c:formatCode>General</c:formatCode>
                <c:ptCount val="20"/>
                <c:pt idx="7">
                  <c:v>0</c:v>
                </c:pt>
                <c:pt idx="8" formatCode="m&quot;/&quot;d;@">
                  <c:v>0</c:v>
                </c:pt>
                <c:pt idx="9">
                  <c:v>8.5790000000000006</c:v>
                </c:pt>
                <c:pt idx="10" formatCode="_(* #,##0_);_(* \(#,##0\);_(* &quot;-&quot;_);_(@_)">
                  <c:v>12873460</c:v>
                </c:pt>
                <c:pt idx="11" formatCode="_(* #,##0_);_(* \(#,##0\);_(* &quot;-&quot;_);_(@_)">
                  <c:v>80695889</c:v>
                </c:pt>
                <c:pt idx="12" formatCode="_(* #,##0_);_(* \(#,##0\);_(* &quot;-&quot;_);_(@_)">
                  <c:v>7864780</c:v>
                </c:pt>
                <c:pt idx="13" formatCode="_(* #,##0_);_(* \(#,##0\);_(* &quot;-&quot;_);_(@_)">
                  <c:v>21880744</c:v>
                </c:pt>
                <c:pt idx="14" formatCode="_(* #,##0_);_(* \(#,##0\);_(* &quot;-&quot;_);_(@_)">
                  <c:v>0</c:v>
                </c:pt>
                <c:pt idx="15" formatCode="_(* #,##0_);_(* \(#,##0\);_(* &quot;-&quot;_);_(@_)">
                  <c:v>0</c:v>
                </c:pt>
                <c:pt idx="16" formatCode="_(* #,##0_);_(* \(#,##0\);_(* &quot;-&quot;_);_(@_)">
                  <c:v>110441413</c:v>
                </c:pt>
                <c:pt idx="17">
                  <c:v>110441413.34</c:v>
                </c:pt>
                <c:pt idx="18" formatCode="_(* #,##0_);_(* \(#,##0\);_(* &quot;-&quot;_);_(@_)">
                  <c:v>110441413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ED-460A-B0AF-BC27B91D951C}"/>
            </c:ext>
          </c:extLst>
        </c:ser>
        <c:ser>
          <c:idx val="8"/>
          <c:order val="8"/>
          <c:tx>
            <c:strRef>
              <c:f>'신코 222'!$A$15:$H$15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222'!$I$15:$AB$15</c:f>
              <c:numCache>
                <c:formatCode>General</c:formatCode>
                <c:ptCount val="20"/>
                <c:pt idx="7">
                  <c:v>0</c:v>
                </c:pt>
                <c:pt idx="10" formatCode="_(* #,##0_);_(* \(#,##0\);_(* &quot;-&quot;_);_(@_)">
                  <c:v>64460677.519999996</c:v>
                </c:pt>
                <c:pt idx="11" formatCode="_(* #,##0_);_(* \(#,##0\);_(* &quot;-&quot;_);_(@_)">
                  <c:v>412702960</c:v>
                </c:pt>
                <c:pt idx="12" formatCode="_(* #,##0_);_(* \(#,##0\);_(* &quot;-&quot;_);_(@_)">
                  <c:v>36437575</c:v>
                </c:pt>
                <c:pt idx="13" formatCode="_(* #,##0_);_(* \(#,##0\);_(* &quot;-&quot;_);_(@_)">
                  <c:v>109817251</c:v>
                </c:pt>
                <c:pt idx="14" formatCode="_(* #,##0_);_(* \(#,##0\);_(* &quot;-&quot;_);_(@_)">
                  <c:v>2413229</c:v>
                </c:pt>
                <c:pt idx="15" formatCode="_(* #,##0_);_(* \(#,##0\);_(* &quot;-&quot;_);_(@_)">
                  <c:v>349146</c:v>
                </c:pt>
                <c:pt idx="16" formatCode="_(* #,##0_);_(* \(#,##0\);_(* &quot;-&quot;_);_(@_)">
                  <c:v>561720161</c:v>
                </c:pt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ED-460A-B0AF-BC27B91D951C}"/>
            </c:ext>
          </c:extLst>
        </c:ser>
        <c:ser>
          <c:idx val="9"/>
          <c:order val="9"/>
          <c:tx>
            <c:strRef>
              <c:f>'신코 222'!$A$16:$H$16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222'!$I$16:$AB$16</c:f>
              <c:numCache>
                <c:formatCode>General</c:formatCode>
                <c:ptCount val="20"/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ED-460A-B0AF-BC27B91D951C}"/>
            </c:ext>
          </c:extLst>
        </c:ser>
        <c:ser>
          <c:idx val="10"/>
          <c:order val="10"/>
          <c:tx>
            <c:strRef>
              <c:f>'신코 222'!$A$17:$H$17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222'!$I$17:$AB$17</c:f>
              <c:numCache>
                <c:formatCode>General</c:formatCode>
                <c:ptCount val="20"/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ED-460A-B0AF-BC27B91D951C}"/>
            </c:ext>
          </c:extLst>
        </c:ser>
        <c:ser>
          <c:idx val="11"/>
          <c:order val="11"/>
          <c:tx>
            <c:strRef>
              <c:f>'신코 222'!$A$18:$H$18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222'!$I$18:$AB$18</c:f>
              <c:numCache>
                <c:formatCode>General</c:formatCode>
                <c:ptCount val="20"/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ED-460A-B0AF-BC27B91D951C}"/>
            </c:ext>
          </c:extLst>
        </c:ser>
        <c:ser>
          <c:idx val="12"/>
          <c:order val="12"/>
          <c:tx>
            <c:strRef>
              <c:f>'신코 222'!$A$19:$H$19</c:f>
              <c:strCache>
                <c:ptCount val="8"/>
                <c:pt idx="0">
                  <c:v>              증   빙   첨   부   란               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222'!$I$19:$AB$19</c:f>
              <c:numCache>
                <c:formatCode>General</c:formatCode>
                <c:ptCount val="20"/>
                <c:pt idx="7">
                  <c:v>0</c:v>
                </c:pt>
                <c:pt idx="8" formatCode="m&quot;/&quot;d;@">
                  <c:v>46054</c:v>
                </c:pt>
                <c:pt idx="9">
                  <c:v>9.3289000000000009</c:v>
                </c:pt>
                <c:pt idx="10" formatCode="_(* #,##0_);_(* \(#,##0\);_(* &quot;-&quot;_);_(@_)">
                  <c:v>20344248</c:v>
                </c:pt>
                <c:pt idx="11" formatCode="_(* #,##0_);_(* \(#,##0\);_(* &quot;-&quot;_);_(@_)">
                  <c:v>138418146</c:v>
                </c:pt>
                <c:pt idx="12" formatCode="_(* #,##0_);_(* \(#,##0\);_(* &quot;-&quot;_);_(@_)">
                  <c:v>12201066</c:v>
                </c:pt>
                <c:pt idx="13" formatCode="_(* #,##0_);_(* \(#,##0\);_(* &quot;-&quot;_);_(@_)">
                  <c:v>38484587</c:v>
                </c:pt>
                <c:pt idx="14" formatCode="_(* #,##0_);_(* \(#,##0\);_(* &quot;-&quot;_);_(@_)">
                  <c:v>278076</c:v>
                </c:pt>
                <c:pt idx="15" formatCode="_(* #,##0_);_(* \(#,##0\);_(* &quot;-&quot;_);_(@_)">
                  <c:v>407580</c:v>
                </c:pt>
                <c:pt idx="16" formatCode="_(* #,##0_);_(* \(#,##0\);_(* &quot;-&quot;_);_(@_)">
                  <c:v>189789455</c:v>
                </c:pt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ED-460A-B0AF-BC27B91D951C}"/>
            </c:ext>
          </c:extLst>
        </c:ser>
        <c:ser>
          <c:idx val="13"/>
          <c:order val="13"/>
          <c:tx>
            <c:strRef>
              <c:f>'신코 222'!$A$20:$H$20</c:f>
              <c:strCache>
                <c:ptCount val="8"/>
                <c:pt idx="0">
                  <c:v>              증   빙   첨   부   란                </c:v>
                </c:pt>
                <c:pt idx="2">
                  <c:v>세 금 계 산 서 확 인 필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222'!$I$20:$AB$20</c:f>
              <c:numCache>
                <c:formatCode>General</c:formatCode>
                <c:ptCount val="20"/>
                <c:pt idx="6">
                  <c:v>0</c:v>
                </c:pt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6ED-460A-B0AF-BC27B91D951C}"/>
            </c:ext>
          </c:extLst>
        </c:ser>
        <c:ser>
          <c:idx val="14"/>
          <c:order val="14"/>
          <c:tx>
            <c:strRef>
              <c:f>'신코 222'!$A$21:$H$21</c:f>
              <c:strCache>
                <c:ptCount val="8"/>
                <c:pt idx="0">
                  <c:v>              증   빙   첨   부   란                </c:v>
                </c:pt>
                <c:pt idx="2">
                  <c:v>사업자등록번호</c:v>
                </c:pt>
                <c:pt idx="6">
                  <c:v>―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222'!$I$21:$AB$21</c:f>
              <c:numCache>
                <c:formatCode>General</c:formatCode>
                <c:ptCount val="20"/>
                <c:pt idx="1">
                  <c:v>0</c:v>
                </c:pt>
                <c:pt idx="17">
                  <c:v>0</c:v>
                </c:pt>
                <c:pt idx="18" formatCode="_(* #,##0_);_(* \(#,##0\);_(* &quot;-&quot;_);_(@_)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6ED-460A-B0AF-BC27B91D951C}"/>
            </c:ext>
          </c:extLst>
        </c:ser>
        <c:ser>
          <c:idx val="15"/>
          <c:order val="15"/>
          <c:tx>
            <c:strRef>
              <c:f>'신코 222'!$A$22:$H$22</c:f>
              <c:strCache>
                <c:ptCount val="8"/>
                <c:pt idx="0">
                  <c:v>              증   빙   첨   부   란                </c:v>
                </c:pt>
                <c:pt idx="2">
                  <c:v>상          호</c:v>
                </c:pt>
                <c:pt idx="4">
                  <c:v>신코</c:v>
                </c:pt>
                <c:pt idx="6">
                  <c:v>―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222'!$I$22:$AB$22</c:f>
              <c:numCache>
                <c:formatCode>General</c:formatCode>
                <c:ptCount val="20"/>
                <c:pt idx="0">
                  <c:v>0</c:v>
                </c:pt>
                <c:pt idx="16" formatCode="_(* #,##0_);_(* \(#,##0\);_(* &quot;-&quot;_);_(@_)">
                  <c:v>561720161</c:v>
                </c:pt>
                <c:pt idx="18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6ED-460A-B0AF-BC27B91D951C}"/>
            </c:ext>
          </c:extLst>
        </c:ser>
        <c:ser>
          <c:idx val="16"/>
          <c:order val="16"/>
          <c:tx>
            <c:strRef>
              <c:f>'신코 222'!$A$23:$H$23</c:f>
              <c:strCache>
                <c:ptCount val="8"/>
                <c:pt idx="0">
                  <c:v>              증   빙   첨   부   란                </c:v>
                </c:pt>
                <c:pt idx="2">
                  <c:v>공  급  가  액</c:v>
                </c:pt>
                <c:pt idx="4">
                  <c:v>₩561,720,161</c:v>
                </c:pt>
                <c:pt idx="6">
                  <c:v>―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222'!$I$23:$AB$23</c:f>
              <c:numCache>
                <c:formatCode>General</c:formatCode>
                <c:ptCount val="20"/>
                <c:pt idx="0">
                  <c:v>0</c:v>
                </c:pt>
                <c:pt idx="18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6ED-460A-B0AF-BC27B91D951C}"/>
            </c:ext>
          </c:extLst>
        </c:ser>
        <c:ser>
          <c:idx val="17"/>
          <c:order val="17"/>
          <c:tx>
            <c:strRef>
              <c:f>'신코 222'!$A$24:$H$24</c:f>
              <c:strCache>
                <c:ptCount val="8"/>
                <c:pt idx="0">
                  <c:v>              증   빙   첨   부   란                </c:v>
                </c:pt>
                <c:pt idx="2">
                  <c:v>발  행  일  자</c:v>
                </c:pt>
                <c:pt idx="4">
                  <c:v>₩561,720,161</c:v>
                </c:pt>
                <c:pt idx="6">
                  <c:v>―</c:v>
                </c:pt>
                <c:pt idx="7">
                  <c:v>합 계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'신코 222'!$I$24:$AB$24</c:f>
              <c:numCache>
                <c:formatCode>General</c:formatCode>
                <c:ptCount val="20"/>
                <c:pt idx="0" formatCode="&quot;₩&quot;#,##0">
                  <c:v>561720161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6ED-460A-B0AF-BC27B91D9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698464"/>
        <c:axId val="941695104"/>
      </c:barChart>
      <c:catAx>
        <c:axId val="94169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1695104"/>
        <c:crosses val="autoZero"/>
        <c:auto val="1"/>
        <c:lblAlgn val="ctr"/>
        <c:lblOffset val="100"/>
        <c:noMultiLvlLbl val="0"/>
      </c:catAx>
      <c:valAx>
        <c:axId val="9416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169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D94EDE-2B73-4979-85E7-042019685529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3438524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D5D640D-13BA-4D68-9670-221707AEAC41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282692F1-344A-47B2-A02C-4F937EC07F2C}"/>
            </a:ext>
          </a:extLst>
        </xdr:cNvPr>
        <xdr:cNvGrpSpPr/>
      </xdr:nvGrpSpPr>
      <xdr:grpSpPr>
        <a:xfrm>
          <a:off x="3438524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36961574-11DE-0B7B-A46A-5F32E385085A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977DC23D-C2DC-2CA4-2F2B-5BF4DC16967D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C06BEAA3-CC8B-A8AD-2E13-DFC00317F08A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438524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41489FFB-28A0-4230-AAFE-E92FB815F369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FCAED9F-334E-4BF2-8C02-BEE9C91CC8B2}"/>
            </a:ext>
          </a:extLst>
        </xdr:cNvPr>
        <xdr:cNvGrpSpPr/>
      </xdr:nvGrpSpPr>
      <xdr:grpSpPr>
        <a:xfrm>
          <a:off x="3474243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D4576DC3-F24B-7300-DD4A-DCA068E1D451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E64AF646-1C62-F1C0-3E87-B5B10E3BF813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D18E4E-4163-6D36-DB86-C742F22404AE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3470274" y="7829564"/>
          <a:ext cx="669925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7CBD3F94-2287-4774-93AA-B57559332012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E129F83F-D989-4DDF-A01B-2E0EC9E2846B}"/>
            </a:ext>
          </a:extLst>
        </xdr:cNvPr>
        <xdr:cNvGrpSpPr/>
      </xdr:nvGrpSpPr>
      <xdr:grpSpPr>
        <a:xfrm>
          <a:off x="3462337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341202DA-2CD7-6A7F-FD4D-FA081B074E25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AEEED4D8-38AE-C355-30B7-FB7B7E51E33D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68D4468A-93CF-2A18-7167-0C5AC59BAACA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48759BDF-AD28-43D3-919F-044DB80F8557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A2039BA2-28F1-4D94-AAA0-676A21BBB4A1}"/>
            </a:ext>
          </a:extLst>
        </xdr:cNvPr>
        <xdr:cNvGrpSpPr/>
      </xdr:nvGrpSpPr>
      <xdr:grpSpPr>
        <a:xfrm>
          <a:off x="3438524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1D149E07-5D34-042B-E164-FE4A33A5EB36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E83244D0-EADC-A2A7-0AFB-0BC1C929166B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BE4CBC97-266C-1BA1-3F4D-D61D98E15283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654809CA-BB63-4053-AB5E-78D80AB591C7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4B453EFE-D136-4C10-953B-60666EF213B9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F7C22CEA-D4CB-D1B9-2AD9-68A43488112B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BFAB89E-8365-7280-503B-74C1296F2BA1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57CE5577-3313-D99B-3406-7195DB711995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7AACD6F-52E8-4B5E-A00D-B5371D2F026B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55C3EB17-EACA-451C-8925-9451463D5267}"/>
            </a:ext>
          </a:extLst>
        </xdr:cNvPr>
        <xdr:cNvGrpSpPr/>
      </xdr:nvGrpSpPr>
      <xdr:grpSpPr>
        <a:xfrm>
          <a:off x="3438524" y="8004189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1D03A86-86FD-7AE0-A981-CED361DCD569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8478BC6C-FC39-5733-E26A-6FF9E75FB173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2427CBB1-0F88-D85B-009E-C667BACF9C24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5743535-3483-403A-B2E1-3A02A0F8EC4B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26</xdr:row>
      <xdr:rowOff>50814</xdr:rowOff>
    </xdr:from>
    <xdr:to>
      <xdr:col>8</xdr:col>
      <xdr:colOff>187324</xdr:colOff>
      <xdr:row>26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B9D176B0-7412-4162-9D69-F5CFEAD20182}"/>
            </a:ext>
          </a:extLst>
        </xdr:cNvPr>
        <xdr:cNvGrpSpPr/>
      </xdr:nvGrpSpPr>
      <xdr:grpSpPr>
        <a:xfrm>
          <a:off x="3438524" y="7899414"/>
          <a:ext cx="663575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A9F1D565-1C0F-C5E0-8085-E34E5B647D5E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62CB07E5-EEA0-D799-08FB-79CCCA477E92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2937EBEC-B0BA-A1F5-E1F0-4FA6C26FC24C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54429</xdr:colOff>
          <xdr:row>10</xdr:row>
          <xdr:rowOff>217714</xdr:rowOff>
        </xdr:from>
        <xdr:to>
          <xdr:col>13</xdr:col>
          <xdr:colOff>503464</xdr:colOff>
          <xdr:row>15</xdr:row>
          <xdr:rowOff>285749</xdr:rowOff>
        </xdr:to>
        <xdr:pic>
          <xdr:nvPicPr>
            <xdr:cNvPr id="11" name="그림 10">
              <a:extLst>
                <a:ext uri="{FF2B5EF4-FFF2-40B4-BE49-F238E27FC236}">
                  <a16:creationId xmlns:a16="http://schemas.microsoft.com/office/drawing/2014/main" id="{3D6864D6-84D7-3EE4-C271-96C498E4B6B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8:$W$11" spid="_x0000_s64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4429" y="3156857"/>
              <a:ext cx="6898821" cy="156482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CD735031-8C4C-4DF8-ADA0-24A4D27246E3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3B82619C-0AE1-4F91-88B3-888D18F25C47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28511C66-031B-123D-B7E8-3E9F2FFFCE9B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52C2FB3F-848A-3CA7-E976-2F46A2658E4E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A6E1BDC5-EDCE-7A62-A2C1-B30F5104F3B5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133600" y="2190750"/>
          <a:ext cx="2873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8E2EC066-6795-4A1E-ABF0-71982D8BF792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DFC09817-2F57-41D1-A8DF-0A9E33BB270B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768DDE98-F53C-FBB5-F4A3-30B482C1320E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30B90AA7-632F-2D6F-73D7-679E3046BBE1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57901DA3-1B9B-858F-7DD2-C2144B93422B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C275D9D7-0257-46DA-B158-812E05C492B1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E4AF3F4A-EA19-443A-B661-0B57A94739A8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86917069-9ED9-40FF-894D-12DC0FAB5944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8431EECA-EC35-49E0-82ED-4B29D9112FA5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26415918-5993-46AD-97AA-42A5D7D56CA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21275F09-FCF0-481F-B614-45054F2EEBE5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9584062A-9949-4BE1-98F5-0CCDA8C10016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7D6363EC-7A60-4930-A638-AE30EB5588D1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E6E811F-3C31-47CF-8B00-EDAE17DBBED0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45A60A41-7444-464A-DD0C-635F173DBDEF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56214B4B-08B2-10DB-E902-D305538850D7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BD30853B-C9C1-08B5-A0F0-1C8E79261833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AA803147-D752-4589-A766-7E02A7886279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30C926B-CBF3-4482-810C-0BC7D0D0C82B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85A839D7-7B9F-4CC3-AF23-97EC73BC5328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64B7A736-EE6A-DD95-27F8-7ED758734809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157CFE6D-A559-5B89-5116-1852EAD36532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D5EEAA47-90BD-48F4-A7D0-FE28D363A506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85A3731-3BC6-41D4-ABD8-49455E21C7DB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876D8642-A95A-4857-965C-683AB140F734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73815B-8217-430E-AC50-E79B959FEA8C}"/>
            </a:ext>
          </a:extLst>
        </xdr:cNvPr>
        <xdr:cNvGrpSpPr/>
      </xdr:nvGrpSpPr>
      <xdr:grpSpPr>
        <a:xfrm>
          <a:off x="3438524" y="7694627"/>
          <a:ext cx="65405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C876EEDA-AEA0-2AA5-30D8-84C1CB093DA9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11B1E4AF-23A8-F201-4725-033FA1B6C017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C57B70C8-8BD6-AAAC-C4C6-88B111477474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CE944AF8-62C7-4037-B39C-7B7B7E76B902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342899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3428999" y="7694627"/>
          <a:ext cx="592138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>
          <a:off x="2130425" y="21653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EB775908-AA21-45AC-8CBD-852B232B8B86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9F9785D-0042-4FDB-BBA4-6A0217DC4EB5}"/>
            </a:ext>
          </a:extLst>
        </xdr:cNvPr>
        <xdr:cNvGrpSpPr/>
      </xdr:nvGrpSpPr>
      <xdr:grpSpPr>
        <a:xfrm>
          <a:off x="3428999" y="7594614"/>
          <a:ext cx="59690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BE00E44A-544F-4211-A08C-0823779E7614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7C500312-7FB5-4F53-A8D9-A2986D182AB8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55115D97-B2D9-4804-81E3-33739DDF3CA3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9B6FDD4E-741D-4267-8621-A123B18BCD28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F3182D87-612E-4442-8DE2-C916554A480C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280146</xdr:rowOff>
        </xdr:from>
        <xdr:to>
          <xdr:col>14</xdr:col>
          <xdr:colOff>8761</xdr:colOff>
          <xdr:row>15</xdr:row>
          <xdr:rowOff>44823</xdr:rowOff>
        </xdr:to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E1E1004E-DAD1-3584-6CF3-1798A5A80D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9:$W$11" spid="_x0000_s156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2958352"/>
              <a:ext cx="6945202" cy="15800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2C966C78-0C70-46F7-B4BD-B729E8BFB7F9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5368F49-A42E-4784-BA67-FBB226A965FF}"/>
            </a:ext>
          </a:extLst>
        </xdr:cNvPr>
        <xdr:cNvGrpSpPr/>
      </xdr:nvGrpSpPr>
      <xdr:grpSpPr>
        <a:xfrm>
          <a:off x="3423191" y="7543040"/>
          <a:ext cx="597365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207A1F1C-573B-3B1F-48F6-984F2897650D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B0C26AC8-E1CC-E112-66B1-DC71D34E5D4F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3356899C-FBDC-DDA5-10FD-598C181DAD34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E17E94E9-6CEE-4252-989B-B26CA136128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B74078FF-83A1-42CF-9445-3030485C3A9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2D9A5516-72F4-4759-9B2C-0FCDE2ACD754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6E95104-5F2E-4AE9-BA16-2A55CFBAC6DE}"/>
            </a:ext>
          </a:extLst>
        </xdr:cNvPr>
        <xdr:cNvGrpSpPr/>
      </xdr:nvGrpSpPr>
      <xdr:grpSpPr>
        <a:xfrm>
          <a:off x="3428999" y="7694627"/>
          <a:ext cx="592138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FB9EE063-54A4-4466-BAD4-D88334BD2B7D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6F9C6363-E41E-4428-A422-58247D2DEDBC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D48A6F13-A7D6-4892-B53E-7C99C6FFD37D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D4812D79-6A7D-4F6A-A36E-1DF5304D710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398C5227-E008-4B47-92C3-A13D4AAC3F94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3428999" y="7594614"/>
          <a:ext cx="596900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46462</xdr:colOff>
      <xdr:row>0</xdr:row>
      <xdr:rowOff>34847</xdr:rowOff>
    </xdr:from>
    <xdr:to>
      <xdr:col>37</xdr:col>
      <xdr:colOff>107361</xdr:colOff>
      <xdr:row>7</xdr:row>
      <xdr:rowOff>274686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007C7D5-D2E9-BD26-6DCC-81173E71F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02560" y="34847"/>
          <a:ext cx="5229955" cy="2295845"/>
        </a:xfrm>
        <a:prstGeom prst="rect">
          <a:avLst/>
        </a:prstGeom>
      </xdr:spPr>
    </xdr:pic>
    <xdr:clientData/>
  </xdr:twoCellAnchor>
  <xdr:twoCellAnchor editAs="oneCell">
    <xdr:from>
      <xdr:col>31</xdr:col>
      <xdr:colOff>441402</xdr:colOff>
      <xdr:row>27</xdr:row>
      <xdr:rowOff>151006</xdr:rowOff>
    </xdr:from>
    <xdr:to>
      <xdr:col>42</xdr:col>
      <xdr:colOff>1137917</xdr:colOff>
      <xdr:row>54</xdr:row>
      <xdr:rowOff>69695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71524A1-83F4-462D-83DF-E3FCC640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20548" y="8340183"/>
          <a:ext cx="9768497" cy="81659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56028</xdr:colOff>
          <xdr:row>8</xdr:row>
          <xdr:rowOff>280147</xdr:rowOff>
        </xdr:from>
        <xdr:to>
          <xdr:col>13</xdr:col>
          <xdr:colOff>493058</xdr:colOff>
          <xdr:row>13</xdr:row>
          <xdr:rowOff>190500</xdr:rowOff>
        </xdr:to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24F61A60-43EB-CFB9-CAD8-825ED85E7A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9:$Y$12" spid="_x0000_s1770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028" y="2655794"/>
              <a:ext cx="6801971" cy="142314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A2F8391-E316-5E45-78E1-88236DBAD9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DB215598-BD98-40FD-A0D1-9466CD8798AD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3C78A2A2-2866-4E77-9A5E-CAD3212AD3CB}"/>
            </a:ext>
          </a:extLst>
        </xdr:cNvPr>
        <xdr:cNvGrpSpPr/>
      </xdr:nvGrpSpPr>
      <xdr:grpSpPr>
        <a:xfrm>
          <a:off x="3426198" y="7682020"/>
          <a:ext cx="604744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EB5F4867-E12B-173E-C6A2-D13AB20AB696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9CEFF44-6C96-483B-C4B7-7C9E80845317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61656F62-BB19-64A6-75B4-EFC81062CBB4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B6A3D47-67F4-487C-8C09-AF6C5F3B04A8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84961E97-B816-462A-ABAA-84E81EC82E56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46462</xdr:colOff>
      <xdr:row>0</xdr:row>
      <xdr:rowOff>34847</xdr:rowOff>
    </xdr:from>
    <xdr:to>
      <xdr:col>37</xdr:col>
      <xdr:colOff>107361</xdr:colOff>
      <xdr:row>7</xdr:row>
      <xdr:rowOff>274686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E685B30-463B-406E-9607-FE701BF26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7487" y="34847"/>
          <a:ext cx="5242499" cy="2297239"/>
        </a:xfrm>
        <a:prstGeom prst="rect">
          <a:avLst/>
        </a:prstGeom>
      </xdr:spPr>
    </xdr:pic>
    <xdr:clientData/>
  </xdr:twoCellAnchor>
  <xdr:twoCellAnchor editAs="oneCell">
    <xdr:from>
      <xdr:col>31</xdr:col>
      <xdr:colOff>441402</xdr:colOff>
      <xdr:row>27</xdr:row>
      <xdr:rowOff>151006</xdr:rowOff>
    </xdr:from>
    <xdr:to>
      <xdr:col>42</xdr:col>
      <xdr:colOff>1137917</xdr:colOff>
      <xdr:row>54</xdr:row>
      <xdr:rowOff>69695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BBBC2F8-507B-4322-9574-B80F1B28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82427" y="8380606"/>
          <a:ext cx="9773840" cy="822448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11205</xdr:colOff>
          <xdr:row>8</xdr:row>
          <xdr:rowOff>212912</xdr:rowOff>
        </xdr:from>
        <xdr:to>
          <xdr:col>14</xdr:col>
          <xdr:colOff>11205</xdr:colOff>
          <xdr:row>15</xdr:row>
          <xdr:rowOff>268941</xdr:rowOff>
        </xdr:to>
        <xdr:pic>
          <xdr:nvPicPr>
            <xdr:cNvPr id="13" name="그림 12">
              <a:extLst>
                <a:ext uri="{FF2B5EF4-FFF2-40B4-BE49-F238E27FC236}">
                  <a16:creationId xmlns:a16="http://schemas.microsoft.com/office/drawing/2014/main" id="{D5C821E5-8E76-ED34-39D2-F6DFD9E721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9:$Y$15" spid="_x0000_s2975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1205" y="2588559"/>
              <a:ext cx="6936441" cy="2286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57EA7598-744C-44A4-BEA8-1B29965DB9A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BB039DF0-516C-438B-A24D-20E90AC4DFEC}"/>
            </a:ext>
          </a:extLst>
        </xdr:cNvPr>
        <xdr:cNvGrpSpPr/>
      </xdr:nvGrpSpPr>
      <xdr:grpSpPr>
        <a:xfrm>
          <a:off x="3423191" y="7543040"/>
          <a:ext cx="597365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3B0642FA-2F39-0E99-43AD-6F03B232A393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A70F3C4E-DBE9-6482-A1B3-237D5193E3D5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6F787539-42B3-7918-68C8-BDEA46FD68E4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D4583A55-95AB-4F9D-AFA9-C5F27F9102F0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13F951F-9517-4BB4-A52B-0E3E8F1E00D6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46462</xdr:colOff>
      <xdr:row>0</xdr:row>
      <xdr:rowOff>34847</xdr:rowOff>
    </xdr:from>
    <xdr:to>
      <xdr:col>36</xdr:col>
      <xdr:colOff>107362</xdr:colOff>
      <xdr:row>7</xdr:row>
      <xdr:rowOff>274686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ABBCA3E-78A9-4666-9C61-F54AB292C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3012" y="34847"/>
          <a:ext cx="5242500" cy="2297239"/>
        </a:xfrm>
        <a:prstGeom prst="rect">
          <a:avLst/>
        </a:prstGeom>
      </xdr:spPr>
    </xdr:pic>
    <xdr:clientData/>
  </xdr:twoCellAnchor>
  <xdr:twoCellAnchor editAs="oneCell">
    <xdr:from>
      <xdr:col>30</xdr:col>
      <xdr:colOff>441402</xdr:colOff>
      <xdr:row>27</xdr:row>
      <xdr:rowOff>151006</xdr:rowOff>
    </xdr:from>
    <xdr:to>
      <xdr:col>41</xdr:col>
      <xdr:colOff>1137917</xdr:colOff>
      <xdr:row>54</xdr:row>
      <xdr:rowOff>69695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B43949E-1EEF-4F18-82E4-81210FF62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67952" y="8380606"/>
          <a:ext cx="9773840" cy="822448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55C3B124-BA62-420A-8D30-841D95D3D8D2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C538D67F-96BB-4F3B-BF25-9887D4BE2DD2}"/>
            </a:ext>
          </a:extLst>
        </xdr:cNvPr>
        <xdr:cNvGrpSpPr/>
      </xdr:nvGrpSpPr>
      <xdr:grpSpPr>
        <a:xfrm>
          <a:off x="3428999" y="7694627"/>
          <a:ext cx="592138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F0C2165F-4569-4B75-BFB4-B795EA0BE3C6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ACA6F1BC-32F8-428F-8E2B-B68D403D6706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814EEA4A-BBAC-4D46-B99F-54C5FC337EA3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DB1DF2BB-0E04-415A-9A2D-678AF79255CB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580A7AE6-6415-40FB-ADA8-E909FCDB7F4F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FED77E4-8D36-433A-9C30-17E829D770B7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333374</xdr:colOff>
      <xdr:row>25</xdr:row>
      <xdr:rowOff>50814</xdr:rowOff>
    </xdr:from>
    <xdr:to>
      <xdr:col>8</xdr:col>
      <xdr:colOff>187324</xdr:colOff>
      <xdr:row>25</xdr:row>
      <xdr:rowOff>304799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3A7514D4-BACD-4351-B493-FED2F0067550}"/>
            </a:ext>
          </a:extLst>
        </xdr:cNvPr>
        <xdr:cNvGrpSpPr/>
      </xdr:nvGrpSpPr>
      <xdr:grpSpPr>
        <a:xfrm>
          <a:off x="3428999" y="7694627"/>
          <a:ext cx="592138" cy="253985"/>
          <a:chOff x="7839075" y="5673972"/>
          <a:chExt cx="1381125" cy="184636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5C819D31-164B-4818-8C37-263FD38EEE2E}"/>
              </a:ext>
            </a:extLst>
          </xdr:cNvPr>
          <xdr:cNvCxnSpPr/>
        </xdr:nvCxnSpPr>
        <xdr:spPr>
          <a:xfrm>
            <a:off x="7839075" y="5769219"/>
            <a:ext cx="138112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97D7F9E7-0EAF-4B0B-B590-4B4EE033DE4B}"/>
              </a:ext>
            </a:extLst>
          </xdr:cNvPr>
          <xdr:cNvCxnSpPr/>
        </xdr:nvCxnSpPr>
        <xdr:spPr>
          <a:xfrm flipH="1">
            <a:off x="8315325" y="5673972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24A6CB11-6F46-4948-9B0A-408334D9B7F4}"/>
              </a:ext>
            </a:extLst>
          </xdr:cNvPr>
          <xdr:cNvCxnSpPr/>
        </xdr:nvCxnSpPr>
        <xdr:spPr>
          <a:xfrm flipH="1">
            <a:off x="8382000" y="5687158"/>
            <a:ext cx="152400" cy="1714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935E0F77-53EC-4372-BB0D-059809DC746D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21EB351-DF36-4985-8BB8-01736E8251E2}"/>
            </a:ext>
          </a:extLst>
        </xdr:cNvPr>
        <xdr:cNvCxnSpPr/>
      </xdr:nvCxnSpPr>
      <xdr:spPr>
        <a:xfrm>
          <a:off x="2130425" y="2165350"/>
          <a:ext cx="28003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6"/>
  <sheetViews>
    <sheetView zoomScale="80" zoomScaleNormal="80" workbookViewId="0">
      <selection activeCell="E3" sqref="E3:F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6" width="9" style="1"/>
    <col min="17" max="17" width="16.375" style="1" bestFit="1" customWidth="1"/>
    <col min="18" max="18" width="14.125" style="1" bestFit="1" customWidth="1"/>
    <col min="19" max="20" width="13.375" style="1" bestFit="1" customWidth="1"/>
    <col min="21" max="21" width="12.125" style="1" bestFit="1" customWidth="1"/>
    <col min="22" max="22" width="9.125" style="1" bestFit="1" customWidth="1"/>
    <col min="23" max="16384" width="9" style="1"/>
  </cols>
  <sheetData>
    <row r="1" spans="1:24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4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4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4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4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4" ht="24" customHeight="1">
      <c r="A7" s="276" t="s">
        <v>6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4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4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K9" s="23"/>
      <c r="L9" s="28"/>
      <c r="M9" s="288"/>
      <c r="N9" s="289"/>
    </row>
    <row r="10" spans="1:24" ht="24" customHeight="1">
      <c r="A10" s="5"/>
      <c r="B10" s="131"/>
      <c r="C10" s="131"/>
      <c r="D10" s="131"/>
      <c r="E10" s="131"/>
      <c r="F10" s="131"/>
      <c r="G10" s="131"/>
      <c r="H10" s="132"/>
      <c r="I10" s="132"/>
      <c r="J10" s="132"/>
      <c r="K10" s="16"/>
      <c r="L10" s="107" t="s">
        <v>48</v>
      </c>
      <c r="M10" s="290"/>
      <c r="N10" s="291"/>
    </row>
    <row r="11" spans="1:24" ht="24" customHeight="1">
      <c r="A11" s="5"/>
      <c r="B11" s="4"/>
      <c r="C11" s="4"/>
      <c r="D11" s="4"/>
      <c r="E11" s="4"/>
      <c r="F11" s="4"/>
      <c r="G11" s="4"/>
      <c r="H11" s="4"/>
      <c r="I11" s="4"/>
      <c r="J11" s="4"/>
      <c r="L11" s="107" t="s">
        <v>46</v>
      </c>
      <c r="M11" s="290"/>
      <c r="N11" s="291"/>
    </row>
    <row r="12" spans="1:24" ht="24" customHeight="1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107" t="s">
        <v>56</v>
      </c>
      <c r="M12" s="290"/>
      <c r="N12" s="291"/>
      <c r="Q12" s="17"/>
    </row>
    <row r="13" spans="1:24" ht="24" customHeight="1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107" t="s">
        <v>61</v>
      </c>
      <c r="M13" s="290"/>
      <c r="N13" s="291"/>
    </row>
    <row r="14" spans="1:24" ht="24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107" t="s">
        <v>65</v>
      </c>
      <c r="M14" s="290"/>
      <c r="N14" s="291"/>
      <c r="Q14" s="57"/>
      <c r="R14" s="57"/>
      <c r="U14" s="17"/>
      <c r="V14" s="17"/>
    </row>
    <row r="15" spans="1:24" ht="24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103" t="s">
        <v>74</v>
      </c>
      <c r="M15" s="292"/>
      <c r="N15" s="293"/>
      <c r="Q15" s="58"/>
      <c r="R15" s="58"/>
      <c r="U15" s="17"/>
      <c r="V15" s="17"/>
      <c r="W15" s="19"/>
      <c r="X15" s="19"/>
    </row>
    <row r="16" spans="1:24" ht="24" customHeight="1">
      <c r="A16" s="5"/>
      <c r="B16" s="4"/>
      <c r="C16" s="4"/>
      <c r="F16" s="4"/>
      <c r="G16" s="4"/>
      <c r="H16" s="4"/>
      <c r="I16" s="4"/>
      <c r="J16" s="4"/>
      <c r="K16" s="4"/>
      <c r="L16" s="1" t="s">
        <v>82</v>
      </c>
      <c r="M16" s="292">
        <v>45000000</v>
      </c>
      <c r="N16" s="293"/>
      <c r="Q16" s="17"/>
      <c r="R16" s="17"/>
      <c r="U16" s="17"/>
      <c r="V16" s="17"/>
    </row>
    <row r="17" spans="1:22" ht="24" customHeight="1">
      <c r="A17" s="5"/>
      <c r="B17" s="4"/>
      <c r="C17" s="4"/>
      <c r="F17" s="4"/>
      <c r="G17" s="4"/>
      <c r="H17" s="4"/>
      <c r="I17" s="4"/>
      <c r="J17" s="4"/>
      <c r="K17" s="4"/>
      <c r="N17" s="18"/>
      <c r="Q17" s="17"/>
      <c r="R17" s="17"/>
      <c r="U17" s="17"/>
      <c r="V17" s="17"/>
    </row>
    <row r="18" spans="1:22" ht="24" customHeight="1">
      <c r="A18" s="5"/>
      <c r="B18" s="4"/>
      <c r="C18" s="4"/>
      <c r="F18" s="4"/>
      <c r="G18" s="4"/>
      <c r="H18" s="4"/>
      <c r="I18" s="4"/>
      <c r="J18" s="4"/>
      <c r="K18" s="4"/>
      <c r="L18" s="16"/>
      <c r="M18" s="288"/>
      <c r="N18" s="289"/>
      <c r="Q18" s="17"/>
      <c r="R18" s="17"/>
      <c r="S18" s="17"/>
      <c r="T18" s="17"/>
      <c r="U18" s="19"/>
      <c r="V18" s="19"/>
    </row>
    <row r="19" spans="1:22" ht="24" customHeight="1">
      <c r="A19" s="5"/>
      <c r="B19" s="4"/>
      <c r="C19" s="4"/>
      <c r="F19" s="4"/>
      <c r="G19" s="4"/>
      <c r="H19" s="4"/>
      <c r="I19" s="4"/>
      <c r="J19" s="4"/>
      <c r="K19" s="4"/>
      <c r="L19" s="16"/>
      <c r="M19" s="80"/>
      <c r="N19" s="81"/>
      <c r="Q19" s="17"/>
      <c r="R19" s="17"/>
      <c r="S19" s="19"/>
      <c r="T19" s="19"/>
    </row>
    <row r="20" spans="1:22" ht="24" customHeight="1">
      <c r="A20" s="8"/>
      <c r="B20" s="9"/>
      <c r="C20" s="9"/>
      <c r="D20" s="10"/>
      <c r="E20" s="10"/>
      <c r="F20" s="9"/>
      <c r="G20" s="9"/>
      <c r="H20" s="9"/>
      <c r="I20" s="9"/>
      <c r="J20" s="9"/>
      <c r="K20" s="9"/>
      <c r="L20" s="9"/>
      <c r="M20" s="9"/>
      <c r="N20" s="11"/>
      <c r="Q20" s="17"/>
      <c r="R20" s="17"/>
    </row>
    <row r="21" spans="1:22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  <c r="Q21" s="19"/>
      <c r="R21" s="19"/>
    </row>
    <row r="22" spans="1:22" ht="24" customHeight="1">
      <c r="A22" s="8"/>
      <c r="B22" s="9"/>
      <c r="C22" s="260" t="s">
        <v>8</v>
      </c>
      <c r="D22" s="261"/>
      <c r="E22" s="262">
        <v>261</v>
      </c>
      <c r="F22" s="263"/>
      <c r="G22" s="12" t="s">
        <v>23</v>
      </c>
      <c r="H22" s="264">
        <v>86</v>
      </c>
      <c r="I22" s="263"/>
      <c r="J22" s="12" t="s">
        <v>23</v>
      </c>
      <c r="K22" s="264" t="s">
        <v>77</v>
      </c>
      <c r="L22" s="263"/>
      <c r="M22" s="265"/>
      <c r="N22" s="11"/>
      <c r="U22" s="19"/>
      <c r="V22" s="19"/>
    </row>
    <row r="23" spans="1:22" ht="24" customHeight="1">
      <c r="A23" s="8"/>
      <c r="B23" s="9"/>
      <c r="C23" s="260" t="s">
        <v>9</v>
      </c>
      <c r="D23" s="261"/>
      <c r="E23" s="266" t="s">
        <v>81</v>
      </c>
      <c r="F23" s="267"/>
      <c r="G23" s="267"/>
      <c r="H23" s="268"/>
      <c r="I23" s="261" t="s">
        <v>10</v>
      </c>
      <c r="J23" s="261"/>
      <c r="K23" s="269" t="str">
        <f>K22</f>
        <v>01821</v>
      </c>
      <c r="L23" s="263"/>
      <c r="M23" s="265"/>
      <c r="N23" s="11"/>
    </row>
    <row r="24" spans="1:22" ht="24" customHeight="1">
      <c r="A24" s="8"/>
      <c r="B24" s="9"/>
      <c r="C24" s="260" t="s">
        <v>11</v>
      </c>
      <c r="D24" s="261"/>
      <c r="E24" s="232">
        <f>SUM(M10:N16)</f>
        <v>45000000</v>
      </c>
      <c r="F24" s="233"/>
      <c r="G24" s="233"/>
      <c r="H24" s="270"/>
      <c r="I24" s="261" t="s">
        <v>12</v>
      </c>
      <c r="J24" s="261"/>
      <c r="K24" s="232">
        <f>INT(E24*0.1)</f>
        <v>4500000</v>
      </c>
      <c r="L24" s="233"/>
      <c r="M24" s="234"/>
      <c r="N24" s="11"/>
      <c r="P24" s="67" t="s">
        <v>57</v>
      </c>
    </row>
    <row r="25" spans="1:22" ht="24" customHeight="1">
      <c r="A25" s="8"/>
      <c r="B25" s="9"/>
      <c r="C25" s="252" t="s">
        <v>13</v>
      </c>
      <c r="D25" s="253"/>
      <c r="E25" s="254">
        <v>45134</v>
      </c>
      <c r="F25" s="254"/>
      <c r="G25" s="254"/>
      <c r="H25" s="7" t="s">
        <v>14</v>
      </c>
      <c r="I25" s="294">
        <f>E24+K24</f>
        <v>49500000</v>
      </c>
      <c r="J25" s="295"/>
      <c r="K25" s="295"/>
      <c r="L25" s="295"/>
      <c r="M25" s="296"/>
      <c r="N25" s="11"/>
    </row>
    <row r="26" spans="1:22" ht="24" customHeight="1">
      <c r="A26" s="8"/>
      <c r="B26" s="15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</row>
    <row r="27" spans="1:22" ht="27" customHeight="1">
      <c r="A27" s="258" t="s">
        <v>15</v>
      </c>
      <c r="B27" s="259"/>
      <c r="C27" s="297" t="str">
        <f>NUMBERSTRING(I25,1)</f>
        <v>사천구백오십만</v>
      </c>
      <c r="D27" s="297"/>
      <c r="E27" s="297"/>
      <c r="F27" s="297"/>
      <c r="G27" s="13"/>
      <c r="H27" s="13"/>
      <c r="I27" s="13"/>
      <c r="J27" s="13" t="s">
        <v>16</v>
      </c>
      <c r="K27" s="235">
        <f>I25</f>
        <v>49500000</v>
      </c>
      <c r="L27" s="235"/>
      <c r="M27" s="235"/>
      <c r="N27" s="236"/>
    </row>
    <row r="28" spans="1:22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2" ht="27" customHeight="1">
      <c r="A29" s="237" t="s">
        <v>19</v>
      </c>
      <c r="B29" s="237"/>
      <c r="C29" s="237"/>
      <c r="D29" s="238" t="s">
        <v>51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2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2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2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2">
    <mergeCell ref="C22:D22"/>
    <mergeCell ref="E22:F22"/>
    <mergeCell ref="H22:I22"/>
    <mergeCell ref="K22:M22"/>
    <mergeCell ref="C23:D23"/>
    <mergeCell ref="E23:H23"/>
    <mergeCell ref="I23:J23"/>
    <mergeCell ref="K23:M23"/>
    <mergeCell ref="A30:C30"/>
    <mergeCell ref="D30:G30"/>
    <mergeCell ref="H30:J30"/>
    <mergeCell ref="K30:N30"/>
    <mergeCell ref="A29:C29"/>
    <mergeCell ref="D29:N29"/>
    <mergeCell ref="C24:D24"/>
    <mergeCell ref="A28:C28"/>
    <mergeCell ref="D28:I28"/>
    <mergeCell ref="J28:K28"/>
    <mergeCell ref="L28:N28"/>
    <mergeCell ref="C25:D25"/>
    <mergeCell ref="E25:G25"/>
    <mergeCell ref="I25:M25"/>
    <mergeCell ref="A27:B27"/>
    <mergeCell ref="C27:F27"/>
    <mergeCell ref="K27:N27"/>
    <mergeCell ref="E24:H24"/>
    <mergeCell ref="I24:J24"/>
    <mergeCell ref="K24:M24"/>
    <mergeCell ref="A1:N1"/>
    <mergeCell ref="A3:A5"/>
    <mergeCell ref="I3:I5"/>
    <mergeCell ref="A7:N8"/>
    <mergeCell ref="C21:M21"/>
    <mergeCell ref="M9:N9"/>
    <mergeCell ref="M10:N10"/>
    <mergeCell ref="M18:N18"/>
    <mergeCell ref="M15:N15"/>
    <mergeCell ref="M14:N14"/>
    <mergeCell ref="M12:N12"/>
    <mergeCell ref="M11:N11"/>
    <mergeCell ref="M13:N13"/>
    <mergeCell ref="M16:N16"/>
  </mergeCells>
  <phoneticPr fontId="2" type="noConversion"/>
  <pageMargins left="0.19685039370078741" right="0.19685039370078741" top="0.93" bottom="0.55118110236220474" header="0.31496062992125984" footer="0.31496062992125984"/>
  <pageSetup paperSize="9" orientation="portrait" r:id="rId1"/>
  <headerFooter>
    <oddFooter>&amp;C&amp;"윤명조,보통"&amp;11대  신  금  속  주  식  회  사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89D0-847B-4E78-94E1-7689A2C6090C}">
  <dimension ref="A1:X76"/>
  <sheetViews>
    <sheetView zoomScale="80" zoomScaleNormal="80" workbookViewId="0">
      <selection activeCell="Q10" sqref="Q10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6" width="9" style="1"/>
    <col min="17" max="17" width="16.375" style="1" bestFit="1" customWidth="1"/>
    <col min="18" max="18" width="14.125" style="1" bestFit="1" customWidth="1"/>
    <col min="19" max="20" width="13.375" style="1" bestFit="1" customWidth="1"/>
    <col min="21" max="21" width="12.125" style="1" bestFit="1" customWidth="1"/>
    <col min="22" max="22" width="9.125" style="1" bestFit="1" customWidth="1"/>
    <col min="23" max="16384" width="9" style="1"/>
  </cols>
  <sheetData>
    <row r="1" spans="1:24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4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150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4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4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4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4" ht="24" customHeight="1">
      <c r="A7" s="276" t="s">
        <v>6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4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4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K9" s="23"/>
      <c r="L9" s="28"/>
      <c r="M9" s="288"/>
      <c r="N9" s="289"/>
    </row>
    <row r="10" spans="1:24" ht="24" customHeight="1">
      <c r="A10" s="5"/>
      <c r="B10" s="131"/>
      <c r="C10" s="131"/>
      <c r="D10" s="131"/>
      <c r="E10" s="131"/>
      <c r="F10" s="131"/>
      <c r="G10" s="131"/>
      <c r="H10" s="132"/>
      <c r="I10" s="132"/>
      <c r="J10" s="132"/>
      <c r="K10" s="16"/>
      <c r="L10" s="107" t="s">
        <v>48</v>
      </c>
      <c r="M10" s="290">
        <f>Q10</f>
        <v>154117084</v>
      </c>
      <c r="N10" s="291"/>
      <c r="Q10" s="1">
        <v>154117084</v>
      </c>
    </row>
    <row r="11" spans="1:24" ht="24" customHeight="1">
      <c r="A11" s="5"/>
      <c r="B11" s="4"/>
      <c r="C11" s="4"/>
      <c r="D11" s="4"/>
      <c r="E11" s="4"/>
      <c r="F11" s="4"/>
      <c r="G11" s="4"/>
      <c r="H11" s="4"/>
      <c r="I11" s="4"/>
      <c r="J11" s="4"/>
      <c r="L11" s="107" t="s">
        <v>46</v>
      </c>
      <c r="M11" s="290">
        <f t="shared" ref="M11:M13" si="0">INT(Q11)</f>
        <v>98385670</v>
      </c>
      <c r="N11" s="291"/>
      <c r="Q11" s="1">
        <v>98385670</v>
      </c>
    </row>
    <row r="12" spans="1:24" ht="24" customHeight="1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107" t="s">
        <v>56</v>
      </c>
      <c r="M12" s="290">
        <f t="shared" si="0"/>
        <v>0</v>
      </c>
      <c r="N12" s="291"/>
      <c r="Q12" s="17"/>
    </row>
    <row r="13" spans="1:24" ht="24" customHeight="1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107" t="s">
        <v>61</v>
      </c>
      <c r="M13" s="290">
        <f t="shared" si="0"/>
        <v>0</v>
      </c>
      <c r="N13" s="291"/>
    </row>
    <row r="14" spans="1:24" ht="24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107" t="s">
        <v>76</v>
      </c>
      <c r="M14" s="290">
        <f>INT(Q14)</f>
        <v>199166536</v>
      </c>
      <c r="N14" s="291"/>
      <c r="Q14" s="58">
        <v>199166536.49974185</v>
      </c>
      <c r="R14" s="57"/>
      <c r="U14" s="17"/>
      <c r="V14" s="17"/>
    </row>
    <row r="15" spans="1:24" ht="24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103"/>
      <c r="M15" s="292"/>
      <c r="N15" s="293"/>
      <c r="R15" s="58"/>
      <c r="U15" s="17"/>
      <c r="V15" s="17"/>
      <c r="W15" s="19"/>
      <c r="X15" s="19"/>
    </row>
    <row r="16" spans="1:24" ht="24" customHeight="1">
      <c r="A16" s="5"/>
      <c r="B16" s="4"/>
      <c r="C16" s="4"/>
      <c r="F16" s="4"/>
      <c r="G16" s="4"/>
      <c r="H16" s="4"/>
      <c r="I16" s="4"/>
      <c r="J16" s="4"/>
      <c r="K16" s="4"/>
      <c r="M16" s="292"/>
      <c r="N16" s="293"/>
      <c r="Q16" s="17"/>
      <c r="R16" s="17"/>
      <c r="U16" s="17"/>
      <c r="V16" s="17"/>
    </row>
    <row r="17" spans="1:22" ht="24" customHeight="1">
      <c r="A17" s="5"/>
      <c r="B17" s="4"/>
      <c r="C17" s="4"/>
      <c r="F17" s="4"/>
      <c r="G17" s="4"/>
      <c r="H17" s="4"/>
      <c r="I17" s="4"/>
      <c r="J17" s="4"/>
      <c r="K17" s="4"/>
      <c r="N17" s="18"/>
      <c r="Q17" s="17"/>
      <c r="R17" s="17"/>
      <c r="U17" s="17"/>
      <c r="V17" s="17"/>
    </row>
    <row r="18" spans="1:22" ht="24" customHeight="1">
      <c r="A18" s="5"/>
      <c r="B18" s="4"/>
      <c r="C18" s="4"/>
      <c r="F18" s="4"/>
      <c r="G18" s="4"/>
      <c r="H18" s="4"/>
      <c r="I18" s="4"/>
      <c r="J18" s="4"/>
      <c r="K18" s="4"/>
      <c r="L18" s="16"/>
      <c r="M18" s="288"/>
      <c r="N18" s="289"/>
      <c r="Q18" s="17"/>
      <c r="R18" s="17"/>
      <c r="S18" s="17"/>
      <c r="T18" s="17"/>
      <c r="U18" s="19"/>
      <c r="V18" s="19"/>
    </row>
    <row r="19" spans="1:22" ht="24" customHeight="1">
      <c r="A19" s="5"/>
      <c r="B19" s="4"/>
      <c r="C19" s="4"/>
      <c r="F19" s="4"/>
      <c r="G19" s="4"/>
      <c r="H19" s="4"/>
      <c r="I19" s="4"/>
      <c r="J19" s="4"/>
      <c r="K19" s="4"/>
      <c r="L19" s="16"/>
      <c r="M19" s="80"/>
      <c r="N19" s="81"/>
      <c r="Q19" s="17"/>
      <c r="R19" s="17"/>
      <c r="S19" s="19"/>
      <c r="T19" s="19"/>
    </row>
    <row r="20" spans="1:22" ht="24" customHeight="1">
      <c r="A20" s="8"/>
      <c r="B20" s="9"/>
      <c r="C20" s="9"/>
      <c r="D20" s="10"/>
      <c r="E20" s="10"/>
      <c r="F20" s="9"/>
      <c r="G20" s="9"/>
      <c r="H20" s="9"/>
      <c r="I20" s="9"/>
      <c r="J20" s="9"/>
      <c r="K20" s="9"/>
      <c r="L20" s="9"/>
      <c r="M20" s="9"/>
      <c r="N20" s="11"/>
      <c r="Q20" s="17"/>
      <c r="R20" s="17"/>
    </row>
    <row r="21" spans="1:22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  <c r="Q21" s="19"/>
      <c r="R21" s="19"/>
    </row>
    <row r="22" spans="1:22" ht="24" customHeight="1">
      <c r="A22" s="8"/>
      <c r="B22" s="9"/>
      <c r="C22" s="260" t="s">
        <v>8</v>
      </c>
      <c r="D22" s="261"/>
      <c r="E22" s="262">
        <v>310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12926</v>
      </c>
      <c r="L22" s="263"/>
      <c r="M22" s="265"/>
      <c r="N22" s="11"/>
      <c r="U22" s="19"/>
      <c r="V22" s="19"/>
    </row>
    <row r="23" spans="1:22" ht="24" customHeight="1">
      <c r="A23" s="8"/>
      <c r="B23" s="9"/>
      <c r="C23" s="260" t="s">
        <v>9</v>
      </c>
      <c r="D23" s="261"/>
      <c r="E23" s="266" t="s">
        <v>151</v>
      </c>
      <c r="F23" s="267"/>
      <c r="G23" s="267"/>
      <c r="H23" s="268"/>
      <c r="I23" s="261" t="s">
        <v>10</v>
      </c>
      <c r="J23" s="261"/>
      <c r="K23" s="269">
        <f>K22</f>
        <v>12926</v>
      </c>
      <c r="L23" s="263"/>
      <c r="M23" s="265"/>
      <c r="N23" s="11"/>
    </row>
    <row r="24" spans="1:22" ht="24" customHeight="1">
      <c r="A24" s="8"/>
      <c r="B24" s="9"/>
      <c r="C24" s="260" t="s">
        <v>11</v>
      </c>
      <c r="D24" s="261"/>
      <c r="E24" s="232">
        <f>SUM(M10:N16)</f>
        <v>451669290</v>
      </c>
      <c r="F24" s="233"/>
      <c r="G24" s="233"/>
      <c r="H24" s="270"/>
      <c r="I24" s="261" t="s">
        <v>12</v>
      </c>
      <c r="J24" s="261"/>
      <c r="K24" s="232">
        <f>INT(E24*0.1)</f>
        <v>45166929</v>
      </c>
      <c r="L24" s="233"/>
      <c r="M24" s="234"/>
      <c r="N24" s="11"/>
      <c r="P24" s="67" t="s">
        <v>57</v>
      </c>
    </row>
    <row r="25" spans="1:22" ht="24" customHeight="1">
      <c r="A25" s="8"/>
      <c r="B25" s="9"/>
      <c r="C25" s="252" t="s">
        <v>13</v>
      </c>
      <c r="D25" s="253"/>
      <c r="E25" s="254">
        <v>45961</v>
      </c>
      <c r="F25" s="254"/>
      <c r="G25" s="254"/>
      <c r="H25" s="7" t="s">
        <v>14</v>
      </c>
      <c r="I25" s="294">
        <f>E24+K24</f>
        <v>496836219</v>
      </c>
      <c r="J25" s="295"/>
      <c r="K25" s="295"/>
      <c r="L25" s="295"/>
      <c r="M25" s="296"/>
      <c r="N25" s="11"/>
    </row>
    <row r="26" spans="1:22" ht="24" customHeight="1">
      <c r="A26" s="8"/>
      <c r="B26" s="15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</row>
    <row r="27" spans="1:22" ht="27" customHeight="1">
      <c r="A27" s="258" t="s">
        <v>15</v>
      </c>
      <c r="B27" s="259"/>
      <c r="C27" s="297" t="str">
        <f>NUMBERSTRING(I25,1)</f>
        <v>사억구천육백팔십삼만육천이백일십구</v>
      </c>
      <c r="D27" s="297"/>
      <c r="E27" s="297"/>
      <c r="F27" s="297"/>
      <c r="G27" s="13"/>
      <c r="H27" s="13"/>
      <c r="I27" s="13"/>
      <c r="J27" s="13" t="s">
        <v>16</v>
      </c>
      <c r="K27" s="235">
        <f>I25</f>
        <v>496836219</v>
      </c>
      <c r="L27" s="235"/>
      <c r="M27" s="235"/>
      <c r="N27" s="236"/>
    </row>
    <row r="28" spans="1:22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2" ht="27" customHeight="1">
      <c r="A29" s="237" t="s">
        <v>19</v>
      </c>
      <c r="B29" s="237"/>
      <c r="C29" s="237"/>
      <c r="D29" s="238" t="s">
        <v>49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2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2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2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2">
    <mergeCell ref="A30:C30"/>
    <mergeCell ref="D30:G30"/>
    <mergeCell ref="H30:J30"/>
    <mergeCell ref="K30:N30"/>
    <mergeCell ref="A28:C28"/>
    <mergeCell ref="D28:I28"/>
    <mergeCell ref="J28:K28"/>
    <mergeCell ref="L28:N28"/>
    <mergeCell ref="A29:C29"/>
    <mergeCell ref="D29:N29"/>
    <mergeCell ref="C25:D25"/>
    <mergeCell ref="E25:G25"/>
    <mergeCell ref="I25:M25"/>
    <mergeCell ref="A27:B27"/>
    <mergeCell ref="C27:F27"/>
    <mergeCell ref="K27:N27"/>
    <mergeCell ref="C23:D23"/>
    <mergeCell ref="E23:H23"/>
    <mergeCell ref="I23:J23"/>
    <mergeCell ref="K23:M23"/>
    <mergeCell ref="C24:D24"/>
    <mergeCell ref="E24:H24"/>
    <mergeCell ref="I24:J24"/>
    <mergeCell ref="K24:M24"/>
    <mergeCell ref="M18:N18"/>
    <mergeCell ref="C21:M21"/>
    <mergeCell ref="C22:D22"/>
    <mergeCell ref="E22:F22"/>
    <mergeCell ref="H22:I22"/>
    <mergeCell ref="K22:M22"/>
    <mergeCell ref="M16:N16"/>
    <mergeCell ref="A1:N1"/>
    <mergeCell ref="A3:A5"/>
    <mergeCell ref="I3:I5"/>
    <mergeCell ref="A7:N8"/>
    <mergeCell ref="M9:N9"/>
    <mergeCell ref="M10:N10"/>
    <mergeCell ref="M11:N11"/>
    <mergeCell ref="M12:N12"/>
    <mergeCell ref="M13:N13"/>
    <mergeCell ref="M14:N14"/>
    <mergeCell ref="M15:N15"/>
  </mergeCells>
  <phoneticPr fontId="2" type="noConversion"/>
  <pageMargins left="0.19685039370078741" right="0.19685039370078741" top="0.93" bottom="0.55118110236220474" header="0.31496062992125984" footer="0.31496062992125984"/>
  <pageSetup paperSize="9" orientation="portrait" r:id="rId1"/>
  <headerFooter>
    <oddFooter>&amp;C&amp;"윤명조,보통"&amp;11대  신  금  속  주  식  회  사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6"/>
  <sheetViews>
    <sheetView zoomScale="80" zoomScaleNormal="80" workbookViewId="0">
      <selection activeCell="L10" sqref="L10:L14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9" style="1"/>
    <col min="16" max="18" width="14.5" style="1" bestFit="1" customWidth="1"/>
    <col min="19" max="19" width="13.375" style="1" bestFit="1" customWidth="1"/>
    <col min="20" max="20" width="14.125" style="1" bestFit="1" customWidth="1"/>
    <col min="21" max="16384" width="9" style="1"/>
  </cols>
  <sheetData>
    <row r="1" spans="1:20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0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0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0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0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0" ht="24" customHeight="1">
      <c r="A7" s="276" t="s">
        <v>142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0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0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K9" s="14"/>
      <c r="L9" s="4"/>
      <c r="M9" s="4"/>
      <c r="N9" s="6"/>
    </row>
    <row r="10" spans="1:20" ht="24" customHeight="1">
      <c r="A10" s="5"/>
      <c r="B10" s="131"/>
      <c r="C10" s="131"/>
      <c r="D10" s="131"/>
      <c r="E10" s="131"/>
      <c r="F10" s="131"/>
      <c r="G10" s="131"/>
      <c r="H10" s="132"/>
      <c r="I10" s="132"/>
      <c r="J10" s="132"/>
      <c r="K10" s="109"/>
      <c r="L10" s="107" t="s">
        <v>48</v>
      </c>
      <c r="M10" s="290">
        <v>30668320</v>
      </c>
      <c r="N10" s="291"/>
      <c r="O10" s="46"/>
    </row>
    <row r="11" spans="1:20" ht="24" customHeight="1">
      <c r="A11" s="5"/>
      <c r="B11" s="4"/>
      <c r="C11" s="4"/>
      <c r="D11" s="4"/>
      <c r="E11" s="4"/>
      <c r="F11" s="4" t="s">
        <v>29</v>
      </c>
      <c r="G11" s="4"/>
      <c r="H11" s="4"/>
      <c r="I11" s="46"/>
      <c r="J11" s="46"/>
      <c r="K11" s="109"/>
      <c r="L11" s="107" t="s">
        <v>46</v>
      </c>
      <c r="M11" s="290"/>
      <c r="N11" s="291"/>
      <c r="O11" s="46"/>
      <c r="P11" s="79"/>
      <c r="Q11" s="79"/>
    </row>
    <row r="12" spans="1:20" ht="24" customHeight="1">
      <c r="A12" s="5"/>
      <c r="B12" s="4"/>
      <c r="C12" s="4"/>
      <c r="D12" s="4"/>
      <c r="E12" s="4"/>
      <c r="F12" s="4"/>
      <c r="G12" s="4"/>
      <c r="H12" s="4"/>
      <c r="I12" s="46"/>
      <c r="J12" s="46"/>
      <c r="K12" s="109"/>
      <c r="L12" s="107" t="s">
        <v>56</v>
      </c>
      <c r="M12" s="290"/>
      <c r="N12" s="291"/>
      <c r="O12" s="46"/>
    </row>
    <row r="13" spans="1:20" ht="24" customHeight="1">
      <c r="A13" s="5"/>
      <c r="B13" s="4"/>
      <c r="C13" s="4"/>
      <c r="D13" s="4"/>
      <c r="E13" s="4"/>
      <c r="F13" s="4"/>
      <c r="G13" s="4"/>
      <c r="H13" s="4"/>
      <c r="I13" s="46"/>
      <c r="J13" s="87"/>
      <c r="K13" s="88"/>
      <c r="L13" s="107" t="s">
        <v>61</v>
      </c>
      <c r="M13" s="290"/>
      <c r="N13" s="291"/>
      <c r="O13" s="46"/>
      <c r="P13" s="17"/>
      <c r="Q13" s="17"/>
      <c r="R13" s="17"/>
      <c r="S13" s="17"/>
      <c r="T13" s="19"/>
    </row>
    <row r="14" spans="1:20" ht="24" customHeight="1">
      <c r="A14" s="5"/>
      <c r="B14" s="4"/>
      <c r="C14" s="4"/>
      <c r="D14" s="4"/>
      <c r="E14" s="4"/>
      <c r="F14" s="4"/>
      <c r="G14" s="4"/>
      <c r="H14" s="4"/>
      <c r="I14" s="46"/>
      <c r="J14" s="114"/>
      <c r="K14" s="88"/>
      <c r="L14" s="107" t="s">
        <v>76</v>
      </c>
      <c r="M14" s="290">
        <v>6681600</v>
      </c>
      <c r="N14" s="291"/>
      <c r="O14" s="46"/>
      <c r="P14" s="17"/>
      <c r="Q14" s="17"/>
      <c r="R14" s="17"/>
      <c r="S14" s="17"/>
      <c r="T14" s="19"/>
    </row>
    <row r="15" spans="1:20" ht="24" customHeight="1">
      <c r="A15" s="5"/>
      <c r="B15" s="4"/>
      <c r="C15" s="4"/>
      <c r="D15" s="4"/>
      <c r="E15" s="4"/>
      <c r="F15" s="4"/>
      <c r="G15" s="4"/>
      <c r="H15" s="4"/>
      <c r="I15" s="46"/>
      <c r="J15" s="46"/>
      <c r="K15" s="88"/>
      <c r="L15" s="115"/>
      <c r="M15" s="290"/>
      <c r="N15" s="291"/>
      <c r="O15" s="46"/>
      <c r="P15" s="17"/>
      <c r="Q15" s="17"/>
      <c r="R15" s="17"/>
      <c r="S15" s="17"/>
      <c r="T15" s="19"/>
    </row>
    <row r="16" spans="1:20" ht="24" customHeight="1">
      <c r="A16" s="5"/>
      <c r="B16" s="4"/>
      <c r="C16" s="4"/>
      <c r="D16" s="4"/>
      <c r="E16" s="4"/>
      <c r="F16" s="4"/>
      <c r="G16" s="4"/>
      <c r="H16" s="4"/>
      <c r="I16" s="46"/>
      <c r="J16" s="87"/>
      <c r="K16" s="88"/>
      <c r="L16" s="88"/>
      <c r="M16" s="290"/>
      <c r="N16" s="291"/>
      <c r="O16" s="46"/>
      <c r="P16" s="17"/>
      <c r="Q16" s="17"/>
      <c r="R16" s="17"/>
      <c r="S16" s="17"/>
      <c r="T16" s="19"/>
    </row>
    <row r="17" spans="1:20" ht="24" customHeight="1">
      <c r="A17" s="5"/>
      <c r="B17" s="4"/>
      <c r="E17" s="4"/>
      <c r="F17" s="4"/>
      <c r="G17" s="4"/>
      <c r="H17" s="4"/>
      <c r="I17" s="4"/>
      <c r="J17" s="87"/>
      <c r="K17" s="88"/>
      <c r="L17" s="88"/>
      <c r="M17" s="288"/>
      <c r="N17" s="289"/>
      <c r="P17" s="17"/>
      <c r="Q17" s="17"/>
      <c r="R17" s="17"/>
      <c r="S17" s="17"/>
      <c r="T17" s="19"/>
    </row>
    <row r="18" spans="1:20" ht="24" customHeight="1">
      <c r="A18" s="5"/>
      <c r="B18" s="4"/>
      <c r="C18" s="40"/>
      <c r="D18" s="110"/>
      <c r="E18" s="110"/>
      <c r="F18" s="4"/>
      <c r="G18" s="4"/>
      <c r="H18" s="4"/>
      <c r="I18" s="4"/>
      <c r="J18" s="21"/>
      <c r="K18" s="23"/>
      <c r="L18" s="16"/>
      <c r="M18" s="24"/>
      <c r="N18" s="25"/>
      <c r="P18" s="17"/>
      <c r="Q18" s="17"/>
      <c r="R18" s="17"/>
    </row>
    <row r="19" spans="1:20" ht="24" customHeight="1">
      <c r="A19" s="5"/>
      <c r="B19" s="4"/>
      <c r="C19" s="40"/>
      <c r="D19" s="110"/>
      <c r="E19" s="110"/>
      <c r="F19" s="4"/>
      <c r="G19" s="4"/>
      <c r="H19" s="4"/>
      <c r="I19" s="4"/>
      <c r="J19" s="21"/>
      <c r="K19" s="23"/>
      <c r="N19" s="18"/>
      <c r="P19" s="17"/>
      <c r="Q19" s="17"/>
      <c r="R19" s="17"/>
    </row>
    <row r="20" spans="1:20" ht="24" customHeight="1">
      <c r="A20" s="8"/>
      <c r="B20" s="9"/>
      <c r="C20" s="9"/>
      <c r="D20" s="10"/>
      <c r="E20" s="10"/>
      <c r="F20" s="9"/>
      <c r="G20" s="9"/>
      <c r="H20" s="9"/>
      <c r="I20" s="9"/>
      <c r="J20" s="22"/>
      <c r="K20" s="23"/>
      <c r="L20" s="26"/>
      <c r="M20" s="298"/>
      <c r="N20" s="299"/>
      <c r="P20" s="19"/>
    </row>
    <row r="21" spans="1:20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  <c r="P21" s="19"/>
    </row>
    <row r="22" spans="1:20" ht="24" customHeight="1">
      <c r="A22" s="8"/>
      <c r="B22" s="9"/>
      <c r="C22" s="260" t="s">
        <v>8</v>
      </c>
      <c r="D22" s="261"/>
      <c r="E22" s="262">
        <v>609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37486</v>
      </c>
      <c r="L22" s="263"/>
      <c r="M22" s="265"/>
      <c r="N22" s="11"/>
    </row>
    <row r="23" spans="1:20" ht="24" customHeight="1">
      <c r="A23" s="8"/>
      <c r="B23" s="9"/>
      <c r="C23" s="260" t="s">
        <v>9</v>
      </c>
      <c r="D23" s="261"/>
      <c r="E23" s="266" t="s">
        <v>28</v>
      </c>
      <c r="F23" s="267"/>
      <c r="G23" s="267"/>
      <c r="H23" s="268"/>
      <c r="I23" s="261" t="s">
        <v>10</v>
      </c>
      <c r="J23" s="261"/>
      <c r="K23" s="269">
        <f>K22</f>
        <v>37486</v>
      </c>
      <c r="L23" s="263"/>
      <c r="M23" s="265"/>
      <c r="N23" s="11"/>
    </row>
    <row r="24" spans="1:20" ht="24" customHeight="1">
      <c r="A24" s="8"/>
      <c r="B24" s="9"/>
      <c r="C24" s="260" t="s">
        <v>11</v>
      </c>
      <c r="D24" s="261"/>
      <c r="E24" s="232">
        <f>SUM(M10:N15)</f>
        <v>37349920</v>
      </c>
      <c r="F24" s="233"/>
      <c r="G24" s="233"/>
      <c r="H24" s="270"/>
      <c r="I24" s="261" t="s">
        <v>12</v>
      </c>
      <c r="J24" s="261"/>
      <c r="K24" s="232">
        <f>+E24*0.1</f>
        <v>3734992</v>
      </c>
      <c r="L24" s="233"/>
      <c r="M24" s="234"/>
      <c r="N24" s="11"/>
    </row>
    <row r="25" spans="1:20" ht="24" customHeight="1">
      <c r="A25" s="8"/>
      <c r="B25" s="9"/>
      <c r="C25" s="252" t="s">
        <v>13</v>
      </c>
      <c r="D25" s="253"/>
      <c r="E25" s="254">
        <v>45930</v>
      </c>
      <c r="F25" s="254"/>
      <c r="G25" s="254"/>
      <c r="H25" s="7" t="s">
        <v>14</v>
      </c>
      <c r="I25" s="255">
        <f>E24+K24</f>
        <v>41084912</v>
      </c>
      <c r="J25" s="256"/>
      <c r="K25" s="256"/>
      <c r="L25" s="256"/>
      <c r="M25" s="257"/>
      <c r="N25" s="11"/>
    </row>
    <row r="26" spans="1:20" ht="24" customHeight="1">
      <c r="A26" s="8"/>
      <c r="B26" s="9"/>
      <c r="C26" s="9"/>
      <c r="D26" s="9"/>
      <c r="E26" s="9"/>
      <c r="F26" s="106"/>
      <c r="G26" s="9"/>
      <c r="H26" s="9"/>
      <c r="I26" s="9"/>
      <c r="J26" s="9"/>
      <c r="K26" s="9"/>
      <c r="L26" s="9"/>
      <c r="M26" s="9"/>
      <c r="N26" s="11"/>
    </row>
    <row r="27" spans="1:20" ht="27" customHeight="1">
      <c r="A27" s="258" t="s">
        <v>15</v>
      </c>
      <c r="B27" s="259"/>
      <c r="C27" s="20" t="str">
        <f>NUMBERSTRING(I25, 1)</f>
        <v>사천일백팔만사천구백일십이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41084912</v>
      </c>
      <c r="L27" s="235"/>
      <c r="M27" s="235"/>
      <c r="N27" s="236"/>
    </row>
    <row r="28" spans="1:20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0" ht="27" customHeight="1">
      <c r="A29" s="237" t="s">
        <v>19</v>
      </c>
      <c r="B29" s="237"/>
      <c r="C29" s="237"/>
      <c r="D29" s="238" t="s">
        <v>50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0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0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0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1">
    <mergeCell ref="A27:B27"/>
    <mergeCell ref="A30:C30"/>
    <mergeCell ref="D30:G30"/>
    <mergeCell ref="H30:J30"/>
    <mergeCell ref="K30:N30"/>
    <mergeCell ref="A28:C28"/>
    <mergeCell ref="D28:I28"/>
    <mergeCell ref="J28:K28"/>
    <mergeCell ref="L28:N28"/>
    <mergeCell ref="A29:C29"/>
    <mergeCell ref="D29:N29"/>
    <mergeCell ref="K27:N27"/>
    <mergeCell ref="C25:D25"/>
    <mergeCell ref="E25:G25"/>
    <mergeCell ref="I25:M25"/>
    <mergeCell ref="C22:D22"/>
    <mergeCell ref="E22:F22"/>
    <mergeCell ref="H22:I22"/>
    <mergeCell ref="K22:M22"/>
    <mergeCell ref="C23:D23"/>
    <mergeCell ref="E23:H23"/>
    <mergeCell ref="I23:J23"/>
    <mergeCell ref="K23:M23"/>
    <mergeCell ref="C24:D24"/>
    <mergeCell ref="E24:H24"/>
    <mergeCell ref="I24:J24"/>
    <mergeCell ref="K24:M24"/>
    <mergeCell ref="A1:N1"/>
    <mergeCell ref="A3:A5"/>
    <mergeCell ref="I3:I5"/>
    <mergeCell ref="A7:N8"/>
    <mergeCell ref="C21:M21"/>
    <mergeCell ref="M20:N20"/>
    <mergeCell ref="M15:N15"/>
    <mergeCell ref="M17:N17"/>
    <mergeCell ref="M16:N16"/>
    <mergeCell ref="M13:N13"/>
    <mergeCell ref="M12:N12"/>
    <mergeCell ref="M11:N11"/>
    <mergeCell ref="M10:N10"/>
    <mergeCell ref="M14:N14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r:id="rId1"/>
  <headerFooter>
    <oddFooter>&amp;C&amp;"윤명조,보통"&amp;11대  신  금  속  주  식  회  사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C052-0944-4103-BA41-DE476B8C9B0F}">
  <sheetPr>
    <pageSetUpPr fitToPage="1"/>
  </sheetPr>
  <dimension ref="A1:X76"/>
  <sheetViews>
    <sheetView zoomScale="80" zoomScaleNormal="80" workbookViewId="0">
      <selection activeCell="O11" sqref="O11"/>
    </sheetView>
  </sheetViews>
  <sheetFormatPr defaultRowHeight="16.5"/>
  <cols>
    <col min="1" max="1" width="3.125" style="1" customWidth="1"/>
    <col min="2" max="5" width="7.5" style="1" customWidth="1"/>
    <col min="6" max="6" width="8" style="1" customWidth="1"/>
    <col min="7" max="8" width="5.375" style="1" customWidth="1"/>
    <col min="9" max="9" width="3.125" style="1" customWidth="1"/>
    <col min="10" max="13" width="7.5" style="1" customWidth="1"/>
    <col min="14" max="14" width="8" style="1" customWidth="1"/>
    <col min="15" max="15" width="10.625" style="1" bestFit="1" customWidth="1"/>
    <col min="16" max="18" width="14.5" style="1" bestFit="1" customWidth="1"/>
    <col min="19" max="19" width="17.625" style="1" bestFit="1" customWidth="1"/>
    <col min="20" max="20" width="14.125" style="1" bestFit="1" customWidth="1"/>
    <col min="21" max="22" width="9" style="1"/>
    <col min="23" max="24" width="12.125" style="1" bestFit="1" customWidth="1"/>
    <col min="25" max="16384" width="9" style="1"/>
  </cols>
  <sheetData>
    <row r="1" spans="1:21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1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1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1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1" ht="24" customHeight="1">
      <c r="A7" s="276" t="s">
        <v>30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1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1" ht="24" customHeight="1">
      <c r="A9" s="5"/>
      <c r="B9" s="140"/>
      <c r="C9" s="140"/>
      <c r="D9" s="140"/>
      <c r="E9" s="140"/>
      <c r="F9" s="140"/>
      <c r="G9" s="140"/>
      <c r="H9" s="140"/>
      <c r="I9" s="140"/>
      <c r="J9" s="140"/>
      <c r="K9" s="133"/>
      <c r="L9" s="134"/>
      <c r="M9" s="282"/>
      <c r="N9" s="283"/>
      <c r="P9" s="59"/>
    </row>
    <row r="10" spans="1:21" ht="24" customHeight="1">
      <c r="A10" s="5"/>
      <c r="B10" s="141"/>
      <c r="C10" s="141"/>
      <c r="D10" s="141"/>
      <c r="E10" s="141"/>
      <c r="F10" s="141"/>
      <c r="G10" s="141"/>
      <c r="H10" s="142"/>
      <c r="I10" s="142"/>
      <c r="J10" s="142"/>
      <c r="K10" s="135"/>
      <c r="L10" s="90" t="s">
        <v>48</v>
      </c>
      <c r="M10" s="250">
        <f>O10</f>
        <v>47783000</v>
      </c>
      <c r="N10" s="251"/>
      <c r="O10" s="1">
        <v>47783000</v>
      </c>
      <c r="P10" s="217">
        <f>SUM(P7:P9)</f>
        <v>0</v>
      </c>
      <c r="Q10" s="57"/>
      <c r="R10" s="57"/>
      <c r="S10" s="62"/>
      <c r="T10" s="63"/>
      <c r="U10" s="64"/>
    </row>
    <row r="11" spans="1:21" ht="24" customHeight="1">
      <c r="A11" s="5"/>
      <c r="B11" s="97"/>
      <c r="C11" s="97"/>
      <c r="D11" s="97"/>
      <c r="E11" s="97"/>
      <c r="F11" s="97"/>
      <c r="G11" s="97"/>
      <c r="H11" s="97"/>
      <c r="I11" s="97"/>
      <c r="J11" s="136"/>
      <c r="K11" s="136"/>
      <c r="L11" s="90" t="s">
        <v>56</v>
      </c>
      <c r="M11" s="250">
        <f t="shared" ref="M11:M13" si="0">O11</f>
        <v>0</v>
      </c>
      <c r="N11" s="251"/>
      <c r="P11" s="59"/>
      <c r="Q11" s="57"/>
      <c r="R11" s="57"/>
      <c r="S11" s="62"/>
      <c r="T11" s="59"/>
      <c r="U11" s="60"/>
    </row>
    <row r="12" spans="1:21" ht="24" customHeight="1">
      <c r="A12" s="5"/>
      <c r="B12" s="97"/>
      <c r="C12" s="97"/>
      <c r="D12" s="97"/>
      <c r="E12" s="97"/>
      <c r="F12" s="97"/>
      <c r="G12" s="97"/>
      <c r="H12" s="97"/>
      <c r="I12" s="97"/>
      <c r="J12" s="133"/>
      <c r="K12" s="133"/>
      <c r="L12" s="90" t="s">
        <v>76</v>
      </c>
      <c r="M12" s="250">
        <f t="shared" si="0"/>
        <v>0</v>
      </c>
      <c r="N12" s="251"/>
      <c r="P12" s="112"/>
      <c r="Q12" s="113"/>
      <c r="R12" s="113"/>
      <c r="S12" s="79"/>
      <c r="T12" s="59"/>
      <c r="U12" s="60"/>
    </row>
    <row r="13" spans="1:21" ht="24" customHeight="1">
      <c r="A13" s="5"/>
      <c r="B13" s="97"/>
      <c r="C13" s="97"/>
      <c r="D13" s="97"/>
      <c r="E13" s="97"/>
      <c r="F13" s="97"/>
      <c r="G13" s="97"/>
      <c r="H13" s="97"/>
      <c r="I13" s="97"/>
      <c r="J13" s="137"/>
      <c r="K13" s="133"/>
      <c r="L13" s="143" t="s">
        <v>85</v>
      </c>
      <c r="M13" s="250">
        <f t="shared" si="0"/>
        <v>0</v>
      </c>
      <c r="N13" s="251"/>
      <c r="P13" s="59"/>
      <c r="Q13" s="61"/>
      <c r="R13" s="61"/>
      <c r="S13" s="17"/>
      <c r="T13" s="19"/>
    </row>
    <row r="14" spans="1:21" ht="24" customHeight="1">
      <c r="A14" s="5"/>
      <c r="B14" s="97"/>
      <c r="C14" s="97"/>
      <c r="D14" s="97"/>
      <c r="E14" s="97"/>
      <c r="F14" s="97"/>
      <c r="G14" s="97"/>
      <c r="H14" s="97"/>
      <c r="I14" s="97"/>
      <c r="J14" s="137"/>
      <c r="K14" s="133"/>
      <c r="L14" s="133" t="s">
        <v>133</v>
      </c>
      <c r="M14" s="250">
        <f>O14</f>
        <v>0</v>
      </c>
      <c r="N14" s="251"/>
      <c r="P14" s="27"/>
      <c r="Q14" s="61"/>
      <c r="R14" s="61"/>
      <c r="S14" s="17"/>
      <c r="T14" s="19"/>
    </row>
    <row r="15" spans="1:21" ht="24" customHeight="1">
      <c r="A15" s="5"/>
      <c r="B15" s="97"/>
      <c r="C15" s="97"/>
      <c r="D15" s="97"/>
      <c r="E15" s="97"/>
      <c r="F15" s="97"/>
      <c r="G15" s="97"/>
      <c r="H15" s="97"/>
      <c r="I15" s="97"/>
      <c r="J15" s="133"/>
      <c r="K15" s="133"/>
      <c r="L15" s="143"/>
      <c r="M15" s="300"/>
      <c r="N15" s="301"/>
      <c r="P15" s="17"/>
      <c r="Q15" s="61"/>
      <c r="R15" s="61"/>
      <c r="S15" s="17"/>
      <c r="T15" s="19"/>
      <c r="U15" s="19"/>
    </row>
    <row r="16" spans="1:21" ht="24" customHeight="1">
      <c r="A16" s="5"/>
      <c r="B16" s="97"/>
      <c r="C16" s="97"/>
      <c r="D16" s="97"/>
      <c r="E16" s="97"/>
      <c r="F16" s="97"/>
      <c r="G16" s="97"/>
      <c r="H16" s="97"/>
      <c r="I16" s="97"/>
      <c r="J16" s="97"/>
      <c r="K16" s="133"/>
      <c r="L16" s="133"/>
      <c r="M16" s="250"/>
      <c r="N16" s="251"/>
      <c r="P16" s="17"/>
      <c r="Q16" s="17"/>
      <c r="R16" s="17"/>
      <c r="S16" s="17"/>
      <c r="T16" s="19"/>
    </row>
    <row r="17" spans="1:24" ht="24" customHeight="1">
      <c r="A17" s="5"/>
      <c r="B17" s="97"/>
      <c r="C17" s="97"/>
      <c r="D17" s="97"/>
      <c r="E17" s="97"/>
      <c r="F17" s="97"/>
      <c r="G17" s="97"/>
      <c r="H17" s="97"/>
      <c r="I17" s="97"/>
      <c r="J17" s="97"/>
      <c r="K17" s="133"/>
      <c r="L17" s="97"/>
      <c r="M17" s="250"/>
      <c r="N17" s="251"/>
      <c r="P17" s="17"/>
      <c r="Q17" s="17"/>
      <c r="R17" s="17"/>
      <c r="S17" s="17"/>
      <c r="T17" s="19"/>
    </row>
    <row r="18" spans="1:24" ht="24" customHeight="1">
      <c r="A18" s="5"/>
      <c r="B18" s="4"/>
      <c r="C18" s="40"/>
      <c r="D18" s="76"/>
      <c r="E18" s="76"/>
      <c r="F18" s="4"/>
      <c r="G18" s="4"/>
      <c r="H18" s="4"/>
      <c r="K18" s="48"/>
      <c r="L18" s="41"/>
      <c r="M18" s="284"/>
      <c r="N18" s="285"/>
      <c r="W18" s="17"/>
      <c r="X18" s="17"/>
    </row>
    <row r="19" spans="1:24" ht="24" customHeight="1">
      <c r="A19" s="5"/>
      <c r="B19" s="4"/>
      <c r="C19" s="40"/>
      <c r="D19" s="76"/>
      <c r="E19" s="76"/>
      <c r="F19" s="4"/>
      <c r="G19" s="4"/>
      <c r="H19" s="4"/>
      <c r="I19" s="16"/>
      <c r="K19" s="48"/>
      <c r="L19" s="41"/>
      <c r="M19" s="286"/>
      <c r="N19" s="287"/>
      <c r="W19" s="17"/>
      <c r="X19" s="17"/>
    </row>
    <row r="20" spans="1:24" ht="24" customHeight="1">
      <c r="A20" s="8"/>
      <c r="B20" s="9"/>
      <c r="C20" s="9"/>
      <c r="D20" s="10"/>
      <c r="E20" s="10"/>
      <c r="F20" s="9"/>
      <c r="G20" s="9"/>
      <c r="H20" s="9"/>
      <c r="I20" s="26"/>
      <c r="J20" s="49"/>
      <c r="K20" s="48"/>
      <c r="L20" s="41"/>
      <c r="M20" s="286"/>
      <c r="N20" s="287"/>
    </row>
    <row r="21" spans="1:24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</row>
    <row r="22" spans="1:24" ht="24" customHeight="1">
      <c r="A22" s="8"/>
      <c r="B22" s="9"/>
      <c r="C22" s="260" t="s">
        <v>8</v>
      </c>
      <c r="D22" s="261"/>
      <c r="E22" s="262">
        <v>609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37486</v>
      </c>
      <c r="L22" s="263"/>
      <c r="M22" s="265"/>
      <c r="N22" s="11"/>
    </row>
    <row r="23" spans="1:24" ht="24" customHeight="1">
      <c r="A23" s="8"/>
      <c r="B23" s="9"/>
      <c r="C23" s="260" t="s">
        <v>9</v>
      </c>
      <c r="D23" s="261"/>
      <c r="E23" s="266" t="s">
        <v>28</v>
      </c>
      <c r="F23" s="267"/>
      <c r="G23" s="267"/>
      <c r="H23" s="268"/>
      <c r="I23" s="261" t="s">
        <v>10</v>
      </c>
      <c r="J23" s="261"/>
      <c r="K23" s="269">
        <f>K22</f>
        <v>37486</v>
      </c>
      <c r="L23" s="263"/>
      <c r="M23" s="265"/>
      <c r="N23" s="11"/>
    </row>
    <row r="24" spans="1:24" ht="24" customHeight="1">
      <c r="A24" s="8"/>
      <c r="B24" s="9"/>
      <c r="C24" s="260" t="s">
        <v>11</v>
      </c>
      <c r="D24" s="261"/>
      <c r="E24" s="232">
        <f>SUM(M9:N20)</f>
        <v>47783000</v>
      </c>
      <c r="F24" s="233"/>
      <c r="G24" s="233"/>
      <c r="H24" s="270"/>
      <c r="I24" s="261" t="s">
        <v>12</v>
      </c>
      <c r="J24" s="261"/>
      <c r="K24" s="232">
        <f>E24*0.1</f>
        <v>4778300</v>
      </c>
      <c r="L24" s="233"/>
      <c r="M24" s="234"/>
      <c r="N24" s="11"/>
    </row>
    <row r="25" spans="1:24" ht="24" customHeight="1">
      <c r="A25" s="8"/>
      <c r="B25" s="9"/>
      <c r="C25" s="252" t="s">
        <v>13</v>
      </c>
      <c r="D25" s="253"/>
      <c r="E25" s="254">
        <v>46275</v>
      </c>
      <c r="F25" s="254"/>
      <c r="G25" s="254"/>
      <c r="H25" s="7" t="s">
        <v>14</v>
      </c>
      <c r="I25" s="255">
        <f>E24+K24</f>
        <v>52561300</v>
      </c>
      <c r="J25" s="256"/>
      <c r="K25" s="256"/>
      <c r="L25" s="256"/>
      <c r="M25" s="257"/>
      <c r="N25" s="11"/>
    </row>
    <row r="26" spans="1:24" ht="24" customHeight="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</row>
    <row r="27" spans="1:24" ht="27" customHeight="1">
      <c r="A27" s="258" t="s">
        <v>15</v>
      </c>
      <c r="B27" s="259"/>
      <c r="C27" s="20" t="str">
        <f>NUMBERSTRING(I25, 1)</f>
        <v>오천이백오십육만일천삼백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52561300</v>
      </c>
      <c r="L27" s="235"/>
      <c r="M27" s="235"/>
      <c r="N27" s="236"/>
    </row>
    <row r="28" spans="1:24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4" ht="27" customHeight="1">
      <c r="A29" s="237" t="s">
        <v>19</v>
      </c>
      <c r="B29" s="237"/>
      <c r="C29" s="237"/>
      <c r="D29" s="238" t="s">
        <v>162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4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4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4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4">
    <mergeCell ref="C21:M21"/>
    <mergeCell ref="M10:N10"/>
    <mergeCell ref="A1:N1"/>
    <mergeCell ref="A3:A5"/>
    <mergeCell ref="I3:I5"/>
    <mergeCell ref="A7:N8"/>
    <mergeCell ref="M9:N9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C25:D25"/>
    <mergeCell ref="E25:G25"/>
    <mergeCell ref="I25:M25"/>
    <mergeCell ref="A27:B27"/>
    <mergeCell ref="C22:D22"/>
    <mergeCell ref="E22:F22"/>
    <mergeCell ref="H22:I22"/>
    <mergeCell ref="K22:M22"/>
    <mergeCell ref="C23:D23"/>
    <mergeCell ref="E23:H23"/>
    <mergeCell ref="I23:J23"/>
    <mergeCell ref="K23:M23"/>
    <mergeCell ref="C24:D24"/>
    <mergeCell ref="E24:H24"/>
    <mergeCell ref="I24:J24"/>
    <mergeCell ref="K24:M24"/>
    <mergeCell ref="K27:N27"/>
    <mergeCell ref="A29:C29"/>
    <mergeCell ref="D29:N29"/>
    <mergeCell ref="A30:C30"/>
    <mergeCell ref="D30:G30"/>
    <mergeCell ref="H30:J30"/>
    <mergeCell ref="K30:N30"/>
    <mergeCell ref="A28:C28"/>
    <mergeCell ref="D28:I28"/>
    <mergeCell ref="J28:K28"/>
    <mergeCell ref="L28:N28"/>
  </mergeCells>
  <phoneticPr fontId="2" type="noConversion"/>
  <pageMargins left="0.19685039370078741" right="0.19685039370078741" top="0.94488188976377963" bottom="0.55118110236220474" header="0.31496062992125984" footer="0.31496062992125984"/>
  <pageSetup paperSize="9" scale="98" orientation="portrait" verticalDpi="300" r:id="rId1"/>
  <headerFooter>
    <oddFooter>&amp;C&amp;"윤명조,보통"&amp;11대  신  금  속  주  식  회  사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76"/>
  <sheetViews>
    <sheetView view="pageBreakPreview" zoomScale="60" zoomScaleNormal="80" workbookViewId="0">
      <selection activeCell="AD26" sqref="AD26"/>
    </sheetView>
  </sheetViews>
  <sheetFormatPr defaultRowHeight="16.5"/>
  <cols>
    <col min="1" max="1" width="3.125" style="1" customWidth="1"/>
    <col min="2" max="5" width="7.5" style="1" customWidth="1"/>
    <col min="6" max="6" width="8" style="1" customWidth="1"/>
    <col min="7" max="8" width="5.375" style="1" customWidth="1"/>
    <col min="9" max="9" width="3.125" style="1" customWidth="1"/>
    <col min="10" max="13" width="7.5" style="1" customWidth="1"/>
    <col min="14" max="14" width="8" style="1" customWidth="1"/>
    <col min="15" max="15" width="10.625" style="1" bestFit="1" customWidth="1"/>
    <col min="16" max="18" width="14.5" style="1" bestFit="1" customWidth="1"/>
    <col min="19" max="19" width="17.625" style="1" bestFit="1" customWidth="1"/>
    <col min="20" max="20" width="14.125" style="1" bestFit="1" customWidth="1"/>
    <col min="21" max="22" width="9" style="1"/>
    <col min="23" max="24" width="12.125" style="1" bestFit="1" customWidth="1"/>
    <col min="25" max="16384" width="9" style="1"/>
  </cols>
  <sheetData>
    <row r="1" spans="1:21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1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1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1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1" ht="24" customHeight="1">
      <c r="A7" s="276" t="s">
        <v>30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1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1" ht="24" customHeight="1">
      <c r="A9" s="5"/>
      <c r="B9" s="140"/>
      <c r="C9" s="140"/>
      <c r="D9" s="140"/>
      <c r="E9" s="140"/>
      <c r="F9" s="140"/>
      <c r="G9" s="140"/>
      <c r="H9" s="140"/>
      <c r="I9" s="140"/>
      <c r="J9" s="140"/>
      <c r="K9" s="133"/>
      <c r="L9" s="134"/>
      <c r="M9" s="282"/>
      <c r="N9" s="283"/>
      <c r="P9" s="59"/>
    </row>
    <row r="10" spans="1:21" ht="24" customHeight="1">
      <c r="A10" s="5"/>
      <c r="B10" s="141"/>
      <c r="C10" s="141"/>
      <c r="D10" s="141"/>
      <c r="E10" s="141"/>
      <c r="F10" s="141"/>
      <c r="G10" s="141"/>
      <c r="H10" s="142"/>
      <c r="I10" s="142"/>
      <c r="J10" s="142"/>
      <c r="K10" s="135"/>
      <c r="L10" s="90" t="s">
        <v>48</v>
      </c>
      <c r="M10" s="250">
        <f>O10</f>
        <v>0</v>
      </c>
      <c r="N10" s="251"/>
      <c r="P10" s="217">
        <f>SUM(P7:P9)</f>
        <v>0</v>
      </c>
      <c r="Q10" s="57"/>
      <c r="R10" s="57"/>
      <c r="S10" s="62"/>
      <c r="T10" s="63"/>
      <c r="U10" s="64"/>
    </row>
    <row r="11" spans="1:21" ht="24" customHeight="1">
      <c r="A11" s="5"/>
      <c r="B11" s="97"/>
      <c r="C11" s="97"/>
      <c r="D11" s="97"/>
      <c r="E11" s="97"/>
      <c r="F11" s="97"/>
      <c r="G11" s="97"/>
      <c r="H11" s="97"/>
      <c r="I11" s="97"/>
      <c r="J11" s="136"/>
      <c r="K11" s="136"/>
      <c r="L11" s="90" t="s">
        <v>46</v>
      </c>
      <c r="M11" s="250">
        <f t="shared" ref="M11:M13" si="0">O11</f>
        <v>0</v>
      </c>
      <c r="N11" s="251"/>
      <c r="P11" s="59"/>
      <c r="Q11" s="57"/>
      <c r="R11" s="57"/>
      <c r="S11" s="62"/>
      <c r="T11" s="59"/>
      <c r="U11" s="60"/>
    </row>
    <row r="12" spans="1:21" ht="24" customHeight="1">
      <c r="A12" s="5"/>
      <c r="B12" s="97"/>
      <c r="C12" s="97"/>
      <c r="D12" s="97"/>
      <c r="E12" s="97"/>
      <c r="F12" s="97"/>
      <c r="G12" s="97"/>
      <c r="H12" s="97"/>
      <c r="I12" s="97"/>
      <c r="J12" s="133"/>
      <c r="K12" s="133"/>
      <c r="L12" s="90" t="s">
        <v>56</v>
      </c>
      <c r="M12" s="250">
        <f t="shared" si="0"/>
        <v>7616026.5979101649</v>
      </c>
      <c r="N12" s="251"/>
      <c r="O12" s="1">
        <v>7616026.5979101649</v>
      </c>
      <c r="P12" s="112"/>
      <c r="Q12" s="113"/>
      <c r="R12" s="113"/>
      <c r="S12" s="79"/>
      <c r="T12" s="59"/>
      <c r="U12" s="60"/>
    </row>
    <row r="13" spans="1:21" ht="24" customHeight="1">
      <c r="A13" s="5"/>
      <c r="B13" s="97"/>
      <c r="C13" s="97"/>
      <c r="D13" s="97"/>
      <c r="E13" s="97"/>
      <c r="F13" s="97"/>
      <c r="G13" s="97"/>
      <c r="H13" s="97"/>
      <c r="I13" s="97"/>
      <c r="J13" s="137"/>
      <c r="K13" s="133"/>
      <c r="L13" s="90" t="s">
        <v>61</v>
      </c>
      <c r="M13" s="250">
        <f t="shared" si="0"/>
        <v>0</v>
      </c>
      <c r="N13" s="251"/>
      <c r="P13" s="59"/>
      <c r="Q13" s="61"/>
      <c r="R13" s="61"/>
      <c r="S13" s="17"/>
      <c r="T13" s="19"/>
    </row>
    <row r="14" spans="1:21" ht="24" customHeight="1">
      <c r="A14" s="5"/>
      <c r="B14" s="97"/>
      <c r="C14" s="97"/>
      <c r="D14" s="97"/>
      <c r="E14" s="97"/>
      <c r="F14" s="97"/>
      <c r="G14" s="97"/>
      <c r="H14" s="97"/>
      <c r="I14" s="97"/>
      <c r="J14" s="137"/>
      <c r="K14" s="133"/>
      <c r="L14" s="90" t="s">
        <v>76</v>
      </c>
      <c r="M14" s="250">
        <f>O14</f>
        <v>9883973.4020898379</v>
      </c>
      <c r="N14" s="251"/>
      <c r="O14" s="1">
        <v>9883973.4020898379</v>
      </c>
      <c r="P14" s="27"/>
      <c r="Q14" s="61"/>
      <c r="R14" s="61"/>
      <c r="S14" s="17"/>
      <c r="T14" s="19"/>
    </row>
    <row r="15" spans="1:21" ht="24" customHeight="1">
      <c r="A15" s="5"/>
      <c r="B15" s="97"/>
      <c r="C15" s="97"/>
      <c r="D15" s="97"/>
      <c r="E15" s="97"/>
      <c r="F15" s="97"/>
      <c r="G15" s="97"/>
      <c r="H15" s="97"/>
      <c r="I15" s="97"/>
      <c r="J15" s="133"/>
      <c r="K15" s="133"/>
      <c r="L15" s="143" t="s">
        <v>85</v>
      </c>
      <c r="M15" s="300"/>
      <c r="N15" s="301"/>
      <c r="P15" s="17"/>
      <c r="Q15" s="61"/>
      <c r="R15" s="61"/>
      <c r="S15" s="17"/>
      <c r="T15" s="19"/>
      <c r="U15" s="19"/>
    </row>
    <row r="16" spans="1:21" ht="24" customHeight="1">
      <c r="A16" s="5"/>
      <c r="B16" s="97"/>
      <c r="C16" s="97"/>
      <c r="D16" s="97"/>
      <c r="E16" s="97"/>
      <c r="F16" s="97"/>
      <c r="G16" s="97"/>
      <c r="H16" s="97"/>
      <c r="I16" s="97"/>
      <c r="J16" s="97"/>
      <c r="K16" s="133"/>
      <c r="L16" s="133" t="s">
        <v>133</v>
      </c>
      <c r="M16" s="250"/>
      <c r="N16" s="251"/>
      <c r="P16" s="17"/>
      <c r="Q16" s="17"/>
      <c r="R16" s="17"/>
      <c r="S16" s="17"/>
      <c r="T16" s="19"/>
    </row>
    <row r="17" spans="1:24" ht="24" customHeight="1">
      <c r="A17" s="5"/>
      <c r="B17" s="97"/>
      <c r="C17" s="97"/>
      <c r="D17" s="97"/>
      <c r="E17" s="97"/>
      <c r="F17" s="97"/>
      <c r="G17" s="97"/>
      <c r="H17" s="97"/>
      <c r="I17" s="97"/>
      <c r="J17" s="97"/>
      <c r="K17" s="133"/>
      <c r="L17" s="97"/>
      <c r="M17" s="250"/>
      <c r="N17" s="251"/>
      <c r="P17" s="17"/>
      <c r="Q17" s="17"/>
      <c r="R17" s="17"/>
      <c r="S17" s="17"/>
      <c r="T17" s="19"/>
    </row>
    <row r="18" spans="1:24" ht="24" customHeight="1">
      <c r="A18" s="5"/>
      <c r="B18" s="4"/>
      <c r="C18" s="40"/>
      <c r="D18" s="76"/>
      <c r="E18" s="76"/>
      <c r="F18" s="4"/>
      <c r="G18" s="4"/>
      <c r="H18" s="4"/>
      <c r="K18" s="48"/>
      <c r="L18" s="41"/>
      <c r="M18" s="284"/>
      <c r="N18" s="285"/>
      <c r="W18" s="17"/>
      <c r="X18" s="17"/>
    </row>
    <row r="19" spans="1:24" ht="24" customHeight="1">
      <c r="A19" s="5"/>
      <c r="B19" s="4"/>
      <c r="C19" s="40"/>
      <c r="D19" s="76"/>
      <c r="E19" s="76"/>
      <c r="F19" s="4"/>
      <c r="G19" s="4"/>
      <c r="H19" s="4"/>
      <c r="I19" s="16"/>
      <c r="K19" s="48"/>
      <c r="L19" s="41"/>
      <c r="M19" s="286"/>
      <c r="N19" s="287"/>
      <c r="W19" s="17"/>
      <c r="X19" s="17"/>
    </row>
    <row r="20" spans="1:24" ht="24" customHeight="1">
      <c r="A20" s="8"/>
      <c r="B20" s="9"/>
      <c r="C20" s="9"/>
      <c r="D20" s="10"/>
      <c r="E20" s="10"/>
      <c r="F20" s="9"/>
      <c r="G20" s="9"/>
      <c r="H20" s="9"/>
      <c r="I20" s="26"/>
      <c r="J20" s="49"/>
      <c r="K20" s="48"/>
      <c r="L20" s="41"/>
      <c r="M20" s="286"/>
      <c r="N20" s="287"/>
    </row>
    <row r="21" spans="1:24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</row>
    <row r="22" spans="1:24" ht="24" customHeight="1">
      <c r="A22" s="8"/>
      <c r="B22" s="9"/>
      <c r="C22" s="260" t="s">
        <v>8</v>
      </c>
      <c r="D22" s="261"/>
      <c r="E22" s="262">
        <v>609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37486</v>
      </c>
      <c r="L22" s="263"/>
      <c r="M22" s="265"/>
      <c r="N22" s="11"/>
    </row>
    <row r="23" spans="1:24" ht="24" customHeight="1">
      <c r="A23" s="8"/>
      <c r="B23" s="9"/>
      <c r="C23" s="260" t="s">
        <v>9</v>
      </c>
      <c r="D23" s="261"/>
      <c r="E23" s="266" t="s">
        <v>28</v>
      </c>
      <c r="F23" s="267"/>
      <c r="G23" s="267"/>
      <c r="H23" s="268"/>
      <c r="I23" s="261" t="s">
        <v>10</v>
      </c>
      <c r="J23" s="261"/>
      <c r="K23" s="269">
        <f>K22</f>
        <v>37486</v>
      </c>
      <c r="L23" s="263"/>
      <c r="M23" s="265"/>
      <c r="N23" s="11"/>
    </row>
    <row r="24" spans="1:24" ht="24" customHeight="1">
      <c r="A24" s="8"/>
      <c r="B24" s="9"/>
      <c r="C24" s="260" t="s">
        <v>11</v>
      </c>
      <c r="D24" s="261"/>
      <c r="E24" s="232">
        <f>SUM(M9:N20)</f>
        <v>17500000.000000004</v>
      </c>
      <c r="F24" s="233"/>
      <c r="G24" s="233"/>
      <c r="H24" s="270"/>
      <c r="I24" s="261" t="s">
        <v>12</v>
      </c>
      <c r="J24" s="261"/>
      <c r="K24" s="232">
        <f>E24*0.1</f>
        <v>1750000.0000000005</v>
      </c>
      <c r="L24" s="233"/>
      <c r="M24" s="234"/>
      <c r="N24" s="11"/>
    </row>
    <row r="25" spans="1:24" ht="24" customHeight="1">
      <c r="A25" s="8"/>
      <c r="B25" s="9"/>
      <c r="C25" s="252" t="s">
        <v>13</v>
      </c>
      <c r="D25" s="253"/>
      <c r="E25" s="254">
        <v>46285</v>
      </c>
      <c r="F25" s="254"/>
      <c r="G25" s="254"/>
      <c r="H25" s="7" t="s">
        <v>14</v>
      </c>
      <c r="I25" s="255">
        <f>E24+K24</f>
        <v>19250000.000000004</v>
      </c>
      <c r="J25" s="256"/>
      <c r="K25" s="256"/>
      <c r="L25" s="256"/>
      <c r="M25" s="257"/>
      <c r="N25" s="11"/>
    </row>
    <row r="26" spans="1:24" ht="24" customHeight="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</row>
    <row r="27" spans="1:24" ht="27" customHeight="1">
      <c r="A27" s="258" t="s">
        <v>15</v>
      </c>
      <c r="B27" s="259"/>
      <c r="C27" s="20" t="str">
        <f>NUMBERSTRING(I25, 1)</f>
        <v>일천구백이십오만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19250000.000000004</v>
      </c>
      <c r="L27" s="235"/>
      <c r="M27" s="235"/>
      <c r="N27" s="236"/>
    </row>
    <row r="28" spans="1:24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4" ht="27" customHeight="1">
      <c r="A29" s="237" t="s">
        <v>19</v>
      </c>
      <c r="B29" s="237"/>
      <c r="C29" s="237"/>
      <c r="D29" s="238" t="s">
        <v>162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4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4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4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4">
    <mergeCell ref="M16:N16"/>
    <mergeCell ref="A1:N1"/>
    <mergeCell ref="A3:A5"/>
    <mergeCell ref="I3:I5"/>
    <mergeCell ref="A7:N8"/>
    <mergeCell ref="M9:N9"/>
    <mergeCell ref="M10:N10"/>
    <mergeCell ref="M11:N11"/>
    <mergeCell ref="M12:N12"/>
    <mergeCell ref="M13:N13"/>
    <mergeCell ref="M14:N14"/>
    <mergeCell ref="M15:N15"/>
    <mergeCell ref="K23:M23"/>
    <mergeCell ref="M17:N17"/>
    <mergeCell ref="M18:N18"/>
    <mergeCell ref="M19:N19"/>
    <mergeCell ref="M20:N20"/>
    <mergeCell ref="C21:M21"/>
    <mergeCell ref="C22:D22"/>
    <mergeCell ref="E22:F22"/>
    <mergeCell ref="H22:I22"/>
    <mergeCell ref="K22:M22"/>
    <mergeCell ref="C23:D23"/>
    <mergeCell ref="E23:H23"/>
    <mergeCell ref="I23:J23"/>
    <mergeCell ref="A30:C30"/>
    <mergeCell ref="D30:G30"/>
    <mergeCell ref="H30:J30"/>
    <mergeCell ref="K30:N30"/>
    <mergeCell ref="A27:B27"/>
    <mergeCell ref="K27:N27"/>
    <mergeCell ref="A28:C28"/>
    <mergeCell ref="D28:I28"/>
    <mergeCell ref="J28:K28"/>
    <mergeCell ref="L28:N28"/>
    <mergeCell ref="A29:C29"/>
    <mergeCell ref="D29:N29"/>
    <mergeCell ref="C24:D24"/>
    <mergeCell ref="E24:H24"/>
    <mergeCell ref="I24:J24"/>
    <mergeCell ref="K24:M24"/>
    <mergeCell ref="C25:D25"/>
    <mergeCell ref="E25:G25"/>
    <mergeCell ref="I25:M25"/>
  </mergeCells>
  <phoneticPr fontId="2" type="noConversion"/>
  <pageMargins left="0.19685039370078741" right="0.19685039370078741" top="0.94488188976377963" bottom="0.55118110236220474" header="0.31496062992125984" footer="0.31496062992125984"/>
  <pageSetup paperSize="9" scale="98" orientation="portrait" verticalDpi="300" r:id="rId1"/>
  <headerFooter>
    <oddFooter>&amp;C&amp;"윤명조,보통"&amp;11대  신  금  속  주  식  회  사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B0B2-DEA1-41BB-93E2-436B4FC00DD3}">
  <sheetPr>
    <pageSetUpPr fitToPage="1"/>
  </sheetPr>
  <dimension ref="A1:X76"/>
  <sheetViews>
    <sheetView topLeftCell="A4" zoomScale="80" zoomScaleNormal="80" workbookViewId="0">
      <selection activeCell="R19" sqref="R19"/>
    </sheetView>
  </sheetViews>
  <sheetFormatPr defaultRowHeight="16.5"/>
  <cols>
    <col min="1" max="1" width="3.125" style="1" customWidth="1"/>
    <col min="2" max="5" width="7.5" style="1" customWidth="1"/>
    <col min="6" max="6" width="7.875" style="1" customWidth="1"/>
    <col min="7" max="8" width="5.375" style="1" customWidth="1"/>
    <col min="9" max="9" width="3.125" style="1" customWidth="1"/>
    <col min="10" max="13" width="7.5" style="1" customWidth="1"/>
    <col min="14" max="14" width="7.875" style="1" customWidth="1"/>
    <col min="15" max="15" width="10.625" style="1" bestFit="1" customWidth="1"/>
    <col min="16" max="18" width="14.5" style="1" bestFit="1" customWidth="1"/>
    <col min="19" max="19" width="17.625" style="1" bestFit="1" customWidth="1"/>
    <col min="20" max="20" width="14.125" style="1" bestFit="1" customWidth="1"/>
    <col min="21" max="22" width="9" style="1"/>
    <col min="23" max="24" width="12.125" style="1" bestFit="1" customWidth="1"/>
    <col min="25" max="16384" width="9" style="1"/>
  </cols>
  <sheetData>
    <row r="1" spans="1:21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1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1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1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1" ht="24" customHeight="1">
      <c r="A7" s="276" t="s">
        <v>30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1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1" ht="24" customHeight="1">
      <c r="A9" s="5"/>
      <c r="B9" s="140"/>
      <c r="C9" s="140"/>
      <c r="D9" s="140"/>
      <c r="E9" s="140"/>
      <c r="F9" s="140"/>
      <c r="G9" s="140"/>
      <c r="H9" s="140"/>
      <c r="I9" s="140"/>
      <c r="J9" s="140"/>
      <c r="K9" s="133"/>
      <c r="L9" s="134"/>
      <c r="M9" s="282"/>
      <c r="N9" s="283"/>
      <c r="P9" s="59"/>
    </row>
    <row r="10" spans="1:21" ht="24" customHeight="1">
      <c r="A10" s="5"/>
      <c r="B10" s="141"/>
      <c r="C10" s="141"/>
      <c r="D10" s="141"/>
      <c r="E10" s="141"/>
      <c r="F10" s="141"/>
      <c r="G10" s="141"/>
      <c r="H10" s="142"/>
      <c r="I10" s="142"/>
      <c r="J10" s="142"/>
      <c r="K10" s="135"/>
      <c r="L10" s="90" t="s">
        <v>48</v>
      </c>
      <c r="M10" s="250">
        <f>O10</f>
        <v>44325000</v>
      </c>
      <c r="N10" s="251"/>
      <c r="O10" s="1">
        <v>44325000</v>
      </c>
      <c r="P10" s="217">
        <f>SUM(P7:P9)</f>
        <v>0</v>
      </c>
      <c r="Q10" s="57"/>
      <c r="R10" s="57"/>
      <c r="S10" s="62"/>
      <c r="T10" s="63"/>
      <c r="U10" s="64"/>
    </row>
    <row r="11" spans="1:21" ht="24" customHeight="1">
      <c r="A11" s="5"/>
      <c r="B11" s="97"/>
      <c r="C11" s="97"/>
      <c r="D11" s="97"/>
      <c r="E11" s="97"/>
      <c r="F11" s="97"/>
      <c r="G11" s="97"/>
      <c r="H11" s="97"/>
      <c r="I11" s="97"/>
      <c r="J11" s="136"/>
      <c r="K11" s="136"/>
      <c r="L11" s="90" t="s">
        <v>46</v>
      </c>
      <c r="M11" s="250">
        <f t="shared" ref="M11:M13" si="0">O11</f>
        <v>0</v>
      </c>
      <c r="N11" s="251"/>
      <c r="P11" s="59"/>
      <c r="Q11" s="57"/>
      <c r="R11" s="57"/>
      <c r="S11" s="62"/>
      <c r="T11" s="59"/>
      <c r="U11" s="60"/>
    </row>
    <row r="12" spans="1:21" ht="24" customHeight="1">
      <c r="A12" s="5"/>
      <c r="B12" s="97"/>
      <c r="C12" s="97"/>
      <c r="D12" s="97"/>
      <c r="E12" s="97"/>
      <c r="F12" s="97"/>
      <c r="G12" s="97"/>
      <c r="H12" s="97"/>
      <c r="I12" s="97"/>
      <c r="J12" s="133"/>
      <c r="K12" s="133"/>
      <c r="L12" s="90" t="s">
        <v>56</v>
      </c>
      <c r="M12" s="250">
        <f t="shared" si="0"/>
        <v>43674898.086578913</v>
      </c>
      <c r="N12" s="251"/>
      <c r="O12" s="1">
        <v>43674898.086578913</v>
      </c>
      <c r="P12" s="112"/>
      <c r="Q12" s="113"/>
      <c r="R12" s="113"/>
      <c r="S12" s="79"/>
      <c r="T12" s="59"/>
      <c r="U12" s="60"/>
    </row>
    <row r="13" spans="1:21" ht="24" customHeight="1">
      <c r="A13" s="5"/>
      <c r="B13" s="97"/>
      <c r="C13" s="97"/>
      <c r="D13" s="97"/>
      <c r="E13" s="97"/>
      <c r="F13" s="97"/>
      <c r="G13" s="97"/>
      <c r="H13" s="97"/>
      <c r="I13" s="97"/>
      <c r="J13" s="137"/>
      <c r="K13" s="133"/>
      <c r="L13" s="90" t="s">
        <v>61</v>
      </c>
      <c r="M13" s="250">
        <f t="shared" si="0"/>
        <v>0</v>
      </c>
      <c r="N13" s="251"/>
      <c r="P13" s="59"/>
      <c r="Q13" s="61"/>
      <c r="R13" s="61"/>
      <c r="S13" s="17"/>
      <c r="T13" s="19"/>
    </row>
    <row r="14" spans="1:21" ht="24" customHeight="1">
      <c r="A14" s="5"/>
      <c r="B14" s="97"/>
      <c r="C14" s="97"/>
      <c r="D14" s="97"/>
      <c r="E14" s="97"/>
      <c r="F14" s="97"/>
      <c r="G14" s="97"/>
      <c r="H14" s="97"/>
      <c r="I14" s="97"/>
      <c r="J14" s="137"/>
      <c r="K14" s="133"/>
      <c r="L14" s="90" t="s">
        <v>76</v>
      </c>
      <c r="M14" s="250">
        <f>O14</f>
        <v>48457101.913421087</v>
      </c>
      <c r="N14" s="251"/>
      <c r="O14" s="1">
        <v>48457101.913421087</v>
      </c>
      <c r="P14" s="27"/>
      <c r="Q14" s="61"/>
      <c r="R14" s="61"/>
      <c r="S14" s="17"/>
      <c r="T14" s="19"/>
    </row>
    <row r="15" spans="1:21" ht="24" customHeight="1">
      <c r="A15" s="5"/>
      <c r="B15" s="97"/>
      <c r="C15" s="97"/>
      <c r="D15" s="97"/>
      <c r="E15" s="97"/>
      <c r="F15" s="97"/>
      <c r="G15" s="97"/>
      <c r="H15" s="97"/>
      <c r="I15" s="97"/>
      <c r="J15" s="133"/>
      <c r="K15" s="133"/>
      <c r="L15" s="133" t="s">
        <v>133</v>
      </c>
      <c r="M15" s="250">
        <f t="shared" ref="M15" si="1">O15</f>
        <v>0</v>
      </c>
      <c r="N15" s="251"/>
      <c r="P15" s="17"/>
      <c r="Q15" s="61"/>
      <c r="R15" s="61"/>
      <c r="S15" s="17"/>
      <c r="T15" s="19"/>
      <c r="U15" s="19"/>
    </row>
    <row r="16" spans="1:21" ht="24" customHeight="1">
      <c r="A16" s="5"/>
      <c r="B16" s="97"/>
      <c r="C16" s="97"/>
      <c r="D16" s="97"/>
      <c r="E16" s="97"/>
      <c r="F16" s="97"/>
      <c r="G16" s="97"/>
      <c r="H16" s="97"/>
      <c r="I16" s="97"/>
      <c r="J16" s="97"/>
      <c r="K16" s="133"/>
      <c r="L16" s="133" t="s">
        <v>163</v>
      </c>
      <c r="M16" s="250">
        <f>+O16+O17</f>
        <v>0</v>
      </c>
      <c r="N16" s="251"/>
      <c r="P16" s="17"/>
      <c r="Q16" s="17"/>
      <c r="R16" s="17"/>
      <c r="S16" s="17"/>
      <c r="T16" s="19"/>
    </row>
    <row r="17" spans="1:24" ht="24" customHeight="1">
      <c r="A17" s="5"/>
      <c r="B17" s="97"/>
      <c r="C17" s="97"/>
      <c r="D17" s="97"/>
      <c r="E17" s="97"/>
      <c r="F17" s="97"/>
      <c r="G17" s="97"/>
      <c r="H17" s="97"/>
      <c r="I17" s="97"/>
      <c r="J17" s="97"/>
      <c r="K17" s="133"/>
      <c r="L17" s="97"/>
      <c r="M17" s="250"/>
      <c r="N17" s="251"/>
      <c r="P17" s="17"/>
      <c r="Q17" s="17"/>
      <c r="R17" s="17"/>
      <c r="S17" s="17"/>
      <c r="T17" s="19"/>
    </row>
    <row r="18" spans="1:24" ht="24" customHeight="1">
      <c r="A18" s="5"/>
      <c r="B18" s="4"/>
      <c r="C18" s="40"/>
      <c r="D18" s="76"/>
      <c r="E18" s="76"/>
      <c r="F18" s="4"/>
      <c r="G18" s="4"/>
      <c r="H18" s="4"/>
      <c r="K18" s="48"/>
      <c r="L18" s="41"/>
      <c r="M18" s="284"/>
      <c r="N18" s="285"/>
      <c r="W18" s="17"/>
      <c r="X18" s="17"/>
    </row>
    <row r="19" spans="1:24" ht="24" customHeight="1">
      <c r="A19" s="5"/>
      <c r="B19" s="4"/>
      <c r="C19" s="40"/>
      <c r="D19" s="76"/>
      <c r="E19" s="76"/>
      <c r="F19" s="4"/>
      <c r="G19" s="4"/>
      <c r="H19" s="4"/>
      <c r="I19" s="16"/>
      <c r="K19" s="48"/>
      <c r="L19" s="41"/>
      <c r="M19" s="286"/>
      <c r="N19" s="287"/>
      <c r="W19" s="17"/>
      <c r="X19" s="17"/>
    </row>
    <row r="20" spans="1:24" ht="24" customHeight="1">
      <c r="A20" s="8"/>
      <c r="B20" s="9"/>
      <c r="C20" s="9"/>
      <c r="D20" s="10"/>
      <c r="E20" s="10"/>
      <c r="F20" s="9"/>
      <c r="G20" s="9"/>
      <c r="H20" s="9"/>
      <c r="I20" s="26"/>
      <c r="J20" s="49"/>
      <c r="K20" s="48"/>
      <c r="L20" s="41"/>
      <c r="M20" s="286"/>
      <c r="N20" s="287"/>
    </row>
    <row r="21" spans="1:24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</row>
    <row r="22" spans="1:24" ht="24" customHeight="1">
      <c r="A22" s="8"/>
      <c r="B22" s="9"/>
      <c r="C22" s="260" t="s">
        <v>8</v>
      </c>
      <c r="D22" s="261"/>
      <c r="E22" s="262">
        <v>609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37486</v>
      </c>
      <c r="L22" s="263"/>
      <c r="M22" s="265"/>
      <c r="N22" s="11"/>
    </row>
    <row r="23" spans="1:24" ht="24" customHeight="1">
      <c r="A23" s="8"/>
      <c r="B23" s="9"/>
      <c r="C23" s="260" t="s">
        <v>9</v>
      </c>
      <c r="D23" s="261"/>
      <c r="E23" s="266" t="s">
        <v>28</v>
      </c>
      <c r="F23" s="267"/>
      <c r="G23" s="267"/>
      <c r="H23" s="268"/>
      <c r="I23" s="261" t="s">
        <v>10</v>
      </c>
      <c r="J23" s="261"/>
      <c r="K23" s="269">
        <f>K22</f>
        <v>37486</v>
      </c>
      <c r="L23" s="263"/>
      <c r="M23" s="265"/>
      <c r="N23" s="11"/>
    </row>
    <row r="24" spans="1:24" ht="24" customHeight="1">
      <c r="A24" s="8"/>
      <c r="B24" s="9"/>
      <c r="C24" s="260" t="s">
        <v>11</v>
      </c>
      <c r="D24" s="261"/>
      <c r="E24" s="232">
        <f>SUM(M9:N20)</f>
        <v>136457000</v>
      </c>
      <c r="F24" s="233"/>
      <c r="G24" s="233"/>
      <c r="H24" s="270"/>
      <c r="I24" s="261" t="s">
        <v>12</v>
      </c>
      <c r="J24" s="261"/>
      <c r="K24" s="232">
        <f>E24*0.1</f>
        <v>13645700</v>
      </c>
      <c r="L24" s="233"/>
      <c r="M24" s="234"/>
      <c r="N24" s="11"/>
    </row>
    <row r="25" spans="1:24" ht="24" customHeight="1">
      <c r="A25" s="8"/>
      <c r="B25" s="9"/>
      <c r="C25" s="252" t="s">
        <v>13</v>
      </c>
      <c r="D25" s="253"/>
      <c r="E25" s="254">
        <v>46295</v>
      </c>
      <c r="F25" s="254"/>
      <c r="G25" s="254"/>
      <c r="H25" s="7" t="s">
        <v>14</v>
      </c>
      <c r="I25" s="255">
        <f>E24+K24</f>
        <v>150102700</v>
      </c>
      <c r="J25" s="256"/>
      <c r="K25" s="256"/>
      <c r="L25" s="256"/>
      <c r="M25" s="257"/>
      <c r="N25" s="11"/>
    </row>
    <row r="26" spans="1:24" ht="24" customHeight="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</row>
    <row r="27" spans="1:24" ht="27" customHeight="1">
      <c r="A27" s="258" t="s">
        <v>15</v>
      </c>
      <c r="B27" s="259"/>
      <c r="C27" s="20" t="str">
        <f>NUMBERSTRING(I25, 1)</f>
        <v>일억오천일십만이천칠백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150102700</v>
      </c>
      <c r="L27" s="235"/>
      <c r="M27" s="235"/>
      <c r="N27" s="236"/>
    </row>
    <row r="28" spans="1:24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4" ht="27" customHeight="1">
      <c r="A29" s="237" t="s">
        <v>19</v>
      </c>
      <c r="B29" s="237"/>
      <c r="C29" s="237"/>
      <c r="D29" s="238" t="s">
        <v>162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4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4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4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4">
    <mergeCell ref="C21:M21"/>
    <mergeCell ref="M10:N10"/>
    <mergeCell ref="A1:N1"/>
    <mergeCell ref="A3:A5"/>
    <mergeCell ref="I3:I5"/>
    <mergeCell ref="A7:N8"/>
    <mergeCell ref="M9:N9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C25:D25"/>
    <mergeCell ref="E25:G25"/>
    <mergeCell ref="I25:M25"/>
    <mergeCell ref="A27:B27"/>
    <mergeCell ref="C22:D22"/>
    <mergeCell ref="E22:F22"/>
    <mergeCell ref="H22:I22"/>
    <mergeCell ref="K22:M22"/>
    <mergeCell ref="C23:D23"/>
    <mergeCell ref="E23:H23"/>
    <mergeCell ref="I23:J23"/>
    <mergeCell ref="K23:M23"/>
    <mergeCell ref="C24:D24"/>
    <mergeCell ref="E24:H24"/>
    <mergeCell ref="I24:J24"/>
    <mergeCell ref="K24:M24"/>
    <mergeCell ref="K27:N27"/>
    <mergeCell ref="A29:C29"/>
    <mergeCell ref="D29:N29"/>
    <mergeCell ref="A30:C30"/>
    <mergeCell ref="D30:G30"/>
    <mergeCell ref="H30:J30"/>
    <mergeCell ref="K30:N30"/>
    <mergeCell ref="A28:C28"/>
    <mergeCell ref="D28:I28"/>
    <mergeCell ref="J28:K28"/>
    <mergeCell ref="L28:N28"/>
  </mergeCells>
  <phoneticPr fontId="2" type="noConversion"/>
  <printOptions horizontalCentered="1"/>
  <pageMargins left="0.19685039370078741" right="0.19685039370078741" top="0.94488188976377963" bottom="0.55118110236220474" header="0.31496062992125984" footer="0.31496062992125984"/>
  <pageSetup paperSize="9" scale="98" orientation="portrait" verticalDpi="300" r:id="rId1"/>
  <headerFooter>
    <oddFooter>&amp;C&amp;"윤명조,보통"&amp;11대  신  금  속  주  식  회  사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C257-39E7-4E15-81E3-0E75B302DCB5}">
  <dimension ref="A1:X76"/>
  <sheetViews>
    <sheetView zoomScale="80" zoomScaleNormal="80" workbookViewId="0">
      <selection activeCell="O14" sqref="O14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0.625" style="1" bestFit="1" customWidth="1"/>
    <col min="16" max="18" width="14.5" style="1" bestFit="1" customWidth="1"/>
    <col min="19" max="19" width="17.625" style="1" bestFit="1" customWidth="1"/>
    <col min="20" max="20" width="14.125" style="1" bestFit="1" customWidth="1"/>
    <col min="21" max="22" width="9" style="1"/>
    <col min="23" max="24" width="12.125" style="1" bestFit="1" customWidth="1"/>
    <col min="25" max="16384" width="9" style="1"/>
  </cols>
  <sheetData>
    <row r="1" spans="1:21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1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1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1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1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1" ht="24" customHeight="1">
      <c r="A7" s="276" t="s">
        <v>30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1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1" ht="24" customHeight="1">
      <c r="A9" s="5"/>
      <c r="B9" s="140"/>
      <c r="C9" s="140"/>
      <c r="D9" s="140"/>
      <c r="E9" s="140"/>
      <c r="F9" s="140"/>
      <c r="G9" s="140"/>
      <c r="H9" s="140"/>
      <c r="I9" s="140"/>
      <c r="J9" s="140"/>
      <c r="K9" s="133"/>
      <c r="L9" s="134"/>
      <c r="M9" s="282"/>
      <c r="N9" s="283"/>
      <c r="P9" s="59"/>
    </row>
    <row r="10" spans="1:21" ht="24" customHeight="1">
      <c r="A10" s="5"/>
      <c r="B10" s="141"/>
      <c r="C10" s="141"/>
      <c r="D10" s="141"/>
      <c r="E10" s="141"/>
      <c r="F10" s="141"/>
      <c r="G10" s="141"/>
      <c r="H10" s="142"/>
      <c r="I10" s="142"/>
      <c r="J10" s="142"/>
      <c r="K10" s="135"/>
      <c r="L10" s="90" t="s">
        <v>48</v>
      </c>
      <c r="M10" s="250">
        <f>O10</f>
        <v>0</v>
      </c>
      <c r="N10" s="251"/>
      <c r="P10" s="217">
        <f>SUM(P7:P9)</f>
        <v>0</v>
      </c>
      <c r="Q10" s="57"/>
      <c r="R10" s="57"/>
      <c r="S10" s="62"/>
      <c r="T10" s="63"/>
      <c r="U10" s="64"/>
    </row>
    <row r="11" spans="1:21" ht="24" customHeight="1">
      <c r="A11" s="5"/>
      <c r="B11" s="97"/>
      <c r="C11" s="97"/>
      <c r="D11" s="97"/>
      <c r="E11" s="97"/>
      <c r="F11" s="97"/>
      <c r="G11" s="97"/>
      <c r="H11" s="97"/>
      <c r="I11" s="97"/>
      <c r="J11" s="136"/>
      <c r="K11" s="136"/>
      <c r="L11" s="90" t="s">
        <v>46</v>
      </c>
      <c r="M11" s="250">
        <f t="shared" ref="M11:M13" si="0">O11</f>
        <v>0</v>
      </c>
      <c r="N11" s="251"/>
      <c r="P11" s="59"/>
      <c r="Q11" s="57"/>
      <c r="R11" s="57"/>
      <c r="S11" s="62"/>
      <c r="T11" s="59"/>
      <c r="U11" s="60"/>
    </row>
    <row r="12" spans="1:21" ht="24" customHeight="1">
      <c r="A12" s="5"/>
      <c r="B12" s="97"/>
      <c r="C12" s="97"/>
      <c r="D12" s="97"/>
      <c r="E12" s="97"/>
      <c r="F12" s="97"/>
      <c r="G12" s="97"/>
      <c r="H12" s="97"/>
      <c r="I12" s="97"/>
      <c r="J12" s="133"/>
      <c r="K12" s="133"/>
      <c r="L12" s="90" t="s">
        <v>56</v>
      </c>
      <c r="M12" s="250">
        <f t="shared" si="0"/>
        <v>20050000</v>
      </c>
      <c r="N12" s="251"/>
      <c r="O12" s="1">
        <v>20050000</v>
      </c>
      <c r="P12" s="112"/>
      <c r="Q12" s="113"/>
      <c r="R12" s="113"/>
      <c r="S12" s="79"/>
      <c r="T12" s="59"/>
      <c r="U12" s="60"/>
    </row>
    <row r="13" spans="1:21" ht="24" customHeight="1">
      <c r="A13" s="5"/>
      <c r="B13" s="97"/>
      <c r="C13" s="97"/>
      <c r="D13" s="97"/>
      <c r="E13" s="97"/>
      <c r="F13" s="97"/>
      <c r="G13" s="97"/>
      <c r="H13" s="97"/>
      <c r="I13" s="97"/>
      <c r="J13" s="137"/>
      <c r="K13" s="133"/>
      <c r="L13" s="90" t="s">
        <v>61</v>
      </c>
      <c r="M13" s="250">
        <f t="shared" si="0"/>
        <v>0</v>
      </c>
      <c r="N13" s="251"/>
      <c r="P13" s="59"/>
      <c r="Q13" s="61"/>
      <c r="R13" s="61"/>
      <c r="S13" s="17"/>
      <c r="T13" s="19"/>
    </row>
    <row r="14" spans="1:21" ht="24" customHeight="1">
      <c r="A14" s="5"/>
      <c r="B14" s="97"/>
      <c r="C14" s="97"/>
      <c r="D14" s="97"/>
      <c r="E14" s="97"/>
      <c r="F14" s="97"/>
      <c r="G14" s="97"/>
      <c r="H14" s="97"/>
      <c r="I14" s="97"/>
      <c r="J14" s="137"/>
      <c r="K14" s="133"/>
      <c r="L14" s="90" t="s">
        <v>76</v>
      </c>
      <c r="M14" s="250">
        <f>O14</f>
        <v>21737500</v>
      </c>
      <c r="N14" s="251"/>
      <c r="O14" s="1">
        <v>21737500</v>
      </c>
      <c r="P14" s="27"/>
      <c r="Q14" s="61"/>
      <c r="R14" s="61"/>
      <c r="S14" s="17"/>
      <c r="T14" s="19"/>
    </row>
    <row r="15" spans="1:21" ht="24" customHeight="1">
      <c r="A15" s="5"/>
      <c r="B15" s="97"/>
      <c r="C15" s="97"/>
      <c r="D15" s="97"/>
      <c r="E15" s="97"/>
      <c r="F15" s="97"/>
      <c r="G15" s="97"/>
      <c r="H15" s="97"/>
      <c r="I15" s="97"/>
      <c r="J15" s="133"/>
      <c r="K15" s="133"/>
      <c r="L15" s="133" t="s">
        <v>133</v>
      </c>
      <c r="M15" s="250">
        <f t="shared" ref="M15" si="1">O15</f>
        <v>0</v>
      </c>
      <c r="N15" s="251"/>
      <c r="P15" s="17"/>
      <c r="Q15" s="61"/>
      <c r="R15" s="61"/>
      <c r="S15" s="17"/>
      <c r="T15" s="19"/>
      <c r="U15" s="19"/>
    </row>
    <row r="16" spans="1:21" ht="24" customHeight="1">
      <c r="A16" s="5"/>
      <c r="B16" s="97"/>
      <c r="C16" s="97"/>
      <c r="D16" s="97"/>
      <c r="E16" s="97"/>
      <c r="F16" s="97"/>
      <c r="G16" s="97"/>
      <c r="H16" s="97"/>
      <c r="I16" s="97"/>
      <c r="J16" s="97"/>
      <c r="K16" s="133"/>
      <c r="L16" s="133" t="s">
        <v>163</v>
      </c>
      <c r="M16" s="250">
        <f>+O16+O17</f>
        <v>0</v>
      </c>
      <c r="N16" s="251"/>
      <c r="P16" s="17"/>
      <c r="Q16" s="17"/>
      <c r="R16" s="17"/>
      <c r="S16" s="17"/>
      <c r="T16" s="19"/>
    </row>
    <row r="17" spans="1:24" ht="24" customHeight="1">
      <c r="A17" s="5"/>
      <c r="B17" s="97"/>
      <c r="C17" s="97"/>
      <c r="D17" s="97"/>
      <c r="E17" s="97"/>
      <c r="F17" s="97"/>
      <c r="G17" s="97"/>
      <c r="H17" s="97"/>
      <c r="I17" s="97"/>
      <c r="J17" s="97"/>
      <c r="K17" s="133"/>
      <c r="L17" s="97"/>
      <c r="M17" s="250"/>
      <c r="N17" s="251"/>
      <c r="P17" s="17"/>
      <c r="Q17" s="17"/>
      <c r="R17" s="17"/>
      <c r="S17" s="17"/>
      <c r="T17" s="19"/>
    </row>
    <row r="18" spans="1:24" ht="24" customHeight="1">
      <c r="A18" s="5"/>
      <c r="B18" s="4"/>
      <c r="C18" s="40"/>
      <c r="D18" s="76"/>
      <c r="E18" s="76"/>
      <c r="F18" s="4"/>
      <c r="G18" s="4"/>
      <c r="H18" s="4"/>
      <c r="K18" s="48"/>
      <c r="L18" s="41"/>
      <c r="M18" s="284"/>
      <c r="N18" s="285"/>
      <c r="W18" s="17"/>
      <c r="X18" s="17"/>
    </row>
    <row r="19" spans="1:24" ht="24" customHeight="1">
      <c r="A19" s="5"/>
      <c r="B19" s="4"/>
      <c r="C19" s="40"/>
      <c r="D19" s="76"/>
      <c r="E19" s="76"/>
      <c r="F19" s="4"/>
      <c r="G19" s="4"/>
      <c r="H19" s="4"/>
      <c r="I19" s="16"/>
      <c r="K19" s="48"/>
      <c r="L19" s="41"/>
      <c r="M19" s="286"/>
      <c r="N19" s="287"/>
      <c r="W19" s="17"/>
      <c r="X19" s="17"/>
    </row>
    <row r="20" spans="1:24" ht="24" customHeight="1">
      <c r="A20" s="8"/>
      <c r="B20" s="9"/>
      <c r="C20" s="9"/>
      <c r="D20" s="10"/>
      <c r="E20" s="10"/>
      <c r="F20" s="9"/>
      <c r="G20" s="9"/>
      <c r="H20" s="9"/>
      <c r="I20" s="26"/>
      <c r="J20" s="49"/>
      <c r="K20" s="48"/>
      <c r="L20" s="41"/>
      <c r="M20" s="286"/>
      <c r="N20" s="287"/>
    </row>
    <row r="21" spans="1:24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</row>
    <row r="22" spans="1:24" ht="24" customHeight="1">
      <c r="A22" s="8"/>
      <c r="B22" s="9"/>
      <c r="C22" s="260" t="s">
        <v>8</v>
      </c>
      <c r="D22" s="261"/>
      <c r="E22" s="262">
        <v>609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37486</v>
      </c>
      <c r="L22" s="263"/>
      <c r="M22" s="265"/>
      <c r="N22" s="11"/>
    </row>
    <row r="23" spans="1:24" ht="24" customHeight="1">
      <c r="A23" s="8"/>
      <c r="B23" s="9"/>
      <c r="C23" s="260" t="s">
        <v>9</v>
      </c>
      <c r="D23" s="261"/>
      <c r="E23" s="266" t="s">
        <v>28</v>
      </c>
      <c r="F23" s="267"/>
      <c r="G23" s="267"/>
      <c r="H23" s="268"/>
      <c r="I23" s="261" t="s">
        <v>10</v>
      </c>
      <c r="J23" s="261"/>
      <c r="K23" s="269">
        <f>K22</f>
        <v>37486</v>
      </c>
      <c r="L23" s="263"/>
      <c r="M23" s="265"/>
      <c r="N23" s="11"/>
    </row>
    <row r="24" spans="1:24" ht="24" customHeight="1">
      <c r="A24" s="8"/>
      <c r="B24" s="9"/>
      <c r="C24" s="260" t="s">
        <v>11</v>
      </c>
      <c r="D24" s="261"/>
      <c r="E24" s="232">
        <f>SUM(M9:N20)</f>
        <v>41787500</v>
      </c>
      <c r="F24" s="233"/>
      <c r="G24" s="233"/>
      <c r="H24" s="270"/>
      <c r="I24" s="261" t="s">
        <v>12</v>
      </c>
      <c r="J24" s="261"/>
      <c r="K24" s="232">
        <f>E24*0.1</f>
        <v>4178750</v>
      </c>
      <c r="L24" s="233"/>
      <c r="M24" s="234"/>
      <c r="N24" s="11"/>
    </row>
    <row r="25" spans="1:24" ht="24" customHeight="1">
      <c r="A25" s="8"/>
      <c r="B25" s="9"/>
      <c r="C25" s="252" t="s">
        <v>13</v>
      </c>
      <c r="D25" s="253"/>
      <c r="E25" s="254">
        <v>46080</v>
      </c>
      <c r="F25" s="254"/>
      <c r="G25" s="254"/>
      <c r="H25" s="7" t="s">
        <v>14</v>
      </c>
      <c r="I25" s="255">
        <f>E24+K24</f>
        <v>45966250</v>
      </c>
      <c r="J25" s="256"/>
      <c r="K25" s="256"/>
      <c r="L25" s="256"/>
      <c r="M25" s="257"/>
      <c r="N25" s="11"/>
    </row>
    <row r="26" spans="1:24" ht="24" customHeight="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1"/>
    </row>
    <row r="27" spans="1:24" ht="27" customHeight="1">
      <c r="A27" s="258" t="s">
        <v>15</v>
      </c>
      <c r="B27" s="259"/>
      <c r="C27" s="20" t="str">
        <f>NUMBERSTRING(I25, 1)</f>
        <v>사천오백구십육만육천이백오십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45966250</v>
      </c>
      <c r="L27" s="235"/>
      <c r="M27" s="235"/>
      <c r="N27" s="236"/>
    </row>
    <row r="28" spans="1:24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4" ht="27" customHeight="1">
      <c r="A29" s="237" t="s">
        <v>19</v>
      </c>
      <c r="B29" s="237"/>
      <c r="C29" s="237"/>
      <c r="D29" s="238" t="s">
        <v>162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4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4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4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4">
    <mergeCell ref="C21:M21"/>
    <mergeCell ref="M10:N10"/>
    <mergeCell ref="A1:N1"/>
    <mergeCell ref="A3:A5"/>
    <mergeCell ref="I3:I5"/>
    <mergeCell ref="A7:N8"/>
    <mergeCell ref="M9:N9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C25:D25"/>
    <mergeCell ref="E25:G25"/>
    <mergeCell ref="I25:M25"/>
    <mergeCell ref="A27:B27"/>
    <mergeCell ref="C22:D22"/>
    <mergeCell ref="E22:F22"/>
    <mergeCell ref="H22:I22"/>
    <mergeCell ref="K22:M22"/>
    <mergeCell ref="C23:D23"/>
    <mergeCell ref="E23:H23"/>
    <mergeCell ref="I23:J23"/>
    <mergeCell ref="K23:M23"/>
    <mergeCell ref="C24:D24"/>
    <mergeCell ref="E24:H24"/>
    <mergeCell ref="I24:J24"/>
    <mergeCell ref="K24:M24"/>
    <mergeCell ref="K27:N27"/>
    <mergeCell ref="A29:C29"/>
    <mergeCell ref="D29:N29"/>
    <mergeCell ref="A30:C30"/>
    <mergeCell ref="D30:G30"/>
    <mergeCell ref="H30:J30"/>
    <mergeCell ref="K30:N30"/>
    <mergeCell ref="A28:C28"/>
    <mergeCell ref="D28:I28"/>
    <mergeCell ref="J28:K28"/>
    <mergeCell ref="L28:N28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6340-372C-4F38-BD93-F904D250B2A6}">
  <dimension ref="A1:T75"/>
  <sheetViews>
    <sheetView zoomScale="80" zoomScaleNormal="80" workbookViewId="0">
      <selection activeCell="Q22" sqref="Q22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6" width="9" style="1"/>
    <col min="17" max="18" width="13.375" style="1" bestFit="1" customWidth="1"/>
    <col min="19" max="19" width="14.5" style="1" bestFit="1" customWidth="1"/>
    <col min="20" max="20" width="14.125" style="1" bestFit="1" customWidth="1"/>
    <col min="21" max="16384" width="9" style="1"/>
  </cols>
  <sheetData>
    <row r="1" spans="1:18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8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8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8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8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8" ht="24" customHeight="1">
      <c r="A7" s="276" t="s">
        <v>6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8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8" ht="24" customHeight="1">
      <c r="A9" s="5"/>
      <c r="B9" s="4"/>
      <c r="C9" s="4"/>
      <c r="D9" s="4"/>
      <c r="E9" s="4"/>
      <c r="F9" s="4"/>
      <c r="G9" s="4"/>
      <c r="H9" s="4"/>
      <c r="I9" s="4"/>
      <c r="J9" s="4"/>
      <c r="L9" s="16"/>
      <c r="M9" s="288"/>
      <c r="N9" s="289"/>
    </row>
    <row r="10" spans="1:18" ht="24" customHeight="1">
      <c r="A10" s="5"/>
      <c r="B10" s="4"/>
      <c r="C10" s="4"/>
      <c r="D10" s="4"/>
      <c r="E10" s="4"/>
      <c r="F10" s="4"/>
      <c r="G10" s="4"/>
      <c r="H10" s="4"/>
      <c r="I10" s="4"/>
      <c r="J10" s="4"/>
      <c r="L10" s="107" t="s">
        <v>48</v>
      </c>
      <c r="M10" s="290">
        <v>193992950</v>
      </c>
      <c r="N10" s="291"/>
      <c r="Q10" s="77"/>
      <c r="R10" s="77"/>
    </row>
    <row r="11" spans="1:18" ht="24" customHeight="1">
      <c r="A11" s="5"/>
      <c r="B11" s="4"/>
      <c r="C11" s="43"/>
      <c r="D11" s="4"/>
      <c r="E11" s="4"/>
      <c r="F11" s="4"/>
      <c r="G11" s="4"/>
      <c r="H11" s="4"/>
      <c r="I11" s="4"/>
      <c r="J11" s="4"/>
      <c r="L11" s="107" t="s">
        <v>46</v>
      </c>
      <c r="M11" s="290">
        <v>37660000</v>
      </c>
      <c r="N11" s="291"/>
      <c r="Q11" s="78"/>
      <c r="R11" s="78"/>
    </row>
    <row r="12" spans="1:18" ht="24" customHeight="1">
      <c r="A12" s="5"/>
      <c r="B12" s="4"/>
      <c r="C12" s="44"/>
      <c r="D12" s="45"/>
      <c r="E12" s="4"/>
      <c r="F12" s="4"/>
      <c r="G12" s="4"/>
      <c r="H12" s="4"/>
      <c r="I12" s="4"/>
      <c r="J12" s="4"/>
      <c r="L12" s="107" t="s">
        <v>56</v>
      </c>
      <c r="M12" s="290"/>
      <c r="N12" s="291"/>
    </row>
    <row r="13" spans="1:18" ht="24" customHeight="1">
      <c r="A13" s="5"/>
      <c r="B13" s="4"/>
      <c r="C13" s="45"/>
      <c r="D13" s="45"/>
      <c r="E13" s="4"/>
      <c r="F13" s="4"/>
      <c r="G13" s="4"/>
      <c r="H13" s="4"/>
      <c r="I13" s="4"/>
      <c r="J13" s="4"/>
      <c r="K13" s="4"/>
      <c r="L13" s="107" t="s">
        <v>76</v>
      </c>
      <c r="M13" s="290">
        <v>8816870</v>
      </c>
      <c r="N13" s="291"/>
      <c r="Q13" s="77"/>
      <c r="R13" s="77"/>
    </row>
    <row r="14" spans="1:18" ht="24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107"/>
      <c r="M14" s="290"/>
      <c r="N14" s="291"/>
      <c r="Q14" s="77"/>
      <c r="R14" s="77"/>
    </row>
    <row r="15" spans="1:18" ht="24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21"/>
      <c r="M15" s="303"/>
      <c r="N15" s="304"/>
    </row>
    <row r="16" spans="1:18" ht="24" customHeight="1">
      <c r="A16" s="5"/>
      <c r="B16" s="4"/>
      <c r="E16" s="4"/>
      <c r="F16" s="4"/>
      <c r="G16" s="4"/>
      <c r="H16" s="4"/>
      <c r="I16" s="4"/>
      <c r="J16" s="4"/>
      <c r="K16" s="4"/>
      <c r="L16" s="16"/>
      <c r="M16" s="288"/>
      <c r="N16" s="289"/>
    </row>
    <row r="17" spans="1:20" ht="24" customHeight="1">
      <c r="A17" s="5"/>
      <c r="B17" s="4"/>
      <c r="C17" s="40"/>
      <c r="D17" s="302"/>
      <c r="E17" s="302"/>
      <c r="F17" s="4"/>
      <c r="G17" s="4"/>
      <c r="H17" s="4"/>
      <c r="I17" s="4"/>
      <c r="J17" s="4"/>
      <c r="K17" s="4"/>
      <c r="L17" s="16"/>
      <c r="M17" s="288"/>
      <c r="N17" s="289"/>
      <c r="Q17" s="77"/>
      <c r="R17" s="77"/>
      <c r="S17" s="77"/>
      <c r="T17" s="77"/>
    </row>
    <row r="18" spans="1:20" ht="24" customHeight="1">
      <c r="A18" s="5"/>
      <c r="B18" s="4"/>
      <c r="C18" s="40"/>
      <c r="D18" s="302"/>
      <c r="E18" s="302"/>
      <c r="F18" s="4"/>
      <c r="G18" s="4"/>
      <c r="H18" s="4"/>
      <c r="I18" s="4"/>
      <c r="J18" s="4"/>
      <c r="K18" s="4"/>
      <c r="L18" s="4"/>
      <c r="M18" s="4"/>
      <c r="N18" s="6"/>
      <c r="Q18" s="77"/>
      <c r="R18" s="77"/>
    </row>
    <row r="19" spans="1:20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</row>
    <row r="20" spans="1:20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</row>
    <row r="21" spans="1:20" ht="24" customHeight="1">
      <c r="A21" s="8"/>
      <c r="B21" s="9"/>
      <c r="C21" s="260" t="s">
        <v>8</v>
      </c>
      <c r="D21" s="261"/>
      <c r="E21" s="262">
        <v>105</v>
      </c>
      <c r="F21" s="263"/>
      <c r="G21" s="12" t="s">
        <v>23</v>
      </c>
      <c r="H21" s="264">
        <v>81</v>
      </c>
      <c r="I21" s="263"/>
      <c r="J21" s="12" t="s">
        <v>23</v>
      </c>
      <c r="K21" s="264">
        <v>32752</v>
      </c>
      <c r="L21" s="263"/>
      <c r="M21" s="265"/>
      <c r="N21" s="11"/>
      <c r="Q21" s="17"/>
      <c r="R21" s="17"/>
    </row>
    <row r="22" spans="1:20" ht="24" customHeight="1">
      <c r="A22" s="8"/>
      <c r="B22" s="9"/>
      <c r="C22" s="260" t="s">
        <v>9</v>
      </c>
      <c r="D22" s="261"/>
      <c r="E22" s="266" t="s">
        <v>136</v>
      </c>
      <c r="F22" s="267"/>
      <c r="G22" s="267"/>
      <c r="H22" s="268"/>
      <c r="I22" s="261" t="s">
        <v>10</v>
      </c>
      <c r="J22" s="261"/>
      <c r="K22" s="269">
        <f>K21</f>
        <v>32752</v>
      </c>
      <c r="L22" s="263"/>
      <c r="M22" s="265"/>
      <c r="N22" s="11"/>
      <c r="S22" s="17"/>
    </row>
    <row r="23" spans="1:20" ht="24" customHeight="1">
      <c r="A23" s="8"/>
      <c r="B23" s="9"/>
      <c r="C23" s="260" t="s">
        <v>11</v>
      </c>
      <c r="D23" s="261"/>
      <c r="E23" s="232">
        <f>SUM(M10:N13)</f>
        <v>240469820</v>
      </c>
      <c r="F23" s="233"/>
      <c r="G23" s="233"/>
      <c r="H23" s="270"/>
      <c r="I23" s="261" t="s">
        <v>12</v>
      </c>
      <c r="J23" s="261"/>
      <c r="K23" s="232">
        <f>E23*0.1</f>
        <v>24046982</v>
      </c>
      <c r="L23" s="233"/>
      <c r="M23" s="234"/>
      <c r="N23" s="11"/>
    </row>
    <row r="24" spans="1:20" ht="24" customHeight="1">
      <c r="A24" s="8"/>
      <c r="B24" s="9"/>
      <c r="C24" s="252" t="s">
        <v>13</v>
      </c>
      <c r="D24" s="253"/>
      <c r="E24" s="254">
        <v>45930</v>
      </c>
      <c r="F24" s="254"/>
      <c r="G24" s="254"/>
      <c r="H24" s="7" t="s">
        <v>14</v>
      </c>
      <c r="I24" s="255">
        <f>E23+K23</f>
        <v>264516802</v>
      </c>
      <c r="J24" s="256"/>
      <c r="K24" s="256"/>
      <c r="L24" s="256"/>
      <c r="M24" s="257"/>
      <c r="N24" s="11"/>
    </row>
    <row r="25" spans="1:20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20" ht="27" customHeight="1">
      <c r="A26" s="258" t="s">
        <v>15</v>
      </c>
      <c r="B26" s="259"/>
      <c r="C26" s="297" t="str">
        <f>NUMBERSTRING(I24, 1)</f>
        <v>이억육천사백오십일만육천팔백이</v>
      </c>
      <c r="D26" s="297"/>
      <c r="E26" s="297"/>
      <c r="F26" s="297"/>
      <c r="G26" s="13"/>
      <c r="H26" s="13"/>
      <c r="I26" s="13"/>
      <c r="J26" s="13" t="s">
        <v>16</v>
      </c>
      <c r="K26" s="235">
        <f>I24</f>
        <v>264516802</v>
      </c>
      <c r="L26" s="235"/>
      <c r="M26" s="235"/>
      <c r="N26" s="236"/>
    </row>
    <row r="27" spans="1:20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20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20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20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20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0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M16:N16"/>
    <mergeCell ref="A1:N1"/>
    <mergeCell ref="A3:A5"/>
    <mergeCell ref="I3:I5"/>
    <mergeCell ref="A7:N8"/>
    <mergeCell ref="M9:N9"/>
    <mergeCell ref="M10:N10"/>
    <mergeCell ref="M11:N11"/>
    <mergeCell ref="M12:N12"/>
    <mergeCell ref="M13:N13"/>
    <mergeCell ref="M14:N14"/>
    <mergeCell ref="M15:N15"/>
    <mergeCell ref="D17:E17"/>
    <mergeCell ref="M17:N17"/>
    <mergeCell ref="D18:E18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A26:B26"/>
    <mergeCell ref="C26:F26"/>
    <mergeCell ref="K26:N26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F6DF-5E5E-4F06-B38C-CCA87E433ACD}">
  <dimension ref="A1:T76"/>
  <sheetViews>
    <sheetView zoomScale="80" zoomScaleNormal="80" workbookViewId="0">
      <selection activeCell="E25" sqref="E25:G2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9" style="1"/>
    <col min="16" max="18" width="14.5" style="1" bestFit="1" customWidth="1"/>
    <col min="19" max="19" width="13.375" style="1" bestFit="1" customWidth="1"/>
    <col min="20" max="20" width="14.125" style="1" bestFit="1" customWidth="1"/>
    <col min="21" max="16384" width="9" style="1"/>
  </cols>
  <sheetData>
    <row r="1" spans="1:20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0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0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0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0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0" ht="24" customHeight="1">
      <c r="A7" s="276" t="s">
        <v>33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0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0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K9" s="14"/>
      <c r="L9" s="4"/>
      <c r="M9" s="4"/>
      <c r="N9" s="6"/>
    </row>
    <row r="10" spans="1:20" ht="24" customHeight="1">
      <c r="A10" s="5"/>
      <c r="B10" s="131"/>
      <c r="C10" s="131"/>
      <c r="D10" s="131"/>
      <c r="E10" s="131"/>
      <c r="F10" s="131"/>
      <c r="G10" s="131"/>
      <c r="H10" s="132"/>
      <c r="I10" s="132"/>
      <c r="J10" s="132"/>
      <c r="K10" s="109"/>
      <c r="L10" s="107" t="s">
        <v>48</v>
      </c>
      <c r="M10" s="290">
        <v>15416220</v>
      </c>
      <c r="N10" s="291"/>
      <c r="O10" s="46"/>
    </row>
    <row r="11" spans="1:20" ht="24" customHeight="1">
      <c r="A11" s="5"/>
      <c r="B11" s="4"/>
      <c r="C11" s="4"/>
      <c r="D11" s="4"/>
      <c r="E11" s="4"/>
      <c r="F11" s="4" t="s">
        <v>29</v>
      </c>
      <c r="G11" s="4"/>
      <c r="H11" s="4"/>
      <c r="I11" s="46"/>
      <c r="J11" s="46"/>
      <c r="K11" s="109"/>
      <c r="L11" s="107" t="s">
        <v>46</v>
      </c>
      <c r="M11" s="290"/>
      <c r="N11" s="291"/>
      <c r="O11" s="46"/>
      <c r="P11" s="79"/>
      <c r="Q11" s="79"/>
    </row>
    <row r="12" spans="1:20" ht="24" customHeight="1">
      <c r="A12" s="5"/>
      <c r="B12" s="4"/>
      <c r="C12" s="4"/>
      <c r="D12" s="4"/>
      <c r="E12" s="4"/>
      <c r="F12" s="4"/>
      <c r="G12" s="4"/>
      <c r="H12" s="4"/>
      <c r="I12" s="46"/>
      <c r="J12" s="46"/>
      <c r="K12" s="109"/>
      <c r="L12" s="107" t="s">
        <v>56</v>
      </c>
      <c r="M12" s="290"/>
      <c r="N12" s="291"/>
      <c r="O12" s="46"/>
    </row>
    <row r="13" spans="1:20" ht="24" customHeight="1">
      <c r="A13" s="5"/>
      <c r="B13" s="4"/>
      <c r="C13" s="4"/>
      <c r="D13" s="4"/>
      <c r="E13" s="4"/>
      <c r="F13" s="4"/>
      <c r="G13" s="4"/>
      <c r="H13" s="4"/>
      <c r="I13" s="46"/>
      <c r="J13" s="87"/>
      <c r="K13" s="88"/>
      <c r="L13" s="107" t="s">
        <v>61</v>
      </c>
      <c r="M13" s="290"/>
      <c r="N13" s="291"/>
      <c r="O13" s="46"/>
      <c r="P13" s="17"/>
      <c r="Q13" s="17"/>
      <c r="R13" s="17"/>
      <c r="S13" s="17"/>
      <c r="T13" s="19"/>
    </row>
    <row r="14" spans="1:20" ht="24" customHeight="1">
      <c r="A14" s="5"/>
      <c r="B14" s="4"/>
      <c r="C14" s="4"/>
      <c r="D14" s="4"/>
      <c r="E14" s="4"/>
      <c r="F14" s="4"/>
      <c r="G14" s="4"/>
      <c r="H14" s="4"/>
      <c r="I14" s="46"/>
      <c r="J14" s="114"/>
      <c r="K14" s="88"/>
      <c r="L14" s="107" t="s">
        <v>76</v>
      </c>
      <c r="M14" s="290">
        <v>7193780</v>
      </c>
      <c r="N14" s="291"/>
      <c r="O14" s="46"/>
      <c r="P14" s="17"/>
      <c r="Q14" s="17"/>
      <c r="R14" s="17"/>
      <c r="S14" s="17"/>
      <c r="T14" s="19"/>
    </row>
    <row r="15" spans="1:20" ht="24" customHeight="1">
      <c r="A15" s="5"/>
      <c r="B15" s="4"/>
      <c r="C15" s="4"/>
      <c r="D15" s="4"/>
      <c r="E15" s="4"/>
      <c r="F15" s="4"/>
      <c r="G15" s="4"/>
      <c r="H15" s="4"/>
      <c r="I15" s="46"/>
      <c r="J15" s="46"/>
      <c r="K15" s="88"/>
      <c r="L15" s="115"/>
      <c r="M15" s="290"/>
      <c r="N15" s="291"/>
      <c r="O15" s="46"/>
      <c r="P15" s="17"/>
      <c r="Q15" s="17"/>
      <c r="R15" s="17"/>
      <c r="S15" s="17"/>
      <c r="T15" s="19"/>
    </row>
    <row r="16" spans="1:20" ht="24" customHeight="1">
      <c r="A16" s="5"/>
      <c r="B16" s="4"/>
      <c r="C16" s="4"/>
      <c r="D16" s="4"/>
      <c r="E16" s="4"/>
      <c r="F16" s="4"/>
      <c r="G16" s="4"/>
      <c r="H16" s="4"/>
      <c r="I16" s="46"/>
      <c r="J16" s="87"/>
      <c r="K16" s="88"/>
      <c r="L16" s="88"/>
      <c r="M16" s="290"/>
      <c r="N16" s="291"/>
      <c r="O16" s="46"/>
      <c r="P16" s="17"/>
      <c r="Q16" s="17"/>
      <c r="R16" s="17"/>
      <c r="S16" s="17"/>
      <c r="T16" s="19"/>
    </row>
    <row r="17" spans="1:20" ht="24" customHeight="1">
      <c r="A17" s="5"/>
      <c r="B17" s="4"/>
      <c r="E17" s="4"/>
      <c r="F17" s="4"/>
      <c r="G17" s="4"/>
      <c r="H17" s="4"/>
      <c r="I17" s="4"/>
      <c r="J17" s="87"/>
      <c r="K17" s="88"/>
      <c r="L17" s="88"/>
      <c r="M17" s="288"/>
      <c r="N17" s="289"/>
      <c r="P17" s="17"/>
      <c r="Q17" s="17"/>
      <c r="R17" s="17"/>
      <c r="S17" s="17"/>
      <c r="T17" s="19"/>
    </row>
    <row r="18" spans="1:20" ht="24" customHeight="1">
      <c r="A18" s="5"/>
      <c r="B18" s="4"/>
      <c r="C18" s="40"/>
      <c r="D18" s="110"/>
      <c r="E18" s="110"/>
      <c r="F18" s="4"/>
      <c r="G18" s="4"/>
      <c r="H18" s="4"/>
      <c r="I18" s="4"/>
      <c r="J18" s="21"/>
      <c r="K18" s="23"/>
      <c r="L18" s="16"/>
      <c r="M18" s="24"/>
      <c r="N18" s="25"/>
      <c r="P18" s="17"/>
      <c r="Q18" s="17"/>
      <c r="R18" s="17"/>
    </row>
    <row r="19" spans="1:20" ht="24" customHeight="1">
      <c r="A19" s="5"/>
      <c r="B19" s="4"/>
      <c r="C19" s="40"/>
      <c r="D19" s="110"/>
      <c r="E19" s="110"/>
      <c r="F19" s="4"/>
      <c r="G19" s="4"/>
      <c r="H19" s="4"/>
      <c r="I19" s="4"/>
      <c r="J19" s="21"/>
      <c r="K19" s="23"/>
      <c r="N19" s="18"/>
      <c r="P19" s="17"/>
      <c r="Q19" s="17"/>
      <c r="R19" s="17"/>
    </row>
    <row r="20" spans="1:20" ht="24" customHeight="1">
      <c r="A20" s="8"/>
      <c r="B20" s="9"/>
      <c r="C20" s="9"/>
      <c r="D20" s="10"/>
      <c r="E20" s="10"/>
      <c r="F20" s="9"/>
      <c r="G20" s="9"/>
      <c r="H20" s="9"/>
      <c r="I20" s="9"/>
      <c r="J20" s="22"/>
      <c r="K20" s="23"/>
      <c r="L20" s="26"/>
      <c r="M20" s="298"/>
      <c r="N20" s="299"/>
      <c r="P20" s="19"/>
    </row>
    <row r="21" spans="1:20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  <c r="P21" s="19"/>
    </row>
    <row r="22" spans="1:20" ht="24" customHeight="1">
      <c r="A22" s="8"/>
      <c r="B22" s="9"/>
      <c r="C22" s="260" t="s">
        <v>8</v>
      </c>
      <c r="D22" s="261"/>
      <c r="E22" s="262">
        <v>312</v>
      </c>
      <c r="F22" s="263"/>
      <c r="G22" s="12" t="s">
        <v>23</v>
      </c>
      <c r="H22" s="264">
        <v>85</v>
      </c>
      <c r="I22" s="263"/>
      <c r="J22" s="12" t="s">
        <v>23</v>
      </c>
      <c r="K22" s="264">
        <v>60344</v>
      </c>
      <c r="L22" s="263"/>
      <c r="M22" s="265"/>
      <c r="N22" s="11"/>
    </row>
    <row r="23" spans="1:20" ht="24" customHeight="1">
      <c r="A23" s="8"/>
      <c r="B23" s="9"/>
      <c r="C23" s="260" t="s">
        <v>9</v>
      </c>
      <c r="D23" s="261"/>
      <c r="E23" s="266" t="s">
        <v>137</v>
      </c>
      <c r="F23" s="267"/>
      <c r="G23" s="267"/>
      <c r="H23" s="268"/>
      <c r="I23" s="261" t="s">
        <v>10</v>
      </c>
      <c r="J23" s="261"/>
      <c r="K23" s="269">
        <f>K22</f>
        <v>60344</v>
      </c>
      <c r="L23" s="263"/>
      <c r="M23" s="265"/>
      <c r="N23" s="11"/>
    </row>
    <row r="24" spans="1:20" ht="24" customHeight="1">
      <c r="A24" s="8"/>
      <c r="B24" s="9"/>
      <c r="C24" s="260" t="s">
        <v>11</v>
      </c>
      <c r="D24" s="261"/>
      <c r="E24" s="232">
        <f>SUM(M10:N15)</f>
        <v>22610000</v>
      </c>
      <c r="F24" s="233"/>
      <c r="G24" s="233"/>
      <c r="H24" s="270"/>
      <c r="I24" s="261" t="s">
        <v>12</v>
      </c>
      <c r="J24" s="261"/>
      <c r="K24" s="232">
        <f>+E24*0.1</f>
        <v>2261000</v>
      </c>
      <c r="L24" s="233"/>
      <c r="M24" s="234"/>
      <c r="N24" s="11"/>
    </row>
    <row r="25" spans="1:20" ht="24" customHeight="1">
      <c r="A25" s="8"/>
      <c r="B25" s="9"/>
      <c r="C25" s="252" t="s">
        <v>13</v>
      </c>
      <c r="D25" s="253"/>
      <c r="E25" s="254">
        <v>45930</v>
      </c>
      <c r="F25" s="254"/>
      <c r="G25" s="254"/>
      <c r="H25" s="7" t="s">
        <v>14</v>
      </c>
      <c r="I25" s="255">
        <f>E24+K24</f>
        <v>24871000</v>
      </c>
      <c r="J25" s="256"/>
      <c r="K25" s="256"/>
      <c r="L25" s="256"/>
      <c r="M25" s="257"/>
      <c r="N25" s="11"/>
    </row>
    <row r="26" spans="1:20" ht="24" customHeight="1">
      <c r="A26" s="8"/>
      <c r="B26" s="9"/>
      <c r="C26" s="9"/>
      <c r="D26" s="9"/>
      <c r="E26" s="9"/>
      <c r="F26" s="106"/>
      <c r="G26" s="9"/>
      <c r="H26" s="9"/>
      <c r="I26" s="9"/>
      <c r="J26" s="9"/>
      <c r="K26" s="9"/>
      <c r="L26" s="9"/>
      <c r="M26" s="9"/>
      <c r="N26" s="11"/>
    </row>
    <row r="27" spans="1:20" ht="27" customHeight="1">
      <c r="A27" s="258" t="s">
        <v>15</v>
      </c>
      <c r="B27" s="259"/>
      <c r="C27" s="20" t="str">
        <f>NUMBERSTRING(I25, 1)</f>
        <v>이천사백팔십칠만일천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24871000</v>
      </c>
      <c r="L27" s="235"/>
      <c r="M27" s="235"/>
      <c r="N27" s="236"/>
    </row>
    <row r="28" spans="1:20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20" ht="27" customHeight="1">
      <c r="A29" s="237" t="s">
        <v>19</v>
      </c>
      <c r="B29" s="237"/>
      <c r="C29" s="237"/>
      <c r="D29" s="238" t="s">
        <v>49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20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20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0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1">
    <mergeCell ref="A30:C30"/>
    <mergeCell ref="D30:G30"/>
    <mergeCell ref="H30:J30"/>
    <mergeCell ref="K30:N30"/>
    <mergeCell ref="A28:C28"/>
    <mergeCell ref="D28:I28"/>
    <mergeCell ref="J28:K28"/>
    <mergeCell ref="L28:N28"/>
    <mergeCell ref="K27:N27"/>
    <mergeCell ref="A29:C29"/>
    <mergeCell ref="D29:N29"/>
    <mergeCell ref="C25:D25"/>
    <mergeCell ref="E25:G25"/>
    <mergeCell ref="I25:M25"/>
    <mergeCell ref="A27:B27"/>
    <mergeCell ref="M20:N20"/>
    <mergeCell ref="C21:M21"/>
    <mergeCell ref="C22:D22"/>
    <mergeCell ref="E22:F22"/>
    <mergeCell ref="H22:I22"/>
    <mergeCell ref="K22:M22"/>
    <mergeCell ref="C23:D23"/>
    <mergeCell ref="E23:H23"/>
    <mergeCell ref="I23:J23"/>
    <mergeCell ref="K23:M23"/>
    <mergeCell ref="C24:D24"/>
    <mergeCell ref="E24:H24"/>
    <mergeCell ref="I24:J24"/>
    <mergeCell ref="K24:M24"/>
    <mergeCell ref="M17:N17"/>
    <mergeCell ref="A1:N1"/>
    <mergeCell ref="A3:A5"/>
    <mergeCell ref="I3:I5"/>
    <mergeCell ref="A7:N8"/>
    <mergeCell ref="M10:N10"/>
    <mergeCell ref="M11:N11"/>
    <mergeCell ref="M12:N12"/>
    <mergeCell ref="M13:N13"/>
    <mergeCell ref="M14:N14"/>
    <mergeCell ref="M15:N15"/>
    <mergeCell ref="M16:N16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r:id="rId1"/>
  <headerFooter>
    <oddFooter>&amp;C&amp;"윤명조,보통"&amp;11대  신  금  속  주  식  회  사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E867-EFC8-4EB9-8B85-F81D84E0AEA4}">
  <dimension ref="A1:X76"/>
  <sheetViews>
    <sheetView zoomScale="70" zoomScaleNormal="70" workbookViewId="0">
      <selection activeCell="W17" sqref="W17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9" style="1"/>
    <col min="16" max="18" width="14.5" style="1" bestFit="1" customWidth="1"/>
    <col min="19" max="19" width="16.25" style="202" bestFit="1" customWidth="1"/>
    <col min="20" max="20" width="14.25" style="17" bestFit="1" customWidth="1"/>
    <col min="21" max="21" width="14.25" style="17" customWidth="1"/>
    <col min="22" max="22" width="13.375" style="17" bestFit="1" customWidth="1"/>
    <col min="23" max="23" width="14.5" style="1" bestFit="1" customWidth="1"/>
    <col min="24" max="24" width="14.5" style="17" bestFit="1" customWidth="1"/>
    <col min="25" max="16384" width="9" style="1"/>
  </cols>
  <sheetData>
    <row r="1" spans="1:24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4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4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4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4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4" ht="24" customHeight="1">
      <c r="A7" s="276" t="s">
        <v>141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4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  <c r="S8" s="204" t="s">
        <v>139</v>
      </c>
      <c r="T8" s="198" t="s">
        <v>46</v>
      </c>
      <c r="U8" s="198" t="s">
        <v>56</v>
      </c>
      <c r="V8" s="198" t="s">
        <v>76</v>
      </c>
      <c r="W8" s="197" t="s">
        <v>140</v>
      </c>
    </row>
    <row r="9" spans="1:24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K9" s="14"/>
      <c r="L9" s="4"/>
      <c r="M9" s="4"/>
      <c r="N9" s="6"/>
      <c r="S9" s="204">
        <v>45932</v>
      </c>
      <c r="T9" s="198">
        <v>24666605.6517612</v>
      </c>
      <c r="U9" s="198"/>
      <c r="V9" s="198">
        <v>18370994.3482388</v>
      </c>
      <c r="W9" s="205">
        <f t="shared" ref="W9:W10" si="0">SUM(T9:V9)</f>
        <v>43037600</v>
      </c>
      <c r="X9" s="17">
        <f>+W9*1.1</f>
        <v>47341360.000000007</v>
      </c>
    </row>
    <row r="10" spans="1:24" ht="24" customHeight="1">
      <c r="A10" s="5"/>
      <c r="B10" s="131"/>
      <c r="C10" s="131"/>
      <c r="D10" s="131"/>
      <c r="E10" s="131"/>
      <c r="F10" s="131"/>
      <c r="G10" s="131"/>
      <c r="H10" s="132"/>
      <c r="I10" s="132"/>
      <c r="J10" s="132"/>
      <c r="K10" s="109"/>
      <c r="L10" s="107"/>
      <c r="M10" s="290"/>
      <c r="N10" s="291"/>
      <c r="O10" s="46"/>
      <c r="S10" s="204">
        <v>45946</v>
      </c>
      <c r="T10" s="198">
        <v>13324596.185737979</v>
      </c>
      <c r="U10" s="198"/>
      <c r="V10" s="198">
        <v>9189503.8142620232</v>
      </c>
      <c r="W10" s="205">
        <f t="shared" si="0"/>
        <v>22514100</v>
      </c>
      <c r="X10" s="17">
        <f t="shared" ref="X10:X12" si="1">+W10*1.1</f>
        <v>24765510.000000004</v>
      </c>
    </row>
    <row r="11" spans="1:24" ht="24" customHeight="1">
      <c r="A11" s="5"/>
      <c r="B11" s="4"/>
      <c r="C11" s="4"/>
      <c r="D11" s="4"/>
      <c r="E11" s="4"/>
      <c r="F11" s="4" t="s">
        <v>29</v>
      </c>
      <c r="G11" s="4"/>
      <c r="H11" s="4"/>
      <c r="I11" s="46"/>
      <c r="J11" s="46"/>
      <c r="K11" s="109"/>
      <c r="L11" s="107"/>
      <c r="M11" s="290"/>
      <c r="N11" s="291"/>
      <c r="O11" s="46"/>
      <c r="P11" s="79"/>
      <c r="Q11" s="79"/>
      <c r="S11" s="204">
        <v>45960</v>
      </c>
      <c r="T11" s="198">
        <v>26480959.414853714</v>
      </c>
      <c r="U11" s="198">
        <v>2313750.7780979825</v>
      </c>
      <c r="V11" s="198">
        <v>31316389.807048302</v>
      </c>
      <c r="W11" s="205">
        <f>SUM(T11:V11)</f>
        <v>60111100</v>
      </c>
      <c r="X11" s="17">
        <f t="shared" si="1"/>
        <v>66122210.000000007</v>
      </c>
    </row>
    <row r="12" spans="1:24" ht="24" customHeight="1">
      <c r="A12" s="5"/>
      <c r="B12" s="4"/>
      <c r="C12" s="4"/>
      <c r="D12" s="4"/>
      <c r="E12" s="4"/>
      <c r="F12" s="4"/>
      <c r="G12" s="4"/>
      <c r="H12" s="4"/>
      <c r="I12" s="46"/>
      <c r="J12" s="46"/>
      <c r="K12" s="109"/>
      <c r="L12" s="107"/>
      <c r="M12" s="290"/>
      <c r="N12" s="291"/>
      <c r="O12" s="46"/>
      <c r="S12" s="204"/>
      <c r="T12" s="198"/>
      <c r="U12" s="198"/>
      <c r="V12" s="198"/>
      <c r="W12" s="205"/>
      <c r="X12" s="17">
        <f t="shared" si="1"/>
        <v>0</v>
      </c>
    </row>
    <row r="13" spans="1:24" ht="24" customHeight="1">
      <c r="A13" s="5"/>
      <c r="B13" s="4"/>
      <c r="C13" s="4"/>
      <c r="D13" s="4"/>
      <c r="E13" s="4"/>
      <c r="F13" s="4"/>
      <c r="G13" s="4"/>
      <c r="H13" s="4"/>
      <c r="I13" s="46"/>
      <c r="J13" s="87"/>
      <c r="K13" s="88"/>
      <c r="L13" s="107"/>
      <c r="M13" s="290"/>
      <c r="N13" s="291"/>
      <c r="O13" s="46"/>
      <c r="P13" s="17"/>
      <c r="Q13" s="17"/>
      <c r="R13" s="17"/>
      <c r="S13" s="203"/>
      <c r="W13" s="19">
        <f>SUM(W9:W12)</f>
        <v>125662800</v>
      </c>
      <c r="X13" s="17">
        <f>SUM(X9:X12)</f>
        <v>138229080.00000003</v>
      </c>
    </row>
    <row r="14" spans="1:24" ht="24" customHeight="1">
      <c r="A14" s="5"/>
      <c r="B14" s="4"/>
      <c r="C14" s="4"/>
      <c r="D14" s="4"/>
      <c r="E14" s="4"/>
      <c r="F14" s="4"/>
      <c r="G14" s="4"/>
      <c r="H14" s="4"/>
      <c r="I14" s="46"/>
      <c r="J14" s="114"/>
      <c r="K14" s="88"/>
      <c r="L14" s="107"/>
      <c r="M14" s="290"/>
      <c r="N14" s="291"/>
      <c r="O14" s="46"/>
      <c r="P14" s="17"/>
      <c r="Q14" s="17"/>
      <c r="R14" s="17"/>
      <c r="S14" s="203"/>
    </row>
    <row r="15" spans="1:24" ht="24" customHeight="1">
      <c r="A15" s="5"/>
      <c r="B15" s="4"/>
      <c r="C15" s="4"/>
      <c r="D15" s="4"/>
      <c r="E15" s="4"/>
      <c r="F15" s="4"/>
      <c r="G15" s="4"/>
      <c r="H15" s="4"/>
      <c r="I15" s="46"/>
      <c r="J15" s="46"/>
      <c r="K15" s="88"/>
      <c r="L15" s="115"/>
      <c r="M15" s="290"/>
      <c r="N15" s="291"/>
      <c r="O15" s="46"/>
      <c r="P15" s="17"/>
      <c r="Q15" s="17"/>
      <c r="R15" s="17"/>
      <c r="S15" s="203"/>
    </row>
    <row r="16" spans="1:24" ht="24" customHeight="1">
      <c r="A16" s="5"/>
      <c r="B16" s="4"/>
      <c r="C16" s="4"/>
      <c r="D16" s="4"/>
      <c r="E16" s="4"/>
      <c r="F16" s="4"/>
      <c r="G16" s="4"/>
      <c r="H16" s="4"/>
      <c r="I16" s="46"/>
      <c r="J16" s="87"/>
      <c r="K16" s="88"/>
      <c r="L16" s="88"/>
      <c r="M16" s="290"/>
      <c r="N16" s="291"/>
      <c r="O16" s="46"/>
      <c r="P16" s="17"/>
      <c r="Q16" s="17"/>
      <c r="R16" s="17"/>
      <c r="S16" s="203"/>
    </row>
    <row r="17" spans="1:19" ht="24" customHeight="1">
      <c r="A17" s="5"/>
      <c r="B17" s="4"/>
      <c r="E17" s="4"/>
      <c r="F17" s="4"/>
      <c r="G17" s="4"/>
      <c r="H17" s="4"/>
      <c r="I17" s="4"/>
      <c r="J17" s="87"/>
      <c r="K17" s="88"/>
      <c r="L17" s="88"/>
      <c r="M17" s="288"/>
      <c r="N17" s="289"/>
      <c r="P17" s="17"/>
      <c r="Q17" s="17"/>
      <c r="R17" s="17"/>
      <c r="S17" s="203"/>
    </row>
    <row r="18" spans="1:19" ht="24" customHeight="1">
      <c r="A18" s="5"/>
      <c r="B18" s="4"/>
      <c r="C18" s="40"/>
      <c r="D18" s="110"/>
      <c r="E18" s="110"/>
      <c r="F18" s="4"/>
      <c r="G18" s="4"/>
      <c r="H18" s="4"/>
      <c r="I18" s="4"/>
      <c r="J18" s="21"/>
      <c r="K18" s="23"/>
      <c r="L18" s="16"/>
      <c r="M18" s="24"/>
      <c r="N18" s="25"/>
      <c r="P18" s="17"/>
      <c r="Q18" s="17"/>
      <c r="R18" s="17"/>
    </row>
    <row r="19" spans="1:19" ht="24" customHeight="1">
      <c r="A19" s="5"/>
      <c r="B19" s="4"/>
      <c r="C19" s="40"/>
      <c r="D19" s="110"/>
      <c r="E19" s="110"/>
      <c r="F19" s="4"/>
      <c r="G19" s="4"/>
      <c r="H19" s="4"/>
      <c r="I19" s="4"/>
      <c r="J19" s="21"/>
      <c r="K19" s="23"/>
      <c r="N19" s="18"/>
      <c r="P19" s="17"/>
      <c r="Q19" s="17"/>
      <c r="R19" s="17"/>
    </row>
    <row r="20" spans="1:19" ht="24" customHeight="1">
      <c r="A20" s="8"/>
      <c r="B20" s="9"/>
      <c r="C20" s="9"/>
      <c r="D20" s="10"/>
      <c r="E20" s="10"/>
      <c r="F20" s="9"/>
      <c r="G20" s="9"/>
      <c r="H20" s="9"/>
      <c r="I20" s="9"/>
      <c r="J20" s="22"/>
      <c r="K20" s="23"/>
      <c r="L20" s="26"/>
      <c r="M20" s="298"/>
      <c r="N20" s="299"/>
      <c r="P20" s="19"/>
    </row>
    <row r="21" spans="1:19" ht="24" customHeight="1">
      <c r="A21" s="8"/>
      <c r="B21" s="9"/>
      <c r="C21" s="271" t="s">
        <v>7</v>
      </c>
      <c r="D21" s="272"/>
      <c r="E21" s="272"/>
      <c r="F21" s="272"/>
      <c r="G21" s="272"/>
      <c r="H21" s="272"/>
      <c r="I21" s="272"/>
      <c r="J21" s="272"/>
      <c r="K21" s="272"/>
      <c r="L21" s="272"/>
      <c r="M21" s="273"/>
      <c r="N21" s="11"/>
      <c r="P21" s="19"/>
    </row>
    <row r="22" spans="1:19" ht="24" customHeight="1">
      <c r="A22" s="8"/>
      <c r="B22" s="9"/>
      <c r="C22" s="260" t="s">
        <v>8</v>
      </c>
      <c r="D22" s="261"/>
      <c r="E22" s="262">
        <v>119</v>
      </c>
      <c r="F22" s="263"/>
      <c r="G22" s="12" t="s">
        <v>23</v>
      </c>
      <c r="H22" s="264">
        <v>81</v>
      </c>
      <c r="I22" s="263"/>
      <c r="J22" s="12" t="s">
        <v>23</v>
      </c>
      <c r="K22" s="264">
        <v>56845</v>
      </c>
      <c r="L22" s="263"/>
      <c r="M22" s="265"/>
      <c r="N22" s="11"/>
    </row>
    <row r="23" spans="1:19" ht="24" customHeight="1">
      <c r="A23" s="8"/>
      <c r="B23" s="9"/>
      <c r="C23" s="260" t="s">
        <v>9</v>
      </c>
      <c r="D23" s="261"/>
      <c r="E23" s="266" t="s">
        <v>138</v>
      </c>
      <c r="F23" s="267"/>
      <c r="G23" s="267"/>
      <c r="H23" s="268"/>
      <c r="I23" s="261" t="s">
        <v>10</v>
      </c>
      <c r="J23" s="261"/>
      <c r="K23" s="269">
        <f>K22</f>
        <v>56845</v>
      </c>
      <c r="L23" s="263"/>
      <c r="M23" s="265"/>
      <c r="N23" s="11"/>
    </row>
    <row r="24" spans="1:19" ht="24" customHeight="1">
      <c r="A24" s="8"/>
      <c r="B24" s="9"/>
      <c r="C24" s="260" t="s">
        <v>11</v>
      </c>
      <c r="D24" s="261"/>
      <c r="E24" s="232">
        <f>W13</f>
        <v>125662800</v>
      </c>
      <c r="F24" s="233"/>
      <c r="G24" s="233"/>
      <c r="H24" s="270"/>
      <c r="I24" s="261" t="s">
        <v>12</v>
      </c>
      <c r="J24" s="261"/>
      <c r="K24" s="232">
        <f>+E24*0.1</f>
        <v>12566280</v>
      </c>
      <c r="L24" s="233"/>
      <c r="M24" s="234"/>
      <c r="N24" s="11"/>
    </row>
    <row r="25" spans="1:19" ht="24" customHeight="1">
      <c r="A25" s="8"/>
      <c r="B25" s="9"/>
      <c r="C25" s="252" t="s">
        <v>13</v>
      </c>
      <c r="D25" s="253"/>
      <c r="E25" s="254"/>
      <c r="F25" s="254"/>
      <c r="G25" s="254"/>
      <c r="H25" s="7" t="s">
        <v>14</v>
      </c>
      <c r="I25" s="255">
        <f>E24+K24</f>
        <v>138229080</v>
      </c>
      <c r="J25" s="256"/>
      <c r="K25" s="256"/>
      <c r="L25" s="256"/>
      <c r="M25" s="257"/>
      <c r="N25" s="11"/>
    </row>
    <row r="26" spans="1:19" ht="24" customHeight="1">
      <c r="A26" s="8"/>
      <c r="B26" s="9"/>
      <c r="C26" s="9"/>
      <c r="D26" s="9"/>
      <c r="E26" s="9"/>
      <c r="F26" s="106"/>
      <c r="G26" s="9"/>
      <c r="H26" s="9"/>
      <c r="I26" s="9"/>
      <c r="J26" s="9"/>
      <c r="K26" s="9"/>
      <c r="L26" s="9"/>
      <c r="M26" s="9"/>
      <c r="N26" s="11"/>
    </row>
    <row r="27" spans="1:19" ht="27" customHeight="1">
      <c r="A27" s="258" t="s">
        <v>15</v>
      </c>
      <c r="B27" s="259"/>
      <c r="C27" s="20" t="str">
        <f>NUMBERSTRING(I25, 1)</f>
        <v>일억삼천팔백이십이만구천팔십</v>
      </c>
      <c r="D27" s="20"/>
      <c r="E27" s="20"/>
      <c r="F27" s="20"/>
      <c r="G27" s="13"/>
      <c r="H27" s="13"/>
      <c r="I27" s="13"/>
      <c r="J27" s="13" t="s">
        <v>16</v>
      </c>
      <c r="K27" s="235">
        <f>I25</f>
        <v>138229080</v>
      </c>
      <c r="L27" s="235"/>
      <c r="M27" s="235"/>
      <c r="N27" s="236"/>
    </row>
    <row r="28" spans="1:19" ht="27" customHeight="1">
      <c r="A28" s="237" t="s">
        <v>17</v>
      </c>
      <c r="B28" s="237"/>
      <c r="C28" s="237"/>
      <c r="D28" s="237" t="s">
        <v>25</v>
      </c>
      <c r="E28" s="237"/>
      <c r="F28" s="237"/>
      <c r="G28" s="237"/>
      <c r="H28" s="237"/>
      <c r="I28" s="237"/>
      <c r="J28" s="237" t="s">
        <v>18</v>
      </c>
      <c r="K28" s="237"/>
      <c r="L28" s="247"/>
      <c r="M28" s="248"/>
      <c r="N28" s="249"/>
    </row>
    <row r="29" spans="1:19" ht="27" customHeight="1">
      <c r="A29" s="237" t="s">
        <v>19</v>
      </c>
      <c r="B29" s="237"/>
      <c r="C29" s="237"/>
      <c r="D29" s="238" t="s">
        <v>49</v>
      </c>
      <c r="E29" s="239"/>
      <c r="F29" s="239"/>
      <c r="G29" s="239"/>
      <c r="H29" s="239"/>
      <c r="I29" s="239"/>
      <c r="J29" s="239"/>
      <c r="K29" s="239"/>
      <c r="L29" s="239"/>
      <c r="M29" s="239"/>
      <c r="N29" s="240"/>
    </row>
    <row r="30" spans="1:19" ht="27" customHeight="1">
      <c r="A30" s="237" t="s">
        <v>20</v>
      </c>
      <c r="B30" s="237"/>
      <c r="C30" s="237"/>
      <c r="D30" s="241" t="s">
        <v>21</v>
      </c>
      <c r="E30" s="242"/>
      <c r="F30" s="242"/>
      <c r="G30" s="243"/>
      <c r="H30" s="244" t="s">
        <v>22</v>
      </c>
      <c r="I30" s="245"/>
      <c r="J30" s="246"/>
      <c r="K30" s="237"/>
      <c r="L30" s="237"/>
      <c r="M30" s="237"/>
      <c r="N30" s="237"/>
    </row>
    <row r="31" spans="1:19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9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</sheetData>
  <mergeCells count="41">
    <mergeCell ref="A30:C30"/>
    <mergeCell ref="D30:G30"/>
    <mergeCell ref="H30:J30"/>
    <mergeCell ref="K30:N30"/>
    <mergeCell ref="A28:C28"/>
    <mergeCell ref="D28:I28"/>
    <mergeCell ref="J28:K28"/>
    <mergeCell ref="L28:N28"/>
    <mergeCell ref="K27:N27"/>
    <mergeCell ref="A29:C29"/>
    <mergeCell ref="D29:N29"/>
    <mergeCell ref="C25:D25"/>
    <mergeCell ref="E25:G25"/>
    <mergeCell ref="I25:M25"/>
    <mergeCell ref="A27:B27"/>
    <mergeCell ref="M20:N20"/>
    <mergeCell ref="C21:M21"/>
    <mergeCell ref="C22:D22"/>
    <mergeCell ref="E22:F22"/>
    <mergeCell ref="H22:I22"/>
    <mergeCell ref="K22:M22"/>
    <mergeCell ref="C23:D23"/>
    <mergeCell ref="E23:H23"/>
    <mergeCell ref="I23:J23"/>
    <mergeCell ref="K23:M23"/>
    <mergeCell ref="C24:D24"/>
    <mergeCell ref="E24:H24"/>
    <mergeCell ref="I24:J24"/>
    <mergeCell ref="K24:M24"/>
    <mergeCell ref="M17:N17"/>
    <mergeCell ref="A1:N1"/>
    <mergeCell ref="A3:A5"/>
    <mergeCell ref="I3:I5"/>
    <mergeCell ref="A7:N8"/>
    <mergeCell ref="M10:N10"/>
    <mergeCell ref="M11:N11"/>
    <mergeCell ref="M12:N12"/>
    <mergeCell ref="M13:N13"/>
    <mergeCell ref="M14:N14"/>
    <mergeCell ref="M15:N15"/>
    <mergeCell ref="M16:N16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r:id="rId1"/>
  <headerFooter>
    <oddFooter>&amp;C&amp;"윤명조,보통"&amp;11대  신  금  속  주  식  회  사</oddFooter>
  </headerFooter>
  <ignoredErrors>
    <ignoredError sqref="W9:W11" formulaRange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8667-C00C-4D55-A33E-BA0E8DA4102D}">
  <dimension ref="A1:T75"/>
  <sheetViews>
    <sheetView zoomScale="80" zoomScaleNormal="80" workbookViewId="0">
      <selection activeCell="Q22" sqref="Q22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6" width="9" style="1"/>
    <col min="17" max="18" width="13.375" style="1" bestFit="1" customWidth="1"/>
    <col min="19" max="19" width="14.5" style="1" bestFit="1" customWidth="1"/>
    <col min="20" max="20" width="14.125" style="1" bestFit="1" customWidth="1"/>
    <col min="21" max="16384" width="9" style="1"/>
  </cols>
  <sheetData>
    <row r="1" spans="1:18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8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8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8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8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8" ht="24" customHeight="1">
      <c r="A7" s="276" t="s">
        <v>6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8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8" ht="24" customHeight="1">
      <c r="A9" s="5"/>
      <c r="B9" s="4"/>
      <c r="C9" s="4"/>
      <c r="D9" s="4"/>
      <c r="E9" s="4"/>
      <c r="F9" s="4"/>
      <c r="G9" s="4"/>
      <c r="H9" s="4"/>
      <c r="I9" s="4"/>
      <c r="J9" s="4"/>
      <c r="L9" s="16"/>
      <c r="M9" s="288"/>
      <c r="N9" s="289"/>
    </row>
    <row r="10" spans="1:18" ht="24" customHeight="1">
      <c r="A10" s="5"/>
      <c r="B10" s="4"/>
      <c r="C10" s="4"/>
      <c r="D10" s="4"/>
      <c r="E10" s="4"/>
      <c r="F10" s="4"/>
      <c r="G10" s="4"/>
      <c r="H10" s="4"/>
      <c r="I10" s="4"/>
      <c r="J10" s="4"/>
      <c r="L10" s="107" t="s">
        <v>48</v>
      </c>
      <c r="M10" s="290">
        <v>193992950</v>
      </c>
      <c r="N10" s="291"/>
      <c r="Q10" s="77"/>
      <c r="R10" s="77"/>
    </row>
    <row r="11" spans="1:18" ht="24" customHeight="1">
      <c r="A11" s="5"/>
      <c r="B11" s="4"/>
      <c r="C11" s="43"/>
      <c r="D11" s="4"/>
      <c r="E11" s="4"/>
      <c r="F11" s="4"/>
      <c r="G11" s="4"/>
      <c r="H11" s="4"/>
      <c r="I11" s="4"/>
      <c r="J11" s="4"/>
      <c r="L11" s="107" t="s">
        <v>46</v>
      </c>
      <c r="M11" s="290">
        <v>37660000</v>
      </c>
      <c r="N11" s="291"/>
      <c r="Q11" s="78"/>
      <c r="R11" s="78"/>
    </row>
    <row r="12" spans="1:18" ht="24" customHeight="1">
      <c r="A12" s="5"/>
      <c r="B12" s="4"/>
      <c r="C12" s="44"/>
      <c r="D12" s="45"/>
      <c r="E12" s="4"/>
      <c r="F12" s="4"/>
      <c r="G12" s="4"/>
      <c r="H12" s="4"/>
      <c r="I12" s="4"/>
      <c r="J12" s="4"/>
      <c r="L12" s="107" t="s">
        <v>56</v>
      </c>
      <c r="M12" s="290"/>
      <c r="N12" s="291"/>
    </row>
    <row r="13" spans="1:18" ht="24" customHeight="1">
      <c r="A13" s="5"/>
      <c r="B13" s="4"/>
      <c r="C13" s="45"/>
      <c r="D13" s="45"/>
      <c r="E13" s="4"/>
      <c r="F13" s="4"/>
      <c r="G13" s="4"/>
      <c r="H13" s="4"/>
      <c r="I13" s="4"/>
      <c r="J13" s="4"/>
      <c r="K13" s="4"/>
      <c r="L13" s="107" t="s">
        <v>76</v>
      </c>
      <c r="M13" s="290">
        <v>8816870</v>
      </c>
      <c r="N13" s="291"/>
      <c r="Q13" s="77"/>
      <c r="R13" s="77"/>
    </row>
    <row r="14" spans="1:18" ht="24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107"/>
      <c r="M14" s="290"/>
      <c r="N14" s="291"/>
      <c r="Q14" s="77"/>
      <c r="R14" s="77"/>
    </row>
    <row r="15" spans="1:18" ht="24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21"/>
      <c r="M15" s="303"/>
      <c r="N15" s="304"/>
    </row>
    <row r="16" spans="1:18" ht="24" customHeight="1">
      <c r="A16" s="5"/>
      <c r="B16" s="4"/>
      <c r="E16" s="4"/>
      <c r="F16" s="4"/>
      <c r="G16" s="4"/>
      <c r="H16" s="4"/>
      <c r="I16" s="4"/>
      <c r="J16" s="4"/>
      <c r="K16" s="4"/>
      <c r="L16" s="16"/>
      <c r="M16" s="288"/>
      <c r="N16" s="289"/>
    </row>
    <row r="17" spans="1:20" ht="24" customHeight="1">
      <c r="A17" s="5"/>
      <c r="B17" s="4"/>
      <c r="C17" s="40"/>
      <c r="D17" s="302"/>
      <c r="E17" s="302"/>
      <c r="F17" s="4"/>
      <c r="G17" s="4"/>
      <c r="H17" s="4"/>
      <c r="I17" s="4"/>
      <c r="J17" s="4"/>
      <c r="K17" s="4"/>
      <c r="L17" s="16"/>
      <c r="M17" s="288"/>
      <c r="N17" s="289"/>
      <c r="Q17" s="77"/>
      <c r="R17" s="77"/>
      <c r="S17" s="77"/>
      <c r="T17" s="77"/>
    </row>
    <row r="18" spans="1:20" ht="24" customHeight="1">
      <c r="A18" s="5"/>
      <c r="B18" s="4"/>
      <c r="C18" s="40"/>
      <c r="D18" s="302"/>
      <c r="E18" s="302"/>
      <c r="F18" s="4"/>
      <c r="G18" s="4"/>
      <c r="H18" s="4"/>
      <c r="I18" s="4"/>
      <c r="J18" s="4"/>
      <c r="K18" s="4"/>
      <c r="L18" s="4"/>
      <c r="M18" s="4"/>
      <c r="N18" s="6"/>
      <c r="Q18" s="77"/>
      <c r="R18" s="77"/>
    </row>
    <row r="19" spans="1:20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</row>
    <row r="20" spans="1:20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</row>
    <row r="21" spans="1:20" ht="24" customHeight="1">
      <c r="A21" s="8"/>
      <c r="B21" s="9"/>
      <c r="C21" s="260" t="s">
        <v>8</v>
      </c>
      <c r="D21" s="261"/>
      <c r="E21" s="262">
        <v>105</v>
      </c>
      <c r="F21" s="263"/>
      <c r="G21" s="12" t="s">
        <v>23</v>
      </c>
      <c r="H21" s="264">
        <v>81</v>
      </c>
      <c r="I21" s="263"/>
      <c r="J21" s="12" t="s">
        <v>23</v>
      </c>
      <c r="K21" s="264">
        <v>32752</v>
      </c>
      <c r="L21" s="263"/>
      <c r="M21" s="265"/>
      <c r="N21" s="11"/>
      <c r="Q21" s="17"/>
      <c r="R21" s="17"/>
    </row>
    <row r="22" spans="1:20" ht="24" customHeight="1">
      <c r="A22" s="8"/>
      <c r="B22" s="9"/>
      <c r="C22" s="260" t="s">
        <v>9</v>
      </c>
      <c r="D22" s="261"/>
      <c r="E22" s="266" t="s">
        <v>136</v>
      </c>
      <c r="F22" s="267"/>
      <c r="G22" s="267"/>
      <c r="H22" s="268"/>
      <c r="I22" s="261" t="s">
        <v>10</v>
      </c>
      <c r="J22" s="261"/>
      <c r="K22" s="269">
        <f>K21</f>
        <v>32752</v>
      </c>
      <c r="L22" s="263"/>
      <c r="M22" s="265"/>
      <c r="N22" s="11"/>
      <c r="S22" s="17"/>
    </row>
    <row r="23" spans="1:20" ht="24" customHeight="1">
      <c r="A23" s="8"/>
      <c r="B23" s="9"/>
      <c r="C23" s="260" t="s">
        <v>11</v>
      </c>
      <c r="D23" s="261"/>
      <c r="E23" s="232">
        <f>SUM(M10:N13)</f>
        <v>240469820</v>
      </c>
      <c r="F23" s="233"/>
      <c r="G23" s="233"/>
      <c r="H23" s="270"/>
      <c r="I23" s="261" t="s">
        <v>12</v>
      </c>
      <c r="J23" s="261"/>
      <c r="K23" s="232">
        <f>E23*0.1</f>
        <v>24046982</v>
      </c>
      <c r="L23" s="233"/>
      <c r="M23" s="234"/>
      <c r="N23" s="11"/>
    </row>
    <row r="24" spans="1:20" ht="24" customHeight="1">
      <c r="A24" s="8"/>
      <c r="B24" s="9"/>
      <c r="C24" s="252" t="s">
        <v>13</v>
      </c>
      <c r="D24" s="253"/>
      <c r="E24" s="254">
        <v>45930</v>
      </c>
      <c r="F24" s="254"/>
      <c r="G24" s="254"/>
      <c r="H24" s="7" t="s">
        <v>14</v>
      </c>
      <c r="I24" s="255">
        <f>E23+K23</f>
        <v>264516802</v>
      </c>
      <c r="J24" s="256"/>
      <c r="K24" s="256"/>
      <c r="L24" s="256"/>
      <c r="M24" s="257"/>
      <c r="N24" s="11"/>
    </row>
    <row r="25" spans="1:20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20" ht="27" customHeight="1">
      <c r="A26" s="258" t="s">
        <v>15</v>
      </c>
      <c r="B26" s="259"/>
      <c r="C26" s="297" t="str">
        <f>NUMBERSTRING(I24, 1)</f>
        <v>이억육천사백오십일만육천팔백이</v>
      </c>
      <c r="D26" s="297"/>
      <c r="E26" s="297"/>
      <c r="F26" s="297"/>
      <c r="G26" s="13"/>
      <c r="H26" s="13"/>
      <c r="I26" s="13"/>
      <c r="J26" s="13" t="s">
        <v>16</v>
      </c>
      <c r="K26" s="235">
        <f>I24</f>
        <v>264516802</v>
      </c>
      <c r="L26" s="235"/>
      <c r="M26" s="235"/>
      <c r="N26" s="236"/>
    </row>
    <row r="27" spans="1:20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20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20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20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20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0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F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D17:E17"/>
    <mergeCell ref="M17:N17"/>
    <mergeCell ref="D18:E18"/>
    <mergeCell ref="C20:M20"/>
    <mergeCell ref="C21:D21"/>
    <mergeCell ref="E21:F21"/>
    <mergeCell ref="H21:I21"/>
    <mergeCell ref="K21:M21"/>
    <mergeCell ref="M16:N16"/>
    <mergeCell ref="A1:N1"/>
    <mergeCell ref="A3:A5"/>
    <mergeCell ref="I3:I5"/>
    <mergeCell ref="A7:N8"/>
    <mergeCell ref="M9:N9"/>
    <mergeCell ref="M10:N10"/>
    <mergeCell ref="M11:N11"/>
    <mergeCell ref="M12:N12"/>
    <mergeCell ref="M13:N13"/>
    <mergeCell ref="M14:N14"/>
    <mergeCell ref="M15:N15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5"/>
  <sheetViews>
    <sheetView zoomScale="80" zoomScaleNormal="80" workbookViewId="0">
      <selection activeCell="O10" sqref="O10:O13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0.625" style="1" bestFit="1" customWidth="1"/>
    <col min="16" max="16" width="9" style="1"/>
    <col min="17" max="18" width="13.375" style="1" bestFit="1" customWidth="1"/>
    <col min="19" max="19" width="14.5" style="1" bestFit="1" customWidth="1"/>
    <col min="20" max="20" width="14.125" style="1" bestFit="1" customWidth="1"/>
    <col min="21" max="16384" width="9" style="1"/>
  </cols>
  <sheetData>
    <row r="1" spans="1:18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8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8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8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8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8" ht="24" customHeight="1">
      <c r="A7" s="276" t="s">
        <v>6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8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8" ht="24" customHeight="1">
      <c r="A9" s="5"/>
      <c r="B9" s="4"/>
      <c r="C9" s="4"/>
      <c r="D9" s="4"/>
      <c r="E9" s="4"/>
      <c r="F9" s="4"/>
      <c r="G9" s="4"/>
      <c r="H9" s="4"/>
      <c r="I9" s="4"/>
      <c r="J9" s="4"/>
      <c r="L9" s="16"/>
      <c r="M9" s="288"/>
      <c r="N9" s="289"/>
    </row>
    <row r="10" spans="1:18" ht="24" customHeight="1">
      <c r="A10" s="5"/>
      <c r="B10" s="4"/>
      <c r="C10" s="4"/>
      <c r="D10" s="4"/>
      <c r="E10" s="4"/>
      <c r="F10" s="4"/>
      <c r="G10" s="4"/>
      <c r="H10" s="4"/>
      <c r="I10" s="4"/>
      <c r="J10" s="4"/>
      <c r="L10" s="107" t="s">
        <v>48</v>
      </c>
      <c r="M10" s="290">
        <f>O10</f>
        <v>15866956</v>
      </c>
      <c r="N10" s="291"/>
      <c r="O10" s="1">
        <v>15866956</v>
      </c>
      <c r="Q10" s="77"/>
      <c r="R10" s="77"/>
    </row>
    <row r="11" spans="1:18" ht="24" customHeight="1">
      <c r="A11" s="5"/>
      <c r="B11" s="4"/>
      <c r="C11" s="43"/>
      <c r="D11" s="4"/>
      <c r="E11" s="4"/>
      <c r="F11" s="4"/>
      <c r="G11" s="4"/>
      <c r="H11" s="4"/>
      <c r="I11" s="4"/>
      <c r="J11" s="4"/>
      <c r="L11" s="107" t="s">
        <v>46</v>
      </c>
      <c r="M11" s="290"/>
      <c r="N11" s="291"/>
      <c r="Q11" s="78"/>
      <c r="R11" s="78"/>
    </row>
    <row r="12" spans="1:18" ht="24" customHeight="1">
      <c r="A12" s="5"/>
      <c r="B12" s="4"/>
      <c r="C12" s="44"/>
      <c r="D12" s="45"/>
      <c r="E12" s="4"/>
      <c r="F12" s="4"/>
      <c r="G12" s="4"/>
      <c r="H12" s="4"/>
      <c r="I12" s="4"/>
      <c r="J12" s="4"/>
      <c r="L12" s="107" t="s">
        <v>56</v>
      </c>
      <c r="M12" s="290"/>
      <c r="N12" s="291"/>
    </row>
    <row r="13" spans="1:18" ht="24" customHeight="1">
      <c r="A13" s="5"/>
      <c r="B13" s="4"/>
      <c r="C13" s="45"/>
      <c r="D13" s="45"/>
      <c r="E13" s="4"/>
      <c r="F13" s="4"/>
      <c r="G13" s="4"/>
      <c r="H13" s="4"/>
      <c r="I13" s="4"/>
      <c r="J13" s="4"/>
      <c r="K13" s="4"/>
      <c r="L13" s="107" t="s">
        <v>61</v>
      </c>
      <c r="M13" s="290">
        <f>O13</f>
        <v>15826744</v>
      </c>
      <c r="N13" s="291"/>
      <c r="O13" s="1">
        <v>15826744</v>
      </c>
      <c r="Q13" s="77"/>
      <c r="R13" s="77"/>
    </row>
    <row r="14" spans="1:18" ht="24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107"/>
      <c r="M14" s="290"/>
      <c r="N14" s="291"/>
      <c r="Q14" s="77"/>
      <c r="R14" s="77"/>
    </row>
    <row r="15" spans="1:18" ht="24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21"/>
      <c r="M15" s="303"/>
      <c r="N15" s="304"/>
      <c r="O15" s="215">
        <f>INT(SUM(B12:B86))</f>
        <v>0</v>
      </c>
    </row>
    <row r="16" spans="1:18" ht="24" customHeight="1">
      <c r="A16" s="5"/>
      <c r="B16" s="4"/>
      <c r="E16" s="4"/>
      <c r="F16" s="4"/>
      <c r="G16" s="4"/>
      <c r="H16" s="4"/>
      <c r="I16" s="4"/>
      <c r="J16" s="4"/>
      <c r="K16" s="4"/>
      <c r="L16" s="16"/>
      <c r="M16" s="288"/>
      <c r="N16" s="289"/>
    </row>
    <row r="17" spans="1:20" ht="24" customHeight="1">
      <c r="A17" s="5"/>
      <c r="B17" s="4"/>
      <c r="C17" s="40"/>
      <c r="D17" s="302"/>
      <c r="E17" s="302"/>
      <c r="F17" s="4"/>
      <c r="G17" s="4"/>
      <c r="H17" s="4"/>
      <c r="I17" s="4"/>
      <c r="J17" s="4"/>
      <c r="K17" s="4"/>
      <c r="L17" s="16"/>
      <c r="M17" s="288"/>
      <c r="N17" s="289"/>
      <c r="Q17" s="77"/>
      <c r="R17" s="77"/>
      <c r="S17" s="77"/>
      <c r="T17" s="77"/>
    </row>
    <row r="18" spans="1:20" ht="24" customHeight="1">
      <c r="A18" s="5"/>
      <c r="B18" s="4"/>
      <c r="C18" s="40"/>
      <c r="D18" s="302"/>
      <c r="E18" s="302"/>
      <c r="F18" s="4"/>
      <c r="G18" s="4"/>
      <c r="H18" s="4"/>
      <c r="I18" s="4"/>
      <c r="J18" s="4"/>
      <c r="K18" s="4"/>
      <c r="L18" s="4"/>
      <c r="M18" s="4"/>
      <c r="N18" s="6"/>
      <c r="Q18" s="77"/>
      <c r="R18" s="77"/>
    </row>
    <row r="19" spans="1:20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</row>
    <row r="20" spans="1:20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</row>
    <row r="21" spans="1:20" ht="24" customHeight="1">
      <c r="A21" s="8"/>
      <c r="B21" s="9"/>
      <c r="C21" s="260" t="s">
        <v>8</v>
      </c>
      <c r="D21" s="261"/>
      <c r="E21" s="262">
        <v>609</v>
      </c>
      <c r="F21" s="263"/>
      <c r="G21" s="12" t="s">
        <v>23</v>
      </c>
      <c r="H21" s="264">
        <v>81</v>
      </c>
      <c r="I21" s="263"/>
      <c r="J21" s="12" t="s">
        <v>23</v>
      </c>
      <c r="K21" s="264">
        <v>48213</v>
      </c>
      <c r="L21" s="263"/>
      <c r="M21" s="265"/>
      <c r="N21" s="11"/>
      <c r="Q21" s="17"/>
      <c r="R21" s="17"/>
    </row>
    <row r="22" spans="1:20" ht="24" customHeight="1">
      <c r="A22" s="8"/>
      <c r="B22" s="9"/>
      <c r="C22" s="260" t="s">
        <v>9</v>
      </c>
      <c r="D22" s="261"/>
      <c r="E22" s="266" t="s">
        <v>24</v>
      </c>
      <c r="F22" s="267"/>
      <c r="G22" s="267"/>
      <c r="H22" s="268"/>
      <c r="I22" s="261" t="s">
        <v>10</v>
      </c>
      <c r="J22" s="261"/>
      <c r="K22" s="269">
        <f>K21</f>
        <v>48213</v>
      </c>
      <c r="L22" s="263"/>
      <c r="M22" s="265"/>
      <c r="N22" s="11"/>
      <c r="S22" s="17"/>
    </row>
    <row r="23" spans="1:20" ht="24" customHeight="1">
      <c r="A23" s="8"/>
      <c r="B23" s="9"/>
      <c r="C23" s="260" t="s">
        <v>11</v>
      </c>
      <c r="D23" s="261"/>
      <c r="E23" s="232">
        <f>SUM(M10:N12)</f>
        <v>15866956</v>
      </c>
      <c r="F23" s="233"/>
      <c r="G23" s="233"/>
      <c r="H23" s="270"/>
      <c r="I23" s="261" t="s">
        <v>12</v>
      </c>
      <c r="J23" s="261"/>
      <c r="K23" s="232">
        <f>E23*0.1</f>
        <v>1586695.6</v>
      </c>
      <c r="L23" s="233"/>
      <c r="M23" s="234"/>
      <c r="N23" s="11"/>
    </row>
    <row r="24" spans="1:20" ht="24" customHeight="1">
      <c r="A24" s="8"/>
      <c r="B24" s="9"/>
      <c r="C24" s="252" t="s">
        <v>13</v>
      </c>
      <c r="D24" s="253"/>
      <c r="E24" s="254">
        <v>43799</v>
      </c>
      <c r="F24" s="254"/>
      <c r="G24" s="254"/>
      <c r="H24" s="7" t="s">
        <v>14</v>
      </c>
      <c r="I24" s="255">
        <f>E23+K23</f>
        <v>17453651.600000001</v>
      </c>
      <c r="J24" s="256"/>
      <c r="K24" s="256"/>
      <c r="L24" s="256"/>
      <c r="M24" s="257"/>
      <c r="N24" s="11"/>
    </row>
    <row r="25" spans="1:20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20" ht="27" customHeight="1">
      <c r="A26" s="258" t="s">
        <v>15</v>
      </c>
      <c r="B26" s="259"/>
      <c r="C26" s="297" t="str">
        <f>NUMBERSTRING(I24, 1)</f>
        <v>일천칠백사십오만삼천육백오십이</v>
      </c>
      <c r="D26" s="297"/>
      <c r="E26" s="297"/>
      <c r="F26" s="297"/>
      <c r="G26" s="13"/>
      <c r="H26" s="13"/>
      <c r="I26" s="13"/>
      <c r="J26" s="13" t="s">
        <v>16</v>
      </c>
      <c r="K26" s="235">
        <f>I24</f>
        <v>17453651.600000001</v>
      </c>
      <c r="L26" s="235"/>
      <c r="M26" s="235"/>
      <c r="N26" s="236"/>
    </row>
    <row r="27" spans="1:20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20" ht="27" customHeight="1">
      <c r="A28" s="237" t="s">
        <v>19</v>
      </c>
      <c r="B28" s="237"/>
      <c r="C28" s="237"/>
      <c r="D28" s="238" t="s">
        <v>52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20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20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20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0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C23:D23"/>
    <mergeCell ref="E23:H23"/>
    <mergeCell ref="I23:J23"/>
    <mergeCell ref="K23:M23"/>
    <mergeCell ref="C21:D21"/>
    <mergeCell ref="E21:F21"/>
    <mergeCell ref="H21:I21"/>
    <mergeCell ref="K21:M21"/>
    <mergeCell ref="C22:D22"/>
    <mergeCell ref="E22:H22"/>
    <mergeCell ref="I22:J22"/>
    <mergeCell ref="K22:M22"/>
    <mergeCell ref="A1:N1"/>
    <mergeCell ref="A3:A5"/>
    <mergeCell ref="I3:I5"/>
    <mergeCell ref="A7:N8"/>
    <mergeCell ref="C20:M20"/>
    <mergeCell ref="M12:N12"/>
    <mergeCell ref="M11:N11"/>
    <mergeCell ref="M10:N10"/>
    <mergeCell ref="M9:N9"/>
    <mergeCell ref="M16:N16"/>
    <mergeCell ref="M17:N17"/>
    <mergeCell ref="D17:E17"/>
    <mergeCell ref="D18:E18"/>
    <mergeCell ref="M14:N14"/>
    <mergeCell ref="M15:N15"/>
    <mergeCell ref="M13:N13"/>
    <mergeCell ref="K26:N26"/>
    <mergeCell ref="C24:D24"/>
    <mergeCell ref="A26:B26"/>
    <mergeCell ref="C26:F26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E24:G24"/>
    <mergeCell ref="I24:M24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horizontalDpi="300" verticalDpi="300" r:id="rId1"/>
  <headerFooter>
    <oddFooter>&amp;C&amp;"윤명조,보통"&amp;11대  신  금  속  주  식  회  사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3C78-2AFA-452A-AB15-AABA313CA399}">
  <dimension ref="A1:S75"/>
  <sheetViews>
    <sheetView topLeftCell="A7" zoomScale="80" zoomScaleNormal="80" workbookViewId="0">
      <selection activeCell="K15" sqref="K1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6.375" style="1" bestFit="1" customWidth="1"/>
    <col min="16" max="16" width="14.5" style="1" bestFit="1" customWidth="1"/>
    <col min="17" max="17" width="18.25" style="1" bestFit="1" customWidth="1"/>
    <col min="18" max="18" width="17.5" style="1" customWidth="1"/>
    <col min="19" max="19" width="14.5" style="1" bestFit="1" customWidth="1"/>
    <col min="20" max="20" width="14.125" style="1" bestFit="1" customWidth="1"/>
    <col min="21" max="21" width="14.5" style="1" bestFit="1" customWidth="1"/>
    <col min="22" max="22" width="14.625" style="1" bestFit="1" customWidth="1"/>
    <col min="23" max="23" width="12.125" style="1" bestFit="1" customWidth="1"/>
    <col min="24" max="16384" width="9" style="1"/>
  </cols>
  <sheetData>
    <row r="1" spans="1:19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9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9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9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9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9" ht="24" customHeight="1">
      <c r="A7" s="276" t="s">
        <v>31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9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9" ht="24" customHeight="1">
      <c r="A9" s="5"/>
      <c r="B9" s="4"/>
      <c r="C9" s="4"/>
      <c r="D9" s="4"/>
      <c r="E9" s="4"/>
      <c r="F9" s="4"/>
      <c r="G9" s="4"/>
      <c r="H9" s="4"/>
      <c r="I9" s="4"/>
      <c r="J9" s="4"/>
      <c r="K9" s="50"/>
      <c r="L9" s="10"/>
      <c r="M9" s="10"/>
      <c r="N9" s="51"/>
      <c r="O9" s="17"/>
      <c r="P9" s="17"/>
      <c r="Q9" s="17"/>
      <c r="R9" s="17"/>
    </row>
    <row r="10" spans="1:19" ht="24.75" customHeight="1">
      <c r="A10" s="5"/>
      <c r="B10" s="65"/>
      <c r="C10" s="4"/>
      <c r="D10" s="4"/>
      <c r="E10" s="4"/>
      <c r="F10" s="4"/>
      <c r="G10" s="4"/>
      <c r="H10" s="4"/>
      <c r="I10" s="4"/>
      <c r="J10" s="40"/>
      <c r="K10" s="52"/>
      <c r="L10" s="53" t="s">
        <v>128</v>
      </c>
      <c r="M10" s="307">
        <v>475323000</v>
      </c>
      <c r="N10" s="308"/>
      <c r="O10" s="17"/>
      <c r="P10" s="57"/>
      <c r="Q10" s="57"/>
      <c r="R10" s="17"/>
    </row>
    <row r="11" spans="1:19" ht="24.75" customHeight="1">
      <c r="A11" s="5"/>
      <c r="B11" s="4"/>
      <c r="C11" s="45"/>
      <c r="D11" s="4"/>
      <c r="E11" s="4"/>
      <c r="F11" s="4"/>
      <c r="G11" s="4"/>
      <c r="H11" s="4"/>
      <c r="I11" s="4"/>
      <c r="J11" s="309"/>
      <c r="K11" s="309"/>
      <c r="L11" s="309"/>
      <c r="M11" s="310"/>
      <c r="N11" s="311"/>
      <c r="O11" s="17"/>
      <c r="P11" s="57"/>
      <c r="Q11" s="57"/>
      <c r="R11" s="17"/>
    </row>
    <row r="12" spans="1:19" ht="24.75" customHeight="1">
      <c r="A12" s="5"/>
      <c r="B12" s="4"/>
      <c r="C12" s="45"/>
      <c r="D12" s="46"/>
      <c r="E12" s="4"/>
      <c r="F12" s="4"/>
      <c r="G12" s="4"/>
      <c r="H12" s="4"/>
      <c r="I12" s="4"/>
      <c r="J12" s="309"/>
      <c r="K12" s="309"/>
      <c r="L12" s="309"/>
      <c r="M12" s="310"/>
      <c r="N12" s="311"/>
      <c r="O12" s="17"/>
      <c r="P12" s="57"/>
      <c r="Q12" s="57"/>
      <c r="R12" s="17"/>
    </row>
    <row r="13" spans="1:19" ht="24.75" customHeight="1">
      <c r="A13" s="5"/>
      <c r="B13" s="4"/>
      <c r="C13" s="45"/>
      <c r="D13" s="47"/>
      <c r="E13" s="4"/>
      <c r="F13" s="4"/>
      <c r="G13" s="4"/>
      <c r="H13" s="4"/>
      <c r="I13" s="4"/>
      <c r="J13" s="40"/>
      <c r="K13" s="54"/>
      <c r="L13" s="55"/>
      <c r="M13" s="312"/>
      <c r="N13" s="313"/>
      <c r="O13" s="17"/>
      <c r="P13" s="17"/>
      <c r="Q13" s="17"/>
      <c r="R13" s="17"/>
      <c r="S13" s="17"/>
    </row>
    <row r="14" spans="1:19" ht="24.75" customHeight="1">
      <c r="A14" s="5"/>
      <c r="B14" s="4"/>
      <c r="C14" s="45"/>
      <c r="E14" s="4"/>
      <c r="F14" s="4"/>
      <c r="G14" s="4"/>
      <c r="H14" s="4"/>
      <c r="I14" s="4"/>
      <c r="J14" s="40"/>
      <c r="K14" s="54"/>
      <c r="L14" s="53"/>
      <c r="M14" s="312"/>
      <c r="N14" s="313"/>
      <c r="O14" s="17"/>
      <c r="P14" s="17"/>
      <c r="Q14" s="17"/>
      <c r="R14" s="17"/>
      <c r="S14" s="17"/>
    </row>
    <row r="15" spans="1:19" ht="24.75" customHeight="1">
      <c r="A15" s="5"/>
      <c r="B15" s="4"/>
      <c r="C15" s="40"/>
      <c r="D15" s="110"/>
      <c r="E15" s="110"/>
      <c r="F15" s="4"/>
      <c r="G15" s="4"/>
      <c r="H15" s="4"/>
      <c r="I15" s="4"/>
      <c r="J15" s="40"/>
      <c r="K15" s="54"/>
      <c r="L15" s="55"/>
      <c r="M15" s="312"/>
      <c r="N15" s="313"/>
      <c r="O15" s="17"/>
      <c r="P15" s="17"/>
      <c r="Q15" s="17"/>
      <c r="R15" s="17"/>
    </row>
    <row r="16" spans="1:19" ht="24.75" customHeight="1">
      <c r="A16" s="5"/>
      <c r="B16" s="4"/>
      <c r="C16" s="40"/>
      <c r="D16" s="110"/>
      <c r="E16" s="110"/>
      <c r="F16" s="4"/>
      <c r="G16" s="4"/>
      <c r="H16" s="4"/>
      <c r="I16" s="4"/>
      <c r="J16" s="40"/>
      <c r="L16" s="53"/>
      <c r="M16" s="305"/>
      <c r="N16" s="306"/>
      <c r="P16" s="17"/>
      <c r="Q16" s="17"/>
      <c r="R16" s="17"/>
    </row>
    <row r="17" spans="1:18" ht="24.75" customHeight="1">
      <c r="A17" s="5"/>
      <c r="B17" s="4"/>
      <c r="C17" s="40"/>
      <c r="D17" s="17"/>
      <c r="E17" s="17"/>
      <c r="F17" s="4"/>
      <c r="G17" s="4"/>
      <c r="H17" s="4"/>
      <c r="I17" s="4"/>
      <c r="J17" s="40"/>
      <c r="L17" s="53"/>
      <c r="M17" s="69"/>
      <c r="N17" s="70"/>
      <c r="P17" s="17"/>
      <c r="Q17" s="17"/>
      <c r="R17" s="17"/>
    </row>
    <row r="18" spans="1:18" ht="24.75" customHeight="1">
      <c r="A18" s="5"/>
      <c r="B18" s="4"/>
      <c r="C18" s="40"/>
      <c r="D18" s="110"/>
      <c r="E18" s="110"/>
      <c r="F18" s="4"/>
      <c r="G18" s="4"/>
      <c r="H18" s="4"/>
      <c r="I18" s="4"/>
      <c r="J18" s="40"/>
      <c r="K18" s="42"/>
      <c r="L18" s="66"/>
      <c r="M18" s="305"/>
      <c r="N18" s="306"/>
      <c r="P18" s="17"/>
      <c r="Q18" s="19"/>
      <c r="R18" s="17"/>
    </row>
    <row r="19" spans="1:18" ht="24" customHeight="1">
      <c r="A19" s="8"/>
      <c r="B19" s="9"/>
      <c r="C19" s="40"/>
      <c r="D19" s="111"/>
      <c r="E19" s="111"/>
      <c r="F19" s="9"/>
      <c r="G19" s="9"/>
      <c r="H19" s="9"/>
      <c r="I19" s="9"/>
      <c r="J19" s="9"/>
      <c r="K19" s="9"/>
      <c r="L19" s="9"/>
      <c r="M19" s="56"/>
      <c r="N19" s="11"/>
      <c r="O19" s="17"/>
      <c r="P19" s="17"/>
    </row>
    <row r="20" spans="1:18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17"/>
      <c r="P20" s="17"/>
    </row>
    <row r="21" spans="1:18" ht="24" customHeight="1">
      <c r="A21" s="8"/>
      <c r="B21" s="9"/>
      <c r="C21" s="260" t="s">
        <v>8</v>
      </c>
      <c r="D21" s="261"/>
      <c r="E21" s="262">
        <v>609</v>
      </c>
      <c r="F21" s="263"/>
      <c r="G21" s="12" t="s">
        <v>23</v>
      </c>
      <c r="H21" s="264">
        <v>85</v>
      </c>
      <c r="I21" s="263"/>
      <c r="J21" s="12" t="s">
        <v>23</v>
      </c>
      <c r="K21" s="264">
        <v>22263</v>
      </c>
      <c r="L21" s="263"/>
      <c r="M21" s="265"/>
      <c r="N21" s="11"/>
      <c r="O21" s="17"/>
      <c r="P21" s="17"/>
    </row>
    <row r="22" spans="1:18" ht="24" customHeight="1">
      <c r="A22" s="8"/>
      <c r="B22" s="9"/>
      <c r="C22" s="260" t="s">
        <v>9</v>
      </c>
      <c r="D22" s="261"/>
      <c r="E22" s="266" t="s">
        <v>26</v>
      </c>
      <c r="F22" s="267"/>
      <c r="G22" s="267"/>
      <c r="H22" s="268"/>
      <c r="I22" s="261" t="s">
        <v>10</v>
      </c>
      <c r="J22" s="261"/>
      <c r="K22" s="269">
        <f>K21</f>
        <v>22263</v>
      </c>
      <c r="L22" s="263"/>
      <c r="M22" s="265"/>
      <c r="N22" s="11"/>
      <c r="O22" s="17"/>
      <c r="P22" s="17"/>
    </row>
    <row r="23" spans="1:18" ht="24" customHeight="1">
      <c r="A23" s="8"/>
      <c r="B23" s="9"/>
      <c r="C23" s="260" t="s">
        <v>11</v>
      </c>
      <c r="D23" s="261"/>
      <c r="E23" s="232">
        <f>SUM(M10:N16)</f>
        <v>475323000</v>
      </c>
      <c r="F23" s="233"/>
      <c r="G23" s="233"/>
      <c r="H23" s="270"/>
      <c r="I23" s="261" t="s">
        <v>12</v>
      </c>
      <c r="J23" s="261"/>
      <c r="K23" s="232">
        <f>E23*0.1</f>
        <v>47532300</v>
      </c>
      <c r="L23" s="233"/>
      <c r="M23" s="234"/>
      <c r="N23" s="11"/>
      <c r="P23" s="17"/>
    </row>
    <row r="24" spans="1:18" ht="24" customHeight="1">
      <c r="A24" s="8"/>
      <c r="B24" s="9"/>
      <c r="C24" s="252" t="s">
        <v>13</v>
      </c>
      <c r="D24" s="253"/>
      <c r="E24" s="254">
        <v>45848</v>
      </c>
      <c r="F24" s="254"/>
      <c r="G24" s="254"/>
      <c r="H24" s="7" t="s">
        <v>14</v>
      </c>
      <c r="I24" s="255">
        <f>E23+K23</f>
        <v>522855300</v>
      </c>
      <c r="J24" s="256"/>
      <c r="K24" s="256"/>
      <c r="L24" s="256"/>
      <c r="M24" s="257"/>
      <c r="N24" s="11"/>
      <c r="P24" s="17"/>
    </row>
    <row r="25" spans="1:18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18" ht="27" customHeight="1">
      <c r="A26" s="258" t="s">
        <v>15</v>
      </c>
      <c r="B26" s="259"/>
      <c r="C26" s="297" t="str">
        <f>NUMBERSTRING(I24,1)</f>
        <v>오억이천이백팔십오만오천삼백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522855300</v>
      </c>
      <c r="L26" s="235"/>
      <c r="M26" s="235"/>
      <c r="N26" s="236"/>
    </row>
    <row r="27" spans="1:18" ht="27" customHeight="1">
      <c r="A27" s="237" t="s">
        <v>17</v>
      </c>
      <c r="B27" s="237"/>
      <c r="C27" s="237"/>
      <c r="D27" s="237" t="s">
        <v>93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8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8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8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8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8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3">
    <mergeCell ref="M16:N16"/>
    <mergeCell ref="A1:N1"/>
    <mergeCell ref="A3:A5"/>
    <mergeCell ref="I3:I5"/>
    <mergeCell ref="A7:N8"/>
    <mergeCell ref="M10:N10"/>
    <mergeCell ref="J11:L11"/>
    <mergeCell ref="M11:N11"/>
    <mergeCell ref="J12:L12"/>
    <mergeCell ref="M12:N12"/>
    <mergeCell ref="M13:N13"/>
    <mergeCell ref="M14:N14"/>
    <mergeCell ref="M15:N15"/>
    <mergeCell ref="M18:N18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A26:B26"/>
    <mergeCell ref="C26:G26"/>
    <mergeCell ref="K26:N26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5"/>
  <sheetViews>
    <sheetView topLeftCell="A7" zoomScale="80" zoomScaleNormal="80" workbookViewId="0">
      <selection activeCell="K15" sqref="K1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6.375" style="1" bestFit="1" customWidth="1"/>
    <col min="16" max="16" width="14.5" style="1" bestFit="1" customWidth="1"/>
    <col min="17" max="17" width="18.25" style="1" bestFit="1" customWidth="1"/>
    <col min="18" max="18" width="17.5" style="1" customWidth="1"/>
    <col min="19" max="19" width="14.5" style="1" bestFit="1" customWidth="1"/>
    <col min="20" max="20" width="14.125" style="1" bestFit="1" customWidth="1"/>
    <col min="21" max="21" width="14.5" style="1" bestFit="1" customWidth="1"/>
    <col min="22" max="22" width="14.625" style="1" bestFit="1" customWidth="1"/>
    <col min="23" max="23" width="12.125" style="1" bestFit="1" customWidth="1"/>
    <col min="24" max="16384" width="9" style="1"/>
  </cols>
  <sheetData>
    <row r="1" spans="1:19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9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9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9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9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9" ht="24" customHeight="1">
      <c r="A7" s="276" t="s">
        <v>31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9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9" ht="24" customHeight="1">
      <c r="A9" s="5"/>
      <c r="B9" s="4"/>
      <c r="C9" s="4"/>
      <c r="D9" s="4"/>
      <c r="E9" s="4"/>
      <c r="F9" s="4"/>
      <c r="G9" s="4"/>
      <c r="H9" s="4"/>
      <c r="I9" s="4"/>
      <c r="J9" s="4"/>
      <c r="K9" s="50"/>
      <c r="L9" s="10"/>
      <c r="M9" s="10"/>
      <c r="N9" s="51"/>
      <c r="O9" s="17"/>
      <c r="P9" s="17"/>
      <c r="Q9" s="17"/>
      <c r="R9" s="17"/>
    </row>
    <row r="10" spans="1:19" ht="24.75" customHeight="1">
      <c r="A10" s="5"/>
      <c r="B10" s="65"/>
      <c r="C10" s="4"/>
      <c r="D10" s="4"/>
      <c r="E10" s="4"/>
      <c r="F10" s="4"/>
      <c r="G10" s="4"/>
      <c r="H10" s="4"/>
      <c r="I10" s="4"/>
      <c r="J10" s="40"/>
      <c r="K10" s="52"/>
      <c r="L10" s="53" t="s">
        <v>128</v>
      </c>
      <c r="M10" s="307">
        <v>475323000</v>
      </c>
      <c r="N10" s="308"/>
      <c r="O10" s="17"/>
      <c r="P10" s="57"/>
      <c r="Q10" s="57"/>
      <c r="R10" s="17"/>
    </row>
    <row r="11" spans="1:19" ht="24.75" customHeight="1">
      <c r="A11" s="5"/>
      <c r="B11" s="4"/>
      <c r="C11" s="45"/>
      <c r="D11" s="4"/>
      <c r="E11" s="4"/>
      <c r="F11" s="4"/>
      <c r="G11" s="4"/>
      <c r="H11" s="4"/>
      <c r="I11" s="4"/>
      <c r="J11" s="309"/>
      <c r="K11" s="309"/>
      <c r="L11" s="309"/>
      <c r="M11" s="310"/>
      <c r="N11" s="311"/>
      <c r="O11" s="17"/>
      <c r="P11" s="57"/>
      <c r="Q11" s="57"/>
      <c r="R11" s="17"/>
    </row>
    <row r="12" spans="1:19" ht="24.75" customHeight="1">
      <c r="A12" s="5"/>
      <c r="B12" s="4"/>
      <c r="C12" s="45"/>
      <c r="D12" s="46"/>
      <c r="E12" s="4"/>
      <c r="F12" s="4"/>
      <c r="G12" s="4"/>
      <c r="H12" s="4"/>
      <c r="I12" s="4"/>
      <c r="J12" s="309"/>
      <c r="K12" s="309"/>
      <c r="L12" s="309"/>
      <c r="M12" s="310"/>
      <c r="N12" s="311"/>
      <c r="O12" s="17"/>
      <c r="P12" s="57"/>
      <c r="Q12" s="57"/>
      <c r="R12" s="17"/>
    </row>
    <row r="13" spans="1:19" ht="24.75" customHeight="1">
      <c r="A13" s="5"/>
      <c r="B13" s="4"/>
      <c r="C13" s="45"/>
      <c r="D13" s="47"/>
      <c r="E13" s="4"/>
      <c r="F13" s="4"/>
      <c r="G13" s="4"/>
      <c r="H13" s="4"/>
      <c r="I13" s="4"/>
      <c r="J13" s="40"/>
      <c r="K13" s="54"/>
      <c r="L13" s="55"/>
      <c r="M13" s="312"/>
      <c r="N13" s="313"/>
      <c r="O13" s="17"/>
      <c r="P13" s="17"/>
      <c r="Q13" s="17"/>
      <c r="R13" s="17"/>
      <c r="S13" s="17"/>
    </row>
    <row r="14" spans="1:19" ht="24.75" customHeight="1">
      <c r="A14" s="5"/>
      <c r="B14" s="4"/>
      <c r="C14" s="45"/>
      <c r="E14" s="4"/>
      <c r="F14" s="4"/>
      <c r="G14" s="4"/>
      <c r="H14" s="4"/>
      <c r="I14" s="4"/>
      <c r="J14" s="40"/>
      <c r="K14" s="54"/>
      <c r="L14" s="53"/>
      <c r="M14" s="312"/>
      <c r="N14" s="313"/>
      <c r="O14" s="17"/>
      <c r="P14" s="17"/>
      <c r="Q14" s="17"/>
      <c r="R14" s="17"/>
      <c r="S14" s="17"/>
    </row>
    <row r="15" spans="1:19" ht="24.75" customHeight="1">
      <c r="A15" s="5"/>
      <c r="B15" s="4"/>
      <c r="C15" s="40"/>
      <c r="D15" s="110"/>
      <c r="E15" s="110"/>
      <c r="F15" s="4"/>
      <c r="G15" s="4"/>
      <c r="H15" s="4"/>
      <c r="I15" s="4"/>
      <c r="J15" s="40"/>
      <c r="K15" s="54"/>
      <c r="L15" s="55"/>
      <c r="M15" s="312"/>
      <c r="N15" s="313"/>
      <c r="O15" s="17"/>
      <c r="P15" s="17"/>
      <c r="Q15" s="17"/>
      <c r="R15" s="17"/>
    </row>
    <row r="16" spans="1:19" ht="24.75" customHeight="1">
      <c r="A16" s="5"/>
      <c r="B16" s="4"/>
      <c r="C16" s="40"/>
      <c r="D16" s="110"/>
      <c r="E16" s="110"/>
      <c r="F16" s="4"/>
      <c r="G16" s="4"/>
      <c r="H16" s="4"/>
      <c r="I16" s="4"/>
      <c r="J16" s="40"/>
      <c r="L16" s="53"/>
      <c r="M16" s="305"/>
      <c r="N16" s="306"/>
      <c r="P16" s="17"/>
      <c r="Q16" s="17"/>
      <c r="R16" s="17"/>
    </row>
    <row r="17" spans="1:18" ht="24.75" customHeight="1">
      <c r="A17" s="5"/>
      <c r="B17" s="4"/>
      <c r="C17" s="40"/>
      <c r="D17" s="17"/>
      <c r="E17" s="17"/>
      <c r="F17" s="4"/>
      <c r="G17" s="4"/>
      <c r="H17" s="4"/>
      <c r="I17" s="4"/>
      <c r="J17" s="40"/>
      <c r="L17" s="53"/>
      <c r="M17" s="69"/>
      <c r="N17" s="70"/>
      <c r="P17" s="17"/>
      <c r="Q17" s="17"/>
      <c r="R17" s="17"/>
    </row>
    <row r="18" spans="1:18" ht="24.75" customHeight="1">
      <c r="A18" s="5"/>
      <c r="B18" s="4"/>
      <c r="C18" s="40"/>
      <c r="D18" s="110"/>
      <c r="E18" s="110"/>
      <c r="F18" s="4"/>
      <c r="G18" s="4"/>
      <c r="H18" s="4"/>
      <c r="I18" s="4"/>
      <c r="J18" s="40"/>
      <c r="K18" s="42"/>
      <c r="L18" s="66"/>
      <c r="M18" s="305"/>
      <c r="N18" s="306"/>
      <c r="P18" s="17"/>
      <c r="Q18" s="19"/>
      <c r="R18" s="17"/>
    </row>
    <row r="19" spans="1:18" ht="24" customHeight="1">
      <c r="A19" s="8"/>
      <c r="B19" s="9"/>
      <c r="C19" s="40"/>
      <c r="D19" s="111"/>
      <c r="E19" s="111"/>
      <c r="F19" s="9"/>
      <c r="G19" s="9"/>
      <c r="H19" s="9"/>
      <c r="I19" s="9"/>
      <c r="J19" s="9"/>
      <c r="K19" s="9"/>
      <c r="L19" s="9"/>
      <c r="M19" s="56"/>
      <c r="N19" s="11"/>
      <c r="O19" s="17"/>
      <c r="P19" s="17"/>
    </row>
    <row r="20" spans="1:18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17"/>
      <c r="P20" s="17"/>
    </row>
    <row r="21" spans="1:18" ht="24" customHeight="1">
      <c r="A21" s="8"/>
      <c r="B21" s="9"/>
      <c r="C21" s="260" t="s">
        <v>8</v>
      </c>
      <c r="D21" s="261"/>
      <c r="E21" s="262">
        <v>609</v>
      </c>
      <c r="F21" s="263"/>
      <c r="G21" s="12" t="s">
        <v>47</v>
      </c>
      <c r="H21" s="264">
        <v>85</v>
      </c>
      <c r="I21" s="263"/>
      <c r="J21" s="12" t="s">
        <v>23</v>
      </c>
      <c r="K21" s="264">
        <v>22263</v>
      </c>
      <c r="L21" s="263"/>
      <c r="M21" s="265"/>
      <c r="N21" s="11"/>
      <c r="O21" s="17"/>
      <c r="P21" s="17"/>
    </row>
    <row r="22" spans="1:18" ht="24" customHeight="1">
      <c r="A22" s="8"/>
      <c r="B22" s="9"/>
      <c r="C22" s="260" t="s">
        <v>9</v>
      </c>
      <c r="D22" s="261"/>
      <c r="E22" s="266" t="s">
        <v>26</v>
      </c>
      <c r="F22" s="267"/>
      <c r="G22" s="267"/>
      <c r="H22" s="268"/>
      <c r="I22" s="261" t="s">
        <v>10</v>
      </c>
      <c r="J22" s="261"/>
      <c r="K22" s="269">
        <f>K21</f>
        <v>22263</v>
      </c>
      <c r="L22" s="263"/>
      <c r="M22" s="265"/>
      <c r="N22" s="11"/>
      <c r="O22" s="17"/>
      <c r="P22" s="17"/>
    </row>
    <row r="23" spans="1:18" ht="24" customHeight="1">
      <c r="A23" s="8"/>
      <c r="B23" s="9"/>
      <c r="C23" s="260" t="s">
        <v>11</v>
      </c>
      <c r="D23" s="261"/>
      <c r="E23" s="232">
        <f>SUM(M10:N16)</f>
        <v>475323000</v>
      </c>
      <c r="F23" s="233"/>
      <c r="G23" s="233"/>
      <c r="H23" s="270"/>
      <c r="I23" s="261" t="s">
        <v>12</v>
      </c>
      <c r="J23" s="261"/>
      <c r="K23" s="232">
        <f>E23*0.1</f>
        <v>47532300</v>
      </c>
      <c r="L23" s="233"/>
      <c r="M23" s="234"/>
      <c r="N23" s="11"/>
      <c r="P23" s="17"/>
    </row>
    <row r="24" spans="1:18" ht="24" customHeight="1">
      <c r="A24" s="8"/>
      <c r="B24" s="9"/>
      <c r="C24" s="252" t="s">
        <v>13</v>
      </c>
      <c r="D24" s="253"/>
      <c r="E24" s="254">
        <v>45848</v>
      </c>
      <c r="F24" s="254"/>
      <c r="G24" s="254"/>
      <c r="H24" s="7" t="s">
        <v>14</v>
      </c>
      <c r="I24" s="255">
        <f>E23+K23</f>
        <v>522855300</v>
      </c>
      <c r="J24" s="256"/>
      <c r="K24" s="256"/>
      <c r="L24" s="256"/>
      <c r="M24" s="257"/>
      <c r="N24" s="11"/>
      <c r="P24" s="17"/>
    </row>
    <row r="25" spans="1:18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18" ht="27" customHeight="1">
      <c r="A26" s="258" t="s">
        <v>15</v>
      </c>
      <c r="B26" s="259"/>
      <c r="C26" s="297" t="str">
        <f>NUMBERSTRING(I24,1)</f>
        <v>오억이천이백팔십오만오천삼백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522855300</v>
      </c>
      <c r="L26" s="235"/>
      <c r="M26" s="235"/>
      <c r="N26" s="236"/>
    </row>
    <row r="27" spans="1:18" ht="27" customHeight="1">
      <c r="A27" s="237" t="s">
        <v>17</v>
      </c>
      <c r="B27" s="237"/>
      <c r="C27" s="237"/>
      <c r="D27" s="237" t="s">
        <v>93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8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8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8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8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8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3">
    <mergeCell ref="M16:N16"/>
    <mergeCell ref="A1:N1"/>
    <mergeCell ref="A3:A5"/>
    <mergeCell ref="I3:I5"/>
    <mergeCell ref="A7:N8"/>
    <mergeCell ref="M10:N10"/>
    <mergeCell ref="M11:N11"/>
    <mergeCell ref="M12:N12"/>
    <mergeCell ref="M13:N13"/>
    <mergeCell ref="M14:N14"/>
    <mergeCell ref="M15:N15"/>
    <mergeCell ref="J11:L11"/>
    <mergeCell ref="J12:L12"/>
    <mergeCell ref="M18:N18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A26:B26"/>
    <mergeCell ref="C26:G26"/>
    <mergeCell ref="K26:N26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08D2-C9DA-4C7B-AE6F-2A7114E566C4}">
  <dimension ref="A1:S75"/>
  <sheetViews>
    <sheetView topLeftCell="A4" zoomScale="80" zoomScaleNormal="80" workbookViewId="0">
      <selection activeCell="P22" sqref="P22"/>
    </sheetView>
  </sheetViews>
  <sheetFormatPr defaultRowHeight="16.5"/>
  <cols>
    <col min="1" max="1" width="3.125" style="10" customWidth="1"/>
    <col min="2" max="6" width="7.5" style="10" customWidth="1"/>
    <col min="7" max="8" width="5.375" style="10" customWidth="1"/>
    <col min="9" max="9" width="3.125" style="10" customWidth="1"/>
    <col min="10" max="14" width="7.5" style="10" customWidth="1"/>
    <col min="15" max="15" width="16.375" style="10" bestFit="1" customWidth="1"/>
    <col min="16" max="16" width="14.5" style="10" bestFit="1" customWidth="1"/>
    <col min="17" max="17" width="18.25" style="10" bestFit="1" customWidth="1"/>
    <col min="18" max="18" width="17.5" style="10" customWidth="1"/>
    <col min="19" max="19" width="14.5" style="10" bestFit="1" customWidth="1"/>
    <col min="20" max="20" width="14.125" style="10" bestFit="1" customWidth="1"/>
    <col min="21" max="21" width="14.5" style="10" bestFit="1" customWidth="1"/>
    <col min="22" max="22" width="14.625" style="10" bestFit="1" customWidth="1"/>
    <col min="23" max="23" width="12.125" style="10" bestFit="1" customWidth="1"/>
    <col min="24" max="16384" width="9" style="10"/>
  </cols>
  <sheetData>
    <row r="1" spans="1:19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9" ht="16.5" customHeight="1">
      <c r="A3" s="316" t="s">
        <v>0</v>
      </c>
      <c r="B3" s="119" t="s">
        <v>1</v>
      </c>
      <c r="C3" s="119" t="s">
        <v>63</v>
      </c>
      <c r="D3" s="119" t="s">
        <v>2</v>
      </c>
      <c r="E3" s="2" t="s">
        <v>88</v>
      </c>
      <c r="F3" s="2" t="s">
        <v>3</v>
      </c>
      <c r="G3" s="120"/>
      <c r="H3" s="120"/>
      <c r="I3" s="316" t="s">
        <v>4</v>
      </c>
      <c r="J3" s="119" t="s">
        <v>1</v>
      </c>
      <c r="K3" s="119" t="s">
        <v>63</v>
      </c>
      <c r="L3" s="119" t="s">
        <v>2</v>
      </c>
      <c r="M3" s="119" t="s">
        <v>64</v>
      </c>
      <c r="N3" s="119" t="s">
        <v>3</v>
      </c>
    </row>
    <row r="4" spans="1:19" ht="45" customHeight="1">
      <c r="A4" s="316"/>
      <c r="B4" s="119"/>
      <c r="C4" s="119"/>
      <c r="D4" s="119"/>
      <c r="E4" s="2"/>
      <c r="F4" s="2"/>
      <c r="G4" s="120"/>
      <c r="H4" s="120"/>
      <c r="I4" s="316"/>
      <c r="J4" s="119"/>
      <c r="K4" s="119"/>
      <c r="L4" s="119"/>
      <c r="M4" s="119"/>
      <c r="N4" s="119"/>
    </row>
    <row r="5" spans="1:19">
      <c r="A5" s="316"/>
      <c r="B5" s="119" t="s">
        <v>5</v>
      </c>
      <c r="C5" s="119" t="s">
        <v>5</v>
      </c>
      <c r="D5" s="119" t="s">
        <v>5</v>
      </c>
      <c r="E5" s="2" t="s">
        <v>5</v>
      </c>
      <c r="F5" s="2" t="s">
        <v>5</v>
      </c>
      <c r="G5" s="120"/>
      <c r="H5" s="120"/>
      <c r="I5" s="316"/>
      <c r="J5" s="119" t="s">
        <v>5</v>
      </c>
      <c r="K5" s="119" t="s">
        <v>5</v>
      </c>
      <c r="L5" s="119" t="s">
        <v>5</v>
      </c>
      <c r="M5" s="119" t="s">
        <v>5</v>
      </c>
      <c r="N5" s="119" t="s">
        <v>5</v>
      </c>
    </row>
    <row r="6" spans="1:19" ht="6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9" ht="24" customHeight="1">
      <c r="A7" s="317" t="s">
        <v>31</v>
      </c>
      <c r="B7" s="318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9"/>
    </row>
    <row r="8" spans="1:19" ht="24" customHeight="1">
      <c r="A8" s="320"/>
      <c r="B8" s="321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2"/>
    </row>
    <row r="9" spans="1:19" ht="24" customHeight="1">
      <c r="A9" s="8"/>
      <c r="B9" s="9"/>
      <c r="C9" s="9"/>
      <c r="D9" s="9"/>
      <c r="E9" s="9"/>
      <c r="F9" s="9"/>
      <c r="G9" s="9"/>
      <c r="H9" s="9"/>
      <c r="I9" s="9"/>
      <c r="J9" s="9"/>
      <c r="K9" s="50"/>
      <c r="N9" s="51"/>
      <c r="O9" s="121"/>
      <c r="P9" s="121"/>
      <c r="Q9" s="121"/>
      <c r="R9" s="121"/>
    </row>
    <row r="10" spans="1:19" ht="24.75" customHeight="1">
      <c r="A10" s="8"/>
      <c r="B10" s="65" t="s">
        <v>60</v>
      </c>
      <c r="C10" s="9"/>
      <c r="D10" s="9"/>
      <c r="E10" s="9"/>
      <c r="F10" s="9"/>
      <c r="G10" s="9"/>
      <c r="H10" s="9"/>
      <c r="I10" s="9"/>
      <c r="J10" s="122"/>
      <c r="K10" s="52"/>
      <c r="L10" s="53" t="s">
        <v>62</v>
      </c>
      <c r="M10" s="307">
        <v>1695000</v>
      </c>
      <c r="N10" s="308"/>
      <c r="O10" s="121"/>
      <c r="P10" s="123"/>
      <c r="Q10" s="123"/>
      <c r="R10" s="121"/>
    </row>
    <row r="11" spans="1:19" ht="24.75" customHeight="1">
      <c r="A11" s="8"/>
      <c r="B11" s="65"/>
      <c r="C11" s="65"/>
      <c r="D11" s="9"/>
      <c r="E11" s="9"/>
      <c r="F11" s="9"/>
      <c r="G11" s="9"/>
      <c r="H11" s="9"/>
      <c r="I11" s="9"/>
      <c r="J11" s="122"/>
      <c r="K11" s="54"/>
      <c r="L11" s="55"/>
      <c r="M11" s="310"/>
      <c r="N11" s="311"/>
      <c r="O11" s="121"/>
      <c r="P11" s="123"/>
      <c r="Q11" s="123"/>
      <c r="R11" s="121"/>
    </row>
    <row r="12" spans="1:19" ht="24.75" customHeight="1">
      <c r="A12" s="8"/>
      <c r="B12" s="9"/>
      <c r="C12" s="65"/>
      <c r="D12" s="86"/>
      <c r="E12" s="9"/>
      <c r="F12" s="9"/>
      <c r="G12" s="9"/>
      <c r="H12" s="9"/>
      <c r="I12" s="9"/>
      <c r="J12" s="122"/>
      <c r="K12" s="54"/>
      <c r="L12" s="55"/>
      <c r="M12" s="310"/>
      <c r="N12" s="311"/>
      <c r="O12" s="121"/>
      <c r="P12" s="123"/>
      <c r="Q12" s="123"/>
      <c r="R12" s="121"/>
    </row>
    <row r="13" spans="1:19" ht="24.75" customHeight="1">
      <c r="A13" s="8"/>
      <c r="B13" s="65"/>
      <c r="C13" s="65"/>
      <c r="D13" s="124"/>
      <c r="E13" s="9"/>
      <c r="F13" s="9"/>
      <c r="G13" s="9"/>
      <c r="H13" s="9"/>
      <c r="I13" s="9"/>
      <c r="J13" s="122"/>
      <c r="K13" s="54"/>
      <c r="L13" s="55"/>
      <c r="M13" s="312"/>
      <c r="N13" s="313"/>
      <c r="O13" s="121"/>
      <c r="P13" s="121"/>
      <c r="Q13" s="121"/>
      <c r="R13" s="121"/>
      <c r="S13" s="121"/>
    </row>
    <row r="14" spans="1:19" ht="24.75" customHeight="1">
      <c r="A14" s="8"/>
      <c r="B14" s="9"/>
      <c r="C14" s="65"/>
      <c r="E14" s="9"/>
      <c r="F14" s="9"/>
      <c r="G14" s="9"/>
      <c r="H14" s="9"/>
      <c r="I14" s="9"/>
      <c r="J14" s="122"/>
      <c r="K14" s="54"/>
      <c r="L14" s="53"/>
      <c r="M14" s="312"/>
      <c r="N14" s="313"/>
      <c r="O14" s="121"/>
      <c r="P14" s="121"/>
      <c r="Q14" s="121"/>
      <c r="R14" s="121"/>
      <c r="S14" s="121"/>
    </row>
    <row r="15" spans="1:19" ht="24.75" customHeight="1">
      <c r="A15" s="8"/>
      <c r="B15" s="9"/>
      <c r="C15" s="122"/>
      <c r="D15" s="125"/>
      <c r="E15" s="125"/>
      <c r="F15" s="9"/>
      <c r="G15" s="9"/>
      <c r="H15" s="9"/>
      <c r="I15" s="9"/>
      <c r="J15" s="122"/>
      <c r="K15" s="54"/>
      <c r="L15" s="55"/>
      <c r="M15" s="312"/>
      <c r="N15" s="313"/>
      <c r="O15" s="121"/>
      <c r="P15" s="121"/>
      <c r="Q15" s="121"/>
      <c r="R15" s="121"/>
    </row>
    <row r="16" spans="1:19" ht="24.75" customHeight="1">
      <c r="A16" s="8"/>
      <c r="B16" s="65"/>
      <c r="C16" s="122"/>
      <c r="D16" s="125"/>
      <c r="E16" s="125"/>
      <c r="F16" s="9"/>
      <c r="G16" s="9"/>
      <c r="H16" s="9"/>
      <c r="I16" s="9"/>
      <c r="J16" s="122"/>
      <c r="L16" s="53"/>
      <c r="M16" s="314"/>
      <c r="N16" s="315"/>
      <c r="P16" s="121"/>
      <c r="Q16" s="121"/>
      <c r="R16" s="121"/>
    </row>
    <row r="17" spans="1:18" ht="24.75" customHeight="1">
      <c r="A17" s="8"/>
      <c r="B17" s="9"/>
      <c r="C17" s="122"/>
      <c r="D17" s="121"/>
      <c r="E17" s="121"/>
      <c r="F17" s="9"/>
      <c r="G17" s="9"/>
      <c r="H17" s="9"/>
      <c r="I17" s="9"/>
      <c r="J17" s="122"/>
      <c r="L17" s="53"/>
      <c r="M17" s="126"/>
      <c r="N17" s="127"/>
      <c r="P17" s="121"/>
      <c r="Q17" s="121"/>
      <c r="R17" s="121"/>
    </row>
    <row r="18" spans="1:18" ht="24.75" customHeight="1">
      <c r="A18" s="8"/>
      <c r="B18" s="9"/>
      <c r="C18" s="122"/>
      <c r="D18" s="125"/>
      <c r="E18" s="125"/>
      <c r="F18" s="9"/>
      <c r="G18" s="9"/>
      <c r="H18" s="9"/>
      <c r="I18" s="9"/>
      <c r="J18" s="122"/>
      <c r="K18" s="128"/>
      <c r="L18" s="129"/>
      <c r="M18" s="314"/>
      <c r="N18" s="315"/>
      <c r="P18" s="121"/>
      <c r="Q18" s="130"/>
      <c r="R18" s="121"/>
    </row>
    <row r="19" spans="1:18" ht="24" customHeight="1">
      <c r="A19" s="8"/>
      <c r="B19" s="9"/>
      <c r="C19" s="122"/>
      <c r="D19" s="111"/>
      <c r="E19" s="111"/>
      <c r="F19" s="9"/>
      <c r="G19" s="9"/>
      <c r="H19" s="9"/>
      <c r="I19" s="9"/>
      <c r="J19" s="9"/>
      <c r="K19" s="9"/>
      <c r="L19" s="9"/>
      <c r="M19" s="56"/>
      <c r="N19" s="11"/>
      <c r="O19" s="121"/>
      <c r="P19" s="121"/>
      <c r="Q19" s="121"/>
    </row>
    <row r="20" spans="1:18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121"/>
      <c r="P20" s="121"/>
      <c r="Q20" s="121"/>
    </row>
    <row r="21" spans="1:18" ht="24" customHeight="1">
      <c r="A21" s="8"/>
      <c r="B21" s="9"/>
      <c r="C21" s="260" t="s">
        <v>8</v>
      </c>
      <c r="D21" s="261"/>
      <c r="E21" s="262">
        <v>609</v>
      </c>
      <c r="F21" s="263"/>
      <c r="G21" s="12" t="s">
        <v>23</v>
      </c>
      <c r="H21" s="264">
        <v>85</v>
      </c>
      <c r="I21" s="263"/>
      <c r="J21" s="12" t="s">
        <v>23</v>
      </c>
      <c r="K21" s="264">
        <v>22263</v>
      </c>
      <c r="L21" s="263"/>
      <c r="M21" s="265"/>
      <c r="N21" s="11"/>
      <c r="O21" s="121"/>
      <c r="P21" s="121"/>
      <c r="Q21" s="121"/>
    </row>
    <row r="22" spans="1:18" ht="24" customHeight="1">
      <c r="A22" s="8"/>
      <c r="B22" s="9"/>
      <c r="C22" s="260" t="s">
        <v>9</v>
      </c>
      <c r="D22" s="261"/>
      <c r="E22" s="266" t="s">
        <v>26</v>
      </c>
      <c r="F22" s="267"/>
      <c r="G22" s="267"/>
      <c r="H22" s="268"/>
      <c r="I22" s="261" t="s">
        <v>10</v>
      </c>
      <c r="J22" s="261"/>
      <c r="K22" s="269">
        <f>K21</f>
        <v>22263</v>
      </c>
      <c r="L22" s="263"/>
      <c r="M22" s="265"/>
      <c r="N22" s="11"/>
      <c r="O22" s="121"/>
      <c r="P22" s="121"/>
      <c r="Q22" s="121"/>
    </row>
    <row r="23" spans="1:18" ht="24" customHeight="1">
      <c r="A23" s="8"/>
      <c r="B23" s="9"/>
      <c r="C23" s="260" t="s">
        <v>11</v>
      </c>
      <c r="D23" s="261"/>
      <c r="E23" s="232">
        <f>SUM(M10:N16)</f>
        <v>1695000</v>
      </c>
      <c r="F23" s="233"/>
      <c r="G23" s="233"/>
      <c r="H23" s="270"/>
      <c r="I23" s="261" t="s">
        <v>12</v>
      </c>
      <c r="J23" s="261"/>
      <c r="K23" s="232">
        <f>E23*0.1</f>
        <v>169500</v>
      </c>
      <c r="L23" s="233"/>
      <c r="M23" s="234"/>
      <c r="N23" s="11"/>
      <c r="P23" s="121"/>
    </row>
    <row r="24" spans="1:18" ht="24" customHeight="1">
      <c r="A24" s="8"/>
      <c r="B24" s="9"/>
      <c r="C24" s="252" t="s">
        <v>13</v>
      </c>
      <c r="D24" s="253"/>
      <c r="E24" s="254">
        <v>44232</v>
      </c>
      <c r="F24" s="254"/>
      <c r="G24" s="254"/>
      <c r="H24" s="7" t="s">
        <v>14</v>
      </c>
      <c r="I24" s="255">
        <f>E23+K23</f>
        <v>1864500</v>
      </c>
      <c r="J24" s="256"/>
      <c r="K24" s="256"/>
      <c r="L24" s="256"/>
      <c r="M24" s="257"/>
      <c r="N24" s="11"/>
      <c r="P24" s="121"/>
    </row>
    <row r="25" spans="1:18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18" ht="27" customHeight="1">
      <c r="A26" s="258" t="s">
        <v>15</v>
      </c>
      <c r="B26" s="259"/>
      <c r="C26" s="297" t="str">
        <f>NUMBERSTRING(I24,1)</f>
        <v>일백팔십육만사천오백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1864500</v>
      </c>
      <c r="L26" s="235"/>
      <c r="M26" s="235"/>
      <c r="N26" s="236"/>
    </row>
    <row r="27" spans="1:18" ht="27" customHeight="1">
      <c r="A27" s="237" t="s">
        <v>17</v>
      </c>
      <c r="B27" s="237"/>
      <c r="C27" s="237"/>
      <c r="D27" s="237" t="s">
        <v>70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8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8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8" ht="24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8" ht="24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8" ht="24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24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24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24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24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24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ht="24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24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24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ht="24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24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ht="24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ht="24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ht="24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24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ht="24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ht="24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24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24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ht="24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ht="24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ht="24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ht="24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ht="24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ht="24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ht="24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ht="24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ht="21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ht="21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ht="21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ht="21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ht="21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21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21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21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</sheetData>
  <mergeCells count="41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M18:N18"/>
    <mergeCell ref="C20:M20"/>
    <mergeCell ref="C21:D21"/>
    <mergeCell ref="E21:F21"/>
    <mergeCell ref="H21:I21"/>
    <mergeCell ref="K21:M21"/>
    <mergeCell ref="M16:N16"/>
    <mergeCell ref="A1:N1"/>
    <mergeCell ref="A3:A5"/>
    <mergeCell ref="I3:I5"/>
    <mergeCell ref="A7:N8"/>
    <mergeCell ref="M10:N10"/>
    <mergeCell ref="M11:N11"/>
    <mergeCell ref="M12:N12"/>
    <mergeCell ref="M13:N13"/>
    <mergeCell ref="M14:N14"/>
    <mergeCell ref="M15:N15"/>
  </mergeCells>
  <phoneticPr fontId="2" type="noConversion"/>
  <pageMargins left="0.2" right="0.2" top="0.94488188976377963" bottom="0.55118110236220474" header="0.31496062992125984" footer="0.31496062992125984"/>
  <pageSetup paperSize="9" orientation="portrait" horizontalDpi="300" verticalDpi="300" r:id="rId1"/>
  <headerFooter>
    <oddFooter>&amp;C&amp;"윤명조,보통"&amp;11대  신  금  속  주  식  회  사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22C3-B8A0-41D0-91E3-C6F5B6295E75}">
  <dimension ref="A1:O75"/>
  <sheetViews>
    <sheetView zoomScale="80" zoomScaleNormal="80" workbookViewId="0">
      <selection activeCell="P19" sqref="P19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6.375" style="1" bestFit="1" customWidth="1"/>
    <col min="16" max="16384" width="9" style="1"/>
  </cols>
  <sheetData>
    <row r="1" spans="1:15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5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5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5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5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24" customHeight="1">
      <c r="A7" s="276" t="s">
        <v>31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5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5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K9" s="50"/>
      <c r="L9" s="10"/>
      <c r="M9" s="10"/>
      <c r="N9" s="51"/>
      <c r="O9" s="17"/>
    </row>
    <row r="10" spans="1:15" s="46" customFormat="1" ht="24.75" customHeight="1">
      <c r="A10" s="82"/>
      <c r="B10" s="131" t="s">
        <v>79</v>
      </c>
      <c r="C10" s="131"/>
      <c r="D10" s="131"/>
      <c r="E10" s="131"/>
      <c r="F10" s="131"/>
      <c r="G10" s="131"/>
      <c r="H10" s="132"/>
      <c r="I10" s="132"/>
      <c r="J10" s="132"/>
      <c r="K10" s="54"/>
      <c r="L10" s="108" t="s">
        <v>48</v>
      </c>
      <c r="M10" s="307">
        <v>3846591</v>
      </c>
      <c r="N10" s="308"/>
      <c r="O10" s="118"/>
    </row>
    <row r="11" spans="1:15" s="46" customFormat="1" ht="24.75" customHeight="1">
      <c r="A11" s="82"/>
      <c r="B11" s="94" t="s">
        <v>80</v>
      </c>
      <c r="C11" s="94"/>
      <c r="K11" s="54"/>
      <c r="L11" s="108" t="s">
        <v>46</v>
      </c>
      <c r="M11" s="307"/>
      <c r="N11" s="350"/>
      <c r="O11" s="84"/>
    </row>
    <row r="12" spans="1:15" s="46" customFormat="1" ht="24.75" customHeight="1">
      <c r="A12" s="82"/>
      <c r="C12" s="94"/>
      <c r="K12" s="54"/>
      <c r="L12" s="108" t="s">
        <v>56</v>
      </c>
      <c r="M12" s="307"/>
      <c r="N12" s="350"/>
      <c r="O12" s="89"/>
    </row>
    <row r="13" spans="1:15" s="46" customFormat="1" ht="24.75" customHeight="1">
      <c r="A13" s="82"/>
      <c r="C13" s="94"/>
      <c r="D13" s="47"/>
      <c r="K13" s="54"/>
      <c r="L13" s="109" t="s">
        <v>66</v>
      </c>
      <c r="M13" s="348"/>
      <c r="N13" s="349"/>
    </row>
    <row r="14" spans="1:15" s="46" customFormat="1" ht="24.75" customHeight="1">
      <c r="A14" s="82"/>
      <c r="C14" s="94"/>
      <c r="K14" s="54"/>
      <c r="L14" s="108" t="s">
        <v>61</v>
      </c>
      <c r="M14" s="348"/>
      <c r="N14" s="349"/>
      <c r="O14" s="84"/>
    </row>
    <row r="15" spans="1:15" s="46" customFormat="1" ht="24.75" customHeight="1">
      <c r="A15" s="82"/>
      <c r="D15" s="116"/>
      <c r="E15" s="116"/>
      <c r="K15" s="54"/>
      <c r="L15" s="108" t="s">
        <v>76</v>
      </c>
      <c r="M15" s="348">
        <v>3429270</v>
      </c>
      <c r="N15" s="349"/>
    </row>
    <row r="16" spans="1:15" s="46" customFormat="1" ht="24.75" customHeight="1">
      <c r="A16" s="82"/>
      <c r="D16" s="116"/>
      <c r="E16" s="116"/>
      <c r="K16" s="88"/>
      <c r="L16" s="96" t="s">
        <v>71</v>
      </c>
      <c r="M16" s="348"/>
      <c r="N16" s="349"/>
      <c r="O16" s="84"/>
    </row>
    <row r="17" spans="1:15" s="46" customFormat="1" ht="24.75" customHeight="1">
      <c r="A17" s="82"/>
      <c r="D17" s="84"/>
      <c r="E17" s="84"/>
      <c r="L17" s="96" t="s">
        <v>75</v>
      </c>
      <c r="M17" s="348"/>
      <c r="N17" s="349"/>
    </row>
    <row r="18" spans="1:15" s="46" customFormat="1" ht="24.75" customHeight="1">
      <c r="A18" s="82"/>
      <c r="D18" s="116"/>
      <c r="E18" s="116"/>
      <c r="K18" s="97"/>
      <c r="L18" s="98"/>
      <c r="M18" s="341"/>
      <c r="N18" s="342"/>
    </row>
    <row r="19" spans="1:15" s="46" customFormat="1" ht="24" customHeight="1">
      <c r="A19" s="99"/>
      <c r="B19" s="86"/>
      <c r="D19" s="117"/>
      <c r="E19" s="117"/>
      <c r="F19" s="86"/>
      <c r="G19" s="86"/>
      <c r="H19" s="86"/>
      <c r="I19" s="86"/>
      <c r="J19" s="86"/>
      <c r="K19" s="86"/>
      <c r="L19" s="86"/>
      <c r="M19" s="85"/>
      <c r="N19" s="100"/>
      <c r="O19" s="84"/>
    </row>
    <row r="20" spans="1:15" s="46" customFormat="1" ht="24" customHeight="1">
      <c r="A20" s="99"/>
      <c r="B20" s="86"/>
      <c r="C20" s="343" t="s">
        <v>7</v>
      </c>
      <c r="D20" s="344"/>
      <c r="E20" s="344"/>
      <c r="F20" s="344"/>
      <c r="G20" s="344"/>
      <c r="H20" s="344"/>
      <c r="I20" s="344"/>
      <c r="J20" s="344"/>
      <c r="K20" s="344"/>
      <c r="L20" s="344"/>
      <c r="M20" s="345"/>
      <c r="N20" s="100"/>
      <c r="O20" s="84"/>
    </row>
    <row r="21" spans="1:15" s="46" customFormat="1" ht="24" customHeight="1">
      <c r="A21" s="99"/>
      <c r="B21" s="86"/>
      <c r="C21" s="329" t="s">
        <v>8</v>
      </c>
      <c r="D21" s="330"/>
      <c r="E21" s="346">
        <v>609</v>
      </c>
      <c r="F21" s="335"/>
      <c r="G21" s="101" t="s">
        <v>23</v>
      </c>
      <c r="H21" s="347">
        <v>85</v>
      </c>
      <c r="I21" s="335"/>
      <c r="J21" s="101" t="s">
        <v>23</v>
      </c>
      <c r="K21" s="347">
        <v>22263</v>
      </c>
      <c r="L21" s="335"/>
      <c r="M21" s="336"/>
      <c r="N21" s="100"/>
      <c r="O21" s="84"/>
    </row>
    <row r="22" spans="1:15" s="46" customFormat="1" ht="24" customHeight="1">
      <c r="A22" s="99"/>
      <c r="B22" s="86"/>
      <c r="C22" s="329" t="s">
        <v>9</v>
      </c>
      <c r="D22" s="330"/>
      <c r="E22" s="331" t="s">
        <v>26</v>
      </c>
      <c r="F22" s="332"/>
      <c r="G22" s="332"/>
      <c r="H22" s="333"/>
      <c r="I22" s="330" t="s">
        <v>10</v>
      </c>
      <c r="J22" s="330"/>
      <c r="K22" s="334">
        <f>K21</f>
        <v>22263</v>
      </c>
      <c r="L22" s="335"/>
      <c r="M22" s="336"/>
      <c r="N22" s="100"/>
      <c r="O22" s="84"/>
    </row>
    <row r="23" spans="1:15" s="46" customFormat="1" ht="24" customHeight="1">
      <c r="A23" s="99"/>
      <c r="B23" s="86"/>
      <c r="C23" s="329" t="s">
        <v>11</v>
      </c>
      <c r="D23" s="330"/>
      <c r="E23" s="337">
        <f>SUM(M10:N17)</f>
        <v>7275861</v>
      </c>
      <c r="F23" s="338"/>
      <c r="G23" s="338"/>
      <c r="H23" s="339"/>
      <c r="I23" s="330" t="s">
        <v>12</v>
      </c>
      <c r="J23" s="330"/>
      <c r="K23" s="337">
        <f>E23*0.1</f>
        <v>727586.10000000009</v>
      </c>
      <c r="L23" s="338"/>
      <c r="M23" s="340"/>
      <c r="N23" s="100"/>
    </row>
    <row r="24" spans="1:15" s="46" customFormat="1" ht="24" customHeight="1">
      <c r="A24" s="99"/>
      <c r="B24" s="86"/>
      <c r="C24" s="323" t="s">
        <v>13</v>
      </c>
      <c r="D24" s="324"/>
      <c r="E24" s="325">
        <v>45107</v>
      </c>
      <c r="F24" s="325"/>
      <c r="G24" s="325"/>
      <c r="H24" s="102" t="s">
        <v>14</v>
      </c>
      <c r="I24" s="326">
        <f>E23+K23</f>
        <v>8003447.0999999996</v>
      </c>
      <c r="J24" s="327"/>
      <c r="K24" s="327"/>
      <c r="L24" s="327"/>
      <c r="M24" s="328"/>
      <c r="N24" s="100"/>
    </row>
    <row r="25" spans="1:15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15" ht="27" customHeight="1">
      <c r="A26" s="258" t="s">
        <v>15</v>
      </c>
      <c r="B26" s="259"/>
      <c r="C26" s="297" t="str">
        <f>NUMBERSTRING(I24,1)</f>
        <v>팔백만삼천사백사십칠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8003447.0999999996</v>
      </c>
      <c r="L26" s="235"/>
      <c r="M26" s="235"/>
      <c r="N26" s="236"/>
    </row>
    <row r="27" spans="1:15" ht="27" customHeight="1">
      <c r="A27" s="237" t="s">
        <v>17</v>
      </c>
      <c r="B27" s="237"/>
      <c r="C27" s="237"/>
      <c r="D27" s="237" t="s">
        <v>78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5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5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5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2">
    <mergeCell ref="M17:N17"/>
    <mergeCell ref="A1:N1"/>
    <mergeCell ref="A3:A5"/>
    <mergeCell ref="I3:I5"/>
    <mergeCell ref="A7:N8"/>
    <mergeCell ref="M10:N10"/>
    <mergeCell ref="M11:N11"/>
    <mergeCell ref="M12:N12"/>
    <mergeCell ref="M13:N13"/>
    <mergeCell ref="M14:N14"/>
    <mergeCell ref="M15:N15"/>
    <mergeCell ref="M16:N16"/>
    <mergeCell ref="M18:N18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A26:B26"/>
    <mergeCell ref="C26:G26"/>
    <mergeCell ref="K26:N26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</mergeCells>
  <phoneticPr fontId="2" type="noConversion"/>
  <pageMargins left="0.2" right="0.2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5"/>
  <sheetViews>
    <sheetView zoomScale="80" zoomScaleNormal="80" workbookViewId="0">
      <selection activeCell="E25" sqref="E2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6.375" style="1" bestFit="1" customWidth="1"/>
    <col min="16" max="16384" width="9" style="1"/>
  </cols>
  <sheetData>
    <row r="1" spans="1:1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6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ht="24" customHeight="1">
      <c r="A7" s="276" t="s">
        <v>31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6" ht="24" customHeight="1">
      <c r="A9" s="5"/>
      <c r="B9" s="139"/>
      <c r="F9" s="139"/>
      <c r="G9" s="139"/>
      <c r="H9" s="139"/>
      <c r="I9" s="139"/>
      <c r="J9" s="139"/>
      <c r="K9" s="50"/>
      <c r="L9" s="10"/>
      <c r="M9" s="10"/>
      <c r="N9" s="51"/>
      <c r="O9" s="17"/>
      <c r="P9" s="139" t="s">
        <v>127</v>
      </c>
    </row>
    <row r="10" spans="1:16" s="46" customFormat="1" ht="24.75" customHeight="1">
      <c r="A10" s="82"/>
      <c r="B10" s="131"/>
      <c r="C10" s="131"/>
      <c r="D10" s="131"/>
      <c r="F10" s="131"/>
      <c r="G10" s="131"/>
      <c r="H10" s="132"/>
      <c r="I10" s="132"/>
      <c r="J10" s="132"/>
      <c r="K10" s="54"/>
      <c r="L10" s="108" t="s">
        <v>48</v>
      </c>
      <c r="M10" s="351">
        <f>O10</f>
        <v>92010653</v>
      </c>
      <c r="N10" s="352"/>
      <c r="O10" s="215">
        <v>92010653</v>
      </c>
    </row>
    <row r="11" spans="1:16" s="46" customFormat="1" ht="24.75" customHeight="1">
      <c r="A11" s="82"/>
      <c r="C11" s="94"/>
      <c r="K11" s="54"/>
      <c r="L11" s="108" t="s">
        <v>46</v>
      </c>
      <c r="M11" s="353">
        <f>O11</f>
        <v>0</v>
      </c>
      <c r="N11" s="354"/>
      <c r="O11" s="216"/>
    </row>
    <row r="12" spans="1:16" s="46" customFormat="1" ht="24.75" customHeight="1">
      <c r="A12" s="82"/>
      <c r="C12" s="94"/>
      <c r="K12" s="54"/>
      <c r="L12" s="108" t="s">
        <v>56</v>
      </c>
      <c r="M12" s="353">
        <f>O12</f>
        <v>0</v>
      </c>
      <c r="N12" s="354"/>
      <c r="O12" s="216"/>
    </row>
    <row r="13" spans="1:16" s="46" customFormat="1" ht="24.75" customHeight="1">
      <c r="A13" s="82"/>
      <c r="C13" s="94"/>
      <c r="D13" s="47"/>
      <c r="K13" s="54"/>
      <c r="L13" s="108" t="s">
        <v>61</v>
      </c>
      <c r="M13" s="207"/>
      <c r="N13" s="206"/>
      <c r="O13" s="1"/>
    </row>
    <row r="14" spans="1:16" s="46" customFormat="1" ht="24.75" customHeight="1">
      <c r="A14" s="82"/>
      <c r="C14" s="94"/>
      <c r="K14" s="54"/>
      <c r="L14" s="108" t="s">
        <v>76</v>
      </c>
      <c r="M14" s="353">
        <f>O14</f>
        <v>25640447</v>
      </c>
      <c r="N14" s="354"/>
      <c r="O14" s="1">
        <v>25640447</v>
      </c>
    </row>
    <row r="15" spans="1:16" s="46" customFormat="1" ht="24.75" customHeight="1">
      <c r="A15" s="82"/>
      <c r="D15" s="116"/>
      <c r="E15" s="116"/>
      <c r="K15" s="54"/>
      <c r="L15" s="96" t="s">
        <v>71</v>
      </c>
      <c r="M15" s="348"/>
      <c r="N15" s="349"/>
      <c r="O15" s="84"/>
    </row>
    <row r="16" spans="1:16" s="46" customFormat="1" ht="24.75" customHeight="1">
      <c r="A16" s="82"/>
      <c r="D16" s="116"/>
      <c r="E16" s="116"/>
      <c r="K16" s="88"/>
      <c r="L16" s="96" t="s">
        <v>86</v>
      </c>
      <c r="M16" s="348"/>
      <c r="N16" s="349"/>
      <c r="O16" s="84"/>
    </row>
    <row r="17" spans="1:15" s="46" customFormat="1" ht="24.75" customHeight="1">
      <c r="A17" s="82"/>
      <c r="D17" s="84"/>
      <c r="E17" s="84"/>
      <c r="L17" s="96" t="s">
        <v>90</v>
      </c>
      <c r="M17" s="348"/>
      <c r="N17" s="349"/>
    </row>
    <row r="18" spans="1:15" s="46" customFormat="1" ht="24.75" customHeight="1">
      <c r="A18" s="82"/>
      <c r="D18" s="116"/>
      <c r="E18" s="116"/>
      <c r="K18" s="97"/>
      <c r="L18" s="96" t="s">
        <v>91</v>
      </c>
      <c r="M18" s="290"/>
      <c r="N18" s="291"/>
    </row>
    <row r="19" spans="1:15" s="46" customFormat="1" ht="24" customHeight="1">
      <c r="A19" s="99"/>
      <c r="B19" s="86"/>
      <c r="D19" s="117"/>
      <c r="E19" s="117"/>
      <c r="F19" s="86"/>
      <c r="G19" s="86"/>
      <c r="H19" s="86"/>
      <c r="I19" s="86"/>
      <c r="J19" s="86"/>
      <c r="K19" s="86"/>
      <c r="L19" s="96" t="s">
        <v>92</v>
      </c>
      <c r="M19" s="348"/>
      <c r="N19" s="349"/>
      <c r="O19" s="157"/>
    </row>
    <row r="20" spans="1:15" s="46" customFormat="1" ht="24" customHeight="1">
      <c r="A20" s="99"/>
      <c r="B20" s="86"/>
      <c r="C20" s="343" t="s">
        <v>7</v>
      </c>
      <c r="D20" s="344"/>
      <c r="E20" s="344"/>
      <c r="F20" s="344"/>
      <c r="G20" s="344"/>
      <c r="H20" s="344"/>
      <c r="I20" s="344"/>
      <c r="J20" s="344"/>
      <c r="K20" s="344"/>
      <c r="L20" s="344"/>
      <c r="M20" s="345"/>
      <c r="N20" s="100"/>
      <c r="O20" s="84"/>
    </row>
    <row r="21" spans="1:15" s="46" customFormat="1" ht="24" customHeight="1">
      <c r="A21" s="99"/>
      <c r="B21" s="86"/>
      <c r="C21" s="329" t="s">
        <v>8</v>
      </c>
      <c r="D21" s="330"/>
      <c r="E21" s="346">
        <v>609</v>
      </c>
      <c r="F21" s="335"/>
      <c r="G21" s="101" t="s">
        <v>47</v>
      </c>
      <c r="H21" s="347">
        <v>85</v>
      </c>
      <c r="I21" s="335"/>
      <c r="J21" s="101" t="s">
        <v>23</v>
      </c>
      <c r="K21" s="347">
        <v>22263</v>
      </c>
      <c r="L21" s="335"/>
      <c r="M21" s="336"/>
      <c r="N21" s="100"/>
      <c r="O21" s="84"/>
    </row>
    <row r="22" spans="1:15" s="46" customFormat="1" ht="24" customHeight="1">
      <c r="A22" s="99"/>
      <c r="B22" s="86"/>
      <c r="C22" s="329" t="s">
        <v>9</v>
      </c>
      <c r="D22" s="330"/>
      <c r="E22" s="331" t="s">
        <v>26</v>
      </c>
      <c r="F22" s="332"/>
      <c r="G22" s="332"/>
      <c r="H22" s="333"/>
      <c r="I22" s="330" t="s">
        <v>10</v>
      </c>
      <c r="J22" s="330"/>
      <c r="K22" s="334">
        <f>K21</f>
        <v>22263</v>
      </c>
      <c r="L22" s="335"/>
      <c r="M22" s="336"/>
      <c r="N22" s="100"/>
      <c r="O22" s="84"/>
    </row>
    <row r="23" spans="1:15" s="46" customFormat="1" ht="24" customHeight="1">
      <c r="A23" s="99"/>
      <c r="B23" s="86"/>
      <c r="C23" s="329" t="s">
        <v>11</v>
      </c>
      <c r="D23" s="330"/>
      <c r="E23" s="337">
        <f>SUM(M10:N19)</f>
        <v>117651100</v>
      </c>
      <c r="F23" s="338"/>
      <c r="G23" s="338"/>
      <c r="H23" s="339"/>
      <c r="I23" s="330" t="s">
        <v>12</v>
      </c>
      <c r="J23" s="330"/>
      <c r="K23" s="337">
        <f>E23*0.1</f>
        <v>11765110</v>
      </c>
      <c r="L23" s="338"/>
      <c r="M23" s="340"/>
      <c r="N23" s="100"/>
    </row>
    <row r="24" spans="1:15" s="46" customFormat="1" ht="24" customHeight="1">
      <c r="A24" s="99"/>
      <c r="B24" s="86"/>
      <c r="C24" s="323" t="s">
        <v>13</v>
      </c>
      <c r="D24" s="324"/>
      <c r="E24" s="325">
        <v>46053</v>
      </c>
      <c r="F24" s="325"/>
      <c r="G24" s="325"/>
      <c r="H24" s="102" t="s">
        <v>14</v>
      </c>
      <c r="I24" s="326">
        <f>E23+K23</f>
        <v>129416210</v>
      </c>
      <c r="J24" s="327"/>
      <c r="K24" s="327"/>
      <c r="L24" s="327"/>
      <c r="M24" s="328"/>
      <c r="N24" s="100"/>
    </row>
    <row r="25" spans="1:15" ht="24" customHeight="1">
      <c r="A25" s="8"/>
      <c r="B25" s="9"/>
      <c r="C25" s="9"/>
      <c r="D25" s="9"/>
      <c r="E25" s="9"/>
      <c r="F25" s="106"/>
      <c r="G25" s="9"/>
      <c r="H25" s="9"/>
      <c r="I25" s="9"/>
      <c r="J25" s="9"/>
      <c r="K25" s="9"/>
      <c r="L25" s="9"/>
      <c r="M25" s="9"/>
      <c r="N25" s="11"/>
    </row>
    <row r="26" spans="1:15" ht="27" customHeight="1">
      <c r="A26" s="258" t="s">
        <v>15</v>
      </c>
      <c r="B26" s="259"/>
      <c r="C26" s="297" t="str">
        <f>NUMBERSTRING(I24,1)</f>
        <v>일억이천구백사십일만육천이백일십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129416210</v>
      </c>
      <c r="L26" s="235"/>
      <c r="M26" s="235"/>
      <c r="N26" s="236"/>
    </row>
    <row r="27" spans="1:15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5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5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5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2">
    <mergeCell ref="C21:D21"/>
    <mergeCell ref="E21:F21"/>
    <mergeCell ref="H21:I21"/>
    <mergeCell ref="K21:M21"/>
    <mergeCell ref="M12:N12"/>
    <mergeCell ref="C20:M20"/>
    <mergeCell ref="M14:N14"/>
    <mergeCell ref="M18:N18"/>
    <mergeCell ref="M16:N16"/>
    <mergeCell ref="M15:N15"/>
    <mergeCell ref="M17:N17"/>
    <mergeCell ref="M19:N19"/>
    <mergeCell ref="E23:H23"/>
    <mergeCell ref="I23:J23"/>
    <mergeCell ref="K23:M23"/>
    <mergeCell ref="A29:C29"/>
    <mergeCell ref="D29:G29"/>
    <mergeCell ref="H29:J29"/>
    <mergeCell ref="K29:N29"/>
    <mergeCell ref="A28:C28"/>
    <mergeCell ref="D28:N28"/>
    <mergeCell ref="M11:N11"/>
    <mergeCell ref="A27:C27"/>
    <mergeCell ref="D27:I27"/>
    <mergeCell ref="J27:K27"/>
    <mergeCell ref="L27:N27"/>
    <mergeCell ref="C24:D24"/>
    <mergeCell ref="E24:G24"/>
    <mergeCell ref="I24:M24"/>
    <mergeCell ref="A26:B26"/>
    <mergeCell ref="K26:N26"/>
    <mergeCell ref="C26:G26"/>
    <mergeCell ref="C22:D22"/>
    <mergeCell ref="E22:H22"/>
    <mergeCell ref="I22:J22"/>
    <mergeCell ref="K22:M22"/>
    <mergeCell ref="C23:D23"/>
    <mergeCell ref="M10:N10"/>
    <mergeCell ref="A1:N1"/>
    <mergeCell ref="A3:A5"/>
    <mergeCell ref="I3:I5"/>
    <mergeCell ref="A7:N8"/>
  </mergeCells>
  <phoneticPr fontId="2" type="noConversion"/>
  <pageMargins left="0.2" right="0.2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15F5-39C6-4529-ADEA-D539DDC2F26E}">
  <dimension ref="A1:P75"/>
  <sheetViews>
    <sheetView zoomScale="80" zoomScaleNormal="80" workbookViewId="0">
      <selection activeCell="E25" sqref="E2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6.375" style="1" bestFit="1" customWidth="1"/>
    <col min="16" max="16384" width="9" style="1"/>
  </cols>
  <sheetData>
    <row r="1" spans="1:1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6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ht="24" customHeight="1">
      <c r="A7" s="276" t="s">
        <v>31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6" ht="24" customHeight="1">
      <c r="A9" s="5"/>
      <c r="B9" s="139"/>
      <c r="F9" s="139"/>
      <c r="G9" s="139"/>
      <c r="H9" s="139"/>
      <c r="I9" s="139"/>
      <c r="J9" s="139"/>
      <c r="K9" s="50"/>
      <c r="L9" s="10"/>
      <c r="M9" s="10"/>
      <c r="N9" s="51"/>
      <c r="O9" s="17"/>
      <c r="P9" s="139" t="s">
        <v>127</v>
      </c>
    </row>
    <row r="10" spans="1:16" s="46" customFormat="1" ht="24.75" customHeight="1">
      <c r="A10" s="82"/>
      <c r="B10" s="131"/>
      <c r="C10" s="131"/>
      <c r="D10" s="131"/>
      <c r="F10" s="131"/>
      <c r="G10" s="131"/>
      <c r="H10" s="132"/>
      <c r="I10" s="132"/>
      <c r="J10" s="132"/>
      <c r="K10" s="54"/>
      <c r="L10" s="108" t="s">
        <v>48</v>
      </c>
      <c r="M10" s="351">
        <f>O10</f>
        <v>37082421</v>
      </c>
      <c r="N10" s="352"/>
      <c r="O10" s="215">
        <v>37082421</v>
      </c>
    </row>
    <row r="11" spans="1:16" s="46" customFormat="1" ht="24.75" customHeight="1">
      <c r="A11" s="82"/>
      <c r="C11" s="94"/>
      <c r="K11" s="54"/>
      <c r="L11" s="108" t="s">
        <v>46</v>
      </c>
      <c r="M11" s="353">
        <f>O11</f>
        <v>877560</v>
      </c>
      <c r="N11" s="354"/>
      <c r="O11" s="215">
        <v>877560</v>
      </c>
    </row>
    <row r="12" spans="1:16" s="46" customFormat="1" ht="24.75" customHeight="1">
      <c r="A12" s="82"/>
      <c r="C12" s="94"/>
      <c r="K12" s="54"/>
      <c r="L12" s="108" t="s">
        <v>56</v>
      </c>
      <c r="M12" s="353">
        <f>O12</f>
        <v>255172</v>
      </c>
      <c r="N12" s="354"/>
      <c r="O12" s="215">
        <v>255172</v>
      </c>
    </row>
    <row r="13" spans="1:16" s="46" customFormat="1" ht="24.75" customHeight="1">
      <c r="A13" s="82"/>
      <c r="C13" s="94"/>
      <c r="D13" s="47"/>
      <c r="K13" s="54"/>
      <c r="L13" s="108" t="s">
        <v>61</v>
      </c>
      <c r="M13" s="207"/>
      <c r="N13" s="206"/>
    </row>
    <row r="14" spans="1:16" s="46" customFormat="1" ht="24.75" customHeight="1">
      <c r="A14" s="82"/>
      <c r="C14" s="94"/>
      <c r="K14" s="54"/>
      <c r="L14" s="108" t="s">
        <v>76</v>
      </c>
      <c r="M14" s="351">
        <f>O14</f>
        <v>22631747</v>
      </c>
      <c r="N14" s="352"/>
      <c r="O14" s="215">
        <v>22631747</v>
      </c>
    </row>
    <row r="15" spans="1:16" s="46" customFormat="1" ht="24.75" customHeight="1">
      <c r="A15" s="82"/>
      <c r="D15" s="116"/>
      <c r="E15" s="116"/>
      <c r="K15" s="54"/>
      <c r="L15" s="96" t="s">
        <v>71</v>
      </c>
      <c r="M15" s="348"/>
      <c r="N15" s="349"/>
      <c r="O15" s="84"/>
    </row>
    <row r="16" spans="1:16" s="46" customFormat="1" ht="24.75" customHeight="1">
      <c r="A16" s="82"/>
      <c r="D16" s="116"/>
      <c r="E16" s="116"/>
      <c r="K16" s="88"/>
      <c r="L16" s="96" t="s">
        <v>86</v>
      </c>
      <c r="M16" s="348"/>
      <c r="N16" s="349"/>
      <c r="O16" s="84"/>
    </row>
    <row r="17" spans="1:15" s="46" customFormat="1" ht="24.75" customHeight="1">
      <c r="A17" s="82"/>
      <c r="D17" s="84"/>
      <c r="E17" s="84"/>
      <c r="L17" s="96" t="s">
        <v>90</v>
      </c>
      <c r="M17" s="348"/>
      <c r="N17" s="349"/>
    </row>
    <row r="18" spans="1:15" s="46" customFormat="1" ht="24.75" customHeight="1">
      <c r="A18" s="82"/>
      <c r="D18" s="116"/>
      <c r="E18" s="116"/>
      <c r="K18" s="97"/>
      <c r="L18" s="96" t="s">
        <v>91</v>
      </c>
      <c r="M18" s="290"/>
      <c r="N18" s="291"/>
    </row>
    <row r="19" spans="1:15" s="46" customFormat="1" ht="24" customHeight="1">
      <c r="A19" s="99"/>
      <c r="B19" s="86"/>
      <c r="D19" s="117"/>
      <c r="E19" s="117"/>
      <c r="F19" s="86"/>
      <c r="G19" s="86"/>
      <c r="H19" s="86"/>
      <c r="I19" s="86"/>
      <c r="J19" s="86"/>
      <c r="K19" s="86"/>
      <c r="L19" s="96" t="s">
        <v>92</v>
      </c>
      <c r="M19" s="348"/>
      <c r="N19" s="349"/>
      <c r="O19" s="157"/>
    </row>
    <row r="20" spans="1:15" s="46" customFormat="1" ht="24" customHeight="1">
      <c r="A20" s="99"/>
      <c r="B20" s="86"/>
      <c r="C20" s="343" t="s">
        <v>7</v>
      </c>
      <c r="D20" s="344"/>
      <c r="E20" s="344"/>
      <c r="F20" s="344"/>
      <c r="G20" s="344"/>
      <c r="H20" s="344"/>
      <c r="I20" s="344"/>
      <c r="J20" s="344"/>
      <c r="K20" s="344"/>
      <c r="L20" s="344"/>
      <c r="M20" s="345"/>
      <c r="N20" s="100"/>
      <c r="O20" s="84"/>
    </row>
    <row r="21" spans="1:15" s="46" customFormat="1" ht="24" customHeight="1">
      <c r="A21" s="99"/>
      <c r="B21" s="86"/>
      <c r="C21" s="329" t="s">
        <v>8</v>
      </c>
      <c r="D21" s="330"/>
      <c r="E21" s="346">
        <v>609</v>
      </c>
      <c r="F21" s="335"/>
      <c r="G21" s="101" t="s">
        <v>23</v>
      </c>
      <c r="H21" s="347">
        <v>85</v>
      </c>
      <c r="I21" s="335"/>
      <c r="J21" s="101" t="s">
        <v>23</v>
      </c>
      <c r="K21" s="347">
        <v>22263</v>
      </c>
      <c r="L21" s="335"/>
      <c r="M21" s="336"/>
      <c r="N21" s="100"/>
      <c r="O21" s="84"/>
    </row>
    <row r="22" spans="1:15" s="46" customFormat="1" ht="24" customHeight="1">
      <c r="A22" s="99"/>
      <c r="B22" s="86"/>
      <c r="C22" s="329" t="s">
        <v>9</v>
      </c>
      <c r="D22" s="330"/>
      <c r="E22" s="331" t="s">
        <v>26</v>
      </c>
      <c r="F22" s="332"/>
      <c r="G22" s="332"/>
      <c r="H22" s="333"/>
      <c r="I22" s="330" t="s">
        <v>10</v>
      </c>
      <c r="J22" s="330"/>
      <c r="K22" s="334">
        <f>K21</f>
        <v>22263</v>
      </c>
      <c r="L22" s="335"/>
      <c r="M22" s="336"/>
      <c r="N22" s="100"/>
      <c r="O22" s="84"/>
    </row>
    <row r="23" spans="1:15" s="46" customFormat="1" ht="24" customHeight="1">
      <c r="A23" s="99"/>
      <c r="B23" s="86"/>
      <c r="C23" s="329" t="s">
        <v>11</v>
      </c>
      <c r="D23" s="330"/>
      <c r="E23" s="337">
        <f>SUM(M10:N19)</f>
        <v>60846900</v>
      </c>
      <c r="F23" s="338"/>
      <c r="G23" s="338"/>
      <c r="H23" s="339"/>
      <c r="I23" s="330" t="s">
        <v>12</v>
      </c>
      <c r="J23" s="330"/>
      <c r="K23" s="337">
        <f>E23*0.1</f>
        <v>6084690</v>
      </c>
      <c r="L23" s="338"/>
      <c r="M23" s="340"/>
      <c r="N23" s="100"/>
    </row>
    <row r="24" spans="1:15" s="46" customFormat="1" ht="24" customHeight="1">
      <c r="A24" s="99"/>
      <c r="B24" s="86"/>
      <c r="C24" s="323" t="s">
        <v>13</v>
      </c>
      <c r="D24" s="324"/>
      <c r="E24" s="325">
        <v>46053</v>
      </c>
      <c r="F24" s="325"/>
      <c r="G24" s="325"/>
      <c r="H24" s="102" t="s">
        <v>14</v>
      </c>
      <c r="I24" s="326">
        <f>E23+K23</f>
        <v>66931590</v>
      </c>
      <c r="J24" s="327"/>
      <c r="K24" s="327"/>
      <c r="L24" s="327"/>
      <c r="M24" s="328"/>
      <c r="N24" s="100"/>
    </row>
    <row r="25" spans="1:15" ht="24" customHeight="1">
      <c r="A25" s="8"/>
      <c r="B25" s="9"/>
      <c r="C25" s="9"/>
      <c r="D25" s="9"/>
      <c r="E25" s="9"/>
      <c r="F25" s="106"/>
      <c r="G25" s="9"/>
      <c r="H25" s="9"/>
      <c r="I25" s="9"/>
      <c r="J25" s="9"/>
      <c r="K25" s="9"/>
      <c r="L25" s="9"/>
      <c r="M25" s="9"/>
      <c r="N25" s="11"/>
    </row>
    <row r="26" spans="1:15" ht="27" customHeight="1">
      <c r="A26" s="258" t="s">
        <v>15</v>
      </c>
      <c r="B26" s="259"/>
      <c r="C26" s="297" t="str">
        <f>NUMBERSTRING(I24,1)</f>
        <v>육천육백구십삼만일천오백구십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66931590</v>
      </c>
      <c r="L26" s="235"/>
      <c r="M26" s="235"/>
      <c r="N26" s="236"/>
    </row>
    <row r="27" spans="1:15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5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5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5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2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M19:N19"/>
    <mergeCell ref="C20:M20"/>
    <mergeCell ref="C21:D21"/>
    <mergeCell ref="E21:F21"/>
    <mergeCell ref="H21:I21"/>
    <mergeCell ref="K21:M21"/>
    <mergeCell ref="M18:N18"/>
    <mergeCell ref="A1:N1"/>
    <mergeCell ref="A3:A5"/>
    <mergeCell ref="I3:I5"/>
    <mergeCell ref="A7:N8"/>
    <mergeCell ref="M10:N10"/>
    <mergeCell ref="M11:N11"/>
    <mergeCell ref="M12:N12"/>
    <mergeCell ref="M14:N14"/>
    <mergeCell ref="M15:N15"/>
    <mergeCell ref="M16:N16"/>
    <mergeCell ref="M17:N17"/>
  </mergeCells>
  <phoneticPr fontId="2" type="noConversion"/>
  <pageMargins left="0.2" right="0.2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0876-7EFA-4027-ADC4-B23B86AC9826}">
  <dimension ref="A1:P75"/>
  <sheetViews>
    <sheetView zoomScale="80" zoomScaleNormal="80" workbookViewId="0">
      <selection activeCell="M15" sqref="M15:N15"/>
    </sheetView>
  </sheetViews>
  <sheetFormatPr defaultRowHeight="16.5"/>
  <cols>
    <col min="1" max="1" width="3.125" style="1" customWidth="1"/>
    <col min="2" max="6" width="7.5" style="1" customWidth="1"/>
    <col min="7" max="8" width="5.375" style="1" customWidth="1"/>
    <col min="9" max="9" width="3.125" style="1" customWidth="1"/>
    <col min="10" max="14" width="7.5" style="1" customWidth="1"/>
    <col min="15" max="15" width="16.375" style="1" bestFit="1" customWidth="1"/>
    <col min="16" max="16384" width="9" style="1"/>
  </cols>
  <sheetData>
    <row r="1" spans="1:1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1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1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1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16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ht="24" customHeight="1">
      <c r="A7" s="276" t="s">
        <v>31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1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16" ht="24" customHeight="1">
      <c r="A9" s="5"/>
      <c r="B9" s="139"/>
      <c r="F9" s="139"/>
      <c r="G9" s="139"/>
      <c r="H9" s="139"/>
      <c r="I9" s="139"/>
      <c r="J9" s="139"/>
      <c r="K9" s="50"/>
      <c r="L9" s="10"/>
      <c r="M9" s="10"/>
      <c r="N9" s="51"/>
      <c r="O9" s="17"/>
      <c r="P9" s="139" t="s">
        <v>127</v>
      </c>
    </row>
    <row r="10" spans="1:16" s="46" customFormat="1" ht="24.75" customHeight="1">
      <c r="A10" s="82"/>
      <c r="B10" s="131"/>
      <c r="C10" s="131"/>
      <c r="D10" s="131"/>
      <c r="F10" s="131"/>
      <c r="G10" s="131"/>
      <c r="H10" s="132"/>
      <c r="I10" s="132"/>
      <c r="J10" s="132"/>
      <c r="K10" s="54"/>
      <c r="L10" s="108" t="s">
        <v>48</v>
      </c>
      <c r="M10" s="351">
        <f>O10</f>
        <v>53952689</v>
      </c>
      <c r="N10" s="352"/>
      <c r="O10" s="215">
        <v>53952689</v>
      </c>
    </row>
    <row r="11" spans="1:16" s="46" customFormat="1" ht="24.75" customHeight="1">
      <c r="A11" s="82"/>
      <c r="C11" s="94"/>
      <c r="K11" s="54"/>
      <c r="L11" s="108" t="s">
        <v>46</v>
      </c>
      <c r="M11" s="353">
        <f>O11</f>
        <v>0</v>
      </c>
      <c r="N11" s="354"/>
      <c r="O11" s="215"/>
    </row>
    <row r="12" spans="1:16" s="46" customFormat="1" ht="24.75" customHeight="1">
      <c r="A12" s="82"/>
      <c r="C12" s="94"/>
      <c r="K12" s="54"/>
      <c r="L12" s="108" t="s">
        <v>56</v>
      </c>
      <c r="M12" s="353">
        <f>O12</f>
        <v>30306.000000000004</v>
      </c>
      <c r="N12" s="354"/>
      <c r="O12" s="215">
        <v>30306.000000000004</v>
      </c>
    </row>
    <row r="13" spans="1:16" s="46" customFormat="1" ht="24.75" customHeight="1">
      <c r="A13" s="82"/>
      <c r="C13" s="94"/>
      <c r="D13" s="47"/>
      <c r="K13" s="54"/>
      <c r="L13" s="108" t="s">
        <v>61</v>
      </c>
      <c r="M13" s="207"/>
      <c r="N13" s="206"/>
    </row>
    <row r="14" spans="1:16" s="46" customFormat="1" ht="24.75" customHeight="1">
      <c r="A14" s="82"/>
      <c r="C14" s="94"/>
      <c r="K14" s="54"/>
      <c r="L14" s="108" t="s">
        <v>76</v>
      </c>
      <c r="M14" s="351">
        <f>O14</f>
        <v>66978815</v>
      </c>
      <c r="N14" s="352"/>
      <c r="O14" s="46">
        <v>66978815</v>
      </c>
    </row>
    <row r="15" spans="1:16" s="46" customFormat="1" ht="24.75" customHeight="1">
      <c r="A15" s="82"/>
      <c r="D15" s="116"/>
      <c r="E15" s="116"/>
      <c r="K15" s="54"/>
      <c r="L15" s="96" t="s">
        <v>71</v>
      </c>
      <c r="M15" s="348"/>
      <c r="N15" s="349"/>
      <c r="O15" s="84"/>
    </row>
    <row r="16" spans="1:16" s="46" customFormat="1" ht="24.75" customHeight="1">
      <c r="A16" s="82"/>
      <c r="D16" s="116"/>
      <c r="E16" s="116"/>
      <c r="K16" s="88"/>
      <c r="L16" s="96" t="s">
        <v>86</v>
      </c>
      <c r="M16" s="348"/>
      <c r="N16" s="349"/>
      <c r="O16" s="84"/>
    </row>
    <row r="17" spans="1:15" s="46" customFormat="1" ht="24.75" customHeight="1">
      <c r="A17" s="82"/>
      <c r="D17" s="84"/>
      <c r="E17" s="84"/>
      <c r="L17" s="96" t="s">
        <v>90</v>
      </c>
      <c r="M17" s="348"/>
      <c r="N17" s="349"/>
    </row>
    <row r="18" spans="1:15" s="46" customFormat="1" ht="24.75" customHeight="1">
      <c r="A18" s="82"/>
      <c r="D18" s="116"/>
      <c r="E18" s="116"/>
      <c r="K18" s="97"/>
      <c r="L18" s="96" t="s">
        <v>91</v>
      </c>
      <c r="M18" s="290"/>
      <c r="N18" s="291"/>
    </row>
    <row r="19" spans="1:15" s="46" customFormat="1" ht="24" customHeight="1">
      <c r="A19" s="99"/>
      <c r="B19" s="86"/>
      <c r="D19" s="117"/>
      <c r="E19" s="117"/>
      <c r="F19" s="86"/>
      <c r="G19" s="86"/>
      <c r="H19" s="86"/>
      <c r="I19" s="86"/>
      <c r="J19" s="86"/>
      <c r="K19" s="86"/>
      <c r="L19" s="96" t="s">
        <v>92</v>
      </c>
      <c r="M19" s="348"/>
      <c r="N19" s="349"/>
      <c r="O19" s="157"/>
    </row>
    <row r="20" spans="1:15" s="46" customFormat="1" ht="24" customHeight="1">
      <c r="A20" s="99"/>
      <c r="B20" s="86"/>
      <c r="C20" s="343" t="s">
        <v>7</v>
      </c>
      <c r="D20" s="344"/>
      <c r="E20" s="344"/>
      <c r="F20" s="344"/>
      <c r="G20" s="344"/>
      <c r="H20" s="344"/>
      <c r="I20" s="344"/>
      <c r="J20" s="344"/>
      <c r="K20" s="344"/>
      <c r="L20" s="344"/>
      <c r="M20" s="345"/>
      <c r="N20" s="100"/>
      <c r="O20" s="84"/>
    </row>
    <row r="21" spans="1:15" s="46" customFormat="1" ht="24" customHeight="1">
      <c r="A21" s="99"/>
      <c r="B21" s="86"/>
      <c r="C21" s="329" t="s">
        <v>8</v>
      </c>
      <c r="D21" s="330"/>
      <c r="E21" s="346">
        <v>609</v>
      </c>
      <c r="F21" s="335"/>
      <c r="G21" s="101" t="s">
        <v>23</v>
      </c>
      <c r="H21" s="347">
        <v>85</v>
      </c>
      <c r="I21" s="335"/>
      <c r="J21" s="101" t="s">
        <v>23</v>
      </c>
      <c r="K21" s="347">
        <v>22263</v>
      </c>
      <c r="L21" s="335"/>
      <c r="M21" s="336"/>
      <c r="N21" s="100"/>
      <c r="O21" s="84"/>
    </row>
    <row r="22" spans="1:15" s="46" customFormat="1" ht="24" customHeight="1">
      <c r="A22" s="99"/>
      <c r="B22" s="86"/>
      <c r="C22" s="329" t="s">
        <v>9</v>
      </c>
      <c r="D22" s="330"/>
      <c r="E22" s="331" t="s">
        <v>26</v>
      </c>
      <c r="F22" s="332"/>
      <c r="G22" s="332"/>
      <c r="H22" s="333"/>
      <c r="I22" s="330" t="s">
        <v>10</v>
      </c>
      <c r="J22" s="330"/>
      <c r="K22" s="334">
        <f>K21</f>
        <v>22263</v>
      </c>
      <c r="L22" s="335"/>
      <c r="M22" s="336"/>
      <c r="N22" s="100"/>
      <c r="O22" s="84"/>
    </row>
    <row r="23" spans="1:15" s="46" customFormat="1" ht="24" customHeight="1">
      <c r="A23" s="99"/>
      <c r="B23" s="86"/>
      <c r="C23" s="329" t="s">
        <v>11</v>
      </c>
      <c r="D23" s="330"/>
      <c r="E23" s="337">
        <f>SUM(M10:N19)</f>
        <v>120961810</v>
      </c>
      <c r="F23" s="338"/>
      <c r="G23" s="338"/>
      <c r="H23" s="339"/>
      <c r="I23" s="330" t="s">
        <v>12</v>
      </c>
      <c r="J23" s="330"/>
      <c r="K23" s="337">
        <f>E23*0.1</f>
        <v>12096181</v>
      </c>
      <c r="L23" s="338"/>
      <c r="M23" s="340"/>
      <c r="N23" s="100"/>
    </row>
    <row r="24" spans="1:15" s="46" customFormat="1" ht="24" customHeight="1">
      <c r="A24" s="99"/>
      <c r="B24" s="86"/>
      <c r="C24" s="323" t="s">
        <v>13</v>
      </c>
      <c r="D24" s="324"/>
      <c r="E24" s="325">
        <v>46022</v>
      </c>
      <c r="F24" s="325"/>
      <c r="G24" s="325"/>
      <c r="H24" s="102" t="s">
        <v>14</v>
      </c>
      <c r="I24" s="326">
        <f>E23+K23</f>
        <v>133057991</v>
      </c>
      <c r="J24" s="327"/>
      <c r="K24" s="327"/>
      <c r="L24" s="327"/>
      <c r="M24" s="328"/>
      <c r="N24" s="100"/>
    </row>
    <row r="25" spans="1:15" ht="24" customHeight="1">
      <c r="A25" s="8"/>
      <c r="B25" s="9"/>
      <c r="C25" s="9"/>
      <c r="D25" s="9"/>
      <c r="E25" s="9"/>
      <c r="F25" s="106"/>
      <c r="G25" s="9"/>
      <c r="H25" s="9"/>
      <c r="I25" s="9"/>
      <c r="J25" s="9"/>
      <c r="K25" s="9"/>
      <c r="L25" s="9"/>
      <c r="M25" s="9"/>
      <c r="N25" s="11"/>
    </row>
    <row r="26" spans="1:15" ht="27" customHeight="1">
      <c r="A26" s="258" t="s">
        <v>15</v>
      </c>
      <c r="B26" s="259"/>
      <c r="C26" s="297" t="str">
        <f>NUMBERSTRING(I24,1)</f>
        <v>일억삼천삼백오만칠천구백구십일</v>
      </c>
      <c r="D26" s="297"/>
      <c r="E26" s="297"/>
      <c r="F26" s="297"/>
      <c r="G26" s="297"/>
      <c r="H26" s="13"/>
      <c r="I26" s="13"/>
      <c r="J26" s="13" t="s">
        <v>16</v>
      </c>
      <c r="K26" s="235">
        <f>I24</f>
        <v>133057991</v>
      </c>
      <c r="L26" s="235"/>
      <c r="M26" s="235"/>
      <c r="N26" s="236"/>
    </row>
    <row r="27" spans="1:15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15" ht="27" customHeight="1">
      <c r="A28" s="237" t="s">
        <v>19</v>
      </c>
      <c r="B28" s="237"/>
      <c r="C28" s="237"/>
      <c r="D28" s="238" t="s">
        <v>49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15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15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2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M19:N19"/>
    <mergeCell ref="C20:M20"/>
    <mergeCell ref="C21:D21"/>
    <mergeCell ref="E21:F21"/>
    <mergeCell ref="H21:I21"/>
    <mergeCell ref="K21:M21"/>
    <mergeCell ref="M18:N18"/>
    <mergeCell ref="A1:N1"/>
    <mergeCell ref="A3:A5"/>
    <mergeCell ref="I3:I5"/>
    <mergeCell ref="A7:N8"/>
    <mergeCell ref="M10:N10"/>
    <mergeCell ref="M11:N11"/>
    <mergeCell ref="M12:N12"/>
    <mergeCell ref="M14:N14"/>
    <mergeCell ref="M15:N15"/>
    <mergeCell ref="M16:N16"/>
    <mergeCell ref="M17:N17"/>
  </mergeCells>
  <phoneticPr fontId="2" type="noConversion"/>
  <pageMargins left="0.2" right="0.2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5"/>
  <sheetViews>
    <sheetView topLeftCell="A4" zoomScale="80" zoomScaleNormal="80" workbookViewId="0">
      <selection activeCell="L10" sqref="L10:N14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4" width="7.5" style="1" customWidth="1"/>
    <col min="15" max="15" width="13.375" style="1" bestFit="1" customWidth="1"/>
    <col min="16" max="16" width="12.125" style="1" bestFit="1" customWidth="1"/>
    <col min="17" max="17" width="14.625" style="1" bestFit="1" customWidth="1"/>
    <col min="18" max="18" width="14.125" style="1" bestFit="1" customWidth="1"/>
    <col min="19" max="20" width="13.375" style="1" bestFit="1" customWidth="1"/>
    <col min="21" max="22" width="12.125" style="1" bestFit="1" customWidth="1"/>
    <col min="23" max="16384" width="9" style="1"/>
  </cols>
  <sheetData>
    <row r="1" spans="1:20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0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0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0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0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0" ht="24" customHeight="1">
      <c r="A7" s="276" t="s">
        <v>32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0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0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N9" s="18"/>
      <c r="O9" s="17"/>
      <c r="Q9" s="17"/>
      <c r="R9" s="17"/>
      <c r="S9" s="17"/>
    </row>
    <row r="10" spans="1:20" s="46" customFormat="1" ht="24" customHeight="1">
      <c r="A10" s="82"/>
      <c r="B10" s="131"/>
      <c r="C10" s="131"/>
      <c r="D10" s="131"/>
      <c r="E10" s="131"/>
      <c r="F10" s="131"/>
      <c r="G10" s="131"/>
      <c r="H10" s="132"/>
      <c r="I10" s="132"/>
      <c r="J10" s="132"/>
      <c r="L10" s="88" t="s">
        <v>48</v>
      </c>
      <c r="M10" s="290"/>
      <c r="N10" s="291"/>
      <c r="O10" s="95"/>
      <c r="P10" s="84"/>
      <c r="Q10" s="84"/>
      <c r="R10" s="84"/>
      <c r="S10" s="84"/>
    </row>
    <row r="11" spans="1:20" s="46" customFormat="1" ht="24" customHeight="1">
      <c r="A11" s="82"/>
      <c r="L11" s="107" t="s">
        <v>46</v>
      </c>
      <c r="M11" s="290">
        <v>533320</v>
      </c>
      <c r="N11" s="291"/>
      <c r="O11" s="84"/>
      <c r="P11" s="84"/>
      <c r="Q11" s="89"/>
      <c r="R11" s="84"/>
      <c r="S11" s="84"/>
      <c r="T11" s="84"/>
    </row>
    <row r="12" spans="1:20" s="46" customFormat="1" ht="24" customHeight="1">
      <c r="A12" s="82"/>
      <c r="L12" s="107" t="s">
        <v>56</v>
      </c>
      <c r="M12" s="290"/>
      <c r="N12" s="291"/>
      <c r="P12" s="95"/>
      <c r="Q12" s="95"/>
      <c r="R12" s="89"/>
      <c r="S12" s="89"/>
    </row>
    <row r="13" spans="1:20" s="46" customFormat="1" ht="24" customHeight="1">
      <c r="A13" s="82"/>
      <c r="L13" s="107" t="s">
        <v>61</v>
      </c>
      <c r="M13" s="290"/>
      <c r="N13" s="291"/>
      <c r="P13" s="95"/>
      <c r="Q13" s="95"/>
      <c r="R13" s="89"/>
      <c r="S13" s="89"/>
      <c r="T13" s="84"/>
    </row>
    <row r="14" spans="1:20" s="46" customFormat="1" ht="24" customHeight="1">
      <c r="A14" s="82"/>
      <c r="L14" s="107" t="s">
        <v>76</v>
      </c>
      <c r="M14" s="290">
        <v>1025080</v>
      </c>
      <c r="N14" s="291"/>
      <c r="Q14" s="89"/>
      <c r="R14" s="89"/>
      <c r="S14" s="89"/>
      <c r="T14" s="84"/>
    </row>
    <row r="15" spans="1:20" s="46" customFormat="1" ht="24" customHeight="1">
      <c r="A15" s="82"/>
      <c r="L15" s="88"/>
      <c r="M15" s="290"/>
      <c r="N15" s="291"/>
      <c r="P15" s="93"/>
      <c r="Q15" s="93"/>
      <c r="R15" s="89"/>
      <c r="S15" s="93"/>
      <c r="T15" s="93"/>
    </row>
    <row r="16" spans="1:20" s="46" customFormat="1" ht="24" customHeight="1">
      <c r="A16" s="82"/>
      <c r="D16" s="355"/>
      <c r="E16" s="355"/>
      <c r="M16" s="355"/>
      <c r="N16" s="354"/>
      <c r="P16" s="93"/>
      <c r="Q16" s="93"/>
      <c r="S16" s="93"/>
      <c r="T16" s="93"/>
    </row>
    <row r="17" spans="1:22" s="46" customFormat="1" ht="24" customHeight="1">
      <c r="A17" s="82"/>
      <c r="D17" s="355"/>
      <c r="E17" s="355"/>
      <c r="M17" s="355"/>
      <c r="N17" s="354"/>
      <c r="P17" s="89"/>
      <c r="Q17" s="89"/>
      <c r="S17" s="89"/>
      <c r="T17" s="89"/>
      <c r="U17" s="89"/>
      <c r="V17" s="89"/>
    </row>
    <row r="18" spans="1:22" s="46" customFormat="1" ht="24" customHeight="1">
      <c r="A18" s="82"/>
      <c r="L18" s="105"/>
      <c r="M18" s="355"/>
      <c r="N18" s="354"/>
      <c r="P18" s="89"/>
      <c r="Q18" s="89"/>
      <c r="S18" s="89"/>
      <c r="T18" s="89"/>
      <c r="U18" s="89"/>
      <c r="V18" s="89"/>
    </row>
    <row r="19" spans="1:22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P19" s="17"/>
      <c r="Q19" s="17"/>
    </row>
    <row r="20" spans="1:22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S20" s="17"/>
      <c r="T20" s="17"/>
      <c r="U20" s="19"/>
      <c r="V20" s="19"/>
    </row>
    <row r="21" spans="1:22" ht="24" customHeight="1">
      <c r="A21" s="8"/>
      <c r="B21" s="9"/>
      <c r="C21" s="260" t="s">
        <v>8</v>
      </c>
      <c r="D21" s="261"/>
      <c r="E21" s="262">
        <v>609</v>
      </c>
      <c r="F21" s="263"/>
      <c r="G21" s="12" t="s">
        <v>23</v>
      </c>
      <c r="H21" s="264">
        <v>81</v>
      </c>
      <c r="I21" s="263"/>
      <c r="J21" s="12" t="s">
        <v>23</v>
      </c>
      <c r="K21" s="264">
        <v>62781</v>
      </c>
      <c r="L21" s="263"/>
      <c r="M21" s="265"/>
      <c r="N21" s="11"/>
      <c r="S21" s="17"/>
      <c r="T21" s="17"/>
    </row>
    <row r="22" spans="1:22" ht="24" customHeight="1">
      <c r="A22" s="8"/>
      <c r="B22" s="9"/>
      <c r="C22" s="260" t="s">
        <v>9</v>
      </c>
      <c r="D22" s="261"/>
      <c r="E22" s="266" t="s">
        <v>27</v>
      </c>
      <c r="F22" s="267"/>
      <c r="G22" s="267"/>
      <c r="H22" s="268"/>
      <c r="I22" s="261" t="s">
        <v>10</v>
      </c>
      <c r="J22" s="261"/>
      <c r="K22" s="269">
        <f>K21</f>
        <v>62781</v>
      </c>
      <c r="L22" s="263"/>
      <c r="M22" s="265"/>
      <c r="N22" s="11"/>
      <c r="Q22" s="17"/>
      <c r="R22" s="17"/>
    </row>
    <row r="23" spans="1:22" ht="24" customHeight="1">
      <c r="A23" s="8"/>
      <c r="B23" s="9"/>
      <c r="C23" s="260" t="s">
        <v>11</v>
      </c>
      <c r="D23" s="261"/>
      <c r="E23" s="232">
        <f>SUM(M10:N14)</f>
        <v>1558400</v>
      </c>
      <c r="F23" s="233"/>
      <c r="G23" s="233"/>
      <c r="H23" s="270"/>
      <c r="I23" s="261" t="s">
        <v>12</v>
      </c>
      <c r="J23" s="261"/>
      <c r="K23" s="232">
        <f>E23*0.1</f>
        <v>155840</v>
      </c>
      <c r="L23" s="233"/>
      <c r="M23" s="234"/>
      <c r="N23" s="11"/>
    </row>
    <row r="24" spans="1:22" ht="24" customHeight="1">
      <c r="A24" s="8"/>
      <c r="B24" s="9"/>
      <c r="C24" s="252" t="s">
        <v>13</v>
      </c>
      <c r="D24" s="253"/>
      <c r="E24" s="254">
        <v>45900</v>
      </c>
      <c r="F24" s="254"/>
      <c r="G24" s="254"/>
      <c r="H24" s="7" t="s">
        <v>14</v>
      </c>
      <c r="I24" s="255">
        <f>E23+K23</f>
        <v>1714240</v>
      </c>
      <c r="J24" s="256"/>
      <c r="K24" s="256"/>
      <c r="L24" s="256"/>
      <c r="M24" s="257"/>
      <c r="N24" s="11"/>
    </row>
    <row r="25" spans="1:22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</row>
    <row r="26" spans="1:22" ht="27" customHeight="1">
      <c r="A26" s="258" t="s">
        <v>15</v>
      </c>
      <c r="B26" s="259"/>
      <c r="C26" s="297" t="str">
        <f>NUMBERSTRING(I24, 1)</f>
        <v>일백칠십일만사천이백사십</v>
      </c>
      <c r="D26" s="297"/>
      <c r="E26" s="297"/>
      <c r="F26" s="297"/>
      <c r="G26" s="13"/>
      <c r="H26" s="13"/>
      <c r="I26" s="13"/>
      <c r="J26" s="13" t="s">
        <v>16</v>
      </c>
      <c r="K26" s="235">
        <f>I24</f>
        <v>1714240</v>
      </c>
      <c r="L26" s="235"/>
      <c r="M26" s="235"/>
      <c r="N26" s="236"/>
    </row>
    <row r="27" spans="1:22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22" ht="27" customHeight="1">
      <c r="A28" s="237" t="s">
        <v>19</v>
      </c>
      <c r="B28" s="237"/>
      <c r="C28" s="237"/>
      <c r="D28" s="238" t="s">
        <v>53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22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22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22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2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A26:B26"/>
    <mergeCell ref="C26:F26"/>
    <mergeCell ref="K26:N26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3:D23"/>
    <mergeCell ref="E23:H23"/>
    <mergeCell ref="I23:J23"/>
    <mergeCell ref="K23:M23"/>
    <mergeCell ref="C24:D24"/>
    <mergeCell ref="E24:G24"/>
    <mergeCell ref="I24:M24"/>
    <mergeCell ref="C22:D22"/>
    <mergeCell ref="E22:H22"/>
    <mergeCell ref="I22:J22"/>
    <mergeCell ref="K22:M22"/>
    <mergeCell ref="C21:D21"/>
    <mergeCell ref="E21:F21"/>
    <mergeCell ref="H21:I21"/>
    <mergeCell ref="K21:M21"/>
    <mergeCell ref="A1:N1"/>
    <mergeCell ref="A3:A5"/>
    <mergeCell ref="I3:I5"/>
    <mergeCell ref="A7:N8"/>
    <mergeCell ref="C20:M20"/>
    <mergeCell ref="M18:N18"/>
    <mergeCell ref="M17:N17"/>
    <mergeCell ref="M11:N11"/>
    <mergeCell ref="D16:E16"/>
    <mergeCell ref="D17:E17"/>
    <mergeCell ref="M16:N16"/>
    <mergeCell ref="M12:N12"/>
    <mergeCell ref="M13:N13"/>
    <mergeCell ref="M14:N14"/>
    <mergeCell ref="M15:N15"/>
    <mergeCell ref="M10:N10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167E-C4AE-47AD-8661-0D9E6BF05D40}">
  <sheetPr>
    <tabColor rgb="FFFFC000"/>
  </sheetPr>
  <dimension ref="A1:Z75"/>
  <sheetViews>
    <sheetView topLeftCell="A7" zoomScale="85" zoomScaleNormal="85" zoomScalePageLayoutView="70" workbookViewId="0">
      <selection activeCell="S26" sqref="S26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4" width="7.5" style="1" customWidth="1"/>
    <col min="15" max="15" width="5.25" style="1" customWidth="1"/>
    <col min="16" max="16" width="13.375" style="1" bestFit="1" customWidth="1"/>
    <col min="17" max="17" width="16.75" style="1" customWidth="1"/>
    <col min="18" max="18" width="10.375" style="1" bestFit="1" customWidth="1"/>
    <col min="19" max="19" width="9.875" style="1" bestFit="1" customWidth="1"/>
    <col min="20" max="20" width="15.375" style="1" bestFit="1" customWidth="1"/>
    <col min="21" max="22" width="17.25" style="1" bestFit="1" customWidth="1"/>
    <col min="23" max="23" width="14.125" style="1" bestFit="1" customWidth="1"/>
    <col min="24" max="24" width="13.875" style="1" bestFit="1" customWidth="1"/>
    <col min="25" max="25" width="13.125" style="17" bestFit="1" customWidth="1"/>
    <col min="26" max="16384" width="9" style="1"/>
  </cols>
  <sheetData>
    <row r="1" spans="1:2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186"/>
    </row>
    <row r="3" spans="1:2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  <c r="O3" s="191"/>
    </row>
    <row r="4" spans="1:2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  <c r="O4" s="191"/>
    </row>
    <row r="5" spans="1:2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191"/>
    </row>
    <row r="6" spans="1:26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26" ht="24" customHeight="1">
      <c r="A7" s="276" t="s">
        <v>54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  <c r="O7" s="190"/>
    </row>
    <row r="8" spans="1:2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  <c r="O8" s="190"/>
    </row>
    <row r="9" spans="1:26" ht="24" customHeight="1">
      <c r="A9" s="5"/>
      <c r="B9" s="139"/>
      <c r="C9" s="139"/>
      <c r="E9" s="139"/>
      <c r="F9" s="139"/>
      <c r="G9" s="139"/>
      <c r="H9" s="139"/>
      <c r="I9" s="139"/>
      <c r="J9" s="139"/>
      <c r="K9" s="184"/>
      <c r="M9" s="182"/>
      <c r="N9" s="18"/>
      <c r="O9" s="18"/>
      <c r="P9" s="17"/>
      <c r="Q9" s="218" t="s">
        <v>134</v>
      </c>
      <c r="R9" s="219" t="s">
        <v>170</v>
      </c>
      <c r="S9" s="219" t="s">
        <v>130</v>
      </c>
      <c r="T9" s="220" t="s">
        <v>131</v>
      </c>
      <c r="U9" s="219" t="s">
        <v>48</v>
      </c>
      <c r="V9" s="219" t="s">
        <v>87</v>
      </c>
      <c r="W9" s="219" t="s">
        <v>125</v>
      </c>
    </row>
    <row r="10" spans="1:26" ht="24" customHeight="1">
      <c r="A10" s="5"/>
      <c r="B10" s="131"/>
      <c r="C10" s="131"/>
      <c r="D10" s="131"/>
      <c r="E10" s="131"/>
      <c r="F10" s="131"/>
      <c r="G10" s="131"/>
      <c r="H10" s="132"/>
      <c r="I10" s="132"/>
      <c r="J10" s="132"/>
      <c r="K10" s="152"/>
      <c r="L10" s="155"/>
      <c r="M10" s="288"/>
      <c r="N10" s="289"/>
      <c r="O10" s="187"/>
      <c r="P10" s="17"/>
      <c r="Q10" s="218" t="s">
        <v>185</v>
      </c>
      <c r="R10" s="221" t="s">
        <v>187</v>
      </c>
      <c r="S10" s="218">
        <v>8.7207000000000008</v>
      </c>
      <c r="T10" s="222">
        <v>7474920</v>
      </c>
      <c r="U10" s="219">
        <v>46473957</v>
      </c>
      <c r="V10" s="219">
        <v>18712577</v>
      </c>
      <c r="W10" s="219">
        <f>SUM(U10:V10)</f>
        <v>65186534</v>
      </c>
      <c r="X10" s="1">
        <f>+T10*S10</f>
        <v>65186534.844000004</v>
      </c>
      <c r="Y10" s="17">
        <f>INT(X10)</f>
        <v>65186534</v>
      </c>
      <c r="Z10" s="1" t="b">
        <f>+W10=Y10</f>
        <v>1</v>
      </c>
    </row>
    <row r="11" spans="1:26" ht="24" customHeight="1">
      <c r="A11" s="5"/>
      <c r="B11" s="131"/>
      <c r="C11" s="131"/>
      <c r="D11" s="131"/>
      <c r="E11" s="131"/>
      <c r="F11" s="131"/>
      <c r="G11" s="131"/>
      <c r="H11" s="132"/>
      <c r="I11" s="132"/>
      <c r="J11" s="132"/>
      <c r="K11" s="152"/>
      <c r="L11" s="103"/>
      <c r="M11" s="288"/>
      <c r="N11" s="289"/>
      <c r="O11" s="187"/>
      <c r="P11" s="17"/>
      <c r="Q11" s="218" t="s">
        <v>186</v>
      </c>
      <c r="R11" s="221" t="s">
        <v>188</v>
      </c>
      <c r="S11" s="218">
        <v>8.6367999999999991</v>
      </c>
      <c r="T11" s="222">
        <v>7474920</v>
      </c>
      <c r="U11" s="219">
        <v>46026841</v>
      </c>
      <c r="V11" s="219">
        <v>18532548</v>
      </c>
      <c r="W11" s="219">
        <f t="shared" ref="W11" si="0">SUM(U11:V11)</f>
        <v>64559389</v>
      </c>
      <c r="X11" s="1">
        <f>+T11*S11</f>
        <v>64559389.055999994</v>
      </c>
      <c r="Y11" s="17">
        <f t="shared" ref="Y11:Y21" si="1">INT(X11)</f>
        <v>64559389</v>
      </c>
      <c r="Z11" s="1" t="b">
        <f t="shared" ref="Z11" si="2">+W11=Y11</f>
        <v>1</v>
      </c>
    </row>
    <row r="12" spans="1:26" ht="24" customHeight="1">
      <c r="A12" s="5"/>
      <c r="B12" s="65"/>
      <c r="C12" s="9"/>
      <c r="D12" s="9"/>
      <c r="E12" s="9"/>
      <c r="F12" s="9"/>
      <c r="G12" s="4"/>
      <c r="H12" s="4"/>
      <c r="I12" s="4"/>
      <c r="J12" s="4"/>
      <c r="K12" s="14"/>
      <c r="L12" s="103"/>
      <c r="M12" s="358"/>
      <c r="N12" s="359"/>
      <c r="O12" s="188"/>
      <c r="P12" s="19"/>
      <c r="Q12" s="218"/>
      <c r="R12" s="221"/>
      <c r="S12" s="218"/>
      <c r="T12" s="222"/>
      <c r="U12" s="219"/>
      <c r="V12" s="219"/>
      <c r="W12" s="219"/>
      <c r="X12" s="1" t="e">
        <f>+#REF!*#REF!</f>
        <v>#REF!</v>
      </c>
      <c r="Y12" s="17" t="e">
        <f t="shared" si="1"/>
        <v>#REF!</v>
      </c>
      <c r="Z12" s="1" t="e">
        <f>+#REF!=Y12</f>
        <v>#REF!</v>
      </c>
    </row>
    <row r="13" spans="1:26" ht="24" customHeight="1">
      <c r="A13" s="5"/>
      <c r="B13" s="104"/>
      <c r="C13" s="138"/>
      <c r="D13" s="9"/>
      <c r="E13" s="9"/>
      <c r="F13" s="9"/>
      <c r="G13" s="4"/>
      <c r="H13" s="4"/>
      <c r="I13" s="4"/>
      <c r="J13" s="4"/>
      <c r="K13" s="14"/>
      <c r="L13" s="103"/>
      <c r="M13" s="358"/>
      <c r="N13" s="359"/>
      <c r="O13" s="188"/>
      <c r="P13" s="19"/>
      <c r="Q13" s="197"/>
      <c r="R13" s="212"/>
      <c r="S13" s="210"/>
      <c r="T13" s="211"/>
      <c r="U13" s="198"/>
      <c r="V13" s="198"/>
      <c r="W13" s="198"/>
      <c r="X13" s="1">
        <f>+T12*S12</f>
        <v>0</v>
      </c>
      <c r="Y13" s="17">
        <f t="shared" si="1"/>
        <v>0</v>
      </c>
      <c r="Z13" s="1" t="b">
        <f t="shared" ref="Z13:Z21" si="3">+W12=Y13</f>
        <v>1</v>
      </c>
    </row>
    <row r="14" spans="1:26" ht="24" customHeight="1">
      <c r="A14" s="5"/>
      <c r="B14" s="9"/>
      <c r="C14" s="9"/>
      <c r="D14" s="9"/>
      <c r="E14" s="9"/>
      <c r="F14" s="9"/>
      <c r="G14" s="4"/>
      <c r="H14" s="4"/>
      <c r="I14" s="4"/>
      <c r="J14" s="4"/>
      <c r="K14" s="17"/>
      <c r="L14" s="103"/>
      <c r="M14" s="358"/>
      <c r="N14" s="359"/>
      <c r="O14" s="188"/>
      <c r="Q14" s="200"/>
      <c r="R14" s="201"/>
      <c r="S14" s="197"/>
      <c r="T14" s="198"/>
      <c r="U14" s="198"/>
      <c r="V14" s="198"/>
      <c r="W14" s="198"/>
      <c r="X14" s="1">
        <f t="shared" ref="X14:X21" si="4">+T13*S13</f>
        <v>0</v>
      </c>
      <c r="Y14" s="17">
        <f t="shared" si="1"/>
        <v>0</v>
      </c>
      <c r="Z14" s="1" t="b">
        <f t="shared" si="3"/>
        <v>1</v>
      </c>
    </row>
    <row r="15" spans="1:26" ht="24" customHeight="1">
      <c r="A15" s="5"/>
      <c r="B15" s="4"/>
      <c r="E15" s="4"/>
      <c r="F15" s="4"/>
      <c r="G15" s="4"/>
      <c r="H15" s="4"/>
      <c r="I15" s="4"/>
      <c r="J15" s="4"/>
      <c r="K15" s="14"/>
      <c r="L15" s="156"/>
      <c r="M15" s="288"/>
      <c r="N15" s="289"/>
      <c r="O15" s="187"/>
      <c r="Q15" s="200"/>
      <c r="R15" s="201"/>
      <c r="S15" s="197"/>
      <c r="T15" s="198"/>
      <c r="U15" s="198"/>
      <c r="V15" s="198"/>
      <c r="W15" s="198"/>
      <c r="X15" s="1">
        <f t="shared" si="4"/>
        <v>0</v>
      </c>
      <c r="Y15" s="17">
        <f t="shared" si="1"/>
        <v>0</v>
      </c>
      <c r="Z15" s="1" t="b">
        <f t="shared" si="3"/>
        <v>1</v>
      </c>
    </row>
    <row r="16" spans="1:26" ht="24" customHeight="1">
      <c r="A16" s="5"/>
      <c r="B16" s="4"/>
      <c r="C16" s="40"/>
      <c r="D16" s="110"/>
      <c r="E16" s="110"/>
      <c r="F16" s="4"/>
      <c r="G16" s="4"/>
      <c r="H16" s="4"/>
      <c r="I16" s="4"/>
      <c r="J16" s="4"/>
      <c r="K16" s="17"/>
      <c r="L16" s="156"/>
      <c r="M16" s="288"/>
      <c r="N16" s="289"/>
      <c r="O16" s="189"/>
      <c r="P16" s="57"/>
      <c r="Q16" s="200"/>
      <c r="R16" s="201"/>
      <c r="S16" s="197"/>
      <c r="T16" s="198"/>
      <c r="U16" s="198"/>
      <c r="V16" s="198"/>
      <c r="W16" s="198"/>
      <c r="X16" s="1">
        <f t="shared" si="4"/>
        <v>0</v>
      </c>
      <c r="Y16" s="17">
        <f t="shared" si="1"/>
        <v>0</v>
      </c>
      <c r="Z16" s="1" t="b">
        <f t="shared" si="3"/>
        <v>1</v>
      </c>
    </row>
    <row r="17" spans="1:26" ht="24" customHeight="1">
      <c r="A17" s="5"/>
      <c r="B17" s="4"/>
      <c r="C17" s="40"/>
      <c r="D17" s="110"/>
      <c r="E17" s="110"/>
      <c r="F17" s="4"/>
      <c r="G17" s="4"/>
      <c r="H17" s="4"/>
      <c r="I17" s="4"/>
      <c r="J17" s="4"/>
      <c r="K17" s="4"/>
      <c r="L17" s="154"/>
      <c r="M17" s="356"/>
      <c r="N17" s="357"/>
      <c r="O17" s="192"/>
      <c r="P17" s="19"/>
      <c r="Q17" s="200"/>
      <c r="R17" s="201"/>
      <c r="S17" s="197"/>
      <c r="T17" s="198"/>
      <c r="U17" s="198"/>
      <c r="V17" s="198"/>
      <c r="W17" s="198"/>
      <c r="X17" s="1">
        <f t="shared" si="4"/>
        <v>0</v>
      </c>
      <c r="Y17" s="17">
        <f t="shared" si="1"/>
        <v>0</v>
      </c>
      <c r="Z17" s="1" t="b">
        <f t="shared" si="3"/>
        <v>1</v>
      </c>
    </row>
    <row r="18" spans="1:26" ht="24" customHeight="1">
      <c r="A18" s="5"/>
      <c r="B18" s="4"/>
      <c r="C18" s="4"/>
      <c r="F18" s="4"/>
      <c r="G18" s="4"/>
      <c r="H18" s="4"/>
      <c r="I18" s="4"/>
      <c r="J18" s="4"/>
      <c r="K18" s="4"/>
      <c r="L18" s="24"/>
      <c r="M18" s="288"/>
      <c r="N18" s="289"/>
      <c r="O18" s="189"/>
      <c r="P18" s="57"/>
      <c r="Q18" s="200"/>
      <c r="R18" s="201"/>
      <c r="S18" s="197"/>
      <c r="T18" s="198"/>
      <c r="U18" s="198"/>
      <c r="V18" s="198"/>
      <c r="W18" s="198"/>
      <c r="X18" s="1">
        <f t="shared" si="4"/>
        <v>0</v>
      </c>
      <c r="Y18" s="17">
        <f t="shared" si="1"/>
        <v>0</v>
      </c>
      <c r="Z18" s="1" t="b">
        <f t="shared" si="3"/>
        <v>1</v>
      </c>
    </row>
    <row r="19" spans="1:26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O19" s="9"/>
      <c r="Q19" s="200"/>
      <c r="R19" s="201"/>
      <c r="S19" s="197"/>
      <c r="T19" s="198"/>
      <c r="U19" s="198"/>
      <c r="V19" s="198"/>
      <c r="W19" s="198"/>
      <c r="X19" s="1">
        <f t="shared" si="4"/>
        <v>0</v>
      </c>
      <c r="Y19" s="17">
        <f t="shared" si="1"/>
        <v>0</v>
      </c>
      <c r="Z19" s="1" t="b">
        <f t="shared" si="3"/>
        <v>1</v>
      </c>
    </row>
    <row r="20" spans="1:26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9"/>
      <c r="P20" s="17"/>
      <c r="Q20" s="200"/>
      <c r="R20" s="201"/>
      <c r="S20" s="197"/>
      <c r="T20" s="198"/>
      <c r="U20" s="198"/>
      <c r="V20" s="198"/>
      <c r="W20" s="198"/>
      <c r="X20" s="1">
        <f t="shared" si="4"/>
        <v>0</v>
      </c>
      <c r="Y20" s="17">
        <f t="shared" si="1"/>
        <v>0</v>
      </c>
      <c r="Z20" s="1" t="b">
        <f t="shared" si="3"/>
        <v>1</v>
      </c>
    </row>
    <row r="21" spans="1:26" ht="24" customHeight="1">
      <c r="A21" s="8"/>
      <c r="B21" s="9"/>
      <c r="C21" s="260" t="s">
        <v>8</v>
      </c>
      <c r="D21" s="261"/>
      <c r="E21" s="262"/>
      <c r="F21" s="263"/>
      <c r="G21" s="12" t="s">
        <v>23</v>
      </c>
      <c r="H21" s="264"/>
      <c r="I21" s="263"/>
      <c r="J21" s="12" t="s">
        <v>23</v>
      </c>
      <c r="K21" s="264"/>
      <c r="L21" s="263"/>
      <c r="M21" s="265"/>
      <c r="N21" s="11"/>
      <c r="O21" s="9"/>
      <c r="P21" s="17"/>
      <c r="W21" s="19">
        <f>SUM(W10:W20)</f>
        <v>129745923</v>
      </c>
      <c r="X21" s="1">
        <f t="shared" si="4"/>
        <v>0</v>
      </c>
      <c r="Y21" s="17">
        <f t="shared" si="1"/>
        <v>0</v>
      </c>
      <c r="Z21" s="1" t="b">
        <f t="shared" si="3"/>
        <v>1</v>
      </c>
    </row>
    <row r="22" spans="1:26" ht="24" customHeight="1">
      <c r="A22" s="8"/>
      <c r="B22" s="9"/>
      <c r="C22" s="260" t="s">
        <v>9</v>
      </c>
      <c r="D22" s="261"/>
      <c r="E22" s="266" t="s">
        <v>72</v>
      </c>
      <c r="F22" s="267"/>
      <c r="G22" s="267"/>
      <c r="H22" s="268"/>
      <c r="I22" s="261" t="s">
        <v>10</v>
      </c>
      <c r="J22" s="261"/>
      <c r="K22" s="269"/>
      <c r="L22" s="263"/>
      <c r="M22" s="265"/>
      <c r="N22" s="11"/>
      <c r="O22" s="9"/>
      <c r="X22" s="1" t="e">
        <f>+W21=Y22</f>
        <v>#REF!</v>
      </c>
      <c r="Y22" s="17" t="e">
        <f>SUM(Y10:Y21)</f>
        <v>#REF!</v>
      </c>
    </row>
    <row r="23" spans="1:26" ht="24" customHeight="1">
      <c r="A23" s="8"/>
      <c r="B23" s="9"/>
      <c r="C23" s="260" t="s">
        <v>11</v>
      </c>
      <c r="D23" s="261"/>
      <c r="E23" s="232">
        <f>W21</f>
        <v>129745923</v>
      </c>
      <c r="F23" s="233"/>
      <c r="G23" s="233"/>
      <c r="H23" s="270"/>
      <c r="I23" s="261" t="s">
        <v>12</v>
      </c>
      <c r="J23" s="261"/>
      <c r="K23" s="232"/>
      <c r="L23" s="233"/>
      <c r="M23" s="234"/>
      <c r="N23" s="11"/>
      <c r="O23" s="9"/>
      <c r="Q23" s="71" t="s">
        <v>59</v>
      </c>
      <c r="X23" s="1" t="b">
        <f>W21=I24</f>
        <v>1</v>
      </c>
    </row>
    <row r="24" spans="1:26" ht="24" customHeight="1">
      <c r="A24" s="8"/>
      <c r="B24" s="9"/>
      <c r="C24" s="252" t="s">
        <v>13</v>
      </c>
      <c r="D24" s="253"/>
      <c r="E24" s="360"/>
      <c r="F24" s="254"/>
      <c r="G24" s="254"/>
      <c r="H24" s="7" t="s">
        <v>14</v>
      </c>
      <c r="I24" s="255">
        <f>E23+K23</f>
        <v>129745923</v>
      </c>
      <c r="J24" s="256"/>
      <c r="K24" s="256"/>
      <c r="L24" s="256"/>
      <c r="M24" s="257"/>
      <c r="N24" s="11"/>
      <c r="O24" s="9"/>
      <c r="Q24" s="72" t="s">
        <v>58</v>
      </c>
    </row>
    <row r="25" spans="1:26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  <c r="O25" s="9"/>
    </row>
    <row r="26" spans="1:26" ht="27" customHeight="1">
      <c r="A26" s="258" t="s">
        <v>15</v>
      </c>
      <c r="B26" s="259"/>
      <c r="C26" s="361" t="str">
        <f>NUMBERSTRING(I24, 1)</f>
        <v>일억이천구백칠십사만오천구백이십삼</v>
      </c>
      <c r="D26" s="361"/>
      <c r="E26" s="361"/>
      <c r="F26" s="361"/>
      <c r="G26" s="361"/>
      <c r="H26" s="13"/>
      <c r="I26" s="13"/>
      <c r="J26" s="13" t="s">
        <v>16</v>
      </c>
      <c r="K26" s="362">
        <f>I24</f>
        <v>129745923</v>
      </c>
      <c r="L26" s="362"/>
      <c r="M26" s="362"/>
      <c r="N26" s="363"/>
      <c r="O26" s="193"/>
    </row>
    <row r="27" spans="1:26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  <c r="O27" s="194"/>
    </row>
    <row r="28" spans="1:26" ht="27" customHeight="1">
      <c r="A28" s="237" t="s">
        <v>19</v>
      </c>
      <c r="B28" s="237"/>
      <c r="C28" s="237"/>
      <c r="D28" s="238" t="s">
        <v>161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195"/>
    </row>
    <row r="29" spans="1:26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  <c r="O29" s="196"/>
    </row>
    <row r="30" spans="1:26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26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26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</sheetData>
  <mergeCells count="42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M18:N18"/>
    <mergeCell ref="C20:M20"/>
    <mergeCell ref="C21:D21"/>
    <mergeCell ref="E21:F21"/>
    <mergeCell ref="H21:I21"/>
    <mergeCell ref="K21:M21"/>
    <mergeCell ref="A1:N1"/>
    <mergeCell ref="A3:A5"/>
    <mergeCell ref="I3:I5"/>
    <mergeCell ref="A7:N8"/>
    <mergeCell ref="M17:N17"/>
    <mergeCell ref="M10:N10"/>
    <mergeCell ref="M11:N11"/>
    <mergeCell ref="M12:N12"/>
    <mergeCell ref="M13:N13"/>
    <mergeCell ref="M14:N14"/>
    <mergeCell ref="M15:N15"/>
    <mergeCell ref="M16:N16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ignoredErrors>
    <ignoredError sqref="W10:W11" formulaRange="1"/>
  </ignoredError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D00D-7797-49B9-AB5D-1BAEFCCE3BCF}">
  <dimension ref="A1:Z75"/>
  <sheetViews>
    <sheetView zoomScale="82" zoomScaleNormal="82" workbookViewId="0">
      <selection activeCell="D11" sqref="D11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4" width="7.5" style="1" customWidth="1"/>
    <col min="15" max="15" width="15.75" style="1" bestFit="1" customWidth="1"/>
    <col min="16" max="16" width="13.375" style="1" bestFit="1" customWidth="1"/>
    <col min="17" max="17" width="16.75" style="1" customWidth="1"/>
    <col min="18" max="18" width="10.375" style="1" bestFit="1" customWidth="1"/>
    <col min="19" max="19" width="9.875" style="1" bestFit="1" customWidth="1"/>
    <col min="20" max="20" width="15.375" style="1" bestFit="1" customWidth="1"/>
    <col min="21" max="22" width="17.25" style="1" bestFit="1" customWidth="1"/>
    <col min="23" max="23" width="14.125" style="1" bestFit="1" customWidth="1"/>
    <col min="24" max="24" width="13.875" style="1" bestFit="1" customWidth="1"/>
    <col min="25" max="25" width="13.125" style="17" bestFit="1" customWidth="1"/>
    <col min="26" max="16384" width="9" style="1"/>
  </cols>
  <sheetData>
    <row r="1" spans="1:2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186"/>
    </row>
    <row r="3" spans="1:2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  <c r="O3" s="191"/>
    </row>
    <row r="4" spans="1:2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  <c r="O4" s="191"/>
    </row>
    <row r="5" spans="1:2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191"/>
    </row>
    <row r="6" spans="1:26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26" ht="24" customHeight="1">
      <c r="A7" s="276" t="s">
        <v>54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  <c r="O7" s="190"/>
    </row>
    <row r="8" spans="1:2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  <c r="O8" s="190"/>
    </row>
    <row r="9" spans="1:26" ht="24" customHeight="1">
      <c r="A9" s="5"/>
      <c r="B9" s="139"/>
      <c r="C9" s="139"/>
      <c r="E9" s="139"/>
      <c r="F9" s="139"/>
      <c r="G9" s="139"/>
      <c r="H9" s="139"/>
      <c r="I9" s="139"/>
      <c r="J9" s="139"/>
      <c r="K9" s="184"/>
      <c r="M9" s="182"/>
      <c r="N9" s="18"/>
      <c r="O9" s="18"/>
      <c r="P9" s="17"/>
      <c r="Q9" s="218" t="s">
        <v>134</v>
      </c>
      <c r="R9" s="219" t="s">
        <v>129</v>
      </c>
      <c r="S9" s="219" t="s">
        <v>130</v>
      </c>
      <c r="T9" s="220" t="s">
        <v>131</v>
      </c>
      <c r="U9" s="219" t="s">
        <v>48</v>
      </c>
      <c r="V9" s="219" t="s">
        <v>87</v>
      </c>
      <c r="W9" s="219" t="s">
        <v>125</v>
      </c>
    </row>
    <row r="10" spans="1:26" ht="24" customHeight="1">
      <c r="A10" s="5"/>
      <c r="C10" s="225">
        <v>46196</v>
      </c>
      <c r="D10" s="226">
        <v>9.5048999999999992</v>
      </c>
      <c r="E10" s="131"/>
      <c r="F10" s="131"/>
      <c r="G10" s="131"/>
      <c r="H10" s="132"/>
      <c r="I10" s="132"/>
      <c r="J10" s="132"/>
      <c r="K10" s="152"/>
      <c r="L10" s="108" t="s">
        <v>48</v>
      </c>
      <c r="M10" s="351">
        <f>O10</f>
        <v>45587772</v>
      </c>
      <c r="N10" s="352"/>
      <c r="O10" s="187">
        <v>45587772</v>
      </c>
      <c r="P10" s="17"/>
      <c r="Q10" s="218" t="s">
        <v>159</v>
      </c>
      <c r="R10" s="221">
        <v>46363</v>
      </c>
      <c r="S10" s="218">
        <v>9.4859000000000009</v>
      </c>
      <c r="T10" s="222">
        <v>6659847</v>
      </c>
      <c r="U10" s="219">
        <v>42761921</v>
      </c>
      <c r="V10" s="219">
        <v>20412721</v>
      </c>
      <c r="W10" s="219">
        <f>INT(SUM(U10:V10))</f>
        <v>63174642</v>
      </c>
      <c r="X10" s="1">
        <f>+T10*S10</f>
        <v>63174642.657300003</v>
      </c>
      <c r="Y10" s="17">
        <f>INT(X10)</f>
        <v>63174642</v>
      </c>
      <c r="Z10" s="1" t="b">
        <f>+W10=Y10</f>
        <v>1</v>
      </c>
    </row>
    <row r="11" spans="1:26" ht="24" customHeight="1">
      <c r="A11" s="5"/>
      <c r="B11" s="131"/>
      <c r="C11" s="131"/>
      <c r="D11" s="131"/>
      <c r="E11" s="131"/>
      <c r="F11" s="131"/>
      <c r="G11" s="131"/>
      <c r="H11" s="132"/>
      <c r="I11" s="132"/>
      <c r="J11" s="132"/>
      <c r="K11" s="152"/>
      <c r="L11" s="108" t="s">
        <v>76</v>
      </c>
      <c r="M11" s="353">
        <f>O11</f>
        <v>18355758</v>
      </c>
      <c r="N11" s="354"/>
      <c r="O11" s="187">
        <v>18355758</v>
      </c>
      <c r="P11" s="17"/>
      <c r="Q11" s="218" t="s">
        <v>160</v>
      </c>
      <c r="R11" s="221">
        <v>46384</v>
      </c>
      <c r="S11" s="218">
        <v>9.3727</v>
      </c>
      <c r="T11" s="222">
        <v>6659847</v>
      </c>
      <c r="U11" s="219">
        <v>42251622</v>
      </c>
      <c r="V11" s="219">
        <v>20169125</v>
      </c>
      <c r="W11" s="219">
        <f>INT(SUM(U11:V11))</f>
        <v>62420747</v>
      </c>
      <c r="X11" s="1">
        <f t="shared" ref="X11:X21" si="0">+T11*S11</f>
        <v>62420747.976900004</v>
      </c>
      <c r="Y11" s="17">
        <f t="shared" ref="Y11:Y21" si="1">INT(X11)</f>
        <v>62420747</v>
      </c>
      <c r="Z11" s="1" t="b">
        <f t="shared" ref="Z11:Z21" si="2">+W11=Y11</f>
        <v>1</v>
      </c>
    </row>
    <row r="12" spans="1:26" ht="24" customHeight="1">
      <c r="A12" s="5"/>
      <c r="B12" s="65"/>
      <c r="C12" s="9"/>
      <c r="D12" s="9"/>
      <c r="E12" s="9"/>
      <c r="F12" s="9"/>
      <c r="G12" s="4"/>
      <c r="H12" s="4"/>
      <c r="I12" s="4"/>
      <c r="J12" s="4"/>
      <c r="K12" s="14"/>
      <c r="L12" s="103"/>
      <c r="M12" s="358"/>
      <c r="N12" s="359"/>
      <c r="O12" s="227">
        <f>SUM(O10:O11)</f>
        <v>63943530</v>
      </c>
      <c r="P12" s="19"/>
      <c r="Q12" s="197"/>
      <c r="R12" s="209"/>
      <c r="S12" s="210"/>
      <c r="T12" s="211"/>
      <c r="U12" s="198"/>
      <c r="V12" s="198"/>
      <c r="W12" s="198"/>
      <c r="X12" s="1">
        <f t="shared" si="0"/>
        <v>0</v>
      </c>
      <c r="Y12" s="17">
        <f t="shared" si="1"/>
        <v>0</v>
      </c>
      <c r="Z12" s="1" t="b">
        <f t="shared" si="2"/>
        <v>1</v>
      </c>
    </row>
    <row r="13" spans="1:26" ht="24" customHeight="1">
      <c r="A13" s="5"/>
      <c r="B13" s="104"/>
      <c r="C13" s="138"/>
      <c r="D13" s="9"/>
      <c r="E13" s="9"/>
      <c r="F13" s="9"/>
      <c r="G13" s="4"/>
      <c r="H13" s="4"/>
      <c r="I13" s="4"/>
      <c r="J13" s="4"/>
      <c r="K13" s="14"/>
      <c r="L13" s="103"/>
      <c r="M13" s="358"/>
      <c r="N13" s="359"/>
      <c r="O13" s="188"/>
      <c r="P13" s="19"/>
      <c r="Q13" s="197"/>
      <c r="R13" s="209"/>
      <c r="S13" s="210"/>
      <c r="T13" s="211"/>
      <c r="U13" s="198"/>
      <c r="V13" s="198"/>
      <c r="W13" s="198"/>
      <c r="X13" s="1">
        <f t="shared" si="0"/>
        <v>0</v>
      </c>
      <c r="Y13" s="17">
        <f t="shared" si="1"/>
        <v>0</v>
      </c>
      <c r="Z13" s="1" t="b">
        <f t="shared" si="2"/>
        <v>1</v>
      </c>
    </row>
    <row r="14" spans="1:26" ht="24" customHeight="1">
      <c r="A14" s="5"/>
      <c r="B14" s="9"/>
      <c r="C14" s="9"/>
      <c r="D14" s="9"/>
      <c r="E14" s="9"/>
      <c r="F14" s="9"/>
      <c r="G14" s="4"/>
      <c r="H14" s="4"/>
      <c r="I14" s="4"/>
      <c r="J14" s="4"/>
      <c r="K14" s="17"/>
      <c r="L14" s="103"/>
      <c r="M14" s="358"/>
      <c r="N14" s="359"/>
      <c r="O14" s="188"/>
      <c r="Q14" s="197"/>
      <c r="R14" s="212"/>
      <c r="S14" s="210"/>
      <c r="T14" s="211"/>
      <c r="U14" s="198"/>
      <c r="V14" s="198"/>
      <c r="W14" s="198"/>
      <c r="X14" s="1">
        <f t="shared" si="0"/>
        <v>0</v>
      </c>
      <c r="Y14" s="17">
        <f t="shared" si="1"/>
        <v>0</v>
      </c>
      <c r="Z14" s="1" t="b">
        <f t="shared" si="2"/>
        <v>1</v>
      </c>
    </row>
    <row r="15" spans="1:26" ht="24" customHeight="1">
      <c r="A15" s="5"/>
      <c r="B15" s="4"/>
      <c r="E15" s="4"/>
      <c r="F15" s="4"/>
      <c r="G15" s="4"/>
      <c r="H15" s="4"/>
      <c r="I15" s="4"/>
      <c r="J15" s="4"/>
      <c r="K15" s="14"/>
      <c r="L15" s="156"/>
      <c r="M15" s="288"/>
      <c r="N15" s="289"/>
      <c r="O15" s="187"/>
      <c r="Q15" s="200"/>
      <c r="R15" s="201"/>
      <c r="S15" s="197"/>
      <c r="T15" s="198"/>
      <c r="U15" s="198"/>
      <c r="V15" s="198"/>
      <c r="W15" s="198"/>
      <c r="X15" s="1">
        <f t="shared" si="0"/>
        <v>0</v>
      </c>
      <c r="Y15" s="17">
        <f t="shared" si="1"/>
        <v>0</v>
      </c>
      <c r="Z15" s="1" t="b">
        <f t="shared" si="2"/>
        <v>1</v>
      </c>
    </row>
    <row r="16" spans="1:26" ht="24" customHeight="1">
      <c r="A16" s="5"/>
      <c r="B16" s="4"/>
      <c r="C16" s="40"/>
      <c r="D16" s="110"/>
      <c r="E16" s="110"/>
      <c r="F16" s="4"/>
      <c r="G16" s="4"/>
      <c r="H16" s="4"/>
      <c r="I16" s="4"/>
      <c r="J16" s="4"/>
      <c r="K16" s="17"/>
      <c r="L16" s="156"/>
      <c r="M16" s="288"/>
      <c r="N16" s="289"/>
      <c r="O16" s="189"/>
      <c r="P16" s="57"/>
      <c r="Q16" s="200"/>
      <c r="R16" s="201"/>
      <c r="S16" s="197"/>
      <c r="T16" s="198"/>
      <c r="U16" s="198"/>
      <c r="V16" s="198"/>
      <c r="W16" s="198"/>
      <c r="X16" s="1">
        <f t="shared" si="0"/>
        <v>0</v>
      </c>
      <c r="Y16" s="17">
        <f t="shared" si="1"/>
        <v>0</v>
      </c>
      <c r="Z16" s="1" t="b">
        <f t="shared" si="2"/>
        <v>1</v>
      </c>
    </row>
    <row r="17" spans="1:26" ht="24" customHeight="1">
      <c r="A17" s="5"/>
      <c r="B17" s="4"/>
      <c r="C17" s="40"/>
      <c r="D17" s="110"/>
      <c r="E17" s="110"/>
      <c r="F17" s="4"/>
      <c r="G17" s="4"/>
      <c r="H17" s="4"/>
      <c r="I17" s="4"/>
      <c r="J17" s="4"/>
      <c r="K17" s="4"/>
      <c r="L17" s="154"/>
      <c r="M17" s="356"/>
      <c r="N17" s="357"/>
      <c r="O17" s="192"/>
      <c r="P17" s="19"/>
      <c r="Q17" s="200"/>
      <c r="R17" s="201"/>
      <c r="S17" s="197"/>
      <c r="T17" s="198"/>
      <c r="U17" s="198"/>
      <c r="V17" s="198"/>
      <c r="W17" s="198"/>
      <c r="X17" s="1">
        <f t="shared" si="0"/>
        <v>0</v>
      </c>
      <c r="Y17" s="17">
        <f t="shared" si="1"/>
        <v>0</v>
      </c>
      <c r="Z17" s="1" t="b">
        <f t="shared" si="2"/>
        <v>1</v>
      </c>
    </row>
    <row r="18" spans="1:26" ht="24" customHeight="1">
      <c r="A18" s="5"/>
      <c r="B18" s="4"/>
      <c r="C18" s="4"/>
      <c r="F18" s="4"/>
      <c r="G18" s="4"/>
      <c r="H18" s="4"/>
      <c r="I18" s="4"/>
      <c r="J18" s="4"/>
      <c r="K18" s="4"/>
      <c r="L18" s="24"/>
      <c r="M18" s="288"/>
      <c r="N18" s="289"/>
      <c r="O18" s="189"/>
      <c r="P18" s="57"/>
      <c r="Q18" s="200"/>
      <c r="R18" s="201"/>
      <c r="S18" s="197"/>
      <c r="T18" s="198"/>
      <c r="U18" s="198"/>
      <c r="V18" s="198"/>
      <c r="W18" s="198"/>
      <c r="X18" s="1">
        <f t="shared" si="0"/>
        <v>0</v>
      </c>
      <c r="Y18" s="17">
        <f t="shared" si="1"/>
        <v>0</v>
      </c>
      <c r="Z18" s="1" t="b">
        <f t="shared" si="2"/>
        <v>1</v>
      </c>
    </row>
    <row r="19" spans="1:26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O19" s="9"/>
      <c r="Q19" s="200"/>
      <c r="R19" s="201"/>
      <c r="S19" s="197"/>
      <c r="T19" s="198"/>
      <c r="U19" s="198"/>
      <c r="V19" s="198"/>
      <c r="W19" s="198"/>
      <c r="X19" s="1">
        <f t="shared" si="0"/>
        <v>0</v>
      </c>
      <c r="Y19" s="17">
        <f t="shared" si="1"/>
        <v>0</v>
      </c>
      <c r="Z19" s="1" t="b">
        <f t="shared" si="2"/>
        <v>1</v>
      </c>
    </row>
    <row r="20" spans="1:26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9"/>
      <c r="P20" s="17"/>
      <c r="Q20" s="200"/>
      <c r="R20" s="201"/>
      <c r="S20" s="197"/>
      <c r="T20" s="198"/>
      <c r="U20" s="198"/>
      <c r="V20" s="198"/>
      <c r="W20" s="198"/>
      <c r="X20" s="1">
        <f t="shared" si="0"/>
        <v>0</v>
      </c>
      <c r="Y20" s="17">
        <f t="shared" si="1"/>
        <v>0</v>
      </c>
      <c r="Z20" s="1" t="b">
        <f t="shared" si="2"/>
        <v>1</v>
      </c>
    </row>
    <row r="21" spans="1:26" ht="24" customHeight="1">
      <c r="A21" s="8"/>
      <c r="B21" s="9"/>
      <c r="C21" s="260" t="s">
        <v>8</v>
      </c>
      <c r="D21" s="261"/>
      <c r="E21" s="262"/>
      <c r="F21" s="263"/>
      <c r="G21" s="12" t="s">
        <v>23</v>
      </c>
      <c r="H21" s="264"/>
      <c r="I21" s="263"/>
      <c r="J21" s="12" t="s">
        <v>23</v>
      </c>
      <c r="K21" s="264"/>
      <c r="L21" s="263"/>
      <c r="M21" s="265"/>
      <c r="N21" s="11"/>
      <c r="O21" s="9"/>
      <c r="P21" s="17"/>
      <c r="Q21" s="200"/>
      <c r="R21" s="201"/>
      <c r="S21" s="197"/>
      <c r="T21" s="198"/>
      <c r="U21" s="198"/>
      <c r="V21" s="198"/>
      <c r="W21" s="198"/>
      <c r="X21" s="1">
        <f t="shared" si="0"/>
        <v>0</v>
      </c>
      <c r="Y21" s="17">
        <f t="shared" si="1"/>
        <v>0</v>
      </c>
      <c r="Z21" s="1" t="b">
        <f t="shared" si="2"/>
        <v>1</v>
      </c>
    </row>
    <row r="22" spans="1:26" ht="24" customHeight="1">
      <c r="A22" s="8"/>
      <c r="B22" s="9"/>
      <c r="C22" s="260" t="s">
        <v>9</v>
      </c>
      <c r="D22" s="261"/>
      <c r="E22" s="266" t="s">
        <v>72</v>
      </c>
      <c r="F22" s="267"/>
      <c r="G22" s="267"/>
      <c r="H22" s="268"/>
      <c r="I22" s="261" t="s">
        <v>10</v>
      </c>
      <c r="J22" s="261"/>
      <c r="K22" s="269"/>
      <c r="L22" s="263"/>
      <c r="M22" s="265"/>
      <c r="N22" s="11"/>
      <c r="O22" s="9"/>
      <c r="W22" s="19">
        <f>SUM(W10:W21)</f>
        <v>125595389</v>
      </c>
      <c r="X22" s="1" t="b">
        <f>+W22=Y22</f>
        <v>1</v>
      </c>
      <c r="Y22" s="17">
        <f>SUM(Y10:Y21)</f>
        <v>125595389</v>
      </c>
    </row>
    <row r="23" spans="1:26" ht="24" customHeight="1">
      <c r="A23" s="8"/>
      <c r="B23" s="9"/>
      <c r="C23" s="260" t="s">
        <v>11</v>
      </c>
      <c r="D23" s="261"/>
      <c r="E23" s="232">
        <f>M10+M11</f>
        <v>63943530</v>
      </c>
      <c r="F23" s="233"/>
      <c r="G23" s="233"/>
      <c r="H23" s="270"/>
      <c r="I23" s="261" t="s">
        <v>12</v>
      </c>
      <c r="J23" s="261"/>
      <c r="K23" s="232"/>
      <c r="L23" s="233"/>
      <c r="M23" s="234"/>
      <c r="N23" s="11"/>
      <c r="O23" s="9"/>
      <c r="X23" s="1" t="b">
        <f>W22=I24</f>
        <v>0</v>
      </c>
    </row>
    <row r="24" spans="1:26" ht="24" customHeight="1">
      <c r="A24" s="8"/>
      <c r="B24" s="9"/>
      <c r="C24" s="252" t="s">
        <v>13</v>
      </c>
      <c r="D24" s="253"/>
      <c r="E24" s="360"/>
      <c r="F24" s="254"/>
      <c r="G24" s="254"/>
      <c r="H24" s="7" t="s">
        <v>14</v>
      </c>
      <c r="I24" s="255">
        <f>E23+K23</f>
        <v>63943530</v>
      </c>
      <c r="J24" s="256"/>
      <c r="K24" s="256"/>
      <c r="L24" s="256"/>
      <c r="M24" s="257"/>
      <c r="N24" s="11"/>
      <c r="O24" s="9"/>
      <c r="Q24" s="71" t="s">
        <v>59</v>
      </c>
    </row>
    <row r="25" spans="1:26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  <c r="O25" s="9"/>
      <c r="Q25" s="72" t="s">
        <v>58</v>
      </c>
    </row>
    <row r="26" spans="1:26" ht="27" customHeight="1">
      <c r="A26" s="258" t="s">
        <v>15</v>
      </c>
      <c r="B26" s="259"/>
      <c r="C26" s="361" t="str">
        <f>NUMBERSTRING(I24, 1)</f>
        <v>육천삼백구십사만삼천오백삼십</v>
      </c>
      <c r="D26" s="361"/>
      <c r="E26" s="361"/>
      <c r="F26" s="361"/>
      <c r="G26" s="361"/>
      <c r="H26" s="13"/>
      <c r="I26" s="13"/>
      <c r="J26" s="13" t="s">
        <v>16</v>
      </c>
      <c r="K26" s="362">
        <f>I24</f>
        <v>63943530</v>
      </c>
      <c r="L26" s="362"/>
      <c r="M26" s="362"/>
      <c r="N26" s="363"/>
      <c r="O26" s="193"/>
    </row>
    <row r="27" spans="1:26" ht="27" customHeight="1">
      <c r="A27" s="237" t="s">
        <v>17</v>
      </c>
      <c r="B27" s="237"/>
      <c r="C27" s="237"/>
      <c r="D27" s="237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  <c r="O27" s="194"/>
    </row>
    <row r="28" spans="1:26" ht="27" customHeight="1">
      <c r="A28" s="237" t="s">
        <v>19</v>
      </c>
      <c r="B28" s="237"/>
      <c r="C28" s="237"/>
      <c r="D28" s="238" t="s">
        <v>161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195"/>
    </row>
    <row r="29" spans="1:26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  <c r="O29" s="196"/>
    </row>
    <row r="30" spans="1:26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26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26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</sheetData>
  <mergeCells count="42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M18:N18"/>
    <mergeCell ref="C20:M20"/>
    <mergeCell ref="C21:D21"/>
    <mergeCell ref="E21:F21"/>
    <mergeCell ref="H21:I21"/>
    <mergeCell ref="K21:M21"/>
    <mergeCell ref="M17:N17"/>
    <mergeCell ref="A1:N1"/>
    <mergeCell ref="A3:A5"/>
    <mergeCell ref="I3:I5"/>
    <mergeCell ref="A7:N8"/>
    <mergeCell ref="M10:N10"/>
    <mergeCell ref="M11:N11"/>
    <mergeCell ref="M12:N12"/>
    <mergeCell ref="M13:N13"/>
    <mergeCell ref="M14:N14"/>
    <mergeCell ref="M15:N15"/>
    <mergeCell ref="M16:N16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0B35-666A-448B-928A-A10E3442D9E0}">
  <dimension ref="A1:V75"/>
  <sheetViews>
    <sheetView zoomScale="80" zoomScaleNormal="80" workbookViewId="0">
      <selection activeCell="E3" sqref="E3:F5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4" width="7.5" style="1" customWidth="1"/>
    <col min="15" max="15" width="13.375" style="1" bestFit="1" customWidth="1"/>
    <col min="16" max="16" width="15.125" style="1" bestFit="1" customWidth="1"/>
    <col min="17" max="17" width="23.5" style="1" customWidth="1"/>
    <col min="18" max="18" width="14.125" style="1" bestFit="1" customWidth="1"/>
    <col min="19" max="20" width="13.375" style="1" bestFit="1" customWidth="1"/>
    <col min="21" max="22" width="12.125" style="1" bestFit="1" customWidth="1"/>
    <col min="23" max="16384" width="9" style="1"/>
  </cols>
  <sheetData>
    <row r="1" spans="1:20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0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0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0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0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0" ht="24" customHeight="1">
      <c r="A7" s="276" t="s">
        <v>54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</row>
    <row r="8" spans="1:20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</row>
    <row r="9" spans="1:20" ht="24" customHeight="1">
      <c r="A9" s="5"/>
      <c r="B9" s="4"/>
      <c r="C9" s="4"/>
      <c r="D9" s="4"/>
      <c r="E9" s="4"/>
      <c r="F9" s="4"/>
      <c r="G9" s="4"/>
      <c r="H9" s="4"/>
      <c r="I9" s="4"/>
      <c r="J9" s="4"/>
      <c r="N9" s="18"/>
      <c r="O9" s="17"/>
      <c r="Q9" s="17"/>
      <c r="R9" s="17"/>
      <c r="S9" s="17"/>
    </row>
    <row r="10" spans="1:20" ht="24" customHeight="1">
      <c r="A10" s="5"/>
      <c r="B10" s="86"/>
      <c r="C10" s="85" t="s">
        <v>69</v>
      </c>
      <c r="D10" s="146">
        <v>45191</v>
      </c>
      <c r="E10" s="153">
        <v>9.0733999999999995</v>
      </c>
      <c r="F10" s="86"/>
      <c r="G10" s="46"/>
      <c r="H10" s="46"/>
      <c r="I10" s="46"/>
      <c r="J10" s="46"/>
      <c r="K10" s="87"/>
      <c r="L10" s="108" t="s">
        <v>84</v>
      </c>
      <c r="M10" s="250"/>
      <c r="N10" s="251"/>
      <c r="O10" s="84"/>
      <c r="P10" s="68"/>
      <c r="Q10" s="19"/>
      <c r="R10" s="17"/>
      <c r="S10" s="17"/>
      <c r="T10" s="17"/>
    </row>
    <row r="11" spans="1:20" ht="24" customHeight="1">
      <c r="A11" s="5"/>
      <c r="B11" s="86"/>
      <c r="C11" s="46"/>
      <c r="D11" s="146"/>
      <c r="E11" s="134"/>
      <c r="F11" s="134"/>
      <c r="G11" s="97"/>
      <c r="H11" s="97"/>
      <c r="I11" s="97"/>
      <c r="J11" s="97"/>
      <c r="K11" s="97"/>
      <c r="L11" s="108" t="s">
        <v>83</v>
      </c>
      <c r="M11" s="250">
        <f>O11*E10</f>
        <v>48270488</v>
      </c>
      <c r="N11" s="251"/>
      <c r="O11" s="84">
        <v>5320000</v>
      </c>
      <c r="P11" s="73"/>
      <c r="Q11" s="75"/>
      <c r="R11" s="17"/>
      <c r="S11" s="17"/>
      <c r="T11" s="17"/>
    </row>
    <row r="12" spans="1:20" ht="24" customHeight="1">
      <c r="A12" s="5"/>
      <c r="B12" s="86"/>
      <c r="C12" s="86"/>
      <c r="D12" s="86"/>
      <c r="E12" s="134"/>
      <c r="F12" s="134"/>
      <c r="G12" s="97"/>
      <c r="H12" s="97"/>
      <c r="I12" s="97"/>
      <c r="J12" s="97"/>
      <c r="K12" s="97"/>
      <c r="L12" s="108"/>
      <c r="M12" s="250"/>
      <c r="N12" s="251"/>
      <c r="O12" s="84"/>
      <c r="P12" s="73"/>
      <c r="Q12" s="19"/>
      <c r="R12" s="19"/>
      <c r="S12" s="19"/>
    </row>
    <row r="13" spans="1:20" ht="24" customHeight="1">
      <c r="A13" s="5"/>
      <c r="B13" s="86"/>
      <c r="C13" s="86"/>
      <c r="D13" s="86"/>
      <c r="E13" s="134"/>
      <c r="F13" s="134"/>
      <c r="G13" s="97"/>
      <c r="H13" s="97"/>
      <c r="I13" s="97"/>
      <c r="J13" s="97"/>
      <c r="K13" s="97"/>
      <c r="L13" s="115"/>
      <c r="M13" s="364"/>
      <c r="N13" s="365"/>
      <c r="O13" s="46"/>
      <c r="P13" s="17"/>
      <c r="Q13" s="19"/>
      <c r="R13" s="19"/>
      <c r="S13" s="19"/>
      <c r="T13" s="17"/>
    </row>
    <row r="14" spans="1:20" ht="24" customHeight="1">
      <c r="A14" s="5"/>
      <c r="B14" s="86"/>
      <c r="C14" s="86"/>
      <c r="D14" s="86"/>
      <c r="E14" s="134"/>
      <c r="F14" s="134"/>
      <c r="G14" s="97"/>
      <c r="H14" s="97"/>
      <c r="I14" s="97"/>
      <c r="J14" s="97"/>
      <c r="K14" s="97"/>
      <c r="L14" s="90"/>
      <c r="M14" s="364"/>
      <c r="N14" s="365"/>
      <c r="O14" s="46"/>
      <c r="P14" s="74"/>
      <c r="Q14" s="19"/>
      <c r="R14" s="19"/>
      <c r="S14" s="19"/>
      <c r="T14" s="17"/>
    </row>
    <row r="15" spans="1:20" ht="24" customHeight="1">
      <c r="A15" s="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87"/>
      <c r="M15" s="341"/>
      <c r="N15" s="342"/>
      <c r="O15" s="46"/>
      <c r="P15" s="58"/>
      <c r="Q15" s="57"/>
      <c r="R15" s="19"/>
      <c r="S15" s="57"/>
      <c r="T15" s="57"/>
    </row>
    <row r="16" spans="1:20" ht="24" customHeight="1">
      <c r="A16" s="5"/>
      <c r="B16" s="4"/>
      <c r="C16" s="40"/>
      <c r="D16" s="302"/>
      <c r="E16" s="302"/>
      <c r="F16" s="4"/>
      <c r="G16" s="4"/>
      <c r="H16" s="4"/>
      <c r="I16" s="4"/>
      <c r="J16" s="4"/>
      <c r="L16" s="21"/>
      <c r="M16" s="356"/>
      <c r="N16" s="357"/>
      <c r="P16" s="57"/>
      <c r="Q16" s="57"/>
      <c r="S16" s="57"/>
      <c r="T16" s="57"/>
    </row>
    <row r="17" spans="1:22" ht="24" customHeight="1">
      <c r="A17" s="5"/>
      <c r="B17" s="4"/>
      <c r="C17" s="40"/>
      <c r="D17" s="302"/>
      <c r="E17" s="302"/>
      <c r="F17" s="4"/>
      <c r="G17" s="4"/>
      <c r="H17" s="4"/>
      <c r="I17" s="4"/>
      <c r="J17" s="4"/>
      <c r="K17" s="4"/>
      <c r="L17" s="21"/>
      <c r="M17" s="356"/>
      <c r="N17" s="357"/>
      <c r="P17" s="19"/>
      <c r="Q17" s="19"/>
      <c r="S17" s="19"/>
      <c r="T17" s="19"/>
      <c r="U17" s="19"/>
      <c r="V17" s="19"/>
    </row>
    <row r="18" spans="1:22" ht="24" customHeight="1">
      <c r="A18" s="5"/>
      <c r="B18" s="4"/>
      <c r="C18" s="4"/>
      <c r="F18" s="4"/>
      <c r="G18" s="4"/>
      <c r="H18" s="4"/>
      <c r="I18" s="4"/>
      <c r="J18" s="4"/>
      <c r="K18" s="4"/>
      <c r="L18" s="24"/>
      <c r="M18" s="288"/>
      <c r="N18" s="289"/>
      <c r="P18" s="19"/>
      <c r="Q18" s="19"/>
      <c r="S18" s="19"/>
      <c r="T18" s="19"/>
      <c r="U18" s="19"/>
      <c r="V18" s="19"/>
    </row>
    <row r="19" spans="1:22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P19" s="17"/>
      <c r="Q19" s="17"/>
    </row>
    <row r="20" spans="1:22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S20" s="17"/>
      <c r="T20" s="17"/>
      <c r="U20" s="19"/>
      <c r="V20" s="19"/>
    </row>
    <row r="21" spans="1:22" ht="24" customHeight="1">
      <c r="A21" s="8"/>
      <c r="B21" s="9"/>
      <c r="C21" s="260" t="s">
        <v>8</v>
      </c>
      <c r="D21" s="261"/>
      <c r="E21" s="262"/>
      <c r="F21" s="263"/>
      <c r="G21" s="12" t="s">
        <v>23</v>
      </c>
      <c r="H21" s="264"/>
      <c r="I21" s="263"/>
      <c r="J21" s="12" t="s">
        <v>23</v>
      </c>
      <c r="K21" s="264"/>
      <c r="L21" s="263"/>
      <c r="M21" s="265"/>
      <c r="N21" s="11"/>
      <c r="S21" s="17"/>
      <c r="T21" s="17"/>
    </row>
    <row r="22" spans="1:22" ht="24" customHeight="1">
      <c r="A22" s="8"/>
      <c r="B22" s="9"/>
      <c r="C22" s="260" t="s">
        <v>9</v>
      </c>
      <c r="D22" s="261"/>
      <c r="E22" s="266" t="s">
        <v>55</v>
      </c>
      <c r="F22" s="267"/>
      <c r="G22" s="267"/>
      <c r="H22" s="268"/>
      <c r="I22" s="261" t="s">
        <v>10</v>
      </c>
      <c r="J22" s="261"/>
      <c r="K22" s="269"/>
      <c r="L22" s="263"/>
      <c r="M22" s="265"/>
      <c r="N22" s="11"/>
      <c r="Q22" s="17"/>
      <c r="R22" s="17"/>
    </row>
    <row r="23" spans="1:22" ht="24" customHeight="1">
      <c r="A23" s="8"/>
      <c r="B23" s="9"/>
      <c r="C23" s="260" t="s">
        <v>11</v>
      </c>
      <c r="D23" s="261"/>
      <c r="E23" s="232">
        <f>SUM(M10:N12)</f>
        <v>48270488</v>
      </c>
      <c r="F23" s="233"/>
      <c r="G23" s="233"/>
      <c r="H23" s="270"/>
      <c r="I23" s="261" t="s">
        <v>12</v>
      </c>
      <c r="J23" s="261"/>
      <c r="K23" s="232"/>
      <c r="L23" s="233"/>
      <c r="M23" s="234"/>
      <c r="N23" s="11"/>
    </row>
    <row r="24" spans="1:22" ht="24" customHeight="1">
      <c r="A24" s="8"/>
      <c r="B24" s="9"/>
      <c r="C24" s="252" t="s">
        <v>13</v>
      </c>
      <c r="D24" s="253"/>
      <c r="E24" s="254">
        <v>45191</v>
      </c>
      <c r="F24" s="254"/>
      <c r="G24" s="254"/>
      <c r="H24" s="7" t="s">
        <v>14</v>
      </c>
      <c r="I24" s="255">
        <f>E23+K23</f>
        <v>48270488</v>
      </c>
      <c r="J24" s="256"/>
      <c r="K24" s="256"/>
      <c r="L24" s="256"/>
      <c r="M24" s="257"/>
      <c r="N24" s="11"/>
      <c r="P24" s="71" t="s">
        <v>59</v>
      </c>
    </row>
    <row r="25" spans="1:22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  <c r="P25" s="72" t="s">
        <v>58</v>
      </c>
    </row>
    <row r="26" spans="1:22" ht="27" customHeight="1">
      <c r="A26" s="258" t="s">
        <v>15</v>
      </c>
      <c r="B26" s="259"/>
      <c r="C26" s="239" t="str">
        <f>NUMBERSTRING(I24, 1)</f>
        <v>사천팔백이십칠만사백팔십팔</v>
      </c>
      <c r="D26" s="239"/>
      <c r="E26" s="239"/>
      <c r="F26" s="239"/>
      <c r="G26" s="239"/>
      <c r="H26" s="13"/>
      <c r="I26" s="13"/>
      <c r="J26" s="13" t="s">
        <v>16</v>
      </c>
      <c r="K26" s="235">
        <f>I24</f>
        <v>48270488</v>
      </c>
      <c r="L26" s="235"/>
      <c r="M26" s="235"/>
      <c r="N26" s="236"/>
    </row>
    <row r="27" spans="1:22" ht="27" customHeight="1">
      <c r="A27" s="237" t="s">
        <v>17</v>
      </c>
      <c r="B27" s="237"/>
      <c r="C27" s="237"/>
      <c r="D27" s="237" t="s">
        <v>74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</row>
    <row r="28" spans="1:22" ht="27" customHeight="1">
      <c r="A28" s="237" t="s">
        <v>19</v>
      </c>
      <c r="B28" s="237"/>
      <c r="C28" s="237"/>
      <c r="D28" s="238" t="s">
        <v>53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22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22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22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2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D17:E17"/>
    <mergeCell ref="M17:N17"/>
    <mergeCell ref="M18:N18"/>
    <mergeCell ref="C20:M20"/>
    <mergeCell ref="C21:D21"/>
    <mergeCell ref="E21:F21"/>
    <mergeCell ref="H21:I21"/>
    <mergeCell ref="K21:M21"/>
    <mergeCell ref="M12:N12"/>
    <mergeCell ref="M13:N13"/>
    <mergeCell ref="M14:N14"/>
    <mergeCell ref="M15:N15"/>
    <mergeCell ref="D16:E16"/>
    <mergeCell ref="M16:N16"/>
    <mergeCell ref="M11:N11"/>
    <mergeCell ref="A1:N1"/>
    <mergeCell ref="A3:A5"/>
    <mergeCell ref="I3:I5"/>
    <mergeCell ref="A7:N8"/>
    <mergeCell ref="M10:N10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75"/>
  <sheetViews>
    <sheetView zoomScale="85" zoomScaleNormal="85" workbookViewId="0">
      <selection activeCell="O21" sqref="O21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5" width="7.5" style="1" customWidth="1"/>
    <col min="16" max="16" width="16.875" style="1" bestFit="1" customWidth="1"/>
    <col min="17" max="17" width="8.625" style="1" bestFit="1" customWidth="1"/>
    <col min="18" max="18" width="8.5" style="1" bestFit="1" customWidth="1"/>
    <col min="19" max="19" width="13.625" style="1" bestFit="1" customWidth="1"/>
    <col min="20" max="20" width="14.875" style="1" bestFit="1" customWidth="1"/>
    <col min="21" max="22" width="13.625" style="1" bestFit="1" customWidth="1"/>
    <col min="23" max="23" width="12.375" style="1" bestFit="1" customWidth="1"/>
    <col min="24" max="24" width="12.375" style="1" customWidth="1"/>
    <col min="25" max="25" width="14.875" style="1" bestFit="1" customWidth="1"/>
    <col min="26" max="26" width="13.875" style="1" bestFit="1" customWidth="1"/>
    <col min="27" max="27" width="10.375" style="1" bestFit="1" customWidth="1"/>
    <col min="28" max="28" width="6" style="1" bestFit="1" customWidth="1"/>
    <col min="29" max="31" width="16.5" style="1" customWidth="1"/>
    <col min="32" max="32" width="9.625" style="1" customWidth="1"/>
    <col min="33" max="33" width="6.625" style="1" customWidth="1"/>
    <col min="34" max="34" width="17.375" style="1" customWidth="1"/>
    <col min="35" max="35" width="16.375" style="1" customWidth="1"/>
    <col min="36" max="39" width="9" style="1"/>
    <col min="40" max="40" width="11.375" style="165" bestFit="1" customWidth="1"/>
    <col min="41" max="41" width="10.375" style="165" bestFit="1" customWidth="1"/>
    <col min="42" max="42" width="11.375" style="165" bestFit="1" customWidth="1"/>
    <col min="43" max="43" width="28.125" style="165" bestFit="1" customWidth="1"/>
    <col min="44" max="44" width="18.25" style="165" bestFit="1" customWidth="1"/>
    <col min="45" max="45" width="15.375" style="165" bestFit="1" customWidth="1"/>
    <col min="46" max="46" width="18.25" style="165" bestFit="1" customWidth="1"/>
    <col min="47" max="47" width="9" style="1"/>
    <col min="48" max="50" width="14.125" style="1" customWidth="1"/>
    <col min="51" max="16384" width="9" style="1"/>
  </cols>
  <sheetData>
    <row r="1" spans="1:4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3" spans="1:4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4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4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46" ht="6" customHeight="1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46" ht="24" customHeight="1">
      <c r="A7" s="276" t="s">
        <v>54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1:4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spans="1:46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N9" s="18"/>
      <c r="P9" s="218" t="s">
        <v>134</v>
      </c>
      <c r="Q9" s="219" t="s">
        <v>170</v>
      </c>
      <c r="R9" s="219" t="s">
        <v>130</v>
      </c>
      <c r="S9" s="220" t="s">
        <v>131</v>
      </c>
      <c r="T9" s="219" t="s">
        <v>144</v>
      </c>
      <c r="U9" s="219" t="s">
        <v>145</v>
      </c>
      <c r="V9" s="219" t="s">
        <v>146</v>
      </c>
      <c r="W9" s="219" t="s">
        <v>164</v>
      </c>
      <c r="X9" s="219" t="s">
        <v>165</v>
      </c>
      <c r="Y9" s="219" t="s">
        <v>125</v>
      </c>
    </row>
    <row r="10" spans="1:46" ht="24" customHeight="1">
      <c r="A10" s="5"/>
      <c r="B10" s="173"/>
      <c r="C10" s="173"/>
      <c r="D10" s="173"/>
      <c r="E10" s="173"/>
      <c r="F10" s="173"/>
      <c r="G10" s="173"/>
      <c r="H10" s="174"/>
      <c r="I10" s="174"/>
      <c r="J10" s="174"/>
      <c r="K10" s="21"/>
      <c r="L10" s="16"/>
      <c r="M10" s="367"/>
      <c r="N10" s="368"/>
      <c r="O10" s="208"/>
      <c r="P10" s="218" t="s">
        <v>166</v>
      </c>
      <c r="Q10" s="221">
        <v>46033</v>
      </c>
      <c r="R10" s="218">
        <v>9.2388999999999992</v>
      </c>
      <c r="S10" s="222">
        <v>17657434</v>
      </c>
      <c r="T10" s="223">
        <v>112211457</v>
      </c>
      <c r="U10" s="223">
        <v>14931839</v>
      </c>
      <c r="V10" s="223">
        <v>31599668</v>
      </c>
      <c r="W10" s="223">
        <v>4139064</v>
      </c>
      <c r="X10" s="223">
        <v>253238</v>
      </c>
      <c r="Y10" s="219">
        <f>SUM(T10:X10)</f>
        <v>163135266</v>
      </c>
      <c r="Z10" s="1">
        <f>+S10*R10</f>
        <v>163135266.98259997</v>
      </c>
      <c r="AA10" s="1">
        <f>INT(Z10)</f>
        <v>163135266</v>
      </c>
      <c r="AB10" s="1" t="b">
        <f>+Y10=AA10</f>
        <v>1</v>
      </c>
      <c r="AF10" s="171" t="s">
        <v>94</v>
      </c>
      <c r="AG10" s="165"/>
      <c r="AH10" s="166" t="s">
        <v>95</v>
      </c>
      <c r="AI10" s="166" t="s">
        <v>96</v>
      </c>
      <c r="AJ10" s="167">
        <v>3344399</v>
      </c>
      <c r="AK10" s="167">
        <v>541216</v>
      </c>
      <c r="AL10" s="167">
        <v>3885615</v>
      </c>
      <c r="AM10" s="1">
        <v>8</v>
      </c>
      <c r="AN10" s="1">
        <f>AJ10*AM10</f>
        <v>26755192</v>
      </c>
      <c r="AO10" s="1">
        <f>AM10*AK10</f>
        <v>4329728</v>
      </c>
      <c r="AP10" s="1">
        <f>SUM(AN10:AO10)</f>
        <v>31084920</v>
      </c>
      <c r="AQ10" s="1"/>
      <c r="AR10" s="1"/>
      <c r="AS10" s="1"/>
      <c r="AT10" s="1"/>
    </row>
    <row r="11" spans="1:46" ht="24" customHeight="1">
      <c r="A11" s="5"/>
      <c r="B11" s="173"/>
      <c r="C11" s="173"/>
      <c r="D11" s="173"/>
      <c r="E11" s="173"/>
      <c r="F11" s="173"/>
      <c r="G11" s="173"/>
      <c r="H11" s="174"/>
      <c r="I11" s="174"/>
      <c r="J11" s="174"/>
      <c r="K11" s="21"/>
      <c r="L11" s="175"/>
      <c r="M11" s="367"/>
      <c r="N11" s="368"/>
      <c r="O11" s="208"/>
      <c r="P11" s="218" t="s">
        <v>169</v>
      </c>
      <c r="Q11" s="221">
        <v>46040</v>
      </c>
      <c r="R11" s="218">
        <v>9.2652000000000001</v>
      </c>
      <c r="S11" s="222">
        <v>17789689</v>
      </c>
      <c r="T11" s="219">
        <v>137323938</v>
      </c>
      <c r="U11" s="219">
        <v>0</v>
      </c>
      <c r="V11" s="219">
        <v>25472111</v>
      </c>
      <c r="W11" s="219">
        <v>0</v>
      </c>
      <c r="X11" s="219">
        <v>2028977</v>
      </c>
      <c r="Y11" s="219">
        <f t="shared" ref="Y11:Y12" si="0">SUM(T11:X11)</f>
        <v>164825026</v>
      </c>
      <c r="Z11" s="1">
        <f>+S11*R11</f>
        <v>164825026.5228</v>
      </c>
      <c r="AA11" s="1">
        <f t="shared" ref="AA11:AA21" si="1">INT(Z11)</f>
        <v>164825026</v>
      </c>
      <c r="AB11" s="1" t="b">
        <f t="shared" ref="AB11:AB21" si="2">+Y11=AA11</f>
        <v>1</v>
      </c>
      <c r="AC11" s="163"/>
      <c r="AD11" s="163"/>
      <c r="AE11" s="163"/>
      <c r="AF11" s="171" t="s">
        <v>94</v>
      </c>
      <c r="AG11" s="165"/>
      <c r="AH11" s="166" t="s">
        <v>97</v>
      </c>
      <c r="AI11" s="166" t="s">
        <v>98</v>
      </c>
      <c r="AJ11" s="167">
        <v>3027424</v>
      </c>
      <c r="AK11" s="167">
        <v>610516</v>
      </c>
      <c r="AL11" s="167">
        <v>3637940</v>
      </c>
      <c r="AM11" s="1">
        <v>8</v>
      </c>
      <c r="AN11" s="1">
        <f t="shared" ref="AN11:AN26" si="3">AJ11*AM11</f>
        <v>24219392</v>
      </c>
      <c r="AO11" s="1">
        <f t="shared" ref="AO11:AO26" si="4">AM11*AK11</f>
        <v>4884128</v>
      </c>
      <c r="AP11" s="1">
        <f t="shared" ref="AP11:AP26" si="5">SUM(AN11:AO11)</f>
        <v>29103520</v>
      </c>
      <c r="AQ11" s="1"/>
      <c r="AR11" s="1"/>
      <c r="AS11" s="1"/>
      <c r="AT11" s="1"/>
    </row>
    <row r="12" spans="1:46" ht="24" customHeight="1">
      <c r="A12" s="5"/>
      <c r="B12" s="65"/>
      <c r="C12" s="9"/>
      <c r="D12" s="9"/>
      <c r="E12" s="9"/>
      <c r="F12" s="9"/>
      <c r="G12" s="4"/>
      <c r="H12" s="4"/>
      <c r="I12" s="4"/>
      <c r="J12" s="4"/>
      <c r="K12" s="4"/>
      <c r="L12" s="175"/>
      <c r="M12" s="367"/>
      <c r="N12" s="368"/>
      <c r="O12" s="208"/>
      <c r="P12" s="218" t="s">
        <v>167</v>
      </c>
      <c r="Q12" s="221">
        <v>46047</v>
      </c>
      <c r="R12" s="218">
        <v>9.2702000000000009</v>
      </c>
      <c r="S12" s="222">
        <v>19092450</v>
      </c>
      <c r="T12" s="219">
        <v>142664415</v>
      </c>
      <c r="U12" s="219">
        <v>778502</v>
      </c>
      <c r="V12" s="219">
        <v>33077357</v>
      </c>
      <c r="W12" s="219">
        <v>216459</v>
      </c>
      <c r="X12" s="219">
        <v>254096</v>
      </c>
      <c r="Y12" s="219">
        <f t="shared" si="0"/>
        <v>176990829</v>
      </c>
      <c r="Z12" s="1">
        <f t="shared" ref="Z12:Z21" si="6">+S12*R12</f>
        <v>176990829.99000001</v>
      </c>
      <c r="AA12" s="1">
        <f t="shared" si="1"/>
        <v>176990829</v>
      </c>
      <c r="AB12" s="1" t="b">
        <f t="shared" si="2"/>
        <v>1</v>
      </c>
      <c r="AC12" s="163"/>
      <c r="AD12" s="163"/>
      <c r="AE12" s="163"/>
      <c r="AF12" s="171" t="s">
        <v>94</v>
      </c>
      <c r="AG12" s="165"/>
      <c r="AH12" s="166" t="s">
        <v>99</v>
      </c>
      <c r="AI12" s="166" t="s">
        <v>100</v>
      </c>
      <c r="AJ12" s="167">
        <v>1511911</v>
      </c>
      <c r="AK12" s="167">
        <v>414644</v>
      </c>
      <c r="AL12" s="167">
        <v>1926555</v>
      </c>
      <c r="AM12" s="1">
        <v>8</v>
      </c>
      <c r="AN12" s="1">
        <f t="shared" si="3"/>
        <v>12095288</v>
      </c>
      <c r="AO12" s="1">
        <f t="shared" si="4"/>
        <v>3317152</v>
      </c>
      <c r="AP12" s="1">
        <f t="shared" si="5"/>
        <v>15412440</v>
      </c>
      <c r="AQ12" s="1"/>
      <c r="AR12" s="1"/>
      <c r="AS12" s="1"/>
      <c r="AT12" s="1"/>
    </row>
    <row r="13" spans="1:46" ht="24" customHeight="1">
      <c r="A13" s="5"/>
      <c r="B13" s="176"/>
      <c r="C13" s="185"/>
      <c r="D13" s="185"/>
      <c r="E13" s="9"/>
      <c r="F13" s="9"/>
      <c r="G13" s="4"/>
      <c r="H13" s="4"/>
      <c r="I13" s="4"/>
      <c r="J13" s="4"/>
      <c r="K13" s="4"/>
      <c r="L13" s="175"/>
      <c r="M13" s="367"/>
      <c r="N13" s="368"/>
      <c r="O13" s="208"/>
      <c r="Z13" s="1">
        <f>+S20*R20</f>
        <v>189789455.16720003</v>
      </c>
      <c r="AA13" s="1">
        <f t="shared" si="1"/>
        <v>189789455</v>
      </c>
      <c r="AB13" s="1" t="b">
        <f>+Y20=AA13</f>
        <v>1</v>
      </c>
      <c r="AC13" s="163"/>
      <c r="AD13" s="163"/>
      <c r="AE13" s="163"/>
      <c r="AF13" s="171" t="s">
        <v>94</v>
      </c>
      <c r="AG13" s="165"/>
      <c r="AH13" s="166" t="s">
        <v>101</v>
      </c>
      <c r="AI13" s="166" t="s">
        <v>102</v>
      </c>
      <c r="AJ13" s="167">
        <v>2906178</v>
      </c>
      <c r="AK13" s="167">
        <v>602698</v>
      </c>
      <c r="AL13" s="167">
        <v>3508876</v>
      </c>
      <c r="AM13" s="1">
        <v>8</v>
      </c>
      <c r="AN13" s="1">
        <f t="shared" si="3"/>
        <v>23249424</v>
      </c>
      <c r="AO13" s="1">
        <f t="shared" si="4"/>
        <v>4821584</v>
      </c>
      <c r="AP13" s="1">
        <f t="shared" si="5"/>
        <v>28071008</v>
      </c>
      <c r="AQ13" s="1"/>
      <c r="AR13" s="1"/>
      <c r="AS13" s="1"/>
      <c r="AT13" s="1"/>
    </row>
    <row r="14" spans="1:46" ht="24" customHeight="1">
      <c r="A14" s="5"/>
      <c r="B14" s="9"/>
      <c r="C14" s="9"/>
      <c r="D14" s="9"/>
      <c r="E14" s="9"/>
      <c r="F14" s="9"/>
      <c r="G14" s="4"/>
      <c r="H14" s="4"/>
      <c r="I14" s="4"/>
      <c r="J14" s="4"/>
      <c r="L14" s="177"/>
      <c r="M14" s="367"/>
      <c r="N14" s="368"/>
      <c r="O14" s="208"/>
      <c r="P14" s="218"/>
      <c r="Q14" s="221"/>
      <c r="R14" s="224"/>
      <c r="S14" s="222"/>
      <c r="T14" s="219"/>
      <c r="U14" s="219"/>
      <c r="V14" s="219"/>
      <c r="W14" s="219"/>
      <c r="X14" s="219"/>
      <c r="Y14" s="219"/>
      <c r="Z14" s="1">
        <f t="shared" si="6"/>
        <v>0</v>
      </c>
      <c r="AA14" s="1">
        <f t="shared" si="1"/>
        <v>0</v>
      </c>
      <c r="AB14" s="1" t="b">
        <f t="shared" si="2"/>
        <v>1</v>
      </c>
      <c r="AC14" s="163"/>
      <c r="AD14" s="163"/>
      <c r="AE14" s="163"/>
      <c r="AF14" s="171" t="s">
        <v>94</v>
      </c>
      <c r="AG14" s="165"/>
      <c r="AH14" s="166" t="s">
        <v>103</v>
      </c>
      <c r="AI14" s="166" t="s">
        <v>104</v>
      </c>
      <c r="AJ14" s="167">
        <v>2917616</v>
      </c>
      <c r="AK14" s="167">
        <v>498881</v>
      </c>
      <c r="AL14" s="167">
        <v>3416497</v>
      </c>
      <c r="AM14" s="1">
        <v>8</v>
      </c>
      <c r="AN14" s="1">
        <f t="shared" si="3"/>
        <v>23340928</v>
      </c>
      <c r="AO14" s="1">
        <f t="shared" si="4"/>
        <v>3991048</v>
      </c>
      <c r="AP14" s="1">
        <f t="shared" si="5"/>
        <v>27331976</v>
      </c>
      <c r="AQ14" s="1"/>
      <c r="AR14" s="1"/>
      <c r="AS14" s="1"/>
      <c r="AT14" s="1"/>
    </row>
    <row r="15" spans="1:46" ht="24" customHeight="1">
      <c r="A15" s="5"/>
      <c r="B15" s="4"/>
      <c r="E15" s="4"/>
      <c r="F15" s="4"/>
      <c r="G15" s="4"/>
      <c r="H15" s="4"/>
      <c r="I15" s="4"/>
      <c r="J15" s="4"/>
      <c r="K15" s="4"/>
      <c r="L15" s="21"/>
      <c r="M15" s="367"/>
      <c r="N15" s="368"/>
      <c r="O15" s="208"/>
      <c r="P15" s="200"/>
      <c r="Q15" s="201"/>
      <c r="R15" s="197"/>
      <c r="S15" s="198"/>
      <c r="T15" s="198"/>
      <c r="U15" s="198"/>
      <c r="V15" s="198"/>
      <c r="W15" s="198"/>
      <c r="X15" s="198"/>
      <c r="Y15" s="198"/>
      <c r="Z15" s="1">
        <f t="shared" si="6"/>
        <v>0</v>
      </c>
      <c r="AA15" s="1">
        <f t="shared" si="1"/>
        <v>0</v>
      </c>
      <c r="AB15" s="1" t="b">
        <f t="shared" si="2"/>
        <v>1</v>
      </c>
      <c r="AC15" s="163"/>
      <c r="AD15" s="163"/>
      <c r="AE15" s="163"/>
      <c r="AF15" s="171" t="s">
        <v>94</v>
      </c>
      <c r="AG15" s="165"/>
      <c r="AH15" s="169" t="s">
        <v>107</v>
      </c>
      <c r="AI15" s="169" t="s">
        <v>108</v>
      </c>
      <c r="AJ15" s="167">
        <v>309105</v>
      </c>
      <c r="AK15" s="167">
        <v>84454</v>
      </c>
      <c r="AL15" s="167">
        <v>393559</v>
      </c>
      <c r="AM15" s="1">
        <v>8</v>
      </c>
      <c r="AN15" s="1">
        <f t="shared" si="3"/>
        <v>2472840</v>
      </c>
      <c r="AO15" s="1">
        <f t="shared" si="4"/>
        <v>675632</v>
      </c>
      <c r="AP15" s="1">
        <f t="shared" si="5"/>
        <v>3148472</v>
      </c>
      <c r="AQ15" s="1"/>
      <c r="AR15" s="1"/>
      <c r="AS15" s="1"/>
      <c r="AT15" s="1"/>
    </row>
    <row r="16" spans="1:46" ht="24" customHeight="1">
      <c r="A16" s="5"/>
      <c r="B16" s="4"/>
      <c r="C16" s="40"/>
      <c r="D16" s="178"/>
      <c r="E16" s="178"/>
      <c r="F16" s="4"/>
      <c r="G16" s="4"/>
      <c r="H16" s="4"/>
      <c r="I16" s="4"/>
      <c r="J16" s="4"/>
      <c r="L16" s="21"/>
      <c r="M16" s="367"/>
      <c r="N16" s="368"/>
      <c r="O16" s="208"/>
      <c r="P16" s="200"/>
      <c r="Q16" s="201"/>
      <c r="R16" s="197"/>
      <c r="S16" s="198"/>
      <c r="T16" s="198"/>
      <c r="U16" s="198"/>
      <c r="V16" s="198"/>
      <c r="W16" s="198"/>
      <c r="X16" s="198"/>
      <c r="Y16" s="198"/>
      <c r="Z16" s="1">
        <f t="shared" si="6"/>
        <v>0</v>
      </c>
      <c r="AA16" s="1">
        <f t="shared" si="1"/>
        <v>0</v>
      </c>
      <c r="AB16" s="1" t="b">
        <f t="shared" si="2"/>
        <v>1</v>
      </c>
      <c r="AC16" s="163"/>
      <c r="AD16" s="163"/>
      <c r="AE16" s="163"/>
      <c r="AF16" s="171" t="s">
        <v>109</v>
      </c>
      <c r="AG16" s="165"/>
      <c r="AH16" s="166" t="s">
        <v>110</v>
      </c>
      <c r="AI16" s="166" t="s">
        <v>111</v>
      </c>
      <c r="AJ16" s="167">
        <v>1507273</v>
      </c>
      <c r="AK16" s="167">
        <v>587502</v>
      </c>
      <c r="AL16" s="167">
        <v>2094775</v>
      </c>
      <c r="AM16" s="1">
        <v>1</v>
      </c>
      <c r="AN16" s="1">
        <f t="shared" si="3"/>
        <v>1507273</v>
      </c>
      <c r="AO16" s="1">
        <f t="shared" si="4"/>
        <v>587502</v>
      </c>
      <c r="AP16" s="1">
        <f t="shared" si="5"/>
        <v>2094775</v>
      </c>
      <c r="AQ16" s="1"/>
      <c r="AR16" s="1"/>
      <c r="AS16" s="1"/>
      <c r="AT16" s="1"/>
    </row>
    <row r="17" spans="1:46" ht="24" customHeight="1">
      <c r="A17" s="5"/>
      <c r="B17" s="4"/>
      <c r="C17" s="40"/>
      <c r="D17" s="178"/>
      <c r="E17" s="178"/>
      <c r="F17" s="4"/>
      <c r="G17" s="4"/>
      <c r="H17" s="4"/>
      <c r="I17" s="4"/>
      <c r="J17" s="4"/>
      <c r="K17" s="4"/>
      <c r="L17" s="21"/>
      <c r="M17" s="172"/>
      <c r="N17" s="162"/>
      <c r="O17" s="172"/>
      <c r="P17" s="200"/>
      <c r="Q17" s="201"/>
      <c r="R17" s="197"/>
      <c r="S17" s="198"/>
      <c r="T17" s="198"/>
      <c r="U17" s="198"/>
      <c r="V17" s="198"/>
      <c r="W17" s="198"/>
      <c r="X17" s="198"/>
      <c r="Y17" s="198"/>
      <c r="Z17" s="1">
        <f t="shared" si="6"/>
        <v>0</v>
      </c>
      <c r="AA17" s="1">
        <f t="shared" si="1"/>
        <v>0</v>
      </c>
      <c r="AB17" s="1" t="b">
        <f t="shared" si="2"/>
        <v>1</v>
      </c>
      <c r="AF17" s="171" t="s">
        <v>109</v>
      </c>
      <c r="AG17" s="165"/>
      <c r="AH17" s="166" t="s">
        <v>113</v>
      </c>
      <c r="AI17" s="166" t="s">
        <v>114</v>
      </c>
      <c r="AJ17" s="167">
        <v>993263</v>
      </c>
      <c r="AK17" s="167">
        <v>498009</v>
      </c>
      <c r="AL17" s="167">
        <v>1491272</v>
      </c>
      <c r="AM17" s="1">
        <v>1</v>
      </c>
      <c r="AN17" s="1">
        <f t="shared" si="3"/>
        <v>993263</v>
      </c>
      <c r="AO17" s="1">
        <f t="shared" si="4"/>
        <v>498009</v>
      </c>
      <c r="AP17" s="1">
        <f t="shared" si="5"/>
        <v>1491272</v>
      </c>
      <c r="AQ17" s="1"/>
      <c r="AR17" s="1"/>
      <c r="AS17" s="1"/>
      <c r="AT17" s="1"/>
    </row>
    <row r="18" spans="1:46" ht="24" customHeight="1">
      <c r="A18" s="5"/>
      <c r="B18" s="4"/>
      <c r="C18" s="4"/>
      <c r="F18" s="4"/>
      <c r="G18" s="4"/>
      <c r="H18" s="4"/>
      <c r="I18" s="4"/>
      <c r="J18" s="4"/>
      <c r="K18" s="4"/>
      <c r="L18" s="179"/>
      <c r="M18" s="369"/>
      <c r="N18" s="289"/>
      <c r="O18" s="189"/>
      <c r="P18" s="200"/>
      <c r="Q18" s="201"/>
      <c r="R18" s="197"/>
      <c r="S18" s="198"/>
      <c r="T18" s="198"/>
      <c r="U18" s="198"/>
      <c r="V18" s="198"/>
      <c r="W18" s="198"/>
      <c r="X18" s="198"/>
      <c r="Y18" s="198"/>
      <c r="Z18" s="1">
        <f t="shared" si="6"/>
        <v>0</v>
      </c>
      <c r="AA18" s="1">
        <f t="shared" si="1"/>
        <v>0</v>
      </c>
      <c r="AB18" s="1" t="b">
        <f t="shared" si="2"/>
        <v>1</v>
      </c>
      <c r="AF18" s="171" t="s">
        <v>109</v>
      </c>
      <c r="AG18" s="165"/>
      <c r="AH18" s="166" t="s">
        <v>115</v>
      </c>
      <c r="AI18" s="166" t="s">
        <v>116</v>
      </c>
      <c r="AJ18" s="167">
        <v>542700</v>
      </c>
      <c r="AK18" s="167">
        <v>406464</v>
      </c>
      <c r="AL18" s="167">
        <v>949164</v>
      </c>
      <c r="AM18" s="1">
        <v>4</v>
      </c>
      <c r="AN18" s="1">
        <f t="shared" si="3"/>
        <v>2170800</v>
      </c>
      <c r="AO18" s="1">
        <f t="shared" si="4"/>
        <v>1625856</v>
      </c>
      <c r="AP18" s="1">
        <f t="shared" si="5"/>
        <v>3796656</v>
      </c>
      <c r="AQ18" s="1"/>
      <c r="AR18" s="1"/>
      <c r="AS18" s="1"/>
      <c r="AT18" s="1"/>
    </row>
    <row r="19" spans="1:46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O19" s="9"/>
      <c r="P19" s="200"/>
      <c r="Q19" s="201"/>
      <c r="R19" s="197"/>
      <c r="S19" s="198"/>
      <c r="T19" s="198"/>
      <c r="U19" s="198"/>
      <c r="V19" s="198"/>
      <c r="W19" s="198"/>
      <c r="X19" s="198"/>
      <c r="Y19" s="198"/>
      <c r="Z19" s="1">
        <f t="shared" si="6"/>
        <v>0</v>
      </c>
      <c r="AA19" s="1">
        <f t="shared" si="1"/>
        <v>0</v>
      </c>
      <c r="AB19" s="1" t="b">
        <f t="shared" si="2"/>
        <v>1</v>
      </c>
      <c r="AF19" s="171" t="s">
        <v>117</v>
      </c>
      <c r="AG19" s="165"/>
      <c r="AH19" s="166" t="s">
        <v>110</v>
      </c>
      <c r="AI19" s="166" t="s">
        <v>118</v>
      </c>
      <c r="AJ19" s="167">
        <v>755649</v>
      </c>
      <c r="AK19" s="167">
        <v>335220</v>
      </c>
      <c r="AL19" s="167">
        <v>1090869</v>
      </c>
      <c r="AM19" s="1">
        <v>4</v>
      </c>
      <c r="AN19" s="1">
        <f t="shared" si="3"/>
        <v>3022596</v>
      </c>
      <c r="AO19" s="1">
        <f t="shared" si="4"/>
        <v>1340880</v>
      </c>
      <c r="AP19" s="1">
        <f t="shared" si="5"/>
        <v>4363476</v>
      </c>
      <c r="AQ19" s="1"/>
      <c r="AR19" s="1"/>
      <c r="AS19" s="1"/>
      <c r="AT19" s="1"/>
    </row>
    <row r="20" spans="1:46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9" t="s">
        <v>171</v>
      </c>
      <c r="P20" s="218" t="s">
        <v>168</v>
      </c>
      <c r="Q20" s="221">
        <v>46054</v>
      </c>
      <c r="R20" s="218">
        <v>9.3289000000000009</v>
      </c>
      <c r="S20" s="222">
        <v>20344248</v>
      </c>
      <c r="T20" s="219">
        <v>138418146</v>
      </c>
      <c r="U20" s="219">
        <v>12201066</v>
      </c>
      <c r="V20" s="219">
        <v>38484587</v>
      </c>
      <c r="W20" s="219">
        <v>278076</v>
      </c>
      <c r="X20" s="219">
        <v>407580</v>
      </c>
      <c r="Y20" s="219">
        <f>SUM(T20:X20)</f>
        <v>189789455</v>
      </c>
      <c r="Z20" s="1" t="e">
        <f>+#REF!*#REF!</f>
        <v>#REF!</v>
      </c>
      <c r="AA20" s="1" t="e">
        <f t="shared" si="1"/>
        <v>#REF!</v>
      </c>
      <c r="AB20" s="1" t="e">
        <f>+#REF!=AA20</f>
        <v>#REF!</v>
      </c>
      <c r="AF20" s="171" t="s">
        <v>117</v>
      </c>
      <c r="AG20" s="165"/>
      <c r="AH20" s="166" t="s">
        <v>121</v>
      </c>
      <c r="AI20" s="166" t="s">
        <v>122</v>
      </c>
      <c r="AJ20" s="167">
        <v>137224</v>
      </c>
      <c r="AK20" s="167">
        <v>118812</v>
      </c>
      <c r="AL20" s="167">
        <v>256036</v>
      </c>
      <c r="AM20" s="1">
        <v>4</v>
      </c>
      <c r="AN20" s="1">
        <f t="shared" si="3"/>
        <v>548896</v>
      </c>
      <c r="AO20" s="1">
        <f t="shared" si="4"/>
        <v>475248</v>
      </c>
      <c r="AP20" s="1">
        <f t="shared" si="5"/>
        <v>1024144</v>
      </c>
      <c r="AQ20" s="1"/>
      <c r="AR20" s="1"/>
      <c r="AS20" s="1"/>
      <c r="AT20" s="1"/>
    </row>
    <row r="21" spans="1:46" ht="24" customHeight="1">
      <c r="A21" s="8"/>
      <c r="B21" s="9"/>
      <c r="C21" s="260" t="s">
        <v>8</v>
      </c>
      <c r="D21" s="261"/>
      <c r="E21" s="262"/>
      <c r="F21" s="263"/>
      <c r="G21" s="12" t="s">
        <v>23</v>
      </c>
      <c r="H21" s="264"/>
      <c r="I21" s="263"/>
      <c r="J21" s="12" t="s">
        <v>23</v>
      </c>
      <c r="K21" s="264"/>
      <c r="L21" s="263"/>
      <c r="M21" s="265"/>
      <c r="N21" s="11"/>
      <c r="O21" s="9"/>
      <c r="P21" s="200"/>
      <c r="Q21" s="201"/>
      <c r="R21" s="197"/>
      <c r="S21" s="198"/>
      <c r="T21" s="198"/>
      <c r="U21" s="198"/>
      <c r="V21" s="198"/>
      <c r="W21" s="198"/>
      <c r="X21" s="198"/>
      <c r="Y21" s="198"/>
      <c r="Z21" s="1">
        <f t="shared" si="6"/>
        <v>0</v>
      </c>
      <c r="AA21" s="1">
        <f t="shared" si="1"/>
        <v>0</v>
      </c>
      <c r="AB21" s="1" t="b">
        <f t="shared" si="2"/>
        <v>1</v>
      </c>
      <c r="AC21" s="19"/>
      <c r="AD21" s="19"/>
      <c r="AE21" s="19"/>
      <c r="AF21" s="171" t="s">
        <v>117</v>
      </c>
      <c r="AG21" s="165"/>
      <c r="AH21" s="166" t="s">
        <v>103</v>
      </c>
      <c r="AI21" s="166" t="s">
        <v>123</v>
      </c>
      <c r="AJ21" s="167">
        <v>226135</v>
      </c>
      <c r="AK21" s="167">
        <v>97855</v>
      </c>
      <c r="AL21" s="167">
        <v>323990</v>
      </c>
      <c r="AM21" s="1">
        <v>4</v>
      </c>
      <c r="AN21" s="1">
        <f t="shared" si="3"/>
        <v>904540</v>
      </c>
      <c r="AO21" s="1">
        <f t="shared" si="4"/>
        <v>391420</v>
      </c>
      <c r="AP21" s="1">
        <f t="shared" si="5"/>
        <v>1295960</v>
      </c>
      <c r="AQ21" s="1"/>
      <c r="AR21" s="1"/>
      <c r="AS21" s="1"/>
      <c r="AT21" s="1"/>
    </row>
    <row r="22" spans="1:46" ht="24" customHeight="1">
      <c r="A22" s="8"/>
      <c r="B22" s="9"/>
      <c r="C22" s="260" t="s">
        <v>9</v>
      </c>
      <c r="D22" s="261"/>
      <c r="E22" s="266" t="s">
        <v>55</v>
      </c>
      <c r="F22" s="267"/>
      <c r="G22" s="267"/>
      <c r="H22" s="268"/>
      <c r="I22" s="261" t="s">
        <v>10</v>
      </c>
      <c r="J22" s="261"/>
      <c r="K22" s="269"/>
      <c r="L22" s="263"/>
      <c r="M22" s="265"/>
      <c r="N22" s="11"/>
      <c r="O22" s="9"/>
      <c r="Y22" s="19">
        <f>SUM(Y10:Y19)</f>
        <v>504951121</v>
      </c>
      <c r="AA22" s="1" t="e">
        <f>SUM(AA10:AA21)</f>
        <v>#REF!</v>
      </c>
      <c r="AC22" s="19"/>
      <c r="AD22" s="19"/>
      <c r="AE22" s="19"/>
      <c r="AF22" s="171"/>
      <c r="AG22" s="165"/>
      <c r="AH22" s="166"/>
      <c r="AI22" s="166"/>
      <c r="AJ22" s="167"/>
      <c r="AK22" s="167"/>
      <c r="AL22" s="167"/>
      <c r="AN22" s="1">
        <f>SUM(AN10:AN21)</f>
        <v>121280432</v>
      </c>
      <c r="AO22" s="1">
        <f>SUM(AO10:AO21)</f>
        <v>26938187</v>
      </c>
      <c r="AP22" s="1">
        <f>SUM(AP10:AP21)</f>
        <v>148218619</v>
      </c>
      <c r="AQ22" s="1">
        <f>AN22/AP22</f>
        <v>0.81825369051643915</v>
      </c>
      <c r="AR22" s="1">
        <f>AO22/AP22</f>
        <v>0.18174630948356091</v>
      </c>
      <c r="AS22" s="1"/>
      <c r="AT22" s="1"/>
    </row>
    <row r="23" spans="1:46" ht="24" customHeight="1">
      <c r="A23" s="8"/>
      <c r="B23" s="9"/>
      <c r="C23" s="260" t="s">
        <v>11</v>
      </c>
      <c r="D23" s="261"/>
      <c r="E23" s="232">
        <f>Y22</f>
        <v>504951121</v>
      </c>
      <c r="F23" s="233"/>
      <c r="G23" s="233"/>
      <c r="H23" s="270"/>
      <c r="I23" s="261" t="s">
        <v>12</v>
      </c>
      <c r="J23" s="261"/>
      <c r="K23" s="232"/>
      <c r="L23" s="233"/>
      <c r="M23" s="234"/>
      <c r="N23" s="11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" t="e">
        <f>+I24=AA22</f>
        <v>#REF!</v>
      </c>
      <c r="AF23" s="171" t="s">
        <v>94</v>
      </c>
      <c r="AG23" s="168" t="s">
        <v>124</v>
      </c>
      <c r="AH23" s="169" t="s">
        <v>105</v>
      </c>
      <c r="AI23" s="169" t="s">
        <v>106</v>
      </c>
      <c r="AJ23" s="170">
        <v>840492</v>
      </c>
      <c r="AK23" s="170">
        <v>335342</v>
      </c>
      <c r="AL23" s="170">
        <v>1175834</v>
      </c>
      <c r="AM23" s="1">
        <v>8</v>
      </c>
      <c r="AN23" s="1">
        <f t="shared" si="3"/>
        <v>6723936</v>
      </c>
      <c r="AO23" s="1">
        <f t="shared" si="4"/>
        <v>2682736</v>
      </c>
      <c r="AP23" s="1">
        <f t="shared" si="5"/>
        <v>9406672</v>
      </c>
      <c r="AQ23" s="1"/>
      <c r="AR23" s="1"/>
      <c r="AS23" s="1"/>
      <c r="AT23" s="1"/>
    </row>
    <row r="24" spans="1:46" ht="24" customHeight="1">
      <c r="A24" s="8"/>
      <c r="B24" s="9"/>
      <c r="C24" s="252" t="s">
        <v>13</v>
      </c>
      <c r="D24" s="253"/>
      <c r="E24" s="254"/>
      <c r="F24" s="254"/>
      <c r="G24" s="254"/>
      <c r="H24" s="7" t="s">
        <v>14</v>
      </c>
      <c r="I24" s="255">
        <f>E23+K23</f>
        <v>504951121</v>
      </c>
      <c r="J24" s="256"/>
      <c r="K24" s="256"/>
      <c r="L24" s="256"/>
      <c r="M24" s="257"/>
      <c r="N24" s="11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9"/>
      <c r="AB24" s="19"/>
      <c r="AC24" s="19"/>
      <c r="AD24" s="19"/>
      <c r="AE24" s="19"/>
      <c r="AF24" s="171" t="s">
        <v>109</v>
      </c>
      <c r="AG24" s="165" t="s">
        <v>124</v>
      </c>
      <c r="AH24" s="166" t="s">
        <v>105</v>
      </c>
      <c r="AI24" s="166" t="s">
        <v>112</v>
      </c>
      <c r="AJ24" s="167">
        <v>265831</v>
      </c>
      <c r="AK24" s="167">
        <v>284545</v>
      </c>
      <c r="AL24" s="167">
        <v>550376</v>
      </c>
      <c r="AM24" s="1">
        <v>1</v>
      </c>
      <c r="AN24" s="1">
        <f t="shared" si="3"/>
        <v>265831</v>
      </c>
      <c r="AO24" s="1">
        <f t="shared" si="4"/>
        <v>284545</v>
      </c>
      <c r="AP24" s="1">
        <f t="shared" si="5"/>
        <v>550376</v>
      </c>
      <c r="AQ24" s="1"/>
      <c r="AR24" s="1"/>
      <c r="AS24" s="1"/>
      <c r="AT24" s="1"/>
    </row>
    <row r="25" spans="1:46" ht="24" customHeight="1">
      <c r="A25" s="8"/>
      <c r="B25" s="9"/>
      <c r="C25" s="9"/>
      <c r="D25" s="9"/>
      <c r="E25" s="9"/>
      <c r="F25" s="106"/>
      <c r="G25" s="9"/>
      <c r="H25" s="9"/>
      <c r="I25" s="9"/>
      <c r="J25" s="9"/>
      <c r="K25" s="9"/>
      <c r="L25" s="9"/>
      <c r="M25" s="9"/>
      <c r="N25" s="11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F25" s="171" t="s">
        <v>117</v>
      </c>
      <c r="AG25" s="165" t="s">
        <v>124</v>
      </c>
      <c r="AH25" s="166" t="s">
        <v>113</v>
      </c>
      <c r="AI25" s="166" t="s">
        <v>119</v>
      </c>
      <c r="AJ25" s="167">
        <v>492016</v>
      </c>
      <c r="AK25" s="167">
        <v>238365</v>
      </c>
      <c r="AL25" s="167">
        <v>730381</v>
      </c>
      <c r="AM25" s="1">
        <v>4</v>
      </c>
      <c r="AN25" s="1">
        <f t="shared" si="3"/>
        <v>1968064</v>
      </c>
      <c r="AO25" s="1">
        <f t="shared" si="4"/>
        <v>953460</v>
      </c>
      <c r="AP25" s="1">
        <f t="shared" si="5"/>
        <v>2921524</v>
      </c>
      <c r="AQ25" s="1"/>
      <c r="AR25" s="1"/>
      <c r="AS25" s="1"/>
      <c r="AT25" s="1"/>
    </row>
    <row r="26" spans="1:46" ht="27" customHeight="1">
      <c r="A26" s="258" t="s">
        <v>15</v>
      </c>
      <c r="B26" s="259"/>
      <c r="C26" s="239" t="str">
        <f>NUMBERSTRING(I24, 1)</f>
        <v>오억사백구십오만일천일백이십일</v>
      </c>
      <c r="D26" s="239"/>
      <c r="E26" s="239"/>
      <c r="F26" s="239"/>
      <c r="G26" s="239"/>
      <c r="H26" s="13"/>
      <c r="I26" s="13"/>
      <c r="J26" s="13" t="s">
        <v>16</v>
      </c>
      <c r="K26" s="235">
        <f>I24</f>
        <v>504951121</v>
      </c>
      <c r="L26" s="235"/>
      <c r="M26" s="235"/>
      <c r="N26" s="236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F26" s="171" t="s">
        <v>117</v>
      </c>
      <c r="AG26" s="165" t="s">
        <v>124</v>
      </c>
      <c r="AH26" s="166" t="s">
        <v>105</v>
      </c>
      <c r="AI26" s="166" t="s">
        <v>120</v>
      </c>
      <c r="AJ26" s="167">
        <v>147734</v>
      </c>
      <c r="AK26" s="167">
        <v>163521</v>
      </c>
      <c r="AL26" s="167">
        <v>311255</v>
      </c>
      <c r="AM26" s="1">
        <v>4</v>
      </c>
      <c r="AN26" s="1">
        <f t="shared" si="3"/>
        <v>590936</v>
      </c>
      <c r="AO26" s="1">
        <f t="shared" si="4"/>
        <v>654084</v>
      </c>
      <c r="AP26" s="1">
        <f t="shared" si="5"/>
        <v>1245020</v>
      </c>
      <c r="AQ26" s="1"/>
      <c r="AR26" s="1"/>
      <c r="AS26" s="1"/>
      <c r="AT26" s="1"/>
    </row>
    <row r="27" spans="1:46" ht="27" customHeight="1">
      <c r="A27" s="237" t="s">
        <v>17</v>
      </c>
      <c r="B27" s="237"/>
      <c r="C27" s="237"/>
      <c r="D27" s="366" t="s">
        <v>135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F27" s="165"/>
      <c r="AG27" s="165"/>
      <c r="AH27" s="165"/>
      <c r="AI27" s="165"/>
      <c r="AJ27" s="165"/>
      <c r="AK27" s="165"/>
      <c r="AL27" s="165"/>
      <c r="AN27" s="1">
        <f>SUM(AN23:AN26)</f>
        <v>9548767</v>
      </c>
      <c r="AO27" s="1">
        <f>SUM(AO23:AO26)</f>
        <v>4574825</v>
      </c>
      <c r="AP27" s="1">
        <f>SUM(AP23:AP26)</f>
        <v>14123592</v>
      </c>
      <c r="AQ27" s="1">
        <f>AN27/AP27</f>
        <v>0.67608629589413227</v>
      </c>
      <c r="AR27" s="1">
        <f>AO27/AP27</f>
        <v>0.32391370410586767</v>
      </c>
      <c r="AS27" s="1"/>
      <c r="AT27" s="1"/>
    </row>
    <row r="28" spans="1:46" ht="27" customHeight="1">
      <c r="A28" s="237" t="s">
        <v>19</v>
      </c>
      <c r="B28" s="237"/>
      <c r="C28" s="237"/>
      <c r="D28" s="238" t="s">
        <v>161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F28" s="165"/>
      <c r="AG28" s="165"/>
      <c r="AH28" s="165"/>
      <c r="AI28" s="165"/>
      <c r="AJ28" s="165"/>
      <c r="AK28" s="165"/>
      <c r="AL28" s="165"/>
      <c r="AN28" s="1"/>
      <c r="AO28" s="1"/>
      <c r="AP28" s="1"/>
      <c r="AQ28" s="1"/>
      <c r="AR28" s="1"/>
      <c r="AS28" s="1"/>
      <c r="AT28" s="1"/>
    </row>
    <row r="29" spans="1:46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F29" s="165"/>
      <c r="AG29" s="165"/>
      <c r="AH29" s="165"/>
      <c r="AI29" s="165"/>
      <c r="AJ29" s="165"/>
      <c r="AK29" s="165"/>
      <c r="AL29" s="165"/>
      <c r="AN29" s="1"/>
      <c r="AO29" s="1"/>
      <c r="AP29" s="1"/>
      <c r="AQ29" s="1"/>
      <c r="AR29" s="1"/>
      <c r="AS29" s="1"/>
      <c r="AT29" s="1"/>
    </row>
    <row r="30" spans="1:46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F30" s="165"/>
      <c r="AG30" s="165"/>
      <c r="AH30" s="165"/>
      <c r="AI30" s="165"/>
      <c r="AJ30" s="165"/>
      <c r="AK30" s="165"/>
      <c r="AL30" s="165"/>
      <c r="AN30" s="1"/>
      <c r="AO30" s="1"/>
      <c r="AP30" s="1"/>
      <c r="AQ30" s="1"/>
      <c r="AR30" s="1"/>
      <c r="AS30" s="1"/>
      <c r="AT30" s="1"/>
    </row>
    <row r="31" spans="1:46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F31" s="165"/>
      <c r="AG31" s="165"/>
      <c r="AH31" s="165"/>
      <c r="AI31" s="165"/>
      <c r="AJ31" s="165"/>
      <c r="AK31" s="165"/>
      <c r="AL31" s="165"/>
      <c r="AN31" s="1"/>
      <c r="AO31" s="1"/>
      <c r="AP31" s="1"/>
      <c r="AQ31" s="1"/>
      <c r="AR31" s="1"/>
      <c r="AS31" s="1"/>
      <c r="AT31" s="1"/>
    </row>
    <row r="32" spans="1:46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F32" s="165"/>
      <c r="AG32" s="165"/>
      <c r="AH32" s="165"/>
      <c r="AI32" s="165"/>
      <c r="AJ32" s="165"/>
      <c r="AK32" s="165"/>
      <c r="AL32" s="165"/>
      <c r="AN32" s="1"/>
      <c r="AO32" s="1"/>
      <c r="AP32" s="1"/>
      <c r="AQ32" s="1"/>
      <c r="AR32" s="1"/>
      <c r="AS32" s="1"/>
      <c r="AT32" s="1"/>
    </row>
    <row r="33" spans="1:46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F33" s="165"/>
      <c r="AG33" s="165"/>
      <c r="AH33" s="165"/>
      <c r="AI33" s="165"/>
      <c r="AJ33" s="165"/>
      <c r="AK33" s="165"/>
      <c r="AL33" s="165"/>
      <c r="AN33" s="1"/>
      <c r="AO33" s="1"/>
      <c r="AP33" s="1"/>
      <c r="AQ33" s="1"/>
      <c r="AR33" s="1"/>
      <c r="AS33" s="1"/>
      <c r="AT33" s="1"/>
    </row>
    <row r="34" spans="1:46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F34" s="165"/>
      <c r="AG34" s="165"/>
      <c r="AH34" s="165"/>
      <c r="AI34" s="165"/>
      <c r="AJ34" s="165"/>
      <c r="AK34" s="165"/>
      <c r="AL34" s="165"/>
      <c r="AN34" s="1"/>
      <c r="AO34" s="1"/>
      <c r="AP34" s="1"/>
      <c r="AQ34" s="1"/>
      <c r="AR34" s="1"/>
      <c r="AS34" s="1"/>
      <c r="AT34" s="1"/>
    </row>
    <row r="35" spans="1:46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F35" s="165"/>
      <c r="AG35" s="165"/>
      <c r="AH35" s="165"/>
      <c r="AI35" s="165"/>
      <c r="AJ35" s="165"/>
      <c r="AK35" s="165"/>
      <c r="AL35" s="165"/>
      <c r="AN35" s="1"/>
      <c r="AO35" s="1"/>
      <c r="AP35" s="1"/>
      <c r="AQ35" s="1"/>
      <c r="AR35" s="1"/>
      <c r="AS35" s="1"/>
      <c r="AT35" s="1"/>
    </row>
    <row r="36" spans="1:46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F36" s="165"/>
      <c r="AG36" s="165"/>
      <c r="AH36" s="165"/>
      <c r="AI36" s="165"/>
      <c r="AJ36" s="165"/>
      <c r="AK36" s="165"/>
      <c r="AL36" s="165"/>
      <c r="AN36" s="1"/>
      <c r="AO36" s="1"/>
      <c r="AP36" s="1"/>
      <c r="AQ36" s="1"/>
      <c r="AR36" s="1"/>
      <c r="AS36" s="1"/>
      <c r="AT36" s="1"/>
    </row>
    <row r="37" spans="1:46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F37" s="165"/>
      <c r="AG37" s="165"/>
      <c r="AH37" s="165"/>
      <c r="AI37" s="165"/>
      <c r="AJ37" s="165"/>
      <c r="AK37" s="165"/>
      <c r="AL37" s="165"/>
      <c r="AN37" s="1"/>
      <c r="AO37" s="1"/>
      <c r="AP37" s="1"/>
      <c r="AQ37" s="1"/>
      <c r="AR37" s="1"/>
      <c r="AS37" s="1"/>
      <c r="AT37" s="1"/>
    </row>
    <row r="38" spans="1:46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F38" s="165"/>
      <c r="AG38" s="165"/>
      <c r="AH38" s="165"/>
      <c r="AI38" s="165"/>
      <c r="AJ38" s="165"/>
      <c r="AK38" s="165"/>
      <c r="AL38" s="165"/>
      <c r="AN38" s="1"/>
      <c r="AO38" s="1"/>
      <c r="AP38" s="1"/>
      <c r="AQ38" s="1"/>
      <c r="AR38" s="1"/>
      <c r="AS38" s="1"/>
      <c r="AT38" s="1"/>
    </row>
    <row r="39" spans="1:46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F39" s="165"/>
      <c r="AG39" s="165"/>
      <c r="AH39" s="165"/>
      <c r="AI39" s="165"/>
      <c r="AJ39" s="165"/>
      <c r="AK39" s="165"/>
      <c r="AL39" s="165"/>
      <c r="AN39" s="1"/>
      <c r="AO39" s="1"/>
      <c r="AP39" s="1"/>
      <c r="AQ39" s="1"/>
      <c r="AR39" s="1"/>
      <c r="AS39" s="1"/>
      <c r="AT39" s="1"/>
    </row>
    <row r="40" spans="1:46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F40" s="165"/>
      <c r="AG40" s="165"/>
      <c r="AH40" s="165"/>
      <c r="AI40" s="165"/>
      <c r="AJ40" s="165"/>
      <c r="AK40" s="165"/>
      <c r="AL40" s="165"/>
      <c r="AN40" s="1"/>
      <c r="AO40" s="1"/>
      <c r="AP40" s="1"/>
      <c r="AQ40" s="1"/>
      <c r="AR40" s="1"/>
      <c r="AS40" s="1"/>
      <c r="AT40" s="1"/>
    </row>
    <row r="41" spans="1:46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F41" s="165"/>
      <c r="AG41" s="165"/>
      <c r="AH41" s="165"/>
      <c r="AI41" s="165"/>
      <c r="AJ41" s="165"/>
      <c r="AK41" s="165"/>
      <c r="AL41" s="165"/>
      <c r="AN41" s="1"/>
      <c r="AO41" s="1"/>
      <c r="AP41" s="1"/>
      <c r="AQ41" s="1"/>
      <c r="AR41" s="1"/>
      <c r="AS41" s="1"/>
      <c r="AT41" s="1"/>
    </row>
    <row r="42" spans="1:46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F42" s="165"/>
      <c r="AG42" s="165"/>
      <c r="AH42" s="165"/>
      <c r="AI42" s="165"/>
      <c r="AJ42" s="165"/>
      <c r="AK42" s="165"/>
      <c r="AL42" s="165"/>
      <c r="AN42" s="1"/>
      <c r="AO42" s="1"/>
      <c r="AP42" s="1"/>
      <c r="AQ42" s="1"/>
      <c r="AR42" s="1"/>
      <c r="AS42" s="1"/>
      <c r="AT42" s="1"/>
    </row>
    <row r="43" spans="1:46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F43" s="165"/>
      <c r="AG43" s="165"/>
      <c r="AH43" s="165"/>
      <c r="AI43" s="165"/>
      <c r="AJ43" s="165"/>
      <c r="AK43" s="165"/>
      <c r="AL43" s="165"/>
      <c r="AN43" s="1"/>
      <c r="AO43" s="1"/>
      <c r="AP43" s="1"/>
      <c r="AQ43" s="1"/>
      <c r="AR43" s="1"/>
      <c r="AS43" s="1"/>
      <c r="AT43" s="1"/>
    </row>
    <row r="44" spans="1:46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62" t="e">
        <f>+#REF!*#REF!</f>
        <v>#REF!</v>
      </c>
      <c r="AB44" s="62"/>
      <c r="AC44" s="62"/>
      <c r="AD44" s="62"/>
      <c r="AE44" s="62"/>
      <c r="AF44" s="165"/>
      <c r="AG44" s="165"/>
      <c r="AH44" s="165"/>
      <c r="AI44" s="165"/>
      <c r="AJ44" s="165"/>
      <c r="AK44" s="165"/>
      <c r="AL44" s="165"/>
      <c r="AN44" s="1"/>
      <c r="AO44" s="1"/>
      <c r="AP44" s="1"/>
      <c r="AQ44" s="1"/>
      <c r="AR44" s="1"/>
      <c r="AS44" s="1"/>
      <c r="AT44" s="1"/>
    </row>
    <row r="45" spans="1:46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62" t="e">
        <f>+#REF!*#REF!</f>
        <v>#REF!</v>
      </c>
      <c r="AB45" s="62"/>
      <c r="AC45" s="62"/>
      <c r="AD45" s="62"/>
      <c r="AE45" s="62"/>
      <c r="AF45" s="165"/>
      <c r="AG45" s="165"/>
      <c r="AH45" s="165"/>
      <c r="AI45" s="165"/>
      <c r="AJ45" s="165"/>
      <c r="AK45" s="165"/>
      <c r="AL45" s="165"/>
      <c r="AN45" s="1"/>
      <c r="AO45" s="1"/>
      <c r="AP45" s="1"/>
      <c r="AQ45" s="1"/>
      <c r="AR45" s="1"/>
      <c r="AS45" s="1"/>
      <c r="AT45" s="1"/>
    </row>
    <row r="46" spans="1:46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62" t="e">
        <f>+#REF!*#REF!</f>
        <v>#REF!</v>
      </c>
      <c r="AB46" s="62"/>
      <c r="AC46" s="62"/>
      <c r="AD46" s="62"/>
      <c r="AE46" s="62"/>
      <c r="AF46" s="165"/>
      <c r="AG46" s="165"/>
      <c r="AH46" s="165"/>
      <c r="AI46" s="165"/>
      <c r="AJ46" s="165"/>
      <c r="AK46" s="165"/>
      <c r="AL46" s="165"/>
      <c r="AN46" s="1"/>
      <c r="AO46" s="1"/>
      <c r="AP46" s="1"/>
      <c r="AQ46" s="1"/>
      <c r="AR46" s="1"/>
      <c r="AS46" s="1"/>
      <c r="AT46" s="1"/>
    </row>
    <row r="47" spans="1:46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F47" s="165"/>
      <c r="AG47" s="165"/>
      <c r="AH47" s="165"/>
      <c r="AI47" s="165"/>
      <c r="AJ47" s="165"/>
      <c r="AK47" s="165"/>
      <c r="AL47" s="165"/>
      <c r="AN47" s="1"/>
      <c r="AO47" s="1"/>
      <c r="AP47" s="1"/>
      <c r="AQ47" s="1"/>
      <c r="AR47" s="1"/>
      <c r="AS47" s="1"/>
      <c r="AT47" s="1"/>
    </row>
    <row r="48" spans="1:46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62" t="e">
        <f>INT(AA44)</f>
        <v>#REF!</v>
      </c>
      <c r="AB48" s="62"/>
      <c r="AC48" s="62"/>
      <c r="AD48" s="62"/>
      <c r="AE48" s="62"/>
      <c r="AF48" s="165"/>
      <c r="AG48" s="165"/>
      <c r="AH48" s="165"/>
      <c r="AI48" s="165"/>
      <c r="AJ48" s="165"/>
      <c r="AK48" s="165"/>
      <c r="AL48" s="165"/>
      <c r="AN48" s="1"/>
      <c r="AO48" s="1"/>
      <c r="AP48" s="1"/>
      <c r="AQ48" s="1"/>
      <c r="AR48" s="1"/>
      <c r="AS48" s="1"/>
      <c r="AT48" s="1"/>
    </row>
    <row r="49" spans="1:46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62" t="e">
        <f t="shared" ref="AA49:AA50" si="7">INT(AA45)</f>
        <v>#REF!</v>
      </c>
      <c r="AB49" s="62"/>
      <c r="AC49" s="62"/>
      <c r="AD49" s="62"/>
      <c r="AE49" s="62"/>
      <c r="AF49" s="165"/>
      <c r="AG49" s="165"/>
      <c r="AH49" s="165"/>
      <c r="AI49" s="165"/>
      <c r="AJ49" s="165"/>
      <c r="AK49" s="165"/>
      <c r="AL49" s="165"/>
      <c r="AN49" s="1"/>
      <c r="AO49" s="1"/>
      <c r="AP49" s="1"/>
      <c r="AQ49" s="1"/>
      <c r="AR49" s="1"/>
      <c r="AS49" s="1"/>
      <c r="AT49" s="1"/>
    </row>
    <row r="50" spans="1:46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62" t="e">
        <f t="shared" si="7"/>
        <v>#REF!</v>
      </c>
      <c r="AB50" s="62"/>
      <c r="AC50" s="62"/>
      <c r="AD50" s="62"/>
      <c r="AE50" s="62"/>
      <c r="AF50" s="165"/>
      <c r="AG50" s="165"/>
      <c r="AH50" s="165"/>
      <c r="AI50" s="165"/>
      <c r="AJ50" s="165"/>
      <c r="AK50" s="165"/>
      <c r="AL50" s="165"/>
      <c r="AN50" s="1"/>
      <c r="AO50" s="1"/>
      <c r="AP50" s="1"/>
      <c r="AQ50" s="1"/>
      <c r="AR50" s="1"/>
      <c r="AS50" s="1"/>
      <c r="AT50" s="1"/>
    </row>
    <row r="51" spans="1:46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F51" s="165"/>
      <c r="AG51" s="165"/>
      <c r="AH51" s="165"/>
      <c r="AI51" s="165"/>
      <c r="AJ51" s="165"/>
      <c r="AK51" s="165"/>
      <c r="AL51" s="165"/>
      <c r="AN51" s="1"/>
      <c r="AO51" s="1"/>
      <c r="AP51" s="1"/>
      <c r="AQ51" s="1"/>
      <c r="AR51" s="1"/>
      <c r="AS51" s="1"/>
      <c r="AT51" s="1"/>
    </row>
    <row r="52" spans="1:46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F52" s="165"/>
      <c r="AG52" s="165"/>
      <c r="AH52" s="165"/>
      <c r="AI52" s="165"/>
      <c r="AJ52" s="165"/>
      <c r="AK52" s="165"/>
      <c r="AL52" s="165"/>
      <c r="AN52" s="1"/>
      <c r="AO52" s="1"/>
      <c r="AP52" s="1"/>
      <c r="AQ52" s="1"/>
      <c r="AR52" s="1"/>
      <c r="AS52" s="1"/>
      <c r="AT52" s="1"/>
    </row>
    <row r="53" spans="1:46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F53" s="165"/>
      <c r="AG53" s="165"/>
      <c r="AH53" s="165"/>
      <c r="AI53" s="165"/>
      <c r="AJ53" s="165"/>
      <c r="AK53" s="165"/>
      <c r="AL53" s="165"/>
      <c r="AN53" s="1"/>
      <c r="AO53" s="1"/>
      <c r="AP53" s="1"/>
      <c r="AQ53" s="1"/>
      <c r="AR53" s="1"/>
      <c r="AS53" s="1"/>
      <c r="AT53" s="1"/>
    </row>
    <row r="54" spans="1:46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F54" s="165"/>
      <c r="AG54" s="165"/>
      <c r="AH54" s="165"/>
      <c r="AI54" s="165"/>
      <c r="AJ54" s="165"/>
      <c r="AK54" s="165"/>
      <c r="AL54" s="165"/>
      <c r="AN54" s="1"/>
      <c r="AO54" s="1"/>
      <c r="AP54" s="1"/>
      <c r="AQ54" s="1"/>
      <c r="AR54" s="1"/>
      <c r="AS54" s="1"/>
      <c r="AT54" s="1"/>
    </row>
    <row r="55" spans="1:46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F55" s="165"/>
      <c r="AG55" s="165"/>
      <c r="AH55" s="165"/>
      <c r="AI55" s="165"/>
      <c r="AJ55" s="165"/>
      <c r="AK55" s="165"/>
      <c r="AL55" s="165"/>
      <c r="AN55" s="1"/>
      <c r="AO55" s="1"/>
      <c r="AP55" s="1"/>
      <c r="AQ55" s="1"/>
      <c r="AR55" s="1"/>
      <c r="AS55" s="1"/>
      <c r="AT55" s="1"/>
    </row>
    <row r="56" spans="1:46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F56" s="165"/>
      <c r="AG56" s="165"/>
      <c r="AH56" s="165"/>
      <c r="AI56" s="165"/>
      <c r="AJ56" s="165"/>
      <c r="AK56" s="165"/>
      <c r="AL56" s="165"/>
      <c r="AN56" s="1"/>
      <c r="AO56" s="1"/>
      <c r="AP56" s="1"/>
      <c r="AQ56" s="1"/>
      <c r="AR56" s="1"/>
      <c r="AS56" s="1"/>
      <c r="AT56" s="1"/>
    </row>
    <row r="57" spans="1:46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F57" s="165"/>
      <c r="AG57" s="165"/>
      <c r="AH57" s="165"/>
      <c r="AI57" s="165"/>
      <c r="AJ57" s="165"/>
      <c r="AK57" s="165"/>
      <c r="AL57" s="165"/>
      <c r="AN57" s="1"/>
      <c r="AO57" s="1"/>
      <c r="AP57" s="1"/>
      <c r="AQ57" s="1"/>
      <c r="AR57" s="1"/>
      <c r="AS57" s="1"/>
      <c r="AT57" s="1"/>
    </row>
    <row r="58" spans="1:46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F58" s="165"/>
      <c r="AG58" s="165"/>
      <c r="AH58" s="165"/>
      <c r="AI58" s="165"/>
      <c r="AJ58" s="165"/>
      <c r="AK58" s="165"/>
      <c r="AL58" s="165"/>
      <c r="AN58" s="1"/>
      <c r="AO58" s="1"/>
      <c r="AP58" s="1"/>
      <c r="AQ58" s="1"/>
      <c r="AR58" s="1"/>
      <c r="AS58" s="1"/>
      <c r="AT58" s="1"/>
    </row>
    <row r="59" spans="1:46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F59" s="165"/>
      <c r="AG59" s="165"/>
      <c r="AH59" s="165"/>
      <c r="AI59" s="165"/>
      <c r="AJ59" s="165"/>
      <c r="AK59" s="165"/>
      <c r="AL59" s="165"/>
      <c r="AN59" s="1"/>
      <c r="AO59" s="1"/>
      <c r="AP59" s="1"/>
      <c r="AQ59" s="1"/>
      <c r="AR59" s="1"/>
      <c r="AS59" s="1"/>
      <c r="AT59" s="1"/>
    </row>
    <row r="60" spans="1:46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L60" s="165"/>
      <c r="AM60" s="165"/>
      <c r="AS60" s="1"/>
      <c r="AT60" s="1"/>
    </row>
    <row r="61" spans="1:46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L61" s="165"/>
      <c r="AM61" s="165"/>
      <c r="AS61" s="1"/>
      <c r="AT61" s="1"/>
    </row>
    <row r="62" spans="1:46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L62" s="165"/>
      <c r="AM62" s="165"/>
      <c r="AS62" s="1"/>
      <c r="AT62" s="1"/>
    </row>
    <row r="63" spans="1:46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46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</sheetData>
  <sortState xmlns:xlrd2="http://schemas.microsoft.com/office/spreadsheetml/2017/richdata2" ref="AF15:AM21">
    <sortCondition ref="AG15:AG21"/>
  </sortState>
  <mergeCells count="41">
    <mergeCell ref="M18:N18"/>
    <mergeCell ref="C20:M20"/>
    <mergeCell ref="M12:N12"/>
    <mergeCell ref="M13:N13"/>
    <mergeCell ref="M14:N14"/>
    <mergeCell ref="M15:N15"/>
    <mergeCell ref="M16:N16"/>
    <mergeCell ref="M11:N11"/>
    <mergeCell ref="A1:N1"/>
    <mergeCell ref="A3:A5"/>
    <mergeCell ref="I3:I5"/>
    <mergeCell ref="A7:N8"/>
    <mergeCell ref="M10:N10"/>
    <mergeCell ref="C21:D21"/>
    <mergeCell ref="E21:F21"/>
    <mergeCell ref="H21:I21"/>
    <mergeCell ref="K21:M21"/>
    <mergeCell ref="I24:M24"/>
    <mergeCell ref="K22:M22"/>
    <mergeCell ref="C22:D22"/>
    <mergeCell ref="E22:H22"/>
    <mergeCell ref="I22:J22"/>
    <mergeCell ref="A26:B26"/>
    <mergeCell ref="E23:H23"/>
    <mergeCell ref="I23:J23"/>
    <mergeCell ref="K23:M23"/>
    <mergeCell ref="K26:N26"/>
    <mergeCell ref="C26:G26"/>
    <mergeCell ref="C23:D23"/>
    <mergeCell ref="C24:D24"/>
    <mergeCell ref="E24:G24"/>
    <mergeCell ref="K29:N29"/>
    <mergeCell ref="A27:C27"/>
    <mergeCell ref="D27:I27"/>
    <mergeCell ref="J27:K27"/>
    <mergeCell ref="L27:N27"/>
    <mergeCell ref="A28:C28"/>
    <mergeCell ref="D28:N28"/>
    <mergeCell ref="A29:C29"/>
    <mergeCell ref="D29:G29"/>
    <mergeCell ref="H29:J29"/>
  </mergeCells>
  <phoneticPr fontId="2" type="noConversion"/>
  <conditionalFormatting sqref="AB10:AB21">
    <cfRule type="cellIs" dxfId="1" priority="1" operator="equal">
      <formula>FALSE</formula>
    </cfRule>
  </conditionalFormatting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ignoredErrors>
    <ignoredError sqref="Y10:Y12" formulaRange="1"/>
  </ignoredError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7D6D-8D90-4C8D-B9FE-C1E1EA497E98}">
  <sheetPr>
    <tabColor rgb="FFFFC000"/>
  </sheetPr>
  <dimension ref="A1:AT75"/>
  <sheetViews>
    <sheetView tabSelected="1" zoomScale="85" zoomScaleNormal="85" workbookViewId="0">
      <selection activeCell="P5" sqref="P5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5" width="7.5" style="1" customWidth="1"/>
    <col min="16" max="16" width="19.5" style="1" bestFit="1" customWidth="1"/>
    <col min="17" max="17" width="7.875" style="1" customWidth="1"/>
    <col min="18" max="18" width="8.5" style="1" bestFit="1" customWidth="1"/>
    <col min="19" max="19" width="13.625" style="1" bestFit="1" customWidth="1"/>
    <col min="20" max="20" width="14.875" style="1" bestFit="1" customWidth="1"/>
    <col min="21" max="21" width="13.625" style="1" bestFit="1" customWidth="1"/>
    <col min="22" max="22" width="14.875" style="1" bestFit="1" customWidth="1"/>
    <col min="23" max="23" width="11.375" style="1" customWidth="1"/>
    <col min="24" max="24" width="10.5" style="1" bestFit="1" customWidth="1"/>
    <col min="25" max="25" width="14.875" style="1" bestFit="1" customWidth="1"/>
    <col min="26" max="26" width="13.875" style="1" bestFit="1" customWidth="1"/>
    <col min="27" max="27" width="13.625" style="17" bestFit="1" customWidth="1"/>
    <col min="28" max="28" width="6" style="1" bestFit="1" customWidth="1"/>
    <col min="29" max="31" width="16.5" style="1" customWidth="1"/>
    <col min="32" max="32" width="9.625" style="1" customWidth="1"/>
    <col min="33" max="33" width="6.625" style="1" customWidth="1"/>
    <col min="34" max="34" width="17.375" style="1" customWidth="1"/>
    <col min="35" max="35" width="16.375" style="1" customWidth="1"/>
    <col min="36" max="39" width="9" style="1"/>
    <col min="40" max="40" width="11.375" style="165" bestFit="1" customWidth="1"/>
    <col min="41" max="41" width="10.375" style="165" bestFit="1" customWidth="1"/>
    <col min="42" max="42" width="11.375" style="165" bestFit="1" customWidth="1"/>
    <col min="43" max="43" width="28.125" style="165" bestFit="1" customWidth="1"/>
    <col min="44" max="44" width="18.25" style="165" bestFit="1" customWidth="1"/>
    <col min="45" max="45" width="15.375" style="165" bestFit="1" customWidth="1"/>
    <col min="46" max="46" width="18.25" style="165" bestFit="1" customWidth="1"/>
    <col min="47" max="47" width="9" style="1"/>
    <col min="48" max="50" width="14.125" style="1" customWidth="1"/>
    <col min="51" max="16384" width="9" style="1"/>
  </cols>
  <sheetData>
    <row r="1" spans="1:46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3" spans="1:46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64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46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46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46" ht="6" customHeight="1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46" ht="24" customHeight="1">
      <c r="A7" s="276" t="s">
        <v>54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1:46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spans="1:46" ht="33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N9" s="18"/>
      <c r="P9" s="218" t="s">
        <v>134</v>
      </c>
      <c r="Q9" s="219" t="s">
        <v>170</v>
      </c>
      <c r="R9" s="219" t="s">
        <v>130</v>
      </c>
      <c r="S9" s="220" t="s">
        <v>131</v>
      </c>
      <c r="T9" s="219" t="s">
        <v>144</v>
      </c>
      <c r="U9" s="219" t="s">
        <v>145</v>
      </c>
      <c r="V9" s="219" t="s">
        <v>146</v>
      </c>
      <c r="W9" s="230" t="s">
        <v>173</v>
      </c>
      <c r="X9" s="230" t="s">
        <v>174</v>
      </c>
      <c r="Y9" s="219" t="s">
        <v>125</v>
      </c>
    </row>
    <row r="10" spans="1:46" ht="24" customHeight="1">
      <c r="A10" s="5"/>
      <c r="B10" s="173"/>
      <c r="C10" s="173"/>
      <c r="D10" s="173"/>
      <c r="E10" s="173"/>
      <c r="F10" s="173"/>
      <c r="G10" s="173"/>
      <c r="H10" s="174"/>
      <c r="I10" s="174"/>
      <c r="J10" s="174"/>
      <c r="K10" s="21"/>
      <c r="L10" s="16"/>
      <c r="M10" s="367"/>
      <c r="N10" s="368"/>
      <c r="O10" s="208"/>
      <c r="P10" s="218" t="s">
        <v>175</v>
      </c>
      <c r="Q10" s="221" t="s">
        <v>176</v>
      </c>
      <c r="R10" s="218">
        <v>8.7119999999999997</v>
      </c>
      <c r="S10" s="222">
        <v>10855290</v>
      </c>
      <c r="T10" s="219">
        <v>76647650</v>
      </c>
      <c r="U10" s="219">
        <v>556083</v>
      </c>
      <c r="V10" s="219">
        <v>17367553</v>
      </c>
      <c r="W10" s="219">
        <v>0</v>
      </c>
      <c r="X10" s="219">
        <v>0</v>
      </c>
      <c r="Y10" s="219">
        <f t="shared" ref="Y10" si="0">SUM(T10:X10)</f>
        <v>94571286</v>
      </c>
      <c r="Z10" s="1">
        <f>+S10*R10</f>
        <v>94571286.480000004</v>
      </c>
      <c r="AA10" s="17">
        <f t="shared" ref="AA10" si="1">INT(Z10)</f>
        <v>94571286</v>
      </c>
      <c r="AB10" s="1" t="b">
        <f t="shared" ref="AB10" si="2">+Y10=AA10</f>
        <v>1</v>
      </c>
      <c r="AC10" s="163">
        <f>T10+W10</f>
        <v>76647650</v>
      </c>
      <c r="AD10" s="19">
        <f>U10+X10</f>
        <v>556083</v>
      </c>
      <c r="AF10" s="171" t="s">
        <v>94</v>
      </c>
      <c r="AG10" s="165"/>
      <c r="AH10" s="166" t="s">
        <v>95</v>
      </c>
      <c r="AI10" s="166" t="s">
        <v>96</v>
      </c>
      <c r="AJ10" s="167">
        <v>3344399</v>
      </c>
      <c r="AK10" s="167">
        <v>541216</v>
      </c>
      <c r="AL10" s="167">
        <v>3885615</v>
      </c>
      <c r="AM10" s="1">
        <v>8</v>
      </c>
      <c r="AN10" s="1">
        <f>AJ10*AM10</f>
        <v>26755192</v>
      </c>
      <c r="AO10" s="1">
        <f>AM10*AK10</f>
        <v>4329728</v>
      </c>
      <c r="AP10" s="1">
        <f>SUM(AN10:AO10)</f>
        <v>31084920</v>
      </c>
      <c r="AQ10" s="1"/>
      <c r="AR10" s="1"/>
      <c r="AS10" s="1"/>
      <c r="AT10" s="1"/>
    </row>
    <row r="11" spans="1:46" ht="24" customHeight="1">
      <c r="A11" s="5"/>
      <c r="B11" s="173"/>
      <c r="C11" s="173"/>
      <c r="D11" s="173"/>
      <c r="E11" s="173"/>
      <c r="F11" s="173"/>
      <c r="G11" s="173"/>
      <c r="H11" s="174"/>
      <c r="I11" s="174"/>
      <c r="J11" s="174"/>
      <c r="K11" s="21"/>
      <c r="L11" s="175"/>
      <c r="M11" s="367"/>
      <c r="N11" s="368"/>
      <c r="O11" s="208"/>
      <c r="P11" s="218" t="s">
        <v>177</v>
      </c>
      <c r="Q11" s="221" t="s">
        <v>178</v>
      </c>
      <c r="R11" s="218">
        <v>8.6766000000000005</v>
      </c>
      <c r="S11" s="222">
        <v>12227374</v>
      </c>
      <c r="T11" s="219">
        <v>76451055</v>
      </c>
      <c r="U11" s="219">
        <v>6245740</v>
      </c>
      <c r="V11" s="219">
        <v>22950962</v>
      </c>
      <c r="W11" s="219">
        <v>95130</v>
      </c>
      <c r="X11" s="219">
        <v>349146</v>
      </c>
      <c r="Y11" s="219">
        <f t="shared" ref="Y11:Y14" si="3">SUM(T11:X11)</f>
        <v>106092033</v>
      </c>
      <c r="Z11" s="1">
        <f>+S11*R11</f>
        <v>106092033.2484</v>
      </c>
      <c r="AA11" s="17">
        <f t="shared" ref="AA11:AA21" si="4">INT(Z11)</f>
        <v>106092033</v>
      </c>
      <c r="AB11" s="1" t="b">
        <f t="shared" ref="AB11:AB21" si="5">+Y11=AA11</f>
        <v>1</v>
      </c>
      <c r="AC11" s="163">
        <f t="shared" ref="AC11:AC14" si="6">T11+W11</f>
        <v>76546185</v>
      </c>
      <c r="AD11" s="19">
        <f t="shared" ref="AD11:AD14" si="7">U11+X11</f>
        <v>6594886</v>
      </c>
      <c r="AE11" s="163"/>
      <c r="AF11" s="171" t="s">
        <v>94</v>
      </c>
      <c r="AG11" s="165"/>
      <c r="AH11" s="166" t="s">
        <v>97</v>
      </c>
      <c r="AI11" s="166" t="s">
        <v>98</v>
      </c>
      <c r="AJ11" s="167">
        <v>3027424</v>
      </c>
      <c r="AK11" s="167">
        <v>610516</v>
      </c>
      <c r="AL11" s="167">
        <v>3637940</v>
      </c>
      <c r="AM11" s="1">
        <v>8</v>
      </c>
      <c r="AN11" s="1">
        <f t="shared" ref="AN11:AN26" si="8">AJ11*AM11</f>
        <v>24219392</v>
      </c>
      <c r="AO11" s="1">
        <f t="shared" ref="AO11:AO26" si="9">AM11*AK11</f>
        <v>4884128</v>
      </c>
      <c r="AP11" s="1">
        <f t="shared" ref="AP11:AP26" si="10">SUM(AN11:AO11)</f>
        <v>29103520</v>
      </c>
      <c r="AQ11" s="1"/>
      <c r="AR11" s="1"/>
      <c r="AS11" s="1"/>
      <c r="AT11" s="1"/>
    </row>
    <row r="12" spans="1:46" ht="24" customHeight="1">
      <c r="A12" s="5"/>
      <c r="B12" s="65"/>
      <c r="C12" s="9"/>
      <c r="D12" s="9"/>
      <c r="E12" s="9"/>
      <c r="F12" s="9"/>
      <c r="G12" s="4"/>
      <c r="H12" s="4"/>
      <c r="I12" s="4"/>
      <c r="J12" s="4"/>
      <c r="K12" s="4"/>
      <c r="L12" s="175"/>
      <c r="M12" s="367"/>
      <c r="N12" s="368"/>
      <c r="O12" s="208"/>
      <c r="P12" s="218" t="s">
        <v>179</v>
      </c>
      <c r="Q12" s="221" t="s">
        <v>180</v>
      </c>
      <c r="R12" s="218">
        <v>8.7624999999999993</v>
      </c>
      <c r="S12" s="222">
        <v>19165174</v>
      </c>
      <c r="T12" s="219">
        <v>112534504</v>
      </c>
      <c r="U12" s="219">
        <v>20506534</v>
      </c>
      <c r="V12" s="219">
        <v>32965488</v>
      </c>
      <c r="W12" s="219">
        <v>1928311</v>
      </c>
      <c r="X12" s="219">
        <v>0</v>
      </c>
      <c r="Y12" s="219">
        <f t="shared" si="3"/>
        <v>167934837</v>
      </c>
      <c r="Z12" s="1">
        <f>+S12*R12</f>
        <v>167934837.17499998</v>
      </c>
      <c r="AA12" s="17">
        <f t="shared" si="4"/>
        <v>167934837</v>
      </c>
      <c r="AB12" s="1" t="b">
        <f t="shared" si="5"/>
        <v>1</v>
      </c>
      <c r="AC12" s="163">
        <f t="shared" si="6"/>
        <v>114462815</v>
      </c>
      <c r="AD12" s="19">
        <f t="shared" si="7"/>
        <v>20506534</v>
      </c>
      <c r="AE12" s="163"/>
      <c r="AF12" s="171" t="s">
        <v>94</v>
      </c>
      <c r="AG12" s="165"/>
      <c r="AH12" s="166" t="s">
        <v>99</v>
      </c>
      <c r="AI12" s="166" t="s">
        <v>100</v>
      </c>
      <c r="AJ12" s="167">
        <v>1511911</v>
      </c>
      <c r="AK12" s="167">
        <v>414644</v>
      </c>
      <c r="AL12" s="167">
        <v>1926555</v>
      </c>
      <c r="AM12" s="1">
        <v>8</v>
      </c>
      <c r="AN12" s="1">
        <f t="shared" si="8"/>
        <v>12095288</v>
      </c>
      <c r="AO12" s="1">
        <f t="shared" si="9"/>
        <v>3317152</v>
      </c>
      <c r="AP12" s="1">
        <f t="shared" si="10"/>
        <v>15412440</v>
      </c>
      <c r="AQ12" s="1"/>
      <c r="AR12" s="1"/>
      <c r="AS12" s="1"/>
      <c r="AT12" s="1"/>
    </row>
    <row r="13" spans="1:46" ht="24" customHeight="1">
      <c r="A13" s="5"/>
      <c r="B13" s="176"/>
      <c r="C13" s="185"/>
      <c r="D13" s="185"/>
      <c r="E13" s="9"/>
      <c r="F13" s="9"/>
      <c r="G13" s="4"/>
      <c r="H13" s="4"/>
      <c r="I13" s="4"/>
      <c r="J13" s="4"/>
      <c r="K13" s="4"/>
      <c r="L13" s="175"/>
      <c r="M13" s="367"/>
      <c r="N13" s="368"/>
      <c r="O13" s="208"/>
      <c r="P13" s="218" t="s">
        <v>181</v>
      </c>
      <c r="Q13" s="221" t="s">
        <v>182</v>
      </c>
      <c r="R13" s="218">
        <v>8.8529</v>
      </c>
      <c r="S13" s="222">
        <v>9339379.5199999996</v>
      </c>
      <c r="T13" s="219">
        <v>66373862</v>
      </c>
      <c r="U13" s="219">
        <v>1264438</v>
      </c>
      <c r="V13" s="219">
        <v>14652504</v>
      </c>
      <c r="W13" s="219">
        <v>389788</v>
      </c>
      <c r="X13" s="219">
        <v>0</v>
      </c>
      <c r="Y13" s="219">
        <f t="shared" si="3"/>
        <v>82680592</v>
      </c>
      <c r="Z13" s="1">
        <f t="shared" ref="Z13:Z14" si="11">+S13*R13</f>
        <v>82680592.952607989</v>
      </c>
      <c r="AA13" s="17">
        <f t="shared" ref="AA13:AA14" si="12">INT(Z13)</f>
        <v>82680592</v>
      </c>
      <c r="AB13" s="1" t="b">
        <f t="shared" si="5"/>
        <v>1</v>
      </c>
      <c r="AC13" s="163">
        <f t="shared" si="6"/>
        <v>66763650</v>
      </c>
      <c r="AD13" s="19">
        <f t="shared" si="7"/>
        <v>1264438</v>
      </c>
      <c r="AE13" s="163"/>
      <c r="AF13" s="171" t="s">
        <v>94</v>
      </c>
      <c r="AG13" s="165"/>
      <c r="AH13" s="166" t="s">
        <v>101</v>
      </c>
      <c r="AI13" s="166" t="s">
        <v>102</v>
      </c>
      <c r="AJ13" s="167">
        <v>2906178</v>
      </c>
      <c r="AK13" s="167">
        <v>602698</v>
      </c>
      <c r="AL13" s="167">
        <v>3508876</v>
      </c>
      <c r="AM13" s="1">
        <v>8</v>
      </c>
      <c r="AN13" s="1">
        <f t="shared" si="8"/>
        <v>23249424</v>
      </c>
      <c r="AO13" s="1">
        <f t="shared" si="9"/>
        <v>4821584</v>
      </c>
      <c r="AP13" s="1">
        <f t="shared" si="10"/>
        <v>28071008</v>
      </c>
      <c r="AQ13" s="1"/>
      <c r="AR13" s="1"/>
      <c r="AS13" s="1"/>
      <c r="AT13" s="1"/>
    </row>
    <row r="14" spans="1:46" ht="24" customHeight="1">
      <c r="A14" s="5"/>
      <c r="B14" s="9"/>
      <c r="C14" s="9"/>
      <c r="D14" s="9"/>
      <c r="E14" s="9"/>
      <c r="F14" s="9"/>
      <c r="G14" s="4"/>
      <c r="H14" s="4"/>
      <c r="I14" s="4"/>
      <c r="J14" s="4"/>
      <c r="L14" s="177"/>
      <c r="M14" s="367"/>
      <c r="N14" s="368"/>
      <c r="O14" s="208"/>
      <c r="P14" s="218" t="s">
        <v>184</v>
      </c>
      <c r="Q14" s="221" t="s">
        <v>183</v>
      </c>
      <c r="R14" s="218">
        <v>8.5790000000000006</v>
      </c>
      <c r="S14" s="222">
        <v>12873460</v>
      </c>
      <c r="T14" s="219">
        <v>80695889</v>
      </c>
      <c r="U14" s="219">
        <v>7864780</v>
      </c>
      <c r="V14" s="219">
        <v>21880744</v>
      </c>
      <c r="W14" s="219">
        <v>0</v>
      </c>
      <c r="X14" s="219">
        <v>0</v>
      </c>
      <c r="Y14" s="219">
        <f t="shared" si="3"/>
        <v>110441413</v>
      </c>
      <c r="Z14" s="1">
        <f t="shared" si="11"/>
        <v>110441413.34</v>
      </c>
      <c r="AA14" s="17">
        <f t="shared" si="12"/>
        <v>110441413</v>
      </c>
      <c r="AB14" s="1" t="b">
        <f t="shared" si="5"/>
        <v>1</v>
      </c>
      <c r="AC14" s="163">
        <f t="shared" si="6"/>
        <v>80695889</v>
      </c>
      <c r="AD14" s="19">
        <f t="shared" si="7"/>
        <v>7864780</v>
      </c>
      <c r="AE14" s="163"/>
      <c r="AF14" s="171" t="s">
        <v>94</v>
      </c>
      <c r="AG14" s="165"/>
      <c r="AH14" s="166" t="s">
        <v>103</v>
      </c>
      <c r="AI14" s="166" t="s">
        <v>104</v>
      </c>
      <c r="AJ14" s="167">
        <v>2917616</v>
      </c>
      <c r="AK14" s="167">
        <v>498881</v>
      </c>
      <c r="AL14" s="167">
        <v>3416497</v>
      </c>
      <c r="AM14" s="1">
        <v>8</v>
      </c>
      <c r="AN14" s="1">
        <f t="shared" si="8"/>
        <v>23340928</v>
      </c>
      <c r="AO14" s="1">
        <f t="shared" si="9"/>
        <v>3991048</v>
      </c>
      <c r="AP14" s="1">
        <f t="shared" si="10"/>
        <v>27331976</v>
      </c>
      <c r="AQ14" s="1"/>
      <c r="AR14" s="1"/>
      <c r="AS14" s="1"/>
      <c r="AT14" s="1"/>
    </row>
    <row r="15" spans="1:46" ht="24" customHeight="1">
      <c r="A15" s="5"/>
      <c r="B15" s="4"/>
      <c r="E15" s="4"/>
      <c r="F15" s="4"/>
      <c r="G15" s="4"/>
      <c r="H15" s="4"/>
      <c r="I15" s="4"/>
      <c r="J15" s="4"/>
      <c r="K15" s="4"/>
      <c r="L15" s="21"/>
      <c r="M15" s="367"/>
      <c r="N15" s="368"/>
      <c r="O15" s="208"/>
      <c r="P15" s="370" t="s">
        <v>14</v>
      </c>
      <c r="Q15" s="370"/>
      <c r="R15" s="370"/>
      <c r="S15" s="231">
        <f>SUM(S10:S14)</f>
        <v>64460677.519999996</v>
      </c>
      <c r="T15" s="219">
        <f>SUM(T10:T14)</f>
        <v>412702960</v>
      </c>
      <c r="U15" s="219">
        <f t="shared" ref="U15:Y15" si="13">SUM(U10:U14)</f>
        <v>36437575</v>
      </c>
      <c r="V15" s="219">
        <f t="shared" si="13"/>
        <v>109817251</v>
      </c>
      <c r="W15" s="219">
        <f t="shared" si="13"/>
        <v>2413229</v>
      </c>
      <c r="X15" s="219">
        <f t="shared" si="13"/>
        <v>349146</v>
      </c>
      <c r="Y15" s="219">
        <f>SUM(Y10:Y14)</f>
        <v>561720161</v>
      </c>
      <c r="Z15" s="1">
        <f>+S15*R15</f>
        <v>0</v>
      </c>
      <c r="AA15" s="17">
        <f t="shared" si="4"/>
        <v>0</v>
      </c>
      <c r="AB15" s="1" t="b">
        <f t="shared" si="5"/>
        <v>0</v>
      </c>
      <c r="AC15" s="163"/>
      <c r="AD15" s="163"/>
      <c r="AE15" s="163"/>
      <c r="AF15" s="171" t="s">
        <v>94</v>
      </c>
      <c r="AG15" s="165"/>
      <c r="AH15" s="169" t="s">
        <v>107</v>
      </c>
      <c r="AI15" s="169" t="s">
        <v>108</v>
      </c>
      <c r="AJ15" s="167">
        <v>309105</v>
      </c>
      <c r="AK15" s="167">
        <v>84454</v>
      </c>
      <c r="AL15" s="167">
        <v>393559</v>
      </c>
      <c r="AM15" s="1">
        <v>8</v>
      </c>
      <c r="AN15" s="1">
        <f t="shared" si="8"/>
        <v>2472840</v>
      </c>
      <c r="AO15" s="1">
        <f t="shared" si="9"/>
        <v>675632</v>
      </c>
      <c r="AP15" s="1">
        <f t="shared" si="10"/>
        <v>3148472</v>
      </c>
      <c r="AQ15" s="1"/>
      <c r="AR15" s="1"/>
      <c r="AS15" s="1"/>
      <c r="AT15" s="1"/>
    </row>
    <row r="16" spans="1:46" ht="24" customHeight="1">
      <c r="A16" s="5"/>
      <c r="B16" s="4"/>
      <c r="C16" s="40"/>
      <c r="D16" s="178"/>
      <c r="E16" s="178"/>
      <c r="F16" s="4"/>
      <c r="G16" s="4"/>
      <c r="H16" s="4"/>
      <c r="I16" s="4"/>
      <c r="J16" s="4"/>
      <c r="L16" s="21"/>
      <c r="M16" s="367"/>
      <c r="N16" s="368"/>
      <c r="O16" s="208"/>
      <c r="P16" s="218"/>
      <c r="Q16" s="221"/>
      <c r="R16" s="218"/>
      <c r="S16" s="222"/>
      <c r="T16" s="219"/>
      <c r="U16" s="219"/>
      <c r="V16" s="219"/>
      <c r="W16" s="219"/>
      <c r="X16" s="219"/>
      <c r="Y16" s="219"/>
      <c r="Z16" s="1">
        <f>+S16*R16</f>
        <v>0</v>
      </c>
      <c r="AA16" s="17">
        <f t="shared" si="4"/>
        <v>0</v>
      </c>
      <c r="AB16" s="1" t="b">
        <f t="shared" si="5"/>
        <v>1</v>
      </c>
      <c r="AC16" s="163"/>
      <c r="AD16" s="163"/>
      <c r="AE16" s="163"/>
      <c r="AF16" s="171" t="s">
        <v>109</v>
      </c>
      <c r="AG16" s="165"/>
      <c r="AH16" s="166" t="s">
        <v>110</v>
      </c>
      <c r="AI16" s="166" t="s">
        <v>111</v>
      </c>
      <c r="AJ16" s="167">
        <v>1507273</v>
      </c>
      <c r="AK16" s="167">
        <v>587502</v>
      </c>
      <c r="AL16" s="167">
        <v>2094775</v>
      </c>
      <c r="AM16" s="1">
        <v>1</v>
      </c>
      <c r="AN16" s="1">
        <f t="shared" si="8"/>
        <v>1507273</v>
      </c>
      <c r="AO16" s="1">
        <f t="shared" si="9"/>
        <v>587502</v>
      </c>
      <c r="AP16" s="1">
        <f t="shared" si="10"/>
        <v>2094775</v>
      </c>
      <c r="AQ16" s="1"/>
      <c r="AR16" s="1"/>
      <c r="AS16" s="1"/>
      <c r="AT16" s="1"/>
    </row>
    <row r="17" spans="1:46" ht="24" customHeight="1">
      <c r="A17" s="5"/>
      <c r="B17" s="4"/>
      <c r="C17" s="40"/>
      <c r="D17" s="178"/>
      <c r="E17" s="178"/>
      <c r="F17" s="4"/>
      <c r="G17" s="4"/>
      <c r="H17" s="4"/>
      <c r="I17" s="4"/>
      <c r="J17" s="4"/>
      <c r="K17" s="4"/>
      <c r="L17" s="21"/>
      <c r="M17" s="172"/>
      <c r="N17" s="162"/>
      <c r="O17" s="172"/>
      <c r="P17" s="218"/>
      <c r="Q17" s="221"/>
      <c r="R17" s="218"/>
      <c r="S17" s="222"/>
      <c r="T17" s="219"/>
      <c r="U17" s="219"/>
      <c r="V17" s="219"/>
      <c r="W17" s="219"/>
      <c r="X17" s="219"/>
      <c r="Y17" s="219"/>
      <c r="Z17" s="1">
        <f>+S17*R17</f>
        <v>0</v>
      </c>
      <c r="AA17" s="17">
        <f t="shared" si="4"/>
        <v>0</v>
      </c>
      <c r="AB17" s="1" t="b">
        <f t="shared" si="5"/>
        <v>1</v>
      </c>
      <c r="AF17" s="171" t="s">
        <v>109</v>
      </c>
      <c r="AG17" s="165"/>
      <c r="AH17" s="166" t="s">
        <v>113</v>
      </c>
      <c r="AI17" s="166" t="s">
        <v>114</v>
      </c>
      <c r="AJ17" s="167">
        <v>993263</v>
      </c>
      <c r="AK17" s="167">
        <v>498009</v>
      </c>
      <c r="AL17" s="167">
        <v>1491272</v>
      </c>
      <c r="AM17" s="1">
        <v>1</v>
      </c>
      <c r="AN17" s="1">
        <f t="shared" si="8"/>
        <v>993263</v>
      </c>
      <c r="AO17" s="1">
        <f t="shared" si="9"/>
        <v>498009</v>
      </c>
      <c r="AP17" s="1">
        <f t="shared" si="10"/>
        <v>1491272</v>
      </c>
      <c r="AQ17" s="1"/>
      <c r="AR17" s="1"/>
      <c r="AS17" s="1"/>
      <c r="AT17" s="1"/>
    </row>
    <row r="18" spans="1:46" ht="24" customHeight="1">
      <c r="A18" s="5"/>
      <c r="B18" s="4"/>
      <c r="C18" s="4"/>
      <c r="F18" s="4"/>
      <c r="G18" s="4"/>
      <c r="H18" s="4"/>
      <c r="I18" s="4"/>
      <c r="J18" s="4"/>
      <c r="K18" s="4"/>
      <c r="L18" s="179"/>
      <c r="M18" s="369"/>
      <c r="N18" s="289"/>
      <c r="O18" s="189"/>
      <c r="P18" s="200"/>
      <c r="Q18" s="201"/>
      <c r="R18" s="197"/>
      <c r="S18" s="198"/>
      <c r="T18" s="198"/>
      <c r="U18" s="198"/>
      <c r="V18" s="198"/>
      <c r="W18" s="198"/>
      <c r="X18" s="198"/>
      <c r="Y18" s="198"/>
      <c r="Z18" s="1">
        <f>+S18*R18</f>
        <v>0</v>
      </c>
      <c r="AA18" s="17">
        <f t="shared" si="4"/>
        <v>0</v>
      </c>
      <c r="AB18" s="1" t="b">
        <f t="shared" si="5"/>
        <v>1</v>
      </c>
      <c r="AF18" s="171" t="s">
        <v>109</v>
      </c>
      <c r="AG18" s="165"/>
      <c r="AH18" s="166" t="s">
        <v>115</v>
      </c>
      <c r="AI18" s="166" t="s">
        <v>116</v>
      </c>
      <c r="AJ18" s="167">
        <v>542700</v>
      </c>
      <c r="AK18" s="167">
        <v>406464</v>
      </c>
      <c r="AL18" s="167">
        <v>949164</v>
      </c>
      <c r="AM18" s="1">
        <v>4</v>
      </c>
      <c r="AN18" s="1">
        <f t="shared" si="8"/>
        <v>2170800</v>
      </c>
      <c r="AO18" s="1">
        <f t="shared" si="9"/>
        <v>1625856</v>
      </c>
      <c r="AP18" s="1">
        <f t="shared" si="10"/>
        <v>3796656</v>
      </c>
      <c r="AQ18" s="1"/>
      <c r="AR18" s="1"/>
      <c r="AS18" s="1"/>
      <c r="AT18" s="1"/>
    </row>
    <row r="19" spans="1:46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O19" s="9"/>
      <c r="P19" s="218" t="s">
        <v>172</v>
      </c>
      <c r="Q19" s="221">
        <v>46054</v>
      </c>
      <c r="R19" s="218">
        <v>9.3289000000000009</v>
      </c>
      <c r="S19" s="222">
        <v>20344248</v>
      </c>
      <c r="T19" s="219">
        <v>138418146</v>
      </c>
      <c r="U19" s="219">
        <v>12201066</v>
      </c>
      <c r="V19" s="219">
        <v>38484587</v>
      </c>
      <c r="W19" s="219">
        <v>278076</v>
      </c>
      <c r="X19" s="219">
        <v>407580</v>
      </c>
      <c r="Y19" s="219">
        <f>SUM(T19:X19)</f>
        <v>189789455</v>
      </c>
      <c r="Z19" s="1" t="e">
        <f>+#REF!*#REF!</f>
        <v>#REF!</v>
      </c>
      <c r="AA19" s="17" t="e">
        <f t="shared" si="4"/>
        <v>#REF!</v>
      </c>
      <c r="AB19" s="1" t="e">
        <f>+#REF!=AA19</f>
        <v>#REF!</v>
      </c>
      <c r="AF19" s="171" t="s">
        <v>117</v>
      </c>
      <c r="AG19" s="165"/>
      <c r="AH19" s="166" t="s">
        <v>110</v>
      </c>
      <c r="AI19" s="166" t="s">
        <v>118</v>
      </c>
      <c r="AJ19" s="167">
        <v>755649</v>
      </c>
      <c r="AK19" s="167">
        <v>335220</v>
      </c>
      <c r="AL19" s="167">
        <v>1090869</v>
      </c>
      <c r="AM19" s="1">
        <v>4</v>
      </c>
      <c r="AN19" s="1">
        <f t="shared" si="8"/>
        <v>3022596</v>
      </c>
      <c r="AO19" s="1">
        <f t="shared" si="9"/>
        <v>1340880</v>
      </c>
      <c r="AP19" s="1">
        <f t="shared" si="10"/>
        <v>4363476</v>
      </c>
      <c r="AQ19" s="1"/>
      <c r="AR19" s="1"/>
      <c r="AS19" s="1"/>
      <c r="AT19" s="1"/>
    </row>
    <row r="20" spans="1:46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9" t="s">
        <v>171</v>
      </c>
      <c r="Z20" s="1" t="e">
        <f>+#REF!*#REF!</f>
        <v>#REF!</v>
      </c>
      <c r="AA20" s="17" t="e">
        <f t="shared" si="4"/>
        <v>#REF!</v>
      </c>
      <c r="AB20" s="1" t="e">
        <f>+#REF!=AA20</f>
        <v>#REF!</v>
      </c>
      <c r="AF20" s="171" t="s">
        <v>117</v>
      </c>
      <c r="AG20" s="165"/>
      <c r="AH20" s="166" t="s">
        <v>121</v>
      </c>
      <c r="AI20" s="166" t="s">
        <v>122</v>
      </c>
      <c r="AJ20" s="167">
        <v>137224</v>
      </c>
      <c r="AK20" s="167">
        <v>118812</v>
      </c>
      <c r="AL20" s="167">
        <v>256036</v>
      </c>
      <c r="AM20" s="1">
        <v>4</v>
      </c>
      <c r="AN20" s="1">
        <f t="shared" si="8"/>
        <v>548896</v>
      </c>
      <c r="AO20" s="1">
        <f t="shared" si="9"/>
        <v>475248</v>
      </c>
      <c r="AP20" s="1">
        <f t="shared" si="10"/>
        <v>1024144</v>
      </c>
      <c r="AQ20" s="1"/>
      <c r="AR20" s="1"/>
      <c r="AS20" s="1"/>
      <c r="AT20" s="1"/>
    </row>
    <row r="21" spans="1:46" ht="24" customHeight="1">
      <c r="A21" s="8"/>
      <c r="B21" s="9"/>
      <c r="C21" s="260" t="s">
        <v>8</v>
      </c>
      <c r="D21" s="261"/>
      <c r="E21" s="262"/>
      <c r="F21" s="263"/>
      <c r="G21" s="12" t="s">
        <v>23</v>
      </c>
      <c r="H21" s="264"/>
      <c r="I21" s="263"/>
      <c r="J21" s="12" t="s">
        <v>23</v>
      </c>
      <c r="K21" s="264"/>
      <c r="L21" s="263"/>
      <c r="M21" s="265"/>
      <c r="N21" s="11"/>
      <c r="O21" s="9"/>
      <c r="P21" s="200"/>
      <c r="Q21" s="201"/>
      <c r="R21" s="197"/>
      <c r="S21" s="198"/>
      <c r="T21" s="198"/>
      <c r="U21" s="198"/>
      <c r="V21" s="198"/>
      <c r="W21" s="198"/>
      <c r="X21" s="198"/>
      <c r="Y21" s="198"/>
      <c r="Z21" s="1">
        <f>+S21*R21</f>
        <v>0</v>
      </c>
      <c r="AA21" s="17">
        <f t="shared" si="4"/>
        <v>0</v>
      </c>
      <c r="AB21" s="1" t="b">
        <f t="shared" si="5"/>
        <v>1</v>
      </c>
      <c r="AC21" s="19"/>
      <c r="AD21" s="19"/>
      <c r="AE21" s="19"/>
      <c r="AF21" s="171" t="s">
        <v>117</v>
      </c>
      <c r="AG21" s="165"/>
      <c r="AH21" s="166" t="s">
        <v>103</v>
      </c>
      <c r="AI21" s="166" t="s">
        <v>123</v>
      </c>
      <c r="AJ21" s="167">
        <v>226135</v>
      </c>
      <c r="AK21" s="167">
        <v>97855</v>
      </c>
      <c r="AL21" s="167">
        <v>323990</v>
      </c>
      <c r="AM21" s="1">
        <v>4</v>
      </c>
      <c r="AN21" s="1">
        <f t="shared" si="8"/>
        <v>904540</v>
      </c>
      <c r="AO21" s="1">
        <f t="shared" si="9"/>
        <v>391420</v>
      </c>
      <c r="AP21" s="1">
        <f t="shared" si="10"/>
        <v>1295960</v>
      </c>
      <c r="AQ21" s="1"/>
      <c r="AR21" s="1"/>
      <c r="AS21" s="1"/>
      <c r="AT21" s="1"/>
    </row>
    <row r="22" spans="1:46" ht="24" customHeight="1">
      <c r="A22" s="8"/>
      <c r="B22" s="9"/>
      <c r="C22" s="260" t="s">
        <v>9</v>
      </c>
      <c r="D22" s="261"/>
      <c r="E22" s="266" t="s">
        <v>55</v>
      </c>
      <c r="F22" s="267"/>
      <c r="G22" s="267"/>
      <c r="H22" s="268"/>
      <c r="I22" s="261" t="s">
        <v>10</v>
      </c>
      <c r="J22" s="261"/>
      <c r="K22" s="269"/>
      <c r="L22" s="263"/>
      <c r="M22" s="265"/>
      <c r="N22" s="11"/>
      <c r="O22" s="9"/>
      <c r="Y22" s="19">
        <f>Y15</f>
        <v>561720161</v>
      </c>
      <c r="AA22" s="17" t="e">
        <f>SUM(AA10:AA21)</f>
        <v>#REF!</v>
      </c>
      <c r="AC22" s="19"/>
      <c r="AD22" s="19"/>
      <c r="AE22" s="19"/>
      <c r="AF22" s="171"/>
      <c r="AG22" s="165"/>
      <c r="AH22" s="166"/>
      <c r="AI22" s="166"/>
      <c r="AJ22" s="167"/>
      <c r="AK22" s="167"/>
      <c r="AL22" s="167"/>
      <c r="AN22" s="1">
        <f>SUM(AN10:AN21)</f>
        <v>121280432</v>
      </c>
      <c r="AO22" s="1">
        <f>SUM(AO10:AO21)</f>
        <v>26938187</v>
      </c>
      <c r="AP22" s="1">
        <f>SUM(AP10:AP21)</f>
        <v>148218619</v>
      </c>
      <c r="AQ22" s="1">
        <f>AN22/AP22</f>
        <v>0.81825369051643915</v>
      </c>
      <c r="AR22" s="1">
        <f>AO22/AP22</f>
        <v>0.18174630948356091</v>
      </c>
      <c r="AS22" s="1"/>
      <c r="AT22" s="1"/>
    </row>
    <row r="23" spans="1:46" ht="24" customHeight="1">
      <c r="A23" s="8"/>
      <c r="B23" s="9"/>
      <c r="C23" s="260" t="s">
        <v>11</v>
      </c>
      <c r="D23" s="261"/>
      <c r="E23" s="232">
        <f>Y22</f>
        <v>561720161</v>
      </c>
      <c r="F23" s="233"/>
      <c r="G23" s="233"/>
      <c r="H23" s="270"/>
      <c r="I23" s="261" t="s">
        <v>12</v>
      </c>
      <c r="J23" s="261"/>
      <c r="K23" s="232"/>
      <c r="L23" s="233"/>
      <c r="M23" s="234"/>
      <c r="N23" s="11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7" t="e">
        <f>+I24=AA22</f>
        <v>#REF!</v>
      </c>
      <c r="AF23" s="171" t="s">
        <v>94</v>
      </c>
      <c r="AG23" s="168" t="s">
        <v>124</v>
      </c>
      <c r="AH23" s="169" t="s">
        <v>105</v>
      </c>
      <c r="AI23" s="169" t="s">
        <v>106</v>
      </c>
      <c r="AJ23" s="170">
        <v>840492</v>
      </c>
      <c r="AK23" s="170">
        <v>335342</v>
      </c>
      <c r="AL23" s="170">
        <v>1175834</v>
      </c>
      <c r="AM23" s="1">
        <v>8</v>
      </c>
      <c r="AN23" s="1">
        <f t="shared" si="8"/>
        <v>6723936</v>
      </c>
      <c r="AO23" s="1">
        <f t="shared" si="9"/>
        <v>2682736</v>
      </c>
      <c r="AP23" s="1">
        <f t="shared" si="10"/>
        <v>9406672</v>
      </c>
      <c r="AQ23" s="1"/>
      <c r="AR23" s="1"/>
      <c r="AS23" s="1"/>
      <c r="AT23" s="1"/>
    </row>
    <row r="24" spans="1:46" ht="24" customHeight="1">
      <c r="A24" s="8"/>
      <c r="B24" s="9"/>
      <c r="C24" s="252" t="s">
        <v>13</v>
      </c>
      <c r="D24" s="253"/>
      <c r="E24" s="254"/>
      <c r="F24" s="254"/>
      <c r="G24" s="254"/>
      <c r="H24" s="7" t="s">
        <v>14</v>
      </c>
      <c r="I24" s="255">
        <f>E23+K23</f>
        <v>561720161</v>
      </c>
      <c r="J24" s="256"/>
      <c r="K24" s="256"/>
      <c r="L24" s="256"/>
      <c r="M24" s="257"/>
      <c r="N24" s="11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B24" s="19"/>
      <c r="AC24" s="19"/>
      <c r="AD24" s="19"/>
      <c r="AE24" s="19"/>
      <c r="AF24" s="171" t="s">
        <v>109</v>
      </c>
      <c r="AG24" s="165" t="s">
        <v>124</v>
      </c>
      <c r="AH24" s="166" t="s">
        <v>105</v>
      </c>
      <c r="AI24" s="166" t="s">
        <v>112</v>
      </c>
      <c r="AJ24" s="167">
        <v>265831</v>
      </c>
      <c r="AK24" s="167">
        <v>284545</v>
      </c>
      <c r="AL24" s="167">
        <v>550376</v>
      </c>
      <c r="AM24" s="1">
        <v>1</v>
      </c>
      <c r="AN24" s="1">
        <f t="shared" si="8"/>
        <v>265831</v>
      </c>
      <c r="AO24" s="1">
        <f t="shared" si="9"/>
        <v>284545</v>
      </c>
      <c r="AP24" s="1">
        <f t="shared" si="10"/>
        <v>550376</v>
      </c>
      <c r="AQ24" s="1"/>
      <c r="AR24" s="1"/>
      <c r="AS24" s="1"/>
      <c r="AT24" s="1"/>
    </row>
    <row r="25" spans="1:46" ht="24" customHeight="1">
      <c r="A25" s="8"/>
      <c r="B25" s="9"/>
      <c r="C25" s="9"/>
      <c r="D25" s="9"/>
      <c r="E25" s="9"/>
      <c r="F25" s="106"/>
      <c r="G25" s="9"/>
      <c r="H25" s="9"/>
      <c r="I25" s="9"/>
      <c r="J25" s="9"/>
      <c r="K25" s="9"/>
      <c r="L25" s="9"/>
      <c r="M25" s="9"/>
      <c r="N25" s="11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F25" s="171" t="s">
        <v>117</v>
      </c>
      <c r="AG25" s="165" t="s">
        <v>124</v>
      </c>
      <c r="AH25" s="166" t="s">
        <v>113</v>
      </c>
      <c r="AI25" s="166" t="s">
        <v>119</v>
      </c>
      <c r="AJ25" s="167">
        <v>492016</v>
      </c>
      <c r="AK25" s="167">
        <v>238365</v>
      </c>
      <c r="AL25" s="167">
        <v>730381</v>
      </c>
      <c r="AM25" s="1">
        <v>4</v>
      </c>
      <c r="AN25" s="1">
        <f t="shared" si="8"/>
        <v>1968064</v>
      </c>
      <c r="AO25" s="1">
        <f t="shared" si="9"/>
        <v>953460</v>
      </c>
      <c r="AP25" s="1">
        <f t="shared" si="10"/>
        <v>2921524</v>
      </c>
      <c r="AQ25" s="1"/>
      <c r="AR25" s="1"/>
      <c r="AS25" s="1"/>
      <c r="AT25" s="1"/>
    </row>
    <row r="26" spans="1:46" ht="27" customHeight="1">
      <c r="A26" s="258" t="s">
        <v>15</v>
      </c>
      <c r="B26" s="259"/>
      <c r="C26" s="239" t="str">
        <f>NUMBERSTRING(I24, 1)</f>
        <v>오억육천일백칠십이만일백육십일</v>
      </c>
      <c r="D26" s="239"/>
      <c r="E26" s="239"/>
      <c r="F26" s="239"/>
      <c r="G26" s="239"/>
      <c r="H26" s="13"/>
      <c r="I26" s="13"/>
      <c r="J26" s="13" t="s">
        <v>16</v>
      </c>
      <c r="K26" s="235">
        <f>I24</f>
        <v>561720161</v>
      </c>
      <c r="L26" s="235"/>
      <c r="M26" s="235"/>
      <c r="N26" s="236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F26" s="171" t="s">
        <v>117</v>
      </c>
      <c r="AG26" s="165" t="s">
        <v>124</v>
      </c>
      <c r="AH26" s="166" t="s">
        <v>105</v>
      </c>
      <c r="AI26" s="166" t="s">
        <v>120</v>
      </c>
      <c r="AJ26" s="167">
        <v>147734</v>
      </c>
      <c r="AK26" s="167">
        <v>163521</v>
      </c>
      <c r="AL26" s="167">
        <v>311255</v>
      </c>
      <c r="AM26" s="1">
        <v>4</v>
      </c>
      <c r="AN26" s="1">
        <f t="shared" si="8"/>
        <v>590936</v>
      </c>
      <c r="AO26" s="1">
        <f t="shared" si="9"/>
        <v>654084</v>
      </c>
      <c r="AP26" s="1">
        <f t="shared" si="10"/>
        <v>1245020</v>
      </c>
      <c r="AQ26" s="1"/>
      <c r="AR26" s="1"/>
      <c r="AS26" s="1"/>
      <c r="AT26" s="1"/>
    </row>
    <row r="27" spans="1:46" ht="27" customHeight="1">
      <c r="A27" s="237" t="s">
        <v>17</v>
      </c>
      <c r="B27" s="237"/>
      <c r="C27" s="237"/>
      <c r="D27" s="366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F27" s="165"/>
      <c r="AG27" s="165"/>
      <c r="AH27" s="165"/>
      <c r="AI27" s="165"/>
      <c r="AJ27" s="165"/>
      <c r="AK27" s="165"/>
      <c r="AL27" s="165"/>
      <c r="AN27" s="1">
        <f>SUM(AN23:AN26)</f>
        <v>9548767</v>
      </c>
      <c r="AO27" s="1">
        <f>SUM(AO23:AO26)</f>
        <v>4574825</v>
      </c>
      <c r="AP27" s="1">
        <f>SUM(AP23:AP26)</f>
        <v>14123592</v>
      </c>
      <c r="AQ27" s="1">
        <f>AN27/AP27</f>
        <v>0.67608629589413227</v>
      </c>
      <c r="AR27" s="1">
        <f>AO27/AP27</f>
        <v>0.32391370410586767</v>
      </c>
      <c r="AS27" s="1"/>
      <c r="AT27" s="1"/>
    </row>
    <row r="28" spans="1:46" ht="27" customHeight="1">
      <c r="A28" s="237" t="s">
        <v>19</v>
      </c>
      <c r="B28" s="237"/>
      <c r="C28" s="237"/>
      <c r="D28" s="238" t="s">
        <v>161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F28" s="165"/>
      <c r="AG28" s="165"/>
      <c r="AH28" s="165"/>
      <c r="AI28" s="165"/>
      <c r="AJ28" s="165"/>
      <c r="AK28" s="165"/>
      <c r="AL28" s="165"/>
      <c r="AN28" s="1"/>
      <c r="AO28" s="1"/>
      <c r="AP28" s="1"/>
      <c r="AQ28" s="1"/>
      <c r="AR28" s="1"/>
      <c r="AS28" s="1"/>
      <c r="AT28" s="1"/>
    </row>
    <row r="29" spans="1:46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F29" s="165"/>
      <c r="AG29" s="165"/>
      <c r="AH29" s="165"/>
      <c r="AI29" s="165"/>
      <c r="AJ29" s="165"/>
      <c r="AK29" s="165"/>
      <c r="AL29" s="165"/>
      <c r="AN29" s="1"/>
      <c r="AO29" s="1"/>
      <c r="AP29" s="1"/>
      <c r="AQ29" s="1"/>
      <c r="AR29" s="1"/>
      <c r="AS29" s="1"/>
      <c r="AT29" s="1"/>
    </row>
    <row r="30" spans="1:46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F30" s="165"/>
      <c r="AG30" s="165"/>
      <c r="AH30" s="165"/>
      <c r="AI30" s="165"/>
      <c r="AJ30" s="165"/>
      <c r="AK30" s="165"/>
      <c r="AL30" s="165"/>
      <c r="AN30" s="1"/>
      <c r="AO30" s="1"/>
      <c r="AP30" s="1"/>
      <c r="AQ30" s="1"/>
      <c r="AR30" s="1"/>
      <c r="AS30" s="1"/>
      <c r="AT30" s="1"/>
    </row>
    <row r="31" spans="1:46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F31" s="165"/>
      <c r="AG31" s="165"/>
      <c r="AH31" s="165"/>
      <c r="AI31" s="165"/>
      <c r="AJ31" s="165"/>
      <c r="AK31" s="165"/>
      <c r="AL31" s="165"/>
      <c r="AN31" s="1"/>
      <c r="AO31" s="1"/>
      <c r="AP31" s="1"/>
      <c r="AQ31" s="1"/>
      <c r="AR31" s="1"/>
      <c r="AS31" s="1"/>
      <c r="AT31" s="1"/>
    </row>
    <row r="32" spans="1:46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F32" s="165"/>
      <c r="AG32" s="165"/>
      <c r="AH32" s="165"/>
      <c r="AI32" s="165"/>
      <c r="AJ32" s="165"/>
      <c r="AK32" s="165"/>
      <c r="AL32" s="165"/>
      <c r="AN32" s="1"/>
      <c r="AO32" s="1"/>
      <c r="AP32" s="1"/>
      <c r="AQ32" s="1"/>
      <c r="AR32" s="1"/>
      <c r="AS32" s="1"/>
      <c r="AT32" s="1"/>
    </row>
    <row r="33" spans="1:46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F33" s="165"/>
      <c r="AG33" s="165"/>
      <c r="AH33" s="165"/>
      <c r="AI33" s="165"/>
      <c r="AJ33" s="165"/>
      <c r="AK33" s="165"/>
      <c r="AL33" s="165"/>
      <c r="AN33" s="1"/>
      <c r="AO33" s="1"/>
      <c r="AP33" s="1"/>
      <c r="AQ33" s="1"/>
      <c r="AR33" s="1"/>
      <c r="AS33" s="1"/>
      <c r="AT33" s="1"/>
    </row>
    <row r="34" spans="1:46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F34" s="165"/>
      <c r="AG34" s="165"/>
      <c r="AH34" s="165"/>
      <c r="AI34" s="165"/>
      <c r="AJ34" s="165"/>
      <c r="AK34" s="165"/>
      <c r="AL34" s="165"/>
      <c r="AN34" s="1"/>
      <c r="AO34" s="1"/>
      <c r="AP34" s="1"/>
      <c r="AQ34" s="1"/>
      <c r="AR34" s="1"/>
      <c r="AS34" s="1"/>
      <c r="AT34" s="1"/>
    </row>
    <row r="35" spans="1:46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F35" s="165"/>
      <c r="AG35" s="165"/>
      <c r="AH35" s="165"/>
      <c r="AI35" s="165"/>
      <c r="AJ35" s="165"/>
      <c r="AK35" s="165"/>
      <c r="AL35" s="165"/>
      <c r="AN35" s="1"/>
      <c r="AO35" s="1"/>
      <c r="AP35" s="1"/>
      <c r="AQ35" s="1"/>
      <c r="AR35" s="1"/>
      <c r="AS35" s="1"/>
      <c r="AT35" s="1"/>
    </row>
    <row r="36" spans="1:46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F36" s="165"/>
      <c r="AG36" s="165"/>
      <c r="AH36" s="165"/>
      <c r="AI36" s="165"/>
      <c r="AJ36" s="165"/>
      <c r="AK36" s="165"/>
      <c r="AL36" s="165"/>
      <c r="AN36" s="1"/>
      <c r="AO36" s="1"/>
      <c r="AP36" s="1"/>
      <c r="AQ36" s="1"/>
      <c r="AR36" s="1"/>
      <c r="AS36" s="1"/>
      <c r="AT36" s="1"/>
    </row>
    <row r="37" spans="1:46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F37" s="165"/>
      <c r="AG37" s="165"/>
      <c r="AH37" s="165"/>
      <c r="AI37" s="165"/>
      <c r="AJ37" s="165"/>
      <c r="AK37" s="165"/>
      <c r="AL37" s="165"/>
      <c r="AN37" s="1"/>
      <c r="AO37" s="1"/>
      <c r="AP37" s="1"/>
      <c r="AQ37" s="1"/>
      <c r="AR37" s="1"/>
      <c r="AS37" s="1"/>
      <c r="AT37" s="1"/>
    </row>
    <row r="38" spans="1:46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F38" s="165"/>
      <c r="AG38" s="165"/>
      <c r="AH38" s="165"/>
      <c r="AI38" s="165"/>
      <c r="AJ38" s="165"/>
      <c r="AK38" s="165"/>
      <c r="AL38" s="165"/>
      <c r="AN38" s="1"/>
      <c r="AO38" s="1"/>
      <c r="AP38" s="1"/>
      <c r="AQ38" s="1"/>
      <c r="AR38" s="1"/>
      <c r="AS38" s="1"/>
      <c r="AT38" s="1"/>
    </row>
    <row r="39" spans="1:46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F39" s="165"/>
      <c r="AG39" s="165"/>
      <c r="AH39" s="165"/>
      <c r="AI39" s="165"/>
      <c r="AJ39" s="165"/>
      <c r="AK39" s="165"/>
      <c r="AL39" s="165"/>
      <c r="AN39" s="1"/>
      <c r="AO39" s="1"/>
      <c r="AP39" s="1"/>
      <c r="AQ39" s="1"/>
      <c r="AR39" s="1"/>
      <c r="AS39" s="1"/>
      <c r="AT39" s="1"/>
    </row>
    <row r="40" spans="1:46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F40" s="165"/>
      <c r="AG40" s="165"/>
      <c r="AH40" s="165"/>
      <c r="AI40" s="165"/>
      <c r="AJ40" s="165"/>
      <c r="AK40" s="165"/>
      <c r="AL40" s="165"/>
      <c r="AN40" s="1"/>
      <c r="AO40" s="1"/>
      <c r="AP40" s="1"/>
      <c r="AQ40" s="1"/>
      <c r="AR40" s="1"/>
      <c r="AS40" s="1"/>
      <c r="AT40" s="1"/>
    </row>
    <row r="41" spans="1:46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F41" s="165"/>
      <c r="AG41" s="165"/>
      <c r="AH41" s="165"/>
      <c r="AI41" s="165"/>
      <c r="AJ41" s="165"/>
      <c r="AK41" s="165"/>
      <c r="AL41" s="165"/>
      <c r="AN41" s="1"/>
      <c r="AO41" s="1"/>
      <c r="AP41" s="1"/>
      <c r="AQ41" s="1"/>
      <c r="AR41" s="1"/>
      <c r="AS41" s="1"/>
      <c r="AT41" s="1"/>
    </row>
    <row r="42" spans="1:46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F42" s="165"/>
      <c r="AG42" s="165"/>
      <c r="AH42" s="165"/>
      <c r="AI42" s="165"/>
      <c r="AJ42" s="165"/>
      <c r="AK42" s="165"/>
      <c r="AL42" s="165"/>
      <c r="AN42" s="1"/>
      <c r="AO42" s="1"/>
      <c r="AP42" s="1"/>
      <c r="AQ42" s="1"/>
      <c r="AR42" s="1"/>
      <c r="AS42" s="1"/>
      <c r="AT42" s="1"/>
    </row>
    <row r="43" spans="1:46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F43" s="165"/>
      <c r="AG43" s="165"/>
      <c r="AH43" s="165"/>
      <c r="AI43" s="165"/>
      <c r="AJ43" s="165"/>
      <c r="AK43" s="165"/>
      <c r="AL43" s="165"/>
      <c r="AN43" s="1"/>
      <c r="AO43" s="1"/>
      <c r="AP43" s="1"/>
      <c r="AQ43" s="1"/>
      <c r="AR43" s="1"/>
      <c r="AS43" s="1"/>
      <c r="AT43" s="1"/>
    </row>
    <row r="44" spans="1:46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7" t="e">
        <f>+#REF!*#REF!</f>
        <v>#REF!</v>
      </c>
      <c r="AB44" s="62"/>
      <c r="AC44" s="62"/>
      <c r="AD44" s="62"/>
      <c r="AE44" s="62"/>
      <c r="AF44" s="165"/>
      <c r="AG44" s="165"/>
      <c r="AH44" s="165"/>
      <c r="AI44" s="165"/>
      <c r="AJ44" s="165"/>
      <c r="AK44" s="165"/>
      <c r="AL44" s="165"/>
      <c r="AN44" s="1"/>
      <c r="AO44" s="1"/>
      <c r="AP44" s="1"/>
      <c r="AQ44" s="1"/>
      <c r="AR44" s="1"/>
      <c r="AS44" s="1"/>
      <c r="AT44" s="1"/>
    </row>
    <row r="45" spans="1:46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7" t="e">
        <f>+#REF!*#REF!</f>
        <v>#REF!</v>
      </c>
      <c r="AB45" s="62"/>
      <c r="AC45" s="62"/>
      <c r="AD45" s="62"/>
      <c r="AE45" s="62"/>
      <c r="AF45" s="165"/>
      <c r="AG45" s="165"/>
      <c r="AH45" s="165"/>
      <c r="AI45" s="165"/>
      <c r="AJ45" s="165"/>
      <c r="AK45" s="165"/>
      <c r="AL45" s="165"/>
      <c r="AN45" s="1"/>
      <c r="AO45" s="1"/>
      <c r="AP45" s="1"/>
      <c r="AQ45" s="1"/>
      <c r="AR45" s="1"/>
      <c r="AS45" s="1"/>
      <c r="AT45" s="1"/>
    </row>
    <row r="46" spans="1:46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17" t="e">
        <f>+#REF!*#REF!</f>
        <v>#REF!</v>
      </c>
      <c r="AB46" s="62"/>
      <c r="AC46" s="62"/>
      <c r="AD46" s="62"/>
      <c r="AE46" s="62"/>
      <c r="AF46" s="165"/>
      <c r="AG46" s="165"/>
      <c r="AH46" s="165"/>
      <c r="AI46" s="165"/>
      <c r="AJ46" s="165"/>
      <c r="AK46" s="165"/>
      <c r="AL46" s="165"/>
      <c r="AN46" s="1"/>
      <c r="AO46" s="1"/>
      <c r="AP46" s="1"/>
      <c r="AQ46" s="1"/>
      <c r="AR46" s="1"/>
      <c r="AS46" s="1"/>
      <c r="AT46" s="1"/>
    </row>
    <row r="47" spans="1:46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F47" s="165"/>
      <c r="AG47" s="165"/>
      <c r="AH47" s="165"/>
      <c r="AI47" s="165"/>
      <c r="AJ47" s="165"/>
      <c r="AK47" s="165"/>
      <c r="AL47" s="165"/>
      <c r="AN47" s="1"/>
      <c r="AO47" s="1"/>
      <c r="AP47" s="1"/>
      <c r="AQ47" s="1"/>
      <c r="AR47" s="1"/>
      <c r="AS47" s="1"/>
      <c r="AT47" s="1"/>
    </row>
    <row r="48" spans="1:46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17" t="e">
        <f>INT(AA44)</f>
        <v>#REF!</v>
      </c>
      <c r="AB48" s="62"/>
      <c r="AC48" s="62"/>
      <c r="AD48" s="62"/>
      <c r="AE48" s="62"/>
      <c r="AF48" s="165"/>
      <c r="AG48" s="165"/>
      <c r="AH48" s="165"/>
      <c r="AI48" s="165"/>
      <c r="AJ48" s="165"/>
      <c r="AK48" s="165"/>
      <c r="AL48" s="165"/>
      <c r="AN48" s="1"/>
      <c r="AO48" s="1"/>
      <c r="AP48" s="1"/>
      <c r="AQ48" s="1"/>
      <c r="AR48" s="1"/>
      <c r="AS48" s="1"/>
      <c r="AT48" s="1"/>
    </row>
    <row r="49" spans="1:46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17" t="e">
        <f t="shared" ref="AA49:AA50" si="14">INT(AA45)</f>
        <v>#REF!</v>
      </c>
      <c r="AB49" s="62"/>
      <c r="AC49" s="62"/>
      <c r="AD49" s="62"/>
      <c r="AE49" s="62"/>
      <c r="AF49" s="165"/>
      <c r="AG49" s="165"/>
      <c r="AH49" s="165"/>
      <c r="AI49" s="165"/>
      <c r="AJ49" s="165"/>
      <c r="AK49" s="165"/>
      <c r="AL49" s="165"/>
      <c r="AN49" s="1"/>
      <c r="AO49" s="1"/>
      <c r="AP49" s="1"/>
      <c r="AQ49" s="1"/>
      <c r="AR49" s="1"/>
      <c r="AS49" s="1"/>
      <c r="AT49" s="1"/>
    </row>
    <row r="50" spans="1:46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7" t="e">
        <f t="shared" si="14"/>
        <v>#REF!</v>
      </c>
      <c r="AB50" s="62"/>
      <c r="AC50" s="62"/>
      <c r="AD50" s="62"/>
      <c r="AE50" s="62"/>
      <c r="AF50" s="165"/>
      <c r="AG50" s="165"/>
      <c r="AH50" s="165"/>
      <c r="AI50" s="165"/>
      <c r="AJ50" s="165"/>
      <c r="AK50" s="165"/>
      <c r="AL50" s="165"/>
      <c r="AN50" s="1"/>
      <c r="AO50" s="1"/>
      <c r="AP50" s="1"/>
      <c r="AQ50" s="1"/>
      <c r="AR50" s="1"/>
      <c r="AS50" s="1"/>
      <c r="AT50" s="1"/>
    </row>
    <row r="51" spans="1:46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F51" s="165"/>
      <c r="AG51" s="165"/>
      <c r="AH51" s="165"/>
      <c r="AI51" s="165"/>
      <c r="AJ51" s="165"/>
      <c r="AK51" s="165"/>
      <c r="AL51" s="165"/>
      <c r="AN51" s="1"/>
      <c r="AO51" s="1"/>
      <c r="AP51" s="1"/>
      <c r="AQ51" s="1"/>
      <c r="AR51" s="1"/>
      <c r="AS51" s="1"/>
      <c r="AT51" s="1"/>
    </row>
    <row r="52" spans="1:46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F52" s="165"/>
      <c r="AG52" s="165"/>
      <c r="AH52" s="165"/>
      <c r="AI52" s="165"/>
      <c r="AJ52" s="165"/>
      <c r="AK52" s="165"/>
      <c r="AL52" s="165"/>
      <c r="AN52" s="1"/>
      <c r="AO52" s="1"/>
      <c r="AP52" s="1"/>
      <c r="AQ52" s="1"/>
      <c r="AR52" s="1"/>
      <c r="AS52" s="1"/>
      <c r="AT52" s="1"/>
    </row>
    <row r="53" spans="1:46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F53" s="165"/>
      <c r="AG53" s="165"/>
      <c r="AH53" s="165"/>
      <c r="AI53" s="165"/>
      <c r="AJ53" s="165"/>
      <c r="AK53" s="165"/>
      <c r="AL53" s="165"/>
      <c r="AN53" s="1"/>
      <c r="AO53" s="1"/>
      <c r="AP53" s="1"/>
      <c r="AQ53" s="1"/>
      <c r="AR53" s="1"/>
      <c r="AS53" s="1"/>
      <c r="AT53" s="1"/>
    </row>
    <row r="54" spans="1:46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F54" s="165"/>
      <c r="AG54" s="165"/>
      <c r="AH54" s="165"/>
      <c r="AI54" s="165"/>
      <c r="AJ54" s="165"/>
      <c r="AK54" s="165"/>
      <c r="AL54" s="165"/>
      <c r="AN54" s="1"/>
      <c r="AO54" s="1"/>
      <c r="AP54" s="1"/>
      <c r="AQ54" s="1"/>
      <c r="AR54" s="1"/>
      <c r="AS54" s="1"/>
      <c r="AT54" s="1"/>
    </row>
    <row r="55" spans="1:46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F55" s="165"/>
      <c r="AG55" s="165"/>
      <c r="AH55" s="165"/>
      <c r="AI55" s="165"/>
      <c r="AJ55" s="165"/>
      <c r="AK55" s="165"/>
      <c r="AL55" s="165"/>
      <c r="AN55" s="1"/>
      <c r="AO55" s="1"/>
      <c r="AP55" s="1"/>
      <c r="AQ55" s="1"/>
      <c r="AR55" s="1"/>
      <c r="AS55" s="1"/>
      <c r="AT55" s="1"/>
    </row>
    <row r="56" spans="1:46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F56" s="165"/>
      <c r="AG56" s="165"/>
      <c r="AH56" s="165"/>
      <c r="AI56" s="165"/>
      <c r="AJ56" s="165"/>
      <c r="AK56" s="165"/>
      <c r="AL56" s="165"/>
      <c r="AN56" s="1"/>
      <c r="AO56" s="1"/>
      <c r="AP56" s="1"/>
      <c r="AQ56" s="1"/>
      <c r="AR56" s="1"/>
      <c r="AS56" s="1"/>
      <c r="AT56" s="1"/>
    </row>
    <row r="57" spans="1:46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F57" s="165"/>
      <c r="AG57" s="165"/>
      <c r="AH57" s="165"/>
      <c r="AI57" s="165"/>
      <c r="AJ57" s="165"/>
      <c r="AK57" s="165"/>
      <c r="AL57" s="165"/>
      <c r="AN57" s="1"/>
      <c r="AO57" s="1"/>
      <c r="AP57" s="1"/>
      <c r="AQ57" s="1"/>
      <c r="AR57" s="1"/>
      <c r="AS57" s="1"/>
      <c r="AT57" s="1"/>
    </row>
    <row r="58" spans="1:46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F58" s="165"/>
      <c r="AG58" s="165"/>
      <c r="AH58" s="165"/>
      <c r="AI58" s="165"/>
      <c r="AJ58" s="165"/>
      <c r="AK58" s="165"/>
      <c r="AL58" s="165"/>
      <c r="AN58" s="1"/>
      <c r="AO58" s="1"/>
      <c r="AP58" s="1"/>
      <c r="AQ58" s="1"/>
      <c r="AR58" s="1"/>
      <c r="AS58" s="1"/>
      <c r="AT58" s="1"/>
    </row>
    <row r="59" spans="1:46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F59" s="165"/>
      <c r="AG59" s="165"/>
      <c r="AH59" s="165"/>
      <c r="AI59" s="165"/>
      <c r="AJ59" s="165"/>
      <c r="AK59" s="165"/>
      <c r="AL59" s="165"/>
      <c r="AN59" s="1"/>
      <c r="AO59" s="1"/>
      <c r="AP59" s="1"/>
      <c r="AQ59" s="1"/>
      <c r="AR59" s="1"/>
      <c r="AS59" s="1"/>
      <c r="AT59" s="1"/>
    </row>
    <row r="60" spans="1:46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L60" s="165"/>
      <c r="AM60" s="165"/>
      <c r="AS60" s="1"/>
      <c r="AT60" s="1"/>
    </row>
    <row r="61" spans="1:46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L61" s="165"/>
      <c r="AM61" s="165"/>
      <c r="AS61" s="1"/>
      <c r="AT61" s="1"/>
    </row>
    <row r="62" spans="1:46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L62" s="165"/>
      <c r="AM62" s="165"/>
      <c r="AS62" s="1"/>
      <c r="AT62" s="1"/>
    </row>
    <row r="63" spans="1:46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46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</sheetData>
  <mergeCells count="42">
    <mergeCell ref="P15:R15"/>
    <mergeCell ref="M11:N11"/>
    <mergeCell ref="A1:N1"/>
    <mergeCell ref="A3:A5"/>
    <mergeCell ref="I3:I5"/>
    <mergeCell ref="A7:N8"/>
    <mergeCell ref="M10:N10"/>
    <mergeCell ref="C22:D22"/>
    <mergeCell ref="E22:H22"/>
    <mergeCell ref="I22:J22"/>
    <mergeCell ref="K22:M22"/>
    <mergeCell ref="M12:N12"/>
    <mergeCell ref="M13:N13"/>
    <mergeCell ref="M14:N14"/>
    <mergeCell ref="M15:N15"/>
    <mergeCell ref="M16:N16"/>
    <mergeCell ref="M18:N18"/>
    <mergeCell ref="C20:M20"/>
    <mergeCell ref="C21:D21"/>
    <mergeCell ref="E21:F21"/>
    <mergeCell ref="H21:I21"/>
    <mergeCell ref="K21:M21"/>
    <mergeCell ref="C23:D23"/>
    <mergeCell ref="E23:H23"/>
    <mergeCell ref="I23:J23"/>
    <mergeCell ref="K23:M23"/>
    <mergeCell ref="C24:D24"/>
    <mergeCell ref="E24:G24"/>
    <mergeCell ref="I24:M24"/>
    <mergeCell ref="A26:B26"/>
    <mergeCell ref="C26:G26"/>
    <mergeCell ref="K26:N26"/>
    <mergeCell ref="A27:C27"/>
    <mergeCell ref="D27:I27"/>
    <mergeCell ref="J27:K27"/>
    <mergeCell ref="L27:N27"/>
    <mergeCell ref="A28:C28"/>
    <mergeCell ref="D28:N28"/>
    <mergeCell ref="A29:C29"/>
    <mergeCell ref="D29:G29"/>
    <mergeCell ref="H29:J29"/>
    <mergeCell ref="K29:N29"/>
  </mergeCells>
  <phoneticPr fontId="2" type="noConversion"/>
  <conditionalFormatting sqref="AB10:AB21">
    <cfRule type="cellIs" dxfId="0" priority="1" operator="equal">
      <formula>FALSE</formula>
    </cfRule>
  </conditionalFormatting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ignoredErrors>
    <ignoredError sqref="Y10:Y14" formulaRange="1"/>
  </ignoredError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4908-2A59-46EA-9ADC-21E942BEDA9B}">
  <dimension ref="A1:AS75"/>
  <sheetViews>
    <sheetView zoomScale="82" zoomScaleNormal="82" workbookViewId="0">
      <selection activeCell="M11" sqref="M11:N11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5" width="7.5" style="1" customWidth="1"/>
    <col min="16" max="16" width="15.25" style="1" bestFit="1" customWidth="1"/>
    <col min="17" max="17" width="8.5" style="1" bestFit="1" customWidth="1"/>
    <col min="18" max="18" width="8.25" style="1" bestFit="1" customWidth="1"/>
    <col min="19" max="19" width="11.875" style="1" bestFit="1" customWidth="1"/>
    <col min="20" max="20" width="13.125" style="1" bestFit="1" customWidth="1"/>
    <col min="21" max="21" width="13.125" style="1" customWidth="1"/>
    <col min="22" max="22" width="13.125" style="1" bestFit="1" customWidth="1"/>
    <col min="23" max="23" width="13.125" style="1" customWidth="1"/>
    <col min="24" max="24" width="13.125" style="1" bestFit="1" customWidth="1"/>
    <col min="25" max="25" width="13.875" style="1" bestFit="1" customWidth="1"/>
    <col min="26" max="26" width="10.375" style="1" bestFit="1" customWidth="1"/>
    <col min="27" max="27" width="6" style="1" bestFit="1" customWidth="1"/>
    <col min="28" max="30" width="16.5" style="1" customWidth="1"/>
    <col min="31" max="31" width="9.625" style="1" customWidth="1"/>
    <col min="32" max="32" width="6.625" style="1" customWidth="1"/>
    <col min="33" max="33" width="17.375" style="1" customWidth="1"/>
    <col min="34" max="34" width="16.375" style="1" customWidth="1"/>
    <col min="35" max="38" width="9" style="1"/>
    <col min="39" max="39" width="11.375" style="165" bestFit="1" customWidth="1"/>
    <col min="40" max="40" width="10.375" style="165" bestFit="1" customWidth="1"/>
    <col min="41" max="41" width="11.375" style="165" bestFit="1" customWidth="1"/>
    <col min="42" max="42" width="28.125" style="165" bestFit="1" customWidth="1"/>
    <col min="43" max="43" width="18.25" style="165" bestFit="1" customWidth="1"/>
    <col min="44" max="44" width="15.375" style="165" bestFit="1" customWidth="1"/>
    <col min="45" max="45" width="18.25" style="165" bestFit="1" customWidth="1"/>
    <col min="46" max="46" width="9" style="1"/>
    <col min="47" max="49" width="14.125" style="1" customWidth="1"/>
    <col min="50" max="16384" width="9" style="1"/>
  </cols>
  <sheetData>
    <row r="1" spans="1:45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</row>
    <row r="3" spans="1:45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</row>
    <row r="4" spans="1:45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</row>
    <row r="5" spans="1:45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</row>
    <row r="6" spans="1:45" ht="6" customHeight="1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45" ht="24" customHeight="1">
      <c r="A7" s="276" t="s">
        <v>54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8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</row>
    <row r="8" spans="1:45" ht="24" customHeight="1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1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</row>
    <row r="9" spans="1:45" ht="24" customHeight="1">
      <c r="A9" s="5"/>
      <c r="B9" s="139"/>
      <c r="C9" s="139"/>
      <c r="D9" s="139"/>
      <c r="E9" s="139"/>
      <c r="F9" s="139"/>
      <c r="G9" s="139"/>
      <c r="H9" s="139"/>
      <c r="I9" s="139"/>
      <c r="J9" s="139"/>
      <c r="N9" s="18"/>
      <c r="P9" s="197" t="s">
        <v>134</v>
      </c>
      <c r="Q9" s="198" t="s">
        <v>129</v>
      </c>
      <c r="R9" s="198" t="s">
        <v>130</v>
      </c>
      <c r="S9" s="199" t="s">
        <v>131</v>
      </c>
      <c r="T9" s="198" t="s">
        <v>144</v>
      </c>
      <c r="U9" s="198" t="s">
        <v>145</v>
      </c>
      <c r="V9" s="198" t="s">
        <v>146</v>
      </c>
      <c r="W9" s="198" t="s">
        <v>147</v>
      </c>
      <c r="X9" s="198" t="s">
        <v>125</v>
      </c>
    </row>
    <row r="10" spans="1:45" ht="24" customHeight="1">
      <c r="A10" s="5"/>
      <c r="B10" s="173"/>
      <c r="C10" s="173"/>
      <c r="D10" s="173"/>
      <c r="E10" s="173"/>
      <c r="F10" s="173"/>
      <c r="G10" s="173"/>
      <c r="H10" s="174"/>
      <c r="I10" s="174"/>
      <c r="J10" s="174"/>
      <c r="K10" s="21"/>
      <c r="L10" s="88" t="s">
        <v>48</v>
      </c>
      <c r="M10" s="290">
        <v>125607474</v>
      </c>
      <c r="N10" s="291"/>
      <c r="O10" s="208"/>
      <c r="P10" s="197" t="s">
        <v>143</v>
      </c>
      <c r="Q10" s="209">
        <v>45949</v>
      </c>
      <c r="R10" s="210">
        <v>9.4467999999999996</v>
      </c>
      <c r="S10" s="211">
        <v>12354829</v>
      </c>
      <c r="T10" s="198">
        <v>90128435</v>
      </c>
      <c r="U10" s="198">
        <v>860445</v>
      </c>
      <c r="V10" s="198">
        <v>20726338</v>
      </c>
      <c r="W10" s="198">
        <v>4998380</v>
      </c>
      <c r="X10" s="198">
        <f>SUM(T10:W10)</f>
        <v>116713598</v>
      </c>
      <c r="Y10" s="1">
        <f>+S10*R10</f>
        <v>116713598.59719999</v>
      </c>
      <c r="Z10" s="1">
        <f>INT(Y10)</f>
        <v>116713598</v>
      </c>
      <c r="AA10" s="1" t="b">
        <f>+X10=Z10</f>
        <v>1</v>
      </c>
      <c r="AE10" s="171" t="s">
        <v>94</v>
      </c>
      <c r="AF10" s="165"/>
      <c r="AG10" s="166" t="s">
        <v>95</v>
      </c>
      <c r="AH10" s="166" t="s">
        <v>96</v>
      </c>
      <c r="AI10" s="167">
        <v>3344399</v>
      </c>
      <c r="AJ10" s="167">
        <v>541216</v>
      </c>
      <c r="AK10" s="167">
        <v>3885615</v>
      </c>
      <c r="AL10" s="1">
        <v>8</v>
      </c>
      <c r="AM10" s="1">
        <f>AI10*AL10</f>
        <v>26755192</v>
      </c>
      <c r="AN10" s="1">
        <f>AL10*AJ10</f>
        <v>4329728</v>
      </c>
      <c r="AO10" s="1">
        <f>SUM(AM10:AN10)</f>
        <v>31084920</v>
      </c>
      <c r="AP10" s="1"/>
      <c r="AQ10" s="1"/>
      <c r="AR10" s="1"/>
      <c r="AS10" s="1"/>
    </row>
    <row r="11" spans="1:45" ht="24" customHeight="1">
      <c r="A11" s="5"/>
      <c r="B11" s="173"/>
      <c r="C11" s="173"/>
      <c r="D11" s="173"/>
      <c r="E11" s="173"/>
      <c r="F11" s="173"/>
      <c r="G11" s="173"/>
      <c r="H11" s="174"/>
      <c r="I11" s="174"/>
      <c r="J11" s="174"/>
      <c r="K11" s="21"/>
      <c r="L11" s="107" t="s">
        <v>46</v>
      </c>
      <c r="M11" s="290"/>
      <c r="N11" s="291"/>
      <c r="O11" s="208"/>
      <c r="P11" s="197" t="s">
        <v>148</v>
      </c>
      <c r="Q11" s="209">
        <v>45957</v>
      </c>
      <c r="R11" s="210">
        <v>9.3777000000000008</v>
      </c>
      <c r="S11" s="211" t="e">
        <f>SUM(#REF!)</f>
        <v>#REF!</v>
      </c>
      <c r="T11" s="198">
        <v>110857437</v>
      </c>
      <c r="U11" s="198">
        <v>19652616</v>
      </c>
      <c r="V11" s="198">
        <v>35094408</v>
      </c>
      <c r="W11" s="198"/>
      <c r="X11" s="198">
        <f t="shared" ref="X11:X12" si="0">SUM(T11:W11)</f>
        <v>165604461</v>
      </c>
      <c r="Y11" s="1" t="e">
        <f>+S11*R11</f>
        <v>#REF!</v>
      </c>
      <c r="Z11" s="1" t="e">
        <f t="shared" ref="Z11:Z21" si="1">INT(Y11)</f>
        <v>#REF!</v>
      </c>
      <c r="AA11" s="1" t="e">
        <f t="shared" ref="AA11:AA21" si="2">+X11=Z11</f>
        <v>#REF!</v>
      </c>
      <c r="AB11" s="163"/>
      <c r="AC11" s="163"/>
      <c r="AD11" s="163"/>
      <c r="AE11" s="171" t="s">
        <v>94</v>
      </c>
      <c r="AF11" s="165"/>
      <c r="AG11" s="166" t="s">
        <v>97</v>
      </c>
      <c r="AH11" s="166" t="s">
        <v>98</v>
      </c>
      <c r="AI11" s="167">
        <v>3027424</v>
      </c>
      <c r="AJ11" s="167">
        <v>610516</v>
      </c>
      <c r="AK11" s="167">
        <v>3637940</v>
      </c>
      <c r="AL11" s="1">
        <v>8</v>
      </c>
      <c r="AM11" s="1">
        <f t="shared" ref="AM11:AM26" si="3">AI11*AL11</f>
        <v>24219392</v>
      </c>
      <c r="AN11" s="1">
        <f t="shared" ref="AN11:AN26" si="4">AL11*AJ11</f>
        <v>4884128</v>
      </c>
      <c r="AO11" s="1">
        <f t="shared" ref="AO11:AO26" si="5">SUM(AM11:AN11)</f>
        <v>29103520</v>
      </c>
      <c r="AP11" s="1"/>
      <c r="AQ11" s="1"/>
      <c r="AR11" s="1"/>
      <c r="AS11" s="1"/>
    </row>
    <row r="12" spans="1:45" ht="24" customHeight="1">
      <c r="A12" s="5"/>
      <c r="B12" s="65"/>
      <c r="C12" s="146">
        <v>45941</v>
      </c>
      <c r="D12" s="86">
        <v>9.1508000000000003</v>
      </c>
      <c r="E12" s="9"/>
      <c r="F12" s="9"/>
      <c r="G12" s="4"/>
      <c r="H12" s="4"/>
      <c r="I12" s="4"/>
      <c r="J12" s="4"/>
      <c r="K12" s="4"/>
      <c r="L12" s="107" t="s">
        <v>56</v>
      </c>
      <c r="M12" s="290">
        <v>24855695</v>
      </c>
      <c r="N12" s="291"/>
      <c r="O12" s="208"/>
      <c r="P12" s="197" t="s">
        <v>149</v>
      </c>
      <c r="Q12" s="209">
        <v>45964</v>
      </c>
      <c r="R12" s="210">
        <v>9.2609999999999992</v>
      </c>
      <c r="S12" s="211">
        <v>18753536</v>
      </c>
      <c r="T12" s="198">
        <v>137476681</v>
      </c>
      <c r="U12" s="198">
        <v>3011645</v>
      </c>
      <c r="V12" s="198">
        <v>31941753</v>
      </c>
      <c r="W12" s="198">
        <v>1246417</v>
      </c>
      <c r="X12" s="198">
        <f t="shared" si="0"/>
        <v>173676496</v>
      </c>
      <c r="Y12" s="1">
        <f t="shared" ref="Y12:Y21" si="6">+S12*R12</f>
        <v>173676496.896</v>
      </c>
      <c r="Z12" s="1">
        <f t="shared" si="1"/>
        <v>173676496</v>
      </c>
      <c r="AA12" s="1" t="b">
        <f t="shared" si="2"/>
        <v>1</v>
      </c>
      <c r="AB12" s="163"/>
      <c r="AC12" s="163"/>
      <c r="AD12" s="163"/>
      <c r="AE12" s="171" t="s">
        <v>94</v>
      </c>
      <c r="AF12" s="165"/>
      <c r="AG12" s="166" t="s">
        <v>99</v>
      </c>
      <c r="AH12" s="166" t="s">
        <v>100</v>
      </c>
      <c r="AI12" s="167">
        <v>1511911</v>
      </c>
      <c r="AJ12" s="167">
        <v>414644</v>
      </c>
      <c r="AK12" s="167">
        <v>1926555</v>
      </c>
      <c r="AL12" s="1">
        <v>8</v>
      </c>
      <c r="AM12" s="1">
        <f t="shared" si="3"/>
        <v>12095288</v>
      </c>
      <c r="AN12" s="1">
        <f t="shared" si="4"/>
        <v>3317152</v>
      </c>
      <c r="AO12" s="1">
        <f t="shared" si="5"/>
        <v>15412440</v>
      </c>
      <c r="AP12" s="1"/>
      <c r="AQ12" s="1"/>
      <c r="AR12" s="1"/>
      <c r="AS12" s="1"/>
    </row>
    <row r="13" spans="1:45" ht="24" customHeight="1">
      <c r="A13" s="5"/>
      <c r="B13" s="176"/>
      <c r="C13" s="185"/>
      <c r="D13" s="185"/>
      <c r="E13" s="9"/>
      <c r="F13" s="9"/>
      <c r="G13" s="4"/>
      <c r="H13" s="4"/>
      <c r="I13" s="4"/>
      <c r="J13" s="4"/>
      <c r="K13" s="4"/>
      <c r="L13" s="107" t="s">
        <v>61</v>
      </c>
      <c r="M13" s="290"/>
      <c r="N13" s="291"/>
      <c r="O13" s="208"/>
      <c r="P13" s="197"/>
      <c r="Q13" s="209"/>
      <c r="R13" s="210"/>
      <c r="S13" s="211"/>
      <c r="T13" s="198"/>
      <c r="U13" s="198"/>
      <c r="V13" s="198"/>
      <c r="W13" s="198"/>
      <c r="X13" s="198"/>
      <c r="Y13" s="1">
        <f t="shared" si="6"/>
        <v>0</v>
      </c>
      <c r="Z13" s="1">
        <f t="shared" si="1"/>
        <v>0</v>
      </c>
      <c r="AA13" s="1" t="b">
        <f t="shared" si="2"/>
        <v>1</v>
      </c>
      <c r="AB13" s="163"/>
      <c r="AC13" s="163"/>
      <c r="AD13" s="163"/>
      <c r="AE13" s="171" t="s">
        <v>94</v>
      </c>
      <c r="AF13" s="165"/>
      <c r="AG13" s="166" t="s">
        <v>101</v>
      </c>
      <c r="AH13" s="166" t="s">
        <v>102</v>
      </c>
      <c r="AI13" s="167">
        <v>2906178</v>
      </c>
      <c r="AJ13" s="167">
        <v>602698</v>
      </c>
      <c r="AK13" s="167">
        <v>3508876</v>
      </c>
      <c r="AL13" s="1">
        <v>8</v>
      </c>
      <c r="AM13" s="1">
        <f t="shared" si="3"/>
        <v>23249424</v>
      </c>
      <c r="AN13" s="1">
        <f t="shared" si="4"/>
        <v>4821584</v>
      </c>
      <c r="AO13" s="1">
        <f t="shared" si="5"/>
        <v>28071008</v>
      </c>
      <c r="AP13" s="1"/>
      <c r="AQ13" s="1"/>
      <c r="AR13" s="1"/>
      <c r="AS13" s="1"/>
    </row>
    <row r="14" spans="1:45" ht="24" customHeight="1">
      <c r="A14" s="5"/>
      <c r="B14" s="9"/>
      <c r="C14" s="9"/>
      <c r="D14" s="9"/>
      <c r="E14" s="9"/>
      <c r="F14" s="9"/>
      <c r="G14" s="4"/>
      <c r="H14" s="4"/>
      <c r="I14" s="4"/>
      <c r="J14" s="4"/>
      <c r="L14" s="107" t="s">
        <v>76</v>
      </c>
      <c r="M14" s="290">
        <v>35404951</v>
      </c>
      <c r="N14" s="291"/>
      <c r="O14" s="208"/>
      <c r="P14" s="197"/>
      <c r="Q14" s="212"/>
      <c r="R14" s="210"/>
      <c r="S14" s="211"/>
      <c r="T14" s="198"/>
      <c r="U14" s="198"/>
      <c r="V14" s="198"/>
      <c r="W14" s="198"/>
      <c r="X14" s="198"/>
      <c r="Y14" s="1">
        <f t="shared" si="6"/>
        <v>0</v>
      </c>
      <c r="Z14" s="1">
        <f t="shared" si="1"/>
        <v>0</v>
      </c>
      <c r="AA14" s="1" t="b">
        <f t="shared" si="2"/>
        <v>1</v>
      </c>
      <c r="AB14" s="163"/>
      <c r="AC14" s="163"/>
      <c r="AD14" s="163"/>
      <c r="AE14" s="171" t="s">
        <v>94</v>
      </c>
      <c r="AF14" s="165"/>
      <c r="AG14" s="166" t="s">
        <v>103</v>
      </c>
      <c r="AH14" s="166" t="s">
        <v>104</v>
      </c>
      <c r="AI14" s="167">
        <v>2917616</v>
      </c>
      <c r="AJ14" s="167">
        <v>498881</v>
      </c>
      <c r="AK14" s="167">
        <v>3416497</v>
      </c>
      <c r="AL14" s="1">
        <v>8</v>
      </c>
      <c r="AM14" s="1">
        <f t="shared" si="3"/>
        <v>23340928</v>
      </c>
      <c r="AN14" s="1">
        <f t="shared" si="4"/>
        <v>3991048</v>
      </c>
      <c r="AO14" s="1">
        <f t="shared" si="5"/>
        <v>27331976</v>
      </c>
      <c r="AP14" s="1"/>
      <c r="AQ14" s="1"/>
      <c r="AR14" s="1"/>
      <c r="AS14" s="1"/>
    </row>
    <row r="15" spans="1:45" ht="24" customHeight="1">
      <c r="A15" s="5"/>
      <c r="B15" s="4"/>
      <c r="E15" s="4"/>
      <c r="F15" s="4"/>
      <c r="G15" s="4"/>
      <c r="H15" s="4"/>
      <c r="I15" s="4"/>
      <c r="J15" s="4"/>
      <c r="K15" s="4"/>
      <c r="L15" s="107" t="s">
        <v>152</v>
      </c>
      <c r="M15" s="290">
        <v>795571</v>
      </c>
      <c r="N15" s="291"/>
      <c r="O15" s="208"/>
      <c r="P15" s="200"/>
      <c r="Q15" s="201"/>
      <c r="R15" s="197"/>
      <c r="S15" s="198"/>
      <c r="T15" s="198"/>
      <c r="U15" s="198"/>
      <c r="V15" s="198"/>
      <c r="W15" s="198"/>
      <c r="X15" s="198"/>
      <c r="Y15" s="1">
        <f t="shared" si="6"/>
        <v>0</v>
      </c>
      <c r="Z15" s="1">
        <f t="shared" si="1"/>
        <v>0</v>
      </c>
      <c r="AA15" s="1" t="b">
        <f t="shared" si="2"/>
        <v>1</v>
      </c>
      <c r="AB15" s="163"/>
      <c r="AC15" s="163"/>
      <c r="AD15" s="163"/>
      <c r="AE15" s="171" t="s">
        <v>94</v>
      </c>
      <c r="AF15" s="165"/>
      <c r="AG15" s="169" t="s">
        <v>107</v>
      </c>
      <c r="AH15" s="169" t="s">
        <v>108</v>
      </c>
      <c r="AI15" s="167">
        <v>309105</v>
      </c>
      <c r="AJ15" s="167">
        <v>84454</v>
      </c>
      <c r="AK15" s="167">
        <v>393559</v>
      </c>
      <c r="AL15" s="1">
        <v>8</v>
      </c>
      <c r="AM15" s="1">
        <f t="shared" si="3"/>
        <v>2472840</v>
      </c>
      <c r="AN15" s="1">
        <f t="shared" si="4"/>
        <v>675632</v>
      </c>
      <c r="AO15" s="1">
        <f t="shared" si="5"/>
        <v>3148472</v>
      </c>
      <c r="AP15" s="1"/>
      <c r="AQ15" s="1"/>
      <c r="AR15" s="1"/>
      <c r="AS15" s="1"/>
    </row>
    <row r="16" spans="1:45" ht="24" customHeight="1">
      <c r="A16" s="5"/>
      <c r="B16" s="4"/>
      <c r="C16" s="40"/>
      <c r="D16" s="178"/>
      <c r="E16" s="178"/>
      <c r="F16" s="4"/>
      <c r="G16" s="4"/>
      <c r="H16" s="4"/>
      <c r="I16" s="4"/>
      <c r="J16" s="4"/>
      <c r="L16" s="21"/>
      <c r="M16" s="367"/>
      <c r="N16" s="368"/>
      <c r="O16" s="208"/>
      <c r="P16" s="200"/>
      <c r="Q16" s="201"/>
      <c r="R16" s="197"/>
      <c r="S16" s="198"/>
      <c r="T16" s="198"/>
      <c r="U16" s="198"/>
      <c r="V16" s="198"/>
      <c r="W16" s="198"/>
      <c r="X16" s="198"/>
      <c r="Y16" s="1">
        <f t="shared" si="6"/>
        <v>0</v>
      </c>
      <c r="Z16" s="1">
        <f t="shared" si="1"/>
        <v>0</v>
      </c>
      <c r="AA16" s="1" t="b">
        <f t="shared" si="2"/>
        <v>1</v>
      </c>
      <c r="AB16" s="163"/>
      <c r="AC16" s="163"/>
      <c r="AD16" s="163"/>
      <c r="AE16" s="171" t="s">
        <v>109</v>
      </c>
      <c r="AF16" s="165"/>
      <c r="AG16" s="166" t="s">
        <v>110</v>
      </c>
      <c r="AH16" s="166" t="s">
        <v>111</v>
      </c>
      <c r="AI16" s="167">
        <v>1507273</v>
      </c>
      <c r="AJ16" s="167">
        <v>587502</v>
      </c>
      <c r="AK16" s="167">
        <v>2094775</v>
      </c>
      <c r="AL16" s="1">
        <v>1</v>
      </c>
      <c r="AM16" s="1">
        <f t="shared" si="3"/>
        <v>1507273</v>
      </c>
      <c r="AN16" s="1">
        <f t="shared" si="4"/>
        <v>587502</v>
      </c>
      <c r="AO16" s="1">
        <f t="shared" si="5"/>
        <v>2094775</v>
      </c>
      <c r="AP16" s="1"/>
      <c r="AQ16" s="1"/>
      <c r="AR16" s="1"/>
      <c r="AS16" s="1"/>
    </row>
    <row r="17" spans="1:45" ht="24" customHeight="1">
      <c r="A17" s="5"/>
      <c r="B17" s="4"/>
      <c r="C17" s="40"/>
      <c r="D17" s="178"/>
      <c r="E17" s="178"/>
      <c r="F17" s="4"/>
      <c r="G17" s="4"/>
      <c r="H17" s="4"/>
      <c r="I17" s="4"/>
      <c r="J17" s="4"/>
      <c r="K17" s="4"/>
      <c r="L17" s="21"/>
      <c r="M17" s="172"/>
      <c r="N17" s="162"/>
      <c r="O17" s="172"/>
      <c r="P17" s="200"/>
      <c r="Q17" s="201"/>
      <c r="R17" s="197"/>
      <c r="S17" s="198"/>
      <c r="T17" s="198"/>
      <c r="U17" s="198"/>
      <c r="V17" s="198"/>
      <c r="W17" s="198"/>
      <c r="X17" s="198"/>
      <c r="Y17" s="1">
        <f t="shared" si="6"/>
        <v>0</v>
      </c>
      <c r="Z17" s="1">
        <f t="shared" si="1"/>
        <v>0</v>
      </c>
      <c r="AA17" s="1" t="b">
        <f t="shared" si="2"/>
        <v>1</v>
      </c>
      <c r="AE17" s="171" t="s">
        <v>109</v>
      </c>
      <c r="AF17" s="165"/>
      <c r="AG17" s="166" t="s">
        <v>113</v>
      </c>
      <c r="AH17" s="166" t="s">
        <v>114</v>
      </c>
      <c r="AI17" s="167">
        <v>993263</v>
      </c>
      <c r="AJ17" s="167">
        <v>498009</v>
      </c>
      <c r="AK17" s="167">
        <v>1491272</v>
      </c>
      <c r="AL17" s="1">
        <v>1</v>
      </c>
      <c r="AM17" s="1">
        <f t="shared" si="3"/>
        <v>993263</v>
      </c>
      <c r="AN17" s="1">
        <f t="shared" si="4"/>
        <v>498009</v>
      </c>
      <c r="AO17" s="1">
        <f t="shared" si="5"/>
        <v>1491272</v>
      </c>
      <c r="AP17" s="1"/>
      <c r="AQ17" s="1"/>
      <c r="AR17" s="1"/>
      <c r="AS17" s="1"/>
    </row>
    <row r="18" spans="1:45" ht="24" customHeight="1">
      <c r="A18" s="5"/>
      <c r="B18" s="4"/>
      <c r="C18" s="4"/>
      <c r="F18" s="4"/>
      <c r="G18" s="4"/>
      <c r="H18" s="4"/>
      <c r="I18" s="4"/>
      <c r="J18" s="4"/>
      <c r="K18" s="4"/>
      <c r="L18" s="179"/>
      <c r="M18" s="369"/>
      <c r="N18" s="289"/>
      <c r="O18" s="189"/>
      <c r="P18" s="200"/>
      <c r="Q18" s="201"/>
      <c r="R18" s="197"/>
      <c r="S18" s="198"/>
      <c r="T18" s="198"/>
      <c r="U18" s="198"/>
      <c r="V18" s="198"/>
      <c r="W18" s="198"/>
      <c r="X18" s="198"/>
      <c r="Y18" s="1">
        <f t="shared" si="6"/>
        <v>0</v>
      </c>
      <c r="Z18" s="1">
        <f t="shared" si="1"/>
        <v>0</v>
      </c>
      <c r="AA18" s="1" t="b">
        <f t="shared" si="2"/>
        <v>1</v>
      </c>
      <c r="AE18" s="171" t="s">
        <v>109</v>
      </c>
      <c r="AF18" s="165"/>
      <c r="AG18" s="166" t="s">
        <v>115</v>
      </c>
      <c r="AH18" s="166" t="s">
        <v>116</v>
      </c>
      <c r="AI18" s="167">
        <v>542700</v>
      </c>
      <c r="AJ18" s="167">
        <v>406464</v>
      </c>
      <c r="AK18" s="167">
        <v>949164</v>
      </c>
      <c r="AL18" s="1">
        <v>4</v>
      </c>
      <c r="AM18" s="1">
        <f t="shared" si="3"/>
        <v>2170800</v>
      </c>
      <c r="AN18" s="1">
        <f t="shared" si="4"/>
        <v>1625856</v>
      </c>
      <c r="AO18" s="1">
        <f t="shared" si="5"/>
        <v>3796656</v>
      </c>
      <c r="AP18" s="1"/>
      <c r="AQ18" s="1"/>
      <c r="AR18" s="1"/>
      <c r="AS18" s="1"/>
    </row>
    <row r="19" spans="1:45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O19" s="9"/>
      <c r="P19" s="200"/>
      <c r="Q19" s="201"/>
      <c r="R19" s="197"/>
      <c r="S19" s="198"/>
      <c r="T19" s="198"/>
      <c r="U19" s="198"/>
      <c r="V19" s="198"/>
      <c r="W19" s="198"/>
      <c r="X19" s="198"/>
      <c r="Y19" s="1">
        <f t="shared" si="6"/>
        <v>0</v>
      </c>
      <c r="Z19" s="1">
        <f t="shared" si="1"/>
        <v>0</v>
      </c>
      <c r="AA19" s="1" t="b">
        <f t="shared" si="2"/>
        <v>1</v>
      </c>
      <c r="AE19" s="171" t="s">
        <v>117</v>
      </c>
      <c r="AF19" s="165"/>
      <c r="AG19" s="166" t="s">
        <v>110</v>
      </c>
      <c r="AH19" s="166" t="s">
        <v>118</v>
      </c>
      <c r="AI19" s="167">
        <v>755649</v>
      </c>
      <c r="AJ19" s="167">
        <v>335220</v>
      </c>
      <c r="AK19" s="167">
        <v>1090869</v>
      </c>
      <c r="AL19" s="1">
        <v>4</v>
      </c>
      <c r="AM19" s="1">
        <f t="shared" si="3"/>
        <v>3022596</v>
      </c>
      <c r="AN19" s="1">
        <f t="shared" si="4"/>
        <v>1340880</v>
      </c>
      <c r="AO19" s="1">
        <f t="shared" si="5"/>
        <v>4363476</v>
      </c>
      <c r="AP19" s="1"/>
      <c r="AQ19" s="1"/>
      <c r="AR19" s="1"/>
      <c r="AS19" s="1"/>
    </row>
    <row r="20" spans="1:45" ht="24" customHeight="1">
      <c r="A20" s="8"/>
      <c r="B20" s="9"/>
      <c r="C20" s="271" t="s">
        <v>7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3"/>
      <c r="N20" s="11"/>
      <c r="O20" s="9"/>
      <c r="P20" s="200"/>
      <c r="Q20" s="201"/>
      <c r="R20" s="197"/>
      <c r="S20" s="198"/>
      <c r="T20" s="198"/>
      <c r="U20" s="198"/>
      <c r="V20" s="198"/>
      <c r="W20" s="198"/>
      <c r="X20" s="198"/>
      <c r="Y20" s="1">
        <f t="shared" si="6"/>
        <v>0</v>
      </c>
      <c r="Z20" s="1">
        <f t="shared" si="1"/>
        <v>0</v>
      </c>
      <c r="AA20" s="1" t="b">
        <f t="shared" si="2"/>
        <v>1</v>
      </c>
      <c r="AE20" s="171" t="s">
        <v>117</v>
      </c>
      <c r="AF20" s="165"/>
      <c r="AG20" s="166" t="s">
        <v>121</v>
      </c>
      <c r="AH20" s="166" t="s">
        <v>122</v>
      </c>
      <c r="AI20" s="167">
        <v>137224</v>
      </c>
      <c r="AJ20" s="167">
        <v>118812</v>
      </c>
      <c r="AK20" s="167">
        <v>256036</v>
      </c>
      <c r="AL20" s="1">
        <v>4</v>
      </c>
      <c r="AM20" s="1">
        <f t="shared" si="3"/>
        <v>548896</v>
      </c>
      <c r="AN20" s="1">
        <f t="shared" si="4"/>
        <v>475248</v>
      </c>
      <c r="AO20" s="1">
        <f t="shared" si="5"/>
        <v>1024144</v>
      </c>
      <c r="AP20" s="1"/>
      <c r="AQ20" s="1"/>
      <c r="AR20" s="1"/>
      <c r="AS20" s="1"/>
    </row>
    <row r="21" spans="1:45" ht="24" customHeight="1">
      <c r="A21" s="8"/>
      <c r="B21" s="9"/>
      <c r="C21" s="260" t="s">
        <v>8</v>
      </c>
      <c r="D21" s="261"/>
      <c r="E21" s="262"/>
      <c r="F21" s="263"/>
      <c r="G21" s="12" t="s">
        <v>23</v>
      </c>
      <c r="H21" s="264"/>
      <c r="I21" s="263"/>
      <c r="J21" s="12" t="s">
        <v>23</v>
      </c>
      <c r="K21" s="264"/>
      <c r="L21" s="263"/>
      <c r="M21" s="265"/>
      <c r="N21" s="11"/>
      <c r="O21" s="9"/>
      <c r="P21" s="200"/>
      <c r="Q21" s="201"/>
      <c r="R21" s="197"/>
      <c r="S21" s="198"/>
      <c r="T21" s="198"/>
      <c r="U21" s="198"/>
      <c r="V21" s="198"/>
      <c r="W21" s="198"/>
      <c r="X21" s="198"/>
      <c r="Y21" s="1">
        <f t="shared" si="6"/>
        <v>0</v>
      </c>
      <c r="Z21" s="1">
        <f t="shared" si="1"/>
        <v>0</v>
      </c>
      <c r="AA21" s="1" t="b">
        <f t="shared" si="2"/>
        <v>1</v>
      </c>
      <c r="AB21" s="19"/>
      <c r="AC21" s="19"/>
      <c r="AD21" s="19"/>
      <c r="AE21" s="171" t="s">
        <v>117</v>
      </c>
      <c r="AF21" s="165"/>
      <c r="AG21" s="166" t="s">
        <v>103</v>
      </c>
      <c r="AH21" s="166" t="s">
        <v>123</v>
      </c>
      <c r="AI21" s="167">
        <v>226135</v>
      </c>
      <c r="AJ21" s="167">
        <v>97855</v>
      </c>
      <c r="AK21" s="167">
        <v>323990</v>
      </c>
      <c r="AL21" s="1">
        <v>4</v>
      </c>
      <c r="AM21" s="1">
        <f t="shared" si="3"/>
        <v>904540</v>
      </c>
      <c r="AN21" s="1">
        <f t="shared" si="4"/>
        <v>391420</v>
      </c>
      <c r="AO21" s="1">
        <f t="shared" si="5"/>
        <v>1295960</v>
      </c>
      <c r="AP21" s="1"/>
      <c r="AQ21" s="1"/>
      <c r="AR21" s="1"/>
      <c r="AS21" s="1"/>
    </row>
    <row r="22" spans="1:45" ht="24" customHeight="1">
      <c r="A22" s="8"/>
      <c r="B22" s="9"/>
      <c r="C22" s="260" t="s">
        <v>9</v>
      </c>
      <c r="D22" s="261"/>
      <c r="E22" s="266" t="s">
        <v>55</v>
      </c>
      <c r="F22" s="267"/>
      <c r="G22" s="267"/>
      <c r="H22" s="268"/>
      <c r="I22" s="261" t="s">
        <v>10</v>
      </c>
      <c r="J22" s="261"/>
      <c r="K22" s="269"/>
      <c r="L22" s="263"/>
      <c r="M22" s="265"/>
      <c r="N22" s="11"/>
      <c r="O22" s="9"/>
      <c r="X22" s="19">
        <f>SUM(X10:X21)</f>
        <v>455994555</v>
      </c>
      <c r="AB22" s="19"/>
      <c r="AC22" s="19"/>
      <c r="AD22" s="19"/>
      <c r="AE22" s="171"/>
      <c r="AF22" s="165"/>
      <c r="AG22" s="166"/>
      <c r="AH22" s="166"/>
      <c r="AI22" s="167"/>
      <c r="AJ22" s="167"/>
      <c r="AK22" s="167"/>
      <c r="AM22" s="1">
        <f>SUM(AM10:AM21)</f>
        <v>121280432</v>
      </c>
      <c r="AN22" s="1">
        <f>SUM(AN10:AN21)</f>
        <v>26938187</v>
      </c>
      <c r="AO22" s="1">
        <f>SUM(AO10:AO21)</f>
        <v>148218619</v>
      </c>
      <c r="AP22" s="1">
        <f>AM22/AO22</f>
        <v>0.81825369051643915</v>
      </c>
      <c r="AQ22" s="1">
        <f>AN22/AO22</f>
        <v>0.18174630948356091</v>
      </c>
      <c r="AR22" s="1"/>
      <c r="AS22" s="1"/>
    </row>
    <row r="23" spans="1:45" ht="24" customHeight="1">
      <c r="A23" s="8"/>
      <c r="B23" s="9"/>
      <c r="C23" s="260" t="s">
        <v>11</v>
      </c>
      <c r="D23" s="261"/>
      <c r="E23" s="232">
        <f>SUM(M10:N15)</f>
        <v>186663691</v>
      </c>
      <c r="F23" s="233"/>
      <c r="G23" s="233"/>
      <c r="H23" s="270"/>
      <c r="I23" s="261" t="s">
        <v>12</v>
      </c>
      <c r="J23" s="261"/>
      <c r="K23" s="232"/>
      <c r="L23" s="233"/>
      <c r="M23" s="234"/>
      <c r="N23" s="11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AE23" s="171" t="s">
        <v>94</v>
      </c>
      <c r="AF23" s="168" t="s">
        <v>124</v>
      </c>
      <c r="AG23" s="169" t="s">
        <v>105</v>
      </c>
      <c r="AH23" s="169" t="s">
        <v>106</v>
      </c>
      <c r="AI23" s="170">
        <v>840492</v>
      </c>
      <c r="AJ23" s="170">
        <v>335342</v>
      </c>
      <c r="AK23" s="170">
        <v>1175834</v>
      </c>
      <c r="AL23" s="1">
        <v>8</v>
      </c>
      <c r="AM23" s="1">
        <f t="shared" si="3"/>
        <v>6723936</v>
      </c>
      <c r="AN23" s="1">
        <f t="shared" si="4"/>
        <v>2682736</v>
      </c>
      <c r="AO23" s="1">
        <f t="shared" si="5"/>
        <v>9406672</v>
      </c>
      <c r="AP23" s="1"/>
      <c r="AQ23" s="1"/>
      <c r="AR23" s="1"/>
      <c r="AS23" s="1"/>
    </row>
    <row r="24" spans="1:45" ht="24" customHeight="1">
      <c r="A24" s="8"/>
      <c r="B24" s="9"/>
      <c r="C24" s="252" t="s">
        <v>13</v>
      </c>
      <c r="D24" s="253"/>
      <c r="E24" s="254"/>
      <c r="F24" s="254"/>
      <c r="G24" s="254"/>
      <c r="H24" s="7" t="s">
        <v>14</v>
      </c>
      <c r="I24" s="255">
        <f>E23+K23</f>
        <v>186663691</v>
      </c>
      <c r="J24" s="256"/>
      <c r="K24" s="256"/>
      <c r="L24" s="256"/>
      <c r="M24" s="257"/>
      <c r="N24" s="11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9"/>
      <c r="AA24" s="19"/>
      <c r="AB24" s="19"/>
      <c r="AC24" s="19"/>
      <c r="AD24" s="19"/>
      <c r="AE24" s="171" t="s">
        <v>109</v>
      </c>
      <c r="AF24" s="165" t="s">
        <v>124</v>
      </c>
      <c r="AG24" s="166" t="s">
        <v>105</v>
      </c>
      <c r="AH24" s="166" t="s">
        <v>112</v>
      </c>
      <c r="AI24" s="167">
        <v>265831</v>
      </c>
      <c r="AJ24" s="167">
        <v>284545</v>
      </c>
      <c r="AK24" s="167">
        <v>550376</v>
      </c>
      <c r="AL24" s="1">
        <v>1</v>
      </c>
      <c r="AM24" s="1">
        <f t="shared" si="3"/>
        <v>265831</v>
      </c>
      <c r="AN24" s="1">
        <f t="shared" si="4"/>
        <v>284545</v>
      </c>
      <c r="AO24" s="1">
        <f t="shared" si="5"/>
        <v>550376</v>
      </c>
      <c r="AP24" s="1"/>
      <c r="AQ24" s="1"/>
      <c r="AR24" s="1"/>
      <c r="AS24" s="1"/>
    </row>
    <row r="25" spans="1:45" ht="24" customHeight="1">
      <c r="A25" s="8"/>
      <c r="B25" s="9"/>
      <c r="C25" s="9"/>
      <c r="D25" s="9"/>
      <c r="E25" s="9"/>
      <c r="F25" s="106"/>
      <c r="G25" s="9"/>
      <c r="H25" s="9"/>
      <c r="I25" s="9"/>
      <c r="J25" s="9"/>
      <c r="K25" s="9"/>
      <c r="L25" s="9"/>
      <c r="M25" s="9"/>
      <c r="N25" s="11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AE25" s="171" t="s">
        <v>117</v>
      </c>
      <c r="AF25" s="165" t="s">
        <v>124</v>
      </c>
      <c r="AG25" s="166" t="s">
        <v>113</v>
      </c>
      <c r="AH25" s="166" t="s">
        <v>119</v>
      </c>
      <c r="AI25" s="167">
        <v>492016</v>
      </c>
      <c r="AJ25" s="167">
        <v>238365</v>
      </c>
      <c r="AK25" s="167">
        <v>730381</v>
      </c>
      <c r="AL25" s="1">
        <v>4</v>
      </c>
      <c r="AM25" s="1">
        <f t="shared" si="3"/>
        <v>1968064</v>
      </c>
      <c r="AN25" s="1">
        <f t="shared" si="4"/>
        <v>953460</v>
      </c>
      <c r="AO25" s="1">
        <f t="shared" si="5"/>
        <v>2921524</v>
      </c>
      <c r="AP25" s="1"/>
      <c r="AQ25" s="1"/>
      <c r="AR25" s="1"/>
      <c r="AS25" s="1"/>
    </row>
    <row r="26" spans="1:45" ht="27" customHeight="1">
      <c r="A26" s="258" t="s">
        <v>15</v>
      </c>
      <c r="B26" s="259"/>
      <c r="C26" s="239" t="str">
        <f>NUMBERSTRING(I24, 1)</f>
        <v>일억팔천육백육십육만삼천육백구십일</v>
      </c>
      <c r="D26" s="239"/>
      <c r="E26" s="239"/>
      <c r="F26" s="239"/>
      <c r="G26" s="239"/>
      <c r="H26" s="13"/>
      <c r="I26" s="13"/>
      <c r="J26" s="13" t="s">
        <v>16</v>
      </c>
      <c r="K26" s="235">
        <f>I24</f>
        <v>186663691</v>
      </c>
      <c r="L26" s="235"/>
      <c r="M26" s="235"/>
      <c r="N26" s="236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AE26" s="171" t="s">
        <v>117</v>
      </c>
      <c r="AF26" s="165" t="s">
        <v>124</v>
      </c>
      <c r="AG26" s="166" t="s">
        <v>105</v>
      </c>
      <c r="AH26" s="166" t="s">
        <v>120</v>
      </c>
      <c r="AI26" s="167">
        <v>147734</v>
      </c>
      <c r="AJ26" s="167">
        <v>163521</v>
      </c>
      <c r="AK26" s="167">
        <v>311255</v>
      </c>
      <c r="AL26" s="1">
        <v>4</v>
      </c>
      <c r="AM26" s="1">
        <f t="shared" si="3"/>
        <v>590936</v>
      </c>
      <c r="AN26" s="1">
        <f t="shared" si="4"/>
        <v>654084</v>
      </c>
      <c r="AO26" s="1">
        <f t="shared" si="5"/>
        <v>1245020</v>
      </c>
      <c r="AP26" s="1"/>
      <c r="AQ26" s="1"/>
      <c r="AR26" s="1"/>
      <c r="AS26" s="1"/>
    </row>
    <row r="27" spans="1:45" ht="27" customHeight="1">
      <c r="A27" s="237" t="s">
        <v>17</v>
      </c>
      <c r="B27" s="237"/>
      <c r="C27" s="237"/>
      <c r="D27" s="366" t="s">
        <v>25</v>
      </c>
      <c r="E27" s="237"/>
      <c r="F27" s="237"/>
      <c r="G27" s="237"/>
      <c r="H27" s="237"/>
      <c r="I27" s="237"/>
      <c r="J27" s="237" t="s">
        <v>18</v>
      </c>
      <c r="K27" s="237"/>
      <c r="L27" s="247"/>
      <c r="M27" s="248"/>
      <c r="N27" s="249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AE27" s="165"/>
      <c r="AF27" s="165"/>
      <c r="AG27" s="165"/>
      <c r="AH27" s="165"/>
      <c r="AI27" s="165"/>
      <c r="AJ27" s="165"/>
      <c r="AK27" s="165"/>
      <c r="AM27" s="1">
        <f>SUM(AM23:AM26)</f>
        <v>9548767</v>
      </c>
      <c r="AN27" s="1">
        <f>SUM(AN23:AN26)</f>
        <v>4574825</v>
      </c>
      <c r="AO27" s="1">
        <f>SUM(AO23:AO26)</f>
        <v>14123592</v>
      </c>
      <c r="AP27" s="1">
        <f>AM27/AO27</f>
        <v>0.67608629589413227</v>
      </c>
      <c r="AQ27" s="1">
        <f>AN27/AO27</f>
        <v>0.32391370410586767</v>
      </c>
      <c r="AR27" s="1"/>
      <c r="AS27" s="1"/>
    </row>
    <row r="28" spans="1:45" ht="27" customHeight="1">
      <c r="A28" s="237" t="s">
        <v>19</v>
      </c>
      <c r="B28" s="237"/>
      <c r="C28" s="237"/>
      <c r="D28" s="238" t="s">
        <v>53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AE28" s="165"/>
      <c r="AF28" s="165"/>
      <c r="AG28" s="165"/>
      <c r="AH28" s="165"/>
      <c r="AI28" s="165"/>
      <c r="AJ28" s="165"/>
      <c r="AK28" s="165"/>
      <c r="AM28" s="1"/>
      <c r="AN28" s="1"/>
      <c r="AO28" s="1"/>
      <c r="AP28" s="1"/>
      <c r="AQ28" s="1"/>
      <c r="AR28" s="1"/>
      <c r="AS28" s="1"/>
    </row>
    <row r="29" spans="1:45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AE29" s="165"/>
      <c r="AF29" s="165"/>
      <c r="AG29" s="165"/>
      <c r="AH29" s="165"/>
      <c r="AI29" s="165"/>
      <c r="AJ29" s="165"/>
      <c r="AK29" s="165"/>
      <c r="AM29" s="1"/>
      <c r="AN29" s="1"/>
      <c r="AO29" s="1"/>
      <c r="AP29" s="1"/>
      <c r="AQ29" s="1"/>
      <c r="AR29" s="1"/>
      <c r="AS29" s="1"/>
    </row>
    <row r="30" spans="1:45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AE30" s="165"/>
      <c r="AF30" s="165"/>
      <c r="AG30" s="165"/>
      <c r="AH30" s="165"/>
      <c r="AI30" s="165"/>
      <c r="AJ30" s="165"/>
      <c r="AK30" s="165"/>
      <c r="AM30" s="1"/>
      <c r="AN30" s="1"/>
      <c r="AO30" s="1"/>
      <c r="AP30" s="1"/>
      <c r="AQ30" s="1"/>
      <c r="AR30" s="1"/>
      <c r="AS30" s="1"/>
    </row>
    <row r="31" spans="1:45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AE31" s="165"/>
      <c r="AF31" s="165"/>
      <c r="AG31" s="165"/>
      <c r="AH31" s="165"/>
      <c r="AI31" s="165"/>
      <c r="AJ31" s="165"/>
      <c r="AK31" s="165"/>
      <c r="AM31" s="1"/>
      <c r="AN31" s="1"/>
      <c r="AO31" s="1"/>
      <c r="AP31" s="1"/>
      <c r="AQ31" s="1"/>
      <c r="AR31" s="1"/>
      <c r="AS31" s="1"/>
    </row>
    <row r="32" spans="1:45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AE32" s="165"/>
      <c r="AF32" s="165"/>
      <c r="AG32" s="165"/>
      <c r="AH32" s="165"/>
      <c r="AI32" s="165"/>
      <c r="AJ32" s="165"/>
      <c r="AK32" s="165"/>
      <c r="AM32" s="1"/>
      <c r="AN32" s="1"/>
      <c r="AO32" s="1"/>
      <c r="AP32" s="1"/>
      <c r="AQ32" s="1"/>
      <c r="AR32" s="1"/>
      <c r="AS32" s="1"/>
    </row>
    <row r="33" spans="1:45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AE33" s="165"/>
      <c r="AF33" s="165"/>
      <c r="AG33" s="165"/>
      <c r="AH33" s="165"/>
      <c r="AI33" s="165"/>
      <c r="AJ33" s="165"/>
      <c r="AK33" s="165"/>
      <c r="AM33" s="1"/>
      <c r="AN33" s="1"/>
      <c r="AO33" s="1"/>
      <c r="AP33" s="1"/>
      <c r="AQ33" s="1"/>
      <c r="AR33" s="1"/>
      <c r="AS33" s="1"/>
    </row>
    <row r="34" spans="1:45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AE34" s="165"/>
      <c r="AF34" s="165"/>
      <c r="AG34" s="165"/>
      <c r="AH34" s="165"/>
      <c r="AI34" s="165"/>
      <c r="AJ34" s="165"/>
      <c r="AK34" s="165"/>
      <c r="AM34" s="1"/>
      <c r="AN34" s="1"/>
      <c r="AO34" s="1"/>
      <c r="AP34" s="1"/>
      <c r="AQ34" s="1"/>
      <c r="AR34" s="1"/>
      <c r="AS34" s="1"/>
    </row>
    <row r="35" spans="1:45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AE35" s="165"/>
      <c r="AF35" s="165"/>
      <c r="AG35" s="165"/>
      <c r="AH35" s="165"/>
      <c r="AI35" s="165"/>
      <c r="AJ35" s="165"/>
      <c r="AK35" s="165"/>
      <c r="AM35" s="1"/>
      <c r="AN35" s="1"/>
      <c r="AO35" s="1"/>
      <c r="AP35" s="1"/>
      <c r="AQ35" s="1"/>
      <c r="AR35" s="1"/>
      <c r="AS35" s="1"/>
    </row>
    <row r="36" spans="1:45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AE36" s="165"/>
      <c r="AF36" s="165"/>
      <c r="AG36" s="165"/>
      <c r="AH36" s="165"/>
      <c r="AI36" s="165"/>
      <c r="AJ36" s="165"/>
      <c r="AK36" s="165"/>
      <c r="AM36" s="1"/>
      <c r="AN36" s="1"/>
      <c r="AO36" s="1"/>
      <c r="AP36" s="1"/>
      <c r="AQ36" s="1"/>
      <c r="AR36" s="1"/>
      <c r="AS36" s="1"/>
    </row>
    <row r="37" spans="1:45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AE37" s="165"/>
      <c r="AF37" s="165"/>
      <c r="AG37" s="165"/>
      <c r="AH37" s="165"/>
      <c r="AI37" s="165"/>
      <c r="AJ37" s="165"/>
      <c r="AK37" s="165"/>
      <c r="AM37" s="1"/>
      <c r="AN37" s="1"/>
      <c r="AO37" s="1"/>
      <c r="AP37" s="1"/>
      <c r="AQ37" s="1"/>
      <c r="AR37" s="1"/>
      <c r="AS37" s="1"/>
    </row>
    <row r="38" spans="1:45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AE38" s="165"/>
      <c r="AF38" s="165"/>
      <c r="AG38" s="165"/>
      <c r="AH38" s="165"/>
      <c r="AI38" s="165"/>
      <c r="AJ38" s="165"/>
      <c r="AK38" s="165"/>
      <c r="AM38" s="1"/>
      <c r="AN38" s="1"/>
      <c r="AO38" s="1"/>
      <c r="AP38" s="1"/>
      <c r="AQ38" s="1"/>
      <c r="AR38" s="1"/>
      <c r="AS38" s="1"/>
    </row>
    <row r="39" spans="1:45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AE39" s="165"/>
      <c r="AF39" s="165"/>
      <c r="AG39" s="165"/>
      <c r="AH39" s="165"/>
      <c r="AI39" s="165"/>
      <c r="AJ39" s="165"/>
      <c r="AK39" s="165"/>
      <c r="AM39" s="1"/>
      <c r="AN39" s="1"/>
      <c r="AO39" s="1"/>
      <c r="AP39" s="1"/>
      <c r="AQ39" s="1"/>
      <c r="AR39" s="1"/>
      <c r="AS39" s="1"/>
    </row>
    <row r="40" spans="1:45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AE40" s="165"/>
      <c r="AF40" s="165"/>
      <c r="AG40" s="165"/>
      <c r="AH40" s="165"/>
      <c r="AI40" s="165"/>
      <c r="AJ40" s="165"/>
      <c r="AK40" s="165"/>
      <c r="AM40" s="1"/>
      <c r="AN40" s="1"/>
      <c r="AO40" s="1"/>
      <c r="AP40" s="1"/>
      <c r="AQ40" s="1"/>
      <c r="AR40" s="1"/>
      <c r="AS40" s="1"/>
    </row>
    <row r="41" spans="1:45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AE41" s="165"/>
      <c r="AF41" s="165"/>
      <c r="AG41" s="165"/>
      <c r="AH41" s="165"/>
      <c r="AI41" s="165"/>
      <c r="AJ41" s="165"/>
      <c r="AK41" s="165"/>
      <c r="AM41" s="1"/>
      <c r="AN41" s="1"/>
      <c r="AO41" s="1"/>
      <c r="AP41" s="1"/>
      <c r="AQ41" s="1"/>
      <c r="AR41" s="1"/>
      <c r="AS41" s="1"/>
    </row>
    <row r="42" spans="1:45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AE42" s="165"/>
      <c r="AF42" s="165"/>
      <c r="AG42" s="165"/>
      <c r="AH42" s="165"/>
      <c r="AI42" s="165"/>
      <c r="AJ42" s="165"/>
      <c r="AK42" s="165"/>
      <c r="AM42" s="1"/>
      <c r="AN42" s="1"/>
      <c r="AO42" s="1"/>
      <c r="AP42" s="1"/>
      <c r="AQ42" s="1"/>
      <c r="AR42" s="1"/>
      <c r="AS42" s="1"/>
    </row>
    <row r="43" spans="1:45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AE43" s="165"/>
      <c r="AF43" s="165"/>
      <c r="AG43" s="165"/>
      <c r="AH43" s="165"/>
      <c r="AI43" s="165"/>
      <c r="AJ43" s="165"/>
      <c r="AK43" s="165"/>
      <c r="AM43" s="1"/>
      <c r="AN43" s="1"/>
      <c r="AO43" s="1"/>
      <c r="AP43" s="1"/>
      <c r="AQ43" s="1"/>
      <c r="AR43" s="1"/>
      <c r="AS43" s="1"/>
    </row>
    <row r="44" spans="1:45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2" t="e">
        <f>+#REF!*#REF!</f>
        <v>#REF!</v>
      </c>
      <c r="AA44" s="62"/>
      <c r="AB44" s="62"/>
      <c r="AC44" s="62"/>
      <c r="AD44" s="62"/>
      <c r="AE44" s="165"/>
      <c r="AF44" s="165"/>
      <c r="AG44" s="165"/>
      <c r="AH44" s="165"/>
      <c r="AI44" s="165"/>
      <c r="AJ44" s="165"/>
      <c r="AK44" s="165"/>
      <c r="AM44" s="1"/>
      <c r="AN44" s="1"/>
      <c r="AO44" s="1"/>
      <c r="AP44" s="1"/>
      <c r="AQ44" s="1"/>
      <c r="AR44" s="1"/>
      <c r="AS44" s="1"/>
    </row>
    <row r="45" spans="1:45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2" t="e">
        <f>+#REF!*#REF!</f>
        <v>#REF!</v>
      </c>
      <c r="AA45" s="62"/>
      <c r="AB45" s="62"/>
      <c r="AC45" s="62"/>
      <c r="AD45" s="62"/>
      <c r="AE45" s="165"/>
      <c r="AF45" s="165"/>
      <c r="AG45" s="165"/>
      <c r="AH45" s="165"/>
      <c r="AI45" s="165"/>
      <c r="AJ45" s="165"/>
      <c r="AK45" s="165"/>
      <c r="AM45" s="1"/>
      <c r="AN45" s="1"/>
      <c r="AO45" s="1"/>
      <c r="AP45" s="1"/>
      <c r="AQ45" s="1"/>
      <c r="AR45" s="1"/>
      <c r="AS45" s="1"/>
    </row>
    <row r="46" spans="1:45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2" t="e">
        <f>+#REF!*#REF!</f>
        <v>#REF!</v>
      </c>
      <c r="AA46" s="62"/>
      <c r="AB46" s="62"/>
      <c r="AC46" s="62"/>
      <c r="AD46" s="62"/>
      <c r="AE46" s="165"/>
      <c r="AF46" s="165"/>
      <c r="AG46" s="165"/>
      <c r="AH46" s="165"/>
      <c r="AI46" s="165"/>
      <c r="AJ46" s="165"/>
      <c r="AK46" s="165"/>
      <c r="AM46" s="1"/>
      <c r="AN46" s="1"/>
      <c r="AO46" s="1"/>
      <c r="AP46" s="1"/>
      <c r="AQ46" s="1"/>
      <c r="AR46" s="1"/>
      <c r="AS46" s="1"/>
    </row>
    <row r="47" spans="1:45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AE47" s="165"/>
      <c r="AF47" s="165"/>
      <c r="AG47" s="165"/>
      <c r="AH47" s="165"/>
      <c r="AI47" s="165"/>
      <c r="AJ47" s="165"/>
      <c r="AK47" s="165"/>
      <c r="AM47" s="1"/>
      <c r="AN47" s="1"/>
      <c r="AO47" s="1"/>
      <c r="AP47" s="1"/>
      <c r="AQ47" s="1"/>
      <c r="AR47" s="1"/>
      <c r="AS47" s="1"/>
    </row>
    <row r="48" spans="1:45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2" t="e">
        <f>INT(Z44)</f>
        <v>#REF!</v>
      </c>
      <c r="AA48" s="62"/>
      <c r="AB48" s="62"/>
      <c r="AC48" s="62"/>
      <c r="AD48" s="62"/>
      <c r="AE48" s="165"/>
      <c r="AF48" s="165"/>
      <c r="AG48" s="165"/>
      <c r="AH48" s="165"/>
      <c r="AI48" s="165"/>
      <c r="AJ48" s="165"/>
      <c r="AK48" s="165"/>
      <c r="AM48" s="1"/>
      <c r="AN48" s="1"/>
      <c r="AO48" s="1"/>
      <c r="AP48" s="1"/>
      <c r="AQ48" s="1"/>
      <c r="AR48" s="1"/>
      <c r="AS48" s="1"/>
    </row>
    <row r="49" spans="1:45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2" t="e">
        <f t="shared" ref="Z49:Z50" si="7">INT(Z45)</f>
        <v>#REF!</v>
      </c>
      <c r="AA49" s="62"/>
      <c r="AB49" s="62"/>
      <c r="AC49" s="62"/>
      <c r="AD49" s="62"/>
      <c r="AE49" s="165"/>
      <c r="AF49" s="165"/>
      <c r="AG49" s="165"/>
      <c r="AH49" s="165"/>
      <c r="AI49" s="165"/>
      <c r="AJ49" s="165"/>
      <c r="AK49" s="165"/>
      <c r="AM49" s="1"/>
      <c r="AN49" s="1"/>
      <c r="AO49" s="1"/>
      <c r="AP49" s="1"/>
      <c r="AQ49" s="1"/>
      <c r="AR49" s="1"/>
      <c r="AS49" s="1"/>
    </row>
    <row r="50" spans="1:45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2" t="e">
        <f t="shared" si="7"/>
        <v>#REF!</v>
      </c>
      <c r="AA50" s="62"/>
      <c r="AB50" s="62"/>
      <c r="AC50" s="62"/>
      <c r="AD50" s="62"/>
      <c r="AE50" s="165"/>
      <c r="AF50" s="165"/>
      <c r="AG50" s="165"/>
      <c r="AH50" s="165"/>
      <c r="AI50" s="165"/>
      <c r="AJ50" s="165"/>
      <c r="AK50" s="165"/>
      <c r="AM50" s="1"/>
      <c r="AN50" s="1"/>
      <c r="AO50" s="1"/>
      <c r="AP50" s="1"/>
      <c r="AQ50" s="1"/>
      <c r="AR50" s="1"/>
      <c r="AS50" s="1"/>
    </row>
    <row r="51" spans="1:45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AE51" s="165"/>
      <c r="AF51" s="165"/>
      <c r="AG51" s="165"/>
      <c r="AH51" s="165"/>
      <c r="AI51" s="165"/>
      <c r="AJ51" s="165"/>
      <c r="AK51" s="165"/>
      <c r="AM51" s="1"/>
      <c r="AN51" s="1"/>
      <c r="AO51" s="1"/>
      <c r="AP51" s="1"/>
      <c r="AQ51" s="1"/>
      <c r="AR51" s="1"/>
      <c r="AS51" s="1"/>
    </row>
    <row r="52" spans="1:45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AE52" s="165"/>
      <c r="AF52" s="165"/>
      <c r="AG52" s="165"/>
      <c r="AH52" s="165"/>
      <c r="AI52" s="165"/>
      <c r="AJ52" s="165"/>
      <c r="AK52" s="165"/>
      <c r="AM52" s="1"/>
      <c r="AN52" s="1"/>
      <c r="AO52" s="1"/>
      <c r="AP52" s="1"/>
      <c r="AQ52" s="1"/>
      <c r="AR52" s="1"/>
      <c r="AS52" s="1"/>
    </row>
    <row r="53" spans="1:45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AE53" s="165"/>
      <c r="AF53" s="165"/>
      <c r="AG53" s="165"/>
      <c r="AH53" s="165"/>
      <c r="AI53" s="165"/>
      <c r="AJ53" s="165"/>
      <c r="AK53" s="165"/>
      <c r="AM53" s="1"/>
      <c r="AN53" s="1"/>
      <c r="AO53" s="1"/>
      <c r="AP53" s="1"/>
      <c r="AQ53" s="1"/>
      <c r="AR53" s="1"/>
      <c r="AS53" s="1"/>
    </row>
    <row r="54" spans="1:45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AE54" s="165"/>
      <c r="AF54" s="165"/>
      <c r="AG54" s="165"/>
      <c r="AH54" s="165"/>
      <c r="AI54" s="165"/>
      <c r="AJ54" s="165"/>
      <c r="AK54" s="165"/>
      <c r="AM54" s="1"/>
      <c r="AN54" s="1"/>
      <c r="AO54" s="1"/>
      <c r="AP54" s="1"/>
      <c r="AQ54" s="1"/>
      <c r="AR54" s="1"/>
      <c r="AS54" s="1"/>
    </row>
    <row r="55" spans="1:45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AE55" s="165"/>
      <c r="AF55" s="165"/>
      <c r="AG55" s="165"/>
      <c r="AH55" s="165"/>
      <c r="AI55" s="165"/>
      <c r="AJ55" s="165"/>
      <c r="AK55" s="165"/>
      <c r="AM55" s="1"/>
      <c r="AN55" s="1"/>
      <c r="AO55" s="1"/>
      <c r="AP55" s="1"/>
      <c r="AQ55" s="1"/>
      <c r="AR55" s="1"/>
      <c r="AS55" s="1"/>
    </row>
    <row r="56" spans="1:45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AE56" s="165"/>
      <c r="AF56" s="165"/>
      <c r="AG56" s="165"/>
      <c r="AH56" s="165"/>
      <c r="AI56" s="165"/>
      <c r="AJ56" s="165"/>
      <c r="AK56" s="165"/>
      <c r="AM56" s="1"/>
      <c r="AN56" s="1"/>
      <c r="AO56" s="1"/>
      <c r="AP56" s="1"/>
      <c r="AQ56" s="1"/>
      <c r="AR56" s="1"/>
      <c r="AS56" s="1"/>
    </row>
    <row r="57" spans="1:45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AE57" s="165"/>
      <c r="AF57" s="165"/>
      <c r="AG57" s="165"/>
      <c r="AH57" s="165"/>
      <c r="AI57" s="165"/>
      <c r="AJ57" s="165"/>
      <c r="AK57" s="165"/>
      <c r="AM57" s="1"/>
      <c r="AN57" s="1"/>
      <c r="AO57" s="1"/>
      <c r="AP57" s="1"/>
      <c r="AQ57" s="1"/>
      <c r="AR57" s="1"/>
      <c r="AS57" s="1"/>
    </row>
    <row r="58" spans="1:45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AE58" s="165"/>
      <c r="AF58" s="165"/>
      <c r="AG58" s="165"/>
      <c r="AH58" s="165"/>
      <c r="AI58" s="165"/>
      <c r="AJ58" s="165"/>
      <c r="AK58" s="165"/>
      <c r="AM58" s="1"/>
      <c r="AN58" s="1"/>
      <c r="AO58" s="1"/>
      <c r="AP58" s="1"/>
      <c r="AQ58" s="1"/>
      <c r="AR58" s="1"/>
      <c r="AS58" s="1"/>
    </row>
    <row r="59" spans="1:45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AE59" s="165"/>
      <c r="AF59" s="165"/>
      <c r="AG59" s="165"/>
      <c r="AH59" s="165"/>
      <c r="AI59" s="165"/>
      <c r="AJ59" s="165"/>
      <c r="AK59" s="165"/>
      <c r="AM59" s="1"/>
      <c r="AN59" s="1"/>
      <c r="AO59" s="1"/>
      <c r="AP59" s="1"/>
      <c r="AQ59" s="1"/>
      <c r="AR59" s="1"/>
      <c r="AS59" s="1"/>
    </row>
    <row r="60" spans="1:45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AK60" s="165"/>
      <c r="AL60" s="165"/>
      <c r="AR60" s="1"/>
      <c r="AS60" s="1"/>
    </row>
    <row r="61" spans="1:45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AK61" s="165"/>
      <c r="AL61" s="165"/>
      <c r="AR61" s="1"/>
      <c r="AS61" s="1"/>
    </row>
    <row r="62" spans="1:45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AK62" s="165"/>
      <c r="AL62" s="165"/>
      <c r="AR62" s="1"/>
      <c r="AS62" s="1"/>
    </row>
    <row r="63" spans="1:45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45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</sheetData>
  <mergeCells count="41">
    <mergeCell ref="M11:N11"/>
    <mergeCell ref="A1:N1"/>
    <mergeCell ref="A3:A5"/>
    <mergeCell ref="I3:I5"/>
    <mergeCell ref="A7:N8"/>
    <mergeCell ref="M10:N10"/>
    <mergeCell ref="C22:D22"/>
    <mergeCell ref="E22:H22"/>
    <mergeCell ref="I22:J22"/>
    <mergeCell ref="K22:M22"/>
    <mergeCell ref="M12:N12"/>
    <mergeCell ref="M13:N13"/>
    <mergeCell ref="M14:N14"/>
    <mergeCell ref="M15:N15"/>
    <mergeCell ref="M16:N16"/>
    <mergeCell ref="M18:N18"/>
    <mergeCell ref="C20:M20"/>
    <mergeCell ref="C21:D21"/>
    <mergeCell ref="E21:F21"/>
    <mergeCell ref="H21:I21"/>
    <mergeCell ref="K21:M21"/>
    <mergeCell ref="C23:D23"/>
    <mergeCell ref="E23:H23"/>
    <mergeCell ref="I23:J23"/>
    <mergeCell ref="K23:M23"/>
    <mergeCell ref="C24:D24"/>
    <mergeCell ref="E24:G24"/>
    <mergeCell ref="I24:M24"/>
    <mergeCell ref="A26:B26"/>
    <mergeCell ref="C26:G26"/>
    <mergeCell ref="K26:N26"/>
    <mergeCell ref="A27:C27"/>
    <mergeCell ref="D27:I27"/>
    <mergeCell ref="J27:K27"/>
    <mergeCell ref="L27:N27"/>
    <mergeCell ref="A28:C28"/>
    <mergeCell ref="D28:N28"/>
    <mergeCell ref="A29:C29"/>
    <mergeCell ref="D29:G29"/>
    <mergeCell ref="H29:J29"/>
    <mergeCell ref="K29:N29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0378-57D5-4C59-9C9F-062CFB80E66B}">
  <dimension ref="A1:V75"/>
  <sheetViews>
    <sheetView topLeftCell="A2" zoomScale="80" zoomScaleNormal="80" workbookViewId="0">
      <selection activeCell="M16" sqref="M16:N16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4" width="7.5" style="1" customWidth="1"/>
    <col min="15" max="15" width="13.375" style="1" bestFit="1" customWidth="1"/>
    <col min="16" max="16" width="15.125" style="1" bestFit="1" customWidth="1"/>
    <col min="17" max="17" width="23.5" style="1" customWidth="1"/>
    <col min="18" max="18" width="14.125" style="1" bestFit="1" customWidth="1"/>
    <col min="19" max="20" width="13.375" style="1" bestFit="1" customWidth="1"/>
    <col min="21" max="22" width="12.125" style="1" bestFit="1" customWidth="1"/>
    <col min="23" max="16384" width="9" style="1"/>
  </cols>
  <sheetData>
    <row r="1" spans="1:20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0" s="46" customFormat="1" ht="16.5" customHeight="1">
      <c r="A3" s="371" t="s">
        <v>0</v>
      </c>
      <c r="B3" s="144" t="s">
        <v>1</v>
      </c>
      <c r="C3" s="144" t="s">
        <v>63</v>
      </c>
      <c r="D3" s="144" t="s">
        <v>2</v>
      </c>
      <c r="E3" s="2" t="s">
        <v>88</v>
      </c>
      <c r="F3" s="2" t="s">
        <v>3</v>
      </c>
      <c r="G3" s="145"/>
      <c r="H3" s="145"/>
      <c r="I3" s="371" t="s">
        <v>4</v>
      </c>
      <c r="J3" s="144" t="s">
        <v>1</v>
      </c>
      <c r="K3" s="144" t="s">
        <v>63</v>
      </c>
      <c r="L3" s="144" t="s">
        <v>2</v>
      </c>
      <c r="M3" s="144" t="s">
        <v>64</v>
      </c>
      <c r="N3" s="144" t="s">
        <v>3</v>
      </c>
    </row>
    <row r="4" spans="1:20" s="46" customFormat="1" ht="45" customHeight="1">
      <c r="A4" s="371"/>
      <c r="B4" s="144"/>
      <c r="C4" s="144"/>
      <c r="D4" s="144"/>
      <c r="E4" s="2"/>
      <c r="F4" s="2"/>
      <c r="G4" s="145"/>
      <c r="H4" s="145"/>
      <c r="I4" s="371"/>
      <c r="J4" s="144"/>
      <c r="K4" s="144"/>
      <c r="L4" s="144"/>
      <c r="M4" s="144"/>
      <c r="N4" s="144"/>
    </row>
    <row r="5" spans="1:20" s="46" customFormat="1">
      <c r="A5" s="371"/>
      <c r="B5" s="144" t="s">
        <v>5</v>
      </c>
      <c r="C5" s="144" t="s">
        <v>5</v>
      </c>
      <c r="D5" s="144" t="s">
        <v>5</v>
      </c>
      <c r="E5" s="2" t="s">
        <v>5</v>
      </c>
      <c r="F5" s="2" t="s">
        <v>5</v>
      </c>
      <c r="G5" s="145"/>
      <c r="H5" s="145"/>
      <c r="I5" s="371"/>
      <c r="J5" s="144" t="s">
        <v>5</v>
      </c>
      <c r="K5" s="144" t="s">
        <v>5</v>
      </c>
      <c r="L5" s="144" t="s">
        <v>5</v>
      </c>
      <c r="M5" s="144" t="s">
        <v>5</v>
      </c>
      <c r="N5" s="144" t="s">
        <v>5</v>
      </c>
    </row>
    <row r="6" spans="1:20" s="46" customFormat="1" ht="6" customHeight="1"/>
    <row r="7" spans="1:20" s="46" customFormat="1" ht="24" customHeight="1">
      <c r="A7" s="372" t="s">
        <v>54</v>
      </c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4"/>
    </row>
    <row r="8" spans="1:20" s="46" customFormat="1" ht="24" customHeight="1">
      <c r="A8" s="375"/>
      <c r="B8" s="376"/>
      <c r="C8" s="376"/>
      <c r="D8" s="376"/>
      <c r="E8" s="376"/>
      <c r="F8" s="376"/>
      <c r="G8" s="376"/>
      <c r="H8" s="376"/>
      <c r="I8" s="376"/>
      <c r="J8" s="376"/>
      <c r="K8" s="376"/>
      <c r="L8" s="376"/>
      <c r="M8" s="376"/>
      <c r="N8" s="377"/>
    </row>
    <row r="9" spans="1:20" s="46" customFormat="1" ht="24" customHeight="1">
      <c r="A9" s="82"/>
      <c r="N9" s="83"/>
      <c r="O9" s="84"/>
      <c r="Q9" s="84"/>
      <c r="R9" s="84"/>
      <c r="S9" s="84"/>
    </row>
    <row r="10" spans="1:20" s="46" customFormat="1" ht="24" customHeight="1">
      <c r="A10" s="82"/>
      <c r="B10" s="86"/>
      <c r="C10" s="85" t="s">
        <v>69</v>
      </c>
      <c r="D10" s="146">
        <v>45877</v>
      </c>
      <c r="E10" s="153">
        <v>9.4250000000000007</v>
      </c>
      <c r="F10" s="86"/>
      <c r="K10" s="87"/>
      <c r="L10" s="109" t="s">
        <v>132</v>
      </c>
      <c r="M10" s="341">
        <f>INT(P10*E10)</f>
        <v>4113560</v>
      </c>
      <c r="N10" s="342"/>
      <c r="O10" s="84"/>
      <c r="P10" s="183">
        <v>436452</v>
      </c>
      <c r="Q10" s="89"/>
      <c r="R10" s="84"/>
      <c r="S10" s="84"/>
      <c r="T10" s="84"/>
    </row>
    <row r="11" spans="1:20" s="46" customFormat="1" ht="24" customHeight="1">
      <c r="A11" s="82"/>
      <c r="B11" s="86"/>
      <c r="D11" s="146"/>
      <c r="E11" s="86"/>
      <c r="F11" s="86"/>
      <c r="K11" s="87"/>
      <c r="L11" s="115"/>
      <c r="M11" s="341"/>
      <c r="N11" s="342"/>
      <c r="O11" s="84"/>
      <c r="P11" s="147"/>
      <c r="Q11" s="91"/>
      <c r="R11" s="84"/>
      <c r="S11" s="84"/>
      <c r="T11" s="84"/>
    </row>
    <row r="12" spans="1:20" s="46" customFormat="1" ht="24" customHeight="1">
      <c r="A12" s="82"/>
      <c r="B12" s="86"/>
      <c r="C12" s="86"/>
      <c r="D12" s="86"/>
      <c r="E12" s="86"/>
      <c r="F12" s="86"/>
      <c r="L12" s="115"/>
      <c r="M12" s="341"/>
      <c r="N12" s="342"/>
      <c r="P12" s="147"/>
      <c r="Q12" s="89"/>
      <c r="R12" s="89"/>
      <c r="S12" s="89"/>
    </row>
    <row r="13" spans="1:20" s="46" customFormat="1" ht="24" customHeight="1">
      <c r="A13" s="82"/>
      <c r="B13" s="86"/>
      <c r="C13" s="86"/>
      <c r="D13" s="86"/>
      <c r="E13" s="86"/>
      <c r="F13" s="86"/>
      <c r="L13" s="115"/>
      <c r="M13" s="341"/>
      <c r="N13" s="342"/>
      <c r="P13" s="84"/>
      <c r="Q13" s="89"/>
      <c r="R13" s="89"/>
      <c r="S13" s="89"/>
      <c r="T13" s="84"/>
    </row>
    <row r="14" spans="1:20" s="46" customFormat="1" ht="24" customHeight="1">
      <c r="A14" s="82"/>
      <c r="B14" s="86"/>
      <c r="C14" s="86"/>
      <c r="D14" s="86"/>
      <c r="E14" s="86"/>
      <c r="F14" s="86"/>
      <c r="L14" s="115"/>
      <c r="M14" s="341"/>
      <c r="N14" s="342"/>
      <c r="P14" s="148"/>
      <c r="Q14" s="89"/>
      <c r="R14" s="89"/>
      <c r="S14" s="89"/>
      <c r="T14" s="84"/>
    </row>
    <row r="15" spans="1:20" s="46" customFormat="1" ht="24" customHeight="1">
      <c r="A15" s="82"/>
      <c r="L15" s="115"/>
      <c r="M15" s="341"/>
      <c r="N15" s="342"/>
      <c r="P15" s="92"/>
      <c r="Q15" s="93"/>
      <c r="R15" s="89"/>
      <c r="S15" s="93"/>
      <c r="T15" s="93"/>
    </row>
    <row r="16" spans="1:20" s="46" customFormat="1" ht="24" customHeight="1">
      <c r="A16" s="82"/>
      <c r="D16" s="355"/>
      <c r="E16" s="355"/>
      <c r="L16" s="115"/>
      <c r="M16" s="341"/>
      <c r="N16" s="342"/>
      <c r="P16" s="93"/>
      <c r="Q16" s="93"/>
      <c r="S16" s="93"/>
      <c r="T16" s="93"/>
    </row>
    <row r="17" spans="1:22" s="46" customFormat="1" ht="24" customHeight="1">
      <c r="A17" s="82"/>
      <c r="D17" s="355"/>
      <c r="E17" s="355"/>
      <c r="L17" s="87"/>
      <c r="M17" s="341"/>
      <c r="N17" s="342"/>
      <c r="P17" s="89"/>
      <c r="Q17" s="89"/>
      <c r="S17" s="89"/>
      <c r="T17" s="89"/>
      <c r="U17" s="89"/>
      <c r="V17" s="89"/>
    </row>
    <row r="18" spans="1:22" s="46" customFormat="1" ht="24" customHeight="1">
      <c r="A18" s="82"/>
      <c r="L18" s="149"/>
      <c r="M18" s="290"/>
      <c r="N18" s="291"/>
      <c r="P18" s="89"/>
      <c r="Q18" s="89"/>
      <c r="S18" s="89"/>
      <c r="T18" s="89"/>
      <c r="U18" s="89"/>
      <c r="V18" s="89"/>
    </row>
    <row r="19" spans="1:22" s="46" customFormat="1" ht="24" customHeight="1">
      <c r="A19" s="99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100"/>
      <c r="P19" s="84"/>
      <c r="Q19" s="84"/>
    </row>
    <row r="20" spans="1:22" s="46" customFormat="1" ht="24" customHeight="1">
      <c r="A20" s="99"/>
      <c r="B20" s="86"/>
      <c r="C20" s="343" t="s">
        <v>7</v>
      </c>
      <c r="D20" s="344"/>
      <c r="E20" s="344"/>
      <c r="F20" s="344"/>
      <c r="G20" s="344"/>
      <c r="H20" s="344"/>
      <c r="I20" s="344"/>
      <c r="J20" s="344"/>
      <c r="K20" s="344"/>
      <c r="L20" s="344"/>
      <c r="M20" s="345"/>
      <c r="N20" s="100"/>
      <c r="S20" s="84"/>
      <c r="T20" s="84"/>
      <c r="U20" s="89"/>
      <c r="V20" s="89"/>
    </row>
    <row r="21" spans="1:22" s="46" customFormat="1" ht="24" customHeight="1">
      <c r="A21" s="99"/>
      <c r="B21" s="86"/>
      <c r="C21" s="329" t="s">
        <v>8</v>
      </c>
      <c r="D21" s="330"/>
      <c r="E21" s="346"/>
      <c r="F21" s="335"/>
      <c r="G21" s="101" t="s">
        <v>23</v>
      </c>
      <c r="H21" s="347"/>
      <c r="I21" s="335"/>
      <c r="J21" s="101" t="s">
        <v>23</v>
      </c>
      <c r="K21" s="347"/>
      <c r="L21" s="335"/>
      <c r="M21" s="336"/>
      <c r="N21" s="100"/>
      <c r="S21" s="84"/>
      <c r="T21" s="84"/>
    </row>
    <row r="22" spans="1:22" s="46" customFormat="1" ht="24" customHeight="1">
      <c r="A22" s="99"/>
      <c r="B22" s="86"/>
      <c r="C22" s="329" t="s">
        <v>9</v>
      </c>
      <c r="D22" s="330"/>
      <c r="E22" s="331" t="s">
        <v>55</v>
      </c>
      <c r="F22" s="332"/>
      <c r="G22" s="332"/>
      <c r="H22" s="333"/>
      <c r="I22" s="330" t="s">
        <v>10</v>
      </c>
      <c r="J22" s="330"/>
      <c r="K22" s="334"/>
      <c r="L22" s="335"/>
      <c r="M22" s="336"/>
      <c r="N22" s="100"/>
      <c r="Q22" s="84"/>
      <c r="R22" s="84"/>
    </row>
    <row r="23" spans="1:22" s="46" customFormat="1" ht="24" customHeight="1">
      <c r="A23" s="99"/>
      <c r="B23" s="86"/>
      <c r="C23" s="329" t="s">
        <v>11</v>
      </c>
      <c r="D23" s="330"/>
      <c r="E23" s="337">
        <f>SUM(M10:N13)</f>
        <v>4113560</v>
      </c>
      <c r="F23" s="338"/>
      <c r="G23" s="338"/>
      <c r="H23" s="339"/>
      <c r="I23" s="330" t="s">
        <v>12</v>
      </c>
      <c r="J23" s="330"/>
      <c r="K23" s="337"/>
      <c r="L23" s="338"/>
      <c r="M23" s="340"/>
      <c r="N23" s="100"/>
    </row>
    <row r="24" spans="1:22" s="46" customFormat="1" ht="24" customHeight="1">
      <c r="A24" s="99"/>
      <c r="B24" s="86"/>
      <c r="C24" s="323" t="s">
        <v>13</v>
      </c>
      <c r="D24" s="324"/>
      <c r="E24" s="325">
        <v>45877</v>
      </c>
      <c r="F24" s="325"/>
      <c r="G24" s="325"/>
      <c r="H24" s="102" t="s">
        <v>14</v>
      </c>
      <c r="I24" s="326">
        <f>E23+K23</f>
        <v>4113560</v>
      </c>
      <c r="J24" s="327"/>
      <c r="K24" s="327"/>
      <c r="L24" s="327"/>
      <c r="M24" s="328"/>
      <c r="N24" s="100"/>
      <c r="P24" s="150" t="s">
        <v>59</v>
      </c>
    </row>
    <row r="25" spans="1:22" s="46" customFormat="1" ht="24" customHeight="1">
      <c r="A25" s="99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100"/>
      <c r="P25" s="72" t="s">
        <v>58</v>
      </c>
    </row>
    <row r="26" spans="1:22" s="46" customFormat="1" ht="27" customHeight="1">
      <c r="A26" s="378" t="s">
        <v>15</v>
      </c>
      <c r="B26" s="379"/>
      <c r="C26" s="380" t="str">
        <f>NUMBERSTRING(I24, 1)</f>
        <v>사백일십일만삼천오백육십</v>
      </c>
      <c r="D26" s="380"/>
      <c r="E26" s="380"/>
      <c r="F26" s="380"/>
      <c r="G26" s="380"/>
      <c r="H26" s="151"/>
      <c r="I26" s="151"/>
      <c r="J26" s="151" t="s">
        <v>16</v>
      </c>
      <c r="K26" s="381">
        <f>I24</f>
        <v>4113560</v>
      </c>
      <c r="L26" s="381"/>
      <c r="M26" s="381"/>
      <c r="N26" s="382"/>
    </row>
    <row r="27" spans="1:22" s="46" customFormat="1" ht="27" customHeight="1">
      <c r="A27" s="383" t="s">
        <v>17</v>
      </c>
      <c r="B27" s="383"/>
      <c r="C27" s="383"/>
      <c r="D27" s="383" t="s">
        <v>132</v>
      </c>
      <c r="E27" s="383"/>
      <c r="F27" s="383"/>
      <c r="G27" s="383"/>
      <c r="H27" s="383"/>
      <c r="I27" s="383"/>
      <c r="J27" s="383" t="s">
        <v>18</v>
      </c>
      <c r="K27" s="383"/>
      <c r="L27" s="390"/>
      <c r="M27" s="391"/>
      <c r="N27" s="392"/>
    </row>
    <row r="28" spans="1:22" s="46" customFormat="1" ht="27" customHeight="1">
      <c r="A28" s="383" t="s">
        <v>19</v>
      </c>
      <c r="B28" s="383"/>
      <c r="C28" s="383"/>
      <c r="D28" s="393" t="s">
        <v>53</v>
      </c>
      <c r="E28" s="380"/>
      <c r="F28" s="380"/>
      <c r="G28" s="380"/>
      <c r="H28" s="380"/>
      <c r="I28" s="380"/>
      <c r="J28" s="380"/>
      <c r="K28" s="380"/>
      <c r="L28" s="380"/>
      <c r="M28" s="380"/>
      <c r="N28" s="394"/>
    </row>
    <row r="29" spans="1:22" s="46" customFormat="1" ht="27" customHeight="1">
      <c r="A29" s="383" t="s">
        <v>20</v>
      </c>
      <c r="B29" s="383"/>
      <c r="C29" s="383"/>
      <c r="D29" s="384" t="s">
        <v>21</v>
      </c>
      <c r="E29" s="385"/>
      <c r="F29" s="385"/>
      <c r="G29" s="386"/>
      <c r="H29" s="387" t="s">
        <v>22</v>
      </c>
      <c r="I29" s="388"/>
      <c r="J29" s="389"/>
      <c r="K29" s="383"/>
      <c r="L29" s="383"/>
      <c r="M29" s="383"/>
      <c r="N29" s="383"/>
    </row>
    <row r="30" spans="1:22" s="46" customFormat="1" ht="24" customHeight="1"/>
    <row r="31" spans="1:22" s="46" customFormat="1" ht="24" customHeight="1"/>
    <row r="32" spans="1:22" s="46" customFormat="1" ht="24" customHeight="1"/>
    <row r="33" s="46" customFormat="1" ht="24" customHeight="1"/>
    <row r="34" s="46" customFormat="1" ht="24" customHeight="1"/>
    <row r="35" s="46" customFormat="1" ht="24" customHeight="1"/>
    <row r="36" s="46" customFormat="1" ht="24" customHeight="1"/>
    <row r="37" s="46" customFormat="1" ht="24" customHeight="1"/>
    <row r="38" s="46" customFormat="1" ht="24" customHeight="1"/>
    <row r="39" s="46" customFormat="1" ht="24" customHeight="1"/>
    <row r="40" s="46" customFormat="1" ht="24" customHeight="1"/>
    <row r="41" s="46" customFormat="1" ht="24" customHeight="1"/>
    <row r="42" s="46" customFormat="1" ht="24" customHeight="1"/>
    <row r="43" s="46" customFormat="1" ht="24" customHeight="1"/>
    <row r="44" s="46" customFormat="1" ht="24" customHeight="1"/>
    <row r="45" s="46" customFormat="1" ht="24" customHeight="1"/>
    <row r="46" s="46" customFormat="1" ht="24" customHeight="1"/>
    <row r="47" s="46" customFormat="1" ht="24" customHeight="1"/>
    <row r="48" s="46" customFormat="1" ht="24" customHeight="1"/>
    <row r="49" s="46" customFormat="1" ht="24" customHeight="1"/>
    <row r="50" s="46" customFormat="1" ht="24" customHeight="1"/>
    <row r="51" s="46" customFormat="1" ht="24" customHeight="1"/>
    <row r="52" s="46" customFormat="1" ht="24" customHeight="1"/>
    <row r="53" s="46" customFormat="1" ht="24" customHeight="1"/>
    <row r="54" s="46" customFormat="1" ht="24" customHeight="1"/>
    <row r="55" s="46" customFormat="1" ht="24" customHeight="1"/>
    <row r="56" s="46" customFormat="1" ht="24" customHeight="1"/>
    <row r="57" s="46" customFormat="1" ht="24" customHeight="1"/>
    <row r="58" s="46" customFormat="1" ht="24" customHeight="1"/>
    <row r="59" s="46" customFormat="1" ht="21.75" customHeight="1"/>
    <row r="60" s="46" customFormat="1" ht="21.75" customHeight="1"/>
    <row r="61" s="46" customFormat="1" ht="21.75" customHeight="1"/>
    <row r="62" s="46" customFormat="1" ht="21.75" customHeight="1"/>
    <row r="63" s="46" customFormat="1" ht="21.75" customHeight="1"/>
    <row r="64" s="46" customFormat="1" ht="21.75" customHeight="1"/>
    <row r="65" spans="1:14" s="46" customFormat="1" ht="21.75" customHeight="1"/>
    <row r="66" spans="1:14" s="46" customFormat="1" ht="21.75" customHeight="1"/>
    <row r="67" spans="1:14" s="46" customFormat="1"/>
    <row r="68" spans="1:14" s="46" customFormat="1"/>
    <row r="69" spans="1:14" s="46" customFormat="1"/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D17:E17"/>
    <mergeCell ref="M17:N17"/>
    <mergeCell ref="M18:N18"/>
    <mergeCell ref="C20:M20"/>
    <mergeCell ref="C21:D21"/>
    <mergeCell ref="E21:F21"/>
    <mergeCell ref="H21:I21"/>
    <mergeCell ref="K21:M21"/>
    <mergeCell ref="M12:N12"/>
    <mergeCell ref="M13:N13"/>
    <mergeCell ref="M14:N14"/>
    <mergeCell ref="M15:N15"/>
    <mergeCell ref="D16:E16"/>
    <mergeCell ref="M16:N16"/>
    <mergeCell ref="M11:N11"/>
    <mergeCell ref="A1:N1"/>
    <mergeCell ref="A3:A5"/>
    <mergeCell ref="I3:I5"/>
    <mergeCell ref="A7:N8"/>
    <mergeCell ref="M10:N10"/>
  </mergeCells>
  <phoneticPr fontId="2" type="noConversion"/>
  <pageMargins left="0.1968503937007874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3898-401C-4949-8C54-4D537435944F}">
  <dimension ref="A1:V75"/>
  <sheetViews>
    <sheetView zoomScale="80" zoomScaleNormal="80" workbookViewId="0">
      <selection activeCell="E10" sqref="E10"/>
    </sheetView>
  </sheetViews>
  <sheetFormatPr defaultRowHeight="16.5"/>
  <cols>
    <col min="1" max="1" width="3.125" style="1" customWidth="1"/>
    <col min="2" max="6" width="7.5" style="1" customWidth="1"/>
    <col min="7" max="7" width="4.375" style="1" customWidth="1"/>
    <col min="8" max="8" width="5.375" style="1" customWidth="1"/>
    <col min="9" max="9" width="3.125" style="1" customWidth="1"/>
    <col min="10" max="14" width="7.5" style="1" customWidth="1"/>
    <col min="15" max="15" width="13.375" style="1" bestFit="1" customWidth="1"/>
    <col min="16" max="16" width="15.125" style="1" bestFit="1" customWidth="1"/>
    <col min="17" max="17" width="23.5" style="1" customWidth="1"/>
    <col min="18" max="18" width="14.125" style="1" bestFit="1" customWidth="1"/>
    <col min="19" max="20" width="13.375" style="1" bestFit="1" customWidth="1"/>
    <col min="21" max="21" width="12.125" style="1" bestFit="1" customWidth="1"/>
    <col min="22" max="22" width="14.5" style="1" bestFit="1" customWidth="1"/>
    <col min="23" max="16384" width="9" style="1"/>
  </cols>
  <sheetData>
    <row r="1" spans="1:22" ht="37.5" customHeight="1">
      <c r="A1" s="274" t="s">
        <v>73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3" spans="1:22" ht="16.5" customHeight="1">
      <c r="A3" s="275" t="s">
        <v>0</v>
      </c>
      <c r="B3" s="2" t="s">
        <v>1</v>
      </c>
      <c r="C3" s="2" t="s">
        <v>63</v>
      </c>
      <c r="D3" s="2" t="s">
        <v>2</v>
      </c>
      <c r="E3" s="2" t="s">
        <v>88</v>
      </c>
      <c r="F3" s="2" t="s">
        <v>3</v>
      </c>
      <c r="G3" s="3"/>
      <c r="H3" s="3"/>
      <c r="I3" s="275" t="s">
        <v>4</v>
      </c>
      <c r="J3" s="2" t="s">
        <v>1</v>
      </c>
      <c r="K3" s="2" t="s">
        <v>63</v>
      </c>
      <c r="L3" s="2" t="s">
        <v>2</v>
      </c>
      <c r="M3" s="2" t="s">
        <v>64</v>
      </c>
      <c r="N3" s="2" t="s">
        <v>3</v>
      </c>
    </row>
    <row r="4" spans="1:22" ht="45" customHeight="1">
      <c r="A4" s="275"/>
      <c r="B4" s="2"/>
      <c r="C4" s="2"/>
      <c r="D4" s="2"/>
      <c r="E4" s="2"/>
      <c r="F4" s="2"/>
      <c r="G4" s="3"/>
      <c r="H4" s="3"/>
      <c r="I4" s="275"/>
      <c r="J4" s="2"/>
      <c r="K4" s="2"/>
      <c r="L4" s="2"/>
      <c r="M4" s="2"/>
      <c r="N4" s="2"/>
    </row>
    <row r="5" spans="1:22">
      <c r="A5" s="275"/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3"/>
      <c r="H5" s="3"/>
      <c r="I5" s="275"/>
      <c r="J5" s="2" t="s">
        <v>5</v>
      </c>
      <c r="K5" s="2" t="s">
        <v>5</v>
      </c>
      <c r="L5" s="2" t="s">
        <v>5</v>
      </c>
      <c r="M5" s="2" t="s">
        <v>5</v>
      </c>
      <c r="N5" s="2" t="s">
        <v>5</v>
      </c>
    </row>
    <row r="6" spans="1:22" ht="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2" s="46" customFormat="1" ht="24" customHeight="1">
      <c r="A7" s="372" t="s">
        <v>54</v>
      </c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4"/>
    </row>
    <row r="8" spans="1:22" s="46" customFormat="1" ht="24" customHeight="1">
      <c r="A8" s="375"/>
      <c r="B8" s="376"/>
      <c r="C8" s="376"/>
      <c r="D8" s="376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46" t="s">
        <v>153</v>
      </c>
      <c r="P8" s="46" t="s">
        <v>154</v>
      </c>
      <c r="Q8" s="46" t="s">
        <v>68</v>
      </c>
    </row>
    <row r="9" spans="1:22" s="46" customFormat="1" ht="24.75" customHeight="1">
      <c r="A9" s="82"/>
      <c r="L9" s="158" t="s">
        <v>155</v>
      </c>
      <c r="M9" s="341">
        <f t="shared" ref="M9:M13" si="0">INT(O9*$E$10)</f>
        <v>1863640</v>
      </c>
      <c r="N9" s="342"/>
      <c r="O9" s="228">
        <v>200000</v>
      </c>
      <c r="P9" s="214">
        <v>45964</v>
      </c>
      <c r="Q9" s="84"/>
      <c r="R9" s="84"/>
      <c r="S9" s="84"/>
    </row>
    <row r="10" spans="1:22" s="46" customFormat="1" ht="24" customHeight="1">
      <c r="A10" s="82"/>
      <c r="B10" s="9"/>
      <c r="C10" s="85" t="s">
        <v>68</v>
      </c>
      <c r="D10" s="146">
        <v>46149</v>
      </c>
      <c r="E10" s="86">
        <v>9.3181999999999992</v>
      </c>
      <c r="F10" s="86"/>
      <c r="K10" s="87"/>
      <c r="L10" s="158" t="s">
        <v>156</v>
      </c>
      <c r="M10" s="341">
        <f t="shared" si="0"/>
        <v>4155917</v>
      </c>
      <c r="N10" s="342"/>
      <c r="O10" s="229">
        <v>446000</v>
      </c>
      <c r="P10" s="84"/>
      <c r="Q10" s="87"/>
      <c r="R10" s="158"/>
      <c r="S10" s="160"/>
      <c r="T10" s="161"/>
      <c r="U10" s="84"/>
    </row>
    <row r="11" spans="1:22" s="46" customFormat="1" ht="24" customHeight="1">
      <c r="A11" s="82"/>
      <c r="B11" s="4"/>
      <c r="L11" s="158" t="s">
        <v>157</v>
      </c>
      <c r="M11" s="341">
        <f t="shared" si="0"/>
        <v>5348646</v>
      </c>
      <c r="N11" s="342"/>
      <c r="O11" s="229">
        <v>574000</v>
      </c>
      <c r="P11" s="92"/>
      <c r="R11" s="158" t="s">
        <v>89</v>
      </c>
      <c r="S11" s="160">
        <f>INT(U11*$E$10)</f>
        <v>4258417</v>
      </c>
      <c r="T11" s="161"/>
      <c r="U11" s="84">
        <v>457000</v>
      </c>
    </row>
    <row r="12" spans="1:22" s="46" customFormat="1" ht="24" customHeight="1">
      <c r="A12" s="82"/>
      <c r="B12" s="9"/>
      <c r="C12" s="86"/>
      <c r="D12" s="86"/>
      <c r="E12" s="86"/>
      <c r="F12" s="86"/>
      <c r="L12" s="158" t="s">
        <v>126</v>
      </c>
      <c r="M12" s="341">
        <f t="shared" si="0"/>
        <v>1649321</v>
      </c>
      <c r="N12" s="342"/>
      <c r="O12" s="229">
        <v>177000</v>
      </c>
      <c r="P12" s="84"/>
      <c r="R12" s="158"/>
      <c r="S12" s="160"/>
      <c r="T12" s="161"/>
      <c r="U12" s="84"/>
    </row>
    <row r="13" spans="1:22" s="46" customFormat="1" ht="24" customHeight="1">
      <c r="A13" s="82"/>
      <c r="B13" s="9"/>
      <c r="C13" s="86"/>
      <c r="D13" s="86"/>
      <c r="E13" s="86"/>
      <c r="F13" s="86"/>
      <c r="L13" s="158" t="s">
        <v>158</v>
      </c>
      <c r="M13" s="341">
        <f t="shared" si="0"/>
        <v>1332502</v>
      </c>
      <c r="N13" s="342"/>
      <c r="O13" s="229">
        <v>143000</v>
      </c>
      <c r="P13" s="84"/>
      <c r="R13" s="158"/>
      <c r="S13" s="160"/>
      <c r="T13" s="161"/>
      <c r="U13" s="84"/>
    </row>
    <row r="14" spans="1:22" s="46" customFormat="1" ht="24" customHeight="1">
      <c r="A14" s="82"/>
      <c r="B14" s="9"/>
      <c r="C14" s="85"/>
      <c r="D14" s="146"/>
      <c r="E14" s="86"/>
      <c r="F14" s="86"/>
      <c r="K14" s="87"/>
      <c r="L14" s="158"/>
      <c r="M14" s="341">
        <f t="shared" ref="M14" si="1">INT(O14*$E$10)</f>
        <v>2637050</v>
      </c>
      <c r="N14" s="342"/>
      <c r="O14" s="229">
        <v>283000</v>
      </c>
      <c r="P14" s="84"/>
      <c r="Q14" s="87"/>
      <c r="R14" s="158"/>
      <c r="S14" s="160"/>
      <c r="T14" s="161"/>
      <c r="U14" s="84"/>
    </row>
    <row r="15" spans="1:22" s="46" customFormat="1" ht="24" customHeight="1">
      <c r="A15" s="82"/>
      <c r="B15" s="9"/>
      <c r="C15" s="86"/>
      <c r="D15" s="86"/>
      <c r="E15" s="86"/>
      <c r="F15" s="86"/>
      <c r="L15" s="158"/>
      <c r="M15" s="341"/>
      <c r="N15" s="342"/>
      <c r="O15" s="84"/>
      <c r="P15" s="84"/>
      <c r="R15" s="158"/>
      <c r="S15" s="160"/>
      <c r="T15" s="161"/>
      <c r="U15" s="84"/>
    </row>
    <row r="16" spans="1:22" s="46" customFormat="1" ht="24" customHeight="1">
      <c r="A16" s="82"/>
      <c r="B16" s="4"/>
      <c r="D16" s="355"/>
      <c r="E16" s="355"/>
      <c r="L16" s="158"/>
      <c r="M16" s="341"/>
      <c r="N16" s="342"/>
      <c r="O16" s="84"/>
      <c r="P16" s="93"/>
      <c r="R16" s="158"/>
      <c r="S16" s="160"/>
      <c r="T16" s="161"/>
      <c r="U16" s="84"/>
      <c r="V16" s="84">
        <f>1669000*80</f>
        <v>133520000</v>
      </c>
    </row>
    <row r="17" spans="1:22" s="46" customFormat="1" ht="24" customHeight="1">
      <c r="A17" s="82"/>
      <c r="D17" s="355"/>
      <c r="E17" s="355"/>
      <c r="L17" s="159"/>
      <c r="M17" s="160"/>
      <c r="N17" s="161"/>
      <c r="O17" s="89"/>
      <c r="P17" s="89"/>
      <c r="R17" s="159"/>
      <c r="S17" s="160"/>
      <c r="T17" s="161"/>
      <c r="U17" s="89"/>
      <c r="V17" s="89"/>
    </row>
    <row r="18" spans="1:22" ht="24" customHeight="1">
      <c r="A18" s="5"/>
      <c r="B18" s="4"/>
      <c r="C18" s="46"/>
      <c r="D18" s="46"/>
      <c r="E18" s="46"/>
      <c r="F18" s="46"/>
      <c r="G18" s="46"/>
      <c r="H18" s="46"/>
      <c r="I18" s="46"/>
      <c r="J18" s="46"/>
      <c r="K18" s="46"/>
      <c r="L18" s="105"/>
      <c r="M18" s="341"/>
      <c r="N18" s="342"/>
      <c r="O18" s="164"/>
      <c r="P18" s="19"/>
      <c r="Q18" s="19"/>
      <c r="S18" s="19"/>
      <c r="T18" s="19"/>
      <c r="U18" s="19"/>
      <c r="V18" s="19"/>
    </row>
    <row r="19" spans="1:22" ht="24" customHeight="1">
      <c r="A19" s="8"/>
      <c r="B19" s="9"/>
      <c r="C19" s="9"/>
      <c r="D19" s="10"/>
      <c r="E19" s="10"/>
      <c r="F19" s="9"/>
      <c r="G19" s="9"/>
      <c r="H19" s="9"/>
      <c r="I19" s="9"/>
      <c r="J19" s="9"/>
      <c r="K19" s="9"/>
      <c r="L19" s="9"/>
      <c r="M19" s="9"/>
      <c r="N19" s="11"/>
      <c r="P19" s="17"/>
      <c r="Q19" s="17"/>
    </row>
    <row r="20" spans="1:22" ht="24" customHeight="1">
      <c r="A20" s="8"/>
      <c r="B20" s="9"/>
      <c r="C20" s="395" t="s">
        <v>7</v>
      </c>
      <c r="D20" s="396"/>
      <c r="E20" s="396"/>
      <c r="F20" s="396"/>
      <c r="G20" s="396"/>
      <c r="H20" s="396"/>
      <c r="I20" s="396"/>
      <c r="J20" s="396"/>
      <c r="K20" s="396"/>
      <c r="L20" s="396"/>
      <c r="M20" s="397"/>
      <c r="N20" s="11"/>
      <c r="S20" s="17"/>
      <c r="T20" s="17"/>
      <c r="U20" s="19"/>
      <c r="V20" s="19"/>
    </row>
    <row r="21" spans="1:22" ht="24" customHeight="1">
      <c r="A21" s="8"/>
      <c r="B21" s="9"/>
      <c r="C21" s="398" t="s">
        <v>8</v>
      </c>
      <c r="D21" s="399"/>
      <c r="E21" s="400"/>
      <c r="F21" s="401"/>
      <c r="G21" s="180" t="s">
        <v>23</v>
      </c>
      <c r="H21" s="402"/>
      <c r="I21" s="401"/>
      <c r="J21" s="180" t="s">
        <v>23</v>
      </c>
      <c r="K21" s="402"/>
      <c r="L21" s="401"/>
      <c r="M21" s="403"/>
      <c r="N21" s="11"/>
      <c r="S21" s="17"/>
      <c r="T21" s="17"/>
    </row>
    <row r="22" spans="1:22" ht="24" customHeight="1">
      <c r="A22" s="8"/>
      <c r="B22" s="9"/>
      <c r="C22" s="398" t="s">
        <v>9</v>
      </c>
      <c r="D22" s="399"/>
      <c r="E22" s="404" t="s">
        <v>55</v>
      </c>
      <c r="F22" s="405"/>
      <c r="G22" s="405"/>
      <c r="H22" s="406"/>
      <c r="I22" s="407" t="s">
        <v>10</v>
      </c>
      <c r="J22" s="408"/>
      <c r="K22" s="409"/>
      <c r="L22" s="401"/>
      <c r="M22" s="403"/>
      <c r="N22" s="11"/>
      <c r="Q22" s="17"/>
      <c r="R22" s="17"/>
    </row>
    <row r="23" spans="1:22" ht="24" customHeight="1">
      <c r="A23" s="8"/>
      <c r="B23" s="9"/>
      <c r="C23" s="398" t="s">
        <v>11</v>
      </c>
      <c r="D23" s="399"/>
      <c r="E23" s="410">
        <f>SUM(M9:N16)</f>
        <v>16987076</v>
      </c>
      <c r="F23" s="411"/>
      <c r="G23" s="411"/>
      <c r="H23" s="412"/>
      <c r="I23" s="407" t="s">
        <v>12</v>
      </c>
      <c r="J23" s="408"/>
      <c r="K23" s="410"/>
      <c r="L23" s="411"/>
      <c r="M23" s="413"/>
      <c r="N23" s="11"/>
    </row>
    <row r="24" spans="1:22" ht="24" customHeight="1">
      <c r="A24" s="8"/>
      <c r="B24" s="9"/>
      <c r="C24" s="415" t="s">
        <v>13</v>
      </c>
      <c r="D24" s="416"/>
      <c r="E24" s="417"/>
      <c r="F24" s="417"/>
      <c r="G24" s="417"/>
      <c r="H24" s="181" t="s">
        <v>14</v>
      </c>
      <c r="I24" s="418">
        <f>E23+K23</f>
        <v>16987076</v>
      </c>
      <c r="J24" s="419"/>
      <c r="K24" s="419"/>
      <c r="L24" s="419"/>
      <c r="M24" s="420"/>
      <c r="N24" s="11"/>
      <c r="P24" s="71" t="s">
        <v>59</v>
      </c>
    </row>
    <row r="25" spans="1:22" ht="24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  <c r="P25" s="72" t="s">
        <v>58</v>
      </c>
    </row>
    <row r="26" spans="1:22" ht="27" customHeight="1">
      <c r="A26" s="258" t="s">
        <v>15</v>
      </c>
      <c r="B26" s="259"/>
      <c r="C26" s="239" t="str">
        <f>NUMBERSTRING(I24, 1)</f>
        <v>일천육백구십팔만칠천칠십육</v>
      </c>
      <c r="D26" s="239"/>
      <c r="E26" s="239"/>
      <c r="F26" s="239"/>
      <c r="G26" s="239"/>
      <c r="H26" s="13"/>
      <c r="I26" s="13"/>
      <c r="J26" s="13" t="s">
        <v>16</v>
      </c>
      <c r="K26" s="235">
        <f>I24</f>
        <v>16987076</v>
      </c>
      <c r="L26" s="235"/>
      <c r="M26" s="235"/>
      <c r="N26" s="236"/>
    </row>
    <row r="27" spans="1:22" ht="27" customHeight="1">
      <c r="A27" s="237" t="s">
        <v>17</v>
      </c>
      <c r="B27" s="237"/>
      <c r="C27" s="237"/>
      <c r="D27" s="414" t="s">
        <v>67</v>
      </c>
      <c r="E27" s="414"/>
      <c r="F27" s="414"/>
      <c r="G27" s="414"/>
      <c r="H27" s="414"/>
      <c r="I27" s="414"/>
      <c r="J27" s="237" t="s">
        <v>18</v>
      </c>
      <c r="K27" s="237"/>
      <c r="L27" s="247"/>
      <c r="M27" s="248"/>
      <c r="N27" s="249"/>
    </row>
    <row r="28" spans="1:22" ht="27" customHeight="1">
      <c r="A28" s="237" t="s">
        <v>19</v>
      </c>
      <c r="B28" s="237"/>
      <c r="C28" s="237"/>
      <c r="D28" s="238" t="s">
        <v>53</v>
      </c>
      <c r="E28" s="239"/>
      <c r="F28" s="239"/>
      <c r="G28" s="239"/>
      <c r="H28" s="239"/>
      <c r="I28" s="239"/>
      <c r="J28" s="239"/>
      <c r="K28" s="239"/>
      <c r="L28" s="239"/>
      <c r="M28" s="239"/>
      <c r="N28" s="240"/>
    </row>
    <row r="29" spans="1:22" ht="27" customHeight="1">
      <c r="A29" s="237" t="s">
        <v>20</v>
      </c>
      <c r="B29" s="237"/>
      <c r="C29" s="237"/>
      <c r="D29" s="241" t="s">
        <v>21</v>
      </c>
      <c r="E29" s="242"/>
      <c r="F29" s="242"/>
      <c r="G29" s="243"/>
      <c r="H29" s="244" t="s">
        <v>22</v>
      </c>
      <c r="I29" s="245"/>
      <c r="J29" s="246"/>
      <c r="K29" s="237"/>
      <c r="L29" s="237"/>
      <c r="M29" s="237"/>
      <c r="N29" s="237"/>
    </row>
    <row r="30" spans="1:22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22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22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mergeCells count="44">
    <mergeCell ref="M18:N18"/>
    <mergeCell ref="A29:C29"/>
    <mergeCell ref="D29:G29"/>
    <mergeCell ref="H29:J29"/>
    <mergeCell ref="K29:N29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A26:B26"/>
    <mergeCell ref="C26:G26"/>
    <mergeCell ref="K26:N26"/>
    <mergeCell ref="C22:D22"/>
    <mergeCell ref="E22:H22"/>
    <mergeCell ref="I22:J22"/>
    <mergeCell ref="K22:M22"/>
    <mergeCell ref="C23:D23"/>
    <mergeCell ref="E23:H23"/>
    <mergeCell ref="I23:J23"/>
    <mergeCell ref="K23:M23"/>
    <mergeCell ref="C20:M20"/>
    <mergeCell ref="C21:D21"/>
    <mergeCell ref="E21:F21"/>
    <mergeCell ref="H21:I21"/>
    <mergeCell ref="K21:M21"/>
    <mergeCell ref="D16:E16"/>
    <mergeCell ref="D17:E17"/>
    <mergeCell ref="M14:N14"/>
    <mergeCell ref="M13:N13"/>
    <mergeCell ref="M12:N12"/>
    <mergeCell ref="M15:N15"/>
    <mergeCell ref="M16:N16"/>
    <mergeCell ref="M11:N11"/>
    <mergeCell ref="M10:N10"/>
    <mergeCell ref="A1:N1"/>
    <mergeCell ref="A3:A5"/>
    <mergeCell ref="I3:I5"/>
    <mergeCell ref="A7:N8"/>
    <mergeCell ref="M9:N9"/>
  </mergeCells>
  <phoneticPr fontId="2" type="noConversion"/>
  <pageMargins left="0.23622047244094491" right="0.19685039370078741" top="0.94488188976377963" bottom="0.55118110236220474" header="0.31496062992125984" footer="0.31496062992125984"/>
  <pageSetup paperSize="9" orientation="portrait" verticalDpi="300" r:id="rId1"/>
  <headerFooter>
    <oddFooter>&amp;C&amp;"윤명조,보통"&amp;11대  신  금  속  주  식  회  사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36"/>
  <sheetViews>
    <sheetView workbookViewId="0">
      <selection activeCell="J15" sqref="J15"/>
    </sheetView>
  </sheetViews>
  <sheetFormatPr defaultRowHeight="13.5"/>
  <cols>
    <col min="1" max="1" width="10.75" style="30" customWidth="1"/>
    <col min="2" max="3" width="8.25" style="31" customWidth="1"/>
    <col min="4" max="4" width="9" style="30"/>
    <col min="5" max="5" width="8.375" style="30" customWidth="1"/>
    <col min="6" max="7" width="8.25" style="31" customWidth="1"/>
    <col min="8" max="8" width="11.5" style="30" customWidth="1"/>
    <col min="9" max="16384" width="9" style="30"/>
  </cols>
  <sheetData>
    <row r="2" spans="1:9" ht="25.5">
      <c r="A2" s="422" t="s">
        <v>40</v>
      </c>
      <c r="B2" s="422"/>
      <c r="C2" s="422"/>
      <c r="D2" s="422"/>
      <c r="E2" s="422"/>
      <c r="F2" s="422"/>
      <c r="G2" s="422"/>
      <c r="H2" s="422"/>
      <c r="I2" s="29"/>
    </row>
    <row r="3" spans="1:9" ht="52.5" customHeight="1"/>
    <row r="4" spans="1:9" ht="14.25" thickBot="1"/>
    <row r="5" spans="1:9">
      <c r="B5" s="423" t="s">
        <v>41</v>
      </c>
      <c r="C5" s="424"/>
      <c r="D5" s="32"/>
      <c r="E5" s="32"/>
      <c r="F5" s="423" t="s">
        <v>42</v>
      </c>
      <c r="G5" s="424"/>
      <c r="H5" s="32"/>
    </row>
    <row r="6" spans="1:9" ht="14.25" thickBot="1">
      <c r="B6" s="425"/>
      <c r="C6" s="426"/>
      <c r="D6" s="32"/>
      <c r="E6" s="32"/>
      <c r="F6" s="425"/>
      <c r="G6" s="426"/>
      <c r="H6" s="32"/>
    </row>
    <row r="7" spans="1:9" ht="20.25" customHeight="1">
      <c r="B7" s="427"/>
      <c r="C7" s="428"/>
      <c r="D7" s="32"/>
      <c r="E7" s="32"/>
      <c r="F7" s="427"/>
      <c r="G7" s="428"/>
      <c r="H7" s="32"/>
    </row>
    <row r="8" spans="1:9" ht="20.25" customHeight="1">
      <c r="B8" s="427"/>
      <c r="C8" s="428"/>
      <c r="D8" s="32"/>
      <c r="E8" s="32"/>
      <c r="F8" s="427"/>
      <c r="G8" s="428"/>
      <c r="H8" s="32"/>
    </row>
    <row r="9" spans="1:9" ht="20.25" customHeight="1">
      <c r="B9" s="427"/>
      <c r="C9" s="428"/>
      <c r="D9" s="32"/>
      <c r="E9" s="32"/>
      <c r="F9" s="427"/>
      <c r="G9" s="428"/>
      <c r="H9" s="32"/>
    </row>
    <row r="10" spans="1:9" ht="20.25" customHeight="1" thickBot="1">
      <c r="B10" s="429"/>
      <c r="C10" s="430"/>
      <c r="D10" s="32"/>
      <c r="E10" s="32"/>
      <c r="F10" s="429"/>
      <c r="G10" s="430"/>
      <c r="H10" s="32"/>
    </row>
    <row r="11" spans="1:9" ht="42" customHeight="1">
      <c r="B11" s="33"/>
      <c r="C11" s="33"/>
      <c r="D11" s="32"/>
      <c r="E11" s="32"/>
      <c r="F11" s="33"/>
      <c r="G11" s="33"/>
      <c r="H11" s="32"/>
    </row>
    <row r="12" spans="1:9" s="35" customFormat="1" ht="20.25" customHeight="1">
      <c r="A12" s="34" t="s">
        <v>34</v>
      </c>
      <c r="C12" s="34"/>
      <c r="D12" s="34"/>
      <c r="E12" s="34"/>
      <c r="F12" s="34"/>
      <c r="G12" s="34"/>
      <c r="H12" s="34"/>
    </row>
    <row r="13" spans="1:9" s="35" customFormat="1" ht="9.75" customHeight="1">
      <c r="A13" s="36"/>
      <c r="B13" s="34"/>
      <c r="C13" s="34"/>
      <c r="D13" s="34"/>
      <c r="E13" s="34"/>
      <c r="F13" s="34"/>
      <c r="G13" s="34"/>
      <c r="H13" s="34"/>
    </row>
    <row r="14" spans="1:9" s="35" customFormat="1" ht="20.25" customHeight="1">
      <c r="A14" s="34" t="s">
        <v>35</v>
      </c>
      <c r="C14" s="34"/>
      <c r="D14" s="34"/>
      <c r="E14" s="34"/>
      <c r="F14" s="34"/>
      <c r="G14" s="34"/>
      <c r="H14" s="34"/>
    </row>
    <row r="15" spans="1:9" s="35" customFormat="1" ht="33" customHeight="1">
      <c r="B15" s="37"/>
      <c r="C15" s="37"/>
      <c r="D15" s="38"/>
      <c r="E15" s="38"/>
      <c r="F15" s="37"/>
      <c r="G15" s="37"/>
      <c r="H15" s="38"/>
    </row>
    <row r="16" spans="1:9" s="35" customFormat="1" ht="20.25" customHeight="1">
      <c r="A16" s="37" t="s">
        <v>44</v>
      </c>
      <c r="C16" s="37"/>
      <c r="D16" s="38"/>
      <c r="E16" s="38"/>
      <c r="F16" s="37"/>
      <c r="G16" s="37"/>
      <c r="H16" s="38"/>
    </row>
    <row r="17" spans="2:8" s="35" customFormat="1" ht="16.5">
      <c r="B17" s="37"/>
      <c r="C17" s="37"/>
      <c r="D17" s="38"/>
      <c r="E17" s="38"/>
      <c r="F17" s="37"/>
      <c r="G17" s="37"/>
      <c r="H17" s="38"/>
    </row>
    <row r="18" spans="2:8" s="35" customFormat="1" ht="16.5">
      <c r="B18" s="37"/>
      <c r="C18" s="37"/>
      <c r="D18" s="38"/>
      <c r="E18" s="38"/>
      <c r="F18" s="37"/>
      <c r="G18" s="37"/>
      <c r="H18" s="38"/>
    </row>
    <row r="19" spans="2:8" s="35" customFormat="1" ht="26.25" customHeight="1">
      <c r="B19" s="37"/>
      <c r="C19" s="37"/>
      <c r="D19" s="38"/>
      <c r="E19" s="38"/>
      <c r="F19" s="37"/>
      <c r="G19" s="37"/>
      <c r="H19" s="38"/>
    </row>
    <row r="20" spans="2:8" s="35" customFormat="1" ht="16.5">
      <c r="B20" s="37"/>
      <c r="C20" s="37"/>
      <c r="D20" s="38"/>
      <c r="E20" s="38"/>
      <c r="G20" s="37" t="s">
        <v>45</v>
      </c>
      <c r="H20" s="38"/>
    </row>
    <row r="21" spans="2:8" s="35" customFormat="1" ht="27" customHeight="1">
      <c r="B21" s="37"/>
      <c r="C21" s="37"/>
      <c r="D21" s="38"/>
      <c r="E21" s="38"/>
      <c r="F21" s="37"/>
      <c r="G21" s="37"/>
      <c r="H21" s="38"/>
    </row>
    <row r="22" spans="2:8" s="35" customFormat="1" ht="27" customHeight="1">
      <c r="B22" s="37"/>
      <c r="C22" s="37"/>
      <c r="D22" s="38"/>
      <c r="E22" s="38"/>
      <c r="F22" s="37"/>
      <c r="G22" s="37"/>
      <c r="H22" s="38"/>
    </row>
    <row r="23" spans="2:8" s="35" customFormat="1" ht="16.5">
      <c r="B23" s="37"/>
      <c r="C23" s="38" t="s">
        <v>36</v>
      </c>
      <c r="E23" s="38"/>
      <c r="F23" s="37"/>
      <c r="G23" s="37"/>
      <c r="H23" s="38"/>
    </row>
    <row r="24" spans="2:8" s="35" customFormat="1" ht="8.25" customHeight="1">
      <c r="B24" s="37"/>
      <c r="C24" s="38"/>
      <c r="E24" s="38"/>
      <c r="F24" s="37"/>
      <c r="G24" s="37"/>
      <c r="H24" s="38"/>
    </row>
    <row r="25" spans="2:8" s="35" customFormat="1" ht="16.5">
      <c r="B25" s="37"/>
      <c r="C25" s="38" t="s">
        <v>37</v>
      </c>
      <c r="E25" s="38"/>
      <c r="F25" s="37"/>
      <c r="G25" s="37"/>
      <c r="H25" s="38"/>
    </row>
    <row r="26" spans="2:8" s="35" customFormat="1" ht="8.25" customHeight="1">
      <c r="B26" s="37"/>
      <c r="C26" s="38"/>
      <c r="E26" s="38"/>
      <c r="F26" s="37"/>
      <c r="G26" s="37"/>
      <c r="H26" s="38"/>
    </row>
    <row r="27" spans="2:8" s="35" customFormat="1" ht="16.5">
      <c r="B27" s="37"/>
      <c r="C27" s="38" t="s">
        <v>39</v>
      </c>
      <c r="E27" s="38"/>
      <c r="F27" s="37"/>
      <c r="G27" s="37"/>
      <c r="H27" s="38"/>
    </row>
    <row r="28" spans="2:8" s="35" customFormat="1" ht="8.25" customHeight="1">
      <c r="B28" s="37"/>
      <c r="C28" s="38"/>
      <c r="E28" s="38"/>
      <c r="F28" s="37"/>
      <c r="G28" s="37"/>
      <c r="H28" s="38"/>
    </row>
    <row r="29" spans="2:8" s="35" customFormat="1" ht="16.5">
      <c r="B29" s="37"/>
      <c r="C29" s="38" t="s">
        <v>38</v>
      </c>
      <c r="E29" s="38"/>
      <c r="F29" s="37"/>
      <c r="G29" s="37"/>
      <c r="H29" s="38"/>
    </row>
    <row r="30" spans="2:8" s="35" customFormat="1" ht="16.5">
      <c r="B30" s="39"/>
      <c r="C30" s="39"/>
      <c r="F30" s="39"/>
      <c r="G30" s="39"/>
    </row>
    <row r="36" spans="1:8" ht="25.5">
      <c r="A36" s="421" t="s">
        <v>43</v>
      </c>
      <c r="B36" s="421"/>
      <c r="C36" s="421"/>
      <c r="D36" s="421"/>
      <c r="E36" s="421"/>
      <c r="F36" s="421"/>
      <c r="G36" s="421"/>
      <c r="H36" s="421"/>
    </row>
  </sheetData>
  <mergeCells count="6">
    <mergeCell ref="A36:H36"/>
    <mergeCell ref="A2:H2"/>
    <mergeCell ref="B5:C6"/>
    <mergeCell ref="B7:C10"/>
    <mergeCell ref="F5:G6"/>
    <mergeCell ref="F7:G10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D26" sqref="D26"/>
    </sheetView>
  </sheetViews>
  <sheetFormatPr defaultRowHeight="16.5"/>
  <sheetData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30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28</vt:i4>
      </vt:variant>
    </vt:vector>
  </HeadingPairs>
  <TitlesOfParts>
    <vt:vector size="59" baseType="lpstr">
      <vt:lpstr>현대중공업(주)</vt:lpstr>
      <vt:lpstr>현대트랜시스(주)</vt:lpstr>
      <vt:lpstr>현대로템(주)중기</vt:lpstr>
      <vt:lpstr>현대로템(주) 철차 1</vt:lpstr>
      <vt:lpstr>현대로템(주) 철차 (2)</vt:lpstr>
      <vt:lpstr>현대로템(주) 철차3</vt:lpstr>
      <vt:lpstr>현대로템(주) 철차4</vt:lpstr>
      <vt:lpstr>SNT다이내믹스</vt:lpstr>
      <vt:lpstr>범양</vt:lpstr>
      <vt:lpstr>다이헨</vt:lpstr>
      <vt:lpstr>SNT다이내믹스 (2)</vt:lpstr>
      <vt:lpstr>STX중공업</vt:lpstr>
      <vt:lpstr>STX엔진(착중도금) (2)</vt:lpstr>
      <vt:lpstr>STX엔진(착중도금)</vt:lpstr>
      <vt:lpstr>STX엔진(방산)유상사급</vt:lpstr>
      <vt:lpstr>STX엔진(K9국산화)</vt:lpstr>
      <vt:lpstr>STX엔진(방산)</vt:lpstr>
      <vt:lpstr>STX엔진(방산) (2)</vt:lpstr>
      <vt:lpstr>STX엔진(방산) (3)</vt:lpstr>
      <vt:lpstr>STX엔진(민수)</vt:lpstr>
      <vt:lpstr>코마츠</vt:lpstr>
      <vt:lpstr>코마츠 1회</vt:lpstr>
      <vt:lpstr>신코 목형</vt:lpstr>
      <vt:lpstr>신코</vt:lpstr>
      <vt:lpstr>신코 222</vt:lpstr>
      <vt:lpstr>신코 (2)</vt:lpstr>
      <vt:lpstr>신코 스크랩</vt:lpstr>
      <vt:lpstr>신코 선급</vt:lpstr>
      <vt:lpstr>Sheet1</vt:lpstr>
      <vt:lpstr>Sheet2</vt:lpstr>
      <vt:lpstr>Chart2</vt:lpstr>
      <vt:lpstr>SNT다이내믹스!Print_Area</vt:lpstr>
      <vt:lpstr>'SNT다이내믹스 (2)'!Print_Area</vt:lpstr>
      <vt:lpstr>'STX엔진(K9국산화)'!Print_Area</vt:lpstr>
      <vt:lpstr>'STX엔진(민수)'!Print_Area</vt:lpstr>
      <vt:lpstr>'STX엔진(방산)'!Print_Area</vt:lpstr>
      <vt:lpstr>'STX엔진(방산) (2)'!Print_Area</vt:lpstr>
      <vt:lpstr>'STX엔진(방산) (3)'!Print_Area</vt:lpstr>
      <vt:lpstr>'STX엔진(방산)유상사급'!Print_Area</vt:lpstr>
      <vt:lpstr>'STX엔진(착중도금)'!Print_Area</vt:lpstr>
      <vt:lpstr>'STX엔진(착중도금) (2)'!Print_Area</vt:lpstr>
      <vt:lpstr>STX중공업!Print_Area</vt:lpstr>
      <vt:lpstr>다이헨!Print_Area</vt:lpstr>
      <vt:lpstr>범양!Print_Area</vt:lpstr>
      <vt:lpstr>신코!Print_Area</vt:lpstr>
      <vt:lpstr>'신코 (2)'!Print_Area</vt:lpstr>
      <vt:lpstr>'신코 222'!Print_Area</vt:lpstr>
      <vt:lpstr>'신코 목형'!Print_Area</vt:lpstr>
      <vt:lpstr>'신코 선급'!Print_Area</vt:lpstr>
      <vt:lpstr>'신코 스크랩'!Print_Area</vt:lpstr>
      <vt:lpstr>코마츠!Print_Area</vt:lpstr>
      <vt:lpstr>'코마츠 1회'!Print_Area</vt:lpstr>
      <vt:lpstr>'현대로템(주) 철차 (2)'!Print_Area</vt:lpstr>
      <vt:lpstr>'현대로템(주) 철차 1'!Print_Area</vt:lpstr>
      <vt:lpstr>'현대로템(주) 철차3'!Print_Area</vt:lpstr>
      <vt:lpstr>'현대로템(주) 철차4'!Print_Area</vt:lpstr>
      <vt:lpstr>'현대로템(주)중기'!Print_Area</vt:lpstr>
      <vt:lpstr>'현대중공업(주)'!Print_Area</vt:lpstr>
      <vt:lpstr>'현대트랜시스(주)'!Print_Area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홈에디션</dc:creator>
  <cp:lastModifiedBy>디에스아이 디에스아이</cp:lastModifiedBy>
  <cp:lastPrinted>2026-10-08T23:55:09Z</cp:lastPrinted>
  <dcterms:created xsi:type="dcterms:W3CDTF">2013-03-04T22:18:23Z</dcterms:created>
  <dcterms:modified xsi:type="dcterms:W3CDTF">2026-10-09T01:48:30Z</dcterms:modified>
</cp:coreProperties>
</file>